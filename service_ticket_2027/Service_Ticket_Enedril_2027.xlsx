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8.5"/>
    </font>
    <font>
      <name val="Calibri"/>
      <i val="1"/>
      <color rgb="0051647A"/>
      <sz val="8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8.5"/>
    </font>
    <font>
      <name val="Calibri"/>
      <b val="1"/>
      <color rgb="0051647A"/>
      <sz val="10"/>
    </font>
    <font>
      <name val="Calibri"/>
      <color rgb="000B1B2E"/>
      <sz val="10"/>
    </font>
    <font>
      <name val="Calibri"/>
      <b val="1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51647A"/>
      <sz val="8"/>
    </font>
    <font>
      <name val="Calibri"/>
      <b val="1"/>
      <color rgb="0008203F"/>
      <sz val="11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E8F0FA"/>
        <bgColor rgb="00E8F0FA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64" fontId="22" fillId="4" borderId="1" applyAlignment="1" pivotButton="0" quotePrefix="0" xfId="0">
      <alignment horizontal="left" vertical="center" indent="1"/>
    </xf>
    <xf numFmtId="1" fontId="22" fillId="4" borderId="1" applyAlignment="1" pivotButton="0" quotePrefix="0" xfId="0">
      <alignment horizontal="left" vertical="center" indent="1"/>
    </xf>
    <xf numFmtId="0" fontId="6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2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 wrapText="1"/>
    </xf>
    <xf numFmtId="165" fontId="6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9" fillId="6" borderId="0" applyAlignment="1" pivotButton="0" quotePrefix="0" xfId="0">
      <alignment horizontal="center" vertical="center"/>
    </xf>
    <xf numFmtId="0" fontId="8" fillId="2" borderId="0" applyAlignment="1" pivotButton="0" quotePrefix="0" xfId="0">
      <alignment vertical="center" indent="1"/>
    </xf>
    <xf numFmtId="0" fontId="1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3" fillId="0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0" fillId="0" borderId="2" pivotButton="0" quotePrefix="0" xfId="0"/>
    <xf numFmtId="4" fontId="11" fillId="4" borderId="2" applyAlignment="1" pivotButton="0" quotePrefix="0" xfId="0">
      <alignment horizontal="center" vertical="center"/>
    </xf>
    <xf numFmtId="4" fontId="0" fillId="0" borderId="2" pivotButton="0" quotePrefix="0" xfId="0"/>
    <xf numFmtId="1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4" fontId="15" fillId="0" borderId="2" applyAlignment="1" pivotButton="0" quotePrefix="0" xfId="0">
      <alignment horizontal="right" vertical="center" indent="1"/>
    </xf>
    <xf numFmtId="0" fontId="12" fillId="0" borderId="3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0" fillId="8" borderId="0" pivotButton="0" quotePrefix="0" xfId="0"/>
    <xf numFmtId="0" fontId="16" fillId="0" borderId="2" applyAlignment="1" pivotButton="0" quotePrefix="0" xfId="0">
      <alignment vertical="center" indent="1"/>
    </xf>
    <xf numFmtId="0" fontId="17" fillId="0" borderId="2" applyAlignment="1" pivotButton="0" quotePrefix="0" xfId="0">
      <alignment horizontal="center" vertical="center"/>
    </xf>
    <xf numFmtId="4" fontId="18" fillId="0" borderId="2" applyAlignment="1" pivotButton="0" quotePrefix="0" xfId="0">
      <alignment horizontal="right" vertical="center" indent="1"/>
    </xf>
    <xf numFmtId="0" fontId="19" fillId="5" borderId="0" applyAlignment="1" pivotButton="0" quotePrefix="0" xfId="0">
      <alignment horizontal="left" vertical="center" indent="1"/>
    </xf>
    <xf numFmtId="0" fontId="19" fillId="5" borderId="0" applyAlignment="1" pivotButton="0" quotePrefix="0" xfId="0">
      <alignment horizontal="left" vertical="center"/>
    </xf>
    <xf numFmtId="4" fontId="19" fillId="5" borderId="0" applyAlignment="1" pivotButton="0" quotePrefix="0" xfId="0">
      <alignment horizontal="right" vertical="center" indent="1"/>
    </xf>
    <xf numFmtId="0" fontId="20" fillId="0" borderId="0" applyAlignment="1" pivotButton="0" quotePrefix="0" xfId="0">
      <alignment vertical="center" indent="1"/>
    </xf>
    <xf numFmtId="4" fontId="20" fillId="0" borderId="0" applyAlignment="1" pivotButton="0" quotePrefix="0" xfId="0">
      <alignment horizontal="right" indent="1"/>
    </xf>
    <xf numFmtId="0" fontId="21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8"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DH53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32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3.3" customWidth="1" min="13" max="13"/>
    <col width="3.3" customWidth="1" min="14" max="14"/>
    <col width="3.3" customWidth="1" min="15" max="15"/>
    <col width="3.3" customWidth="1" min="16" max="16"/>
    <col width="3.3" customWidth="1" min="17" max="17"/>
    <col width="3.3" customWidth="1" min="18" max="18"/>
    <col width="3.3" customWidth="1" min="19" max="19"/>
    <col width="3.3" customWidth="1" min="20" max="20"/>
    <col width="3.3" customWidth="1" min="21" max="21"/>
    <col width="3.3" customWidth="1" min="22" max="22"/>
    <col width="3.3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  <col width="3.3" customWidth="1" min="76" max="76"/>
    <col width="3.3" customWidth="1" min="77" max="77"/>
    <col width="3.3" customWidth="1" min="78" max="78"/>
    <col width="3.3" customWidth="1" min="79" max="79"/>
    <col width="3.3" customWidth="1" min="80" max="80"/>
    <col width="3.3" customWidth="1" min="81" max="81"/>
    <col width="3.3" customWidth="1" min="82" max="82"/>
    <col width="3.3" customWidth="1" min="83" max="83"/>
    <col width="3.3" customWidth="1" min="84" max="84"/>
    <col width="3.3" customWidth="1" min="85" max="85"/>
    <col width="3.3" customWidth="1" min="86" max="86"/>
    <col width="3.3" customWidth="1" min="87" max="87"/>
    <col width="3.3" customWidth="1" min="88" max="88"/>
    <col width="3.3" customWidth="1" min="89" max="89"/>
    <col width="3.3" customWidth="1" min="90" max="90"/>
    <col width="3.3" customWidth="1" min="91" max="91"/>
    <col width="3.3" customWidth="1" min="92" max="92"/>
    <col width="3.3" customWidth="1" min="93" max="93"/>
    <col width="3.3" customWidth="1" min="94" max="94"/>
    <col width="3.3" customWidth="1" min="95" max="95"/>
    <col width="3.3" customWidth="1" min="96" max="96"/>
    <col width="3.3" customWidth="1" min="97" max="97"/>
    <col width="3.3" customWidth="1" min="98" max="98"/>
    <col width="3.3" customWidth="1" min="99" max="99"/>
    <col width="3.3" customWidth="1" min="100" max="100"/>
    <col width="3.3" customWidth="1" min="101" max="101"/>
    <col width="3.3" customWidth="1" min="102" max="102"/>
    <col width="3.3" customWidth="1" min="103" max="103"/>
    <col width="3.3" customWidth="1" min="104" max="104"/>
    <col width="3.3" customWidth="1" min="10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n"/>
      <c r="B6" s="7" t="n"/>
      <c r="C6" s="6" t="n"/>
      <c r="D6" s="7" t="n"/>
      <c r="E6" s="7" t="n"/>
      <c r="F6" s="7" t="n"/>
      <c r="G6" s="6" t="n"/>
      <c r="H6" s="7" t="n"/>
      <c r="I6" s="7" t="n"/>
      <c r="J6" s="6" t="n"/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· END DATE</t>
        </is>
      </c>
      <c r="J8" s="5" t="inlineStr">
        <is>
          <t>DURÉE (JOURS)</t>
        </is>
      </c>
    </row>
    <row r="9" ht="24" customHeight="1">
      <c r="A9" s="6" t="n"/>
      <c r="B9" s="7" t="n"/>
      <c r="C9" s="8" t="n"/>
      <c r="D9" s="7" t="n"/>
      <c r="E9" s="7" t="n"/>
      <c r="F9" s="7" t="n"/>
      <c r="G9" s="9">
        <f>IF(C9="","",C9+MAX(SUMPRODUCT(MAX((M17:DA19&lt;&gt;"")*(COLUMN(M17:DA19)-13))),SUMPRODUCT(MAX((M22:DA33&lt;&gt;"")*(COLUMN(M22:DA33)-13)))))</f>
        <v/>
      </c>
      <c r="H9" s="7" t="n"/>
      <c r="I9" s="7" t="n"/>
      <c r="J9" s="10">
        <f>IF(C9="","",G9-C9+1)</f>
        <v/>
      </c>
      <c r="K9" s="7" t="n"/>
      <c r="L9" s="7" t="n"/>
    </row>
    <row r="10" ht="6" customHeight="1"/>
    <row r="11" ht="18" customHeight="1">
      <c r="A11" s="11" t="inlineStr">
        <is>
          <t>Calendrier : S = stand-by · O = opérations · FOC = gratuit · VR = valeur de remplacement · RC = restocking · MOB / DEMOB = arrivée / départ</t>
        </is>
      </c>
    </row>
    <row r="12" ht="20" customHeight="1">
      <c r="M12" s="12">
        <f>IF($C$9="","","Du "&amp;TEXT(DAY($C$9+0),"00")&amp;"/"&amp;TEXT(MONTH($C$9+0),"00")&amp;" au "&amp;TEXT(DAY($C$9+30),"00")&amp;"/"&amp;TEXT(MONTH($C$9+30),"00")&amp;"/"&amp;YEAR($C$9+30))</f>
        <v/>
      </c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4">
        <f>IF($C$9="","","Du "&amp;TEXT(DAY($C$9+31),"00")&amp;"/"&amp;TEXT(MONTH($C$9+31),"00")&amp;" au "&amp;TEXT(DAY($C$9+61),"00")&amp;"/"&amp;TEXT(MONTH($C$9+61),"00")&amp;"/"&amp;YEAR($C$9+61))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2">
        <f>IF($C$9="","","Du "&amp;TEXT(DAY($C$9+62),"00")&amp;"/"&amp;TEXT(MONTH($C$9+62),"00")&amp;" au "&amp;TEXT(DAY($C$9+92),"00")&amp;"/"&amp;TEXT(MONTH($C$9+92),"00")&amp;"/"&amp;YEAR($C$9+92))</f>
        <v/>
      </c>
      <c r="BX12" s="13" t="n"/>
      <c r="BY12" s="13" t="n"/>
      <c r="BZ12" s="13" t="n"/>
      <c r="CA12" s="13" t="n"/>
      <c r="CB12" s="13" t="n"/>
      <c r="CC12" s="13" t="n"/>
      <c r="CD12" s="13" t="n"/>
      <c r="CE12" s="13" t="n"/>
      <c r="CF12" s="13" t="n"/>
      <c r="CG12" s="13" t="n"/>
      <c r="CH12" s="13" t="n"/>
      <c r="CI12" s="13" t="n"/>
      <c r="CJ12" s="13" t="n"/>
      <c r="CK12" s="13" t="n"/>
      <c r="CL12" s="13" t="n"/>
      <c r="CM12" s="13" t="n"/>
      <c r="CN12" s="13" t="n"/>
      <c r="CO12" s="13" t="n"/>
      <c r="CP12" s="13" t="n"/>
      <c r="CQ12" s="13" t="n"/>
      <c r="CR12" s="13" t="n"/>
      <c r="CS12" s="13" t="n"/>
      <c r="CT12" s="13" t="n"/>
      <c r="CU12" s="13" t="n"/>
      <c r="CV12" s="13" t="n"/>
      <c r="CW12" s="13" t="n"/>
      <c r="CX12" s="13" t="n"/>
      <c r="CY12" s="13" t="n"/>
      <c r="CZ12" s="13" t="n"/>
      <c r="DA12" s="13" t="n"/>
    </row>
    <row r="13" ht="15" customHeight="1">
      <c r="A13" s="15" t="inlineStr">
        <is>
          <t>#</t>
        </is>
      </c>
      <c r="B13" s="15" t="inlineStr">
        <is>
          <t>Description</t>
        </is>
      </c>
      <c r="C13" s="15" t="inlineStr">
        <is>
          <t>Qté
Qty</t>
        </is>
      </c>
      <c r="D13" s="15" t="inlineStr">
        <is>
          <t>Stand-by
€ / jour</t>
        </is>
      </c>
      <c r="E13" s="15" t="inlineStr">
        <is>
          <t>Opér.
€ / jour</t>
        </is>
      </c>
      <c r="F13" s="15" t="inlineStr">
        <is>
          <t>UC
€</t>
        </is>
      </c>
      <c r="G13" s="15" t="inlineStr">
        <is>
          <t>Valeur
remplac.</t>
        </is>
      </c>
      <c r="H13" s="15" t="inlineStr">
        <is>
          <t>Inspect.
€</t>
        </is>
      </c>
      <c r="I13" s="15" t="inlineStr">
        <is>
          <t>Restock.
€</t>
        </is>
      </c>
      <c r="J13" s="15" t="inlineStr">
        <is>
          <t>Jours
S</t>
        </is>
      </c>
      <c r="K13" s="15" t="inlineStr">
        <is>
          <t>Jours
O</t>
        </is>
      </c>
      <c r="L13" s="15" t="inlineStr">
        <is>
          <t>Total
€ HT</t>
        </is>
      </c>
      <c r="M13" s="16">
        <f>IF($C$9="","",$C$9+0)</f>
        <v/>
      </c>
      <c r="N13" s="16">
        <f>IF($C$9="","",$C$9+1)</f>
        <v/>
      </c>
      <c r="O13" s="16">
        <f>IF($C$9="","",$C$9+2)</f>
        <v/>
      </c>
      <c r="P13" s="16">
        <f>IF($C$9="","",$C$9+3)</f>
        <v/>
      </c>
      <c r="Q13" s="16">
        <f>IF($C$9="","",$C$9+4)</f>
        <v/>
      </c>
      <c r="R13" s="16">
        <f>IF($C$9="","",$C$9+5)</f>
        <v/>
      </c>
      <c r="S13" s="16">
        <f>IF($C$9="","",$C$9+6)</f>
        <v/>
      </c>
      <c r="T13" s="16">
        <f>IF($C$9="","",$C$9+7)</f>
        <v/>
      </c>
      <c r="U13" s="16">
        <f>IF($C$9="","",$C$9+8)</f>
        <v/>
      </c>
      <c r="V13" s="16">
        <f>IF($C$9="","",$C$9+9)</f>
        <v/>
      </c>
      <c r="W13" s="16">
        <f>IF($C$9="","",$C$9+10)</f>
        <v/>
      </c>
      <c r="X13" s="16">
        <f>IF($C$9="","",$C$9+11)</f>
        <v/>
      </c>
      <c r="Y13" s="16">
        <f>IF($C$9="","",$C$9+12)</f>
        <v/>
      </c>
      <c r="Z13" s="16">
        <f>IF($C$9="","",$C$9+13)</f>
        <v/>
      </c>
      <c r="AA13" s="16">
        <f>IF($C$9="","",$C$9+14)</f>
        <v/>
      </c>
      <c r="AB13" s="16">
        <f>IF($C$9="","",$C$9+15)</f>
        <v/>
      </c>
      <c r="AC13" s="16">
        <f>IF($C$9="","",$C$9+16)</f>
        <v/>
      </c>
      <c r="AD13" s="16">
        <f>IF($C$9="","",$C$9+17)</f>
        <v/>
      </c>
      <c r="AE13" s="16">
        <f>IF($C$9="","",$C$9+18)</f>
        <v/>
      </c>
      <c r="AF13" s="16">
        <f>IF($C$9="","",$C$9+19)</f>
        <v/>
      </c>
      <c r="AG13" s="16">
        <f>IF($C$9="","",$C$9+20)</f>
        <v/>
      </c>
      <c r="AH13" s="16">
        <f>IF($C$9="","",$C$9+21)</f>
        <v/>
      </c>
      <c r="AI13" s="16">
        <f>IF($C$9="","",$C$9+22)</f>
        <v/>
      </c>
      <c r="AJ13" s="16">
        <f>IF($C$9="","",$C$9+23)</f>
        <v/>
      </c>
      <c r="AK13" s="16">
        <f>IF($C$9="","",$C$9+24)</f>
        <v/>
      </c>
      <c r="AL13" s="16">
        <f>IF($C$9="","",$C$9+25)</f>
        <v/>
      </c>
      <c r="AM13" s="16">
        <f>IF($C$9="","",$C$9+26)</f>
        <v/>
      </c>
      <c r="AN13" s="16">
        <f>IF($C$9="","",$C$9+27)</f>
        <v/>
      </c>
      <c r="AO13" s="16">
        <f>IF($C$9="","",$C$9+28)</f>
        <v/>
      </c>
      <c r="AP13" s="16">
        <f>IF($C$9="","",$C$9+29)</f>
        <v/>
      </c>
      <c r="AQ13" s="16">
        <f>IF($C$9="","",$C$9+30)</f>
        <v/>
      </c>
      <c r="AR13" s="16">
        <f>IF($C$9="","",$C$9+31)</f>
        <v/>
      </c>
      <c r="AS13" s="16">
        <f>IF($C$9="","",$C$9+32)</f>
        <v/>
      </c>
      <c r="AT13" s="16">
        <f>IF($C$9="","",$C$9+33)</f>
        <v/>
      </c>
      <c r="AU13" s="16">
        <f>IF($C$9="","",$C$9+34)</f>
        <v/>
      </c>
      <c r="AV13" s="16">
        <f>IF($C$9="","",$C$9+35)</f>
        <v/>
      </c>
      <c r="AW13" s="16">
        <f>IF($C$9="","",$C$9+36)</f>
        <v/>
      </c>
      <c r="AX13" s="16">
        <f>IF($C$9="","",$C$9+37)</f>
        <v/>
      </c>
      <c r="AY13" s="16">
        <f>IF($C$9="","",$C$9+38)</f>
        <v/>
      </c>
      <c r="AZ13" s="16">
        <f>IF($C$9="","",$C$9+39)</f>
        <v/>
      </c>
      <c r="BA13" s="16">
        <f>IF($C$9="","",$C$9+40)</f>
        <v/>
      </c>
      <c r="BB13" s="16">
        <f>IF($C$9="","",$C$9+41)</f>
        <v/>
      </c>
      <c r="BC13" s="16">
        <f>IF($C$9="","",$C$9+42)</f>
        <v/>
      </c>
      <c r="BD13" s="16">
        <f>IF($C$9="","",$C$9+43)</f>
        <v/>
      </c>
      <c r="BE13" s="16">
        <f>IF($C$9="","",$C$9+44)</f>
        <v/>
      </c>
      <c r="BF13" s="16">
        <f>IF($C$9="","",$C$9+45)</f>
        <v/>
      </c>
      <c r="BG13" s="16">
        <f>IF($C$9="","",$C$9+46)</f>
        <v/>
      </c>
      <c r="BH13" s="16">
        <f>IF($C$9="","",$C$9+47)</f>
        <v/>
      </c>
      <c r="BI13" s="16">
        <f>IF($C$9="","",$C$9+48)</f>
        <v/>
      </c>
      <c r="BJ13" s="16">
        <f>IF($C$9="","",$C$9+49)</f>
        <v/>
      </c>
      <c r="BK13" s="16">
        <f>IF($C$9="","",$C$9+50)</f>
        <v/>
      </c>
      <c r="BL13" s="16">
        <f>IF($C$9="","",$C$9+51)</f>
        <v/>
      </c>
      <c r="BM13" s="16">
        <f>IF($C$9="","",$C$9+52)</f>
        <v/>
      </c>
      <c r="BN13" s="16">
        <f>IF($C$9="","",$C$9+53)</f>
        <v/>
      </c>
      <c r="BO13" s="16">
        <f>IF($C$9="","",$C$9+54)</f>
        <v/>
      </c>
      <c r="BP13" s="16">
        <f>IF($C$9="","",$C$9+55)</f>
        <v/>
      </c>
      <c r="BQ13" s="16">
        <f>IF($C$9="","",$C$9+56)</f>
        <v/>
      </c>
      <c r="BR13" s="16">
        <f>IF($C$9="","",$C$9+57)</f>
        <v/>
      </c>
      <c r="BS13" s="16">
        <f>IF($C$9="","",$C$9+58)</f>
        <v/>
      </c>
      <c r="BT13" s="16">
        <f>IF($C$9="","",$C$9+59)</f>
        <v/>
      </c>
      <c r="BU13" s="16">
        <f>IF($C$9="","",$C$9+60)</f>
        <v/>
      </c>
      <c r="BV13" s="16">
        <f>IF($C$9="","",$C$9+61)</f>
        <v/>
      </c>
      <c r="BW13" s="16">
        <f>IF($C$9="","",$C$9+62)</f>
        <v/>
      </c>
      <c r="BX13" s="16">
        <f>IF($C$9="","",$C$9+63)</f>
        <v/>
      </c>
      <c r="BY13" s="16">
        <f>IF($C$9="","",$C$9+64)</f>
        <v/>
      </c>
      <c r="BZ13" s="16">
        <f>IF($C$9="","",$C$9+65)</f>
        <v/>
      </c>
      <c r="CA13" s="16">
        <f>IF($C$9="","",$C$9+66)</f>
        <v/>
      </c>
      <c r="CB13" s="16">
        <f>IF($C$9="","",$C$9+67)</f>
        <v/>
      </c>
      <c r="CC13" s="16">
        <f>IF($C$9="","",$C$9+68)</f>
        <v/>
      </c>
      <c r="CD13" s="16">
        <f>IF($C$9="","",$C$9+69)</f>
        <v/>
      </c>
      <c r="CE13" s="16">
        <f>IF($C$9="","",$C$9+70)</f>
        <v/>
      </c>
      <c r="CF13" s="16">
        <f>IF($C$9="","",$C$9+71)</f>
        <v/>
      </c>
      <c r="CG13" s="16">
        <f>IF($C$9="","",$C$9+72)</f>
        <v/>
      </c>
      <c r="CH13" s="16">
        <f>IF($C$9="","",$C$9+73)</f>
        <v/>
      </c>
      <c r="CI13" s="16">
        <f>IF($C$9="","",$C$9+74)</f>
        <v/>
      </c>
      <c r="CJ13" s="16">
        <f>IF($C$9="","",$C$9+75)</f>
        <v/>
      </c>
      <c r="CK13" s="16">
        <f>IF($C$9="","",$C$9+76)</f>
        <v/>
      </c>
      <c r="CL13" s="16">
        <f>IF($C$9="","",$C$9+77)</f>
        <v/>
      </c>
      <c r="CM13" s="16">
        <f>IF($C$9="","",$C$9+78)</f>
        <v/>
      </c>
      <c r="CN13" s="16">
        <f>IF($C$9="","",$C$9+79)</f>
        <v/>
      </c>
      <c r="CO13" s="16">
        <f>IF($C$9="","",$C$9+80)</f>
        <v/>
      </c>
      <c r="CP13" s="16">
        <f>IF($C$9="","",$C$9+81)</f>
        <v/>
      </c>
      <c r="CQ13" s="16">
        <f>IF($C$9="","",$C$9+82)</f>
        <v/>
      </c>
      <c r="CR13" s="16">
        <f>IF($C$9="","",$C$9+83)</f>
        <v/>
      </c>
      <c r="CS13" s="16">
        <f>IF($C$9="","",$C$9+84)</f>
        <v/>
      </c>
      <c r="CT13" s="16">
        <f>IF($C$9="","",$C$9+85)</f>
        <v/>
      </c>
      <c r="CU13" s="16">
        <f>IF($C$9="","",$C$9+86)</f>
        <v/>
      </c>
      <c r="CV13" s="16">
        <f>IF($C$9="","",$C$9+87)</f>
        <v/>
      </c>
      <c r="CW13" s="16">
        <f>IF($C$9="","",$C$9+88)</f>
        <v/>
      </c>
      <c r="CX13" s="16">
        <f>IF($C$9="","",$C$9+89)</f>
        <v/>
      </c>
      <c r="CY13" s="16">
        <f>IF($C$9="","",$C$9+90)</f>
        <v/>
      </c>
      <c r="CZ13" s="16">
        <f>IF($C$9="","",$C$9+91)</f>
        <v/>
      </c>
      <c r="DA13" s="16">
        <f>IF($C$9="","",$C$9+92)</f>
        <v/>
      </c>
    </row>
    <row r="14" ht="14" customHeight="1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8">
        <f>IF($C$9="","",CHOOSE(WEEKDAY($C$9+0,2),"L","M","M","J","V","S","D"))</f>
        <v/>
      </c>
      <c r="N14" s="18">
        <f>IF($C$9="","",CHOOSE(WEEKDAY($C$9+1,2),"L","M","M","J","V","S","D"))</f>
        <v/>
      </c>
      <c r="O14" s="18">
        <f>IF($C$9="","",CHOOSE(WEEKDAY($C$9+2,2),"L","M","M","J","V","S","D"))</f>
        <v/>
      </c>
      <c r="P14" s="18">
        <f>IF($C$9="","",CHOOSE(WEEKDAY($C$9+3,2),"L","M","M","J","V","S","D"))</f>
        <v/>
      </c>
      <c r="Q14" s="18">
        <f>IF($C$9="","",CHOOSE(WEEKDAY($C$9+4,2),"L","M","M","J","V","S","D"))</f>
        <v/>
      </c>
      <c r="R14" s="18">
        <f>IF($C$9="","",CHOOSE(WEEKDAY($C$9+5,2),"L","M","M","J","V","S","D"))</f>
        <v/>
      </c>
      <c r="S14" s="18">
        <f>IF($C$9="","",CHOOSE(WEEKDAY($C$9+6,2),"L","M","M","J","V","S","D"))</f>
        <v/>
      </c>
      <c r="T14" s="18">
        <f>IF($C$9="","",CHOOSE(WEEKDAY($C$9+7,2),"L","M","M","J","V","S","D"))</f>
        <v/>
      </c>
      <c r="U14" s="18">
        <f>IF($C$9="","",CHOOSE(WEEKDAY($C$9+8,2),"L","M","M","J","V","S","D"))</f>
        <v/>
      </c>
      <c r="V14" s="18">
        <f>IF($C$9="","",CHOOSE(WEEKDAY($C$9+9,2),"L","M","M","J","V","S","D"))</f>
        <v/>
      </c>
      <c r="W14" s="18">
        <f>IF($C$9="","",CHOOSE(WEEKDAY($C$9+10,2),"L","M","M","J","V","S","D"))</f>
        <v/>
      </c>
      <c r="X14" s="18">
        <f>IF($C$9="","",CHOOSE(WEEKDAY($C$9+11,2),"L","M","M","J","V","S","D"))</f>
        <v/>
      </c>
      <c r="Y14" s="18">
        <f>IF($C$9="","",CHOOSE(WEEKDAY($C$9+12,2),"L","M","M","J","V","S","D"))</f>
        <v/>
      </c>
      <c r="Z14" s="18">
        <f>IF($C$9="","",CHOOSE(WEEKDAY($C$9+13,2),"L","M","M","J","V","S","D"))</f>
        <v/>
      </c>
      <c r="AA14" s="18">
        <f>IF($C$9="","",CHOOSE(WEEKDAY($C$9+14,2),"L","M","M","J","V","S","D"))</f>
        <v/>
      </c>
      <c r="AB14" s="18">
        <f>IF($C$9="","",CHOOSE(WEEKDAY($C$9+15,2),"L","M","M","J","V","S","D"))</f>
        <v/>
      </c>
      <c r="AC14" s="18">
        <f>IF($C$9="","",CHOOSE(WEEKDAY($C$9+16,2),"L","M","M","J","V","S","D"))</f>
        <v/>
      </c>
      <c r="AD14" s="18">
        <f>IF($C$9="","",CHOOSE(WEEKDAY($C$9+17,2),"L","M","M","J","V","S","D"))</f>
        <v/>
      </c>
      <c r="AE14" s="18">
        <f>IF($C$9="","",CHOOSE(WEEKDAY($C$9+18,2),"L","M","M","J","V","S","D"))</f>
        <v/>
      </c>
      <c r="AF14" s="18">
        <f>IF($C$9="","",CHOOSE(WEEKDAY($C$9+19,2),"L","M","M","J","V","S","D"))</f>
        <v/>
      </c>
      <c r="AG14" s="18">
        <f>IF($C$9="","",CHOOSE(WEEKDAY($C$9+20,2),"L","M","M","J","V","S","D"))</f>
        <v/>
      </c>
      <c r="AH14" s="18">
        <f>IF($C$9="","",CHOOSE(WEEKDAY($C$9+21,2),"L","M","M","J","V","S","D"))</f>
        <v/>
      </c>
      <c r="AI14" s="18">
        <f>IF($C$9="","",CHOOSE(WEEKDAY($C$9+22,2),"L","M","M","J","V","S","D"))</f>
        <v/>
      </c>
      <c r="AJ14" s="18">
        <f>IF($C$9="","",CHOOSE(WEEKDAY($C$9+23,2),"L","M","M","J","V","S","D"))</f>
        <v/>
      </c>
      <c r="AK14" s="18">
        <f>IF($C$9="","",CHOOSE(WEEKDAY($C$9+24,2),"L","M","M","J","V","S","D"))</f>
        <v/>
      </c>
      <c r="AL14" s="18">
        <f>IF($C$9="","",CHOOSE(WEEKDAY($C$9+25,2),"L","M","M","J","V","S","D"))</f>
        <v/>
      </c>
      <c r="AM14" s="18">
        <f>IF($C$9="","",CHOOSE(WEEKDAY($C$9+26,2),"L","M","M","J","V","S","D"))</f>
        <v/>
      </c>
      <c r="AN14" s="18">
        <f>IF($C$9="","",CHOOSE(WEEKDAY($C$9+27,2),"L","M","M","J","V","S","D"))</f>
        <v/>
      </c>
      <c r="AO14" s="18">
        <f>IF($C$9="","",CHOOSE(WEEKDAY($C$9+28,2),"L","M","M","J","V","S","D"))</f>
        <v/>
      </c>
      <c r="AP14" s="18">
        <f>IF($C$9="","",CHOOSE(WEEKDAY($C$9+29,2),"L","M","M","J","V","S","D"))</f>
        <v/>
      </c>
      <c r="AQ14" s="18">
        <f>IF($C$9="","",CHOOSE(WEEKDAY($C$9+30,2),"L","M","M","J","V","S","D"))</f>
        <v/>
      </c>
      <c r="AR14" s="18">
        <f>IF($C$9="","",CHOOSE(WEEKDAY($C$9+31,2),"L","M","M","J","V","S","D"))</f>
        <v/>
      </c>
      <c r="AS14" s="18">
        <f>IF($C$9="","",CHOOSE(WEEKDAY($C$9+32,2),"L","M","M","J","V","S","D"))</f>
        <v/>
      </c>
      <c r="AT14" s="18">
        <f>IF($C$9="","",CHOOSE(WEEKDAY($C$9+33,2),"L","M","M","J","V","S","D"))</f>
        <v/>
      </c>
      <c r="AU14" s="18">
        <f>IF($C$9="","",CHOOSE(WEEKDAY($C$9+34,2),"L","M","M","J","V","S","D"))</f>
        <v/>
      </c>
      <c r="AV14" s="18">
        <f>IF($C$9="","",CHOOSE(WEEKDAY($C$9+35,2),"L","M","M","J","V","S","D"))</f>
        <v/>
      </c>
      <c r="AW14" s="18">
        <f>IF($C$9="","",CHOOSE(WEEKDAY($C$9+36,2),"L","M","M","J","V","S","D"))</f>
        <v/>
      </c>
      <c r="AX14" s="18">
        <f>IF($C$9="","",CHOOSE(WEEKDAY($C$9+37,2),"L","M","M","J","V","S","D"))</f>
        <v/>
      </c>
      <c r="AY14" s="18">
        <f>IF($C$9="","",CHOOSE(WEEKDAY($C$9+38,2),"L","M","M","J","V","S","D"))</f>
        <v/>
      </c>
      <c r="AZ14" s="18">
        <f>IF($C$9="","",CHOOSE(WEEKDAY($C$9+39,2),"L","M","M","J","V","S","D"))</f>
        <v/>
      </c>
      <c r="BA14" s="18">
        <f>IF($C$9="","",CHOOSE(WEEKDAY($C$9+40,2),"L","M","M","J","V","S","D"))</f>
        <v/>
      </c>
      <c r="BB14" s="18">
        <f>IF($C$9="","",CHOOSE(WEEKDAY($C$9+41,2),"L","M","M","J","V","S","D"))</f>
        <v/>
      </c>
      <c r="BC14" s="18">
        <f>IF($C$9="","",CHOOSE(WEEKDAY($C$9+42,2),"L","M","M","J","V","S","D"))</f>
        <v/>
      </c>
      <c r="BD14" s="18">
        <f>IF($C$9="","",CHOOSE(WEEKDAY($C$9+43,2),"L","M","M","J","V","S","D"))</f>
        <v/>
      </c>
      <c r="BE14" s="18">
        <f>IF($C$9="","",CHOOSE(WEEKDAY($C$9+44,2),"L","M","M","J","V","S","D"))</f>
        <v/>
      </c>
      <c r="BF14" s="18">
        <f>IF($C$9="","",CHOOSE(WEEKDAY($C$9+45,2),"L","M","M","J","V","S","D"))</f>
        <v/>
      </c>
      <c r="BG14" s="18">
        <f>IF($C$9="","",CHOOSE(WEEKDAY($C$9+46,2),"L","M","M","J","V","S","D"))</f>
        <v/>
      </c>
      <c r="BH14" s="18">
        <f>IF($C$9="","",CHOOSE(WEEKDAY($C$9+47,2),"L","M","M","J","V","S","D"))</f>
        <v/>
      </c>
      <c r="BI14" s="18">
        <f>IF($C$9="","",CHOOSE(WEEKDAY($C$9+48,2),"L","M","M","J","V","S","D"))</f>
        <v/>
      </c>
      <c r="BJ14" s="18">
        <f>IF($C$9="","",CHOOSE(WEEKDAY($C$9+49,2),"L","M","M","J","V","S","D"))</f>
        <v/>
      </c>
      <c r="BK14" s="18">
        <f>IF($C$9="","",CHOOSE(WEEKDAY($C$9+50,2),"L","M","M","J","V","S","D"))</f>
        <v/>
      </c>
      <c r="BL14" s="18">
        <f>IF($C$9="","",CHOOSE(WEEKDAY($C$9+51,2),"L","M","M","J","V","S","D"))</f>
        <v/>
      </c>
      <c r="BM14" s="18">
        <f>IF($C$9="","",CHOOSE(WEEKDAY($C$9+52,2),"L","M","M","J","V","S","D"))</f>
        <v/>
      </c>
      <c r="BN14" s="18">
        <f>IF($C$9="","",CHOOSE(WEEKDAY($C$9+53,2),"L","M","M","J","V","S","D"))</f>
        <v/>
      </c>
      <c r="BO14" s="18">
        <f>IF($C$9="","",CHOOSE(WEEKDAY($C$9+54,2),"L","M","M","J","V","S","D"))</f>
        <v/>
      </c>
      <c r="BP14" s="18">
        <f>IF($C$9="","",CHOOSE(WEEKDAY($C$9+55,2),"L","M","M","J","V","S","D"))</f>
        <v/>
      </c>
      <c r="BQ14" s="18">
        <f>IF($C$9="","",CHOOSE(WEEKDAY($C$9+56,2),"L","M","M","J","V","S","D"))</f>
        <v/>
      </c>
      <c r="BR14" s="18">
        <f>IF($C$9="","",CHOOSE(WEEKDAY($C$9+57,2),"L","M","M","J","V","S","D"))</f>
        <v/>
      </c>
      <c r="BS14" s="18">
        <f>IF($C$9="","",CHOOSE(WEEKDAY($C$9+58,2),"L","M","M","J","V","S","D"))</f>
        <v/>
      </c>
      <c r="BT14" s="18">
        <f>IF($C$9="","",CHOOSE(WEEKDAY($C$9+59,2),"L","M","M","J","V","S","D"))</f>
        <v/>
      </c>
      <c r="BU14" s="18">
        <f>IF($C$9="","",CHOOSE(WEEKDAY($C$9+60,2),"L","M","M","J","V","S","D"))</f>
        <v/>
      </c>
      <c r="BV14" s="18">
        <f>IF($C$9="","",CHOOSE(WEEKDAY($C$9+61,2),"L","M","M","J","V","S","D"))</f>
        <v/>
      </c>
      <c r="BW14" s="18">
        <f>IF($C$9="","",CHOOSE(WEEKDAY($C$9+62,2),"L","M","M","J","V","S","D"))</f>
        <v/>
      </c>
      <c r="BX14" s="18">
        <f>IF($C$9="","",CHOOSE(WEEKDAY($C$9+63,2),"L","M","M","J","V","S","D"))</f>
        <v/>
      </c>
      <c r="BY14" s="18">
        <f>IF($C$9="","",CHOOSE(WEEKDAY($C$9+64,2),"L","M","M","J","V","S","D"))</f>
        <v/>
      </c>
      <c r="BZ14" s="18">
        <f>IF($C$9="","",CHOOSE(WEEKDAY($C$9+65,2),"L","M","M","J","V","S","D"))</f>
        <v/>
      </c>
      <c r="CA14" s="18">
        <f>IF($C$9="","",CHOOSE(WEEKDAY($C$9+66,2),"L","M","M","J","V","S","D"))</f>
        <v/>
      </c>
      <c r="CB14" s="18">
        <f>IF($C$9="","",CHOOSE(WEEKDAY($C$9+67,2),"L","M","M","J","V","S","D"))</f>
        <v/>
      </c>
      <c r="CC14" s="18">
        <f>IF($C$9="","",CHOOSE(WEEKDAY($C$9+68,2),"L","M","M","J","V","S","D"))</f>
        <v/>
      </c>
      <c r="CD14" s="18">
        <f>IF($C$9="","",CHOOSE(WEEKDAY($C$9+69,2),"L","M","M","J","V","S","D"))</f>
        <v/>
      </c>
      <c r="CE14" s="18">
        <f>IF($C$9="","",CHOOSE(WEEKDAY($C$9+70,2),"L","M","M","J","V","S","D"))</f>
        <v/>
      </c>
      <c r="CF14" s="18">
        <f>IF($C$9="","",CHOOSE(WEEKDAY($C$9+71,2),"L","M","M","J","V","S","D"))</f>
        <v/>
      </c>
      <c r="CG14" s="18">
        <f>IF($C$9="","",CHOOSE(WEEKDAY($C$9+72,2),"L","M","M","J","V","S","D"))</f>
        <v/>
      </c>
      <c r="CH14" s="18">
        <f>IF($C$9="","",CHOOSE(WEEKDAY($C$9+73,2),"L","M","M","J","V","S","D"))</f>
        <v/>
      </c>
      <c r="CI14" s="18">
        <f>IF($C$9="","",CHOOSE(WEEKDAY($C$9+74,2),"L","M","M","J","V","S","D"))</f>
        <v/>
      </c>
      <c r="CJ14" s="18">
        <f>IF($C$9="","",CHOOSE(WEEKDAY($C$9+75,2),"L","M","M","J","V","S","D"))</f>
        <v/>
      </c>
      <c r="CK14" s="18">
        <f>IF($C$9="","",CHOOSE(WEEKDAY($C$9+76,2),"L","M","M","J","V","S","D"))</f>
        <v/>
      </c>
      <c r="CL14" s="18">
        <f>IF($C$9="","",CHOOSE(WEEKDAY($C$9+77,2),"L","M","M","J","V","S","D"))</f>
        <v/>
      </c>
      <c r="CM14" s="18">
        <f>IF($C$9="","",CHOOSE(WEEKDAY($C$9+78,2),"L","M","M","J","V","S","D"))</f>
        <v/>
      </c>
      <c r="CN14" s="18">
        <f>IF($C$9="","",CHOOSE(WEEKDAY($C$9+79,2),"L","M","M","J","V","S","D"))</f>
        <v/>
      </c>
      <c r="CO14" s="18">
        <f>IF($C$9="","",CHOOSE(WEEKDAY($C$9+80,2),"L","M","M","J","V","S","D"))</f>
        <v/>
      </c>
      <c r="CP14" s="18">
        <f>IF($C$9="","",CHOOSE(WEEKDAY($C$9+81,2),"L","M","M","J","V","S","D"))</f>
        <v/>
      </c>
      <c r="CQ14" s="18">
        <f>IF($C$9="","",CHOOSE(WEEKDAY($C$9+82,2),"L","M","M","J","V","S","D"))</f>
        <v/>
      </c>
      <c r="CR14" s="18">
        <f>IF($C$9="","",CHOOSE(WEEKDAY($C$9+83,2),"L","M","M","J","V","S","D"))</f>
        <v/>
      </c>
      <c r="CS14" s="18">
        <f>IF($C$9="","",CHOOSE(WEEKDAY($C$9+84,2),"L","M","M","J","V","S","D"))</f>
        <v/>
      </c>
      <c r="CT14" s="18">
        <f>IF($C$9="","",CHOOSE(WEEKDAY($C$9+85,2),"L","M","M","J","V","S","D"))</f>
        <v/>
      </c>
      <c r="CU14" s="18">
        <f>IF($C$9="","",CHOOSE(WEEKDAY($C$9+86,2),"L","M","M","J","V","S","D"))</f>
        <v/>
      </c>
      <c r="CV14" s="18">
        <f>IF($C$9="","",CHOOSE(WEEKDAY($C$9+87,2),"L","M","M","J","V","S","D"))</f>
        <v/>
      </c>
      <c r="CW14" s="18">
        <f>IF($C$9="","",CHOOSE(WEEKDAY($C$9+88,2),"L","M","M","J","V","S","D"))</f>
        <v/>
      </c>
      <c r="CX14" s="18">
        <f>IF($C$9="","",CHOOSE(WEEKDAY($C$9+89,2),"L","M","M","J","V","S","D"))</f>
        <v/>
      </c>
      <c r="CY14" s="18">
        <f>IF($C$9="","",CHOOSE(WEEKDAY($C$9+90,2),"L","M","M","J","V","S","D"))</f>
        <v/>
      </c>
      <c r="CZ14" s="18">
        <f>IF($C$9="","",CHOOSE(WEEKDAY($C$9+91,2),"L","M","M","J","V","S","D"))</f>
        <v/>
      </c>
      <c r="DA14" s="18">
        <f>IF($C$9="","",CHOOSE(WEEKDAY($C$9+92,2),"L","M","M","J","V","S","D"))</f>
        <v/>
      </c>
      <c r="DC14" t="inlineStr">
        <is>
          <t>loc S+O</t>
        </is>
      </c>
      <c r="DD14" t="inlineStr">
        <is>
          <t>UC+insp</t>
        </is>
      </c>
      <c r="DE14" t="inlineStr">
        <is>
          <t>VR+RC</t>
        </is>
      </c>
      <c r="DF14" t="inlineStr">
        <is>
          <t>FOC</t>
        </is>
      </c>
      <c r="DG14" t="inlineStr">
        <is>
          <t>op jours</t>
        </is>
      </c>
      <c r="DH14" t="inlineStr">
        <is>
          <t>op mob</t>
        </is>
      </c>
    </row>
    <row r="15" ht="20" customHeight="1">
      <c r="A15" s="19" t="inlineStr">
        <is>
          <t>OPÉRATEURS   ·   tarif journalier et mob / demob (codes MOB et DEMOB dans le calendrier)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30" customHeight="1">
      <c r="A16" s="20" t="inlineStr">
        <is>
          <t>#</t>
        </is>
      </c>
      <c r="B16" s="20" t="inlineStr">
        <is>
          <t>Nom / poste</t>
        </is>
      </c>
      <c r="C16" s="21" t="n"/>
      <c r="D16" s="20" t="inlineStr">
        <is>
          <t>Stand-by
€/j</t>
        </is>
      </c>
      <c r="E16" s="20" t="inlineStr">
        <is>
          <t>Tarif jour
€</t>
        </is>
      </c>
      <c r="F16" s="20" t="inlineStr">
        <is>
          <t>Mob-Demob
€</t>
        </is>
      </c>
      <c r="G16" s="21" t="n"/>
      <c r="H16" s="21" t="n"/>
      <c r="I16" s="20" t="inlineStr">
        <is>
          <t>Nb mob
/ demob</t>
        </is>
      </c>
      <c r="J16" s="20" t="inlineStr">
        <is>
          <t>Jours
S</t>
        </is>
      </c>
      <c r="K16" s="20" t="inlineStr">
        <is>
          <t>Jours
O</t>
        </is>
      </c>
      <c r="L16" s="20" t="inlineStr">
        <is>
          <t>Total
€ HT</t>
        </is>
      </c>
    </row>
    <row r="17" ht="18" customHeight="1">
      <c r="A17" s="22" t="n">
        <v>1</v>
      </c>
      <c r="B17" s="23" t="n"/>
      <c r="C17" s="24" t="n"/>
      <c r="D17" s="25" t="n"/>
      <c r="E17" s="25" t="n"/>
      <c r="F17" s="25" t="n"/>
      <c r="G17" s="26" t="n"/>
      <c r="H17" s="26" t="n"/>
      <c r="I17" s="27">
        <f>COUNTIF($M17:$DA17,"MOB")+COUNTIF($M17:$DA17,"DEMOB")</f>
        <v/>
      </c>
      <c r="J17" s="28">
        <f>COUNTIF($M17:$DA17,"S")</f>
        <v/>
      </c>
      <c r="K17" s="28">
        <f>COUNTIF($M17:$DA17,"O")</f>
        <v/>
      </c>
      <c r="L17" s="29">
        <f>IF(B17="","",J17*N(D17)+K17*N(E17)+I17*N(F17))</f>
        <v/>
      </c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C17" t="n">
        <v>0</v>
      </c>
      <c r="DD17" t="n">
        <v>0</v>
      </c>
      <c r="DE17" t="n">
        <v>0</v>
      </c>
      <c r="DF17" t="n">
        <v>0</v>
      </c>
      <c r="DG17">
        <f>IF(B17="",0,J17*N(D17)+K17*N(E17))</f>
        <v/>
      </c>
      <c r="DH17">
        <f>IF(B17="",0,I17*N(F17))</f>
        <v/>
      </c>
    </row>
    <row r="18" ht="18" customHeight="1">
      <c r="A18" s="22" t="n">
        <v>2</v>
      </c>
      <c r="B18" s="23" t="n"/>
      <c r="C18" s="24" t="n"/>
      <c r="D18" s="25" t="n"/>
      <c r="E18" s="25" t="n"/>
      <c r="F18" s="25" t="n"/>
      <c r="G18" s="26" t="n"/>
      <c r="H18" s="26" t="n"/>
      <c r="I18" s="27">
        <f>COUNTIF($M18:$DA18,"MOB")+COUNTIF($M18:$DA18,"DEMOB")</f>
        <v/>
      </c>
      <c r="J18" s="28">
        <f>COUNTIF($M18:$DA18,"S")</f>
        <v/>
      </c>
      <c r="K18" s="28">
        <f>COUNTIF($M18:$DA18,"O")</f>
        <v/>
      </c>
      <c r="L18" s="29">
        <f>IF(B18="","",J18*N(D18)+K18*N(E18)+I18*N(F18))</f>
        <v/>
      </c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C18" t="n">
        <v>0</v>
      </c>
      <c r="DD18" t="n">
        <v>0</v>
      </c>
      <c r="DE18" t="n">
        <v>0</v>
      </c>
      <c r="DF18" t="n">
        <v>0</v>
      </c>
      <c r="DG18">
        <f>IF(B18="",0,J18*N(D18)+K18*N(E18))</f>
        <v/>
      </c>
      <c r="DH18">
        <f>IF(B18="",0,I18*N(F18))</f>
        <v/>
      </c>
    </row>
    <row r="19" ht="18" customHeight="1">
      <c r="A19" s="22" t="n">
        <v>3</v>
      </c>
      <c r="B19" s="23" t="n"/>
      <c r="C19" s="24" t="n"/>
      <c r="D19" s="25" t="n"/>
      <c r="E19" s="25" t="n"/>
      <c r="F19" s="25" t="n"/>
      <c r="G19" s="26" t="n"/>
      <c r="H19" s="26" t="n"/>
      <c r="I19" s="27">
        <f>COUNTIF($M19:$DA19,"MOB")+COUNTIF($M19:$DA19,"DEMOB")</f>
        <v/>
      </c>
      <c r="J19" s="28">
        <f>COUNTIF($M19:$DA19,"S")</f>
        <v/>
      </c>
      <c r="K19" s="28">
        <f>COUNTIF($M19:$DA19,"O")</f>
        <v/>
      </c>
      <c r="L19" s="29">
        <f>IF(B19="","",J19*N(D19)+K19*N(E19)+I19*N(F19))</f>
        <v/>
      </c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C19" t="n">
        <v>0</v>
      </c>
      <c r="DD19" t="n">
        <v>0</v>
      </c>
      <c r="DE19" t="n">
        <v>0</v>
      </c>
      <c r="DF19" t="n">
        <v>0</v>
      </c>
      <c r="DG19">
        <f>IF(B19="",0,J19*N(D19)+K19*N(E19))</f>
        <v/>
      </c>
      <c r="DH19">
        <f>IF(B19="",0,I19*N(F19))</f>
        <v/>
      </c>
    </row>
    <row r="21" ht="20" customHeight="1">
      <c r="A21" s="19" t="inlineStr">
        <is>
          <t>MATÉRIEL LOUÉ   ·   copier les colonnes C à J de l’onglet « 2 Matériel » du devis et les coller en B22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</row>
    <row r="22" ht="18" customHeight="1">
      <c r="A22" s="22">
        <f>IF(AND(B22&lt;&gt;"",N(C22)&gt;0),COUNTIFS(B$22:B22,"&lt;&gt;",C$22:C22,"&gt;0"),"")</f>
        <v/>
      </c>
      <c r="B22" s="23" t="n"/>
      <c r="C22" s="31" t="n"/>
      <c r="D22" s="25" t="n"/>
      <c r="E22" s="25" t="n"/>
      <c r="F22" s="25" t="n"/>
      <c r="G22" s="25" t="n"/>
      <c r="H22" s="25" t="n"/>
      <c r="I22" s="25" t="n"/>
      <c r="J22" s="28">
        <f>IF(B22="","",COUNTIF($M22:$DA22,"S"))</f>
        <v/>
      </c>
      <c r="K22" s="28">
        <f>IF(B22="","",COUNTIF($M22:$DA22,"O"))</f>
        <v/>
      </c>
      <c r="L22" s="29">
        <f>IF(B22="","",SUM(DC22:DE22))</f>
        <v/>
      </c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C22">
        <f>IF(B22="",0,IF(N(C22)&gt;0,C22,1)*(J22*N(D22)+K22*N(E22)))</f>
        <v/>
      </c>
      <c r="DD22">
        <f>IF(OR(B22="",N(K22)=0),0,IF(N(C22)&gt;0,C22,1)*(N(F22)+N(H22)))</f>
        <v/>
      </c>
      <c r="DE22">
        <f>IF(B22="",0,IF(N(C22)&gt;0,C22,1)*(IF(COUNTIF($M22:$DA22,"VR")&gt;0,N(G22),0)+IF(COUNTIF($M22:$DA22,"RC")&gt;0,N(I22),0)))</f>
        <v/>
      </c>
      <c r="DF22">
        <f>IF(B22="",0,IF(N(C22)&gt;0,C22,1)*COUNTIF($M22:$DA22,"FOC")*N(E22))</f>
        <v/>
      </c>
    </row>
    <row r="23" ht="18" customHeight="1">
      <c r="A23" s="22">
        <f>IF(AND(B23&lt;&gt;"",N(C23)&gt;0),COUNTIFS(B$22:B23,"&lt;&gt;",C$22:C23,"&gt;0"),"")</f>
        <v/>
      </c>
      <c r="B23" s="23" t="n"/>
      <c r="C23" s="31" t="n"/>
      <c r="D23" s="25" t="n"/>
      <c r="E23" s="25" t="n"/>
      <c r="F23" s="25" t="n"/>
      <c r="G23" s="25" t="n"/>
      <c r="H23" s="25" t="n"/>
      <c r="I23" s="25" t="n"/>
      <c r="J23" s="28">
        <f>IF(B23="","",COUNTIF($M23:$DA23,"S"))</f>
        <v/>
      </c>
      <c r="K23" s="28">
        <f>IF(B23="","",COUNTIF($M23:$DA23,"O"))</f>
        <v/>
      </c>
      <c r="L23" s="29">
        <f>IF(B23="","",SUM(DC23:DE23))</f>
        <v/>
      </c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C23">
        <f>IF(B23="",0,IF(N(C23)&gt;0,C23,1)*(J23*N(D23)+K23*N(E23)))</f>
        <v/>
      </c>
      <c r="DD23">
        <f>IF(OR(B23="",N(K23)=0),0,IF(N(C23)&gt;0,C23,1)*(N(F23)+N(H23)))</f>
        <v/>
      </c>
      <c r="DE23">
        <f>IF(B23="",0,IF(N(C23)&gt;0,C23,1)*(IF(COUNTIF($M23:$DA23,"VR")&gt;0,N(G23),0)+IF(COUNTIF($M23:$DA23,"RC")&gt;0,N(I23),0)))</f>
        <v/>
      </c>
      <c r="DF23">
        <f>IF(B23="",0,IF(N(C23)&gt;0,C23,1)*COUNTIF($M23:$DA23,"FOC")*N(E23))</f>
        <v/>
      </c>
    </row>
    <row r="24" ht="18" customHeight="1">
      <c r="A24" s="22">
        <f>IF(AND(B24&lt;&gt;"",N(C24)&gt;0),COUNTIFS(B$22:B24,"&lt;&gt;",C$22:C24,"&gt;0"),"")</f>
        <v/>
      </c>
      <c r="B24" s="23" t="n"/>
      <c r="C24" s="31" t="n"/>
      <c r="D24" s="25" t="n"/>
      <c r="E24" s="25" t="n"/>
      <c r="F24" s="25" t="n"/>
      <c r="G24" s="25" t="n"/>
      <c r="H24" s="25" t="n"/>
      <c r="I24" s="25" t="n"/>
      <c r="J24" s="28">
        <f>IF(B24="","",COUNTIF($M24:$DA24,"S"))</f>
        <v/>
      </c>
      <c r="K24" s="28">
        <f>IF(B24="","",COUNTIF($M24:$DA24,"O"))</f>
        <v/>
      </c>
      <c r="L24" s="29">
        <f>IF(B24="","",SUM(DC24:DE24))</f>
        <v/>
      </c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C24">
        <f>IF(B24="",0,IF(N(C24)&gt;0,C24,1)*(J24*N(D24)+K24*N(E24)))</f>
        <v/>
      </c>
      <c r="DD24">
        <f>IF(OR(B24="",N(K24)=0),0,IF(N(C24)&gt;0,C24,1)*(N(F24)+N(H24)))</f>
        <v/>
      </c>
      <c r="DE24">
        <f>IF(B24="",0,IF(N(C24)&gt;0,C24,1)*(IF(COUNTIF($M24:$DA24,"VR")&gt;0,N(G24),0)+IF(COUNTIF($M24:$DA24,"RC")&gt;0,N(I24),0)))</f>
        <v/>
      </c>
      <c r="DF24">
        <f>IF(B24="",0,IF(N(C24)&gt;0,C24,1)*COUNTIF($M24:$DA24,"FOC")*N(E24))</f>
        <v/>
      </c>
    </row>
    <row r="25" ht="18" customHeight="1">
      <c r="A25" s="22">
        <f>IF(AND(B25&lt;&gt;"",N(C25)&gt;0),COUNTIFS(B$22:B25,"&lt;&gt;",C$22:C25,"&gt;0"),"")</f>
        <v/>
      </c>
      <c r="B25" s="23" t="n"/>
      <c r="C25" s="31" t="n"/>
      <c r="D25" s="25" t="n"/>
      <c r="E25" s="25" t="n"/>
      <c r="F25" s="25" t="n"/>
      <c r="G25" s="25" t="n"/>
      <c r="H25" s="25" t="n"/>
      <c r="I25" s="25" t="n"/>
      <c r="J25" s="28">
        <f>IF(B25="","",COUNTIF($M25:$DA25,"S"))</f>
        <v/>
      </c>
      <c r="K25" s="28">
        <f>IF(B25="","",COUNTIF($M25:$DA25,"O"))</f>
        <v/>
      </c>
      <c r="L25" s="29">
        <f>IF(B25="","",SUM(DC25:DE25))</f>
        <v/>
      </c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C25">
        <f>IF(B25="",0,IF(N(C25)&gt;0,C25,1)*(J25*N(D25)+K25*N(E25)))</f>
        <v/>
      </c>
      <c r="DD25">
        <f>IF(OR(B25="",N(K25)=0),0,IF(N(C25)&gt;0,C25,1)*(N(F25)+N(H25)))</f>
        <v/>
      </c>
      <c r="DE25">
        <f>IF(B25="",0,IF(N(C25)&gt;0,C25,1)*(IF(COUNTIF($M25:$DA25,"VR")&gt;0,N(G25),0)+IF(COUNTIF($M25:$DA25,"RC")&gt;0,N(I25),0)))</f>
        <v/>
      </c>
      <c r="DF25">
        <f>IF(B25="",0,IF(N(C25)&gt;0,C25,1)*COUNTIF($M25:$DA25,"FOC")*N(E25))</f>
        <v/>
      </c>
    </row>
    <row r="26" ht="18" customHeight="1">
      <c r="A26" s="22">
        <f>IF(AND(B26&lt;&gt;"",N(C26)&gt;0),COUNTIFS(B$22:B26,"&lt;&gt;",C$22:C26,"&gt;0"),"")</f>
        <v/>
      </c>
      <c r="B26" s="23" t="n"/>
      <c r="C26" s="31" t="n"/>
      <c r="D26" s="25" t="n"/>
      <c r="E26" s="25" t="n"/>
      <c r="F26" s="25" t="n"/>
      <c r="G26" s="25" t="n"/>
      <c r="H26" s="25" t="n"/>
      <c r="I26" s="25" t="n"/>
      <c r="J26" s="28">
        <f>IF(B26="","",COUNTIF($M26:$DA26,"S"))</f>
        <v/>
      </c>
      <c r="K26" s="28">
        <f>IF(B26="","",COUNTIF($M26:$DA26,"O"))</f>
        <v/>
      </c>
      <c r="L26" s="29">
        <f>IF(B26="","",SUM(DC26:DE26))</f>
        <v/>
      </c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C26">
        <f>IF(B26="",0,IF(N(C26)&gt;0,C26,1)*(J26*N(D26)+K26*N(E26)))</f>
        <v/>
      </c>
      <c r="DD26">
        <f>IF(OR(B26="",N(K26)=0),0,IF(N(C26)&gt;0,C26,1)*(N(F26)+N(H26)))</f>
        <v/>
      </c>
      <c r="DE26">
        <f>IF(B26="",0,IF(N(C26)&gt;0,C26,1)*(IF(COUNTIF($M26:$DA26,"VR")&gt;0,N(G26),0)+IF(COUNTIF($M26:$DA26,"RC")&gt;0,N(I26),0)))</f>
        <v/>
      </c>
      <c r="DF26">
        <f>IF(B26="",0,IF(N(C26)&gt;0,C26,1)*COUNTIF($M26:$DA26,"FOC")*N(E26))</f>
        <v/>
      </c>
    </row>
    <row r="27" ht="18" customHeight="1">
      <c r="A27" s="22">
        <f>IF(AND(B27&lt;&gt;"",N(C27)&gt;0),COUNTIFS(B$22:B27,"&lt;&gt;",C$22:C27,"&gt;0"),"")</f>
        <v/>
      </c>
      <c r="B27" s="23" t="n"/>
      <c r="C27" s="31" t="n"/>
      <c r="D27" s="25" t="n"/>
      <c r="E27" s="25" t="n"/>
      <c r="F27" s="25" t="n"/>
      <c r="G27" s="25" t="n"/>
      <c r="H27" s="25" t="n"/>
      <c r="I27" s="25" t="n"/>
      <c r="J27" s="28">
        <f>IF(B27="","",COUNTIF($M27:$DA27,"S"))</f>
        <v/>
      </c>
      <c r="K27" s="28">
        <f>IF(B27="","",COUNTIF($M27:$DA27,"O"))</f>
        <v/>
      </c>
      <c r="L27" s="29">
        <f>IF(B27="","",SUM(DC27:DE27))</f>
        <v/>
      </c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C27">
        <f>IF(B27="",0,IF(N(C27)&gt;0,C27,1)*(J27*N(D27)+K27*N(E27)))</f>
        <v/>
      </c>
      <c r="DD27">
        <f>IF(OR(B27="",N(K27)=0),0,IF(N(C27)&gt;0,C27,1)*(N(F27)+N(H27)))</f>
        <v/>
      </c>
      <c r="DE27">
        <f>IF(B27="",0,IF(N(C27)&gt;0,C27,1)*(IF(COUNTIF($M27:$DA27,"VR")&gt;0,N(G27),0)+IF(COUNTIF($M27:$DA27,"RC")&gt;0,N(I27),0)))</f>
        <v/>
      </c>
      <c r="DF27">
        <f>IF(B27="",0,IF(N(C27)&gt;0,C27,1)*COUNTIF($M27:$DA27,"FOC")*N(E27))</f>
        <v/>
      </c>
    </row>
    <row r="28" ht="18" customHeight="1">
      <c r="A28" s="22">
        <f>IF(AND(B28&lt;&gt;"",N(C28)&gt;0),COUNTIFS(B$22:B28,"&lt;&gt;",C$22:C28,"&gt;0"),"")</f>
        <v/>
      </c>
      <c r="B28" s="23" t="n"/>
      <c r="C28" s="31" t="n"/>
      <c r="D28" s="25" t="n"/>
      <c r="E28" s="25" t="n"/>
      <c r="F28" s="25" t="n"/>
      <c r="G28" s="25" t="n"/>
      <c r="H28" s="25" t="n"/>
      <c r="I28" s="25" t="n"/>
      <c r="J28" s="28">
        <f>IF(B28="","",COUNTIF($M28:$DA28,"S"))</f>
        <v/>
      </c>
      <c r="K28" s="28">
        <f>IF(B28="","",COUNTIF($M28:$DA28,"O"))</f>
        <v/>
      </c>
      <c r="L28" s="29">
        <f>IF(B28="","",SUM(DC28:DE28))</f>
        <v/>
      </c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C28">
        <f>IF(B28="",0,IF(N(C28)&gt;0,C28,1)*(J28*N(D28)+K28*N(E28)))</f>
        <v/>
      </c>
      <c r="DD28">
        <f>IF(OR(B28="",N(K28)=0),0,IF(N(C28)&gt;0,C28,1)*(N(F28)+N(H28)))</f>
        <v/>
      </c>
      <c r="DE28">
        <f>IF(B28="",0,IF(N(C28)&gt;0,C28,1)*(IF(COUNTIF($M28:$DA28,"VR")&gt;0,N(G28),0)+IF(COUNTIF($M28:$DA28,"RC")&gt;0,N(I28),0)))</f>
        <v/>
      </c>
      <c r="DF28">
        <f>IF(B28="",0,IF(N(C28)&gt;0,C28,1)*COUNTIF($M28:$DA28,"FOC")*N(E28))</f>
        <v/>
      </c>
    </row>
    <row r="29" ht="18" customHeight="1">
      <c r="A29" s="22">
        <f>IF(AND(B29&lt;&gt;"",N(C29)&gt;0),COUNTIFS(B$22:B29,"&lt;&gt;",C$22:C29,"&gt;0"),"")</f>
        <v/>
      </c>
      <c r="B29" s="23" t="n"/>
      <c r="C29" s="31" t="n"/>
      <c r="D29" s="25" t="n"/>
      <c r="E29" s="25" t="n"/>
      <c r="F29" s="25" t="n"/>
      <c r="G29" s="25" t="n"/>
      <c r="H29" s="25" t="n"/>
      <c r="I29" s="25" t="n"/>
      <c r="J29" s="28">
        <f>IF(B29="","",COUNTIF($M29:$DA29,"S"))</f>
        <v/>
      </c>
      <c r="K29" s="28">
        <f>IF(B29="","",COUNTIF($M29:$DA29,"O"))</f>
        <v/>
      </c>
      <c r="L29" s="29">
        <f>IF(B29="","",SUM(DC29:DE29))</f>
        <v/>
      </c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C29">
        <f>IF(B29="",0,IF(N(C29)&gt;0,C29,1)*(J29*N(D29)+K29*N(E29)))</f>
        <v/>
      </c>
      <c r="DD29">
        <f>IF(OR(B29="",N(K29)=0),0,IF(N(C29)&gt;0,C29,1)*(N(F29)+N(H29)))</f>
        <v/>
      </c>
      <c r="DE29">
        <f>IF(B29="",0,IF(N(C29)&gt;0,C29,1)*(IF(COUNTIF($M29:$DA29,"VR")&gt;0,N(G29),0)+IF(COUNTIF($M29:$DA29,"RC")&gt;0,N(I29),0)))</f>
        <v/>
      </c>
      <c r="DF29">
        <f>IF(B29="",0,IF(N(C29)&gt;0,C29,1)*COUNTIF($M29:$DA29,"FOC")*N(E29))</f>
        <v/>
      </c>
    </row>
    <row r="30" ht="18" customHeight="1">
      <c r="A30" s="22">
        <f>IF(AND(B30&lt;&gt;"",N(C30)&gt;0),COUNTIFS(B$22:B30,"&lt;&gt;",C$22:C30,"&gt;0"),"")</f>
        <v/>
      </c>
      <c r="B30" s="23" t="n"/>
      <c r="C30" s="31" t="n"/>
      <c r="D30" s="25" t="n"/>
      <c r="E30" s="25" t="n"/>
      <c r="F30" s="25" t="n"/>
      <c r="G30" s="25" t="n"/>
      <c r="H30" s="25" t="n"/>
      <c r="I30" s="25" t="n"/>
      <c r="J30" s="28">
        <f>IF(B30="","",COUNTIF($M30:$DA30,"S"))</f>
        <v/>
      </c>
      <c r="K30" s="28">
        <f>IF(B30="","",COUNTIF($M30:$DA30,"O"))</f>
        <v/>
      </c>
      <c r="L30" s="29">
        <f>IF(B30="","",SUM(DC30:DE30))</f>
        <v/>
      </c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C30">
        <f>IF(B30="",0,IF(N(C30)&gt;0,C30,1)*(J30*N(D30)+K30*N(E30)))</f>
        <v/>
      </c>
      <c r="DD30">
        <f>IF(OR(B30="",N(K30)=0),0,IF(N(C30)&gt;0,C30,1)*(N(F30)+N(H30)))</f>
        <v/>
      </c>
      <c r="DE30">
        <f>IF(B30="",0,IF(N(C30)&gt;0,C30,1)*(IF(COUNTIF($M30:$DA30,"VR")&gt;0,N(G30),0)+IF(COUNTIF($M30:$DA30,"RC")&gt;0,N(I30),0)))</f>
        <v/>
      </c>
      <c r="DF30">
        <f>IF(B30="",0,IF(N(C30)&gt;0,C30,1)*COUNTIF($M30:$DA30,"FOC")*N(E30))</f>
        <v/>
      </c>
    </row>
    <row r="31" ht="18" customHeight="1">
      <c r="A31" s="22">
        <f>IF(AND(B31&lt;&gt;"",N(C31)&gt;0),COUNTIFS(B$22:B31,"&lt;&gt;",C$22:C31,"&gt;0"),"")</f>
        <v/>
      </c>
      <c r="B31" s="23" t="n"/>
      <c r="C31" s="31" t="n"/>
      <c r="D31" s="25" t="n"/>
      <c r="E31" s="25" t="n"/>
      <c r="F31" s="25" t="n"/>
      <c r="G31" s="25" t="n"/>
      <c r="H31" s="25" t="n"/>
      <c r="I31" s="25" t="n"/>
      <c r="J31" s="28">
        <f>IF(B31="","",COUNTIF($M31:$DA31,"S"))</f>
        <v/>
      </c>
      <c r="K31" s="28">
        <f>IF(B31="","",COUNTIF($M31:$DA31,"O"))</f>
        <v/>
      </c>
      <c r="L31" s="29">
        <f>IF(B31="","",SUM(DC31:DE31))</f>
        <v/>
      </c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C31">
        <f>IF(B31="",0,IF(N(C31)&gt;0,C31,1)*(J31*N(D31)+K31*N(E31)))</f>
        <v/>
      </c>
      <c r="DD31">
        <f>IF(OR(B31="",N(K31)=0),0,IF(N(C31)&gt;0,C31,1)*(N(F31)+N(H31)))</f>
        <v/>
      </c>
      <c r="DE31">
        <f>IF(B31="",0,IF(N(C31)&gt;0,C31,1)*(IF(COUNTIF($M31:$DA31,"VR")&gt;0,N(G31),0)+IF(COUNTIF($M31:$DA31,"RC")&gt;0,N(I31),0)))</f>
        <v/>
      </c>
      <c r="DF31">
        <f>IF(B31="",0,IF(N(C31)&gt;0,C31,1)*COUNTIF($M31:$DA31,"FOC")*N(E31))</f>
        <v/>
      </c>
    </row>
    <row r="32" ht="18" customHeight="1">
      <c r="A32" s="22">
        <f>IF(AND(B32&lt;&gt;"",N(C32)&gt;0),COUNTIFS(B$22:B32,"&lt;&gt;",C$22:C32,"&gt;0"),"")</f>
        <v/>
      </c>
      <c r="B32" s="23" t="n"/>
      <c r="C32" s="31" t="n"/>
      <c r="D32" s="25" t="n"/>
      <c r="E32" s="25" t="n"/>
      <c r="F32" s="25" t="n"/>
      <c r="G32" s="25" t="n"/>
      <c r="H32" s="25" t="n"/>
      <c r="I32" s="25" t="n"/>
      <c r="J32" s="28">
        <f>IF(B32="","",COUNTIF($M32:$DA32,"S"))</f>
        <v/>
      </c>
      <c r="K32" s="28">
        <f>IF(B32="","",COUNTIF($M32:$DA32,"O"))</f>
        <v/>
      </c>
      <c r="L32" s="29">
        <f>IF(B32="","",SUM(DC32:DE32))</f>
        <v/>
      </c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C32">
        <f>IF(B32="",0,IF(N(C32)&gt;0,C32,1)*(J32*N(D32)+K32*N(E32)))</f>
        <v/>
      </c>
      <c r="DD32">
        <f>IF(OR(B32="",N(K32)=0),0,IF(N(C32)&gt;0,C32,1)*(N(F32)+N(H32)))</f>
        <v/>
      </c>
      <c r="DE32">
        <f>IF(B32="",0,IF(N(C32)&gt;0,C32,1)*(IF(COUNTIF($M32:$DA32,"VR")&gt;0,N(G32),0)+IF(COUNTIF($M32:$DA32,"RC")&gt;0,N(I32),0)))</f>
        <v/>
      </c>
      <c r="DF32">
        <f>IF(B32="",0,IF(N(C32)&gt;0,C32,1)*COUNTIF($M32:$DA32,"FOC")*N(E32))</f>
        <v/>
      </c>
    </row>
    <row r="33" ht="18" customHeight="1">
      <c r="A33" s="22">
        <f>IF(AND(B33&lt;&gt;"",N(C33)&gt;0),COUNTIFS(B$22:B33,"&lt;&gt;",C$22:C33,"&gt;0"),"")</f>
        <v/>
      </c>
      <c r="B33" s="23" t="n"/>
      <c r="C33" s="31" t="n"/>
      <c r="D33" s="25" t="n"/>
      <c r="E33" s="25" t="n"/>
      <c r="F33" s="25" t="n"/>
      <c r="G33" s="25" t="n"/>
      <c r="H33" s="25" t="n"/>
      <c r="I33" s="25" t="n"/>
      <c r="J33" s="28">
        <f>IF(B33="","",COUNTIF($M33:$DA33,"S"))</f>
        <v/>
      </c>
      <c r="K33" s="28">
        <f>IF(B33="","",COUNTIF($M33:$DA33,"O"))</f>
        <v/>
      </c>
      <c r="L33" s="29">
        <f>IF(B33="","",SUM(DC33:DE33))</f>
        <v/>
      </c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C33">
        <f>IF(B33="",0,IF(N(C33)&gt;0,C33,1)*(J33*N(D33)+K33*N(E33)))</f>
        <v/>
      </c>
      <c r="DD33">
        <f>IF(OR(B33="",N(K33)=0),0,IF(N(C33)&gt;0,C33,1)*(N(F33)+N(H33)))</f>
        <v/>
      </c>
      <c r="DE33">
        <f>IF(B33="",0,IF(N(C33)&gt;0,C33,1)*(IF(COUNTIF($M33:$DA33,"VR")&gt;0,N(G33),0)+IF(COUNTIF($M33:$DA33,"RC")&gt;0,N(I33),0)))</f>
        <v/>
      </c>
      <c r="DF33">
        <f>IF(B33="",0,IF(N(C33)&gt;0,C33,1)*COUNTIF($M33:$DA33,"FOC")*N(E33))</f>
        <v/>
      </c>
    </row>
    <row r="35" ht="20" customHeight="1">
      <c r="A35" s="19" t="inlineStr">
        <is>
          <t>TRANSPORT ET AUTRES FRAIS   ·   quantité × prix unitaire (colonne « Opér. € »)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</row>
    <row r="36" ht="18" customHeight="1">
      <c r="A36" s="22" t="n">
        <v>1</v>
      </c>
      <c r="B36" s="23" t="n"/>
      <c r="C36" s="31" t="n"/>
      <c r="D36" s="26" t="n"/>
      <c r="E36" s="25" t="n"/>
      <c r="F36" s="26" t="n"/>
      <c r="G36" s="26" t="n"/>
      <c r="H36" s="26" t="n"/>
      <c r="I36" s="26" t="n"/>
      <c r="J36" s="28" t="n"/>
      <c r="K36" s="28" t="n"/>
      <c r="L36" s="29">
        <f>IF(B36="","",N(C36)*N(E36))</f>
        <v/>
      </c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W36" s="32" t="n"/>
      <c r="X36" s="32" t="n"/>
      <c r="Y36" s="32" t="n"/>
      <c r="Z36" s="32" t="n"/>
      <c r="AA36" s="32" t="n"/>
      <c r="AB36" s="32" t="n"/>
      <c r="AC36" s="32" t="n"/>
      <c r="AD36" s="32" t="n"/>
      <c r="AE36" s="32" t="n"/>
      <c r="AF36" s="32" t="n"/>
      <c r="AG36" s="32" t="n"/>
      <c r="AH36" s="32" t="n"/>
      <c r="AI36" s="32" t="n"/>
      <c r="AJ36" s="32" t="n"/>
      <c r="AK36" s="32" t="n"/>
      <c r="AL36" s="32" t="n"/>
      <c r="AM36" s="32" t="n"/>
      <c r="AN36" s="32" t="n"/>
      <c r="AO36" s="32" t="n"/>
      <c r="AP36" s="32" t="n"/>
      <c r="AQ36" s="32" t="n"/>
      <c r="AR36" s="32" t="n"/>
      <c r="AS36" s="32" t="n"/>
      <c r="AT36" s="32" t="n"/>
      <c r="AU36" s="32" t="n"/>
      <c r="AV36" s="32" t="n"/>
      <c r="AW36" s="32" t="n"/>
      <c r="AX36" s="32" t="n"/>
      <c r="AY36" s="32" t="n"/>
      <c r="AZ36" s="32" t="n"/>
      <c r="BA36" s="32" t="n"/>
      <c r="BB36" s="32" t="n"/>
      <c r="BC36" s="32" t="n"/>
      <c r="BD36" s="32" t="n"/>
      <c r="BE36" s="32" t="n"/>
      <c r="BF36" s="32" t="n"/>
      <c r="BG36" s="32" t="n"/>
      <c r="BH36" s="32" t="n"/>
      <c r="BI36" s="32" t="n"/>
      <c r="BJ36" s="32" t="n"/>
      <c r="BK36" s="32" t="n"/>
      <c r="BL36" s="32" t="n"/>
      <c r="BM36" s="32" t="n"/>
      <c r="BN36" s="32" t="n"/>
      <c r="BO36" s="32" t="n"/>
      <c r="BP36" s="32" t="n"/>
      <c r="BQ36" s="32" t="n"/>
      <c r="BR36" s="32" t="n"/>
      <c r="BS36" s="32" t="n"/>
      <c r="BT36" s="32" t="n"/>
      <c r="BU36" s="32" t="n"/>
      <c r="BV36" s="32" t="n"/>
      <c r="BW36" s="32" t="n"/>
      <c r="BX36" s="32" t="n"/>
      <c r="BY36" s="32" t="n"/>
      <c r="BZ36" s="32" t="n"/>
      <c r="CA36" s="32" t="n"/>
      <c r="CB36" s="32" t="n"/>
      <c r="CC36" s="32" t="n"/>
      <c r="CD36" s="32" t="n"/>
      <c r="CE36" s="32" t="n"/>
      <c r="CF36" s="32" t="n"/>
      <c r="CG36" s="32" t="n"/>
      <c r="CH36" s="32" t="n"/>
      <c r="CI36" s="32" t="n"/>
      <c r="CJ36" s="32" t="n"/>
      <c r="CK36" s="32" t="n"/>
      <c r="CL36" s="32" t="n"/>
      <c r="CM36" s="32" t="n"/>
      <c r="CN36" s="32" t="n"/>
      <c r="CO36" s="32" t="n"/>
      <c r="CP36" s="32" t="n"/>
      <c r="CQ36" s="32" t="n"/>
      <c r="CR36" s="32" t="n"/>
      <c r="CS36" s="32" t="n"/>
      <c r="CT36" s="32" t="n"/>
      <c r="CU36" s="32" t="n"/>
      <c r="CV36" s="32" t="n"/>
      <c r="CW36" s="32" t="n"/>
      <c r="CX36" s="32" t="n"/>
      <c r="CY36" s="32" t="n"/>
      <c r="CZ36" s="32" t="n"/>
      <c r="DA36" s="32" t="n"/>
      <c r="DC36" t="n">
        <v>0</v>
      </c>
      <c r="DD36" t="n">
        <v>0</v>
      </c>
      <c r="DE36" t="n">
        <v>0</v>
      </c>
      <c r="DF36" t="n">
        <v>0</v>
      </c>
    </row>
    <row r="37" ht="18" customHeight="1">
      <c r="A37" s="22" t="n">
        <v>2</v>
      </c>
      <c r="B37" s="23" t="n"/>
      <c r="C37" s="31" t="n"/>
      <c r="D37" s="26" t="n"/>
      <c r="E37" s="25" t="n"/>
      <c r="F37" s="26" t="n"/>
      <c r="G37" s="26" t="n"/>
      <c r="H37" s="26" t="n"/>
      <c r="I37" s="26" t="n"/>
      <c r="J37" s="28" t="n"/>
      <c r="K37" s="28" t="n"/>
      <c r="L37" s="29">
        <f>IF(B37="","",N(C37)*N(E37))</f>
        <v/>
      </c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2" t="n"/>
      <c r="BE37" s="32" t="n"/>
      <c r="BF37" s="32" t="n"/>
      <c r="BG37" s="32" t="n"/>
      <c r="BH37" s="32" t="n"/>
      <c r="BI37" s="32" t="n"/>
      <c r="BJ37" s="32" t="n"/>
      <c r="BK37" s="32" t="n"/>
      <c r="BL37" s="32" t="n"/>
      <c r="BM37" s="32" t="n"/>
      <c r="BN37" s="32" t="n"/>
      <c r="BO37" s="32" t="n"/>
      <c r="BP37" s="32" t="n"/>
      <c r="BQ37" s="32" t="n"/>
      <c r="BR37" s="32" t="n"/>
      <c r="BS37" s="32" t="n"/>
      <c r="BT37" s="32" t="n"/>
      <c r="BU37" s="32" t="n"/>
      <c r="BV37" s="32" t="n"/>
      <c r="BW37" s="32" t="n"/>
      <c r="BX37" s="32" t="n"/>
      <c r="BY37" s="32" t="n"/>
      <c r="BZ37" s="32" t="n"/>
      <c r="CA37" s="32" t="n"/>
      <c r="CB37" s="32" t="n"/>
      <c r="CC37" s="32" t="n"/>
      <c r="CD37" s="32" t="n"/>
      <c r="CE37" s="32" t="n"/>
      <c r="CF37" s="32" t="n"/>
      <c r="CG37" s="32" t="n"/>
      <c r="CH37" s="32" t="n"/>
      <c r="CI37" s="32" t="n"/>
      <c r="CJ37" s="32" t="n"/>
      <c r="CK37" s="32" t="n"/>
      <c r="CL37" s="32" t="n"/>
      <c r="CM37" s="32" t="n"/>
      <c r="CN37" s="32" t="n"/>
      <c r="CO37" s="32" t="n"/>
      <c r="CP37" s="32" t="n"/>
      <c r="CQ37" s="32" t="n"/>
      <c r="CR37" s="32" t="n"/>
      <c r="CS37" s="32" t="n"/>
      <c r="CT37" s="32" t="n"/>
      <c r="CU37" s="32" t="n"/>
      <c r="CV37" s="32" t="n"/>
      <c r="CW37" s="32" t="n"/>
      <c r="CX37" s="32" t="n"/>
      <c r="CY37" s="32" t="n"/>
      <c r="CZ37" s="32" t="n"/>
      <c r="DA37" s="32" t="n"/>
      <c r="DC37" t="n">
        <v>0</v>
      </c>
      <c r="DD37" t="n">
        <v>0</v>
      </c>
      <c r="DE37" t="n">
        <v>0</v>
      </c>
      <c r="DF37" t="n">
        <v>0</v>
      </c>
    </row>
    <row r="38" ht="18" customHeight="1">
      <c r="A38" s="22" t="n">
        <v>3</v>
      </c>
      <c r="B38" s="23" t="n"/>
      <c r="C38" s="31" t="n"/>
      <c r="D38" s="26" t="n"/>
      <c r="E38" s="25" t="n"/>
      <c r="F38" s="26" t="n"/>
      <c r="G38" s="26" t="n"/>
      <c r="H38" s="26" t="n"/>
      <c r="I38" s="26" t="n"/>
      <c r="J38" s="28" t="n"/>
      <c r="K38" s="28" t="n"/>
      <c r="L38" s="29">
        <f>IF(B38="","",N(C38)*N(E38))</f>
        <v/>
      </c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32" t="n"/>
      <c r="AG38" s="32" t="n"/>
      <c r="AH38" s="32" t="n"/>
      <c r="AI38" s="32" t="n"/>
      <c r="AJ38" s="32" t="n"/>
      <c r="AK38" s="32" t="n"/>
      <c r="AL38" s="32" t="n"/>
      <c r="AM38" s="32" t="n"/>
      <c r="AN38" s="32" t="n"/>
      <c r="AO38" s="32" t="n"/>
      <c r="AP38" s="32" t="n"/>
      <c r="AQ38" s="32" t="n"/>
      <c r="AR38" s="32" t="n"/>
      <c r="AS38" s="32" t="n"/>
      <c r="AT38" s="32" t="n"/>
      <c r="AU38" s="32" t="n"/>
      <c r="AV38" s="32" t="n"/>
      <c r="AW38" s="32" t="n"/>
      <c r="AX38" s="32" t="n"/>
      <c r="AY38" s="32" t="n"/>
      <c r="AZ38" s="32" t="n"/>
      <c r="BA38" s="32" t="n"/>
      <c r="BB38" s="32" t="n"/>
      <c r="BC38" s="32" t="n"/>
      <c r="BD38" s="32" t="n"/>
      <c r="BE38" s="32" t="n"/>
      <c r="BF38" s="32" t="n"/>
      <c r="BG38" s="32" t="n"/>
      <c r="BH38" s="32" t="n"/>
      <c r="BI38" s="32" t="n"/>
      <c r="BJ38" s="32" t="n"/>
      <c r="BK38" s="32" t="n"/>
      <c r="BL38" s="32" t="n"/>
      <c r="BM38" s="32" t="n"/>
      <c r="BN38" s="32" t="n"/>
      <c r="BO38" s="32" t="n"/>
      <c r="BP38" s="32" t="n"/>
      <c r="BQ38" s="32" t="n"/>
      <c r="BR38" s="32" t="n"/>
      <c r="BS38" s="32" t="n"/>
      <c r="BT38" s="32" t="n"/>
      <c r="BU38" s="32" t="n"/>
      <c r="BV38" s="32" t="n"/>
      <c r="BW38" s="32" t="n"/>
      <c r="BX38" s="32" t="n"/>
      <c r="BY38" s="32" t="n"/>
      <c r="BZ38" s="32" t="n"/>
      <c r="CA38" s="32" t="n"/>
      <c r="CB38" s="32" t="n"/>
      <c r="CC38" s="32" t="n"/>
      <c r="CD38" s="32" t="n"/>
      <c r="CE38" s="32" t="n"/>
      <c r="CF38" s="32" t="n"/>
      <c r="CG38" s="32" t="n"/>
      <c r="CH38" s="32" t="n"/>
      <c r="CI38" s="32" t="n"/>
      <c r="CJ38" s="32" t="n"/>
      <c r="CK38" s="32" t="n"/>
      <c r="CL38" s="32" t="n"/>
      <c r="CM38" s="32" t="n"/>
      <c r="CN38" s="32" t="n"/>
      <c r="CO38" s="32" t="n"/>
      <c r="CP38" s="32" t="n"/>
      <c r="CQ38" s="32" t="n"/>
      <c r="CR38" s="32" t="n"/>
      <c r="CS38" s="32" t="n"/>
      <c r="CT38" s="32" t="n"/>
      <c r="CU38" s="32" t="n"/>
      <c r="CV38" s="32" t="n"/>
      <c r="CW38" s="32" t="n"/>
      <c r="CX38" s="32" t="n"/>
      <c r="CY38" s="32" t="n"/>
      <c r="CZ38" s="32" t="n"/>
      <c r="DA38" s="32" t="n"/>
      <c r="DC38" t="n">
        <v>0</v>
      </c>
      <c r="DD38" t="n">
        <v>0</v>
      </c>
      <c r="DE38" t="n">
        <v>0</v>
      </c>
      <c r="DF38" t="n">
        <v>0</v>
      </c>
    </row>
    <row r="41" ht="20" customHeight="1">
      <c r="A41" s="19" t="inlineStr">
        <is>
          <t>RÉCAPITULATIF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 ht="20" customHeight="1">
      <c r="A42" s="33">
        <f>"Opérateurs · tarif journalier ("&amp;SUM(K17:K19)&amp;" j opérations, "&amp;SUM(J17:J19)&amp;" j stand-by)"</f>
        <v/>
      </c>
      <c r="B42" s="24" t="n"/>
      <c r="C42" s="24" t="n"/>
      <c r="D42" s="24" t="n"/>
      <c r="E42" s="24" t="n"/>
      <c r="F42" s="24" t="n"/>
      <c r="G42" s="34" t="inlineStr">
        <is>
          <t>910XFISHINGOP</t>
        </is>
      </c>
      <c r="H42" s="24" t="n"/>
      <c r="I42" s="24" t="n"/>
      <c r="J42" s="24" t="n"/>
      <c r="K42" s="24" t="n"/>
      <c r="L42" s="35">
        <f>SUM(DG17:DG19)</f>
        <v/>
      </c>
    </row>
    <row r="43" ht="20" customHeight="1">
      <c r="A43" s="33">
        <f>"Opérateurs · mob / demob ("&amp;SUM(I17:I19)&amp;")"</f>
        <v/>
      </c>
      <c r="B43" s="24" t="n"/>
      <c r="C43" s="24" t="n"/>
      <c r="D43" s="24" t="n"/>
      <c r="E43" s="24" t="n"/>
      <c r="F43" s="24" t="n"/>
      <c r="G43" s="34" t="inlineStr">
        <is>
          <t>900XMOBDEMOB</t>
        </is>
      </c>
      <c r="H43" s="24" t="n"/>
      <c r="I43" s="24" t="n"/>
      <c r="J43" s="24" t="n"/>
      <c r="K43" s="24" t="n"/>
      <c r="L43" s="35">
        <f>SUM(DH17:DH19)</f>
        <v/>
      </c>
    </row>
    <row r="44" ht="20" customHeight="1">
      <c r="A44" s="33" t="inlineStr">
        <is>
          <t>Location du matériel (stand-by + opérations)</t>
        </is>
      </c>
      <c r="B44" s="24" t="n"/>
      <c r="C44" s="24" t="n"/>
      <c r="D44" s="24" t="n"/>
      <c r="E44" s="24" t="n"/>
      <c r="F44" s="24" t="n"/>
      <c r="G44" s="34" t="inlineStr">
        <is>
          <t>904XRENTALEQUIPMT</t>
        </is>
      </c>
      <c r="H44" s="24" t="n"/>
      <c r="I44" s="24" t="n"/>
      <c r="J44" s="24" t="n"/>
      <c r="K44" s="24" t="n"/>
      <c r="L44" s="35">
        <f>SUM(DC22:DC33)</f>
        <v/>
      </c>
    </row>
    <row r="45" ht="20" customHeight="1">
      <c r="A45" s="33" t="inlineStr">
        <is>
          <t>Utilisation charge et inspection (UC)</t>
        </is>
      </c>
      <c r="B45" s="24" t="n"/>
      <c r="C45" s="24" t="n"/>
      <c r="D45" s="24" t="n"/>
      <c r="E45" s="24" t="n"/>
      <c r="F45" s="24" t="n"/>
      <c r="G45" s="34" t="inlineStr">
        <is>
          <t>905XUC</t>
        </is>
      </c>
      <c r="H45" s="24" t="n"/>
      <c r="I45" s="24" t="n"/>
      <c r="J45" s="24" t="n"/>
      <c r="K45" s="24" t="n"/>
      <c r="L45" s="35">
        <f>SUM(DD22:DD33)</f>
        <v/>
      </c>
    </row>
    <row r="46" ht="20" customHeight="1">
      <c r="A46" s="33" t="inlineStr">
        <is>
          <t>Valeur de remplacement et restocking</t>
        </is>
      </c>
      <c r="B46" s="24" t="n"/>
      <c r="C46" s="24" t="n"/>
      <c r="D46" s="24" t="n"/>
      <c r="E46" s="24" t="n"/>
      <c r="F46" s="24" t="n"/>
      <c r="G46" s="34" t="inlineStr"/>
      <c r="H46" s="24" t="n"/>
      <c r="I46" s="24" t="n"/>
      <c r="J46" s="24" t="n"/>
      <c r="K46" s="24" t="n"/>
      <c r="L46" s="35">
        <f>SUM(DE22:DE33)</f>
        <v/>
      </c>
    </row>
    <row r="47" ht="20" customHeight="1">
      <c r="A47" s="33" t="inlineStr">
        <is>
          <t>Transport et autres frais</t>
        </is>
      </c>
      <c r="B47" s="24" t="n"/>
      <c r="C47" s="24" t="n"/>
      <c r="D47" s="24" t="n"/>
      <c r="E47" s="24" t="n"/>
      <c r="F47" s="24" t="n"/>
      <c r="G47" s="34" t="inlineStr">
        <is>
          <t>900XMOBDEMOB</t>
        </is>
      </c>
      <c r="H47" s="24" t="n"/>
      <c r="I47" s="24" t="n"/>
      <c r="J47" s="24" t="n"/>
      <c r="K47" s="24" t="n"/>
      <c r="L47" s="35">
        <f>SUM(L36:L38)</f>
        <v/>
      </c>
    </row>
    <row r="48" ht="26" customHeight="1">
      <c r="A48" s="36" t="inlineStr">
        <is>
          <t>TOTAL HT À FACTURER</t>
        </is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8">
        <f>SUM(L42:L47)</f>
        <v/>
      </c>
    </row>
    <row r="49" ht="16" customHeight="1">
      <c r="A49" s="39" t="inlineStr">
        <is>
          <t>Gratuit (FOC), pour information</t>
        </is>
      </c>
      <c r="L49" s="40">
        <f>SUM(DF22:DF33)</f>
        <v/>
      </c>
    </row>
    <row r="51" ht="17" customHeight="1">
      <c r="A51" s="41" t="inlineStr">
        <is>
          <t>POUR ENEDRIL · Nom, date, signature</t>
        </is>
      </c>
      <c r="B51" s="42" t="n"/>
      <c r="C51" s="42" t="n"/>
      <c r="D51" s="42" t="n"/>
      <c r="E51" s="43" t="n"/>
      <c r="F51" s="41" t="inlineStr">
        <is>
          <t>POUR LE CLIENT · Nom, date, signature, cachet</t>
        </is>
      </c>
      <c r="G51" s="42" t="n"/>
      <c r="H51" s="42" t="n"/>
      <c r="I51" s="42" t="n"/>
      <c r="J51" s="42" t="n"/>
      <c r="K51" s="42" t="n"/>
      <c r="L51" s="43" t="n"/>
    </row>
    <row r="52" ht="17" customHeight="1">
      <c r="A52" s="44" t="n"/>
      <c r="B52" s="45" t="n"/>
      <c r="C52" s="45" t="n"/>
      <c r="D52" s="45" t="n"/>
      <c r="E52" s="46" t="n"/>
      <c r="F52" s="44" t="n"/>
      <c r="G52" s="45" t="n"/>
      <c r="H52" s="45" t="n"/>
      <c r="I52" s="45" t="n"/>
      <c r="J52" s="45" t="n"/>
      <c r="K52" s="45" t="n"/>
      <c r="L52" s="46" t="n"/>
    </row>
    <row r="53" ht="17" customHeight="1">
      <c r="A53" s="47" t="n"/>
      <c r="B53" s="24" t="n"/>
      <c r="C53" s="24" t="n"/>
      <c r="D53" s="24" t="n"/>
      <c r="E53" s="48" t="n"/>
      <c r="F53" s="47" t="n"/>
      <c r="G53" s="24" t="n"/>
      <c r="H53" s="24" t="n"/>
      <c r="I53" s="24" t="n"/>
      <c r="J53" s="24" t="n"/>
      <c r="K53" s="24" t="n"/>
      <c r="L53" s="48" t="n"/>
    </row>
  </sheetData>
  <mergeCells count="50">
    <mergeCell ref="J6:L6"/>
    <mergeCell ref="M12:AQ12"/>
    <mergeCell ref="J13:J14"/>
    <mergeCell ref="L13:L14"/>
    <mergeCell ref="G43:K43"/>
    <mergeCell ref="G6:I6"/>
    <mergeCell ref="C8:F8"/>
    <mergeCell ref="A46:F46"/>
    <mergeCell ref="A48:K48"/>
    <mergeCell ref="A9:B9"/>
    <mergeCell ref="BW12:DA12"/>
    <mergeCell ref="E13:E14"/>
    <mergeCell ref="G13:G14"/>
    <mergeCell ref="G42:K42"/>
    <mergeCell ref="A49:K49"/>
    <mergeCell ref="A6:B6"/>
    <mergeCell ref="AR12:BV12"/>
    <mergeCell ref="A47:F47"/>
    <mergeCell ref="A42:F42"/>
    <mergeCell ref="A51:E53"/>
    <mergeCell ref="G5:I5"/>
    <mergeCell ref="B13:B14"/>
    <mergeCell ref="D13:D14"/>
    <mergeCell ref="C6:F6"/>
    <mergeCell ref="C5:F5"/>
    <mergeCell ref="A43:F43"/>
    <mergeCell ref="F13:F14"/>
    <mergeCell ref="H13:H14"/>
    <mergeCell ref="A13:A14"/>
    <mergeCell ref="A44:F44"/>
    <mergeCell ref="I13:I14"/>
    <mergeCell ref="A5:B5"/>
    <mergeCell ref="K13:K14"/>
    <mergeCell ref="G9:I9"/>
    <mergeCell ref="J8:L8"/>
    <mergeCell ref="G45:K45"/>
    <mergeCell ref="M1:AQ1"/>
    <mergeCell ref="A8:B8"/>
    <mergeCell ref="C13:C14"/>
    <mergeCell ref="J5:L5"/>
    <mergeCell ref="C9:F9"/>
    <mergeCell ref="M2:AQ2"/>
    <mergeCell ref="A11:L11"/>
    <mergeCell ref="A45:F45"/>
    <mergeCell ref="G47:K47"/>
    <mergeCell ref="G8:I8"/>
    <mergeCell ref="G44:K44"/>
    <mergeCell ref="F51:L53"/>
    <mergeCell ref="J9:L9"/>
    <mergeCell ref="G46:K46"/>
  </mergeCells>
  <conditionalFormatting sqref="M17:DA19 M22:DA33">
    <cfRule type="cellIs" priority="1" operator="equal" dxfId="0">
      <formula>"S"</formula>
    </cfRule>
    <cfRule type="cellIs" priority="2" operator="equal" dxfId="1">
      <formula>"O"</formula>
    </cfRule>
    <cfRule type="cellIs" priority="3" operator="equal" dxfId="2">
      <formula>"FOC"</formula>
    </cfRule>
    <cfRule type="cellIs" priority="4" operator="equal" dxfId="3">
      <formula>"VR"</formula>
    </cfRule>
    <cfRule type="cellIs" priority="5" operator="equal" dxfId="4">
      <formula>"RC"</formula>
    </cfRule>
    <cfRule type="cellIs" priority="6" operator="equal" dxfId="5">
      <formula>"MOB"</formula>
    </cfRule>
    <cfRule type="cellIs" priority="7" operator="equal" dxfId="5">
      <formula>"DEMOB"</formula>
    </cfRule>
    <cfRule type="expression" priority="8" dxfId="6">
      <formula>AND(M$13&lt;&gt;"",WEEKDAY(M$13,2)&gt;5)</formula>
    </cfRule>
  </conditionalFormatting>
  <conditionalFormatting sqref="A22:I33">
    <cfRule type="expression" priority="9" dxfId="7">
      <formula>AND($B22&lt;&gt;"",N($C22)=0,N($E22)=0)</formula>
    </cfRule>
  </conditionalFormatting>
  <dataValidations count="2">
    <dataValidation sqref="A9" showDropDown="0" showInputMessage="0" showErrorMessage="0" allowBlank="1" type="list">
      <formula1>=Listes!$A$2:$A$12</formula1>
    </dataValidation>
    <dataValidation sqref="M17:DA19 M22:DA33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6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49" t="inlineStr">
        <is>
          <t>Ingénieur Enedril</t>
        </is>
      </c>
      <c r="C1" s="49" t="inlineStr">
        <is>
          <t>Codes du calendrier</t>
        </is>
      </c>
      <c r="E1" s="50" t="inlineStr">
        <is>
          <t>La fin = début + dernier jour marqué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2026-10-28T15:41:38Z</dcterms:created>
  <dcterms:modified xmlns:dcterms="http://purl.org/dc/terms/" xmlns:xsi="http://www.w3.org/2001/XMLSchema-instance" xsi:type="dcterms:W3CDTF">2026-10-28T15:41:38Z</dcterms:modified>
</cp:coreProperties>
</file>