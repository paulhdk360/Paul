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O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hidden="1" outlineLevel="1" width="3.3" customWidth="1" min="44" max="74"/>
    <col hidden="1" outlineLevel="1" width="3.3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n"/>
      <c r="B6" s="7" t="n"/>
      <c r="C6" s="6" t="n"/>
      <c r="D6" s="7" t="n"/>
      <c r="E6" s="7" t="n"/>
      <c r="F6" s="7" t="n"/>
      <c r="G6" s="6" t="n"/>
      <c r="H6" s="7" t="n"/>
      <c r="I6" s="7" t="n"/>
      <c r="J6" s="6" t="n"/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· END DATE (À MODIFIER)</t>
        </is>
      </c>
      <c r="J8" s="5" t="inlineStr">
        <is>
          <t>DURÉE (JOURS)</t>
        </is>
      </c>
    </row>
    <row r="9" ht="24" customHeight="1">
      <c r="A9" s="6" t="n"/>
      <c r="B9" s="7" t="n"/>
      <c r="C9" s="8" t="n"/>
      <c r="D9" s="7" t="n"/>
      <c r="E9" s="7" t="n"/>
      <c r="F9" s="7" t="n"/>
      <c r="G9" s="8" t="n"/>
      <c r="H9" s="7" t="n"/>
      <c r="I9" s="7" t="n"/>
      <c r="J9" s="9">
        <f>IF(C9="","",MIN(93,MAX(1,IF(G9="",31,G9-C9+1))))</f>
        <v/>
      </c>
      <c r="K9" s="10" t="n"/>
      <c r="L9" s="10" t="n"/>
    </row>
    <row r="10" ht="16" customHeight="1">
      <c r="A10" s="11">
        <f>IF(N($J$9)&gt;31,"⚠  La date de fin dépasse le 1er bloc : cliquer sur le [+] au-dessus du calendrier pour déplier les jours suivants.","")</f>
        <v/>
      </c>
    </row>
    <row r="11" ht="18" customHeight="1">
      <c r="A11" s="12" t="inlineStr">
        <is>
          <t>Codes : S = stand-by · O = opérations · FOC = gratuit · VR = valeur de remplacement · RC = restocking · MOB / DEMOB = arrivée / départ (comptés en S)</t>
        </is>
      </c>
    </row>
    <row r="12" ht="20" customHeight="1">
      <c r="M12" s="13">
        <f>IF(OR($C$9="",N($J$9)&lt;=0),"","Du "&amp;TEXT(DAY($C$9+0),"00")&amp;"/"&amp;TEXT(MONTH($C$9+0),"00")&amp;" au "&amp;TEXT(DAY($C$9+MIN(30,$J$9-1)),"00")&amp;"/"&amp;TEXT(MONTH($C$9+MIN(30,$J$9-1)),"00")&amp;"/"&amp;YEAR($C$9+MIN(30,$J$9-1)))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IF(OR($C$9="",N($J$9)&lt;=31),"","Du "&amp;TEXT(DAY($C$9+31),"00")&amp;"/"&amp;TEXT(MONTH($C$9+31),"00")&amp;" au "&amp;TEXT(DAY($C$9+MIN(61,$J$9-1)),"00")&amp;"/"&amp;TEXT(MONTH($C$9+MIN(61,$J$9-1)),"00")&amp;"/"&amp;YEAR($C$9+MIN(61,$J$9-1)))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IF(OR($C$9="",N($J$9)&lt;=62),"","Du "&amp;TEXT(DAY($C$9+62),"00")&amp;"/"&amp;TEXT(MONTH($C$9+62),"00")&amp;" au "&amp;TEXT(DAY($C$9+MIN(92,$J$9-1)),"00")&amp;"/"&amp;TEXT(MONTH($C$9+MIN(92,$J$9-1)),"00")&amp;"/"&amp;YEAR($C$9+MIN(92,$J$9-1)))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IF(OR($C$9="",N($J$9)&lt;=0),"",$C$9+0)</f>
        <v/>
      </c>
      <c r="N13" s="17">
        <f>IF(OR($C$9="",N($J$9)&lt;=1),"",$C$9+1)</f>
        <v/>
      </c>
      <c r="O13" s="17">
        <f>IF(OR($C$9="",N($J$9)&lt;=2),"",$C$9+2)</f>
        <v/>
      </c>
      <c r="P13" s="17">
        <f>IF(OR($C$9="",N($J$9)&lt;=3),"",$C$9+3)</f>
        <v/>
      </c>
      <c r="Q13" s="17">
        <f>IF(OR($C$9="",N($J$9)&lt;=4),"",$C$9+4)</f>
        <v/>
      </c>
      <c r="R13" s="17">
        <f>IF(OR($C$9="",N($J$9)&lt;=5),"",$C$9+5)</f>
        <v/>
      </c>
      <c r="S13" s="17">
        <f>IF(OR($C$9="",N($J$9)&lt;=6),"",$C$9+6)</f>
        <v/>
      </c>
      <c r="T13" s="17">
        <f>IF(OR($C$9="",N($J$9)&lt;=7),"",$C$9+7)</f>
        <v/>
      </c>
      <c r="U13" s="17">
        <f>IF(OR($C$9="",N($J$9)&lt;=8),"",$C$9+8)</f>
        <v/>
      </c>
      <c r="V13" s="17">
        <f>IF(OR($C$9="",N($J$9)&lt;=9),"",$C$9+9)</f>
        <v/>
      </c>
      <c r="W13" s="17">
        <f>IF(OR($C$9="",N($J$9)&lt;=10),"",$C$9+10)</f>
        <v/>
      </c>
      <c r="X13" s="17">
        <f>IF(OR($C$9="",N($J$9)&lt;=11),"",$C$9+11)</f>
        <v/>
      </c>
      <c r="Y13" s="17">
        <f>IF(OR($C$9="",N($J$9)&lt;=12),"",$C$9+12)</f>
        <v/>
      </c>
      <c r="Z13" s="17">
        <f>IF(OR($C$9="",N($J$9)&lt;=13),"",$C$9+13)</f>
        <v/>
      </c>
      <c r="AA13" s="17">
        <f>IF(OR($C$9="",N($J$9)&lt;=14),"",$C$9+14)</f>
        <v/>
      </c>
      <c r="AB13" s="17">
        <f>IF(OR($C$9="",N($J$9)&lt;=15),"",$C$9+15)</f>
        <v/>
      </c>
      <c r="AC13" s="17">
        <f>IF(OR($C$9="",N($J$9)&lt;=16),"",$C$9+16)</f>
        <v/>
      </c>
      <c r="AD13" s="17">
        <f>IF(OR($C$9="",N($J$9)&lt;=17),"",$C$9+17)</f>
        <v/>
      </c>
      <c r="AE13" s="17">
        <f>IF(OR($C$9="",N($J$9)&lt;=18),"",$C$9+18)</f>
        <v/>
      </c>
      <c r="AF13" s="17">
        <f>IF(OR($C$9="",N($J$9)&lt;=19),"",$C$9+19)</f>
        <v/>
      </c>
      <c r="AG13" s="17">
        <f>IF(OR($C$9="",N($J$9)&lt;=20),"",$C$9+20)</f>
        <v/>
      </c>
      <c r="AH13" s="17">
        <f>IF(OR($C$9="",N($J$9)&lt;=21),"",$C$9+21)</f>
        <v/>
      </c>
      <c r="AI13" s="17">
        <f>IF(OR($C$9="",N($J$9)&lt;=22),"",$C$9+22)</f>
        <v/>
      </c>
      <c r="AJ13" s="17">
        <f>IF(OR($C$9="",N($J$9)&lt;=23),"",$C$9+23)</f>
        <v/>
      </c>
      <c r="AK13" s="17">
        <f>IF(OR($C$9="",N($J$9)&lt;=24),"",$C$9+24)</f>
        <v/>
      </c>
      <c r="AL13" s="17">
        <f>IF(OR($C$9="",N($J$9)&lt;=25),"",$C$9+25)</f>
        <v/>
      </c>
      <c r="AM13" s="17">
        <f>IF(OR($C$9="",N($J$9)&lt;=26),"",$C$9+26)</f>
        <v/>
      </c>
      <c r="AN13" s="17">
        <f>IF(OR($C$9="",N($J$9)&lt;=27),"",$C$9+27)</f>
        <v/>
      </c>
      <c r="AO13" s="17">
        <f>IF(OR($C$9="",N($J$9)&lt;=28),"",$C$9+28)</f>
        <v/>
      </c>
      <c r="AP13" s="17">
        <f>IF(OR($C$9="",N($J$9)&lt;=29),"",$C$9+29)</f>
        <v/>
      </c>
      <c r="AQ13" s="17">
        <f>IF(OR($C$9="",N($J$9)&lt;=30),"",$C$9+30)</f>
        <v/>
      </c>
      <c r="AR13" s="17">
        <f>IF(OR($C$9="",N($J$9)&lt;=31),"",$C$9+31)</f>
        <v/>
      </c>
      <c r="AS13" s="17">
        <f>IF(OR($C$9="",N($J$9)&lt;=32),"",$C$9+32)</f>
        <v/>
      </c>
      <c r="AT13" s="17">
        <f>IF(OR($C$9="",N($J$9)&lt;=33),"",$C$9+33)</f>
        <v/>
      </c>
      <c r="AU13" s="17">
        <f>IF(OR($C$9="",N($J$9)&lt;=34),"",$C$9+34)</f>
        <v/>
      </c>
      <c r="AV13" s="17">
        <f>IF(OR($C$9="",N($J$9)&lt;=35),"",$C$9+35)</f>
        <v/>
      </c>
      <c r="AW13" s="17">
        <f>IF(OR($C$9="",N($J$9)&lt;=36),"",$C$9+36)</f>
        <v/>
      </c>
      <c r="AX13" s="17">
        <f>IF(OR($C$9="",N($J$9)&lt;=37),"",$C$9+37)</f>
        <v/>
      </c>
      <c r="AY13" s="17">
        <f>IF(OR($C$9="",N($J$9)&lt;=38),"",$C$9+38)</f>
        <v/>
      </c>
      <c r="AZ13" s="17">
        <f>IF(OR($C$9="",N($J$9)&lt;=39),"",$C$9+39)</f>
        <v/>
      </c>
      <c r="BA13" s="17">
        <f>IF(OR($C$9="",N($J$9)&lt;=40),"",$C$9+40)</f>
        <v/>
      </c>
      <c r="BB13" s="17">
        <f>IF(OR($C$9="",N($J$9)&lt;=41),"",$C$9+41)</f>
        <v/>
      </c>
      <c r="BC13" s="17">
        <f>IF(OR($C$9="",N($J$9)&lt;=42),"",$C$9+42)</f>
        <v/>
      </c>
      <c r="BD13" s="17">
        <f>IF(OR($C$9="",N($J$9)&lt;=43),"",$C$9+43)</f>
        <v/>
      </c>
      <c r="BE13" s="17">
        <f>IF(OR($C$9="",N($J$9)&lt;=44),"",$C$9+44)</f>
        <v/>
      </c>
      <c r="BF13" s="17">
        <f>IF(OR($C$9="",N($J$9)&lt;=45),"",$C$9+45)</f>
        <v/>
      </c>
      <c r="BG13" s="17">
        <f>IF(OR($C$9="",N($J$9)&lt;=46),"",$C$9+46)</f>
        <v/>
      </c>
      <c r="BH13" s="17">
        <f>IF(OR($C$9="",N($J$9)&lt;=47),"",$C$9+47)</f>
        <v/>
      </c>
      <c r="BI13" s="17">
        <f>IF(OR($C$9="",N($J$9)&lt;=48),"",$C$9+48)</f>
        <v/>
      </c>
      <c r="BJ13" s="17">
        <f>IF(OR($C$9="",N($J$9)&lt;=49),"",$C$9+49)</f>
        <v/>
      </c>
      <c r="BK13" s="17">
        <f>IF(OR($C$9="",N($J$9)&lt;=50),"",$C$9+50)</f>
        <v/>
      </c>
      <c r="BL13" s="17">
        <f>IF(OR($C$9="",N($J$9)&lt;=51),"",$C$9+51)</f>
        <v/>
      </c>
      <c r="BM13" s="17">
        <f>IF(OR($C$9="",N($J$9)&lt;=52),"",$C$9+52)</f>
        <v/>
      </c>
      <c r="BN13" s="17">
        <f>IF(OR($C$9="",N($J$9)&lt;=53),"",$C$9+53)</f>
        <v/>
      </c>
      <c r="BO13" s="17">
        <f>IF(OR($C$9="",N($J$9)&lt;=54),"",$C$9+54)</f>
        <v/>
      </c>
      <c r="BP13" s="17">
        <f>IF(OR($C$9="",N($J$9)&lt;=55),"",$C$9+55)</f>
        <v/>
      </c>
      <c r="BQ13" s="17">
        <f>IF(OR($C$9="",N($J$9)&lt;=56),"",$C$9+56)</f>
        <v/>
      </c>
      <c r="BR13" s="17">
        <f>IF(OR($C$9="",N($J$9)&lt;=57),"",$C$9+57)</f>
        <v/>
      </c>
      <c r="BS13" s="17">
        <f>IF(OR($C$9="",N($J$9)&lt;=58),"",$C$9+58)</f>
        <v/>
      </c>
      <c r="BT13" s="17">
        <f>IF(OR($C$9="",N($J$9)&lt;=59),"",$C$9+59)</f>
        <v/>
      </c>
      <c r="BU13" s="17">
        <f>IF(OR($C$9="",N($J$9)&lt;=60),"",$C$9+60)</f>
        <v/>
      </c>
      <c r="BV13" s="17">
        <f>IF(OR($C$9="",N($J$9)&lt;=61),"",$C$9+61)</f>
        <v/>
      </c>
      <c r="BW13" s="17">
        <f>IF(OR($C$9="",N($J$9)&lt;=62),"",$C$9+62)</f>
        <v/>
      </c>
      <c r="BX13" s="17">
        <f>IF(OR($C$9="",N($J$9)&lt;=63),"",$C$9+63)</f>
        <v/>
      </c>
      <c r="BY13" s="17">
        <f>IF(OR($C$9="",N($J$9)&lt;=64),"",$C$9+64)</f>
        <v/>
      </c>
      <c r="BZ13" s="17">
        <f>IF(OR($C$9="",N($J$9)&lt;=65),"",$C$9+65)</f>
        <v/>
      </c>
      <c r="CA13" s="17">
        <f>IF(OR($C$9="",N($J$9)&lt;=66),"",$C$9+66)</f>
        <v/>
      </c>
      <c r="CB13" s="17">
        <f>IF(OR($C$9="",N($J$9)&lt;=67),"",$C$9+67)</f>
        <v/>
      </c>
      <c r="CC13" s="17">
        <f>IF(OR($C$9="",N($J$9)&lt;=68),"",$C$9+68)</f>
        <v/>
      </c>
      <c r="CD13" s="17">
        <f>IF(OR($C$9="",N($J$9)&lt;=69),"",$C$9+69)</f>
        <v/>
      </c>
      <c r="CE13" s="17">
        <f>IF(OR($C$9="",N($J$9)&lt;=70),"",$C$9+70)</f>
        <v/>
      </c>
      <c r="CF13" s="17">
        <f>IF(OR($C$9="",N($J$9)&lt;=71),"",$C$9+71)</f>
        <v/>
      </c>
      <c r="CG13" s="17">
        <f>IF(OR($C$9="",N($J$9)&lt;=72),"",$C$9+72)</f>
        <v/>
      </c>
      <c r="CH13" s="17">
        <f>IF(OR($C$9="",N($J$9)&lt;=73),"",$C$9+73)</f>
        <v/>
      </c>
      <c r="CI13" s="17">
        <f>IF(OR($C$9="",N($J$9)&lt;=74),"",$C$9+74)</f>
        <v/>
      </c>
      <c r="CJ13" s="17">
        <f>IF(OR($C$9="",N($J$9)&lt;=75),"",$C$9+75)</f>
        <v/>
      </c>
      <c r="CK13" s="17">
        <f>IF(OR($C$9="",N($J$9)&lt;=76),"",$C$9+76)</f>
        <v/>
      </c>
      <c r="CL13" s="17">
        <f>IF(OR($C$9="",N($J$9)&lt;=77),"",$C$9+77)</f>
        <v/>
      </c>
      <c r="CM13" s="17">
        <f>IF(OR($C$9="",N($J$9)&lt;=78),"",$C$9+78)</f>
        <v/>
      </c>
      <c r="CN13" s="17">
        <f>IF(OR($C$9="",N($J$9)&lt;=79),"",$C$9+79)</f>
        <v/>
      </c>
      <c r="CO13" s="17">
        <f>IF(OR($C$9="",N($J$9)&lt;=80),"",$C$9+80)</f>
        <v/>
      </c>
      <c r="CP13" s="17">
        <f>IF(OR($C$9="",N($J$9)&lt;=81),"",$C$9+81)</f>
        <v/>
      </c>
      <c r="CQ13" s="17">
        <f>IF(OR($C$9="",N($J$9)&lt;=82),"",$C$9+82)</f>
        <v/>
      </c>
      <c r="CR13" s="17">
        <f>IF(OR($C$9="",N($J$9)&lt;=83),"",$C$9+83)</f>
        <v/>
      </c>
      <c r="CS13" s="17">
        <f>IF(OR($C$9="",N($J$9)&lt;=84),"",$C$9+84)</f>
        <v/>
      </c>
      <c r="CT13" s="17">
        <f>IF(OR($C$9="",N($J$9)&lt;=85),"",$C$9+85)</f>
        <v/>
      </c>
      <c r="CU13" s="17">
        <f>IF(OR($C$9="",N($J$9)&lt;=86),"",$C$9+86)</f>
        <v/>
      </c>
      <c r="CV13" s="17">
        <f>IF(OR($C$9="",N($J$9)&lt;=87),"",$C$9+87)</f>
        <v/>
      </c>
      <c r="CW13" s="17">
        <f>IF(OR($C$9="",N($J$9)&lt;=88),"",$C$9+88)</f>
        <v/>
      </c>
      <c r="CX13" s="17">
        <f>IF(OR($C$9="",N($J$9)&lt;=89),"",$C$9+89)</f>
        <v/>
      </c>
      <c r="CY13" s="17">
        <f>IF(OR($C$9="",N($J$9)&lt;=90),"",$C$9+90)</f>
        <v/>
      </c>
      <c r="CZ13" s="17">
        <f>IF(OR($C$9="",N($J$9)&lt;=91),"",$C$9+91)</f>
        <v/>
      </c>
      <c r="DA13" s="17">
        <f>IF(OR($C$9="",N($J$9)&lt;=92),"",$C$9+92)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IF(OR($C$9="",N($J$9)&lt;=0),"",CHOOSE(WEEKDAY($C$9+0,2),"L","M","M","J","V","S","D"))</f>
        <v/>
      </c>
      <c r="N14" s="19">
        <f>IF(OR($C$9="",N($J$9)&lt;=1),"",CHOOSE(WEEKDAY($C$9+1,2),"L","M","M","J","V","S","D"))</f>
        <v/>
      </c>
      <c r="O14" s="19">
        <f>IF(OR($C$9="",N($J$9)&lt;=2),"",CHOOSE(WEEKDAY($C$9+2,2),"L","M","M","J","V","S","D"))</f>
        <v/>
      </c>
      <c r="P14" s="19">
        <f>IF(OR($C$9="",N($J$9)&lt;=3),"",CHOOSE(WEEKDAY($C$9+3,2),"L","M","M","J","V","S","D"))</f>
        <v/>
      </c>
      <c r="Q14" s="19">
        <f>IF(OR($C$9="",N($J$9)&lt;=4),"",CHOOSE(WEEKDAY($C$9+4,2),"L","M","M","J","V","S","D"))</f>
        <v/>
      </c>
      <c r="R14" s="19">
        <f>IF(OR($C$9="",N($J$9)&lt;=5),"",CHOOSE(WEEKDAY($C$9+5,2),"L","M","M","J","V","S","D"))</f>
        <v/>
      </c>
      <c r="S14" s="19">
        <f>IF(OR($C$9="",N($J$9)&lt;=6),"",CHOOSE(WEEKDAY($C$9+6,2),"L","M","M","J","V","S","D"))</f>
        <v/>
      </c>
      <c r="T14" s="19">
        <f>IF(OR($C$9="",N($J$9)&lt;=7),"",CHOOSE(WEEKDAY($C$9+7,2),"L","M","M","J","V","S","D"))</f>
        <v/>
      </c>
      <c r="U14" s="19">
        <f>IF(OR($C$9="",N($J$9)&lt;=8),"",CHOOSE(WEEKDAY($C$9+8,2),"L","M","M","J","V","S","D"))</f>
        <v/>
      </c>
      <c r="V14" s="19">
        <f>IF(OR($C$9="",N($J$9)&lt;=9),"",CHOOSE(WEEKDAY($C$9+9,2),"L","M","M","J","V","S","D"))</f>
        <v/>
      </c>
      <c r="W14" s="19">
        <f>IF(OR($C$9="",N($J$9)&lt;=10),"",CHOOSE(WEEKDAY($C$9+10,2),"L","M","M","J","V","S","D"))</f>
        <v/>
      </c>
      <c r="X14" s="19">
        <f>IF(OR($C$9="",N($J$9)&lt;=11),"",CHOOSE(WEEKDAY($C$9+11,2),"L","M","M","J","V","S","D"))</f>
        <v/>
      </c>
      <c r="Y14" s="19">
        <f>IF(OR($C$9="",N($J$9)&lt;=12),"",CHOOSE(WEEKDAY($C$9+12,2),"L","M","M","J","V","S","D"))</f>
        <v/>
      </c>
      <c r="Z14" s="19">
        <f>IF(OR($C$9="",N($J$9)&lt;=13),"",CHOOSE(WEEKDAY($C$9+13,2),"L","M","M","J","V","S","D"))</f>
        <v/>
      </c>
      <c r="AA14" s="19">
        <f>IF(OR($C$9="",N($J$9)&lt;=14),"",CHOOSE(WEEKDAY($C$9+14,2),"L","M","M","J","V","S","D"))</f>
        <v/>
      </c>
      <c r="AB14" s="19">
        <f>IF(OR($C$9="",N($J$9)&lt;=15),"",CHOOSE(WEEKDAY($C$9+15,2),"L","M","M","J","V","S","D"))</f>
        <v/>
      </c>
      <c r="AC14" s="19">
        <f>IF(OR($C$9="",N($J$9)&lt;=16),"",CHOOSE(WEEKDAY($C$9+16,2),"L","M","M","J","V","S","D"))</f>
        <v/>
      </c>
      <c r="AD14" s="19">
        <f>IF(OR($C$9="",N($J$9)&lt;=17),"",CHOOSE(WEEKDAY($C$9+17,2),"L","M","M","J","V","S","D"))</f>
        <v/>
      </c>
      <c r="AE14" s="19">
        <f>IF(OR($C$9="",N($J$9)&lt;=18),"",CHOOSE(WEEKDAY($C$9+18,2),"L","M","M","J","V","S","D"))</f>
        <v/>
      </c>
      <c r="AF14" s="19">
        <f>IF(OR($C$9="",N($J$9)&lt;=19),"",CHOOSE(WEEKDAY($C$9+19,2),"L","M","M","J","V","S","D"))</f>
        <v/>
      </c>
      <c r="AG14" s="19">
        <f>IF(OR($C$9="",N($J$9)&lt;=20),"",CHOOSE(WEEKDAY($C$9+20,2),"L","M","M","J","V","S","D"))</f>
        <v/>
      </c>
      <c r="AH14" s="19">
        <f>IF(OR($C$9="",N($J$9)&lt;=21),"",CHOOSE(WEEKDAY($C$9+21,2),"L","M","M","J","V","S","D"))</f>
        <v/>
      </c>
      <c r="AI14" s="19">
        <f>IF(OR($C$9="",N($J$9)&lt;=22),"",CHOOSE(WEEKDAY($C$9+22,2),"L","M","M","J","V","S","D"))</f>
        <v/>
      </c>
      <c r="AJ14" s="19">
        <f>IF(OR($C$9="",N($J$9)&lt;=23),"",CHOOSE(WEEKDAY($C$9+23,2),"L","M","M","J","V","S","D"))</f>
        <v/>
      </c>
      <c r="AK14" s="19">
        <f>IF(OR($C$9="",N($J$9)&lt;=24),"",CHOOSE(WEEKDAY($C$9+24,2),"L","M","M","J","V","S","D"))</f>
        <v/>
      </c>
      <c r="AL14" s="19">
        <f>IF(OR($C$9="",N($J$9)&lt;=25),"",CHOOSE(WEEKDAY($C$9+25,2),"L","M","M","J","V","S","D"))</f>
        <v/>
      </c>
      <c r="AM14" s="19">
        <f>IF(OR($C$9="",N($J$9)&lt;=26),"",CHOOSE(WEEKDAY($C$9+26,2),"L","M","M","J","V","S","D"))</f>
        <v/>
      </c>
      <c r="AN14" s="19">
        <f>IF(OR($C$9="",N($J$9)&lt;=27),"",CHOOSE(WEEKDAY($C$9+27,2),"L","M","M","J","V","S","D"))</f>
        <v/>
      </c>
      <c r="AO14" s="19">
        <f>IF(OR($C$9="",N($J$9)&lt;=28),"",CHOOSE(WEEKDAY($C$9+28,2),"L","M","M","J","V","S","D"))</f>
        <v/>
      </c>
      <c r="AP14" s="19">
        <f>IF(OR($C$9="",N($J$9)&lt;=29),"",CHOOSE(WEEKDAY($C$9+29,2),"L","M","M","J","V","S","D"))</f>
        <v/>
      </c>
      <c r="AQ14" s="19">
        <f>IF(OR($C$9="",N($J$9)&lt;=30),"",CHOOSE(WEEKDAY($C$9+30,2),"L","M","M","J","V","S","D"))</f>
        <v/>
      </c>
      <c r="AR14" s="19">
        <f>IF(OR($C$9="",N($J$9)&lt;=31),"",CHOOSE(WEEKDAY($C$9+31,2),"L","M","M","J","V","S","D"))</f>
        <v/>
      </c>
      <c r="AS14" s="19">
        <f>IF(OR($C$9="",N($J$9)&lt;=32),"",CHOOSE(WEEKDAY($C$9+32,2),"L","M","M","J","V","S","D"))</f>
        <v/>
      </c>
      <c r="AT14" s="19">
        <f>IF(OR($C$9="",N($J$9)&lt;=33),"",CHOOSE(WEEKDAY($C$9+33,2),"L","M","M","J","V","S","D"))</f>
        <v/>
      </c>
      <c r="AU14" s="19">
        <f>IF(OR($C$9="",N($J$9)&lt;=34),"",CHOOSE(WEEKDAY($C$9+34,2),"L","M","M","J","V","S","D"))</f>
        <v/>
      </c>
      <c r="AV14" s="19">
        <f>IF(OR($C$9="",N($J$9)&lt;=35),"",CHOOSE(WEEKDAY($C$9+35,2),"L","M","M","J","V","S","D"))</f>
        <v/>
      </c>
      <c r="AW14" s="19">
        <f>IF(OR($C$9="",N($J$9)&lt;=36),"",CHOOSE(WEEKDAY($C$9+36,2),"L","M","M","J","V","S","D"))</f>
        <v/>
      </c>
      <c r="AX14" s="19">
        <f>IF(OR($C$9="",N($J$9)&lt;=37),"",CHOOSE(WEEKDAY($C$9+37,2),"L","M","M","J","V","S","D"))</f>
        <v/>
      </c>
      <c r="AY14" s="19">
        <f>IF(OR($C$9="",N($J$9)&lt;=38),"",CHOOSE(WEEKDAY($C$9+38,2),"L","M","M","J","V","S","D"))</f>
        <v/>
      </c>
      <c r="AZ14" s="19">
        <f>IF(OR($C$9="",N($J$9)&lt;=39),"",CHOOSE(WEEKDAY($C$9+39,2),"L","M","M","J","V","S","D"))</f>
        <v/>
      </c>
      <c r="BA14" s="19">
        <f>IF(OR($C$9="",N($J$9)&lt;=40),"",CHOOSE(WEEKDAY($C$9+40,2),"L","M","M","J","V","S","D"))</f>
        <v/>
      </c>
      <c r="BB14" s="19">
        <f>IF(OR($C$9="",N($J$9)&lt;=41),"",CHOOSE(WEEKDAY($C$9+41,2),"L","M","M","J","V","S","D"))</f>
        <v/>
      </c>
      <c r="BC14" s="19">
        <f>IF(OR($C$9="",N($J$9)&lt;=42),"",CHOOSE(WEEKDAY($C$9+42,2),"L","M","M","J","V","S","D"))</f>
        <v/>
      </c>
      <c r="BD14" s="19">
        <f>IF(OR($C$9="",N($J$9)&lt;=43),"",CHOOSE(WEEKDAY($C$9+43,2),"L","M","M","J","V","S","D"))</f>
        <v/>
      </c>
      <c r="BE14" s="19">
        <f>IF(OR($C$9="",N($J$9)&lt;=44),"",CHOOSE(WEEKDAY($C$9+44,2),"L","M","M","J","V","S","D"))</f>
        <v/>
      </c>
      <c r="BF14" s="19">
        <f>IF(OR($C$9="",N($J$9)&lt;=45),"",CHOOSE(WEEKDAY($C$9+45,2),"L","M","M","J","V","S","D"))</f>
        <v/>
      </c>
      <c r="BG14" s="19">
        <f>IF(OR($C$9="",N($J$9)&lt;=46),"",CHOOSE(WEEKDAY($C$9+46,2),"L","M","M","J","V","S","D"))</f>
        <v/>
      </c>
      <c r="BH14" s="19">
        <f>IF(OR($C$9="",N($J$9)&lt;=47),"",CHOOSE(WEEKDAY($C$9+47,2),"L","M","M","J","V","S","D"))</f>
        <v/>
      </c>
      <c r="BI14" s="19">
        <f>IF(OR($C$9="",N($J$9)&lt;=48),"",CHOOSE(WEEKDAY($C$9+48,2),"L","M","M","J","V","S","D"))</f>
        <v/>
      </c>
      <c r="BJ14" s="19">
        <f>IF(OR($C$9="",N($J$9)&lt;=49),"",CHOOSE(WEEKDAY($C$9+49,2),"L","M","M","J","V","S","D"))</f>
        <v/>
      </c>
      <c r="BK14" s="19">
        <f>IF(OR($C$9="",N($J$9)&lt;=50),"",CHOOSE(WEEKDAY($C$9+50,2),"L","M","M","J","V","S","D"))</f>
        <v/>
      </c>
      <c r="BL14" s="19">
        <f>IF(OR($C$9="",N($J$9)&lt;=51),"",CHOOSE(WEEKDAY($C$9+51,2),"L","M","M","J","V","S","D"))</f>
        <v/>
      </c>
      <c r="BM14" s="19">
        <f>IF(OR($C$9="",N($J$9)&lt;=52),"",CHOOSE(WEEKDAY($C$9+52,2),"L","M","M","J","V","S","D"))</f>
        <v/>
      </c>
      <c r="BN14" s="19">
        <f>IF(OR($C$9="",N($J$9)&lt;=53),"",CHOOSE(WEEKDAY($C$9+53,2),"L","M","M","J","V","S","D"))</f>
        <v/>
      </c>
      <c r="BO14" s="19">
        <f>IF(OR($C$9="",N($J$9)&lt;=54),"",CHOOSE(WEEKDAY($C$9+54,2),"L","M","M","J","V","S","D"))</f>
        <v/>
      </c>
      <c r="BP14" s="19">
        <f>IF(OR($C$9="",N($J$9)&lt;=55),"",CHOOSE(WEEKDAY($C$9+55,2),"L","M","M","J","V","S","D"))</f>
        <v/>
      </c>
      <c r="BQ14" s="19">
        <f>IF(OR($C$9="",N($J$9)&lt;=56),"",CHOOSE(WEEKDAY($C$9+56,2),"L","M","M","J","V","S","D"))</f>
        <v/>
      </c>
      <c r="BR14" s="19">
        <f>IF(OR($C$9="",N($J$9)&lt;=57),"",CHOOSE(WEEKDAY($C$9+57,2),"L","M","M","J","V","S","D"))</f>
        <v/>
      </c>
      <c r="BS14" s="19">
        <f>IF(OR($C$9="",N($J$9)&lt;=58),"",CHOOSE(WEEKDAY($C$9+58,2),"L","M","M","J","V","S","D"))</f>
        <v/>
      </c>
      <c r="BT14" s="19">
        <f>IF(OR($C$9="",N($J$9)&lt;=59),"",CHOOSE(WEEKDAY($C$9+59,2),"L","M","M","J","V","S","D"))</f>
        <v/>
      </c>
      <c r="BU14" s="19">
        <f>IF(OR($C$9="",N($J$9)&lt;=60),"",CHOOSE(WEEKDAY($C$9+60,2),"L","M","M","J","V","S","D"))</f>
        <v/>
      </c>
      <c r="BV14" s="19">
        <f>IF(OR($C$9="",N($J$9)&lt;=61),"",CHOOSE(WEEKDAY($C$9+61,2),"L","M","M","J","V","S","D"))</f>
        <v/>
      </c>
      <c r="BW14" s="19">
        <f>IF(OR($C$9="",N($J$9)&lt;=62),"",CHOOSE(WEEKDAY($C$9+62,2),"L","M","M","J","V","S","D"))</f>
        <v/>
      </c>
      <c r="BX14" s="19">
        <f>IF(OR($C$9="",N($J$9)&lt;=63),"",CHOOSE(WEEKDAY($C$9+63,2),"L","M","M","J","V","S","D"))</f>
        <v/>
      </c>
      <c r="BY14" s="19">
        <f>IF(OR($C$9="",N($J$9)&lt;=64),"",CHOOSE(WEEKDAY($C$9+64,2),"L","M","M","J","V","S","D"))</f>
        <v/>
      </c>
      <c r="BZ14" s="19">
        <f>IF(OR($C$9="",N($J$9)&lt;=65),"",CHOOSE(WEEKDAY($C$9+65,2),"L","M","M","J","V","S","D"))</f>
        <v/>
      </c>
      <c r="CA14" s="19">
        <f>IF(OR($C$9="",N($J$9)&lt;=66),"",CHOOSE(WEEKDAY($C$9+66,2),"L","M","M","J","V","S","D"))</f>
        <v/>
      </c>
      <c r="CB14" s="19">
        <f>IF(OR($C$9="",N($J$9)&lt;=67),"",CHOOSE(WEEKDAY($C$9+67,2),"L","M","M","J","V","S","D"))</f>
        <v/>
      </c>
      <c r="CC14" s="19">
        <f>IF(OR($C$9="",N($J$9)&lt;=68),"",CHOOSE(WEEKDAY($C$9+68,2),"L","M","M","J","V","S","D"))</f>
        <v/>
      </c>
      <c r="CD14" s="19">
        <f>IF(OR($C$9="",N($J$9)&lt;=69),"",CHOOSE(WEEKDAY($C$9+69,2),"L","M","M","J","V","S","D"))</f>
        <v/>
      </c>
      <c r="CE14" s="19">
        <f>IF(OR($C$9="",N($J$9)&lt;=70),"",CHOOSE(WEEKDAY($C$9+70,2),"L","M","M","J","V","S","D"))</f>
        <v/>
      </c>
      <c r="CF14" s="19">
        <f>IF(OR($C$9="",N($J$9)&lt;=71),"",CHOOSE(WEEKDAY($C$9+71,2),"L","M","M","J","V","S","D"))</f>
        <v/>
      </c>
      <c r="CG14" s="19">
        <f>IF(OR($C$9="",N($J$9)&lt;=72),"",CHOOSE(WEEKDAY($C$9+72,2),"L","M","M","J","V","S","D"))</f>
        <v/>
      </c>
      <c r="CH14" s="19">
        <f>IF(OR($C$9="",N($J$9)&lt;=73),"",CHOOSE(WEEKDAY($C$9+73,2),"L","M","M","J","V","S","D"))</f>
        <v/>
      </c>
      <c r="CI14" s="19">
        <f>IF(OR($C$9="",N($J$9)&lt;=74),"",CHOOSE(WEEKDAY($C$9+74,2),"L","M","M","J","V","S","D"))</f>
        <v/>
      </c>
      <c r="CJ14" s="19">
        <f>IF(OR($C$9="",N($J$9)&lt;=75),"",CHOOSE(WEEKDAY($C$9+75,2),"L","M","M","J","V","S","D"))</f>
        <v/>
      </c>
      <c r="CK14" s="19">
        <f>IF(OR($C$9="",N($J$9)&lt;=76),"",CHOOSE(WEEKDAY($C$9+76,2),"L","M","M","J","V","S","D"))</f>
        <v/>
      </c>
      <c r="CL14" s="19">
        <f>IF(OR($C$9="",N($J$9)&lt;=77),"",CHOOSE(WEEKDAY($C$9+77,2),"L","M","M","J","V","S","D"))</f>
        <v/>
      </c>
      <c r="CM14" s="19">
        <f>IF(OR($C$9="",N($J$9)&lt;=78),"",CHOOSE(WEEKDAY($C$9+78,2),"L","M","M","J","V","S","D"))</f>
        <v/>
      </c>
      <c r="CN14" s="19">
        <f>IF(OR($C$9="",N($J$9)&lt;=79),"",CHOOSE(WEEKDAY($C$9+79,2),"L","M","M","J","V","S","D"))</f>
        <v/>
      </c>
      <c r="CO14" s="19">
        <f>IF(OR($C$9="",N($J$9)&lt;=80),"",CHOOSE(WEEKDAY($C$9+80,2),"L","M","M","J","V","S","D"))</f>
        <v/>
      </c>
      <c r="CP14" s="19">
        <f>IF(OR($C$9="",N($J$9)&lt;=81),"",CHOOSE(WEEKDAY($C$9+81,2),"L","M","M","J","V","S","D"))</f>
        <v/>
      </c>
      <c r="CQ14" s="19">
        <f>IF(OR($C$9="",N($J$9)&lt;=82),"",CHOOSE(WEEKDAY($C$9+82,2),"L","M","M","J","V","S","D"))</f>
        <v/>
      </c>
      <c r="CR14" s="19">
        <f>IF(OR($C$9="",N($J$9)&lt;=83),"",CHOOSE(WEEKDAY($C$9+83,2),"L","M","M","J","V","S","D"))</f>
        <v/>
      </c>
      <c r="CS14" s="19">
        <f>IF(OR($C$9="",N($J$9)&lt;=84),"",CHOOSE(WEEKDAY($C$9+84,2),"L","M","M","J","V","S","D"))</f>
        <v/>
      </c>
      <c r="CT14" s="19">
        <f>IF(OR($C$9="",N($J$9)&lt;=85),"",CHOOSE(WEEKDAY($C$9+85,2),"L","M","M","J","V","S","D"))</f>
        <v/>
      </c>
      <c r="CU14" s="19">
        <f>IF(OR($C$9="",N($J$9)&lt;=86),"",CHOOSE(WEEKDAY($C$9+86,2),"L","M","M","J","V","S","D"))</f>
        <v/>
      </c>
      <c r="CV14" s="19">
        <f>IF(OR($C$9="",N($J$9)&lt;=87),"",CHOOSE(WEEKDAY($C$9+87,2),"L","M","M","J","V","S","D"))</f>
        <v/>
      </c>
      <c r="CW14" s="19">
        <f>IF(OR($C$9="",N($J$9)&lt;=88),"",CHOOSE(WEEKDAY($C$9+88,2),"L","M","M","J","V","S","D"))</f>
        <v/>
      </c>
      <c r="CX14" s="19">
        <f>IF(OR($C$9="",N($J$9)&lt;=89),"",CHOOSE(WEEKDAY($C$9+89,2),"L","M","M","J","V","S","D"))</f>
        <v/>
      </c>
      <c r="CY14" s="19">
        <f>IF(OR($C$9="",N($J$9)&lt;=90),"",CHOOSE(WEEKDAY($C$9+90,2),"L","M","M","J","V","S","D"))</f>
        <v/>
      </c>
      <c r="CZ14" s="19">
        <f>IF(OR($C$9="",N($J$9)&lt;=91),"",CHOOSE(WEEKDAY($C$9+91,2),"L","M","M","J","V","S","D"))</f>
        <v/>
      </c>
      <c r="DA14" s="19">
        <f>IF(OR($C$9="",N($J$9)&lt;=92),"",CHOOSE(WEEKDAY($C$9+92,2),"L","M","M","J","V","S","D"))</f>
        <v/>
      </c>
      <c r="DC14" t="inlineStr">
        <is>
          <t>loc1</t>
        </is>
      </c>
      <c r="DD14" t="inlineStr">
        <is>
          <t>uc1</t>
        </is>
      </c>
      <c r="DE14" t="inlineStr">
        <is>
          <t>vr1</t>
        </is>
      </c>
      <c r="DF14" t="inlineStr">
        <is>
          <t>foc1</t>
        </is>
      </c>
      <c r="DG14" t="inlineStr">
        <is>
          <t>loc2</t>
        </is>
      </c>
      <c r="DH14" t="inlineStr">
        <is>
          <t>uc2</t>
        </is>
      </c>
      <c r="DI14" t="inlineStr">
        <is>
          <t>vr2</t>
        </is>
      </c>
      <c r="DJ14" t="inlineStr">
        <is>
          <t>foc2</t>
        </is>
      </c>
      <c r="DK14" t="inlineStr">
        <is>
          <t>loc3</t>
        </is>
      </c>
      <c r="DL14" t="inlineStr">
        <is>
          <t>uc3</t>
        </is>
      </c>
      <c r="DM14" t="inlineStr">
        <is>
          <t>vr3</t>
        </is>
      </c>
      <c r="DN14" t="inlineStr">
        <is>
          <t>foc3</t>
        </is>
      </c>
      <c r="DO14" t="inlineStr">
        <is>
          <t>bloc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n"/>
      <c r="C17" s="23" t="n"/>
      <c r="D17" s="25" t="n"/>
      <c r="E17" s="25" t="n"/>
      <c r="F17" s="25" t="n"/>
      <c r="G17" s="26" t="n"/>
      <c r="H17" s="26" t="n"/>
      <c r="I17" s="27">
        <f>COUNTIF($M17:INDEX($M17:$DA17,MAX(1,N($J$9))),"MOB")+COUNTIF($M17:INDEX($M17:$DA17,MAX(1,N($J$9))),"DEMOB")</f>
        <v/>
      </c>
      <c r="J17" s="28">
        <f>COUNTIF($M17:INDEX($M17:$DA17,MAX(1,N($J$9))),"S")+COUNTIF($M17:INDEX($M17:$DA17,MAX(1,N($J$9))),"MOB")+COUNTIF($M17:INDEX($M17:$DA17,MAX(1,N($J$9))),"DEMOB")</f>
        <v/>
      </c>
      <c r="K17" s="28">
        <f>COUNTIF($M17:INDEX($M17:$DA17,MAX(1,N($J$9))),"O")</f>
        <v/>
      </c>
      <c r="L17" s="29">
        <f>IF(B17="","",DC17+DG17+DK17+DD17+DH17+DL17)</f>
        <v/>
      </c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OR(B17="",N($J$9)&lt;=0),0,(COUNTIF(INDEX($M17:$DA17,1):INDEX($M17:$DA17,MIN(31,N($J$9))),"S")+COUNTIF(INDEX($M17:$DA17,1):INDEX($M17:$DA17,MIN(31,N($J$9))),"MOB")+COUNTIF(INDEX($M17:$DA17,1):INDEX($M17:$DA17,MIN(31,N($J$9))),"DEMOB"))*N(D17)+(COUNTIF(INDEX($M17:$DA17,1):INDEX($M17:$DA17,MIN(31,N($J$9))),"O"))*N(E17))</f>
        <v/>
      </c>
      <c r="DD17" s="31">
        <f>IF(OR(B17="",N($J$9)&lt;=0),0,(COUNTIF(INDEX($M17:$DA17,1):INDEX($M17:$DA17,MIN(31,N($J$9))),"MOB")+COUNTIF(INDEX($M17:$DA17,1):INDEX($M17:$DA17,MIN(31,N($J$9))),"DEMOB"))*N(F17))</f>
        <v/>
      </c>
      <c r="DE17" s="31" t="n">
        <v>0</v>
      </c>
      <c r="DF17" s="31" t="n">
        <v>0</v>
      </c>
      <c r="DG17" s="31">
        <f>IF(OR(B17="",N($J$9)&lt;=31),0,(COUNTIF(INDEX($M17:$DA17,32):INDEX($M17:$DA17,MIN(62,N($J$9))),"S")+COUNTIF(INDEX($M17:$DA17,32):INDEX($M17:$DA17,MIN(62,N($J$9))),"MOB")+COUNTIF(INDEX($M17:$DA17,32):INDEX($M17:$DA17,MIN(62,N($J$9))),"DEMOB"))*N(D17)+(COUNTIF(INDEX($M17:$DA17,32):INDEX($M17:$DA17,MIN(62,N($J$9))),"O"))*N(E17))</f>
        <v/>
      </c>
      <c r="DH17" s="31">
        <f>IF(OR(B17="",N($J$9)&lt;=31),0,(COUNTIF(INDEX($M17:$DA17,32):INDEX($M17:$DA17,MIN(62,N($J$9))),"MOB")+COUNTIF(INDEX($M17:$DA17,32):INDEX($M17:$DA17,MIN(62,N($J$9))),"DEMOB"))*N(F17))</f>
        <v/>
      </c>
      <c r="DI17" s="31" t="n">
        <v>0</v>
      </c>
      <c r="DJ17" s="31" t="n">
        <v>0</v>
      </c>
      <c r="DK17" s="31">
        <f>IF(OR(B17="",N($J$9)&lt;=62),0,(COUNTIF(INDEX($M17:$DA17,63):INDEX($M17:$DA17,MIN(93,N($J$9))),"S")+COUNTIF(INDEX($M17:$DA17,63):INDEX($M17:$DA17,MIN(93,N($J$9))),"MOB")+COUNTIF(INDEX($M17:$DA17,63):INDEX($M17:$DA17,MIN(93,N($J$9))),"DEMOB"))*N(D17)+(COUNTIF(INDEX($M17:$DA17,63):INDEX($M17:$DA17,MIN(93,N($J$9))),"O"))*N(E17))</f>
        <v/>
      </c>
      <c r="DL17" s="31">
        <f>IF(OR(B17="",N($J$9)&lt;=62),0,(COUNTIF(INDEX($M17:$DA17,63):INDEX($M17:$DA17,MIN(93,N($J$9))),"MOB")+COUNTIF(INDEX($M17:$DA17,63):INDEX($M17:$DA17,MIN(93,N($J$9))),"DEMOB"))*N(F17))</f>
        <v/>
      </c>
      <c r="DM17" s="31" t="n">
        <v>0</v>
      </c>
      <c r="DN17" s="31" t="n">
        <v>0</v>
      </c>
      <c r="DO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COUNTIF($M18:INDEX($M18:$DA18,MAX(1,N($J$9))),"MOB")+COUNTIF($M18:INDEX($M18:$DA18,MAX(1,N($J$9))),"DEMOB")</f>
        <v/>
      </c>
      <c r="J18" s="28">
        <f>COUNTIF($M18:INDEX($M18:$DA18,MAX(1,N($J$9))),"S")+COUNTIF($M18:INDEX($M18:$DA18,MAX(1,N($J$9))),"MOB")+COUNTIF($M18:INDEX($M18:$DA18,MAX(1,N($J$9))),"DEMOB")</f>
        <v/>
      </c>
      <c r="K18" s="28">
        <f>COUNTIF($M18:INDEX($M18:$DA18,MAX(1,N($J$9))),"O")</f>
        <v/>
      </c>
      <c r="L18" s="29">
        <f>IF(B18="","",DC18+DG18+DK18+DD18+DH18+DL18)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OR(B18="",N($J$9)&lt;=0),0,(COUNTIF(INDEX($M18:$DA18,1):INDEX($M18:$DA18,MIN(31,N($J$9))),"S")+COUNTIF(INDEX($M18:$DA18,1):INDEX($M18:$DA18,MIN(31,N($J$9))),"MOB")+COUNTIF(INDEX($M18:$DA18,1):INDEX($M18:$DA18,MIN(31,N($J$9))),"DEMOB"))*N(D18)+(COUNTIF(INDEX($M18:$DA18,1):INDEX($M18:$DA18,MIN(31,N($J$9))),"O"))*N(E18))</f>
        <v/>
      </c>
      <c r="DD18" s="31">
        <f>IF(OR(B18="",N($J$9)&lt;=0),0,(COUNTIF(INDEX($M18:$DA18,1):INDEX($M18:$DA18,MIN(31,N($J$9))),"MOB")+COUNTIF(INDEX($M18:$DA18,1):INDEX($M18:$DA18,MIN(31,N($J$9))),"DEMOB"))*N(F18))</f>
        <v/>
      </c>
      <c r="DE18" s="31" t="n">
        <v>0</v>
      </c>
      <c r="DF18" s="31" t="n">
        <v>0</v>
      </c>
      <c r="DG18" s="31">
        <f>IF(OR(B18="",N($J$9)&lt;=31),0,(COUNTIF(INDEX($M18:$DA18,32):INDEX($M18:$DA18,MIN(62,N($J$9))),"S")+COUNTIF(INDEX($M18:$DA18,32):INDEX($M18:$DA18,MIN(62,N($J$9))),"MOB")+COUNTIF(INDEX($M18:$DA18,32):INDEX($M18:$DA18,MIN(62,N($J$9))),"DEMOB"))*N(D18)+(COUNTIF(INDEX($M18:$DA18,32):INDEX($M18:$DA18,MIN(62,N($J$9))),"O"))*N(E18))</f>
        <v/>
      </c>
      <c r="DH18" s="31">
        <f>IF(OR(B18="",N($J$9)&lt;=31),0,(COUNTIF(INDEX($M18:$DA18,32):INDEX($M18:$DA18,MIN(62,N($J$9))),"MOB")+COUNTIF(INDEX($M18:$DA18,32):INDEX($M18:$DA18,MIN(62,N($J$9))),"DEMOB"))*N(F18))</f>
        <v/>
      </c>
      <c r="DI18" s="31" t="n">
        <v>0</v>
      </c>
      <c r="DJ18" s="31" t="n">
        <v>0</v>
      </c>
      <c r="DK18" s="31">
        <f>IF(OR(B18="",N($J$9)&lt;=62),0,(COUNTIF(INDEX($M18:$DA18,63):INDEX($M18:$DA18,MIN(93,N($J$9))),"S")+COUNTIF(INDEX($M18:$DA18,63):INDEX($M18:$DA18,MIN(93,N($J$9))),"MOB")+COUNTIF(INDEX($M18:$DA18,63):INDEX($M18:$DA18,MIN(93,N($J$9))),"DEMOB"))*N(D18)+(COUNTIF(INDEX($M18:$DA18,63):INDEX($M18:$DA18,MIN(93,N($J$9))),"O"))*N(E18))</f>
        <v/>
      </c>
      <c r="DL18" s="31">
        <f>IF(OR(B18="",N($J$9)&lt;=62),0,(COUNTIF(INDEX($M18:$DA18,63):INDEX($M18:$DA18,MIN(93,N($J$9))),"MOB")+COUNTIF(INDEX($M18:$DA18,63):INDEX($M18:$DA18,MIN(93,N($J$9))),"DEMOB"))*N(F18))</f>
        <v/>
      </c>
      <c r="DM18" s="31" t="n">
        <v>0</v>
      </c>
      <c r="DN18" s="31" t="n">
        <v>0</v>
      </c>
      <c r="DO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COUNTIF($M19:INDEX($M19:$DA19,MAX(1,N($J$9))),"MOB")+COUNTIF($M19:INDEX($M19:$DA19,MAX(1,N($J$9))),"DEMOB")</f>
        <v/>
      </c>
      <c r="J19" s="28">
        <f>COUNTIF($M19:INDEX($M19:$DA19,MAX(1,N($J$9))),"S")+COUNTIF($M19:INDEX($M19:$DA19,MAX(1,N($J$9))),"MOB")+COUNTIF($M19:INDEX($M19:$DA19,MAX(1,N($J$9))),"DEMOB")</f>
        <v/>
      </c>
      <c r="K19" s="28">
        <f>COUNTIF($M19:INDEX($M19:$DA19,MAX(1,N($J$9))),"O")</f>
        <v/>
      </c>
      <c r="L19" s="29">
        <f>IF(B19="","",DC19+DG19+DK19+DD19+DH19+DL19)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OR(B19="",N($J$9)&lt;=0),0,(COUNTIF(INDEX($M19:$DA19,1):INDEX($M19:$DA19,MIN(31,N($J$9))),"S")+COUNTIF(INDEX($M19:$DA19,1):INDEX($M19:$DA19,MIN(31,N($J$9))),"MOB")+COUNTIF(INDEX($M19:$DA19,1):INDEX($M19:$DA19,MIN(31,N($J$9))),"DEMOB"))*N(D19)+(COUNTIF(INDEX($M19:$DA19,1):INDEX($M19:$DA19,MIN(31,N($J$9))),"O"))*N(E19))</f>
        <v/>
      </c>
      <c r="DD19" s="31">
        <f>IF(OR(B19="",N($J$9)&lt;=0),0,(COUNTIF(INDEX($M19:$DA19,1):INDEX($M19:$DA19,MIN(31,N($J$9))),"MOB")+COUNTIF(INDEX($M19:$DA19,1):INDEX($M19:$DA19,MIN(31,N($J$9))),"DEMOB"))*N(F19))</f>
        <v/>
      </c>
      <c r="DE19" s="31" t="n">
        <v>0</v>
      </c>
      <c r="DF19" s="31" t="n">
        <v>0</v>
      </c>
      <c r="DG19" s="31">
        <f>IF(OR(B19="",N($J$9)&lt;=31),0,(COUNTIF(INDEX($M19:$DA19,32):INDEX($M19:$DA19,MIN(62,N($J$9))),"S")+COUNTIF(INDEX($M19:$DA19,32):INDEX($M19:$DA19,MIN(62,N($J$9))),"MOB")+COUNTIF(INDEX($M19:$DA19,32):INDEX($M19:$DA19,MIN(62,N($J$9))),"DEMOB"))*N(D19)+(COUNTIF(INDEX($M19:$DA19,32):INDEX($M19:$DA19,MIN(62,N($J$9))),"O"))*N(E19))</f>
        <v/>
      </c>
      <c r="DH19" s="31">
        <f>IF(OR(B19="",N($J$9)&lt;=31),0,(COUNTIF(INDEX($M19:$DA19,32):INDEX($M19:$DA19,MIN(62,N($J$9))),"MOB")+COUNTIF(INDEX($M19:$DA19,32):INDEX($M19:$DA19,MIN(62,N($J$9))),"DEMOB"))*N(F19))</f>
        <v/>
      </c>
      <c r="DI19" s="31" t="n">
        <v>0</v>
      </c>
      <c r="DJ19" s="31" t="n">
        <v>0</v>
      </c>
      <c r="DK19" s="31">
        <f>IF(OR(B19="",N($J$9)&lt;=62),0,(COUNTIF(INDEX($M19:$DA19,63):INDEX($M19:$DA19,MIN(93,N($J$9))),"S")+COUNTIF(INDEX($M19:$DA19,63):INDEX($M19:$DA19,MIN(93,N($J$9))),"MOB")+COUNTIF(INDEX($M19:$DA19,63):INDEX($M19:$DA19,MIN(93,N($J$9))),"DEMOB"))*N(D19)+(COUNTIF(INDEX($M19:$DA19,63):INDEX($M19:$DA19,MIN(93,N($J$9))),"O"))*N(E19))</f>
        <v/>
      </c>
      <c r="DL19" s="31">
        <f>IF(OR(B19="",N($J$9)&lt;=62),0,(COUNTIF(INDEX($M19:$DA19,63):INDEX($M19:$DA19,MIN(93,N($J$9))),"MOB")+COUNTIF(INDEX($M19:$DA19,63):INDEX($M19:$DA19,MIN(93,N($J$9))),"DEMOB"))*N(F19))</f>
        <v/>
      </c>
      <c r="DM19" s="31" t="n">
        <v>0</v>
      </c>
      <c r="DN19" s="31" t="n">
        <v>0</v>
      </c>
      <c r="DO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n"/>
      <c r="C22" s="32" t="n"/>
      <c r="D22" s="25" t="n"/>
      <c r="E22" s="25" t="n"/>
      <c r="F22" s="25" t="n"/>
      <c r="G22" s="25" t="n"/>
      <c r="H22" s="25" t="n"/>
      <c r="I22" s="25" t="n"/>
      <c r="J22" s="28">
        <f>IF(B22="","",COUNTIF($M22:INDEX($M22:$DA22,MAX(1,N($J$9))),"S")+COUNTIF($M22:INDEX($M22:$DA22,MAX(1,N($J$9))),"MOB")+COUNTIF($M22:INDEX($M22:$DA22,MAX(1,N($J$9))),"DEMOB"))</f>
        <v/>
      </c>
      <c r="K22" s="28">
        <f>IF(B22="","",COUNTIF($M22:INDEX($M22:$DA22,MAX(1,N($J$9))),"O"))</f>
        <v/>
      </c>
      <c r="L22" s="29">
        <f>IF(B22="","",DC22+DG22+DK22+DD22+DH22+DL22+DE22+DI22+DM22)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OR(B22="",NOT(N($J$9)&gt;0)),0,IF(N(C22)&gt;0,C22,1)*((COUNTIF(INDEX($M22:$DA22,1):INDEX($M22:$DA22,MIN(31,N($J$9))),"S")+COUNTIF(INDEX($M22:$DA22,1):INDEX($M22:$DA22,MIN(31,N($J$9))),"MOB")+COUNTIF(INDEX($M22:$DA22,1):INDEX($M22:$DA22,MIN(31,N($J$9))),"DEMOB"))*N(D22)+(COUNTIF(INDEX($M22:$DA22,1):INDEX($M22:$DA22,MIN(31,N($J$9))),"O"))*N(E22)))</f>
        <v/>
      </c>
      <c r="DD22" s="31">
        <f>IF(OR(B22="",A22="Oui",DO22&lt;&gt;1),0,IF(N(C22)&gt;0,C22,1)*(N(F22)+N(H22)))</f>
        <v/>
      </c>
      <c r="DE22" s="31">
        <f>IF(OR(B22="",NOT(N($J$9)&gt;0)),0,IF(N(C22)&gt;0,C22,1)*(IF((COUNTIF(INDEX($M22:$DA22,1):INDEX($M22:$DA22,MIN(31,N($J$9))),"VR"))&gt;0,N(G22),0)+IF((COUNTIF(INDEX($M22:$DA22,1):INDEX($M22:$DA22,MIN(31,N($J$9))),"RC"))&gt;0,N(I22),0)))</f>
        <v/>
      </c>
      <c r="DF22" s="31">
        <f>IF(OR(B22="",NOT(N($J$9)&gt;0)),0,IF(N(C22)&gt;0,C22,1)*(COUNTIF(INDEX($M22:$DA22,1):INDEX($M22:$DA22,MIN(31,N($J$9))),"FOC"))*N(E22))</f>
        <v/>
      </c>
      <c r="DG22" s="31">
        <f>IF(OR(B22="",NOT(N($J$9)&gt;31)),0,IF(N(C22)&gt;0,C22,1)*((COUNTIF(INDEX($M22:$DA22,32):INDEX($M22:$DA22,MIN(62,N($J$9))),"S")+COUNTIF(INDEX($M22:$DA22,32):INDEX($M22:$DA22,MIN(62,N($J$9))),"MOB")+COUNTIF(INDEX($M22:$DA22,32):INDEX($M22:$DA22,MIN(62,N($J$9))),"DEMOB"))*N(D22)+(COUNTIF(INDEX($M22:$DA22,32):INDEX($M22:$DA22,MIN(62,N($J$9))),"O"))*N(E22)))</f>
        <v/>
      </c>
      <c r="DH22" s="31">
        <f>IF(OR(B22="",A22="Oui",DO22&lt;&gt;2),0,IF(N(C22)&gt;0,C22,1)*(N(F22)+N(H22)))</f>
        <v/>
      </c>
      <c r="DI22" s="31">
        <f>IF(OR(B22="",NOT(N($J$9)&gt;31)),0,IF(N(C22)&gt;0,C22,1)*(IF((COUNTIF(INDEX($M22:$DA22,32):INDEX($M22:$DA22,MIN(62,N($J$9))),"VR"))&gt;0,N(G22),0)+IF((COUNTIF(INDEX($M22:$DA22,32):INDEX($M22:$DA22,MIN(62,N($J$9))),"RC"))&gt;0,N(I22),0)))</f>
        <v/>
      </c>
      <c r="DJ22" s="31">
        <f>IF(OR(B22="",NOT(N($J$9)&gt;31)),0,IF(N(C22)&gt;0,C22,1)*(COUNTIF(INDEX($M22:$DA22,32):INDEX($M22:$DA22,MIN(62,N($J$9))),"FOC"))*N(E22))</f>
        <v/>
      </c>
      <c r="DK22" s="31">
        <f>IF(OR(B22="",NOT(N($J$9)&gt;62)),0,IF(N(C22)&gt;0,C22,1)*((COUNTIF(INDEX($M22:$DA22,63):INDEX($M22:$DA22,MIN(93,N($J$9))),"S")+COUNTIF(INDEX($M22:$DA22,63):INDEX($M22:$DA22,MIN(93,N($J$9))),"MOB")+COUNTIF(INDEX($M22:$DA22,63):INDEX($M22:$DA22,MIN(93,N($J$9))),"DEMOB"))*N(D22)+(COUNTIF(INDEX($M22:$DA22,63):INDEX($M22:$DA22,MIN(93,N($J$9))),"O"))*N(E22)))</f>
        <v/>
      </c>
      <c r="DL22" s="31">
        <f>IF(OR(B22="",A22="Oui",DO22&lt;&gt;3),0,IF(N(C22)&gt;0,C22,1)*(N(F22)+N(H22)))</f>
        <v/>
      </c>
      <c r="DM22" s="31">
        <f>IF(OR(B22="",NOT(N($J$9)&gt;62)),0,IF(N(C22)&gt;0,C22,1)*(IF((COUNTIF(INDEX($M22:$DA22,63):INDEX($M22:$DA22,MIN(93,N($J$9))),"VR"))&gt;0,N(G22),0)+IF((COUNTIF(INDEX($M22:$DA22,63):INDEX($M22:$DA22,MIN(93,N($J$9))),"RC"))&gt;0,N(I22),0)))</f>
        <v/>
      </c>
      <c r="DN22" s="31">
        <f>IF(OR(B22="",NOT(N($J$9)&gt;62)),0,IF(N(C22)&gt;0,C22,1)*(COUNTIF(INDEX($M22:$DA22,63):INDEX($M22:$DA22,MIN(93,N($J$9))),"FOC"))*N(E22))</f>
        <v/>
      </c>
      <c r="DO22" s="31">
        <f>IF(B22="",0,IFERROR(INT((MATCH("O",$M22:INDEX($M22:$DA22,MAX(1,N($J$9))),0)-1)/31)+1,0))</f>
        <v/>
      </c>
    </row>
    <row r="23" ht="18" customHeight="1">
      <c r="A23" s="32" t="n"/>
      <c r="B23" s="24" t="n"/>
      <c r="C23" s="32" t="n"/>
      <c r="D23" s="25" t="n"/>
      <c r="E23" s="25" t="n"/>
      <c r="F23" s="25" t="n"/>
      <c r="G23" s="25" t="n"/>
      <c r="H23" s="25" t="n"/>
      <c r="I23" s="25" t="n"/>
      <c r="J23" s="28">
        <f>IF(B23="","",COUNTIF($M23:INDEX($M23:$DA23,MAX(1,N($J$9))),"S")+COUNTIF($M23:INDEX($M23:$DA23,MAX(1,N($J$9))),"MOB")+COUNTIF($M23:INDEX($M23:$DA23,MAX(1,N($J$9))),"DEMOB"))</f>
        <v/>
      </c>
      <c r="K23" s="28">
        <f>IF(B23="","",COUNTIF($M23:INDEX($M23:$DA23,MAX(1,N($J$9))),"O"))</f>
        <v/>
      </c>
      <c r="L23" s="29">
        <f>IF(B23="","",DC23+DG23+DK23+DD23+DH23+DL23+DE23+DI23+DM23)</f>
        <v/>
      </c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OR(B23="",NOT(N($J$9)&gt;0)),0,IF(N(C23)&gt;0,C23,1)*((COUNTIF(INDEX($M23:$DA23,1):INDEX($M23:$DA23,MIN(31,N($J$9))),"S")+COUNTIF(INDEX($M23:$DA23,1):INDEX($M23:$DA23,MIN(31,N($J$9))),"MOB")+COUNTIF(INDEX($M23:$DA23,1):INDEX($M23:$DA23,MIN(31,N($J$9))),"DEMOB"))*N(D23)+(COUNTIF(INDEX($M23:$DA23,1):INDEX($M23:$DA23,MIN(31,N($J$9))),"O"))*N(E23)))</f>
        <v/>
      </c>
      <c r="DD23" s="31">
        <f>IF(OR(B23="",A23="Oui",DO23&lt;&gt;1),0,IF(N(C23)&gt;0,C23,1)*(N(F23)+N(H23)))</f>
        <v/>
      </c>
      <c r="DE23" s="31">
        <f>IF(OR(B23="",NOT(N($J$9)&gt;0)),0,IF(N(C23)&gt;0,C23,1)*(IF((COUNTIF(INDEX($M23:$DA23,1):INDEX($M23:$DA23,MIN(31,N($J$9))),"VR"))&gt;0,N(G23),0)+IF((COUNTIF(INDEX($M23:$DA23,1):INDEX($M23:$DA23,MIN(31,N($J$9))),"RC"))&gt;0,N(I23),0)))</f>
        <v/>
      </c>
      <c r="DF23" s="31">
        <f>IF(OR(B23="",NOT(N($J$9)&gt;0)),0,IF(N(C23)&gt;0,C23,1)*(COUNTIF(INDEX($M23:$DA23,1):INDEX($M23:$DA23,MIN(31,N($J$9))),"FOC"))*N(E23))</f>
        <v/>
      </c>
      <c r="DG23" s="31">
        <f>IF(OR(B23="",NOT(N($J$9)&gt;31)),0,IF(N(C23)&gt;0,C23,1)*((COUNTIF(INDEX($M23:$DA23,32):INDEX($M23:$DA23,MIN(62,N($J$9))),"S")+COUNTIF(INDEX($M23:$DA23,32):INDEX($M23:$DA23,MIN(62,N($J$9))),"MOB")+COUNTIF(INDEX($M23:$DA23,32):INDEX($M23:$DA23,MIN(62,N($J$9))),"DEMOB"))*N(D23)+(COUNTIF(INDEX($M23:$DA23,32):INDEX($M23:$DA23,MIN(62,N($J$9))),"O"))*N(E23)))</f>
        <v/>
      </c>
      <c r="DH23" s="31">
        <f>IF(OR(B23="",A23="Oui",DO23&lt;&gt;2),0,IF(N(C23)&gt;0,C23,1)*(N(F23)+N(H23)))</f>
        <v/>
      </c>
      <c r="DI23" s="31">
        <f>IF(OR(B23="",NOT(N($J$9)&gt;31)),0,IF(N(C23)&gt;0,C23,1)*(IF((COUNTIF(INDEX($M23:$DA23,32):INDEX($M23:$DA23,MIN(62,N($J$9))),"VR"))&gt;0,N(G23),0)+IF((COUNTIF(INDEX($M23:$DA23,32):INDEX($M23:$DA23,MIN(62,N($J$9))),"RC"))&gt;0,N(I23),0)))</f>
        <v/>
      </c>
      <c r="DJ23" s="31">
        <f>IF(OR(B23="",NOT(N($J$9)&gt;31)),0,IF(N(C23)&gt;0,C23,1)*(COUNTIF(INDEX($M23:$DA23,32):INDEX($M23:$DA23,MIN(62,N($J$9))),"FOC"))*N(E23))</f>
        <v/>
      </c>
      <c r="DK23" s="31">
        <f>IF(OR(B23="",NOT(N($J$9)&gt;62)),0,IF(N(C23)&gt;0,C23,1)*((COUNTIF(INDEX($M23:$DA23,63):INDEX($M23:$DA23,MIN(93,N($J$9))),"S")+COUNTIF(INDEX($M23:$DA23,63):INDEX($M23:$DA23,MIN(93,N($J$9))),"MOB")+COUNTIF(INDEX($M23:$DA23,63):INDEX($M23:$DA23,MIN(93,N($J$9))),"DEMOB"))*N(D23)+(COUNTIF(INDEX($M23:$DA23,63):INDEX($M23:$DA23,MIN(93,N($J$9))),"O"))*N(E23)))</f>
        <v/>
      </c>
      <c r="DL23" s="31">
        <f>IF(OR(B23="",A23="Oui",DO23&lt;&gt;3),0,IF(N(C23)&gt;0,C23,1)*(N(F23)+N(H23)))</f>
        <v/>
      </c>
      <c r="DM23" s="31">
        <f>IF(OR(B23="",NOT(N($J$9)&gt;62)),0,IF(N(C23)&gt;0,C23,1)*(IF((COUNTIF(INDEX($M23:$DA23,63):INDEX($M23:$DA23,MIN(93,N($J$9))),"VR"))&gt;0,N(G23),0)+IF((COUNTIF(INDEX($M23:$DA23,63):INDEX($M23:$DA23,MIN(93,N($J$9))),"RC"))&gt;0,N(I23),0)))</f>
        <v/>
      </c>
      <c r="DN23" s="31">
        <f>IF(OR(B23="",NOT(N($J$9)&gt;62)),0,IF(N(C23)&gt;0,C23,1)*(COUNTIF(INDEX($M23:$DA23,63):INDEX($M23:$DA23,MIN(93,N($J$9))),"FOC"))*N(E23))</f>
        <v/>
      </c>
      <c r="DO23" s="31">
        <f>IF(B23="",0,IFERROR(INT((MATCH("O",$M23:INDEX($M23:$DA23,MAX(1,N($J$9))),0)-1)/31)+1,0))</f>
        <v/>
      </c>
    </row>
    <row r="24" ht="18" customHeight="1">
      <c r="A24" s="32" t="n"/>
      <c r="B24" s="24" t="n"/>
      <c r="C24" s="32" t="n"/>
      <c r="D24" s="25" t="n"/>
      <c r="E24" s="25" t="n"/>
      <c r="F24" s="25" t="n"/>
      <c r="G24" s="25" t="n"/>
      <c r="H24" s="25" t="n"/>
      <c r="I24" s="25" t="n"/>
      <c r="J24" s="28">
        <f>IF(B24="","",COUNTIF($M24:INDEX($M24:$DA24,MAX(1,N($J$9))),"S")+COUNTIF($M24:INDEX($M24:$DA24,MAX(1,N($J$9))),"MOB")+COUNTIF($M24:INDEX($M24:$DA24,MAX(1,N($J$9))),"DEMOB"))</f>
        <v/>
      </c>
      <c r="K24" s="28">
        <f>IF(B24="","",COUNTIF($M24:INDEX($M24:$DA24,MAX(1,N($J$9))),"O"))</f>
        <v/>
      </c>
      <c r="L24" s="29">
        <f>IF(B24="","",DC24+DG24+DK24+DD24+DH24+DL24+DE24+DI24+DM24)</f>
        <v/>
      </c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OR(B24="",NOT(N($J$9)&gt;0)),0,IF(N(C24)&gt;0,C24,1)*((COUNTIF(INDEX($M24:$DA24,1):INDEX($M24:$DA24,MIN(31,N($J$9))),"S")+COUNTIF(INDEX($M24:$DA24,1):INDEX($M24:$DA24,MIN(31,N($J$9))),"MOB")+COUNTIF(INDEX($M24:$DA24,1):INDEX($M24:$DA24,MIN(31,N($J$9))),"DEMOB"))*N(D24)+(COUNTIF(INDEX($M24:$DA24,1):INDEX($M24:$DA24,MIN(31,N($J$9))),"O"))*N(E24)))</f>
        <v/>
      </c>
      <c r="DD24" s="31">
        <f>IF(OR(B24="",A24="Oui",DO24&lt;&gt;1),0,IF(N(C24)&gt;0,C24,1)*(N(F24)+N(H24)))</f>
        <v/>
      </c>
      <c r="DE24" s="31">
        <f>IF(OR(B24="",NOT(N($J$9)&gt;0)),0,IF(N(C24)&gt;0,C24,1)*(IF((COUNTIF(INDEX($M24:$DA24,1):INDEX($M24:$DA24,MIN(31,N($J$9))),"VR"))&gt;0,N(G24),0)+IF((COUNTIF(INDEX($M24:$DA24,1):INDEX($M24:$DA24,MIN(31,N($J$9))),"RC"))&gt;0,N(I24),0)))</f>
        <v/>
      </c>
      <c r="DF24" s="31">
        <f>IF(OR(B24="",NOT(N($J$9)&gt;0)),0,IF(N(C24)&gt;0,C24,1)*(COUNTIF(INDEX($M24:$DA24,1):INDEX($M24:$DA24,MIN(31,N($J$9))),"FOC"))*N(E24))</f>
        <v/>
      </c>
      <c r="DG24" s="31">
        <f>IF(OR(B24="",NOT(N($J$9)&gt;31)),0,IF(N(C24)&gt;0,C24,1)*((COUNTIF(INDEX($M24:$DA24,32):INDEX($M24:$DA24,MIN(62,N($J$9))),"S")+COUNTIF(INDEX($M24:$DA24,32):INDEX($M24:$DA24,MIN(62,N($J$9))),"MOB")+COUNTIF(INDEX($M24:$DA24,32):INDEX($M24:$DA24,MIN(62,N($J$9))),"DEMOB"))*N(D24)+(COUNTIF(INDEX($M24:$DA24,32):INDEX($M24:$DA24,MIN(62,N($J$9))),"O"))*N(E24)))</f>
        <v/>
      </c>
      <c r="DH24" s="31">
        <f>IF(OR(B24="",A24="Oui",DO24&lt;&gt;2),0,IF(N(C24)&gt;0,C24,1)*(N(F24)+N(H24)))</f>
        <v/>
      </c>
      <c r="DI24" s="31">
        <f>IF(OR(B24="",NOT(N($J$9)&gt;31)),0,IF(N(C24)&gt;0,C24,1)*(IF((COUNTIF(INDEX($M24:$DA24,32):INDEX($M24:$DA24,MIN(62,N($J$9))),"VR"))&gt;0,N(G24),0)+IF((COUNTIF(INDEX($M24:$DA24,32):INDEX($M24:$DA24,MIN(62,N($J$9))),"RC"))&gt;0,N(I24),0)))</f>
        <v/>
      </c>
      <c r="DJ24" s="31">
        <f>IF(OR(B24="",NOT(N($J$9)&gt;31)),0,IF(N(C24)&gt;0,C24,1)*(COUNTIF(INDEX($M24:$DA24,32):INDEX($M24:$DA24,MIN(62,N($J$9))),"FOC"))*N(E24))</f>
        <v/>
      </c>
      <c r="DK24" s="31">
        <f>IF(OR(B24="",NOT(N($J$9)&gt;62)),0,IF(N(C24)&gt;0,C24,1)*((COUNTIF(INDEX($M24:$DA24,63):INDEX($M24:$DA24,MIN(93,N($J$9))),"S")+COUNTIF(INDEX($M24:$DA24,63):INDEX($M24:$DA24,MIN(93,N($J$9))),"MOB")+COUNTIF(INDEX($M24:$DA24,63):INDEX($M24:$DA24,MIN(93,N($J$9))),"DEMOB"))*N(D24)+(COUNTIF(INDEX($M24:$DA24,63):INDEX($M24:$DA24,MIN(93,N($J$9))),"O"))*N(E24)))</f>
        <v/>
      </c>
      <c r="DL24" s="31">
        <f>IF(OR(B24="",A24="Oui",DO24&lt;&gt;3),0,IF(N(C24)&gt;0,C24,1)*(N(F24)+N(H24)))</f>
        <v/>
      </c>
      <c r="DM24" s="31">
        <f>IF(OR(B24="",NOT(N($J$9)&gt;62)),0,IF(N(C24)&gt;0,C24,1)*(IF((COUNTIF(INDEX($M24:$DA24,63):INDEX($M24:$DA24,MIN(93,N($J$9))),"VR"))&gt;0,N(G24),0)+IF((COUNTIF(INDEX($M24:$DA24,63):INDEX($M24:$DA24,MIN(93,N($J$9))),"RC"))&gt;0,N(I24),0)))</f>
        <v/>
      </c>
      <c r="DN24" s="31">
        <f>IF(OR(B24="",NOT(N($J$9)&gt;62)),0,IF(N(C24)&gt;0,C24,1)*(COUNTIF(INDEX($M24:$DA24,63):INDEX($M24:$DA24,MIN(93,N($J$9))),"FOC"))*N(E24))</f>
        <v/>
      </c>
      <c r="DO24" s="31">
        <f>IF(B24="",0,IFERROR(INT((MATCH("O",$M24:INDEX($M24:$DA24,MAX(1,N($J$9))),0)-1)/31)+1,0))</f>
        <v/>
      </c>
    </row>
    <row r="25" ht="18" customHeight="1">
      <c r="A25" s="32" t="n"/>
      <c r="B25" s="24" t="n"/>
      <c r="C25" s="32" t="n"/>
      <c r="D25" s="25" t="n"/>
      <c r="E25" s="25" t="n"/>
      <c r="F25" s="25" t="n"/>
      <c r="G25" s="25" t="n"/>
      <c r="H25" s="25" t="n"/>
      <c r="I25" s="25" t="n"/>
      <c r="J25" s="28">
        <f>IF(B25="","",COUNTIF($M25:INDEX($M25:$DA25,MAX(1,N($J$9))),"S")+COUNTIF($M25:INDEX($M25:$DA25,MAX(1,N($J$9))),"MOB")+COUNTIF($M25:INDEX($M25:$DA25,MAX(1,N($J$9))),"DEMOB"))</f>
        <v/>
      </c>
      <c r="K25" s="28">
        <f>IF(B25="","",COUNTIF($M25:INDEX($M25:$DA25,MAX(1,N($J$9))),"O"))</f>
        <v/>
      </c>
      <c r="L25" s="29">
        <f>IF(B25="","",DC25+DG25+DK25+DD25+DH25+DL25+DE25+DI25+DM25)</f>
        <v/>
      </c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OR(B25="",NOT(N($J$9)&gt;0)),0,IF(N(C25)&gt;0,C25,1)*((COUNTIF(INDEX($M25:$DA25,1):INDEX($M25:$DA25,MIN(31,N($J$9))),"S")+COUNTIF(INDEX($M25:$DA25,1):INDEX($M25:$DA25,MIN(31,N($J$9))),"MOB")+COUNTIF(INDEX($M25:$DA25,1):INDEX($M25:$DA25,MIN(31,N($J$9))),"DEMOB"))*N(D25)+(COUNTIF(INDEX($M25:$DA25,1):INDEX($M25:$DA25,MIN(31,N($J$9))),"O"))*N(E25)))</f>
        <v/>
      </c>
      <c r="DD25" s="31">
        <f>IF(OR(B25="",A25="Oui",DO25&lt;&gt;1),0,IF(N(C25)&gt;0,C25,1)*(N(F25)+N(H25)))</f>
        <v/>
      </c>
      <c r="DE25" s="31">
        <f>IF(OR(B25="",NOT(N($J$9)&gt;0)),0,IF(N(C25)&gt;0,C25,1)*(IF((COUNTIF(INDEX($M25:$DA25,1):INDEX($M25:$DA25,MIN(31,N($J$9))),"VR"))&gt;0,N(G25),0)+IF((COUNTIF(INDEX($M25:$DA25,1):INDEX($M25:$DA25,MIN(31,N($J$9))),"RC"))&gt;0,N(I25),0)))</f>
        <v/>
      </c>
      <c r="DF25" s="31">
        <f>IF(OR(B25="",NOT(N($J$9)&gt;0)),0,IF(N(C25)&gt;0,C25,1)*(COUNTIF(INDEX($M25:$DA25,1):INDEX($M25:$DA25,MIN(31,N($J$9))),"FOC"))*N(E25))</f>
        <v/>
      </c>
      <c r="DG25" s="31">
        <f>IF(OR(B25="",NOT(N($J$9)&gt;31)),0,IF(N(C25)&gt;0,C25,1)*((COUNTIF(INDEX($M25:$DA25,32):INDEX($M25:$DA25,MIN(62,N($J$9))),"S")+COUNTIF(INDEX($M25:$DA25,32):INDEX($M25:$DA25,MIN(62,N($J$9))),"MOB")+COUNTIF(INDEX($M25:$DA25,32):INDEX($M25:$DA25,MIN(62,N($J$9))),"DEMOB"))*N(D25)+(COUNTIF(INDEX($M25:$DA25,32):INDEX($M25:$DA25,MIN(62,N($J$9))),"O"))*N(E25)))</f>
        <v/>
      </c>
      <c r="DH25" s="31">
        <f>IF(OR(B25="",A25="Oui",DO25&lt;&gt;2),0,IF(N(C25)&gt;0,C25,1)*(N(F25)+N(H25)))</f>
        <v/>
      </c>
      <c r="DI25" s="31">
        <f>IF(OR(B25="",NOT(N($J$9)&gt;31)),0,IF(N(C25)&gt;0,C25,1)*(IF((COUNTIF(INDEX($M25:$DA25,32):INDEX($M25:$DA25,MIN(62,N($J$9))),"VR"))&gt;0,N(G25),0)+IF((COUNTIF(INDEX($M25:$DA25,32):INDEX($M25:$DA25,MIN(62,N($J$9))),"RC"))&gt;0,N(I25),0)))</f>
        <v/>
      </c>
      <c r="DJ25" s="31">
        <f>IF(OR(B25="",NOT(N($J$9)&gt;31)),0,IF(N(C25)&gt;0,C25,1)*(COUNTIF(INDEX($M25:$DA25,32):INDEX($M25:$DA25,MIN(62,N($J$9))),"FOC"))*N(E25))</f>
        <v/>
      </c>
      <c r="DK25" s="31">
        <f>IF(OR(B25="",NOT(N($J$9)&gt;62)),0,IF(N(C25)&gt;0,C25,1)*((COUNTIF(INDEX($M25:$DA25,63):INDEX($M25:$DA25,MIN(93,N($J$9))),"S")+COUNTIF(INDEX($M25:$DA25,63):INDEX($M25:$DA25,MIN(93,N($J$9))),"MOB")+COUNTIF(INDEX($M25:$DA25,63):INDEX($M25:$DA25,MIN(93,N($J$9))),"DEMOB"))*N(D25)+(COUNTIF(INDEX($M25:$DA25,63):INDEX($M25:$DA25,MIN(93,N($J$9))),"O"))*N(E25)))</f>
        <v/>
      </c>
      <c r="DL25" s="31">
        <f>IF(OR(B25="",A25="Oui",DO25&lt;&gt;3),0,IF(N(C25)&gt;0,C25,1)*(N(F25)+N(H25)))</f>
        <v/>
      </c>
      <c r="DM25" s="31">
        <f>IF(OR(B25="",NOT(N($J$9)&gt;62)),0,IF(N(C25)&gt;0,C25,1)*(IF((COUNTIF(INDEX($M25:$DA25,63):INDEX($M25:$DA25,MIN(93,N($J$9))),"VR"))&gt;0,N(G25),0)+IF((COUNTIF(INDEX($M25:$DA25,63):INDEX($M25:$DA25,MIN(93,N($J$9))),"RC"))&gt;0,N(I25),0)))</f>
        <v/>
      </c>
      <c r="DN25" s="31">
        <f>IF(OR(B25="",NOT(N($J$9)&gt;62)),0,IF(N(C25)&gt;0,C25,1)*(COUNTIF(INDEX($M25:$DA25,63):INDEX($M25:$DA25,MIN(93,N($J$9))),"FOC"))*N(E25))</f>
        <v/>
      </c>
      <c r="DO25" s="31">
        <f>IF(B25="",0,IFERROR(INT((MATCH("O",$M25:INDEX($M25:$DA25,MAX(1,N($J$9))),0)-1)/31)+1,0))</f>
        <v/>
      </c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IF(B26="","",COUNTIF($M26:INDEX($M26:$DA26,MAX(1,N($J$9))),"S")+COUNTIF($M26:INDEX($M26:$DA26,MAX(1,N($J$9))),"MOB")+COUNTIF($M26:INDEX($M26:$DA26,MAX(1,N($J$9))),"DEMOB"))</f>
        <v/>
      </c>
      <c r="K26" s="28">
        <f>IF(B26="","",COUNTIF($M26:INDEX($M26:$DA26,MAX(1,N($J$9))),"O"))</f>
        <v/>
      </c>
      <c r="L26" s="29">
        <f>IF(B26="","",DC26+DG26+DK26+DD26+DH26+DL26+DE26+DI26+DM26)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OR(B26="",NOT(N($J$9)&gt;0)),0,IF(N(C26)&gt;0,C26,1)*((COUNTIF(INDEX($M26:$DA26,1):INDEX($M26:$DA26,MIN(31,N($J$9))),"S")+COUNTIF(INDEX($M26:$DA26,1):INDEX($M26:$DA26,MIN(31,N($J$9))),"MOB")+COUNTIF(INDEX($M26:$DA26,1):INDEX($M26:$DA26,MIN(31,N($J$9))),"DEMOB"))*N(D26)+(COUNTIF(INDEX($M26:$DA26,1):INDEX($M26:$DA26,MIN(31,N($J$9))),"O"))*N(E26)))</f>
        <v/>
      </c>
      <c r="DD26" s="31">
        <f>IF(OR(B26="",A26="Oui",DO26&lt;&gt;1),0,IF(N(C26)&gt;0,C26,1)*(N(F26)+N(H26)))</f>
        <v/>
      </c>
      <c r="DE26" s="31">
        <f>IF(OR(B26="",NOT(N($J$9)&gt;0)),0,IF(N(C26)&gt;0,C26,1)*(IF((COUNTIF(INDEX($M26:$DA26,1):INDEX($M26:$DA26,MIN(31,N($J$9))),"VR"))&gt;0,N(G26),0)+IF((COUNTIF(INDEX($M26:$DA26,1):INDEX($M26:$DA26,MIN(31,N($J$9))),"RC"))&gt;0,N(I26),0)))</f>
        <v/>
      </c>
      <c r="DF26" s="31">
        <f>IF(OR(B26="",NOT(N($J$9)&gt;0)),0,IF(N(C26)&gt;0,C26,1)*(COUNTIF(INDEX($M26:$DA26,1):INDEX($M26:$DA26,MIN(31,N($J$9))),"FOC"))*N(E26))</f>
        <v/>
      </c>
      <c r="DG26" s="31">
        <f>IF(OR(B26="",NOT(N($J$9)&gt;31)),0,IF(N(C26)&gt;0,C26,1)*((COUNTIF(INDEX($M26:$DA26,32):INDEX($M26:$DA26,MIN(62,N($J$9))),"S")+COUNTIF(INDEX($M26:$DA26,32):INDEX($M26:$DA26,MIN(62,N($J$9))),"MOB")+COUNTIF(INDEX($M26:$DA26,32):INDEX($M26:$DA26,MIN(62,N($J$9))),"DEMOB"))*N(D26)+(COUNTIF(INDEX($M26:$DA26,32):INDEX($M26:$DA26,MIN(62,N($J$9))),"O"))*N(E26)))</f>
        <v/>
      </c>
      <c r="DH26" s="31">
        <f>IF(OR(B26="",A26="Oui",DO26&lt;&gt;2),0,IF(N(C26)&gt;0,C26,1)*(N(F26)+N(H26)))</f>
        <v/>
      </c>
      <c r="DI26" s="31">
        <f>IF(OR(B26="",NOT(N($J$9)&gt;31)),0,IF(N(C26)&gt;0,C26,1)*(IF((COUNTIF(INDEX($M26:$DA26,32):INDEX($M26:$DA26,MIN(62,N($J$9))),"VR"))&gt;0,N(G26),0)+IF((COUNTIF(INDEX($M26:$DA26,32):INDEX($M26:$DA26,MIN(62,N($J$9))),"RC"))&gt;0,N(I26),0)))</f>
        <v/>
      </c>
      <c r="DJ26" s="31">
        <f>IF(OR(B26="",NOT(N($J$9)&gt;31)),0,IF(N(C26)&gt;0,C26,1)*(COUNTIF(INDEX($M26:$DA26,32):INDEX($M26:$DA26,MIN(62,N($J$9))),"FOC"))*N(E26))</f>
        <v/>
      </c>
      <c r="DK26" s="31">
        <f>IF(OR(B26="",NOT(N($J$9)&gt;62)),0,IF(N(C26)&gt;0,C26,1)*((COUNTIF(INDEX($M26:$DA26,63):INDEX($M26:$DA26,MIN(93,N($J$9))),"S")+COUNTIF(INDEX($M26:$DA26,63):INDEX($M26:$DA26,MIN(93,N($J$9))),"MOB")+COUNTIF(INDEX($M26:$DA26,63):INDEX($M26:$DA26,MIN(93,N($J$9))),"DEMOB"))*N(D26)+(COUNTIF(INDEX($M26:$DA26,63):INDEX($M26:$DA26,MIN(93,N($J$9))),"O"))*N(E26)))</f>
        <v/>
      </c>
      <c r="DL26" s="31">
        <f>IF(OR(B26="",A26="Oui",DO26&lt;&gt;3),0,IF(N(C26)&gt;0,C26,1)*(N(F26)+N(H26)))</f>
        <v/>
      </c>
      <c r="DM26" s="31">
        <f>IF(OR(B26="",NOT(N($J$9)&gt;62)),0,IF(N(C26)&gt;0,C26,1)*(IF((COUNTIF(INDEX($M26:$DA26,63):INDEX($M26:$DA26,MIN(93,N($J$9))),"VR"))&gt;0,N(G26),0)+IF((COUNTIF(INDEX($M26:$DA26,63):INDEX($M26:$DA26,MIN(93,N($J$9))),"RC"))&gt;0,N(I26),0)))</f>
        <v/>
      </c>
      <c r="DN26" s="31">
        <f>IF(OR(B26="",NOT(N($J$9)&gt;62)),0,IF(N(C26)&gt;0,C26,1)*(COUNTIF(INDEX($M26:$DA26,63):INDEX($M26:$DA26,MIN(93,N($J$9))),"FOC"))*N(E26))</f>
        <v/>
      </c>
      <c r="DO26" s="31">
        <f>IF(B26="",0,IFERROR(INT((MATCH("O",$M26:INDEX($M26:$DA26,MAX(1,N($J$9))),0)-1)/31)+1,0))</f>
        <v/>
      </c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IF(B27="","",COUNTIF($M27:INDEX($M27:$DA27,MAX(1,N($J$9))),"S")+COUNTIF($M27:INDEX($M27:$DA27,MAX(1,N($J$9))),"MOB")+COUNTIF($M27:INDEX($M27:$DA27,MAX(1,N($J$9))),"DEMOB"))</f>
        <v/>
      </c>
      <c r="K27" s="28">
        <f>IF(B27="","",COUNTIF($M27:INDEX($M27:$DA27,MAX(1,N($J$9))),"O"))</f>
        <v/>
      </c>
      <c r="L27" s="29">
        <f>IF(B27="","",DC27+DG27+DK27+DD27+DH27+DL27+DE27+DI27+DM27)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OR(B27="",NOT(N($J$9)&gt;0)),0,IF(N(C27)&gt;0,C27,1)*((COUNTIF(INDEX($M27:$DA27,1):INDEX($M27:$DA27,MIN(31,N($J$9))),"S")+COUNTIF(INDEX($M27:$DA27,1):INDEX($M27:$DA27,MIN(31,N($J$9))),"MOB")+COUNTIF(INDEX($M27:$DA27,1):INDEX($M27:$DA27,MIN(31,N($J$9))),"DEMOB"))*N(D27)+(COUNTIF(INDEX($M27:$DA27,1):INDEX($M27:$DA27,MIN(31,N($J$9))),"O"))*N(E27)))</f>
        <v/>
      </c>
      <c r="DD27" s="31">
        <f>IF(OR(B27="",A27="Oui",DO27&lt;&gt;1),0,IF(N(C27)&gt;0,C27,1)*(N(F27)+N(H27)))</f>
        <v/>
      </c>
      <c r="DE27" s="31">
        <f>IF(OR(B27="",NOT(N($J$9)&gt;0)),0,IF(N(C27)&gt;0,C27,1)*(IF((COUNTIF(INDEX($M27:$DA27,1):INDEX($M27:$DA27,MIN(31,N($J$9))),"VR"))&gt;0,N(G27),0)+IF((COUNTIF(INDEX($M27:$DA27,1):INDEX($M27:$DA27,MIN(31,N($J$9))),"RC"))&gt;0,N(I27),0)))</f>
        <v/>
      </c>
      <c r="DF27" s="31">
        <f>IF(OR(B27="",NOT(N($J$9)&gt;0)),0,IF(N(C27)&gt;0,C27,1)*(COUNTIF(INDEX($M27:$DA27,1):INDEX($M27:$DA27,MIN(31,N($J$9))),"FOC"))*N(E27))</f>
        <v/>
      </c>
      <c r="DG27" s="31">
        <f>IF(OR(B27="",NOT(N($J$9)&gt;31)),0,IF(N(C27)&gt;0,C27,1)*((COUNTIF(INDEX($M27:$DA27,32):INDEX($M27:$DA27,MIN(62,N($J$9))),"S")+COUNTIF(INDEX($M27:$DA27,32):INDEX($M27:$DA27,MIN(62,N($J$9))),"MOB")+COUNTIF(INDEX($M27:$DA27,32):INDEX($M27:$DA27,MIN(62,N($J$9))),"DEMOB"))*N(D27)+(COUNTIF(INDEX($M27:$DA27,32):INDEX($M27:$DA27,MIN(62,N($J$9))),"O"))*N(E27)))</f>
        <v/>
      </c>
      <c r="DH27" s="31">
        <f>IF(OR(B27="",A27="Oui",DO27&lt;&gt;2),0,IF(N(C27)&gt;0,C27,1)*(N(F27)+N(H27)))</f>
        <v/>
      </c>
      <c r="DI27" s="31">
        <f>IF(OR(B27="",NOT(N($J$9)&gt;31)),0,IF(N(C27)&gt;0,C27,1)*(IF((COUNTIF(INDEX($M27:$DA27,32):INDEX($M27:$DA27,MIN(62,N($J$9))),"VR"))&gt;0,N(G27),0)+IF((COUNTIF(INDEX($M27:$DA27,32):INDEX($M27:$DA27,MIN(62,N($J$9))),"RC"))&gt;0,N(I27),0)))</f>
        <v/>
      </c>
      <c r="DJ27" s="31">
        <f>IF(OR(B27="",NOT(N($J$9)&gt;31)),0,IF(N(C27)&gt;0,C27,1)*(COUNTIF(INDEX($M27:$DA27,32):INDEX($M27:$DA27,MIN(62,N($J$9))),"FOC"))*N(E27))</f>
        <v/>
      </c>
      <c r="DK27" s="31">
        <f>IF(OR(B27="",NOT(N($J$9)&gt;62)),0,IF(N(C27)&gt;0,C27,1)*((COUNTIF(INDEX($M27:$DA27,63):INDEX($M27:$DA27,MIN(93,N($J$9))),"S")+COUNTIF(INDEX($M27:$DA27,63):INDEX($M27:$DA27,MIN(93,N($J$9))),"MOB")+COUNTIF(INDEX($M27:$DA27,63):INDEX($M27:$DA27,MIN(93,N($J$9))),"DEMOB"))*N(D27)+(COUNTIF(INDEX($M27:$DA27,63):INDEX($M27:$DA27,MIN(93,N($J$9))),"O"))*N(E27)))</f>
        <v/>
      </c>
      <c r="DL27" s="31">
        <f>IF(OR(B27="",A27="Oui",DO27&lt;&gt;3),0,IF(N(C27)&gt;0,C27,1)*(N(F27)+N(H27)))</f>
        <v/>
      </c>
      <c r="DM27" s="31">
        <f>IF(OR(B27="",NOT(N($J$9)&gt;62)),0,IF(N(C27)&gt;0,C27,1)*(IF((COUNTIF(INDEX($M27:$DA27,63):INDEX($M27:$DA27,MIN(93,N($J$9))),"VR"))&gt;0,N(G27),0)+IF((COUNTIF(INDEX($M27:$DA27,63):INDEX($M27:$DA27,MIN(93,N($J$9))),"RC"))&gt;0,N(I27),0)))</f>
        <v/>
      </c>
      <c r="DN27" s="31">
        <f>IF(OR(B27="",NOT(N($J$9)&gt;62)),0,IF(N(C27)&gt;0,C27,1)*(COUNTIF(INDEX($M27:$DA27,63):INDEX($M27:$DA27,MIN(93,N($J$9))),"FOC"))*N(E27))</f>
        <v/>
      </c>
      <c r="DO27" s="31">
        <f>IF(B27="",0,IFERROR(INT((MATCH("O",$M27:INDEX($M27:$DA27,MAX(1,N($J$9))),0)-1)/31)+1,0))</f>
        <v/>
      </c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IF(B28="","",COUNTIF($M28:INDEX($M28:$DA28,MAX(1,N($J$9))),"S")+COUNTIF($M28:INDEX($M28:$DA28,MAX(1,N($J$9))),"MOB")+COUNTIF($M28:INDEX($M28:$DA28,MAX(1,N($J$9))),"DEMOB"))</f>
        <v/>
      </c>
      <c r="K28" s="28">
        <f>IF(B28="","",COUNTIF($M28:INDEX($M28:$DA28,MAX(1,N($J$9))),"O"))</f>
        <v/>
      </c>
      <c r="L28" s="29">
        <f>IF(B28="","",DC28+DG28+DK28+DD28+DH28+DL28+DE28+DI28+DM28)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OR(B28="",NOT(N($J$9)&gt;0)),0,IF(N(C28)&gt;0,C28,1)*((COUNTIF(INDEX($M28:$DA28,1):INDEX($M28:$DA28,MIN(31,N($J$9))),"S")+COUNTIF(INDEX($M28:$DA28,1):INDEX($M28:$DA28,MIN(31,N($J$9))),"MOB")+COUNTIF(INDEX($M28:$DA28,1):INDEX($M28:$DA28,MIN(31,N($J$9))),"DEMOB"))*N(D28)+(COUNTIF(INDEX($M28:$DA28,1):INDEX($M28:$DA28,MIN(31,N($J$9))),"O"))*N(E28)))</f>
        <v/>
      </c>
      <c r="DD28" s="31">
        <f>IF(OR(B28="",A28="Oui",DO28&lt;&gt;1),0,IF(N(C28)&gt;0,C28,1)*(N(F28)+N(H28)))</f>
        <v/>
      </c>
      <c r="DE28" s="31">
        <f>IF(OR(B28="",NOT(N($J$9)&gt;0)),0,IF(N(C28)&gt;0,C28,1)*(IF((COUNTIF(INDEX($M28:$DA28,1):INDEX($M28:$DA28,MIN(31,N($J$9))),"VR"))&gt;0,N(G28),0)+IF((COUNTIF(INDEX($M28:$DA28,1):INDEX($M28:$DA28,MIN(31,N($J$9))),"RC"))&gt;0,N(I28),0)))</f>
        <v/>
      </c>
      <c r="DF28" s="31">
        <f>IF(OR(B28="",NOT(N($J$9)&gt;0)),0,IF(N(C28)&gt;0,C28,1)*(COUNTIF(INDEX($M28:$DA28,1):INDEX($M28:$DA28,MIN(31,N($J$9))),"FOC"))*N(E28))</f>
        <v/>
      </c>
      <c r="DG28" s="31">
        <f>IF(OR(B28="",NOT(N($J$9)&gt;31)),0,IF(N(C28)&gt;0,C28,1)*((COUNTIF(INDEX($M28:$DA28,32):INDEX($M28:$DA28,MIN(62,N($J$9))),"S")+COUNTIF(INDEX($M28:$DA28,32):INDEX($M28:$DA28,MIN(62,N($J$9))),"MOB")+COUNTIF(INDEX($M28:$DA28,32):INDEX($M28:$DA28,MIN(62,N($J$9))),"DEMOB"))*N(D28)+(COUNTIF(INDEX($M28:$DA28,32):INDEX($M28:$DA28,MIN(62,N($J$9))),"O"))*N(E28)))</f>
        <v/>
      </c>
      <c r="DH28" s="31">
        <f>IF(OR(B28="",A28="Oui",DO28&lt;&gt;2),0,IF(N(C28)&gt;0,C28,1)*(N(F28)+N(H28)))</f>
        <v/>
      </c>
      <c r="DI28" s="31">
        <f>IF(OR(B28="",NOT(N($J$9)&gt;31)),0,IF(N(C28)&gt;0,C28,1)*(IF((COUNTIF(INDEX($M28:$DA28,32):INDEX($M28:$DA28,MIN(62,N($J$9))),"VR"))&gt;0,N(G28),0)+IF((COUNTIF(INDEX($M28:$DA28,32):INDEX($M28:$DA28,MIN(62,N($J$9))),"RC"))&gt;0,N(I28),0)))</f>
        <v/>
      </c>
      <c r="DJ28" s="31">
        <f>IF(OR(B28="",NOT(N($J$9)&gt;31)),0,IF(N(C28)&gt;0,C28,1)*(COUNTIF(INDEX($M28:$DA28,32):INDEX($M28:$DA28,MIN(62,N($J$9))),"FOC"))*N(E28))</f>
        <v/>
      </c>
      <c r="DK28" s="31">
        <f>IF(OR(B28="",NOT(N($J$9)&gt;62)),0,IF(N(C28)&gt;0,C28,1)*((COUNTIF(INDEX($M28:$DA28,63):INDEX($M28:$DA28,MIN(93,N($J$9))),"S")+COUNTIF(INDEX($M28:$DA28,63):INDEX($M28:$DA28,MIN(93,N($J$9))),"MOB")+COUNTIF(INDEX($M28:$DA28,63):INDEX($M28:$DA28,MIN(93,N($J$9))),"DEMOB"))*N(D28)+(COUNTIF(INDEX($M28:$DA28,63):INDEX($M28:$DA28,MIN(93,N($J$9))),"O"))*N(E28)))</f>
        <v/>
      </c>
      <c r="DL28" s="31">
        <f>IF(OR(B28="",A28="Oui",DO28&lt;&gt;3),0,IF(N(C28)&gt;0,C28,1)*(N(F28)+N(H28)))</f>
        <v/>
      </c>
      <c r="DM28" s="31">
        <f>IF(OR(B28="",NOT(N($J$9)&gt;62)),0,IF(N(C28)&gt;0,C28,1)*(IF((COUNTIF(INDEX($M28:$DA28,63):INDEX($M28:$DA28,MIN(93,N($J$9))),"VR"))&gt;0,N(G28),0)+IF((COUNTIF(INDEX($M28:$DA28,63):INDEX($M28:$DA28,MIN(93,N($J$9))),"RC"))&gt;0,N(I28),0)))</f>
        <v/>
      </c>
      <c r="DN28" s="31">
        <f>IF(OR(B28="",NOT(N($J$9)&gt;62)),0,IF(N(C28)&gt;0,C28,1)*(COUNTIF(INDEX($M28:$DA28,63):INDEX($M28:$DA28,MIN(93,N($J$9))),"FOC"))*N(E28))</f>
        <v/>
      </c>
      <c r="DO28" s="31">
        <f>IF(B28="",0,IFERROR(INT((MATCH("O",$M28:INDEX($M28:$DA28,MAX(1,N($J$9))),0)-1)/31)+1,0))</f>
        <v/>
      </c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IF(B29="","",COUNTIF($M29:INDEX($M29:$DA29,MAX(1,N($J$9))),"S")+COUNTIF($M29:INDEX($M29:$DA29,MAX(1,N($J$9))),"MOB")+COUNTIF($M29:INDEX($M29:$DA29,MAX(1,N($J$9))),"DEMOB"))</f>
        <v/>
      </c>
      <c r="K29" s="28">
        <f>IF(B29="","",COUNTIF($M29:INDEX($M29:$DA29,MAX(1,N($J$9))),"O"))</f>
        <v/>
      </c>
      <c r="L29" s="29">
        <f>IF(B29="","",DC29+DG29+DK29+DD29+DH29+DL29+DE29+DI29+DM29)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OR(B29="",NOT(N($J$9)&gt;0)),0,IF(N(C29)&gt;0,C29,1)*((COUNTIF(INDEX($M29:$DA29,1):INDEX($M29:$DA29,MIN(31,N($J$9))),"S")+COUNTIF(INDEX($M29:$DA29,1):INDEX($M29:$DA29,MIN(31,N($J$9))),"MOB")+COUNTIF(INDEX($M29:$DA29,1):INDEX($M29:$DA29,MIN(31,N($J$9))),"DEMOB"))*N(D29)+(COUNTIF(INDEX($M29:$DA29,1):INDEX($M29:$DA29,MIN(31,N($J$9))),"O"))*N(E29)))</f>
        <v/>
      </c>
      <c r="DD29" s="31">
        <f>IF(OR(B29="",A29="Oui",DO29&lt;&gt;1),0,IF(N(C29)&gt;0,C29,1)*(N(F29)+N(H29)))</f>
        <v/>
      </c>
      <c r="DE29" s="31">
        <f>IF(OR(B29="",NOT(N($J$9)&gt;0)),0,IF(N(C29)&gt;0,C29,1)*(IF((COUNTIF(INDEX($M29:$DA29,1):INDEX($M29:$DA29,MIN(31,N($J$9))),"VR"))&gt;0,N(G29),0)+IF((COUNTIF(INDEX($M29:$DA29,1):INDEX($M29:$DA29,MIN(31,N($J$9))),"RC"))&gt;0,N(I29),0)))</f>
        <v/>
      </c>
      <c r="DF29" s="31">
        <f>IF(OR(B29="",NOT(N($J$9)&gt;0)),0,IF(N(C29)&gt;0,C29,1)*(COUNTIF(INDEX($M29:$DA29,1):INDEX($M29:$DA29,MIN(31,N($J$9))),"FOC"))*N(E29))</f>
        <v/>
      </c>
      <c r="DG29" s="31">
        <f>IF(OR(B29="",NOT(N($J$9)&gt;31)),0,IF(N(C29)&gt;0,C29,1)*((COUNTIF(INDEX($M29:$DA29,32):INDEX($M29:$DA29,MIN(62,N($J$9))),"S")+COUNTIF(INDEX($M29:$DA29,32):INDEX($M29:$DA29,MIN(62,N($J$9))),"MOB")+COUNTIF(INDEX($M29:$DA29,32):INDEX($M29:$DA29,MIN(62,N($J$9))),"DEMOB"))*N(D29)+(COUNTIF(INDEX($M29:$DA29,32):INDEX($M29:$DA29,MIN(62,N($J$9))),"O"))*N(E29)))</f>
        <v/>
      </c>
      <c r="DH29" s="31">
        <f>IF(OR(B29="",A29="Oui",DO29&lt;&gt;2),0,IF(N(C29)&gt;0,C29,1)*(N(F29)+N(H29)))</f>
        <v/>
      </c>
      <c r="DI29" s="31">
        <f>IF(OR(B29="",NOT(N($J$9)&gt;31)),0,IF(N(C29)&gt;0,C29,1)*(IF((COUNTIF(INDEX($M29:$DA29,32):INDEX($M29:$DA29,MIN(62,N($J$9))),"VR"))&gt;0,N(G29),0)+IF((COUNTIF(INDEX($M29:$DA29,32):INDEX($M29:$DA29,MIN(62,N($J$9))),"RC"))&gt;0,N(I29),0)))</f>
        <v/>
      </c>
      <c r="DJ29" s="31">
        <f>IF(OR(B29="",NOT(N($J$9)&gt;31)),0,IF(N(C29)&gt;0,C29,1)*(COUNTIF(INDEX($M29:$DA29,32):INDEX($M29:$DA29,MIN(62,N($J$9))),"FOC"))*N(E29))</f>
        <v/>
      </c>
      <c r="DK29" s="31">
        <f>IF(OR(B29="",NOT(N($J$9)&gt;62)),0,IF(N(C29)&gt;0,C29,1)*((COUNTIF(INDEX($M29:$DA29,63):INDEX($M29:$DA29,MIN(93,N($J$9))),"S")+COUNTIF(INDEX($M29:$DA29,63):INDEX($M29:$DA29,MIN(93,N($J$9))),"MOB")+COUNTIF(INDEX($M29:$DA29,63):INDEX($M29:$DA29,MIN(93,N($J$9))),"DEMOB"))*N(D29)+(COUNTIF(INDEX($M29:$DA29,63):INDEX($M29:$DA29,MIN(93,N($J$9))),"O"))*N(E29)))</f>
        <v/>
      </c>
      <c r="DL29" s="31">
        <f>IF(OR(B29="",A29="Oui",DO29&lt;&gt;3),0,IF(N(C29)&gt;0,C29,1)*(N(F29)+N(H29)))</f>
        <v/>
      </c>
      <c r="DM29" s="31">
        <f>IF(OR(B29="",NOT(N($J$9)&gt;62)),0,IF(N(C29)&gt;0,C29,1)*(IF((COUNTIF(INDEX($M29:$DA29,63):INDEX($M29:$DA29,MIN(93,N($J$9))),"VR"))&gt;0,N(G29),0)+IF((COUNTIF(INDEX($M29:$DA29,63):INDEX($M29:$DA29,MIN(93,N($J$9))),"RC"))&gt;0,N(I29),0)))</f>
        <v/>
      </c>
      <c r="DN29" s="31">
        <f>IF(OR(B29="",NOT(N($J$9)&gt;62)),0,IF(N(C29)&gt;0,C29,1)*(COUNTIF(INDEX($M29:$DA29,63):INDEX($M29:$DA29,MIN(93,N($J$9))),"FOC"))*N(E29))</f>
        <v/>
      </c>
      <c r="DO29" s="31">
        <f>IF(B29="",0,IFERROR(INT((MATCH("O",$M29:INDEX($M29:$DA29,MAX(1,N($J$9))),0)-1)/31)+1,0))</f>
        <v/>
      </c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IF(B30="","",COUNTIF($M30:INDEX($M30:$DA30,MAX(1,N($J$9))),"S")+COUNTIF($M30:INDEX($M30:$DA30,MAX(1,N($J$9))),"MOB")+COUNTIF($M30:INDEX($M30:$DA30,MAX(1,N($J$9))),"DEMOB"))</f>
        <v/>
      </c>
      <c r="K30" s="28">
        <f>IF(B30="","",COUNTIF($M30:INDEX($M30:$DA30,MAX(1,N($J$9))),"O"))</f>
        <v/>
      </c>
      <c r="L30" s="29">
        <f>IF(B30="","",DC30+DG30+DK30+DD30+DH30+DL30+DE30+DI30+DM30)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OR(B30="",NOT(N($J$9)&gt;0)),0,IF(N(C30)&gt;0,C30,1)*((COUNTIF(INDEX($M30:$DA30,1):INDEX($M30:$DA30,MIN(31,N($J$9))),"S")+COUNTIF(INDEX($M30:$DA30,1):INDEX($M30:$DA30,MIN(31,N($J$9))),"MOB")+COUNTIF(INDEX($M30:$DA30,1):INDEX($M30:$DA30,MIN(31,N($J$9))),"DEMOB"))*N(D30)+(COUNTIF(INDEX($M30:$DA30,1):INDEX($M30:$DA30,MIN(31,N($J$9))),"O"))*N(E30)))</f>
        <v/>
      </c>
      <c r="DD30" s="31">
        <f>IF(OR(B30="",A30="Oui",DO30&lt;&gt;1),0,IF(N(C30)&gt;0,C30,1)*(N(F30)+N(H30)))</f>
        <v/>
      </c>
      <c r="DE30" s="31">
        <f>IF(OR(B30="",NOT(N($J$9)&gt;0)),0,IF(N(C30)&gt;0,C30,1)*(IF((COUNTIF(INDEX($M30:$DA30,1):INDEX($M30:$DA30,MIN(31,N($J$9))),"VR"))&gt;0,N(G30),0)+IF((COUNTIF(INDEX($M30:$DA30,1):INDEX($M30:$DA30,MIN(31,N($J$9))),"RC"))&gt;0,N(I30),0)))</f>
        <v/>
      </c>
      <c r="DF30" s="31">
        <f>IF(OR(B30="",NOT(N($J$9)&gt;0)),0,IF(N(C30)&gt;0,C30,1)*(COUNTIF(INDEX($M30:$DA30,1):INDEX($M30:$DA30,MIN(31,N($J$9))),"FOC"))*N(E30))</f>
        <v/>
      </c>
      <c r="DG30" s="31">
        <f>IF(OR(B30="",NOT(N($J$9)&gt;31)),0,IF(N(C30)&gt;0,C30,1)*((COUNTIF(INDEX($M30:$DA30,32):INDEX($M30:$DA30,MIN(62,N($J$9))),"S")+COUNTIF(INDEX($M30:$DA30,32):INDEX($M30:$DA30,MIN(62,N($J$9))),"MOB")+COUNTIF(INDEX($M30:$DA30,32):INDEX($M30:$DA30,MIN(62,N($J$9))),"DEMOB"))*N(D30)+(COUNTIF(INDEX($M30:$DA30,32):INDEX($M30:$DA30,MIN(62,N($J$9))),"O"))*N(E30)))</f>
        <v/>
      </c>
      <c r="DH30" s="31">
        <f>IF(OR(B30="",A30="Oui",DO30&lt;&gt;2),0,IF(N(C30)&gt;0,C30,1)*(N(F30)+N(H30)))</f>
        <v/>
      </c>
      <c r="DI30" s="31">
        <f>IF(OR(B30="",NOT(N($J$9)&gt;31)),0,IF(N(C30)&gt;0,C30,1)*(IF((COUNTIF(INDEX($M30:$DA30,32):INDEX($M30:$DA30,MIN(62,N($J$9))),"VR"))&gt;0,N(G30),0)+IF((COUNTIF(INDEX($M30:$DA30,32):INDEX($M30:$DA30,MIN(62,N($J$9))),"RC"))&gt;0,N(I30),0)))</f>
        <v/>
      </c>
      <c r="DJ30" s="31">
        <f>IF(OR(B30="",NOT(N($J$9)&gt;31)),0,IF(N(C30)&gt;0,C30,1)*(COUNTIF(INDEX($M30:$DA30,32):INDEX($M30:$DA30,MIN(62,N($J$9))),"FOC"))*N(E30))</f>
        <v/>
      </c>
      <c r="DK30" s="31">
        <f>IF(OR(B30="",NOT(N($J$9)&gt;62)),0,IF(N(C30)&gt;0,C30,1)*((COUNTIF(INDEX($M30:$DA30,63):INDEX($M30:$DA30,MIN(93,N($J$9))),"S")+COUNTIF(INDEX($M30:$DA30,63):INDEX($M30:$DA30,MIN(93,N($J$9))),"MOB")+COUNTIF(INDEX($M30:$DA30,63):INDEX($M30:$DA30,MIN(93,N($J$9))),"DEMOB"))*N(D30)+(COUNTIF(INDEX($M30:$DA30,63):INDEX($M30:$DA30,MIN(93,N($J$9))),"O"))*N(E30)))</f>
        <v/>
      </c>
      <c r="DL30" s="31">
        <f>IF(OR(B30="",A30="Oui",DO30&lt;&gt;3),0,IF(N(C30)&gt;0,C30,1)*(N(F30)+N(H30)))</f>
        <v/>
      </c>
      <c r="DM30" s="31">
        <f>IF(OR(B30="",NOT(N($J$9)&gt;62)),0,IF(N(C30)&gt;0,C30,1)*(IF((COUNTIF(INDEX($M30:$DA30,63):INDEX($M30:$DA30,MIN(93,N($J$9))),"VR"))&gt;0,N(G30),0)+IF((COUNTIF(INDEX($M30:$DA30,63):INDEX($M30:$DA30,MIN(93,N($J$9))),"RC"))&gt;0,N(I30),0)))</f>
        <v/>
      </c>
      <c r="DN30" s="31">
        <f>IF(OR(B30="",NOT(N($J$9)&gt;62)),0,IF(N(C30)&gt;0,C30,1)*(COUNTIF(INDEX($M30:$DA30,63):INDEX($M30:$DA30,MIN(93,N($J$9))),"FOC"))*N(E30))</f>
        <v/>
      </c>
      <c r="DO30" s="31">
        <f>IF(B30="",0,IFERROR(INT((MATCH("O",$M30:INDEX($M30:$DA30,MAX(1,N($J$9))),0)-1)/31)+1,0))</f>
        <v/>
      </c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IF(B31="","",COUNTIF($M31:INDEX($M31:$DA31,MAX(1,N($J$9))),"S")+COUNTIF($M31:INDEX($M31:$DA31,MAX(1,N($J$9))),"MOB")+COUNTIF($M31:INDEX($M31:$DA31,MAX(1,N($J$9))),"DEMOB"))</f>
        <v/>
      </c>
      <c r="K31" s="28">
        <f>IF(B31="","",COUNTIF($M31:INDEX($M31:$DA31,MAX(1,N($J$9))),"O"))</f>
        <v/>
      </c>
      <c r="L31" s="29">
        <f>IF(B31="","",DC31+DG31+DK31+DD31+DH31+DL31+DE31+DI31+DM31)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OR(B31="",NOT(N($J$9)&gt;0)),0,IF(N(C31)&gt;0,C31,1)*((COUNTIF(INDEX($M31:$DA31,1):INDEX($M31:$DA31,MIN(31,N($J$9))),"S")+COUNTIF(INDEX($M31:$DA31,1):INDEX($M31:$DA31,MIN(31,N($J$9))),"MOB")+COUNTIF(INDEX($M31:$DA31,1):INDEX($M31:$DA31,MIN(31,N($J$9))),"DEMOB"))*N(D31)+(COUNTIF(INDEX($M31:$DA31,1):INDEX($M31:$DA31,MIN(31,N($J$9))),"O"))*N(E31)))</f>
        <v/>
      </c>
      <c r="DD31" s="31">
        <f>IF(OR(B31="",A31="Oui",DO31&lt;&gt;1),0,IF(N(C31)&gt;0,C31,1)*(N(F31)+N(H31)))</f>
        <v/>
      </c>
      <c r="DE31" s="31">
        <f>IF(OR(B31="",NOT(N($J$9)&gt;0)),0,IF(N(C31)&gt;0,C31,1)*(IF((COUNTIF(INDEX($M31:$DA31,1):INDEX($M31:$DA31,MIN(31,N($J$9))),"VR"))&gt;0,N(G31),0)+IF((COUNTIF(INDEX($M31:$DA31,1):INDEX($M31:$DA31,MIN(31,N($J$9))),"RC"))&gt;0,N(I31),0)))</f>
        <v/>
      </c>
      <c r="DF31" s="31">
        <f>IF(OR(B31="",NOT(N($J$9)&gt;0)),0,IF(N(C31)&gt;0,C31,1)*(COUNTIF(INDEX($M31:$DA31,1):INDEX($M31:$DA31,MIN(31,N($J$9))),"FOC"))*N(E31))</f>
        <v/>
      </c>
      <c r="DG31" s="31">
        <f>IF(OR(B31="",NOT(N($J$9)&gt;31)),0,IF(N(C31)&gt;0,C31,1)*((COUNTIF(INDEX($M31:$DA31,32):INDEX($M31:$DA31,MIN(62,N($J$9))),"S")+COUNTIF(INDEX($M31:$DA31,32):INDEX($M31:$DA31,MIN(62,N($J$9))),"MOB")+COUNTIF(INDEX($M31:$DA31,32):INDEX($M31:$DA31,MIN(62,N($J$9))),"DEMOB"))*N(D31)+(COUNTIF(INDEX($M31:$DA31,32):INDEX($M31:$DA31,MIN(62,N($J$9))),"O"))*N(E31)))</f>
        <v/>
      </c>
      <c r="DH31" s="31">
        <f>IF(OR(B31="",A31="Oui",DO31&lt;&gt;2),0,IF(N(C31)&gt;0,C31,1)*(N(F31)+N(H31)))</f>
        <v/>
      </c>
      <c r="DI31" s="31">
        <f>IF(OR(B31="",NOT(N($J$9)&gt;31)),0,IF(N(C31)&gt;0,C31,1)*(IF((COUNTIF(INDEX($M31:$DA31,32):INDEX($M31:$DA31,MIN(62,N($J$9))),"VR"))&gt;0,N(G31),0)+IF((COUNTIF(INDEX($M31:$DA31,32):INDEX($M31:$DA31,MIN(62,N($J$9))),"RC"))&gt;0,N(I31),0)))</f>
        <v/>
      </c>
      <c r="DJ31" s="31">
        <f>IF(OR(B31="",NOT(N($J$9)&gt;31)),0,IF(N(C31)&gt;0,C31,1)*(COUNTIF(INDEX($M31:$DA31,32):INDEX($M31:$DA31,MIN(62,N($J$9))),"FOC"))*N(E31))</f>
        <v/>
      </c>
      <c r="DK31" s="31">
        <f>IF(OR(B31="",NOT(N($J$9)&gt;62)),0,IF(N(C31)&gt;0,C31,1)*((COUNTIF(INDEX($M31:$DA31,63):INDEX($M31:$DA31,MIN(93,N($J$9))),"S")+COUNTIF(INDEX($M31:$DA31,63):INDEX($M31:$DA31,MIN(93,N($J$9))),"MOB")+COUNTIF(INDEX($M31:$DA31,63):INDEX($M31:$DA31,MIN(93,N($J$9))),"DEMOB"))*N(D31)+(COUNTIF(INDEX($M31:$DA31,63):INDEX($M31:$DA31,MIN(93,N($J$9))),"O"))*N(E31)))</f>
        <v/>
      </c>
      <c r="DL31" s="31">
        <f>IF(OR(B31="",A31="Oui",DO31&lt;&gt;3),0,IF(N(C31)&gt;0,C31,1)*(N(F31)+N(H31)))</f>
        <v/>
      </c>
      <c r="DM31" s="31">
        <f>IF(OR(B31="",NOT(N($J$9)&gt;62)),0,IF(N(C31)&gt;0,C31,1)*(IF((COUNTIF(INDEX($M31:$DA31,63):INDEX($M31:$DA31,MIN(93,N($J$9))),"VR"))&gt;0,N(G31),0)+IF((COUNTIF(INDEX($M31:$DA31,63):INDEX($M31:$DA31,MIN(93,N($J$9))),"RC"))&gt;0,N(I31),0)))</f>
        <v/>
      </c>
      <c r="DN31" s="31">
        <f>IF(OR(B31="",NOT(N($J$9)&gt;62)),0,IF(N(C31)&gt;0,C31,1)*(COUNTIF(INDEX($M31:$DA31,63):INDEX($M31:$DA31,MIN(93,N($J$9))),"FOC"))*N(E31))</f>
        <v/>
      </c>
      <c r="DO31" s="31">
        <f>IF(B31="",0,IFERROR(INT((MATCH("O",$M31:INDEX($M31:$DA31,MAX(1,N($J$9))),0)-1)/31)+1,0))</f>
        <v/>
      </c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IF(B32="","",COUNTIF($M32:INDEX($M32:$DA32,MAX(1,N($J$9))),"S")+COUNTIF($M32:INDEX($M32:$DA32,MAX(1,N($J$9))),"MOB")+COUNTIF($M32:INDEX($M32:$DA32,MAX(1,N($J$9))),"DEMOB"))</f>
        <v/>
      </c>
      <c r="K32" s="28">
        <f>IF(B32="","",COUNTIF($M32:INDEX($M32:$DA32,MAX(1,N($J$9))),"O"))</f>
        <v/>
      </c>
      <c r="L32" s="29">
        <f>IF(B32="","",DC32+DG32+DK32+DD32+DH32+DL32+DE32+DI32+DM32)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OR(B32="",NOT(N($J$9)&gt;0)),0,IF(N(C32)&gt;0,C32,1)*((COUNTIF(INDEX($M32:$DA32,1):INDEX($M32:$DA32,MIN(31,N($J$9))),"S")+COUNTIF(INDEX($M32:$DA32,1):INDEX($M32:$DA32,MIN(31,N($J$9))),"MOB")+COUNTIF(INDEX($M32:$DA32,1):INDEX($M32:$DA32,MIN(31,N($J$9))),"DEMOB"))*N(D32)+(COUNTIF(INDEX($M32:$DA32,1):INDEX($M32:$DA32,MIN(31,N($J$9))),"O"))*N(E32)))</f>
        <v/>
      </c>
      <c r="DD32" s="31">
        <f>IF(OR(B32="",A32="Oui",DO32&lt;&gt;1),0,IF(N(C32)&gt;0,C32,1)*(N(F32)+N(H32)))</f>
        <v/>
      </c>
      <c r="DE32" s="31">
        <f>IF(OR(B32="",NOT(N($J$9)&gt;0)),0,IF(N(C32)&gt;0,C32,1)*(IF((COUNTIF(INDEX($M32:$DA32,1):INDEX($M32:$DA32,MIN(31,N($J$9))),"VR"))&gt;0,N(G32),0)+IF((COUNTIF(INDEX($M32:$DA32,1):INDEX($M32:$DA32,MIN(31,N($J$9))),"RC"))&gt;0,N(I32),0)))</f>
        <v/>
      </c>
      <c r="DF32" s="31">
        <f>IF(OR(B32="",NOT(N($J$9)&gt;0)),0,IF(N(C32)&gt;0,C32,1)*(COUNTIF(INDEX($M32:$DA32,1):INDEX($M32:$DA32,MIN(31,N($J$9))),"FOC"))*N(E32))</f>
        <v/>
      </c>
      <c r="DG32" s="31">
        <f>IF(OR(B32="",NOT(N($J$9)&gt;31)),0,IF(N(C32)&gt;0,C32,1)*((COUNTIF(INDEX($M32:$DA32,32):INDEX($M32:$DA32,MIN(62,N($J$9))),"S")+COUNTIF(INDEX($M32:$DA32,32):INDEX($M32:$DA32,MIN(62,N($J$9))),"MOB")+COUNTIF(INDEX($M32:$DA32,32):INDEX($M32:$DA32,MIN(62,N($J$9))),"DEMOB"))*N(D32)+(COUNTIF(INDEX($M32:$DA32,32):INDEX($M32:$DA32,MIN(62,N($J$9))),"O"))*N(E32)))</f>
        <v/>
      </c>
      <c r="DH32" s="31">
        <f>IF(OR(B32="",A32="Oui",DO32&lt;&gt;2),0,IF(N(C32)&gt;0,C32,1)*(N(F32)+N(H32)))</f>
        <v/>
      </c>
      <c r="DI32" s="31">
        <f>IF(OR(B32="",NOT(N($J$9)&gt;31)),0,IF(N(C32)&gt;0,C32,1)*(IF((COUNTIF(INDEX($M32:$DA32,32):INDEX($M32:$DA32,MIN(62,N($J$9))),"VR"))&gt;0,N(G32),0)+IF((COUNTIF(INDEX($M32:$DA32,32):INDEX($M32:$DA32,MIN(62,N($J$9))),"RC"))&gt;0,N(I32),0)))</f>
        <v/>
      </c>
      <c r="DJ32" s="31">
        <f>IF(OR(B32="",NOT(N($J$9)&gt;31)),0,IF(N(C32)&gt;0,C32,1)*(COUNTIF(INDEX($M32:$DA32,32):INDEX($M32:$DA32,MIN(62,N($J$9))),"FOC"))*N(E32))</f>
        <v/>
      </c>
      <c r="DK32" s="31">
        <f>IF(OR(B32="",NOT(N($J$9)&gt;62)),0,IF(N(C32)&gt;0,C32,1)*((COUNTIF(INDEX($M32:$DA32,63):INDEX($M32:$DA32,MIN(93,N($J$9))),"S")+COUNTIF(INDEX($M32:$DA32,63):INDEX($M32:$DA32,MIN(93,N($J$9))),"MOB")+COUNTIF(INDEX($M32:$DA32,63):INDEX($M32:$DA32,MIN(93,N($J$9))),"DEMOB"))*N(D32)+(COUNTIF(INDEX($M32:$DA32,63):INDEX($M32:$DA32,MIN(93,N($J$9))),"O"))*N(E32)))</f>
        <v/>
      </c>
      <c r="DL32" s="31">
        <f>IF(OR(B32="",A32="Oui",DO32&lt;&gt;3),0,IF(N(C32)&gt;0,C32,1)*(N(F32)+N(H32)))</f>
        <v/>
      </c>
      <c r="DM32" s="31">
        <f>IF(OR(B32="",NOT(N($J$9)&gt;62)),0,IF(N(C32)&gt;0,C32,1)*(IF((COUNTIF(INDEX($M32:$DA32,63):INDEX($M32:$DA32,MIN(93,N($J$9))),"VR"))&gt;0,N(G32),0)+IF((COUNTIF(INDEX($M32:$DA32,63):INDEX($M32:$DA32,MIN(93,N($J$9))),"RC"))&gt;0,N(I32),0)))</f>
        <v/>
      </c>
      <c r="DN32" s="31">
        <f>IF(OR(B32="",NOT(N($J$9)&gt;62)),0,IF(N(C32)&gt;0,C32,1)*(COUNTIF(INDEX($M32:$DA32,63):INDEX($M32:$DA32,MIN(93,N($J$9))),"FOC"))*N(E32))</f>
        <v/>
      </c>
      <c r="DO32" s="31">
        <f>IF(B32="",0,IFERROR(INT((MATCH("O",$M32:INDEX($M32:$DA32,MAX(1,N($J$9))),0)-1)/31)+1,0))</f>
        <v/>
      </c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IF(B33="","",COUNTIF($M33:INDEX($M33:$DA33,MAX(1,N($J$9))),"S")+COUNTIF($M33:INDEX($M33:$DA33,MAX(1,N($J$9))),"MOB")+COUNTIF($M33:INDEX($M33:$DA33,MAX(1,N($J$9))),"DEMOB"))</f>
        <v/>
      </c>
      <c r="K33" s="28">
        <f>IF(B33="","",COUNTIF($M33:INDEX($M33:$DA33,MAX(1,N($J$9))),"O"))</f>
        <v/>
      </c>
      <c r="L33" s="29">
        <f>IF(B33="","",DC33+DG33+DK33+DD33+DH33+DL33+DE33+DI33+DM33)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OR(B33="",NOT(N($J$9)&gt;0)),0,IF(N(C33)&gt;0,C33,1)*((COUNTIF(INDEX($M33:$DA33,1):INDEX($M33:$DA33,MIN(31,N($J$9))),"S")+COUNTIF(INDEX($M33:$DA33,1):INDEX($M33:$DA33,MIN(31,N($J$9))),"MOB")+COUNTIF(INDEX($M33:$DA33,1):INDEX($M33:$DA33,MIN(31,N($J$9))),"DEMOB"))*N(D33)+(COUNTIF(INDEX($M33:$DA33,1):INDEX($M33:$DA33,MIN(31,N($J$9))),"O"))*N(E33)))</f>
        <v/>
      </c>
      <c r="DD33" s="31">
        <f>IF(OR(B33="",A33="Oui",DO33&lt;&gt;1),0,IF(N(C33)&gt;0,C33,1)*(N(F33)+N(H33)))</f>
        <v/>
      </c>
      <c r="DE33" s="31">
        <f>IF(OR(B33="",NOT(N($J$9)&gt;0)),0,IF(N(C33)&gt;0,C33,1)*(IF((COUNTIF(INDEX($M33:$DA33,1):INDEX($M33:$DA33,MIN(31,N($J$9))),"VR"))&gt;0,N(G33),0)+IF((COUNTIF(INDEX($M33:$DA33,1):INDEX($M33:$DA33,MIN(31,N($J$9))),"RC"))&gt;0,N(I33),0)))</f>
        <v/>
      </c>
      <c r="DF33" s="31">
        <f>IF(OR(B33="",NOT(N($J$9)&gt;0)),0,IF(N(C33)&gt;0,C33,1)*(COUNTIF(INDEX($M33:$DA33,1):INDEX($M33:$DA33,MIN(31,N($J$9))),"FOC"))*N(E33))</f>
        <v/>
      </c>
      <c r="DG33" s="31">
        <f>IF(OR(B33="",NOT(N($J$9)&gt;31)),0,IF(N(C33)&gt;0,C33,1)*((COUNTIF(INDEX($M33:$DA33,32):INDEX($M33:$DA33,MIN(62,N($J$9))),"S")+COUNTIF(INDEX($M33:$DA33,32):INDEX($M33:$DA33,MIN(62,N($J$9))),"MOB")+COUNTIF(INDEX($M33:$DA33,32):INDEX($M33:$DA33,MIN(62,N($J$9))),"DEMOB"))*N(D33)+(COUNTIF(INDEX($M33:$DA33,32):INDEX($M33:$DA33,MIN(62,N($J$9))),"O"))*N(E33)))</f>
        <v/>
      </c>
      <c r="DH33" s="31">
        <f>IF(OR(B33="",A33="Oui",DO33&lt;&gt;2),0,IF(N(C33)&gt;0,C33,1)*(N(F33)+N(H33)))</f>
        <v/>
      </c>
      <c r="DI33" s="31">
        <f>IF(OR(B33="",NOT(N($J$9)&gt;31)),0,IF(N(C33)&gt;0,C33,1)*(IF((COUNTIF(INDEX($M33:$DA33,32):INDEX($M33:$DA33,MIN(62,N($J$9))),"VR"))&gt;0,N(G33),0)+IF((COUNTIF(INDEX($M33:$DA33,32):INDEX($M33:$DA33,MIN(62,N($J$9))),"RC"))&gt;0,N(I33),0)))</f>
        <v/>
      </c>
      <c r="DJ33" s="31">
        <f>IF(OR(B33="",NOT(N($J$9)&gt;31)),0,IF(N(C33)&gt;0,C33,1)*(COUNTIF(INDEX($M33:$DA33,32):INDEX($M33:$DA33,MIN(62,N($J$9))),"FOC"))*N(E33))</f>
        <v/>
      </c>
      <c r="DK33" s="31">
        <f>IF(OR(B33="",NOT(N($J$9)&gt;62)),0,IF(N(C33)&gt;0,C33,1)*((COUNTIF(INDEX($M33:$DA33,63):INDEX($M33:$DA33,MIN(93,N($J$9))),"S")+COUNTIF(INDEX($M33:$DA33,63):INDEX($M33:$DA33,MIN(93,N($J$9))),"MOB")+COUNTIF(INDEX($M33:$DA33,63):INDEX($M33:$DA33,MIN(93,N($J$9))),"DEMOB"))*N(D33)+(COUNTIF(INDEX($M33:$DA33,63):INDEX($M33:$DA33,MIN(93,N($J$9))),"O"))*N(E33)))</f>
        <v/>
      </c>
      <c r="DL33" s="31">
        <f>IF(OR(B33="",A33="Oui",DO33&lt;&gt;3),0,IF(N(C33)&gt;0,C33,1)*(N(F33)+N(H33)))</f>
        <v/>
      </c>
      <c r="DM33" s="31">
        <f>IF(OR(B33="",NOT(N($J$9)&gt;62)),0,IF(N(C33)&gt;0,C33,1)*(IF((COUNTIF(INDEX($M33:$DA33,63):INDEX($M33:$DA33,MIN(93,N($J$9))),"VR"))&gt;0,N(G33),0)+IF((COUNTIF(INDEX($M33:$DA33,63):INDEX($M33:$DA33,MIN(93,N($J$9))),"RC"))&gt;0,N(I33),0)))</f>
        <v/>
      </c>
      <c r="DN33" s="31">
        <f>IF(OR(B33="",NOT(N($J$9)&gt;62)),0,IF(N(C33)&gt;0,C33,1)*(COUNTIF(INDEX($M33:$DA33,63):INDEX($M33:$DA33,MIN(93,N($J$9))),"FOC"))*N(E33))</f>
        <v/>
      </c>
      <c r="DO33" s="31">
        <f>IF(B33="",0,IFERROR(INT((MATCH("O",$M33:INDEX($M33:$DA33,MAX(1,N($J$9))),0)-1)/31)+1,0))</f>
        <v/>
      </c>
    </row>
    <row r="35" ht="20" customHeight="1">
      <c r="A35" s="20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n"/>
      <c r="C36" s="32" t="n"/>
      <c r="D36" s="26" t="n"/>
      <c r="E36" s="25" t="n"/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</row>
    <row r="37" ht="18" customHeight="1">
      <c r="A37" s="23" t="n"/>
      <c r="B37" s="24" t="n"/>
      <c r="C37" s="32" t="n"/>
      <c r="D37" s="26" t="n"/>
      <c r="E37" s="25" t="n"/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</row>
    <row r="38" ht="18" customHeight="1">
      <c r="A38" s="23" t="n"/>
      <c r="B38" s="24" t="n"/>
      <c r="C38" s="32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C38" s="31" t="n">
        <v>0</v>
      </c>
      <c r="DD38" s="31" t="n">
        <v>0</v>
      </c>
      <c r="DE38" s="31" t="n">
        <v>0</v>
      </c>
      <c r="DF38" s="31" t="n">
        <v>0</v>
      </c>
      <c r="DG38" s="31" t="n">
        <v>0</v>
      </c>
      <c r="DH38" s="31" t="n">
        <v>0</v>
      </c>
      <c r="DI38" s="31" t="n">
        <v>0</v>
      </c>
      <c r="DJ38" s="31" t="n">
        <v>0</v>
      </c>
      <c r="DK38" s="31" t="n">
        <v>0</v>
      </c>
      <c r="DL38" s="31" t="n">
        <v>0</v>
      </c>
      <c r="DM38" s="31" t="n">
        <v>0</v>
      </c>
      <c r="DN38" s="31" t="n">
        <v>0</v>
      </c>
      <c r="DO38" s="31" t="n">
        <v>0</v>
      </c>
    </row>
    <row r="41" ht="20" customHeight="1">
      <c r="A41" s="20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20">
        <f>IF(OR($C$9="",N($J$9)&lt;=0),"","FACTURATION DU BLOC "&amp;1&amp;" (hors transport et autres frais)")</f>
        <v/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20">
        <f>IF(OR($C$9="",N($J$9)&lt;=31),"","FACTURATION DU BLOC "&amp;2&amp;" (hors transport et autres frais)")</f>
        <v/>
      </c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20">
        <f>IF(OR($C$9="",N($J$9)&lt;=62),"","FACTURATION DU BLOC "&amp;3&amp;" (hors transport et autres frais)")</f>
        <v/>
      </c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</row>
    <row r="42" ht="18" customHeight="1">
      <c r="A42" s="34">
        <f>"Opérateurs · tarif journalier ("&amp;SUM(K17:K19)&amp;" j opérations, "&amp;SUM(J17:J19)&amp;" j stand-by)"</f>
        <v/>
      </c>
      <c r="B42" s="23" t="n"/>
      <c r="C42" s="23" t="n"/>
      <c r="D42" s="23" t="n"/>
      <c r="E42" s="23" t="n"/>
      <c r="F42" s="23" t="n"/>
      <c r="G42" s="35" t="inlineStr">
        <is>
          <t>910XFISHINGOP</t>
        </is>
      </c>
      <c r="H42" s="23" t="n"/>
      <c r="I42" s="23" t="n"/>
      <c r="J42" s="23" t="n"/>
      <c r="K42" s="23" t="n"/>
      <c r="L42" s="36">
        <f>SUM(DC17:DC19)+SUM(DG17:DG19)+SUM(DK17:DK19)</f>
        <v/>
      </c>
      <c r="M42" s="37" t="inlineStr">
        <is>
          <t>Opérateurs · jours</t>
        </is>
      </c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9">
        <f>IF(N($J$9)&lt;=0,"",SUM(DC17:DC19))</f>
        <v/>
      </c>
      <c r="AF42" s="23" t="n"/>
      <c r="AG42" s="23" t="n"/>
      <c r="AH42" s="23" t="n"/>
      <c r="AI42" s="23" t="n"/>
      <c r="AJ42" s="23" t="n"/>
      <c r="AK42" s="23" t="n"/>
      <c r="AL42" s="23" t="n"/>
      <c r="AR42" s="37" t="inlineStr">
        <is>
          <t>Opérateurs · jours</t>
        </is>
      </c>
      <c r="AS42" s="23" t="n"/>
      <c r="AT42" s="23" t="n"/>
      <c r="AU42" s="23" t="n"/>
      <c r="AV42" s="23" t="n"/>
      <c r="AW42" s="23" t="n"/>
      <c r="AX42" s="23" t="n"/>
      <c r="AY42" s="23" t="n"/>
      <c r="AZ42" s="23" t="n"/>
      <c r="BA42" s="23" t="n"/>
      <c r="BB42" s="23" t="n"/>
      <c r="BC42" s="23" t="n"/>
      <c r="BD42" s="23" t="n"/>
      <c r="BE42" s="23" t="n"/>
      <c r="BF42" s="23" t="n"/>
      <c r="BG42" s="23" t="n"/>
      <c r="BH42" s="23" t="n"/>
      <c r="BI42" s="23" t="n"/>
      <c r="BJ42" s="29">
        <f>IF(N($J$9)&lt;=31,"",SUM(DG17:DG19))</f>
        <v/>
      </c>
      <c r="BK42" s="23" t="n"/>
      <c r="BL42" s="23" t="n"/>
      <c r="BM42" s="23" t="n"/>
      <c r="BN42" s="23" t="n"/>
      <c r="BO42" s="23" t="n"/>
      <c r="BP42" s="23" t="n"/>
      <c r="BQ42" s="23" t="n"/>
      <c r="BW42" s="37" t="inlineStr">
        <is>
          <t>Opérateurs · jours</t>
        </is>
      </c>
      <c r="BX42" s="23" t="n"/>
      <c r="BY42" s="23" t="n"/>
      <c r="BZ42" s="23" t="n"/>
      <c r="CA42" s="23" t="n"/>
      <c r="CB42" s="23" t="n"/>
      <c r="CC42" s="23" t="n"/>
      <c r="CD42" s="23" t="n"/>
      <c r="CE42" s="23" t="n"/>
      <c r="CF42" s="23" t="n"/>
      <c r="CG42" s="23" t="n"/>
      <c r="CH42" s="23" t="n"/>
      <c r="CI42" s="23" t="n"/>
      <c r="CJ42" s="23" t="n"/>
      <c r="CK42" s="23" t="n"/>
      <c r="CL42" s="23" t="n"/>
      <c r="CM42" s="23" t="n"/>
      <c r="CN42" s="23" t="n"/>
      <c r="CO42" s="29">
        <f>IF(N($J$9)&lt;=62,"",SUM(DK17:DK19))</f>
        <v/>
      </c>
      <c r="CP42" s="23" t="n"/>
      <c r="CQ42" s="23" t="n"/>
      <c r="CR42" s="23" t="n"/>
      <c r="CS42" s="23" t="n"/>
      <c r="CT42" s="23" t="n"/>
      <c r="CU42" s="23" t="n"/>
      <c r="CV42" s="23" t="n"/>
    </row>
    <row r="43" ht="18" customHeight="1">
      <c r="A43" s="34">
        <f>"Opérateurs · mob / demob ("&amp;SUM(I17:I19)&amp;")"</f>
        <v/>
      </c>
      <c r="B43" s="23" t="n"/>
      <c r="C43" s="23" t="n"/>
      <c r="D43" s="23" t="n"/>
      <c r="E43" s="23" t="n"/>
      <c r="F43" s="23" t="n"/>
      <c r="G43" s="35" t="inlineStr">
        <is>
          <t>900XMOBDEMOB</t>
        </is>
      </c>
      <c r="H43" s="23" t="n"/>
      <c r="I43" s="23" t="n"/>
      <c r="J43" s="23" t="n"/>
      <c r="K43" s="23" t="n"/>
      <c r="L43" s="36">
        <f>SUM(DD17:DD19)+SUM(DH17:DH19)+SUM(DL17:DL19)</f>
        <v/>
      </c>
      <c r="M43" s="37" t="inlineStr">
        <is>
          <t>Opérateurs · mob / demob</t>
        </is>
      </c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9">
        <f>IF(N($J$9)&lt;=0,"",SUM(DD17:DD19))</f>
        <v/>
      </c>
      <c r="AF43" s="23" t="n"/>
      <c r="AG43" s="23" t="n"/>
      <c r="AH43" s="23" t="n"/>
      <c r="AI43" s="23" t="n"/>
      <c r="AJ43" s="23" t="n"/>
      <c r="AK43" s="23" t="n"/>
      <c r="AL43" s="23" t="n"/>
      <c r="AR43" s="37" t="inlineStr">
        <is>
          <t>Opérateurs · mob / demob</t>
        </is>
      </c>
      <c r="AS43" s="23" t="n"/>
      <c r="AT43" s="23" t="n"/>
      <c r="AU43" s="23" t="n"/>
      <c r="AV43" s="23" t="n"/>
      <c r="AW43" s="23" t="n"/>
      <c r="AX43" s="23" t="n"/>
      <c r="AY43" s="23" t="n"/>
      <c r="AZ43" s="23" t="n"/>
      <c r="BA43" s="23" t="n"/>
      <c r="BB43" s="23" t="n"/>
      <c r="BC43" s="23" t="n"/>
      <c r="BD43" s="23" t="n"/>
      <c r="BE43" s="23" t="n"/>
      <c r="BF43" s="23" t="n"/>
      <c r="BG43" s="23" t="n"/>
      <c r="BH43" s="23" t="n"/>
      <c r="BI43" s="23" t="n"/>
      <c r="BJ43" s="29">
        <f>IF(N($J$9)&lt;=31,"",SUM(DH17:DH19))</f>
        <v/>
      </c>
      <c r="BK43" s="23" t="n"/>
      <c r="BL43" s="23" t="n"/>
      <c r="BM43" s="23" t="n"/>
      <c r="BN43" s="23" t="n"/>
      <c r="BO43" s="23" t="n"/>
      <c r="BP43" s="23" t="n"/>
      <c r="BQ43" s="23" t="n"/>
      <c r="BW43" s="37" t="inlineStr">
        <is>
          <t>Opérateurs · mob / demob</t>
        </is>
      </c>
      <c r="BX43" s="23" t="n"/>
      <c r="BY43" s="23" t="n"/>
      <c r="BZ43" s="23" t="n"/>
      <c r="CA43" s="23" t="n"/>
      <c r="CB43" s="23" t="n"/>
      <c r="CC43" s="23" t="n"/>
      <c r="CD43" s="23" t="n"/>
      <c r="CE43" s="23" t="n"/>
      <c r="CF43" s="23" t="n"/>
      <c r="CG43" s="23" t="n"/>
      <c r="CH43" s="23" t="n"/>
      <c r="CI43" s="23" t="n"/>
      <c r="CJ43" s="23" t="n"/>
      <c r="CK43" s="23" t="n"/>
      <c r="CL43" s="23" t="n"/>
      <c r="CM43" s="23" t="n"/>
      <c r="CN43" s="23" t="n"/>
      <c r="CO43" s="29">
        <f>IF(N($J$9)&lt;=62,"",SUM(DL17:DL19))</f>
        <v/>
      </c>
      <c r="CP43" s="23" t="n"/>
      <c r="CQ43" s="23" t="n"/>
      <c r="CR43" s="23" t="n"/>
      <c r="CS43" s="23" t="n"/>
      <c r="CT43" s="23" t="n"/>
      <c r="CU43" s="23" t="n"/>
      <c r="CV43" s="23" t="n"/>
    </row>
    <row r="44" ht="18" customHeight="1">
      <c r="A44" s="34" t="inlineStr">
        <is>
          <t>Location du matériel (stand-by + opérations)</t>
        </is>
      </c>
      <c r="B44" s="23" t="n"/>
      <c r="C44" s="23" t="n"/>
      <c r="D44" s="23" t="n"/>
      <c r="E44" s="23" t="n"/>
      <c r="F44" s="23" t="n"/>
      <c r="G44" s="35" t="inlineStr">
        <is>
          <t>904XRENTALEQUIPMT</t>
        </is>
      </c>
      <c r="H44" s="23" t="n"/>
      <c r="I44" s="23" t="n"/>
      <c r="J44" s="23" t="n"/>
      <c r="K44" s="23" t="n"/>
      <c r="L44" s="36">
        <f>SUM(DC22:DC33)+SUM(DG22:DG33)+SUM(DK22:DK33)</f>
        <v/>
      </c>
      <c r="M44" s="37" t="inlineStr">
        <is>
          <t>Location du matériel</t>
        </is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9">
        <f>IF(N($J$9)&lt;=0,"",SUM(DC22:DC33))</f>
        <v/>
      </c>
      <c r="AF44" s="23" t="n"/>
      <c r="AG44" s="23" t="n"/>
      <c r="AH44" s="23" t="n"/>
      <c r="AI44" s="23" t="n"/>
      <c r="AJ44" s="23" t="n"/>
      <c r="AK44" s="23" t="n"/>
      <c r="AL44" s="23" t="n"/>
      <c r="AR44" s="37" t="inlineStr">
        <is>
          <t>Location du matériel</t>
        </is>
      </c>
      <c r="AS44" s="23" t="n"/>
      <c r="AT44" s="23" t="n"/>
      <c r="AU44" s="23" t="n"/>
      <c r="AV44" s="23" t="n"/>
      <c r="AW44" s="23" t="n"/>
      <c r="AX44" s="23" t="n"/>
      <c r="AY44" s="23" t="n"/>
      <c r="AZ44" s="23" t="n"/>
      <c r="BA44" s="23" t="n"/>
      <c r="BB44" s="23" t="n"/>
      <c r="BC44" s="23" t="n"/>
      <c r="BD44" s="23" t="n"/>
      <c r="BE44" s="23" t="n"/>
      <c r="BF44" s="23" t="n"/>
      <c r="BG44" s="23" t="n"/>
      <c r="BH44" s="23" t="n"/>
      <c r="BI44" s="23" t="n"/>
      <c r="BJ44" s="29">
        <f>IF(N($J$9)&lt;=31,"",SUM(DG22:DG33))</f>
        <v/>
      </c>
      <c r="BK44" s="23" t="n"/>
      <c r="BL44" s="23" t="n"/>
      <c r="BM44" s="23" t="n"/>
      <c r="BN44" s="23" t="n"/>
      <c r="BO44" s="23" t="n"/>
      <c r="BP44" s="23" t="n"/>
      <c r="BQ44" s="23" t="n"/>
      <c r="BW44" s="37" t="inlineStr">
        <is>
          <t>Location du matériel</t>
        </is>
      </c>
      <c r="BX44" s="23" t="n"/>
      <c r="BY44" s="23" t="n"/>
      <c r="BZ44" s="23" t="n"/>
      <c r="CA44" s="23" t="n"/>
      <c r="CB44" s="23" t="n"/>
      <c r="CC44" s="23" t="n"/>
      <c r="CD44" s="23" t="n"/>
      <c r="CE44" s="23" t="n"/>
      <c r="CF44" s="23" t="n"/>
      <c r="CG44" s="23" t="n"/>
      <c r="CH44" s="23" t="n"/>
      <c r="CI44" s="23" t="n"/>
      <c r="CJ44" s="23" t="n"/>
      <c r="CK44" s="23" t="n"/>
      <c r="CL44" s="23" t="n"/>
      <c r="CM44" s="23" t="n"/>
      <c r="CN44" s="23" t="n"/>
      <c r="CO44" s="29">
        <f>IF(N($J$9)&lt;=62,"",SUM(DK22:DK33))</f>
        <v/>
      </c>
      <c r="CP44" s="23" t="n"/>
      <c r="CQ44" s="23" t="n"/>
      <c r="CR44" s="23" t="n"/>
      <c r="CS44" s="23" t="n"/>
      <c r="CT44" s="23" t="n"/>
      <c r="CU44" s="23" t="n"/>
      <c r="CV44" s="23" t="n"/>
    </row>
    <row r="45" ht="18" customHeight="1">
      <c r="A45" s="34" t="inlineStr">
        <is>
          <t>Utilisation charge et inspection (UC, une seule fois)</t>
        </is>
      </c>
      <c r="B45" s="23" t="n"/>
      <c r="C45" s="23" t="n"/>
      <c r="D45" s="23" t="n"/>
      <c r="E45" s="23" t="n"/>
      <c r="F45" s="23" t="n"/>
      <c r="G45" s="35" t="inlineStr">
        <is>
          <t>905XUC</t>
        </is>
      </c>
      <c r="H45" s="23" t="n"/>
      <c r="I45" s="23" t="n"/>
      <c r="J45" s="23" t="n"/>
      <c r="K45" s="23" t="n"/>
      <c r="L45" s="36">
        <f>SUM(DD22:DD33)+SUM(DH22:DH33)+SUM(DL22:DL33)</f>
        <v/>
      </c>
      <c r="M45" s="37" t="inlineStr">
        <is>
          <t>UC et inspection</t>
        </is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9">
        <f>IF(N($J$9)&lt;=0,"",SUM(DD22:DD33))</f>
        <v/>
      </c>
      <c r="AF45" s="23" t="n"/>
      <c r="AG45" s="23" t="n"/>
      <c r="AH45" s="23" t="n"/>
      <c r="AI45" s="23" t="n"/>
      <c r="AJ45" s="23" t="n"/>
      <c r="AK45" s="23" t="n"/>
      <c r="AL45" s="23" t="n"/>
      <c r="AR45" s="37" t="inlineStr">
        <is>
          <t>UC et inspection</t>
        </is>
      </c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9">
        <f>IF(N($J$9)&lt;=31,"",SUM(DH22:DH33))</f>
        <v/>
      </c>
      <c r="BK45" s="23" t="n"/>
      <c r="BL45" s="23" t="n"/>
      <c r="BM45" s="23" t="n"/>
      <c r="BN45" s="23" t="n"/>
      <c r="BO45" s="23" t="n"/>
      <c r="BP45" s="23" t="n"/>
      <c r="BQ45" s="23" t="n"/>
      <c r="BW45" s="37" t="inlineStr">
        <is>
          <t>UC et inspection</t>
        </is>
      </c>
      <c r="BX45" s="23" t="n"/>
      <c r="BY45" s="23" t="n"/>
      <c r="BZ45" s="23" t="n"/>
      <c r="CA45" s="23" t="n"/>
      <c r="CB45" s="23" t="n"/>
      <c r="CC45" s="23" t="n"/>
      <c r="CD45" s="23" t="n"/>
      <c r="CE45" s="23" t="n"/>
      <c r="CF45" s="23" t="n"/>
      <c r="CG45" s="23" t="n"/>
      <c r="CH45" s="23" t="n"/>
      <c r="CI45" s="23" t="n"/>
      <c r="CJ45" s="23" t="n"/>
      <c r="CK45" s="23" t="n"/>
      <c r="CL45" s="23" t="n"/>
      <c r="CM45" s="23" t="n"/>
      <c r="CN45" s="23" t="n"/>
      <c r="CO45" s="29">
        <f>IF(N($J$9)&lt;=62,"",SUM(DL22:DL33))</f>
        <v/>
      </c>
      <c r="CP45" s="23" t="n"/>
      <c r="CQ45" s="23" t="n"/>
      <c r="CR45" s="23" t="n"/>
      <c r="CS45" s="23" t="n"/>
      <c r="CT45" s="23" t="n"/>
      <c r="CU45" s="23" t="n"/>
      <c r="CV45" s="23" t="n"/>
    </row>
    <row r="46" ht="18" customHeight="1">
      <c r="A46" s="34" t="inlineStr">
        <is>
          <t>Valeur de remplacement et restocking</t>
        </is>
      </c>
      <c r="B46" s="23" t="n"/>
      <c r="C46" s="23" t="n"/>
      <c r="D46" s="23" t="n"/>
      <c r="E46" s="23" t="n"/>
      <c r="F46" s="23" t="n"/>
      <c r="G46" s="35" t="inlineStr"/>
      <c r="H46" s="23" t="n"/>
      <c r="I46" s="23" t="n"/>
      <c r="J46" s="23" t="n"/>
      <c r="K46" s="23" t="n"/>
      <c r="L46" s="36">
        <f>SUM(DE22:DE33)+SUM(DI22:DI33)+SUM(DM22:DM33)</f>
        <v/>
      </c>
      <c r="M46" s="37" t="inlineStr">
        <is>
          <t>Valeur de remplacement, restocking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IF(N($J$9)&lt;=0,"",SUM(DE22:DE33))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7" t="inlineStr">
        <is>
          <t>Valeur de remplacement, restocking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IF(N($J$9)&lt;=31,"",SUM(DI22:DI33))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7" t="inlineStr">
        <is>
          <t>Valeur de remplacement, restocking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IF(N($J$9)&lt;=62,"",SUM(DM22:DM33))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4" t="inlineStr">
        <is>
          <t>Transport et autres frais</t>
        </is>
      </c>
      <c r="B47" s="23" t="n"/>
      <c r="C47" s="23" t="n"/>
      <c r="D47" s="23" t="n"/>
      <c r="E47" s="23" t="n"/>
      <c r="F47" s="23" t="n"/>
      <c r="G47" s="35" t="inlineStr">
        <is>
          <t>900XMOBDEMOB</t>
        </is>
      </c>
      <c r="H47" s="23" t="n"/>
      <c r="I47" s="23" t="n"/>
      <c r="J47" s="23" t="n"/>
      <c r="K47" s="23" t="n"/>
      <c r="L47" s="36">
        <f>SUM(L36:L38)</f>
        <v/>
      </c>
    </row>
    <row r="48" ht="26" customHeight="1">
      <c r="A48" s="38" t="inlineStr">
        <is>
          <t>TOTAL HT À FACTURER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SUM(L42:L47)</f>
        <v/>
      </c>
      <c r="M48" s="41">
        <f>"TOTAL DU BLOC "&amp;1</f>
        <v/>
      </c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3">
        <f>IF(N($J$9)&lt;=0,"",SUM(AE42:AE46))</f>
        <v/>
      </c>
      <c r="AF48" s="42" t="n"/>
      <c r="AG48" s="42" t="n"/>
      <c r="AH48" s="42" t="n"/>
      <c r="AI48" s="42" t="n"/>
      <c r="AJ48" s="42" t="n"/>
      <c r="AK48" s="42" t="n"/>
      <c r="AL48" s="42" t="n"/>
      <c r="AR48" s="41">
        <f>"TOTAL DU BLOC "&amp;2</f>
        <v/>
      </c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3">
        <f>IF(N($J$9)&lt;=31,"",SUM(BJ42:BJ46))</f>
        <v/>
      </c>
      <c r="BK48" s="42" t="n"/>
      <c r="BL48" s="42" t="n"/>
      <c r="BM48" s="42" t="n"/>
      <c r="BN48" s="42" t="n"/>
      <c r="BO48" s="42" t="n"/>
      <c r="BP48" s="42" t="n"/>
      <c r="BQ48" s="42" t="n"/>
      <c r="BW48" s="41">
        <f>"TOTAL DU BLOC "&amp;3</f>
        <v/>
      </c>
      <c r="BX48" s="42" t="n"/>
      <c r="BY48" s="42" t="n"/>
      <c r="BZ48" s="42" t="n"/>
      <c r="CA48" s="42" t="n"/>
      <c r="CB48" s="42" t="n"/>
      <c r="CC48" s="42" t="n"/>
      <c r="CD48" s="42" t="n"/>
      <c r="CE48" s="42" t="n"/>
      <c r="CF48" s="42" t="n"/>
      <c r="CG48" s="42" t="n"/>
      <c r="CH48" s="42" t="n"/>
      <c r="CI48" s="42" t="n"/>
      <c r="CJ48" s="42" t="n"/>
      <c r="CK48" s="42" t="n"/>
      <c r="CL48" s="42" t="n"/>
      <c r="CM48" s="42" t="n"/>
      <c r="CN48" s="42" t="n"/>
      <c r="CO48" s="43">
        <f>IF(N($J$9)&lt;=62,"",SUM(CO42:CO46))</f>
        <v/>
      </c>
      <c r="CP48" s="42" t="n"/>
      <c r="CQ48" s="42" t="n"/>
      <c r="CR48" s="42" t="n"/>
      <c r="CS48" s="42" t="n"/>
      <c r="CT48" s="42" t="n"/>
      <c r="CU48" s="42" t="n"/>
      <c r="CV48" s="42" t="n"/>
    </row>
    <row r="49" ht="16" customHeight="1">
      <c r="A49" s="44" t="inlineStr">
        <is>
          <t>Gratuit (FOC), pour information</t>
        </is>
      </c>
      <c r="L49" s="45">
        <f>SUM(DF22:DF33)+SUM(DJ22:DJ33)+SUM(DN22:DN33)</f>
        <v/>
      </c>
    </row>
    <row r="51" ht="17" customHeight="1">
      <c r="A51" s="46" t="inlineStr">
        <is>
          <t>POUR ENEDRIL · Nom, date, signature</t>
        </is>
      </c>
      <c r="B51" s="47" t="n"/>
      <c r="C51" s="47" t="n"/>
      <c r="D51" s="47" t="n"/>
      <c r="E51" s="48" t="n"/>
      <c r="F51" s="46" t="inlineStr">
        <is>
          <t>POUR LE CLIENT · Nom, date, signature, cachet</t>
        </is>
      </c>
      <c r="G51" s="47" t="n"/>
      <c r="H51" s="47" t="n"/>
      <c r="I51" s="47" t="n"/>
      <c r="J51" s="47" t="n"/>
      <c r="K51" s="47" t="n"/>
      <c r="L51" s="48" t="n"/>
    </row>
    <row r="52" ht="17" customHeight="1">
      <c r="A52" s="49" t="n"/>
      <c r="B52" s="50" t="n"/>
      <c r="C52" s="50" t="n"/>
      <c r="D52" s="50" t="n"/>
      <c r="E52" s="51" t="n"/>
      <c r="F52" s="49" t="n"/>
      <c r="G52" s="50" t="n"/>
      <c r="H52" s="50" t="n"/>
      <c r="I52" s="50" t="n"/>
      <c r="J52" s="50" t="n"/>
      <c r="K52" s="50" t="n"/>
      <c r="L52" s="51" t="n"/>
    </row>
    <row r="53" ht="17" customHeight="1">
      <c r="A53" s="52" t="n"/>
      <c r="B53" s="23" t="n"/>
      <c r="C53" s="23" t="n"/>
      <c r="D53" s="23" t="n"/>
      <c r="E53" s="53" t="n"/>
      <c r="F53" s="52" t="n"/>
      <c r="G53" s="23" t="n"/>
      <c r="H53" s="23" t="n"/>
      <c r="I53" s="23" t="n"/>
      <c r="J53" s="23" t="n"/>
      <c r="K53" s="23" t="n"/>
      <c r="L53" s="53" t="n"/>
    </row>
  </sheetData>
  <mergeCells count="87">
    <mergeCell ref="BJ45:BQ45"/>
    <mergeCell ref="AR48:BI48"/>
    <mergeCell ref="CO46:CV46"/>
    <mergeCell ref="BJ42:BQ42"/>
    <mergeCell ref="BW12:DA12"/>
    <mergeCell ref="CO48:CV48"/>
    <mergeCell ref="BJ44:BQ44"/>
    <mergeCell ref="A47:F47"/>
    <mergeCell ref="B13:B14"/>
    <mergeCell ref="D13:D14"/>
    <mergeCell ref="C6:F6"/>
    <mergeCell ref="M45:AD45"/>
    <mergeCell ref="M42:AD42"/>
    <mergeCell ref="F13:F14"/>
    <mergeCell ref="BW43:CN43"/>
    <mergeCell ref="H13:H14"/>
    <mergeCell ref="A44:F44"/>
    <mergeCell ref="G9:I9"/>
    <mergeCell ref="BW42:CN42"/>
    <mergeCell ref="BJ48:BQ48"/>
    <mergeCell ref="BW44:CN44"/>
    <mergeCell ref="AR43:BI43"/>
    <mergeCell ref="M44:AD44"/>
    <mergeCell ref="A9:B9"/>
    <mergeCell ref="BW46:CN46"/>
    <mergeCell ref="BJ43:BQ43"/>
    <mergeCell ref="A48:K48"/>
    <mergeCell ref="G6:I6"/>
    <mergeCell ref="E13:E14"/>
    <mergeCell ref="BW48:CN48"/>
    <mergeCell ref="G13:G14"/>
    <mergeCell ref="G42:K42"/>
    <mergeCell ref="BW45:CN45"/>
    <mergeCell ref="A42:F42"/>
    <mergeCell ref="AE43:AL43"/>
    <mergeCell ref="BJ46:BQ46"/>
    <mergeCell ref="C5:F5"/>
    <mergeCell ref="AE42:AL42"/>
    <mergeCell ref="AE44:AL44"/>
    <mergeCell ref="A8:B8"/>
    <mergeCell ref="J5:L5"/>
    <mergeCell ref="G8:I8"/>
    <mergeCell ref="AE45:AL45"/>
    <mergeCell ref="M48:AD48"/>
    <mergeCell ref="J6:L6"/>
    <mergeCell ref="A46:F46"/>
    <mergeCell ref="G43:K43"/>
    <mergeCell ref="C8:F8"/>
    <mergeCell ref="CO43:CV43"/>
    <mergeCell ref="A49:K49"/>
    <mergeCell ref="CO42:CV42"/>
    <mergeCell ref="AE46:AL46"/>
    <mergeCell ref="AR12:BV12"/>
    <mergeCell ref="G5:I5"/>
    <mergeCell ref="CO44:CV44"/>
    <mergeCell ref="AR45:BI45"/>
    <mergeCell ref="A13:A14"/>
    <mergeCell ref="A5:B5"/>
    <mergeCell ref="AE48:AL48"/>
    <mergeCell ref="J8:L8"/>
    <mergeCell ref="G45:K45"/>
    <mergeCell ref="M1:AQ1"/>
    <mergeCell ref="AR44:BI44"/>
    <mergeCell ref="AR42:BI42"/>
    <mergeCell ref="A45:F45"/>
    <mergeCell ref="G47:K47"/>
    <mergeCell ref="G44:K44"/>
    <mergeCell ref="F51:L53"/>
    <mergeCell ref="J9:L9"/>
    <mergeCell ref="G46:K46"/>
    <mergeCell ref="M12:AQ12"/>
    <mergeCell ref="J13:J14"/>
    <mergeCell ref="L13:L14"/>
    <mergeCell ref="A6:B6"/>
    <mergeCell ref="A51:E53"/>
    <mergeCell ref="M46:AD46"/>
    <mergeCell ref="A43:F43"/>
    <mergeCell ref="A10:L10"/>
    <mergeCell ref="I13:I14"/>
    <mergeCell ref="K13:K14"/>
    <mergeCell ref="CO45:CV45"/>
    <mergeCell ref="C13:C14"/>
    <mergeCell ref="C9:F9"/>
    <mergeCell ref="M43:AD43"/>
    <mergeCell ref="M2:AQ2"/>
    <mergeCell ref="A11:L11"/>
    <mergeCell ref="AR46:BI46"/>
  </mergeCells>
  <conditionalFormatting sqref="M17:DA19 M22:DA33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4" t="inlineStr">
        <is>
          <t>Ingénieur Enedril</t>
        </is>
      </c>
      <c r="C1" s="54" t="inlineStr">
        <is>
          <t>Codes du calendrier</t>
        </is>
      </c>
      <c r="E1" s="54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2026-10-28T15:56:16Z</dcterms:created>
  <dcterms:modified xmlns:dcterms="http://purl.org/dc/terms/" xmlns:xsi="http://www.w3.org/2001/XMLSchema-instance" xsi:type="dcterms:W3CDTF">2026-10-28T15:56:17Z</dcterms:modified>
</cp:coreProperties>
</file>