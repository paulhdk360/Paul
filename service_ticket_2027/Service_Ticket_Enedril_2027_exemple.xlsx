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ticket" sheetId="1" state="visible" r:id="rId1"/>
    <sheet xmlns:r="http://schemas.openxmlformats.org/officeDocument/2006/relationships" name="Listes" sheetId="2" state="visible" r:id="rId2"/>
  </sheets>
  <definedNames>
    <definedName name="_xlnm.Print_Titles" localSheetId="0">'Service ticket'!$A:$L</definedName>
    <definedName name="_xlnm.Print_Area" localSheetId="0">'Service ticket'!$A$1:$DA$52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d"/>
  </numFmts>
  <fonts count="23">
    <font>
      <name val="Calibri"/>
      <family val="2"/>
      <color theme="1"/>
      <sz val="11"/>
      <scheme val="minor"/>
    </font>
    <font>
      <name val="Calibri"/>
      <b val="1"/>
      <color rgb="00FFFFFF"/>
      <sz val="9"/>
    </font>
    <font>
      <name val="Calibri"/>
      <b val="1"/>
      <color rgb="00FFFFFF"/>
      <sz val="20"/>
    </font>
    <font>
      <name val="Calibri"/>
      <color rgb="009FD8F5"/>
      <sz val="11"/>
    </font>
    <font>
      <name val="Calibri"/>
      <b val="1"/>
      <color rgb="0051647A"/>
      <sz val="7.5"/>
    </font>
    <font>
      <name val="Calibri"/>
      <b val="1"/>
      <color rgb="000A4FA0"/>
      <sz val="11"/>
    </font>
    <font>
      <name val="Calibri"/>
      <b val="1"/>
      <color rgb="0008203F"/>
      <sz val="8.5"/>
    </font>
    <font>
      <name val="Calibri"/>
      <i val="1"/>
      <color rgb="0051647A"/>
      <sz val="8"/>
    </font>
    <font>
      <name val="Calibri"/>
      <b val="1"/>
      <color rgb="00FFFFFF"/>
      <sz val="10"/>
    </font>
    <font>
      <name val="Calibri"/>
      <color rgb="0008203F"/>
      <sz val="7.5"/>
    </font>
    <font>
      <name val="Calibri"/>
      <b val="1"/>
      <color rgb="0008203F"/>
      <sz val="8"/>
    </font>
    <font>
      <name val="Calibri"/>
      <color rgb="000A4FA0"/>
      <sz val="10"/>
    </font>
    <font>
      <name val="Calibri"/>
      <b val="1"/>
      <color rgb="000B1B2E"/>
      <sz val="8.5"/>
    </font>
    <font>
      <name val="Calibri"/>
      <b val="1"/>
      <color rgb="0051647A"/>
      <sz val="10"/>
    </font>
    <font>
      <name val="Calibri"/>
      <b val="1"/>
      <color rgb="000B1B2E"/>
      <sz val="10"/>
    </font>
    <font>
      <name val="Calibri"/>
      <color rgb="000B1B2E"/>
      <sz val="10"/>
    </font>
    <font>
      <name val="Calibri"/>
      <color rgb="000B1B2E"/>
      <sz val="10.5"/>
    </font>
    <font>
      <name val="Calibri"/>
      <color rgb="0051647A"/>
      <sz val="8"/>
    </font>
    <font>
      <name val="Calibri"/>
      <b val="1"/>
      <color rgb="000B1B2E"/>
      <sz val="10.5"/>
    </font>
    <font>
      <name val="Calibri"/>
      <b val="1"/>
      <color rgb="00FFFFFF"/>
      <sz val="12"/>
    </font>
    <font>
      <name val="Calibri"/>
      <i val="1"/>
      <color rgb="0051647A"/>
      <sz val="9.5"/>
    </font>
    <font>
      <name val="Calibri"/>
      <b val="1"/>
      <color rgb="0051647A"/>
      <sz val="8"/>
    </font>
    <font>
      <name val="Calibri"/>
      <b val="1"/>
      <color rgb="0008203F"/>
      <sz val="11"/>
    </font>
  </fonts>
  <fills count="8">
    <fill>
      <patternFill/>
    </fill>
    <fill>
      <patternFill patternType="gray125"/>
    </fill>
    <fill>
      <patternFill patternType="solid">
        <fgColor rgb="0008203F"/>
        <bgColor rgb="0008203F"/>
      </patternFill>
    </fill>
    <fill>
      <patternFill patternType="solid">
        <fgColor rgb="0000AEEF"/>
        <bgColor rgb="0000AEEF"/>
      </patternFill>
    </fill>
    <fill>
      <patternFill patternType="solid">
        <fgColor rgb="00EAF6FD"/>
        <bgColor rgb="00EAF6FD"/>
      </patternFill>
    </fill>
    <fill>
      <patternFill patternType="solid">
        <fgColor rgb="000A4FA0"/>
        <bgColor rgb="000A4FA0"/>
      </patternFill>
    </fill>
    <fill>
      <patternFill patternType="solid">
        <fgColor rgb="00DCE8F5"/>
        <bgColor rgb="00DCE8F5"/>
      </patternFill>
    </fill>
    <fill>
      <patternFill patternType="solid">
        <fgColor rgb="00F4F7FA"/>
        <bgColor rgb="00F4F7FA"/>
      </patternFill>
    </fill>
  </fills>
  <borders count="12">
    <border>
      <left/>
      <right/>
      <top/>
      <bottom/>
      <diagonal/>
    </border>
    <border>
      <bottom style="thin">
        <color rgb="0000AEEF"/>
      </bottom>
    </border>
    <border>
      <bottom style="thin">
        <color rgb="00D5DEE8"/>
      </bottom>
    </border>
    <border>
      <left style="thin">
        <color rgb="00E6ECF3"/>
      </left>
      <right style="thin">
        <color rgb="00E6ECF3"/>
      </right>
      <bottom style="thin">
        <color rgb="00E6ECF3"/>
      </bottom>
    </border>
    <border>
      <left style="thin">
        <color rgb="00D5DEE8"/>
      </left>
      <top style="thin">
        <color rgb="00D5DEE8"/>
      </top>
    </border>
    <border>
      <top style="thin">
        <color rgb="00D5DEE8"/>
      </top>
    </border>
    <border>
      <right style="thin">
        <color rgb="00D5DEE8"/>
      </right>
      <top style="thin">
        <color rgb="00D5DEE8"/>
      </top>
    </border>
    <border>
      <left style="thin">
        <color rgb="00D5DEE8"/>
      </left>
    </border>
    <border/>
    <border>
      <right style="thin">
        <color rgb="00D5DEE8"/>
      </right>
    </border>
    <border>
      <left style="thin">
        <color rgb="00D5DEE8"/>
      </left>
      <bottom style="thin">
        <color rgb="00D5DEE8"/>
      </bottom>
    </border>
    <border>
      <right style="thin">
        <color rgb="00D5DEE8"/>
      </right>
      <bottom style="thin">
        <color rgb="00D5DEE8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4" fillId="0" borderId="0" applyAlignment="1" pivotButton="0" quotePrefix="0" xfId="0">
      <alignment vertical="bottom" indent="1"/>
    </xf>
    <xf numFmtId="0" fontId="5" fillId="4" borderId="1" applyAlignment="1" pivotButton="0" quotePrefix="0" xfId="0">
      <alignment horizontal="left" vertical="center" wrapText="1" indent="1"/>
    </xf>
    <xf numFmtId="0" fontId="0" fillId="4" borderId="1" pivotButton="0" quotePrefix="0" xfId="0"/>
    <xf numFmtId="164" fontId="5" fillId="4" borderId="1" applyAlignment="1" pivotButton="0" quotePrefix="0" xfId="0">
      <alignment horizontal="left" vertical="center" wrapText="1" indent="1"/>
    </xf>
    <xf numFmtId="164" fontId="22" fillId="4" borderId="1" applyAlignment="1" pivotButton="0" quotePrefix="0" xfId="0">
      <alignment horizontal="left" vertical="center" indent="1"/>
    </xf>
    <xf numFmtId="1" fontId="22" fillId="4" borderId="1" applyAlignment="1" pivotButton="0" quotePrefix="0" xfId="0">
      <alignment horizontal="left" vertical="center" indent="1"/>
    </xf>
    <xf numFmtId="0" fontId="6" fillId="0" borderId="0" applyAlignment="1" pivotButton="0" quotePrefix="0" xfId="0">
      <alignment vertical="center" indent="1"/>
    </xf>
    <xf numFmtId="0" fontId="8" fillId="5" borderId="0" applyAlignment="1" pivotButton="0" quotePrefix="0" xfId="0">
      <alignment horizontal="center" vertical="center"/>
    </xf>
    <xf numFmtId="0" fontId="0" fillId="5" borderId="0" pivotButton="0" quotePrefix="0" xfId="0"/>
    <xf numFmtId="0" fontId="8" fillId="2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 wrapText="1"/>
    </xf>
    <xf numFmtId="165" fontId="6" fillId="6" borderId="0" applyAlignment="1" pivotButton="0" quotePrefix="0" xfId="0">
      <alignment horizontal="center" vertical="center"/>
    </xf>
    <xf numFmtId="0" fontId="0" fillId="6" borderId="0" pivotButton="0" quotePrefix="0" xfId="0"/>
    <xf numFmtId="0" fontId="9" fillId="6" borderId="0" applyAlignment="1" pivotButton="0" quotePrefix="0" xfId="0">
      <alignment horizontal="center" vertical="center"/>
    </xf>
    <xf numFmtId="0" fontId="8" fillId="2" borderId="0" applyAlignment="1" pivotButton="0" quotePrefix="0" xfId="0">
      <alignment vertical="center" indent="1"/>
    </xf>
    <xf numFmtId="0" fontId="13" fillId="0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 indent="1"/>
    </xf>
    <xf numFmtId="0" fontId="0" fillId="0" borderId="2" pivotButton="0" quotePrefix="0" xfId="0"/>
    <xf numFmtId="4" fontId="11" fillId="4" borderId="2" applyAlignment="1" pivotButton="0" quotePrefix="0" xfId="0">
      <alignment horizontal="center" vertical="center"/>
    </xf>
    <xf numFmtId="4" fontId="0" fillId="0" borderId="2" pivotButton="0" quotePrefix="0" xfId="0"/>
    <xf numFmtId="0" fontId="15" fillId="0" borderId="2" applyAlignment="1" pivotButton="0" quotePrefix="0" xfId="0">
      <alignment horizontal="center" vertical="center"/>
    </xf>
    <xf numFmtId="4" fontId="14" fillId="0" borderId="2" applyAlignment="1" pivotButton="0" quotePrefix="0" xfId="0">
      <alignment horizontal="right" vertical="center" indent="1"/>
    </xf>
    <xf numFmtId="0" fontId="12" fillId="0" borderId="3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0" fillId="7" borderId="0" pivotButton="0" quotePrefix="0" xfId="0"/>
    <xf numFmtId="0" fontId="16" fillId="0" borderId="2" applyAlignment="1" pivotButton="0" quotePrefix="0" xfId="0">
      <alignment vertical="center" indent="1"/>
    </xf>
    <xf numFmtId="0" fontId="17" fillId="0" borderId="2" applyAlignment="1" pivotButton="0" quotePrefix="0" xfId="0">
      <alignment horizontal="center" vertical="center"/>
    </xf>
    <xf numFmtId="4" fontId="18" fillId="0" borderId="2" applyAlignment="1" pivotButton="0" quotePrefix="0" xfId="0">
      <alignment horizontal="right" vertical="center" indent="1"/>
    </xf>
    <xf numFmtId="0" fontId="19" fillId="5" borderId="0" applyAlignment="1" pivotButton="0" quotePrefix="0" xfId="0">
      <alignment horizontal="left" vertical="center" indent="1"/>
    </xf>
    <xf numFmtId="0" fontId="19" fillId="5" borderId="0" applyAlignment="1" pivotButton="0" quotePrefix="0" xfId="0">
      <alignment horizontal="left" vertical="center"/>
    </xf>
    <xf numFmtId="4" fontId="19" fillId="5" borderId="0" applyAlignment="1" pivotButton="0" quotePrefix="0" xfId="0">
      <alignment horizontal="right" vertical="center" indent="1"/>
    </xf>
    <xf numFmtId="0" fontId="20" fillId="0" borderId="0" applyAlignment="1" pivotButton="0" quotePrefix="0" xfId="0">
      <alignment vertical="center" indent="1"/>
    </xf>
    <xf numFmtId="4" fontId="20" fillId="0" borderId="0" applyAlignment="1" pivotButton="0" quotePrefix="0" xfId="0">
      <alignment horizontal="right" indent="1"/>
    </xf>
    <xf numFmtId="0" fontId="21" fillId="0" borderId="4" applyAlignment="1" pivotButton="0" quotePrefix="0" xfId="0">
      <alignment vertical="top" inden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2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8">
    <dxf>
      <font>
        <name val="Calibri"/>
        <b val="1"/>
        <color rgb="007A5B00"/>
      </font>
      <fill>
        <patternFill patternType="solid">
          <fgColor rgb="00FFE9A8"/>
          <bgColor rgb="00FFE9A8"/>
        </patternFill>
      </fill>
    </dxf>
    <dxf>
      <font>
        <name val="Calibri"/>
        <b val="1"/>
        <color rgb="000B5A2A"/>
      </font>
      <fill>
        <patternFill patternType="solid">
          <fgColor rgb="009EDDB0"/>
          <bgColor rgb="009EDDB0"/>
        </patternFill>
      </fill>
    </dxf>
    <dxf>
      <font>
        <name val="Calibri"/>
        <b val="1"/>
        <color rgb="004A5668"/>
      </font>
      <fill>
        <patternFill patternType="solid">
          <fgColor rgb="00D5DBE3"/>
          <bgColor rgb="00D5DBE3"/>
        </patternFill>
      </fill>
    </dxf>
    <dxf>
      <font>
        <name val="Calibri"/>
        <b val="1"/>
        <color rgb="008A1710"/>
      </font>
      <fill>
        <patternFill patternType="solid">
          <fgColor rgb="00F6B3AE"/>
          <bgColor rgb="00F6B3AE"/>
        </patternFill>
      </fill>
    </dxf>
    <dxf>
      <font>
        <name val="Calibri"/>
        <b val="1"/>
        <color rgb="007A3F00"/>
      </font>
      <fill>
        <patternFill patternType="solid">
          <fgColor rgb="00FBCB9A"/>
          <bgColor rgb="00FBCB9A"/>
        </patternFill>
      </fill>
    </dxf>
    <dxf>
      <font>
        <name val="Calibri"/>
        <b val="1"/>
        <color rgb="000A4FA0"/>
      </font>
      <fill>
        <patternFill patternType="solid">
          <fgColor rgb="00B9D8F5"/>
          <bgColor rgb="00B9D8F5"/>
        </patternFill>
      </fill>
    </dxf>
    <dxf>
      <fill>
        <patternFill patternType="solid">
          <fgColor rgb="00EEF2F6"/>
          <bgColor rgb="00EEF2F6"/>
        </patternFill>
      </fill>
    </dxf>
    <dxf>
      <font>
        <name val="Calibri"/>
        <b val="1"/>
        <color rgb="0008203F"/>
      </font>
      <fill>
        <patternFill patternType="solid">
          <fgColor rgb="00C9DAF0"/>
          <bgColor rgb="00C9DA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287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AEEF"/>
    <outlinePr summaryBelow="1" summaryRight="1"/>
    <pageSetUpPr/>
  </sheetPr>
  <dimension ref="A1:DF52"/>
  <sheetViews>
    <sheetView showGridLines="0" zoomScale="9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5" customWidth="1" min="1" max="1"/>
    <col width="32" customWidth="1" min="2" max="2"/>
    <col width="5" customWidth="1" min="3" max="3"/>
    <col width="7" customWidth="1" min="4" max="4"/>
    <col width="7" customWidth="1" min="5" max="5"/>
    <col width="7" customWidth="1" min="6" max="6"/>
    <col width="8" customWidth="1" min="7" max="7"/>
    <col width="7" customWidth="1" min="8" max="8"/>
    <col width="7" customWidth="1" min="9" max="9"/>
    <col width="5" customWidth="1" min="10" max="10"/>
    <col width="5" customWidth="1" min="11" max="11"/>
    <col width="11" customWidth="1" min="12" max="12"/>
    <col width="3.3" customWidth="1" min="13" max="13"/>
    <col width="3.3" customWidth="1" min="14" max="14"/>
    <col width="3.3" customWidth="1" min="15" max="15"/>
    <col width="3.3" customWidth="1" min="16" max="16"/>
    <col width="3.3" customWidth="1" min="17" max="17"/>
    <col width="3.3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  <col width="3.3" customWidth="1" min="33" max="33"/>
    <col width="3.3" customWidth="1" min="34" max="34"/>
    <col width="3.3" customWidth="1" min="35" max="35"/>
    <col width="3.3" customWidth="1" min="36" max="36"/>
    <col width="3.3" customWidth="1" min="37" max="37"/>
    <col width="3.3" customWidth="1" min="38" max="38"/>
    <col width="3.3" customWidth="1" min="39" max="39"/>
    <col width="3.3" customWidth="1" min="40" max="40"/>
    <col width="3.3" customWidth="1" min="41" max="41"/>
    <col width="3.3" customWidth="1" min="42" max="42"/>
    <col width="3.3" customWidth="1" min="43" max="43"/>
    <col width="3.3" customWidth="1" min="44" max="44"/>
    <col width="3.3" customWidth="1" min="45" max="45"/>
    <col width="3.3" customWidth="1" min="46" max="46"/>
    <col width="3.3" customWidth="1" min="47" max="47"/>
    <col width="3.3" customWidth="1" min="48" max="48"/>
    <col width="3.3" customWidth="1" min="49" max="49"/>
    <col width="3.3" customWidth="1" min="50" max="50"/>
    <col width="3.3" customWidth="1" min="51" max="51"/>
    <col width="3.3" customWidth="1" min="52" max="52"/>
    <col width="3.3" customWidth="1" min="53" max="53"/>
    <col width="3.3" customWidth="1" min="54" max="54"/>
    <col width="3.3" customWidth="1" min="55" max="55"/>
    <col width="3.3" customWidth="1" min="56" max="56"/>
    <col width="3.3" customWidth="1" min="57" max="57"/>
    <col width="3.3" customWidth="1" min="58" max="58"/>
    <col width="3.3" customWidth="1" min="59" max="59"/>
    <col width="3.3" customWidth="1" min="60" max="60"/>
    <col width="3.3" customWidth="1" min="61" max="61"/>
    <col width="3.3" customWidth="1" min="62" max="62"/>
    <col width="3.3" customWidth="1" min="63" max="63"/>
    <col width="3.3" customWidth="1" min="64" max="64"/>
    <col width="3.3" customWidth="1" min="65" max="65"/>
    <col width="3.3" customWidth="1" min="66" max="66"/>
    <col width="3.3" customWidth="1" min="67" max="67"/>
    <col width="3.3" customWidth="1" min="68" max="68"/>
    <col width="3.3" customWidth="1" min="69" max="69"/>
    <col width="3.3" customWidth="1" min="70" max="70"/>
    <col width="3.3" customWidth="1" min="71" max="71"/>
    <col width="3.3" customWidth="1" min="72" max="72"/>
    <col width="3.3" customWidth="1" min="73" max="73"/>
    <col width="3.3" customWidth="1" min="74" max="74"/>
    <col width="3.3" customWidth="1" min="75" max="75"/>
    <col width="3.3" customWidth="1" min="76" max="76"/>
    <col width="3.3" customWidth="1" min="77" max="77"/>
    <col width="3.3" customWidth="1" min="78" max="78"/>
    <col width="3.3" customWidth="1" min="79" max="79"/>
    <col width="3.3" customWidth="1" min="80" max="80"/>
    <col width="3.3" customWidth="1" min="81" max="81"/>
    <col width="3.3" customWidth="1" min="82" max="82"/>
    <col width="3.3" customWidth="1" min="83" max="83"/>
    <col width="3.3" customWidth="1" min="84" max="84"/>
    <col width="3.3" customWidth="1" min="85" max="85"/>
    <col width="3.3" customWidth="1" min="86" max="86"/>
    <col width="3.3" customWidth="1" min="87" max="87"/>
    <col width="3.3" customWidth="1" min="88" max="88"/>
    <col width="3.3" customWidth="1" min="89" max="89"/>
    <col width="3.3" customWidth="1" min="90" max="90"/>
    <col width="3.3" customWidth="1" min="91" max="91"/>
    <col width="3.3" customWidth="1" min="92" max="92"/>
    <col width="3.3" customWidth="1" min="93" max="93"/>
    <col width="3.3" customWidth="1" min="94" max="94"/>
    <col width="3.3" customWidth="1" min="95" max="95"/>
    <col width="3.3" customWidth="1" min="96" max="96"/>
    <col width="3.3" customWidth="1" min="97" max="97"/>
    <col width="3.3" customWidth="1" min="98" max="98"/>
    <col width="3.3" customWidth="1" min="99" max="99"/>
    <col width="3.3" customWidth="1" min="100" max="100"/>
    <col width="3.3" customWidth="1" min="101" max="101"/>
    <col width="3.3" customWidth="1" min="102" max="102"/>
    <col width="3.3" customWidth="1" min="103" max="103"/>
    <col width="3.3" customWidth="1" min="104" max="104"/>
    <col width="3.3" customWidth="1" min="105" max="105"/>
    <col width="1.5" customWidth="1" min="106" max="106"/>
    <col hidden="1" width="13" customWidth="1" min="107" max="107"/>
    <col hidden="1" width="13" customWidth="1" min="108" max="108"/>
    <col hidden="1" width="13" customWidth="1" min="109" max="109"/>
    <col hidden="1" width="13" customWidth="1" min="110" max="110"/>
  </cols>
  <sheetData>
    <row r="1" ht="34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2" t="inlineStr">
        <is>
          <t>SERVICE TICKET</t>
        </is>
      </c>
    </row>
    <row r="2" ht="20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>
        <f>IF(A6="","",A6&amp;"  ·  ")&amp;IF(G6="","","Dossier "&amp;G6)</f>
        <v/>
      </c>
    </row>
    <row r="3" ht="5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</row>
    <row r="4" ht="8" customHeight="1"/>
    <row r="5" ht="15" customHeight="1">
      <c r="A5" s="5" t="inlineStr">
        <is>
          <t>CLIENT · CUSTOMER</t>
        </is>
      </c>
      <c r="C5" s="5" t="inlineStr">
        <is>
          <t>PUITS / CHANTIER · WELL</t>
        </is>
      </c>
      <c r="G5" s="5" t="inlineStr">
        <is>
          <t>DOSSIER N° · JOB</t>
        </is>
      </c>
      <c r="J5" s="5" t="inlineStr">
        <is>
          <t>PO / CONTRAT</t>
        </is>
      </c>
    </row>
    <row r="6" ht="24" customHeight="1">
      <c r="A6" s="6" t="inlineStr">
        <is>
          <t>Geopetrol</t>
        </is>
      </c>
      <c r="B6" s="7" t="n"/>
      <c r="C6" s="6" t="inlineStr">
        <is>
          <t>Puits Lacq-12 · CLU108</t>
        </is>
      </c>
      <c r="D6" s="7" t="n"/>
      <c r="E6" s="7" t="n"/>
      <c r="F6" s="7" t="n"/>
      <c r="G6" s="6" t="inlineStr">
        <is>
          <t>26-82-FR</t>
        </is>
      </c>
      <c r="H6" s="7" t="n"/>
      <c r="I6" s="7" t="n"/>
      <c r="J6" s="6" t="inlineStr">
        <is>
          <t>PO-4500123</t>
        </is>
      </c>
      <c r="K6" s="7" t="n"/>
      <c r="L6" s="7" t="n"/>
    </row>
    <row r="7" ht="6" customHeight="1"/>
    <row r="8" ht="15" customHeight="1">
      <c r="A8" s="5" t="inlineStr">
        <is>
          <t>INGÉNIEUR ENEDRIL</t>
        </is>
      </c>
      <c r="C8" s="5" t="inlineStr">
        <is>
          <t>DATE DE DÉBUT · START DATE</t>
        </is>
      </c>
      <c r="G8" s="5" t="inlineStr">
        <is>
          <t>DATE DE FIN · END DATE</t>
        </is>
      </c>
      <c r="J8" s="5" t="inlineStr">
        <is>
          <t>DURÉE (JOURS)</t>
        </is>
      </c>
    </row>
    <row r="9" ht="24" customHeight="1">
      <c r="A9" s="6" t="inlineStr">
        <is>
          <t>Paul HYNDERICK</t>
        </is>
      </c>
      <c r="B9" s="7" t="n"/>
      <c r="C9" s="8" t="n">
        <v>46335</v>
      </c>
      <c r="D9" s="7" t="n"/>
      <c r="E9" s="7" t="n"/>
      <c r="F9" s="7" t="n"/>
      <c r="G9" s="9">
        <f>IF(C9="","",C9+MAX(SUMPRODUCT(MAX((M16:DA18&lt;&gt;"")*(COLUMN(M16:DA18)-13))),SUMPRODUCT(MAX((M21:DA34&lt;&gt;"")*(COLUMN(M21:DA34)-13)))))</f>
        <v/>
      </c>
      <c r="H9" s="7" t="n"/>
      <c r="I9" s="7" t="n"/>
      <c r="J9" s="10">
        <f>IF(C9="","",G9-C9+1)</f>
        <v/>
      </c>
      <c r="K9" s="7" t="n"/>
      <c r="L9" s="7" t="n"/>
    </row>
    <row r="10" ht="6" customHeight="1"/>
    <row r="11" ht="18" customHeight="1">
      <c r="A11" s="11" t="inlineStr">
        <is>
          <t>Calendrier : S = stand-by · O = opérations · FOC = gratuit · VR = valeur de remplacement · RC = restocking · MOB / DEMOB = arrivée / départ</t>
        </is>
      </c>
    </row>
    <row r="12" ht="20" customHeight="1">
      <c r="M12" s="12">
        <f>IF($C$9="","",IF($C$9+0&gt;$C$9+92,"","Du "&amp;TEXT($C$9+0,"dd/mm")&amp;" au "&amp;TEXT($C$9+30,"dd/mm/yyyy")))</f>
        <v/>
      </c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  <c r="AM12" s="13" t="n"/>
      <c r="AN12" s="13" t="n"/>
      <c r="AO12" s="13" t="n"/>
      <c r="AP12" s="13" t="n"/>
      <c r="AQ12" s="13" t="n"/>
      <c r="AR12" s="14">
        <f>IF($C$9="","",IF($C$9+31&gt;$C$9+92,"","Du "&amp;TEXT($C$9+31,"dd/mm")&amp;" au "&amp;TEXT($C$9+61,"dd/mm/yyyy")))</f>
        <v/>
      </c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2">
        <f>IF($C$9="","",IF($C$9+62&gt;$C$9+92,"","Du "&amp;TEXT($C$9+62,"dd/mm")&amp;" au "&amp;TEXT($C$9+92,"dd/mm/yyyy")))</f>
        <v/>
      </c>
      <c r="BX12" s="13" t="n"/>
      <c r="BY12" s="13" t="n"/>
      <c r="BZ12" s="13" t="n"/>
      <c r="CA12" s="13" t="n"/>
      <c r="CB12" s="13" t="n"/>
      <c r="CC12" s="13" t="n"/>
      <c r="CD12" s="13" t="n"/>
      <c r="CE12" s="13" t="n"/>
      <c r="CF12" s="13" t="n"/>
      <c r="CG12" s="13" t="n"/>
      <c r="CH12" s="13" t="n"/>
      <c r="CI12" s="13" t="n"/>
      <c r="CJ12" s="13" t="n"/>
      <c r="CK12" s="13" t="n"/>
      <c r="CL12" s="13" t="n"/>
      <c r="CM12" s="13" t="n"/>
      <c r="CN12" s="13" t="n"/>
      <c r="CO12" s="13" t="n"/>
      <c r="CP12" s="13" t="n"/>
      <c r="CQ12" s="13" t="n"/>
      <c r="CR12" s="13" t="n"/>
      <c r="CS12" s="13" t="n"/>
      <c r="CT12" s="13" t="n"/>
      <c r="CU12" s="13" t="n"/>
      <c r="CV12" s="13" t="n"/>
      <c r="CW12" s="13" t="n"/>
      <c r="CX12" s="13" t="n"/>
      <c r="CY12" s="13" t="n"/>
      <c r="CZ12" s="13" t="n"/>
      <c r="DA12" s="13" t="n"/>
    </row>
    <row r="13" ht="15" customHeight="1">
      <c r="A13" s="15" t="inlineStr">
        <is>
          <t>#</t>
        </is>
      </c>
      <c r="B13" s="15" t="inlineStr">
        <is>
          <t>Description</t>
        </is>
      </c>
      <c r="C13" s="15" t="inlineStr">
        <is>
          <t>Qté
Qty</t>
        </is>
      </c>
      <c r="D13" s="15" t="inlineStr">
        <is>
          <t>Stand-by
€ / jour</t>
        </is>
      </c>
      <c r="E13" s="15" t="inlineStr">
        <is>
          <t>Opér.
€ / jour</t>
        </is>
      </c>
      <c r="F13" s="15" t="inlineStr">
        <is>
          <t>UC
€</t>
        </is>
      </c>
      <c r="G13" s="15" t="inlineStr">
        <is>
          <t>Valeur
remplac.</t>
        </is>
      </c>
      <c r="H13" s="15" t="inlineStr">
        <is>
          <t>Inspect.
€</t>
        </is>
      </c>
      <c r="I13" s="15" t="inlineStr">
        <is>
          <t>Restock.
€</t>
        </is>
      </c>
      <c r="J13" s="15" t="inlineStr">
        <is>
          <t>Jours
S</t>
        </is>
      </c>
      <c r="K13" s="15" t="inlineStr">
        <is>
          <t>Jours
O</t>
        </is>
      </c>
      <c r="L13" s="15" t="inlineStr">
        <is>
          <t>Total
€ HT</t>
        </is>
      </c>
      <c r="M13" s="16">
        <f>IF($C$9="","",$C$9+0)</f>
        <v/>
      </c>
      <c r="N13" s="16">
        <f>IF($C$9="","",$C$9+1)</f>
        <v/>
      </c>
      <c r="O13" s="16">
        <f>IF($C$9="","",$C$9+2)</f>
        <v/>
      </c>
      <c r="P13" s="16">
        <f>IF($C$9="","",$C$9+3)</f>
        <v/>
      </c>
      <c r="Q13" s="16">
        <f>IF($C$9="","",$C$9+4)</f>
        <v/>
      </c>
      <c r="R13" s="16">
        <f>IF($C$9="","",$C$9+5)</f>
        <v/>
      </c>
      <c r="S13" s="16">
        <f>IF($C$9="","",$C$9+6)</f>
        <v/>
      </c>
      <c r="T13" s="16">
        <f>IF($C$9="","",$C$9+7)</f>
        <v/>
      </c>
      <c r="U13" s="16">
        <f>IF($C$9="","",$C$9+8)</f>
        <v/>
      </c>
      <c r="V13" s="16">
        <f>IF($C$9="","",$C$9+9)</f>
        <v/>
      </c>
      <c r="W13" s="16">
        <f>IF($C$9="","",$C$9+10)</f>
        <v/>
      </c>
      <c r="X13" s="16">
        <f>IF($C$9="","",$C$9+11)</f>
        <v/>
      </c>
      <c r="Y13" s="16">
        <f>IF($C$9="","",$C$9+12)</f>
        <v/>
      </c>
      <c r="Z13" s="16">
        <f>IF($C$9="","",$C$9+13)</f>
        <v/>
      </c>
      <c r="AA13" s="16">
        <f>IF($C$9="","",$C$9+14)</f>
        <v/>
      </c>
      <c r="AB13" s="16">
        <f>IF($C$9="","",$C$9+15)</f>
        <v/>
      </c>
      <c r="AC13" s="16">
        <f>IF($C$9="","",$C$9+16)</f>
        <v/>
      </c>
      <c r="AD13" s="16">
        <f>IF($C$9="","",$C$9+17)</f>
        <v/>
      </c>
      <c r="AE13" s="16">
        <f>IF($C$9="","",$C$9+18)</f>
        <v/>
      </c>
      <c r="AF13" s="16">
        <f>IF($C$9="","",$C$9+19)</f>
        <v/>
      </c>
      <c r="AG13" s="16">
        <f>IF($C$9="","",$C$9+20)</f>
        <v/>
      </c>
      <c r="AH13" s="16">
        <f>IF($C$9="","",$C$9+21)</f>
        <v/>
      </c>
      <c r="AI13" s="16">
        <f>IF($C$9="","",$C$9+22)</f>
        <v/>
      </c>
      <c r="AJ13" s="16">
        <f>IF($C$9="","",$C$9+23)</f>
        <v/>
      </c>
      <c r="AK13" s="16">
        <f>IF($C$9="","",$C$9+24)</f>
        <v/>
      </c>
      <c r="AL13" s="16">
        <f>IF($C$9="","",$C$9+25)</f>
        <v/>
      </c>
      <c r="AM13" s="16">
        <f>IF($C$9="","",$C$9+26)</f>
        <v/>
      </c>
      <c r="AN13" s="16">
        <f>IF($C$9="","",$C$9+27)</f>
        <v/>
      </c>
      <c r="AO13" s="16">
        <f>IF($C$9="","",$C$9+28)</f>
        <v/>
      </c>
      <c r="AP13" s="16">
        <f>IF($C$9="","",$C$9+29)</f>
        <v/>
      </c>
      <c r="AQ13" s="16">
        <f>IF($C$9="","",$C$9+30)</f>
        <v/>
      </c>
      <c r="AR13" s="16">
        <f>IF($C$9="","",$C$9+31)</f>
        <v/>
      </c>
      <c r="AS13" s="16">
        <f>IF($C$9="","",$C$9+32)</f>
        <v/>
      </c>
      <c r="AT13" s="16">
        <f>IF($C$9="","",$C$9+33)</f>
        <v/>
      </c>
      <c r="AU13" s="16">
        <f>IF($C$9="","",$C$9+34)</f>
        <v/>
      </c>
      <c r="AV13" s="16">
        <f>IF($C$9="","",$C$9+35)</f>
        <v/>
      </c>
      <c r="AW13" s="16">
        <f>IF($C$9="","",$C$9+36)</f>
        <v/>
      </c>
      <c r="AX13" s="16">
        <f>IF($C$9="","",$C$9+37)</f>
        <v/>
      </c>
      <c r="AY13" s="16">
        <f>IF($C$9="","",$C$9+38)</f>
        <v/>
      </c>
      <c r="AZ13" s="16">
        <f>IF($C$9="","",$C$9+39)</f>
        <v/>
      </c>
      <c r="BA13" s="16">
        <f>IF($C$9="","",$C$9+40)</f>
        <v/>
      </c>
      <c r="BB13" s="16">
        <f>IF($C$9="","",$C$9+41)</f>
        <v/>
      </c>
      <c r="BC13" s="16">
        <f>IF($C$9="","",$C$9+42)</f>
        <v/>
      </c>
      <c r="BD13" s="16">
        <f>IF($C$9="","",$C$9+43)</f>
        <v/>
      </c>
      <c r="BE13" s="16">
        <f>IF($C$9="","",$C$9+44)</f>
        <v/>
      </c>
      <c r="BF13" s="16">
        <f>IF($C$9="","",$C$9+45)</f>
        <v/>
      </c>
      <c r="BG13" s="16">
        <f>IF($C$9="","",$C$9+46)</f>
        <v/>
      </c>
      <c r="BH13" s="16">
        <f>IF($C$9="","",$C$9+47)</f>
        <v/>
      </c>
      <c r="BI13" s="16">
        <f>IF($C$9="","",$C$9+48)</f>
        <v/>
      </c>
      <c r="BJ13" s="16">
        <f>IF($C$9="","",$C$9+49)</f>
        <v/>
      </c>
      <c r="BK13" s="16">
        <f>IF($C$9="","",$C$9+50)</f>
        <v/>
      </c>
      <c r="BL13" s="16">
        <f>IF($C$9="","",$C$9+51)</f>
        <v/>
      </c>
      <c r="BM13" s="16">
        <f>IF($C$9="","",$C$9+52)</f>
        <v/>
      </c>
      <c r="BN13" s="16">
        <f>IF($C$9="","",$C$9+53)</f>
        <v/>
      </c>
      <c r="BO13" s="16">
        <f>IF($C$9="","",$C$9+54)</f>
        <v/>
      </c>
      <c r="BP13" s="16">
        <f>IF($C$9="","",$C$9+55)</f>
        <v/>
      </c>
      <c r="BQ13" s="16">
        <f>IF($C$9="","",$C$9+56)</f>
        <v/>
      </c>
      <c r="BR13" s="16">
        <f>IF($C$9="","",$C$9+57)</f>
        <v/>
      </c>
      <c r="BS13" s="16">
        <f>IF($C$9="","",$C$9+58)</f>
        <v/>
      </c>
      <c r="BT13" s="16">
        <f>IF($C$9="","",$C$9+59)</f>
        <v/>
      </c>
      <c r="BU13" s="16">
        <f>IF($C$9="","",$C$9+60)</f>
        <v/>
      </c>
      <c r="BV13" s="16">
        <f>IF($C$9="","",$C$9+61)</f>
        <v/>
      </c>
      <c r="BW13" s="16">
        <f>IF($C$9="","",$C$9+62)</f>
        <v/>
      </c>
      <c r="BX13" s="16">
        <f>IF($C$9="","",$C$9+63)</f>
        <v/>
      </c>
      <c r="BY13" s="16">
        <f>IF($C$9="","",$C$9+64)</f>
        <v/>
      </c>
      <c r="BZ13" s="16">
        <f>IF($C$9="","",$C$9+65)</f>
        <v/>
      </c>
      <c r="CA13" s="16">
        <f>IF($C$9="","",$C$9+66)</f>
        <v/>
      </c>
      <c r="CB13" s="16">
        <f>IF($C$9="","",$C$9+67)</f>
        <v/>
      </c>
      <c r="CC13" s="16">
        <f>IF($C$9="","",$C$9+68)</f>
        <v/>
      </c>
      <c r="CD13" s="16">
        <f>IF($C$9="","",$C$9+69)</f>
        <v/>
      </c>
      <c r="CE13" s="16">
        <f>IF($C$9="","",$C$9+70)</f>
        <v/>
      </c>
      <c r="CF13" s="16">
        <f>IF($C$9="","",$C$9+71)</f>
        <v/>
      </c>
      <c r="CG13" s="16">
        <f>IF($C$9="","",$C$9+72)</f>
        <v/>
      </c>
      <c r="CH13" s="16">
        <f>IF($C$9="","",$C$9+73)</f>
        <v/>
      </c>
      <c r="CI13" s="16">
        <f>IF($C$9="","",$C$9+74)</f>
        <v/>
      </c>
      <c r="CJ13" s="16">
        <f>IF($C$9="","",$C$9+75)</f>
        <v/>
      </c>
      <c r="CK13" s="16">
        <f>IF($C$9="","",$C$9+76)</f>
        <v/>
      </c>
      <c r="CL13" s="16">
        <f>IF($C$9="","",$C$9+77)</f>
        <v/>
      </c>
      <c r="CM13" s="16">
        <f>IF($C$9="","",$C$9+78)</f>
        <v/>
      </c>
      <c r="CN13" s="16">
        <f>IF($C$9="","",$C$9+79)</f>
        <v/>
      </c>
      <c r="CO13" s="16">
        <f>IF($C$9="","",$C$9+80)</f>
        <v/>
      </c>
      <c r="CP13" s="16">
        <f>IF($C$9="","",$C$9+81)</f>
        <v/>
      </c>
      <c r="CQ13" s="16">
        <f>IF($C$9="","",$C$9+82)</f>
        <v/>
      </c>
      <c r="CR13" s="16">
        <f>IF($C$9="","",$C$9+83)</f>
        <v/>
      </c>
      <c r="CS13" s="16">
        <f>IF($C$9="","",$C$9+84)</f>
        <v/>
      </c>
      <c r="CT13" s="16">
        <f>IF($C$9="","",$C$9+85)</f>
        <v/>
      </c>
      <c r="CU13" s="16">
        <f>IF($C$9="","",$C$9+86)</f>
        <v/>
      </c>
      <c r="CV13" s="16">
        <f>IF($C$9="","",$C$9+87)</f>
        <v/>
      </c>
      <c r="CW13" s="16">
        <f>IF($C$9="","",$C$9+88)</f>
        <v/>
      </c>
      <c r="CX13" s="16">
        <f>IF($C$9="","",$C$9+89)</f>
        <v/>
      </c>
      <c r="CY13" s="16">
        <f>IF($C$9="","",$C$9+90)</f>
        <v/>
      </c>
      <c r="CZ13" s="16">
        <f>IF($C$9="","",$C$9+91)</f>
        <v/>
      </c>
      <c r="DA13" s="16">
        <f>IF($C$9="","",$C$9+92)</f>
        <v/>
      </c>
    </row>
    <row r="14" ht="14" customHeight="1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8">
        <f>IF($C$9="","",CHOOSE(WEEKDAY($C$9+0,2),"L","M","M","J","V","S","D"))</f>
        <v/>
      </c>
      <c r="N14" s="18">
        <f>IF($C$9="","",CHOOSE(WEEKDAY($C$9+1,2),"L","M","M","J","V","S","D"))</f>
        <v/>
      </c>
      <c r="O14" s="18">
        <f>IF($C$9="","",CHOOSE(WEEKDAY($C$9+2,2),"L","M","M","J","V","S","D"))</f>
        <v/>
      </c>
      <c r="P14" s="18">
        <f>IF($C$9="","",CHOOSE(WEEKDAY($C$9+3,2),"L","M","M","J","V","S","D"))</f>
        <v/>
      </c>
      <c r="Q14" s="18">
        <f>IF($C$9="","",CHOOSE(WEEKDAY($C$9+4,2),"L","M","M","J","V","S","D"))</f>
        <v/>
      </c>
      <c r="R14" s="18">
        <f>IF($C$9="","",CHOOSE(WEEKDAY($C$9+5,2),"L","M","M","J","V","S","D"))</f>
        <v/>
      </c>
      <c r="S14" s="18">
        <f>IF($C$9="","",CHOOSE(WEEKDAY($C$9+6,2),"L","M","M","J","V","S","D"))</f>
        <v/>
      </c>
      <c r="T14" s="18">
        <f>IF($C$9="","",CHOOSE(WEEKDAY($C$9+7,2),"L","M","M","J","V","S","D"))</f>
        <v/>
      </c>
      <c r="U14" s="18">
        <f>IF($C$9="","",CHOOSE(WEEKDAY($C$9+8,2),"L","M","M","J","V","S","D"))</f>
        <v/>
      </c>
      <c r="V14" s="18">
        <f>IF($C$9="","",CHOOSE(WEEKDAY($C$9+9,2),"L","M","M","J","V","S","D"))</f>
        <v/>
      </c>
      <c r="W14" s="18">
        <f>IF($C$9="","",CHOOSE(WEEKDAY($C$9+10,2),"L","M","M","J","V","S","D"))</f>
        <v/>
      </c>
      <c r="X14" s="18">
        <f>IF($C$9="","",CHOOSE(WEEKDAY($C$9+11,2),"L","M","M","J","V","S","D"))</f>
        <v/>
      </c>
      <c r="Y14" s="18">
        <f>IF($C$9="","",CHOOSE(WEEKDAY($C$9+12,2),"L","M","M","J","V","S","D"))</f>
        <v/>
      </c>
      <c r="Z14" s="18">
        <f>IF($C$9="","",CHOOSE(WEEKDAY($C$9+13,2),"L","M","M","J","V","S","D"))</f>
        <v/>
      </c>
      <c r="AA14" s="18">
        <f>IF($C$9="","",CHOOSE(WEEKDAY($C$9+14,2),"L","M","M","J","V","S","D"))</f>
        <v/>
      </c>
      <c r="AB14" s="18">
        <f>IF($C$9="","",CHOOSE(WEEKDAY($C$9+15,2),"L","M","M","J","V","S","D"))</f>
        <v/>
      </c>
      <c r="AC14" s="18">
        <f>IF($C$9="","",CHOOSE(WEEKDAY($C$9+16,2),"L","M","M","J","V","S","D"))</f>
        <v/>
      </c>
      <c r="AD14" s="18">
        <f>IF($C$9="","",CHOOSE(WEEKDAY($C$9+17,2),"L","M","M","J","V","S","D"))</f>
        <v/>
      </c>
      <c r="AE14" s="18">
        <f>IF($C$9="","",CHOOSE(WEEKDAY($C$9+18,2),"L","M","M","J","V","S","D"))</f>
        <v/>
      </c>
      <c r="AF14" s="18">
        <f>IF($C$9="","",CHOOSE(WEEKDAY($C$9+19,2),"L","M","M","J","V","S","D"))</f>
        <v/>
      </c>
      <c r="AG14" s="18">
        <f>IF($C$9="","",CHOOSE(WEEKDAY($C$9+20,2),"L","M","M","J","V","S","D"))</f>
        <v/>
      </c>
      <c r="AH14" s="18">
        <f>IF($C$9="","",CHOOSE(WEEKDAY($C$9+21,2),"L","M","M","J","V","S","D"))</f>
        <v/>
      </c>
      <c r="AI14" s="18">
        <f>IF($C$9="","",CHOOSE(WEEKDAY($C$9+22,2),"L","M","M","J","V","S","D"))</f>
        <v/>
      </c>
      <c r="AJ14" s="18">
        <f>IF($C$9="","",CHOOSE(WEEKDAY($C$9+23,2),"L","M","M","J","V","S","D"))</f>
        <v/>
      </c>
      <c r="AK14" s="18">
        <f>IF($C$9="","",CHOOSE(WEEKDAY($C$9+24,2),"L","M","M","J","V","S","D"))</f>
        <v/>
      </c>
      <c r="AL14" s="18">
        <f>IF($C$9="","",CHOOSE(WEEKDAY($C$9+25,2),"L","M","M","J","V","S","D"))</f>
        <v/>
      </c>
      <c r="AM14" s="18">
        <f>IF($C$9="","",CHOOSE(WEEKDAY($C$9+26,2),"L","M","M","J","V","S","D"))</f>
        <v/>
      </c>
      <c r="AN14" s="18">
        <f>IF($C$9="","",CHOOSE(WEEKDAY($C$9+27,2),"L","M","M","J","V","S","D"))</f>
        <v/>
      </c>
      <c r="AO14" s="18">
        <f>IF($C$9="","",CHOOSE(WEEKDAY($C$9+28,2),"L","M","M","J","V","S","D"))</f>
        <v/>
      </c>
      <c r="AP14" s="18">
        <f>IF($C$9="","",CHOOSE(WEEKDAY($C$9+29,2),"L","M","M","J","V","S","D"))</f>
        <v/>
      </c>
      <c r="AQ14" s="18">
        <f>IF($C$9="","",CHOOSE(WEEKDAY($C$9+30,2),"L","M","M","J","V","S","D"))</f>
        <v/>
      </c>
      <c r="AR14" s="18">
        <f>IF($C$9="","",CHOOSE(WEEKDAY($C$9+31,2),"L","M","M","J","V","S","D"))</f>
        <v/>
      </c>
      <c r="AS14" s="18">
        <f>IF($C$9="","",CHOOSE(WEEKDAY($C$9+32,2),"L","M","M","J","V","S","D"))</f>
        <v/>
      </c>
      <c r="AT14" s="18">
        <f>IF($C$9="","",CHOOSE(WEEKDAY($C$9+33,2),"L","M","M","J","V","S","D"))</f>
        <v/>
      </c>
      <c r="AU14" s="18">
        <f>IF($C$9="","",CHOOSE(WEEKDAY($C$9+34,2),"L","M","M","J","V","S","D"))</f>
        <v/>
      </c>
      <c r="AV14" s="18">
        <f>IF($C$9="","",CHOOSE(WEEKDAY($C$9+35,2),"L","M","M","J","V","S","D"))</f>
        <v/>
      </c>
      <c r="AW14" s="18">
        <f>IF($C$9="","",CHOOSE(WEEKDAY($C$9+36,2),"L","M","M","J","V","S","D"))</f>
        <v/>
      </c>
      <c r="AX14" s="18">
        <f>IF($C$9="","",CHOOSE(WEEKDAY($C$9+37,2),"L","M","M","J","V","S","D"))</f>
        <v/>
      </c>
      <c r="AY14" s="18">
        <f>IF($C$9="","",CHOOSE(WEEKDAY($C$9+38,2),"L","M","M","J","V","S","D"))</f>
        <v/>
      </c>
      <c r="AZ14" s="18">
        <f>IF($C$9="","",CHOOSE(WEEKDAY($C$9+39,2),"L","M","M","J","V","S","D"))</f>
        <v/>
      </c>
      <c r="BA14" s="18">
        <f>IF($C$9="","",CHOOSE(WEEKDAY($C$9+40,2),"L","M","M","J","V","S","D"))</f>
        <v/>
      </c>
      <c r="BB14" s="18">
        <f>IF($C$9="","",CHOOSE(WEEKDAY($C$9+41,2),"L","M","M","J","V","S","D"))</f>
        <v/>
      </c>
      <c r="BC14" s="18">
        <f>IF($C$9="","",CHOOSE(WEEKDAY($C$9+42,2),"L","M","M","J","V","S","D"))</f>
        <v/>
      </c>
      <c r="BD14" s="18">
        <f>IF($C$9="","",CHOOSE(WEEKDAY($C$9+43,2),"L","M","M","J","V","S","D"))</f>
        <v/>
      </c>
      <c r="BE14" s="18">
        <f>IF($C$9="","",CHOOSE(WEEKDAY($C$9+44,2),"L","M","M","J","V","S","D"))</f>
        <v/>
      </c>
      <c r="BF14" s="18">
        <f>IF($C$9="","",CHOOSE(WEEKDAY($C$9+45,2),"L","M","M","J","V","S","D"))</f>
        <v/>
      </c>
      <c r="BG14" s="18">
        <f>IF($C$9="","",CHOOSE(WEEKDAY($C$9+46,2),"L","M","M","J","V","S","D"))</f>
        <v/>
      </c>
      <c r="BH14" s="18">
        <f>IF($C$9="","",CHOOSE(WEEKDAY($C$9+47,2),"L","M","M","J","V","S","D"))</f>
        <v/>
      </c>
      <c r="BI14" s="18">
        <f>IF($C$9="","",CHOOSE(WEEKDAY($C$9+48,2),"L","M","M","J","V","S","D"))</f>
        <v/>
      </c>
      <c r="BJ14" s="18">
        <f>IF($C$9="","",CHOOSE(WEEKDAY($C$9+49,2),"L","M","M","J","V","S","D"))</f>
        <v/>
      </c>
      <c r="BK14" s="18">
        <f>IF($C$9="","",CHOOSE(WEEKDAY($C$9+50,2),"L","M","M","J","V","S","D"))</f>
        <v/>
      </c>
      <c r="BL14" s="18">
        <f>IF($C$9="","",CHOOSE(WEEKDAY($C$9+51,2),"L","M","M","J","V","S","D"))</f>
        <v/>
      </c>
      <c r="BM14" s="18">
        <f>IF($C$9="","",CHOOSE(WEEKDAY($C$9+52,2),"L","M","M","J","V","S","D"))</f>
        <v/>
      </c>
      <c r="BN14" s="18">
        <f>IF($C$9="","",CHOOSE(WEEKDAY($C$9+53,2),"L","M","M","J","V","S","D"))</f>
        <v/>
      </c>
      <c r="BO14" s="18">
        <f>IF($C$9="","",CHOOSE(WEEKDAY($C$9+54,2),"L","M","M","J","V","S","D"))</f>
        <v/>
      </c>
      <c r="BP14" s="18">
        <f>IF($C$9="","",CHOOSE(WEEKDAY($C$9+55,2),"L","M","M","J","V","S","D"))</f>
        <v/>
      </c>
      <c r="BQ14" s="18">
        <f>IF($C$9="","",CHOOSE(WEEKDAY($C$9+56,2),"L","M","M","J","V","S","D"))</f>
        <v/>
      </c>
      <c r="BR14" s="18">
        <f>IF($C$9="","",CHOOSE(WEEKDAY($C$9+57,2),"L","M","M","J","V","S","D"))</f>
        <v/>
      </c>
      <c r="BS14" s="18">
        <f>IF($C$9="","",CHOOSE(WEEKDAY($C$9+58,2),"L","M","M","J","V","S","D"))</f>
        <v/>
      </c>
      <c r="BT14" s="18">
        <f>IF($C$9="","",CHOOSE(WEEKDAY($C$9+59,2),"L","M","M","J","V","S","D"))</f>
        <v/>
      </c>
      <c r="BU14" s="18">
        <f>IF($C$9="","",CHOOSE(WEEKDAY($C$9+60,2),"L","M","M","J","V","S","D"))</f>
        <v/>
      </c>
      <c r="BV14" s="18">
        <f>IF($C$9="","",CHOOSE(WEEKDAY($C$9+61,2),"L","M","M","J","V","S","D"))</f>
        <v/>
      </c>
      <c r="BW14" s="18">
        <f>IF($C$9="","",CHOOSE(WEEKDAY($C$9+62,2),"L","M","M","J","V","S","D"))</f>
        <v/>
      </c>
      <c r="BX14" s="18">
        <f>IF($C$9="","",CHOOSE(WEEKDAY($C$9+63,2),"L","M","M","J","V","S","D"))</f>
        <v/>
      </c>
      <c r="BY14" s="18">
        <f>IF($C$9="","",CHOOSE(WEEKDAY($C$9+64,2),"L","M","M","J","V","S","D"))</f>
        <v/>
      </c>
      <c r="BZ14" s="18">
        <f>IF($C$9="","",CHOOSE(WEEKDAY($C$9+65,2),"L","M","M","J","V","S","D"))</f>
        <v/>
      </c>
      <c r="CA14" s="18">
        <f>IF($C$9="","",CHOOSE(WEEKDAY($C$9+66,2),"L","M","M","J","V","S","D"))</f>
        <v/>
      </c>
      <c r="CB14" s="18">
        <f>IF($C$9="","",CHOOSE(WEEKDAY($C$9+67,2),"L","M","M","J","V","S","D"))</f>
        <v/>
      </c>
      <c r="CC14" s="18">
        <f>IF($C$9="","",CHOOSE(WEEKDAY($C$9+68,2),"L","M","M","J","V","S","D"))</f>
        <v/>
      </c>
      <c r="CD14" s="18">
        <f>IF($C$9="","",CHOOSE(WEEKDAY($C$9+69,2),"L","M","M","J","V","S","D"))</f>
        <v/>
      </c>
      <c r="CE14" s="18">
        <f>IF($C$9="","",CHOOSE(WEEKDAY($C$9+70,2),"L","M","M","J","V","S","D"))</f>
        <v/>
      </c>
      <c r="CF14" s="18">
        <f>IF($C$9="","",CHOOSE(WEEKDAY($C$9+71,2),"L","M","M","J","V","S","D"))</f>
        <v/>
      </c>
      <c r="CG14" s="18">
        <f>IF($C$9="","",CHOOSE(WEEKDAY($C$9+72,2),"L","M","M","J","V","S","D"))</f>
        <v/>
      </c>
      <c r="CH14" s="18">
        <f>IF($C$9="","",CHOOSE(WEEKDAY($C$9+73,2),"L","M","M","J","V","S","D"))</f>
        <v/>
      </c>
      <c r="CI14" s="18">
        <f>IF($C$9="","",CHOOSE(WEEKDAY($C$9+74,2),"L","M","M","J","V","S","D"))</f>
        <v/>
      </c>
      <c r="CJ14" s="18">
        <f>IF($C$9="","",CHOOSE(WEEKDAY($C$9+75,2),"L","M","M","J","V","S","D"))</f>
        <v/>
      </c>
      <c r="CK14" s="18">
        <f>IF($C$9="","",CHOOSE(WEEKDAY($C$9+76,2),"L","M","M","J","V","S","D"))</f>
        <v/>
      </c>
      <c r="CL14" s="18">
        <f>IF($C$9="","",CHOOSE(WEEKDAY($C$9+77,2),"L","M","M","J","V","S","D"))</f>
        <v/>
      </c>
      <c r="CM14" s="18">
        <f>IF($C$9="","",CHOOSE(WEEKDAY($C$9+78,2),"L","M","M","J","V","S","D"))</f>
        <v/>
      </c>
      <c r="CN14" s="18">
        <f>IF($C$9="","",CHOOSE(WEEKDAY($C$9+79,2),"L","M","M","J","V","S","D"))</f>
        <v/>
      </c>
      <c r="CO14" s="18">
        <f>IF($C$9="","",CHOOSE(WEEKDAY($C$9+80,2),"L","M","M","J","V","S","D"))</f>
        <v/>
      </c>
      <c r="CP14" s="18">
        <f>IF($C$9="","",CHOOSE(WEEKDAY($C$9+81,2),"L","M","M","J","V","S","D"))</f>
        <v/>
      </c>
      <c r="CQ14" s="18">
        <f>IF($C$9="","",CHOOSE(WEEKDAY($C$9+82,2),"L","M","M","J","V","S","D"))</f>
        <v/>
      </c>
      <c r="CR14" s="18">
        <f>IF($C$9="","",CHOOSE(WEEKDAY($C$9+83,2),"L","M","M","J","V","S","D"))</f>
        <v/>
      </c>
      <c r="CS14" s="18">
        <f>IF($C$9="","",CHOOSE(WEEKDAY($C$9+84,2),"L","M","M","J","V","S","D"))</f>
        <v/>
      </c>
      <c r="CT14" s="18">
        <f>IF($C$9="","",CHOOSE(WEEKDAY($C$9+85,2),"L","M","M","J","V","S","D"))</f>
        <v/>
      </c>
      <c r="CU14" s="18">
        <f>IF($C$9="","",CHOOSE(WEEKDAY($C$9+86,2),"L","M","M","J","V","S","D"))</f>
        <v/>
      </c>
      <c r="CV14" s="18">
        <f>IF($C$9="","",CHOOSE(WEEKDAY($C$9+87,2),"L","M","M","J","V","S","D"))</f>
        <v/>
      </c>
      <c r="CW14" s="18">
        <f>IF($C$9="","",CHOOSE(WEEKDAY($C$9+88,2),"L","M","M","J","V","S","D"))</f>
        <v/>
      </c>
      <c r="CX14" s="18">
        <f>IF($C$9="","",CHOOSE(WEEKDAY($C$9+89,2),"L","M","M","J","V","S","D"))</f>
        <v/>
      </c>
      <c r="CY14" s="18">
        <f>IF($C$9="","",CHOOSE(WEEKDAY($C$9+90,2),"L","M","M","J","V","S","D"))</f>
        <v/>
      </c>
      <c r="CZ14" s="18">
        <f>IF($C$9="","",CHOOSE(WEEKDAY($C$9+91,2),"L","M","M","J","V","S","D"))</f>
        <v/>
      </c>
      <c r="DA14" s="18">
        <f>IF($C$9="","",CHOOSE(WEEKDAY($C$9+92,2),"L","M","M","J","V","S","D"))</f>
        <v/>
      </c>
      <c r="DC14" t="inlineStr">
        <is>
          <t>loc S+O</t>
        </is>
      </c>
      <c r="DD14" t="inlineStr">
        <is>
          <t>UC+insp</t>
        </is>
      </c>
      <c r="DE14" t="inlineStr">
        <is>
          <t>VR+RC</t>
        </is>
      </c>
      <c r="DF14" t="inlineStr">
        <is>
          <t>FOC</t>
        </is>
      </c>
    </row>
    <row r="15" ht="20" customHeight="1">
      <c r="A15" s="19" t="inlineStr">
        <is>
          <t>OPÉRATEURS   ·   tarif / jour dans « Opér. € », prix d’un MOB ou d’un DEMOB dans « UC € »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</row>
    <row r="16" ht="18" customHeight="1">
      <c r="A16" s="20" t="n">
        <v>1</v>
      </c>
      <c r="B16" s="21" t="inlineStr">
        <is>
          <t>HARRISON Stevens (DD)</t>
        </is>
      </c>
      <c r="C16" s="22" t="n"/>
      <c r="D16" s="23" t="n"/>
      <c r="E16" s="23" t="n">
        <v>750</v>
      </c>
      <c r="F16" s="23" t="n">
        <v>300</v>
      </c>
      <c r="G16" s="24" t="n"/>
      <c r="H16" s="24" t="n"/>
      <c r="I16" s="24" t="n"/>
      <c r="J16" s="25">
        <f>COUNTIF($M16:$DA16,"S")</f>
        <v/>
      </c>
      <c r="K16" s="25">
        <f>COUNTIF($M16:$DA16,"O")</f>
        <v/>
      </c>
      <c r="L16" s="26">
        <f>IF(B16="","",J16*N(D16)+K16*N(E16)+(COUNTIF($M16:$DA16,"MOB")+COUNTIF($M16:$DA16,"DEMOB"))*N(F16))</f>
        <v/>
      </c>
      <c r="M16" s="27" t="inlineStr">
        <is>
          <t>MOB</t>
        </is>
      </c>
      <c r="N16" s="27" t="inlineStr">
        <is>
          <t>O</t>
        </is>
      </c>
      <c r="O16" s="27" t="inlineStr">
        <is>
          <t>O</t>
        </is>
      </c>
      <c r="P16" s="27" t="inlineStr">
        <is>
          <t>O</t>
        </is>
      </c>
      <c r="Q16" s="27" t="inlineStr">
        <is>
          <t>O</t>
        </is>
      </c>
      <c r="R16" s="27" t="inlineStr">
        <is>
          <t>O</t>
        </is>
      </c>
      <c r="S16" s="27" t="inlineStr">
        <is>
          <t>O</t>
        </is>
      </c>
      <c r="T16" s="27" t="inlineStr">
        <is>
          <t>O</t>
        </is>
      </c>
      <c r="U16" s="27" t="inlineStr">
        <is>
          <t>O</t>
        </is>
      </c>
      <c r="V16" s="27" t="inlineStr">
        <is>
          <t>O</t>
        </is>
      </c>
      <c r="W16" s="27" t="inlineStr">
        <is>
          <t>O</t>
        </is>
      </c>
      <c r="X16" s="27" t="inlineStr">
        <is>
          <t>O</t>
        </is>
      </c>
      <c r="Y16" s="27" t="inlineStr">
        <is>
          <t>O</t>
        </is>
      </c>
      <c r="Z16" s="27" t="inlineStr">
        <is>
          <t>O</t>
        </is>
      </c>
      <c r="AA16" s="27" t="inlineStr">
        <is>
          <t>O</t>
        </is>
      </c>
      <c r="AB16" s="27" t="inlineStr">
        <is>
          <t>DEMOB</t>
        </is>
      </c>
      <c r="AC16" s="27" t="n"/>
      <c r="AD16" s="27" t="n"/>
      <c r="AE16" s="27" t="n"/>
      <c r="AF16" s="27" t="n"/>
      <c r="AG16" s="27" t="n"/>
      <c r="AH16" s="27" t="n"/>
      <c r="AI16" s="27" t="n"/>
      <c r="AJ16" s="27" t="n"/>
      <c r="AK16" s="27" t="n"/>
      <c r="AL16" s="27" t="n"/>
      <c r="AM16" s="27" t="n"/>
      <c r="AN16" s="27" t="n"/>
      <c r="AO16" s="27" t="n"/>
      <c r="AP16" s="27" t="n"/>
      <c r="AQ16" s="27" t="n"/>
      <c r="AR16" s="27" t="n"/>
      <c r="AS16" s="27" t="n"/>
      <c r="AT16" s="27" t="n"/>
      <c r="AU16" s="27" t="n"/>
      <c r="AV16" s="27" t="n"/>
      <c r="AW16" s="27" t="n"/>
      <c r="AX16" s="27" t="n"/>
      <c r="AY16" s="27" t="n"/>
      <c r="AZ16" s="27" t="n"/>
      <c r="BA16" s="27" t="n"/>
      <c r="BB16" s="27" t="n"/>
      <c r="BC16" s="27" t="n"/>
      <c r="BD16" s="27" t="n"/>
      <c r="BE16" s="27" t="n"/>
      <c r="BF16" s="27" t="n"/>
      <c r="BG16" s="27" t="n"/>
      <c r="BH16" s="27" t="n"/>
      <c r="BI16" s="27" t="n"/>
      <c r="BJ16" s="27" t="n"/>
      <c r="BK16" s="27" t="n"/>
      <c r="BL16" s="27" t="n"/>
      <c r="BM16" s="27" t="n"/>
      <c r="BN16" s="27" t="n"/>
      <c r="BO16" s="27" t="n"/>
      <c r="BP16" s="27" t="n"/>
      <c r="BQ16" s="27" t="n"/>
      <c r="BR16" s="27" t="n"/>
      <c r="BS16" s="27" t="n"/>
      <c r="BT16" s="27" t="n"/>
      <c r="BU16" s="27" t="n"/>
      <c r="BV16" s="27" t="n"/>
      <c r="BW16" s="27" t="n"/>
      <c r="BX16" s="27" t="n"/>
      <c r="BY16" s="27" t="n"/>
      <c r="BZ16" s="27" t="n"/>
      <c r="CA16" s="27" t="n"/>
      <c r="CB16" s="27" t="n"/>
      <c r="CC16" s="27" t="n"/>
      <c r="CD16" s="27" t="n"/>
      <c r="CE16" s="27" t="n"/>
      <c r="CF16" s="27" t="n"/>
      <c r="CG16" s="27" t="n"/>
      <c r="CH16" s="27" t="n"/>
      <c r="CI16" s="27" t="n"/>
      <c r="CJ16" s="27" t="n"/>
      <c r="CK16" s="27" t="n"/>
      <c r="CL16" s="27" t="n"/>
      <c r="CM16" s="27" t="n"/>
      <c r="CN16" s="27" t="n"/>
      <c r="CO16" s="27" t="n"/>
      <c r="CP16" s="27" t="n"/>
      <c r="CQ16" s="27" t="n"/>
      <c r="CR16" s="27" t="n"/>
      <c r="CS16" s="27" t="n"/>
      <c r="CT16" s="27" t="n"/>
      <c r="CU16" s="27" t="n"/>
      <c r="CV16" s="27" t="n"/>
      <c r="CW16" s="27" t="n"/>
      <c r="CX16" s="27" t="n"/>
      <c r="CY16" s="27" t="n"/>
      <c r="CZ16" s="27" t="n"/>
      <c r="DA16" s="27" t="n"/>
      <c r="DC16">
        <f>N(L16)</f>
        <v/>
      </c>
      <c r="DD16" t="n">
        <v>0</v>
      </c>
      <c r="DE16" t="n">
        <v>0</v>
      </c>
      <c r="DF16" t="n">
        <v>0</v>
      </c>
    </row>
    <row r="17" ht="18" customHeight="1">
      <c r="A17" s="20" t="n">
        <v>2</v>
      </c>
      <c r="B17" s="21" t="n"/>
      <c r="C17" s="22" t="n"/>
      <c r="D17" s="23" t="n"/>
      <c r="E17" s="23" t="n"/>
      <c r="F17" s="23" t="n"/>
      <c r="G17" s="24" t="n"/>
      <c r="H17" s="24" t="n"/>
      <c r="I17" s="24" t="n"/>
      <c r="J17" s="25">
        <f>COUNTIF($M17:$DA17,"S")</f>
        <v/>
      </c>
      <c r="K17" s="25">
        <f>COUNTIF($M17:$DA17,"O")</f>
        <v/>
      </c>
      <c r="L17" s="26">
        <f>IF(B17="","",J17*N(D17)+K17*N(E17)+(COUNTIF($M17:$DA17,"MOB")+COUNTIF($M17:$DA17,"DEMOB"))*N(F17))</f>
        <v/>
      </c>
      <c r="M17" s="27" t="n"/>
      <c r="N17" s="27" t="n"/>
      <c r="O17" s="27" t="n"/>
      <c r="P17" s="27" t="n"/>
      <c r="Q17" s="27" t="n"/>
      <c r="R17" s="27" t="n"/>
      <c r="S17" s="27" t="n"/>
      <c r="T17" s="27" t="n"/>
      <c r="U17" s="27" t="n"/>
      <c r="V17" s="27" t="n"/>
      <c r="W17" s="27" t="n"/>
      <c r="X17" s="27" t="n"/>
      <c r="Y17" s="27" t="n"/>
      <c r="Z17" s="27" t="n"/>
      <c r="AA17" s="27" t="n"/>
      <c r="AB17" s="27" t="n"/>
      <c r="AC17" s="27" t="n"/>
      <c r="AD17" s="27" t="n"/>
      <c r="AE17" s="27" t="n"/>
      <c r="AF17" s="27" t="n"/>
      <c r="AG17" s="27" t="n"/>
      <c r="AH17" s="27" t="n"/>
      <c r="AI17" s="27" t="n"/>
      <c r="AJ17" s="27" t="n"/>
      <c r="AK17" s="27" t="n"/>
      <c r="AL17" s="27" t="n"/>
      <c r="AM17" s="27" t="n"/>
      <c r="AN17" s="27" t="n"/>
      <c r="AO17" s="27" t="n"/>
      <c r="AP17" s="27" t="n"/>
      <c r="AQ17" s="27" t="n"/>
      <c r="AR17" s="27" t="n"/>
      <c r="AS17" s="27" t="n"/>
      <c r="AT17" s="27" t="n"/>
      <c r="AU17" s="27" t="n"/>
      <c r="AV17" s="27" t="n"/>
      <c r="AW17" s="27" t="n"/>
      <c r="AX17" s="27" t="n"/>
      <c r="AY17" s="27" t="n"/>
      <c r="AZ17" s="27" t="n"/>
      <c r="BA17" s="27" t="n"/>
      <c r="BB17" s="27" t="n"/>
      <c r="BC17" s="27" t="n"/>
      <c r="BD17" s="27" t="n"/>
      <c r="BE17" s="27" t="n"/>
      <c r="BF17" s="27" t="n"/>
      <c r="BG17" s="27" t="n"/>
      <c r="BH17" s="27" t="n"/>
      <c r="BI17" s="27" t="n"/>
      <c r="BJ17" s="27" t="n"/>
      <c r="BK17" s="27" t="n"/>
      <c r="BL17" s="27" t="n"/>
      <c r="BM17" s="27" t="n"/>
      <c r="BN17" s="27" t="n"/>
      <c r="BO17" s="27" t="n"/>
      <c r="BP17" s="27" t="n"/>
      <c r="BQ17" s="27" t="n"/>
      <c r="BR17" s="27" t="n"/>
      <c r="BS17" s="27" t="n"/>
      <c r="BT17" s="27" t="n"/>
      <c r="BU17" s="27" t="n"/>
      <c r="BV17" s="27" t="n"/>
      <c r="BW17" s="27" t="n"/>
      <c r="BX17" s="27" t="n"/>
      <c r="BY17" s="27" t="n"/>
      <c r="BZ17" s="27" t="n"/>
      <c r="CA17" s="27" t="n"/>
      <c r="CB17" s="27" t="n"/>
      <c r="CC17" s="27" t="n"/>
      <c r="CD17" s="27" t="n"/>
      <c r="CE17" s="27" t="n"/>
      <c r="CF17" s="27" t="n"/>
      <c r="CG17" s="27" t="n"/>
      <c r="CH17" s="27" t="n"/>
      <c r="CI17" s="27" t="n"/>
      <c r="CJ17" s="27" t="n"/>
      <c r="CK17" s="27" t="n"/>
      <c r="CL17" s="27" t="n"/>
      <c r="CM17" s="27" t="n"/>
      <c r="CN17" s="27" t="n"/>
      <c r="CO17" s="27" t="n"/>
      <c r="CP17" s="27" t="n"/>
      <c r="CQ17" s="27" t="n"/>
      <c r="CR17" s="27" t="n"/>
      <c r="CS17" s="27" t="n"/>
      <c r="CT17" s="27" t="n"/>
      <c r="CU17" s="27" t="n"/>
      <c r="CV17" s="27" t="n"/>
      <c r="CW17" s="27" t="n"/>
      <c r="CX17" s="27" t="n"/>
      <c r="CY17" s="27" t="n"/>
      <c r="CZ17" s="27" t="n"/>
      <c r="DA17" s="27" t="n"/>
      <c r="DC17">
        <f>N(L17)</f>
        <v/>
      </c>
      <c r="DD17" t="n">
        <v>0</v>
      </c>
      <c r="DE17" t="n">
        <v>0</v>
      </c>
      <c r="DF17" t="n">
        <v>0</v>
      </c>
    </row>
    <row r="18" ht="18" customHeight="1">
      <c r="A18" s="20" t="n">
        <v>3</v>
      </c>
      <c r="B18" s="21" t="n"/>
      <c r="C18" s="22" t="n"/>
      <c r="D18" s="23" t="n"/>
      <c r="E18" s="23" t="n"/>
      <c r="F18" s="23" t="n"/>
      <c r="G18" s="24" t="n"/>
      <c r="H18" s="24" t="n"/>
      <c r="I18" s="24" t="n"/>
      <c r="J18" s="25">
        <f>COUNTIF($M18:$DA18,"S")</f>
        <v/>
      </c>
      <c r="K18" s="25">
        <f>COUNTIF($M18:$DA18,"O")</f>
        <v/>
      </c>
      <c r="L18" s="26">
        <f>IF(B18="","",J18*N(D18)+K18*N(E18)+(COUNTIF($M18:$DA18,"MOB")+COUNTIF($M18:$DA18,"DEMOB"))*N(F18))</f>
        <v/>
      </c>
      <c r="M18" s="27" t="n"/>
      <c r="N18" s="27" t="n"/>
      <c r="O18" s="27" t="n"/>
      <c r="P18" s="27" t="n"/>
      <c r="Q18" s="27" t="n"/>
      <c r="R18" s="27" t="n"/>
      <c r="S18" s="27" t="n"/>
      <c r="T18" s="27" t="n"/>
      <c r="U18" s="27" t="n"/>
      <c r="V18" s="27" t="n"/>
      <c r="W18" s="27" t="n"/>
      <c r="X18" s="27" t="n"/>
      <c r="Y18" s="27" t="n"/>
      <c r="Z18" s="27" t="n"/>
      <c r="AA18" s="27" t="n"/>
      <c r="AB18" s="27" t="n"/>
      <c r="AC18" s="27" t="n"/>
      <c r="AD18" s="27" t="n"/>
      <c r="AE18" s="27" t="n"/>
      <c r="AF18" s="27" t="n"/>
      <c r="AG18" s="27" t="n"/>
      <c r="AH18" s="27" t="n"/>
      <c r="AI18" s="27" t="n"/>
      <c r="AJ18" s="27" t="n"/>
      <c r="AK18" s="27" t="n"/>
      <c r="AL18" s="27" t="n"/>
      <c r="AM18" s="27" t="n"/>
      <c r="AN18" s="27" t="n"/>
      <c r="AO18" s="27" t="n"/>
      <c r="AP18" s="27" t="n"/>
      <c r="AQ18" s="27" t="n"/>
      <c r="AR18" s="27" t="n"/>
      <c r="AS18" s="27" t="n"/>
      <c r="AT18" s="27" t="n"/>
      <c r="AU18" s="27" t="n"/>
      <c r="AV18" s="27" t="n"/>
      <c r="AW18" s="27" t="n"/>
      <c r="AX18" s="27" t="n"/>
      <c r="AY18" s="27" t="n"/>
      <c r="AZ18" s="27" t="n"/>
      <c r="BA18" s="27" t="n"/>
      <c r="BB18" s="27" t="n"/>
      <c r="BC18" s="27" t="n"/>
      <c r="BD18" s="27" t="n"/>
      <c r="BE18" s="27" t="n"/>
      <c r="BF18" s="27" t="n"/>
      <c r="BG18" s="27" t="n"/>
      <c r="BH18" s="27" t="n"/>
      <c r="BI18" s="27" t="n"/>
      <c r="BJ18" s="27" t="n"/>
      <c r="BK18" s="27" t="n"/>
      <c r="BL18" s="27" t="n"/>
      <c r="BM18" s="27" t="n"/>
      <c r="BN18" s="27" t="n"/>
      <c r="BO18" s="27" t="n"/>
      <c r="BP18" s="27" t="n"/>
      <c r="BQ18" s="27" t="n"/>
      <c r="BR18" s="27" t="n"/>
      <c r="BS18" s="27" t="n"/>
      <c r="BT18" s="27" t="n"/>
      <c r="BU18" s="27" t="n"/>
      <c r="BV18" s="27" t="n"/>
      <c r="BW18" s="27" t="n"/>
      <c r="BX18" s="27" t="n"/>
      <c r="BY18" s="27" t="n"/>
      <c r="BZ18" s="27" t="n"/>
      <c r="CA18" s="27" t="n"/>
      <c r="CB18" s="27" t="n"/>
      <c r="CC18" s="27" t="n"/>
      <c r="CD18" s="27" t="n"/>
      <c r="CE18" s="27" t="n"/>
      <c r="CF18" s="27" t="n"/>
      <c r="CG18" s="27" t="n"/>
      <c r="CH18" s="27" t="n"/>
      <c r="CI18" s="27" t="n"/>
      <c r="CJ18" s="27" t="n"/>
      <c r="CK18" s="27" t="n"/>
      <c r="CL18" s="27" t="n"/>
      <c r="CM18" s="27" t="n"/>
      <c r="CN18" s="27" t="n"/>
      <c r="CO18" s="27" t="n"/>
      <c r="CP18" s="27" t="n"/>
      <c r="CQ18" s="27" t="n"/>
      <c r="CR18" s="27" t="n"/>
      <c r="CS18" s="27" t="n"/>
      <c r="CT18" s="27" t="n"/>
      <c r="CU18" s="27" t="n"/>
      <c r="CV18" s="27" t="n"/>
      <c r="CW18" s="27" t="n"/>
      <c r="CX18" s="27" t="n"/>
      <c r="CY18" s="27" t="n"/>
      <c r="CZ18" s="27" t="n"/>
      <c r="DA18" s="27" t="n"/>
      <c r="DC18">
        <f>N(L18)</f>
        <v/>
      </c>
      <c r="DD18" t="n">
        <v>0</v>
      </c>
      <c r="DE18" t="n">
        <v>0</v>
      </c>
      <c r="DF18" t="n">
        <v>0</v>
      </c>
    </row>
    <row r="20" ht="20" customHeight="1">
      <c r="A20" s="19" t="inlineStr">
        <is>
          <t>MATÉRIEL LOUÉ   ·   copier les colonnes C à J de l’onglet « 2 Matériel » du devis et les coller en B21</t>
        </is>
      </c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</row>
    <row r="21" ht="18" customHeight="1">
      <c r="A21" s="20">
        <f>IF(AND(B21&lt;&gt;"",N(C21)&gt;0),COUNTIFS(B$21:B21,"&lt;&gt;",C$21:C21,"&gt;0"),"")</f>
        <v/>
      </c>
      <c r="B21" s="21" t="inlineStr">
        <is>
          <t>BHA #1</t>
        </is>
      </c>
      <c r="C21" s="28" t="n"/>
      <c r="D21" s="23" t="n"/>
      <c r="E21" s="23" t="n"/>
      <c r="F21" s="23" t="n"/>
      <c r="G21" s="23" t="n"/>
      <c r="H21" s="23" t="n"/>
      <c r="I21" s="23" t="n"/>
      <c r="J21" s="25">
        <f>IF(B21="","",COUNTIF($M21:$DA21,"S"))</f>
        <v/>
      </c>
      <c r="K21" s="25">
        <f>IF(B21="","",COUNTIF($M21:$DA21,"O"))</f>
        <v/>
      </c>
      <c r="L21" s="26">
        <f>IF(B21="","",SUM(DC21:DE21))</f>
        <v/>
      </c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7" t="n"/>
      <c r="Y21" s="27" t="n"/>
      <c r="Z21" s="27" t="n"/>
      <c r="AA21" s="27" t="n"/>
      <c r="AB21" s="27" t="n"/>
      <c r="AC21" s="27" t="n"/>
      <c r="AD21" s="27" t="n"/>
      <c r="AE21" s="27" t="n"/>
      <c r="AF21" s="27" t="n"/>
      <c r="AG21" s="27" t="n"/>
      <c r="AH21" s="27" t="n"/>
      <c r="AI21" s="27" t="n"/>
      <c r="AJ21" s="27" t="n"/>
      <c r="AK21" s="27" t="n"/>
      <c r="AL21" s="27" t="n"/>
      <c r="AM21" s="27" t="n"/>
      <c r="AN21" s="27" t="n"/>
      <c r="AO21" s="27" t="n"/>
      <c r="AP21" s="27" t="n"/>
      <c r="AQ21" s="27" t="n"/>
      <c r="AR21" s="27" t="n"/>
      <c r="AS21" s="27" t="n"/>
      <c r="AT21" s="27" t="n"/>
      <c r="AU21" s="27" t="n"/>
      <c r="AV21" s="27" t="n"/>
      <c r="AW21" s="27" t="n"/>
      <c r="AX21" s="27" t="n"/>
      <c r="AY21" s="27" t="n"/>
      <c r="AZ21" s="27" t="n"/>
      <c r="BA21" s="27" t="n"/>
      <c r="BB21" s="27" t="n"/>
      <c r="BC21" s="27" t="n"/>
      <c r="BD21" s="27" t="n"/>
      <c r="BE21" s="27" t="n"/>
      <c r="BF21" s="27" t="n"/>
      <c r="BG21" s="27" t="n"/>
      <c r="BH21" s="27" t="n"/>
      <c r="BI21" s="27" t="n"/>
      <c r="BJ21" s="27" t="n"/>
      <c r="BK21" s="27" t="n"/>
      <c r="BL21" s="27" t="n"/>
      <c r="BM21" s="27" t="n"/>
      <c r="BN21" s="27" t="n"/>
      <c r="BO21" s="27" t="n"/>
      <c r="BP21" s="27" t="n"/>
      <c r="BQ21" s="27" t="n"/>
      <c r="BR21" s="27" t="n"/>
      <c r="BS21" s="27" t="n"/>
      <c r="BT21" s="27" t="n"/>
      <c r="BU21" s="27" t="n"/>
      <c r="BV21" s="27" t="n"/>
      <c r="BW21" s="27" t="n"/>
      <c r="BX21" s="27" t="n"/>
      <c r="BY21" s="27" t="n"/>
      <c r="BZ21" s="27" t="n"/>
      <c r="CA21" s="27" t="n"/>
      <c r="CB21" s="27" t="n"/>
      <c r="CC21" s="27" t="n"/>
      <c r="CD21" s="27" t="n"/>
      <c r="CE21" s="27" t="n"/>
      <c r="CF21" s="27" t="n"/>
      <c r="CG21" s="27" t="n"/>
      <c r="CH21" s="27" t="n"/>
      <c r="CI21" s="27" t="n"/>
      <c r="CJ21" s="27" t="n"/>
      <c r="CK21" s="27" t="n"/>
      <c r="CL21" s="27" t="n"/>
      <c r="CM21" s="27" t="n"/>
      <c r="CN21" s="27" t="n"/>
      <c r="CO21" s="27" t="n"/>
      <c r="CP21" s="27" t="n"/>
      <c r="CQ21" s="27" t="n"/>
      <c r="CR21" s="27" t="n"/>
      <c r="CS21" s="27" t="n"/>
      <c r="CT21" s="27" t="n"/>
      <c r="CU21" s="27" t="n"/>
      <c r="CV21" s="27" t="n"/>
      <c r="CW21" s="27" t="n"/>
      <c r="CX21" s="27" t="n"/>
      <c r="CY21" s="27" t="n"/>
      <c r="CZ21" s="27" t="n"/>
      <c r="DA21" s="27" t="n"/>
      <c r="DC21">
        <f>IF(B21="",0,IF(N(C21)&gt;0,C21,1)*(J21*N(D21)+K21*N(E21)))</f>
        <v/>
      </c>
      <c r="DD21">
        <f>IF(OR(B21="",N(K21)=0),0,IF(N(C21)&gt;0,C21,1)*(N(F21)+N(H21)))</f>
        <v/>
      </c>
      <c r="DE21">
        <f>IF(B21="",0,IF(N(C21)&gt;0,C21,1)*(IF(COUNTIF($M21:$DA21,"VR")&gt;0,N(G21),0)+IF(COUNTIF($M21:$DA21,"RC")&gt;0,N(I21),0)))</f>
        <v/>
      </c>
      <c r="DF21">
        <f>IF(B21="",0,IF(N(C21)&gt;0,C21,1)*COUNTIF($M21:$DA21,"FOC")*N(E21))</f>
        <v/>
      </c>
    </row>
    <row r="22" ht="18" customHeight="1">
      <c r="A22" s="20">
        <f>IF(AND(B22&lt;&gt;"",N(C22)&gt;0),COUNTIFS(B$21:B22,"&lt;&gt;",C$21:C22,"&gt;0"),"")</f>
        <v/>
      </c>
      <c r="B22" s="21" t="inlineStr">
        <is>
          <t>Stab 5-7/8 OD, 2-1/4" ID - 3-1/2" IF Pin x Box</t>
        </is>
      </c>
      <c r="C22" s="28" t="n">
        <v>1</v>
      </c>
      <c r="D22" s="23" t="n">
        <v>85</v>
      </c>
      <c r="E22" s="23" t="n">
        <v>120</v>
      </c>
      <c r="F22" s="23" t="n">
        <v>40</v>
      </c>
      <c r="G22" s="23" t="n">
        <v>4200</v>
      </c>
      <c r="H22" s="23" t="n">
        <v>150</v>
      </c>
      <c r="I22" s="23" t="n">
        <v>600</v>
      </c>
      <c r="J22" s="25">
        <f>IF(B22="","",COUNTIF($M22:$DA22,"S"))</f>
        <v/>
      </c>
      <c r="K22" s="25">
        <f>IF(B22="","",COUNTIF($M22:$DA22,"O"))</f>
        <v/>
      </c>
      <c r="L22" s="26">
        <f>IF(B22="","",SUM(DC22:DE22))</f>
        <v/>
      </c>
      <c r="M22" s="27" t="inlineStr">
        <is>
          <t>S</t>
        </is>
      </c>
      <c r="N22" s="27" t="inlineStr">
        <is>
          <t>S</t>
        </is>
      </c>
      <c r="O22" s="27" t="inlineStr">
        <is>
          <t>O</t>
        </is>
      </c>
      <c r="P22" s="27" t="inlineStr">
        <is>
          <t>O</t>
        </is>
      </c>
      <c r="Q22" s="27" t="inlineStr">
        <is>
          <t>O</t>
        </is>
      </c>
      <c r="R22" s="27" t="inlineStr">
        <is>
          <t>O</t>
        </is>
      </c>
      <c r="S22" s="27" t="inlineStr">
        <is>
          <t>O</t>
        </is>
      </c>
      <c r="T22" s="27" t="inlineStr">
        <is>
          <t>O</t>
        </is>
      </c>
      <c r="U22" s="27" t="inlineStr">
        <is>
          <t>O</t>
        </is>
      </c>
      <c r="V22" s="27" t="inlineStr">
        <is>
          <t>O</t>
        </is>
      </c>
      <c r="W22" s="27" t="inlineStr">
        <is>
          <t>O</t>
        </is>
      </c>
      <c r="X22" s="27" t="inlineStr">
        <is>
          <t>O</t>
        </is>
      </c>
      <c r="Y22" s="27" t="inlineStr">
        <is>
          <t>O</t>
        </is>
      </c>
      <c r="Z22" s="27" t="inlineStr">
        <is>
          <t>O</t>
        </is>
      </c>
      <c r="AA22" s="27" t="inlineStr">
        <is>
          <t>S</t>
        </is>
      </c>
      <c r="AB22" s="27" t="n"/>
      <c r="AC22" s="27" t="n"/>
      <c r="AD22" s="27" t="n"/>
      <c r="AE22" s="27" t="n"/>
      <c r="AF22" s="27" t="n"/>
      <c r="AG22" s="27" t="n"/>
      <c r="AH22" s="27" t="n"/>
      <c r="AI22" s="27" t="n"/>
      <c r="AJ22" s="27" t="n"/>
      <c r="AK22" s="27" t="n"/>
      <c r="AL22" s="27" t="n"/>
      <c r="AM22" s="27" t="n"/>
      <c r="AN22" s="27" t="n"/>
      <c r="AO22" s="27" t="n"/>
      <c r="AP22" s="27" t="n"/>
      <c r="AQ22" s="27" t="n"/>
      <c r="AR22" s="27" t="n"/>
      <c r="AS22" s="27" t="n"/>
      <c r="AT22" s="27" t="n"/>
      <c r="AU22" s="27" t="n"/>
      <c r="AV22" s="27" t="n"/>
      <c r="AW22" s="27" t="n"/>
      <c r="AX22" s="27" t="n"/>
      <c r="AY22" s="27" t="n"/>
      <c r="AZ22" s="27" t="n"/>
      <c r="BA22" s="27" t="n"/>
      <c r="BB22" s="27" t="n"/>
      <c r="BC22" s="27" t="n"/>
      <c r="BD22" s="27" t="n"/>
      <c r="BE22" s="27" t="n"/>
      <c r="BF22" s="27" t="n"/>
      <c r="BG22" s="27" t="n"/>
      <c r="BH22" s="27" t="n"/>
      <c r="BI22" s="27" t="n"/>
      <c r="BJ22" s="27" t="n"/>
      <c r="BK22" s="27" t="n"/>
      <c r="BL22" s="27" t="n"/>
      <c r="BM22" s="27" t="n"/>
      <c r="BN22" s="27" t="n"/>
      <c r="BO22" s="27" t="n"/>
      <c r="BP22" s="27" t="n"/>
      <c r="BQ22" s="27" t="n"/>
      <c r="BR22" s="27" t="n"/>
      <c r="BS22" s="27" t="n"/>
      <c r="BT22" s="27" t="n"/>
      <c r="BU22" s="27" t="n"/>
      <c r="BV22" s="27" t="n"/>
      <c r="BW22" s="27" t="n"/>
      <c r="BX22" s="27" t="n"/>
      <c r="BY22" s="27" t="n"/>
      <c r="BZ22" s="27" t="n"/>
      <c r="CA22" s="27" t="n"/>
      <c r="CB22" s="27" t="n"/>
      <c r="CC22" s="27" t="n"/>
      <c r="CD22" s="27" t="n"/>
      <c r="CE22" s="27" t="n"/>
      <c r="CF22" s="27" t="n"/>
      <c r="CG22" s="27" t="n"/>
      <c r="CH22" s="27" t="n"/>
      <c r="CI22" s="27" t="n"/>
      <c r="CJ22" s="27" t="n"/>
      <c r="CK22" s="27" t="n"/>
      <c r="CL22" s="27" t="n"/>
      <c r="CM22" s="27" t="n"/>
      <c r="CN22" s="27" t="n"/>
      <c r="CO22" s="27" t="n"/>
      <c r="CP22" s="27" t="n"/>
      <c r="CQ22" s="27" t="n"/>
      <c r="CR22" s="27" t="n"/>
      <c r="CS22" s="27" t="n"/>
      <c r="CT22" s="27" t="n"/>
      <c r="CU22" s="27" t="n"/>
      <c r="CV22" s="27" t="n"/>
      <c r="CW22" s="27" t="n"/>
      <c r="CX22" s="27" t="n"/>
      <c r="CY22" s="27" t="n"/>
      <c r="CZ22" s="27" t="n"/>
      <c r="DA22" s="27" t="n"/>
      <c r="DC22">
        <f>IF(B22="",0,IF(N(C22)&gt;0,C22,1)*(J22*N(D22)+K22*N(E22)))</f>
        <v/>
      </c>
      <c r="DD22">
        <f>IF(OR(B22="",N(K22)=0),0,IF(N(C22)&gt;0,C22,1)*(N(F22)+N(H22)))</f>
        <v/>
      </c>
      <c r="DE22">
        <f>IF(B22="",0,IF(N(C22)&gt;0,C22,1)*(IF(COUNTIF($M22:$DA22,"VR")&gt;0,N(G22),0)+IF(COUNTIF($M22:$DA22,"RC")&gt;0,N(I22),0)))</f>
        <v/>
      </c>
      <c r="DF22">
        <f>IF(B22="",0,IF(N(C22)&gt;0,C22,1)*COUNTIF($M22:$DA22,"FOC")*N(E22))</f>
        <v/>
      </c>
    </row>
    <row r="23" ht="18" customHeight="1">
      <c r="A23" s="20">
        <f>IF(AND(B23&lt;&gt;"",N(C23)&gt;0),COUNTIFS(B$21:B23,"&lt;&gt;",C$21:C23,"&gt;0"),"")</f>
        <v/>
      </c>
      <c r="B23" s="21" t="inlineStr">
        <is>
          <t>XO 3-1/2" IF Pin x 2-7/8" EU Box</t>
        </is>
      </c>
      <c r="C23" s="28" t="n">
        <v>2</v>
      </c>
      <c r="D23" s="23" t="n">
        <v>20</v>
      </c>
      <c r="E23" s="23" t="n">
        <v>30</v>
      </c>
      <c r="F23" s="23" t="n">
        <v>10</v>
      </c>
      <c r="G23" s="23" t="n">
        <v>900</v>
      </c>
      <c r="H23" s="23" t="n">
        <v>60</v>
      </c>
      <c r="I23" s="23" t="n">
        <v>150</v>
      </c>
      <c r="J23" s="25">
        <f>IF(B23="","",COUNTIF($M23:$DA23,"S"))</f>
        <v/>
      </c>
      <c r="K23" s="25">
        <f>IF(B23="","",COUNTIF($M23:$DA23,"O"))</f>
        <v/>
      </c>
      <c r="L23" s="26">
        <f>IF(B23="","",SUM(DC23:DE23))</f>
        <v/>
      </c>
      <c r="M23" s="27" t="inlineStr">
        <is>
          <t>S</t>
        </is>
      </c>
      <c r="N23" s="27" t="inlineStr">
        <is>
          <t>O</t>
        </is>
      </c>
      <c r="O23" s="27" t="inlineStr">
        <is>
          <t>O</t>
        </is>
      </c>
      <c r="P23" s="27" t="inlineStr">
        <is>
          <t>O</t>
        </is>
      </c>
      <c r="Q23" s="27" t="inlineStr">
        <is>
          <t>O</t>
        </is>
      </c>
      <c r="R23" s="27" t="inlineStr">
        <is>
          <t>O</t>
        </is>
      </c>
      <c r="S23" s="27" t="inlineStr">
        <is>
          <t>O</t>
        </is>
      </c>
      <c r="T23" s="27" t="inlineStr">
        <is>
          <t>O</t>
        </is>
      </c>
      <c r="U23" s="27" t="inlineStr">
        <is>
          <t>O</t>
        </is>
      </c>
      <c r="V23" s="27" t="inlineStr">
        <is>
          <t>O</t>
        </is>
      </c>
      <c r="W23" s="27" t="inlineStr">
        <is>
          <t>O</t>
        </is>
      </c>
      <c r="X23" s="27" t="inlineStr">
        <is>
          <t>S</t>
        </is>
      </c>
      <c r="Y23" s="27" t="inlineStr">
        <is>
          <t>S</t>
        </is>
      </c>
      <c r="Z23" s="27" t="n"/>
      <c r="AA23" s="27" t="n"/>
      <c r="AB23" s="27" t="n"/>
      <c r="AC23" s="27" t="n"/>
      <c r="AD23" s="27" t="n"/>
      <c r="AE23" s="27" t="n"/>
      <c r="AF23" s="27" t="n"/>
      <c r="AG23" s="27" t="n"/>
      <c r="AH23" s="27" t="n"/>
      <c r="AI23" s="27" t="n"/>
      <c r="AJ23" s="27" t="n"/>
      <c r="AK23" s="27" t="n"/>
      <c r="AL23" s="27" t="n"/>
      <c r="AM23" s="27" t="n"/>
      <c r="AN23" s="27" t="n"/>
      <c r="AO23" s="27" t="n"/>
      <c r="AP23" s="27" t="n"/>
      <c r="AQ23" s="27" t="n"/>
      <c r="AR23" s="27" t="n"/>
      <c r="AS23" s="27" t="n"/>
      <c r="AT23" s="27" t="n"/>
      <c r="AU23" s="27" t="n"/>
      <c r="AV23" s="27" t="n"/>
      <c r="AW23" s="27" t="n"/>
      <c r="AX23" s="27" t="n"/>
      <c r="AY23" s="27" t="n"/>
      <c r="AZ23" s="27" t="n"/>
      <c r="BA23" s="27" t="n"/>
      <c r="BB23" s="27" t="n"/>
      <c r="BC23" s="27" t="n"/>
      <c r="BD23" s="27" t="n"/>
      <c r="BE23" s="27" t="n"/>
      <c r="BF23" s="27" t="n"/>
      <c r="BG23" s="27" t="n"/>
      <c r="BH23" s="27" t="n"/>
      <c r="BI23" s="27" t="n"/>
      <c r="BJ23" s="27" t="n"/>
      <c r="BK23" s="27" t="n"/>
      <c r="BL23" s="27" t="n"/>
      <c r="BM23" s="27" t="n"/>
      <c r="BN23" s="27" t="n"/>
      <c r="BO23" s="27" t="n"/>
      <c r="BP23" s="27" t="n"/>
      <c r="BQ23" s="27" t="n"/>
      <c r="BR23" s="27" t="n"/>
      <c r="BS23" s="27" t="n"/>
      <c r="BT23" s="27" t="n"/>
      <c r="BU23" s="27" t="n"/>
      <c r="BV23" s="27" t="n"/>
      <c r="BW23" s="27" t="n"/>
      <c r="BX23" s="27" t="n"/>
      <c r="BY23" s="27" t="n"/>
      <c r="BZ23" s="27" t="n"/>
      <c r="CA23" s="27" t="n"/>
      <c r="CB23" s="27" t="n"/>
      <c r="CC23" s="27" t="n"/>
      <c r="CD23" s="27" t="n"/>
      <c r="CE23" s="27" t="n"/>
      <c r="CF23" s="27" t="n"/>
      <c r="CG23" s="27" t="n"/>
      <c r="CH23" s="27" t="n"/>
      <c r="CI23" s="27" t="n"/>
      <c r="CJ23" s="27" t="n"/>
      <c r="CK23" s="27" t="n"/>
      <c r="CL23" s="27" t="n"/>
      <c r="CM23" s="27" t="n"/>
      <c r="CN23" s="27" t="n"/>
      <c r="CO23" s="27" t="n"/>
      <c r="CP23" s="27" t="n"/>
      <c r="CQ23" s="27" t="n"/>
      <c r="CR23" s="27" t="n"/>
      <c r="CS23" s="27" t="n"/>
      <c r="CT23" s="27" t="n"/>
      <c r="CU23" s="27" t="n"/>
      <c r="CV23" s="27" t="n"/>
      <c r="CW23" s="27" t="n"/>
      <c r="CX23" s="27" t="n"/>
      <c r="CY23" s="27" t="n"/>
      <c r="CZ23" s="27" t="n"/>
      <c r="DA23" s="27" t="n"/>
      <c r="DC23">
        <f>IF(B23="",0,IF(N(C23)&gt;0,C23,1)*(J23*N(D23)+K23*N(E23)))</f>
        <v/>
      </c>
      <c r="DD23">
        <f>IF(OR(B23="",N(K23)=0),0,IF(N(C23)&gt;0,C23,1)*(N(F23)+N(H23)))</f>
        <v/>
      </c>
      <c r="DE23">
        <f>IF(B23="",0,IF(N(C23)&gt;0,C23,1)*(IF(COUNTIF($M23:$DA23,"VR")&gt;0,N(G23),0)+IF(COUNTIF($M23:$DA23,"RC")&gt;0,N(I23),0)))</f>
        <v/>
      </c>
      <c r="DF23">
        <f>IF(B23="",0,IF(N(C23)&gt;0,C23,1)*COUNTIF($M23:$DA23,"FOC")*N(E23))</f>
        <v/>
      </c>
    </row>
    <row r="24" ht="18" customHeight="1">
      <c r="A24" s="20">
        <f>IF(AND(B24&lt;&gt;"",N(C24)&gt;0),COUNTIFS(B$21:B24,"&lt;&gt;",C$21:C24,"&gt;0"),"")</f>
        <v/>
      </c>
      <c r="B24" s="21" t="inlineStr">
        <is>
          <t>XO 3-1/2" IF Box x 2-7/8" EU Pin</t>
        </is>
      </c>
      <c r="C24" s="28" t="n">
        <v>1</v>
      </c>
      <c r="D24" s="23" t="n">
        <v>20</v>
      </c>
      <c r="E24" s="23" t="n">
        <v>30</v>
      </c>
      <c r="F24" s="23" t="n">
        <v>10</v>
      </c>
      <c r="G24" s="23" t="n">
        <v>900</v>
      </c>
      <c r="H24" s="23" t="n">
        <v>60</v>
      </c>
      <c r="I24" s="23" t="n">
        <v>150</v>
      </c>
      <c r="J24" s="25">
        <f>IF(B24="","",COUNTIF($M24:$DA24,"S"))</f>
        <v/>
      </c>
      <c r="K24" s="25">
        <f>IF(B24="","",COUNTIF($M24:$DA24,"O"))</f>
        <v/>
      </c>
      <c r="L24" s="26">
        <f>IF(B24="","",SUM(DC24:DE24))</f>
        <v/>
      </c>
      <c r="M24" s="27" t="inlineStr">
        <is>
          <t>S</t>
        </is>
      </c>
      <c r="N24" s="27" t="inlineStr">
        <is>
          <t>S</t>
        </is>
      </c>
      <c r="O24" s="27" t="inlineStr">
        <is>
          <t>S</t>
        </is>
      </c>
      <c r="P24" s="27" t="inlineStr">
        <is>
          <t>O</t>
        </is>
      </c>
      <c r="Q24" s="27" t="inlineStr">
        <is>
          <t>O</t>
        </is>
      </c>
      <c r="R24" s="27" t="inlineStr">
        <is>
          <t>O</t>
        </is>
      </c>
      <c r="S24" s="27" t="inlineStr">
        <is>
          <t>O</t>
        </is>
      </c>
      <c r="T24" s="27" t="inlineStr">
        <is>
          <t>O</t>
        </is>
      </c>
      <c r="U24" s="27" t="inlineStr">
        <is>
          <t>O</t>
        </is>
      </c>
      <c r="V24" s="27" t="inlineStr">
        <is>
          <t>O</t>
        </is>
      </c>
      <c r="W24" s="27" t="inlineStr">
        <is>
          <t>O</t>
        </is>
      </c>
      <c r="X24" s="27" t="inlineStr">
        <is>
          <t>VR</t>
        </is>
      </c>
      <c r="Y24" s="27" t="n"/>
      <c r="Z24" s="27" t="n"/>
      <c r="AA24" s="27" t="n"/>
      <c r="AB24" s="27" t="n"/>
      <c r="AC24" s="27" t="n"/>
      <c r="AD24" s="27" t="n"/>
      <c r="AE24" s="27" t="n"/>
      <c r="AF24" s="27" t="n"/>
      <c r="AG24" s="27" t="n"/>
      <c r="AH24" s="27" t="n"/>
      <c r="AI24" s="27" t="n"/>
      <c r="AJ24" s="27" t="n"/>
      <c r="AK24" s="27" t="n"/>
      <c r="AL24" s="27" t="n"/>
      <c r="AM24" s="27" t="n"/>
      <c r="AN24" s="27" t="n"/>
      <c r="AO24" s="27" t="n"/>
      <c r="AP24" s="27" t="n"/>
      <c r="AQ24" s="27" t="n"/>
      <c r="AR24" s="27" t="n"/>
      <c r="AS24" s="27" t="n"/>
      <c r="AT24" s="27" t="n"/>
      <c r="AU24" s="27" t="n"/>
      <c r="AV24" s="27" t="n"/>
      <c r="AW24" s="27" t="n"/>
      <c r="AX24" s="27" t="n"/>
      <c r="AY24" s="27" t="n"/>
      <c r="AZ24" s="27" t="n"/>
      <c r="BA24" s="27" t="n"/>
      <c r="BB24" s="27" t="n"/>
      <c r="BC24" s="27" t="n"/>
      <c r="BD24" s="27" t="n"/>
      <c r="BE24" s="27" t="n"/>
      <c r="BF24" s="27" t="n"/>
      <c r="BG24" s="27" t="n"/>
      <c r="BH24" s="27" t="n"/>
      <c r="BI24" s="27" t="n"/>
      <c r="BJ24" s="27" t="n"/>
      <c r="BK24" s="27" t="n"/>
      <c r="BL24" s="27" t="n"/>
      <c r="BM24" s="27" t="n"/>
      <c r="BN24" s="27" t="n"/>
      <c r="BO24" s="27" t="n"/>
      <c r="BP24" s="27" t="n"/>
      <c r="BQ24" s="27" t="n"/>
      <c r="BR24" s="27" t="n"/>
      <c r="BS24" s="27" t="n"/>
      <c r="BT24" s="27" t="n"/>
      <c r="BU24" s="27" t="n"/>
      <c r="BV24" s="27" t="n"/>
      <c r="BW24" s="27" t="n"/>
      <c r="BX24" s="27" t="n"/>
      <c r="BY24" s="27" t="n"/>
      <c r="BZ24" s="27" t="n"/>
      <c r="CA24" s="27" t="n"/>
      <c r="CB24" s="27" t="n"/>
      <c r="CC24" s="27" t="n"/>
      <c r="CD24" s="27" t="n"/>
      <c r="CE24" s="27" t="n"/>
      <c r="CF24" s="27" t="n"/>
      <c r="CG24" s="27" t="n"/>
      <c r="CH24" s="27" t="n"/>
      <c r="CI24" s="27" t="n"/>
      <c r="CJ24" s="27" t="n"/>
      <c r="CK24" s="27" t="n"/>
      <c r="CL24" s="27" t="n"/>
      <c r="CM24" s="27" t="n"/>
      <c r="CN24" s="27" t="n"/>
      <c r="CO24" s="27" t="n"/>
      <c r="CP24" s="27" t="n"/>
      <c r="CQ24" s="27" t="n"/>
      <c r="CR24" s="27" t="n"/>
      <c r="CS24" s="27" t="n"/>
      <c r="CT24" s="27" t="n"/>
      <c r="CU24" s="27" t="n"/>
      <c r="CV24" s="27" t="n"/>
      <c r="CW24" s="27" t="n"/>
      <c r="CX24" s="27" t="n"/>
      <c r="CY24" s="27" t="n"/>
      <c r="CZ24" s="27" t="n"/>
      <c r="DA24" s="27" t="n"/>
      <c r="DC24">
        <f>IF(B24="",0,IF(N(C24)&gt;0,C24,1)*(J24*N(D24)+K24*N(E24)))</f>
        <v/>
      </c>
      <c r="DD24">
        <f>IF(OR(B24="",N(K24)=0),0,IF(N(C24)&gt;0,C24,1)*(N(F24)+N(H24)))</f>
        <v/>
      </c>
      <c r="DE24">
        <f>IF(B24="",0,IF(N(C24)&gt;0,C24,1)*(IF(COUNTIF($M24:$DA24,"VR")&gt;0,N(G24),0)+IF(COUNTIF($M24:$DA24,"RC")&gt;0,N(I24),0)))</f>
        <v/>
      </c>
      <c r="DF24">
        <f>IF(B24="",0,IF(N(C24)&gt;0,C24,1)*COUNTIF($M24:$DA24,"FOC")*N(E24))</f>
        <v/>
      </c>
    </row>
    <row r="25" ht="18" customHeight="1">
      <c r="A25" s="20">
        <f>IF(AND(B25&lt;&gt;"",N(C25)&gt;0),COUNTIFS(B$21:B25,"&lt;&gt;",C$21:C25,"&gt;0"),"")</f>
        <v/>
      </c>
      <c r="B25" s="21" t="n"/>
      <c r="C25" s="28" t="n"/>
      <c r="D25" s="23" t="n"/>
      <c r="E25" s="23" t="n"/>
      <c r="F25" s="23" t="n"/>
      <c r="G25" s="23" t="n"/>
      <c r="H25" s="23" t="n"/>
      <c r="I25" s="23" t="n"/>
      <c r="J25" s="25">
        <f>IF(B25="","",COUNTIF($M25:$DA25,"S"))</f>
        <v/>
      </c>
      <c r="K25" s="25">
        <f>IF(B25="","",COUNTIF($M25:$DA25,"O"))</f>
        <v/>
      </c>
      <c r="L25" s="26">
        <f>IF(B25="","",SUM(DC25:DE25))</f>
        <v/>
      </c>
      <c r="M25" s="27" t="n"/>
      <c r="N25" s="27" t="n"/>
      <c r="O25" s="27" t="n"/>
      <c r="P25" s="27" t="n"/>
      <c r="Q25" s="27" t="n"/>
      <c r="R25" s="27" t="n"/>
      <c r="S25" s="27" t="n"/>
      <c r="T25" s="27" t="n"/>
      <c r="U25" s="27" t="n"/>
      <c r="V25" s="27" t="n"/>
      <c r="W25" s="27" t="n"/>
      <c r="X25" s="27" t="n"/>
      <c r="Y25" s="27" t="n"/>
      <c r="Z25" s="27" t="n"/>
      <c r="AA25" s="27" t="n"/>
      <c r="AB25" s="27" t="n"/>
      <c r="AC25" s="27" t="n"/>
      <c r="AD25" s="27" t="n"/>
      <c r="AE25" s="27" t="n"/>
      <c r="AF25" s="27" t="n"/>
      <c r="AG25" s="27" t="n"/>
      <c r="AH25" s="27" t="n"/>
      <c r="AI25" s="27" t="n"/>
      <c r="AJ25" s="27" t="n"/>
      <c r="AK25" s="27" t="n"/>
      <c r="AL25" s="27" t="n"/>
      <c r="AM25" s="27" t="n"/>
      <c r="AN25" s="27" t="n"/>
      <c r="AO25" s="27" t="n"/>
      <c r="AP25" s="27" t="n"/>
      <c r="AQ25" s="27" t="n"/>
      <c r="AR25" s="27" t="n"/>
      <c r="AS25" s="27" t="n"/>
      <c r="AT25" s="27" t="n"/>
      <c r="AU25" s="27" t="n"/>
      <c r="AV25" s="27" t="n"/>
      <c r="AW25" s="27" t="n"/>
      <c r="AX25" s="27" t="n"/>
      <c r="AY25" s="27" t="n"/>
      <c r="AZ25" s="27" t="n"/>
      <c r="BA25" s="27" t="n"/>
      <c r="BB25" s="27" t="n"/>
      <c r="BC25" s="27" t="n"/>
      <c r="BD25" s="27" t="n"/>
      <c r="BE25" s="27" t="n"/>
      <c r="BF25" s="27" t="n"/>
      <c r="BG25" s="27" t="n"/>
      <c r="BH25" s="27" t="n"/>
      <c r="BI25" s="27" t="n"/>
      <c r="BJ25" s="27" t="n"/>
      <c r="BK25" s="27" t="n"/>
      <c r="BL25" s="27" t="n"/>
      <c r="BM25" s="27" t="n"/>
      <c r="BN25" s="27" t="n"/>
      <c r="BO25" s="27" t="n"/>
      <c r="BP25" s="27" t="n"/>
      <c r="BQ25" s="27" t="n"/>
      <c r="BR25" s="27" t="n"/>
      <c r="BS25" s="27" t="n"/>
      <c r="BT25" s="27" t="n"/>
      <c r="BU25" s="27" t="n"/>
      <c r="BV25" s="27" t="n"/>
      <c r="BW25" s="27" t="n"/>
      <c r="BX25" s="27" t="n"/>
      <c r="BY25" s="27" t="n"/>
      <c r="BZ25" s="27" t="n"/>
      <c r="CA25" s="27" t="n"/>
      <c r="CB25" s="27" t="n"/>
      <c r="CC25" s="27" t="n"/>
      <c r="CD25" s="27" t="n"/>
      <c r="CE25" s="27" t="n"/>
      <c r="CF25" s="27" t="n"/>
      <c r="CG25" s="27" t="n"/>
      <c r="CH25" s="27" t="n"/>
      <c r="CI25" s="27" t="n"/>
      <c r="CJ25" s="27" t="n"/>
      <c r="CK25" s="27" t="n"/>
      <c r="CL25" s="27" t="n"/>
      <c r="CM25" s="27" t="n"/>
      <c r="CN25" s="27" t="n"/>
      <c r="CO25" s="27" t="n"/>
      <c r="CP25" s="27" t="n"/>
      <c r="CQ25" s="27" t="n"/>
      <c r="CR25" s="27" t="n"/>
      <c r="CS25" s="27" t="n"/>
      <c r="CT25" s="27" t="n"/>
      <c r="CU25" s="27" t="n"/>
      <c r="CV25" s="27" t="n"/>
      <c r="CW25" s="27" t="n"/>
      <c r="CX25" s="27" t="n"/>
      <c r="CY25" s="27" t="n"/>
      <c r="CZ25" s="27" t="n"/>
      <c r="DA25" s="27" t="n"/>
      <c r="DC25">
        <f>IF(B25="",0,IF(N(C25)&gt;0,C25,1)*(J25*N(D25)+K25*N(E25)))</f>
        <v/>
      </c>
      <c r="DD25">
        <f>IF(OR(B25="",N(K25)=0),0,IF(N(C25)&gt;0,C25,1)*(N(F25)+N(H25)))</f>
        <v/>
      </c>
      <c r="DE25">
        <f>IF(B25="",0,IF(N(C25)&gt;0,C25,1)*(IF(COUNTIF($M25:$DA25,"VR")&gt;0,N(G25),0)+IF(COUNTIF($M25:$DA25,"RC")&gt;0,N(I25),0)))</f>
        <v/>
      </c>
      <c r="DF25">
        <f>IF(B25="",0,IF(N(C25)&gt;0,C25,1)*COUNTIF($M25:$DA25,"FOC")*N(E25))</f>
        <v/>
      </c>
    </row>
    <row r="26" ht="18" customHeight="1">
      <c r="A26" s="20">
        <f>IF(AND(B26&lt;&gt;"",N(C26)&gt;0),COUNTIFS(B$21:B26,"&lt;&gt;",C$21:C26,"&gt;0"),"")</f>
        <v/>
      </c>
      <c r="B26" s="21" t="n"/>
      <c r="C26" s="28" t="n"/>
      <c r="D26" s="23" t="n"/>
      <c r="E26" s="23" t="n"/>
      <c r="F26" s="23" t="n"/>
      <c r="G26" s="23" t="n"/>
      <c r="H26" s="23" t="n"/>
      <c r="I26" s="23" t="n"/>
      <c r="J26" s="25">
        <f>IF(B26="","",COUNTIF($M26:$DA26,"S"))</f>
        <v/>
      </c>
      <c r="K26" s="25">
        <f>IF(B26="","",COUNTIF($M26:$DA26,"O"))</f>
        <v/>
      </c>
      <c r="L26" s="26">
        <f>IF(B26="","",SUM(DC26:DE26))</f>
        <v/>
      </c>
      <c r="M26" s="27" t="n"/>
      <c r="N26" s="27" t="n"/>
      <c r="O26" s="27" t="n"/>
      <c r="P26" s="27" t="n"/>
      <c r="Q26" s="27" t="n"/>
      <c r="R26" s="27" t="n"/>
      <c r="S26" s="27" t="n"/>
      <c r="T26" s="27" t="n"/>
      <c r="U26" s="27" t="n"/>
      <c r="V26" s="27" t="n"/>
      <c r="W26" s="27" t="n"/>
      <c r="X26" s="27" t="n"/>
      <c r="Y26" s="27" t="n"/>
      <c r="Z26" s="27" t="n"/>
      <c r="AA26" s="27" t="n"/>
      <c r="AB26" s="27" t="n"/>
      <c r="AC26" s="27" t="n"/>
      <c r="AD26" s="27" t="n"/>
      <c r="AE26" s="27" t="n"/>
      <c r="AF26" s="27" t="n"/>
      <c r="AG26" s="27" t="n"/>
      <c r="AH26" s="27" t="n"/>
      <c r="AI26" s="27" t="n"/>
      <c r="AJ26" s="27" t="n"/>
      <c r="AK26" s="27" t="n"/>
      <c r="AL26" s="27" t="n"/>
      <c r="AM26" s="27" t="n"/>
      <c r="AN26" s="27" t="n"/>
      <c r="AO26" s="27" t="n"/>
      <c r="AP26" s="27" t="n"/>
      <c r="AQ26" s="27" t="n"/>
      <c r="AR26" s="27" t="n"/>
      <c r="AS26" s="27" t="n"/>
      <c r="AT26" s="27" t="n"/>
      <c r="AU26" s="27" t="n"/>
      <c r="AV26" s="27" t="n"/>
      <c r="AW26" s="27" t="n"/>
      <c r="AX26" s="27" t="n"/>
      <c r="AY26" s="27" t="n"/>
      <c r="AZ26" s="27" t="n"/>
      <c r="BA26" s="27" t="n"/>
      <c r="BB26" s="27" t="n"/>
      <c r="BC26" s="27" t="n"/>
      <c r="BD26" s="27" t="n"/>
      <c r="BE26" s="27" t="n"/>
      <c r="BF26" s="27" t="n"/>
      <c r="BG26" s="27" t="n"/>
      <c r="BH26" s="27" t="n"/>
      <c r="BI26" s="27" t="n"/>
      <c r="BJ26" s="27" t="n"/>
      <c r="BK26" s="27" t="n"/>
      <c r="BL26" s="27" t="n"/>
      <c r="BM26" s="27" t="n"/>
      <c r="BN26" s="27" t="n"/>
      <c r="BO26" s="27" t="n"/>
      <c r="BP26" s="27" t="n"/>
      <c r="BQ26" s="27" t="n"/>
      <c r="BR26" s="27" t="n"/>
      <c r="BS26" s="27" t="n"/>
      <c r="BT26" s="27" t="n"/>
      <c r="BU26" s="27" t="n"/>
      <c r="BV26" s="27" t="n"/>
      <c r="BW26" s="27" t="n"/>
      <c r="BX26" s="27" t="n"/>
      <c r="BY26" s="27" t="n"/>
      <c r="BZ26" s="27" t="n"/>
      <c r="CA26" s="27" t="n"/>
      <c r="CB26" s="27" t="n"/>
      <c r="CC26" s="27" t="n"/>
      <c r="CD26" s="27" t="n"/>
      <c r="CE26" s="27" t="n"/>
      <c r="CF26" s="27" t="n"/>
      <c r="CG26" s="27" t="n"/>
      <c r="CH26" s="27" t="n"/>
      <c r="CI26" s="27" t="n"/>
      <c r="CJ26" s="27" t="n"/>
      <c r="CK26" s="27" t="n"/>
      <c r="CL26" s="27" t="n"/>
      <c r="CM26" s="27" t="n"/>
      <c r="CN26" s="27" t="n"/>
      <c r="CO26" s="27" t="n"/>
      <c r="CP26" s="27" t="n"/>
      <c r="CQ26" s="27" t="n"/>
      <c r="CR26" s="27" t="n"/>
      <c r="CS26" s="27" t="n"/>
      <c r="CT26" s="27" t="n"/>
      <c r="CU26" s="27" t="n"/>
      <c r="CV26" s="27" t="n"/>
      <c r="CW26" s="27" t="n"/>
      <c r="CX26" s="27" t="n"/>
      <c r="CY26" s="27" t="n"/>
      <c r="CZ26" s="27" t="n"/>
      <c r="DA26" s="27" t="n"/>
      <c r="DC26">
        <f>IF(B26="",0,IF(N(C26)&gt;0,C26,1)*(J26*N(D26)+K26*N(E26)))</f>
        <v/>
      </c>
      <c r="DD26">
        <f>IF(OR(B26="",N(K26)=0),0,IF(N(C26)&gt;0,C26,1)*(N(F26)+N(H26)))</f>
        <v/>
      </c>
      <c r="DE26">
        <f>IF(B26="",0,IF(N(C26)&gt;0,C26,1)*(IF(COUNTIF($M26:$DA26,"VR")&gt;0,N(G26),0)+IF(COUNTIF($M26:$DA26,"RC")&gt;0,N(I26),0)))</f>
        <v/>
      </c>
      <c r="DF26">
        <f>IF(B26="",0,IF(N(C26)&gt;0,C26,1)*COUNTIF($M26:$DA26,"FOC")*N(E26))</f>
        <v/>
      </c>
    </row>
    <row r="27" ht="18" customHeight="1">
      <c r="A27" s="20">
        <f>IF(AND(B27&lt;&gt;"",N(C27)&gt;0),COUNTIFS(B$21:B27,"&lt;&gt;",C$21:C27,"&gt;0"),"")</f>
        <v/>
      </c>
      <c r="B27" s="21" t="n"/>
      <c r="C27" s="28" t="n"/>
      <c r="D27" s="23" t="n"/>
      <c r="E27" s="23" t="n"/>
      <c r="F27" s="23" t="n"/>
      <c r="G27" s="23" t="n"/>
      <c r="H27" s="23" t="n"/>
      <c r="I27" s="23" t="n"/>
      <c r="J27" s="25">
        <f>IF(B27="","",COUNTIF($M27:$DA27,"S"))</f>
        <v/>
      </c>
      <c r="K27" s="25">
        <f>IF(B27="","",COUNTIF($M27:$DA27,"O"))</f>
        <v/>
      </c>
      <c r="L27" s="26">
        <f>IF(B27="","",SUM(DC27:DE27))</f>
        <v/>
      </c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  <c r="AB27" s="27" t="n"/>
      <c r="AC27" s="27" t="n"/>
      <c r="AD27" s="27" t="n"/>
      <c r="AE27" s="27" t="n"/>
      <c r="AF27" s="27" t="n"/>
      <c r="AG27" s="27" t="n"/>
      <c r="AH27" s="27" t="n"/>
      <c r="AI27" s="27" t="n"/>
      <c r="AJ27" s="27" t="n"/>
      <c r="AK27" s="27" t="n"/>
      <c r="AL27" s="27" t="n"/>
      <c r="AM27" s="27" t="n"/>
      <c r="AN27" s="27" t="n"/>
      <c r="AO27" s="27" t="n"/>
      <c r="AP27" s="27" t="n"/>
      <c r="AQ27" s="27" t="n"/>
      <c r="AR27" s="27" t="n"/>
      <c r="AS27" s="27" t="n"/>
      <c r="AT27" s="27" t="n"/>
      <c r="AU27" s="27" t="n"/>
      <c r="AV27" s="27" t="n"/>
      <c r="AW27" s="27" t="n"/>
      <c r="AX27" s="27" t="n"/>
      <c r="AY27" s="27" t="n"/>
      <c r="AZ27" s="27" t="n"/>
      <c r="BA27" s="27" t="n"/>
      <c r="BB27" s="27" t="n"/>
      <c r="BC27" s="27" t="n"/>
      <c r="BD27" s="27" t="n"/>
      <c r="BE27" s="27" t="n"/>
      <c r="BF27" s="27" t="n"/>
      <c r="BG27" s="27" t="n"/>
      <c r="BH27" s="27" t="n"/>
      <c r="BI27" s="27" t="n"/>
      <c r="BJ27" s="27" t="n"/>
      <c r="BK27" s="27" t="n"/>
      <c r="BL27" s="27" t="n"/>
      <c r="BM27" s="27" t="n"/>
      <c r="BN27" s="27" t="n"/>
      <c r="BO27" s="27" t="n"/>
      <c r="BP27" s="27" t="n"/>
      <c r="BQ27" s="27" t="n"/>
      <c r="BR27" s="27" t="n"/>
      <c r="BS27" s="27" t="n"/>
      <c r="BT27" s="27" t="n"/>
      <c r="BU27" s="27" t="n"/>
      <c r="BV27" s="27" t="n"/>
      <c r="BW27" s="27" t="n"/>
      <c r="BX27" s="27" t="n"/>
      <c r="BY27" s="27" t="n"/>
      <c r="BZ27" s="27" t="n"/>
      <c r="CA27" s="27" t="n"/>
      <c r="CB27" s="27" t="n"/>
      <c r="CC27" s="27" t="n"/>
      <c r="CD27" s="27" t="n"/>
      <c r="CE27" s="27" t="n"/>
      <c r="CF27" s="27" t="n"/>
      <c r="CG27" s="27" t="n"/>
      <c r="CH27" s="27" t="n"/>
      <c r="CI27" s="27" t="n"/>
      <c r="CJ27" s="27" t="n"/>
      <c r="CK27" s="27" t="n"/>
      <c r="CL27" s="27" t="n"/>
      <c r="CM27" s="27" t="n"/>
      <c r="CN27" s="27" t="n"/>
      <c r="CO27" s="27" t="n"/>
      <c r="CP27" s="27" t="n"/>
      <c r="CQ27" s="27" t="n"/>
      <c r="CR27" s="27" t="n"/>
      <c r="CS27" s="27" t="n"/>
      <c r="CT27" s="27" t="n"/>
      <c r="CU27" s="27" t="n"/>
      <c r="CV27" s="27" t="n"/>
      <c r="CW27" s="27" t="n"/>
      <c r="CX27" s="27" t="n"/>
      <c r="CY27" s="27" t="n"/>
      <c r="CZ27" s="27" t="n"/>
      <c r="DA27" s="27" t="n"/>
      <c r="DC27">
        <f>IF(B27="",0,IF(N(C27)&gt;0,C27,1)*(J27*N(D27)+K27*N(E27)))</f>
        <v/>
      </c>
      <c r="DD27">
        <f>IF(OR(B27="",N(K27)=0),0,IF(N(C27)&gt;0,C27,1)*(N(F27)+N(H27)))</f>
        <v/>
      </c>
      <c r="DE27">
        <f>IF(B27="",0,IF(N(C27)&gt;0,C27,1)*(IF(COUNTIF($M27:$DA27,"VR")&gt;0,N(G27),0)+IF(COUNTIF($M27:$DA27,"RC")&gt;0,N(I27),0)))</f>
        <v/>
      </c>
      <c r="DF27">
        <f>IF(B27="",0,IF(N(C27)&gt;0,C27,1)*COUNTIF($M27:$DA27,"FOC")*N(E27))</f>
        <v/>
      </c>
    </row>
    <row r="28" ht="18" customHeight="1">
      <c r="A28" s="20">
        <f>IF(AND(B28&lt;&gt;"",N(C28)&gt;0),COUNTIFS(B$21:B28,"&lt;&gt;",C$21:C28,"&gt;0"),"")</f>
        <v/>
      </c>
      <c r="B28" s="21" t="n"/>
      <c r="C28" s="28" t="n"/>
      <c r="D28" s="23" t="n"/>
      <c r="E28" s="23" t="n"/>
      <c r="F28" s="23" t="n"/>
      <c r="G28" s="23" t="n"/>
      <c r="H28" s="23" t="n"/>
      <c r="I28" s="23" t="n"/>
      <c r="J28" s="25">
        <f>IF(B28="","",COUNTIF($M28:$DA28,"S"))</f>
        <v/>
      </c>
      <c r="K28" s="25">
        <f>IF(B28="","",COUNTIF($M28:$DA28,"O"))</f>
        <v/>
      </c>
      <c r="L28" s="26">
        <f>IF(B28="","",SUM(DC28:DE28))</f>
        <v/>
      </c>
      <c r="M28" s="27" t="n"/>
      <c r="N28" s="27" t="n"/>
      <c r="O28" s="27" t="n"/>
      <c r="P28" s="27" t="n"/>
      <c r="Q28" s="27" t="n"/>
      <c r="R28" s="27" t="n"/>
      <c r="S28" s="27" t="n"/>
      <c r="T28" s="27" t="n"/>
      <c r="U28" s="27" t="n"/>
      <c r="V28" s="27" t="n"/>
      <c r="W28" s="27" t="n"/>
      <c r="X28" s="27" t="n"/>
      <c r="Y28" s="27" t="n"/>
      <c r="Z28" s="27" t="n"/>
      <c r="AA28" s="27" t="n"/>
      <c r="AB28" s="27" t="n"/>
      <c r="AC28" s="27" t="n"/>
      <c r="AD28" s="27" t="n"/>
      <c r="AE28" s="27" t="n"/>
      <c r="AF28" s="27" t="n"/>
      <c r="AG28" s="27" t="n"/>
      <c r="AH28" s="27" t="n"/>
      <c r="AI28" s="27" t="n"/>
      <c r="AJ28" s="27" t="n"/>
      <c r="AK28" s="27" t="n"/>
      <c r="AL28" s="27" t="n"/>
      <c r="AM28" s="27" t="n"/>
      <c r="AN28" s="27" t="n"/>
      <c r="AO28" s="27" t="n"/>
      <c r="AP28" s="27" t="n"/>
      <c r="AQ28" s="27" t="n"/>
      <c r="AR28" s="27" t="n"/>
      <c r="AS28" s="27" t="n"/>
      <c r="AT28" s="27" t="n"/>
      <c r="AU28" s="27" t="n"/>
      <c r="AV28" s="27" t="n"/>
      <c r="AW28" s="27" t="n"/>
      <c r="AX28" s="27" t="n"/>
      <c r="AY28" s="27" t="n"/>
      <c r="AZ28" s="27" t="n"/>
      <c r="BA28" s="27" t="n"/>
      <c r="BB28" s="27" t="n"/>
      <c r="BC28" s="27" t="n"/>
      <c r="BD28" s="27" t="n"/>
      <c r="BE28" s="27" t="n"/>
      <c r="BF28" s="27" t="n"/>
      <c r="BG28" s="27" t="n"/>
      <c r="BH28" s="27" t="n"/>
      <c r="BI28" s="27" t="n"/>
      <c r="BJ28" s="27" t="n"/>
      <c r="BK28" s="27" t="n"/>
      <c r="BL28" s="27" t="n"/>
      <c r="BM28" s="27" t="n"/>
      <c r="BN28" s="27" t="n"/>
      <c r="BO28" s="27" t="n"/>
      <c r="BP28" s="27" t="n"/>
      <c r="BQ28" s="27" t="n"/>
      <c r="BR28" s="27" t="n"/>
      <c r="BS28" s="27" t="n"/>
      <c r="BT28" s="27" t="n"/>
      <c r="BU28" s="27" t="n"/>
      <c r="BV28" s="27" t="n"/>
      <c r="BW28" s="27" t="n"/>
      <c r="BX28" s="27" t="n"/>
      <c r="BY28" s="27" t="n"/>
      <c r="BZ28" s="27" t="n"/>
      <c r="CA28" s="27" t="n"/>
      <c r="CB28" s="27" t="n"/>
      <c r="CC28" s="27" t="n"/>
      <c r="CD28" s="27" t="n"/>
      <c r="CE28" s="27" t="n"/>
      <c r="CF28" s="27" t="n"/>
      <c r="CG28" s="27" t="n"/>
      <c r="CH28" s="27" t="n"/>
      <c r="CI28" s="27" t="n"/>
      <c r="CJ28" s="27" t="n"/>
      <c r="CK28" s="27" t="n"/>
      <c r="CL28" s="27" t="n"/>
      <c r="CM28" s="27" t="n"/>
      <c r="CN28" s="27" t="n"/>
      <c r="CO28" s="27" t="n"/>
      <c r="CP28" s="27" t="n"/>
      <c r="CQ28" s="27" t="n"/>
      <c r="CR28" s="27" t="n"/>
      <c r="CS28" s="27" t="n"/>
      <c r="CT28" s="27" t="n"/>
      <c r="CU28" s="27" t="n"/>
      <c r="CV28" s="27" t="n"/>
      <c r="CW28" s="27" t="n"/>
      <c r="CX28" s="27" t="n"/>
      <c r="CY28" s="27" t="n"/>
      <c r="CZ28" s="27" t="n"/>
      <c r="DA28" s="27" t="n"/>
      <c r="DC28">
        <f>IF(B28="",0,IF(N(C28)&gt;0,C28,1)*(J28*N(D28)+K28*N(E28)))</f>
        <v/>
      </c>
      <c r="DD28">
        <f>IF(OR(B28="",N(K28)=0),0,IF(N(C28)&gt;0,C28,1)*(N(F28)+N(H28)))</f>
        <v/>
      </c>
      <c r="DE28">
        <f>IF(B28="",0,IF(N(C28)&gt;0,C28,1)*(IF(COUNTIF($M28:$DA28,"VR")&gt;0,N(G28),0)+IF(COUNTIF($M28:$DA28,"RC")&gt;0,N(I28),0)))</f>
        <v/>
      </c>
      <c r="DF28">
        <f>IF(B28="",0,IF(N(C28)&gt;0,C28,1)*COUNTIF($M28:$DA28,"FOC")*N(E28))</f>
        <v/>
      </c>
    </row>
    <row r="29" ht="18" customHeight="1">
      <c r="A29" s="20">
        <f>IF(AND(B29&lt;&gt;"",N(C29)&gt;0),COUNTIFS(B$21:B29,"&lt;&gt;",C$21:C29,"&gt;0"),"")</f>
        <v/>
      </c>
      <c r="B29" s="21" t="n"/>
      <c r="C29" s="28" t="n"/>
      <c r="D29" s="23" t="n"/>
      <c r="E29" s="23" t="n"/>
      <c r="F29" s="23" t="n"/>
      <c r="G29" s="23" t="n"/>
      <c r="H29" s="23" t="n"/>
      <c r="I29" s="23" t="n"/>
      <c r="J29" s="25">
        <f>IF(B29="","",COUNTIF($M29:$DA29,"S"))</f>
        <v/>
      </c>
      <c r="K29" s="25">
        <f>IF(B29="","",COUNTIF($M29:$DA29,"O"))</f>
        <v/>
      </c>
      <c r="L29" s="26">
        <f>IF(B29="","",SUM(DC29:DE29))</f>
        <v/>
      </c>
      <c r="M29" s="27" t="n"/>
      <c r="N29" s="27" t="n"/>
      <c r="O29" s="27" t="n"/>
      <c r="P29" s="27" t="n"/>
      <c r="Q29" s="27" t="n"/>
      <c r="R29" s="27" t="n"/>
      <c r="S29" s="27" t="n"/>
      <c r="T29" s="27" t="n"/>
      <c r="U29" s="27" t="n"/>
      <c r="V29" s="27" t="n"/>
      <c r="W29" s="27" t="n"/>
      <c r="X29" s="27" t="n"/>
      <c r="Y29" s="27" t="n"/>
      <c r="Z29" s="27" t="n"/>
      <c r="AA29" s="27" t="n"/>
      <c r="AB29" s="27" t="n"/>
      <c r="AC29" s="27" t="n"/>
      <c r="AD29" s="27" t="n"/>
      <c r="AE29" s="27" t="n"/>
      <c r="AF29" s="27" t="n"/>
      <c r="AG29" s="27" t="n"/>
      <c r="AH29" s="27" t="n"/>
      <c r="AI29" s="27" t="n"/>
      <c r="AJ29" s="27" t="n"/>
      <c r="AK29" s="27" t="n"/>
      <c r="AL29" s="27" t="n"/>
      <c r="AM29" s="27" t="n"/>
      <c r="AN29" s="27" t="n"/>
      <c r="AO29" s="27" t="n"/>
      <c r="AP29" s="27" t="n"/>
      <c r="AQ29" s="27" t="n"/>
      <c r="AR29" s="27" t="n"/>
      <c r="AS29" s="27" t="n"/>
      <c r="AT29" s="27" t="n"/>
      <c r="AU29" s="27" t="n"/>
      <c r="AV29" s="27" t="n"/>
      <c r="AW29" s="27" t="n"/>
      <c r="AX29" s="27" t="n"/>
      <c r="AY29" s="27" t="n"/>
      <c r="AZ29" s="27" t="n"/>
      <c r="BA29" s="27" t="n"/>
      <c r="BB29" s="27" t="n"/>
      <c r="BC29" s="27" t="n"/>
      <c r="BD29" s="27" t="n"/>
      <c r="BE29" s="27" t="n"/>
      <c r="BF29" s="27" t="n"/>
      <c r="BG29" s="27" t="n"/>
      <c r="BH29" s="27" t="n"/>
      <c r="BI29" s="27" t="n"/>
      <c r="BJ29" s="27" t="n"/>
      <c r="BK29" s="27" t="n"/>
      <c r="BL29" s="27" t="n"/>
      <c r="BM29" s="27" t="n"/>
      <c r="BN29" s="27" t="n"/>
      <c r="BO29" s="27" t="n"/>
      <c r="BP29" s="27" t="n"/>
      <c r="BQ29" s="27" t="n"/>
      <c r="BR29" s="27" t="n"/>
      <c r="BS29" s="27" t="n"/>
      <c r="BT29" s="27" t="n"/>
      <c r="BU29" s="27" t="n"/>
      <c r="BV29" s="27" t="n"/>
      <c r="BW29" s="27" t="n"/>
      <c r="BX29" s="27" t="n"/>
      <c r="BY29" s="27" t="n"/>
      <c r="BZ29" s="27" t="n"/>
      <c r="CA29" s="27" t="n"/>
      <c r="CB29" s="27" t="n"/>
      <c r="CC29" s="27" t="n"/>
      <c r="CD29" s="27" t="n"/>
      <c r="CE29" s="27" t="n"/>
      <c r="CF29" s="27" t="n"/>
      <c r="CG29" s="27" t="n"/>
      <c r="CH29" s="27" t="n"/>
      <c r="CI29" s="27" t="n"/>
      <c r="CJ29" s="27" t="n"/>
      <c r="CK29" s="27" t="n"/>
      <c r="CL29" s="27" t="n"/>
      <c r="CM29" s="27" t="n"/>
      <c r="CN29" s="27" t="n"/>
      <c r="CO29" s="27" t="n"/>
      <c r="CP29" s="27" t="n"/>
      <c r="CQ29" s="27" t="n"/>
      <c r="CR29" s="27" t="n"/>
      <c r="CS29" s="27" t="n"/>
      <c r="CT29" s="27" t="n"/>
      <c r="CU29" s="27" t="n"/>
      <c r="CV29" s="27" t="n"/>
      <c r="CW29" s="27" t="n"/>
      <c r="CX29" s="27" t="n"/>
      <c r="CY29" s="27" t="n"/>
      <c r="CZ29" s="27" t="n"/>
      <c r="DA29" s="27" t="n"/>
      <c r="DC29">
        <f>IF(B29="",0,IF(N(C29)&gt;0,C29,1)*(J29*N(D29)+K29*N(E29)))</f>
        <v/>
      </c>
      <c r="DD29">
        <f>IF(OR(B29="",N(K29)=0),0,IF(N(C29)&gt;0,C29,1)*(N(F29)+N(H29)))</f>
        <v/>
      </c>
      <c r="DE29">
        <f>IF(B29="",0,IF(N(C29)&gt;0,C29,1)*(IF(COUNTIF($M29:$DA29,"VR")&gt;0,N(G29),0)+IF(COUNTIF($M29:$DA29,"RC")&gt;0,N(I29),0)))</f>
        <v/>
      </c>
      <c r="DF29">
        <f>IF(B29="",0,IF(N(C29)&gt;0,C29,1)*COUNTIF($M29:$DA29,"FOC")*N(E29))</f>
        <v/>
      </c>
    </row>
    <row r="30" ht="18" customHeight="1">
      <c r="A30" s="20">
        <f>IF(AND(B30&lt;&gt;"",N(C30)&gt;0),COUNTIFS(B$21:B30,"&lt;&gt;",C$21:C30,"&gt;0"),"")</f>
        <v/>
      </c>
      <c r="B30" s="21" t="n"/>
      <c r="C30" s="28" t="n"/>
      <c r="D30" s="23" t="n"/>
      <c r="E30" s="23" t="n"/>
      <c r="F30" s="23" t="n"/>
      <c r="G30" s="23" t="n"/>
      <c r="H30" s="23" t="n"/>
      <c r="I30" s="23" t="n"/>
      <c r="J30" s="25">
        <f>IF(B30="","",COUNTIF($M30:$DA30,"S"))</f>
        <v/>
      </c>
      <c r="K30" s="25">
        <f>IF(B30="","",COUNTIF($M30:$DA30,"O"))</f>
        <v/>
      </c>
      <c r="L30" s="26">
        <f>IF(B30="","",SUM(DC30:DE30))</f>
        <v/>
      </c>
      <c r="M30" s="27" t="n"/>
      <c r="N30" s="27" t="n"/>
      <c r="O30" s="27" t="n"/>
      <c r="P30" s="27" t="n"/>
      <c r="Q30" s="27" t="n"/>
      <c r="R30" s="27" t="n"/>
      <c r="S30" s="27" t="n"/>
      <c r="T30" s="27" t="n"/>
      <c r="U30" s="27" t="n"/>
      <c r="V30" s="27" t="n"/>
      <c r="W30" s="27" t="n"/>
      <c r="X30" s="27" t="n"/>
      <c r="Y30" s="27" t="n"/>
      <c r="Z30" s="27" t="n"/>
      <c r="AA30" s="27" t="n"/>
      <c r="AB30" s="27" t="n"/>
      <c r="AC30" s="27" t="n"/>
      <c r="AD30" s="27" t="n"/>
      <c r="AE30" s="27" t="n"/>
      <c r="AF30" s="27" t="n"/>
      <c r="AG30" s="27" t="n"/>
      <c r="AH30" s="27" t="n"/>
      <c r="AI30" s="27" t="n"/>
      <c r="AJ30" s="27" t="n"/>
      <c r="AK30" s="27" t="n"/>
      <c r="AL30" s="27" t="n"/>
      <c r="AM30" s="27" t="n"/>
      <c r="AN30" s="27" t="n"/>
      <c r="AO30" s="27" t="n"/>
      <c r="AP30" s="27" t="n"/>
      <c r="AQ30" s="27" t="n"/>
      <c r="AR30" s="27" t="n"/>
      <c r="AS30" s="27" t="n"/>
      <c r="AT30" s="27" t="n"/>
      <c r="AU30" s="27" t="n"/>
      <c r="AV30" s="27" t="n"/>
      <c r="AW30" s="27" t="n"/>
      <c r="AX30" s="27" t="n"/>
      <c r="AY30" s="27" t="n"/>
      <c r="AZ30" s="27" t="n"/>
      <c r="BA30" s="27" t="n"/>
      <c r="BB30" s="27" t="n"/>
      <c r="BC30" s="27" t="n"/>
      <c r="BD30" s="27" t="n"/>
      <c r="BE30" s="27" t="n"/>
      <c r="BF30" s="27" t="n"/>
      <c r="BG30" s="27" t="n"/>
      <c r="BH30" s="27" t="n"/>
      <c r="BI30" s="27" t="n"/>
      <c r="BJ30" s="27" t="n"/>
      <c r="BK30" s="27" t="n"/>
      <c r="BL30" s="27" t="n"/>
      <c r="BM30" s="27" t="n"/>
      <c r="BN30" s="27" t="n"/>
      <c r="BO30" s="27" t="n"/>
      <c r="BP30" s="27" t="n"/>
      <c r="BQ30" s="27" t="n"/>
      <c r="BR30" s="27" t="n"/>
      <c r="BS30" s="27" t="n"/>
      <c r="BT30" s="27" t="n"/>
      <c r="BU30" s="27" t="n"/>
      <c r="BV30" s="27" t="n"/>
      <c r="BW30" s="27" t="n"/>
      <c r="BX30" s="27" t="n"/>
      <c r="BY30" s="27" t="n"/>
      <c r="BZ30" s="27" t="n"/>
      <c r="CA30" s="27" t="n"/>
      <c r="CB30" s="27" t="n"/>
      <c r="CC30" s="27" t="n"/>
      <c r="CD30" s="27" t="n"/>
      <c r="CE30" s="27" t="n"/>
      <c r="CF30" s="27" t="n"/>
      <c r="CG30" s="27" t="n"/>
      <c r="CH30" s="27" t="n"/>
      <c r="CI30" s="27" t="n"/>
      <c r="CJ30" s="27" t="n"/>
      <c r="CK30" s="27" t="n"/>
      <c r="CL30" s="27" t="n"/>
      <c r="CM30" s="27" t="n"/>
      <c r="CN30" s="27" t="n"/>
      <c r="CO30" s="27" t="n"/>
      <c r="CP30" s="27" t="n"/>
      <c r="CQ30" s="27" t="n"/>
      <c r="CR30" s="27" t="n"/>
      <c r="CS30" s="27" t="n"/>
      <c r="CT30" s="27" t="n"/>
      <c r="CU30" s="27" t="n"/>
      <c r="CV30" s="27" t="n"/>
      <c r="CW30" s="27" t="n"/>
      <c r="CX30" s="27" t="n"/>
      <c r="CY30" s="27" t="n"/>
      <c r="CZ30" s="27" t="n"/>
      <c r="DA30" s="27" t="n"/>
      <c r="DC30">
        <f>IF(B30="",0,IF(N(C30)&gt;0,C30,1)*(J30*N(D30)+K30*N(E30)))</f>
        <v/>
      </c>
      <c r="DD30">
        <f>IF(OR(B30="",N(K30)=0),0,IF(N(C30)&gt;0,C30,1)*(N(F30)+N(H30)))</f>
        <v/>
      </c>
      <c r="DE30">
        <f>IF(B30="",0,IF(N(C30)&gt;0,C30,1)*(IF(COUNTIF($M30:$DA30,"VR")&gt;0,N(G30),0)+IF(COUNTIF($M30:$DA30,"RC")&gt;0,N(I30),0)))</f>
        <v/>
      </c>
      <c r="DF30">
        <f>IF(B30="",0,IF(N(C30)&gt;0,C30,1)*COUNTIF($M30:$DA30,"FOC")*N(E30))</f>
        <v/>
      </c>
    </row>
    <row r="31" ht="18" customHeight="1">
      <c r="A31" s="20">
        <f>IF(AND(B31&lt;&gt;"",N(C31)&gt;0),COUNTIFS(B$21:B31,"&lt;&gt;",C$21:C31,"&gt;0"),"")</f>
        <v/>
      </c>
      <c r="B31" s="21" t="n"/>
      <c r="C31" s="28" t="n"/>
      <c r="D31" s="23" t="n"/>
      <c r="E31" s="23" t="n"/>
      <c r="F31" s="23" t="n"/>
      <c r="G31" s="23" t="n"/>
      <c r="H31" s="23" t="n"/>
      <c r="I31" s="23" t="n"/>
      <c r="J31" s="25">
        <f>IF(B31="","",COUNTIF($M31:$DA31,"S"))</f>
        <v/>
      </c>
      <c r="K31" s="25">
        <f>IF(B31="","",COUNTIF($M31:$DA31,"O"))</f>
        <v/>
      </c>
      <c r="L31" s="26">
        <f>IF(B31="","",SUM(DC31:DE31))</f>
        <v/>
      </c>
      <c r="M31" s="27" t="n"/>
      <c r="N31" s="27" t="n"/>
      <c r="O31" s="27" t="n"/>
      <c r="P31" s="27" t="n"/>
      <c r="Q31" s="27" t="n"/>
      <c r="R31" s="27" t="n"/>
      <c r="S31" s="27" t="n"/>
      <c r="T31" s="27" t="n"/>
      <c r="U31" s="27" t="n"/>
      <c r="V31" s="27" t="n"/>
      <c r="W31" s="27" t="n"/>
      <c r="X31" s="27" t="n"/>
      <c r="Y31" s="27" t="n"/>
      <c r="Z31" s="27" t="n"/>
      <c r="AA31" s="27" t="n"/>
      <c r="AB31" s="27" t="n"/>
      <c r="AC31" s="27" t="n"/>
      <c r="AD31" s="27" t="n"/>
      <c r="AE31" s="27" t="n"/>
      <c r="AF31" s="27" t="n"/>
      <c r="AG31" s="27" t="n"/>
      <c r="AH31" s="27" t="n"/>
      <c r="AI31" s="27" t="n"/>
      <c r="AJ31" s="27" t="n"/>
      <c r="AK31" s="27" t="n"/>
      <c r="AL31" s="27" t="n"/>
      <c r="AM31" s="27" t="n"/>
      <c r="AN31" s="27" t="n"/>
      <c r="AO31" s="27" t="n"/>
      <c r="AP31" s="27" t="n"/>
      <c r="AQ31" s="27" t="n"/>
      <c r="AR31" s="27" t="n"/>
      <c r="AS31" s="27" t="n"/>
      <c r="AT31" s="27" t="n"/>
      <c r="AU31" s="27" t="n"/>
      <c r="AV31" s="27" t="n"/>
      <c r="AW31" s="27" t="n"/>
      <c r="AX31" s="27" t="n"/>
      <c r="AY31" s="27" t="n"/>
      <c r="AZ31" s="27" t="n"/>
      <c r="BA31" s="27" t="n"/>
      <c r="BB31" s="27" t="n"/>
      <c r="BC31" s="27" t="n"/>
      <c r="BD31" s="27" t="n"/>
      <c r="BE31" s="27" t="n"/>
      <c r="BF31" s="27" t="n"/>
      <c r="BG31" s="27" t="n"/>
      <c r="BH31" s="27" t="n"/>
      <c r="BI31" s="27" t="n"/>
      <c r="BJ31" s="27" t="n"/>
      <c r="BK31" s="27" t="n"/>
      <c r="BL31" s="27" t="n"/>
      <c r="BM31" s="27" t="n"/>
      <c r="BN31" s="27" t="n"/>
      <c r="BO31" s="27" t="n"/>
      <c r="BP31" s="27" t="n"/>
      <c r="BQ31" s="27" t="n"/>
      <c r="BR31" s="27" t="n"/>
      <c r="BS31" s="27" t="n"/>
      <c r="BT31" s="27" t="n"/>
      <c r="BU31" s="27" t="n"/>
      <c r="BV31" s="27" t="n"/>
      <c r="BW31" s="27" t="n"/>
      <c r="BX31" s="27" t="n"/>
      <c r="BY31" s="27" t="n"/>
      <c r="BZ31" s="27" t="n"/>
      <c r="CA31" s="27" t="n"/>
      <c r="CB31" s="27" t="n"/>
      <c r="CC31" s="27" t="n"/>
      <c r="CD31" s="27" t="n"/>
      <c r="CE31" s="27" t="n"/>
      <c r="CF31" s="27" t="n"/>
      <c r="CG31" s="27" t="n"/>
      <c r="CH31" s="27" t="n"/>
      <c r="CI31" s="27" t="n"/>
      <c r="CJ31" s="27" t="n"/>
      <c r="CK31" s="27" t="n"/>
      <c r="CL31" s="27" t="n"/>
      <c r="CM31" s="27" t="n"/>
      <c r="CN31" s="27" t="n"/>
      <c r="CO31" s="27" t="n"/>
      <c r="CP31" s="27" t="n"/>
      <c r="CQ31" s="27" t="n"/>
      <c r="CR31" s="27" t="n"/>
      <c r="CS31" s="27" t="n"/>
      <c r="CT31" s="27" t="n"/>
      <c r="CU31" s="27" t="n"/>
      <c r="CV31" s="27" t="n"/>
      <c r="CW31" s="27" t="n"/>
      <c r="CX31" s="27" t="n"/>
      <c r="CY31" s="27" t="n"/>
      <c r="CZ31" s="27" t="n"/>
      <c r="DA31" s="27" t="n"/>
      <c r="DC31">
        <f>IF(B31="",0,IF(N(C31)&gt;0,C31,1)*(J31*N(D31)+K31*N(E31)))</f>
        <v/>
      </c>
      <c r="DD31">
        <f>IF(OR(B31="",N(K31)=0),0,IF(N(C31)&gt;0,C31,1)*(N(F31)+N(H31)))</f>
        <v/>
      </c>
      <c r="DE31">
        <f>IF(B31="",0,IF(N(C31)&gt;0,C31,1)*(IF(COUNTIF($M31:$DA31,"VR")&gt;0,N(G31),0)+IF(COUNTIF($M31:$DA31,"RC")&gt;0,N(I31),0)))</f>
        <v/>
      </c>
      <c r="DF31">
        <f>IF(B31="",0,IF(N(C31)&gt;0,C31,1)*COUNTIF($M31:$DA31,"FOC")*N(E31))</f>
        <v/>
      </c>
    </row>
    <row r="32" ht="18" customHeight="1">
      <c r="A32" s="20">
        <f>IF(AND(B32&lt;&gt;"",N(C32)&gt;0),COUNTIFS(B$21:B32,"&lt;&gt;",C$21:C32,"&gt;0"),"")</f>
        <v/>
      </c>
      <c r="B32" s="21" t="n"/>
      <c r="C32" s="28" t="n"/>
      <c r="D32" s="23" t="n"/>
      <c r="E32" s="23" t="n"/>
      <c r="F32" s="23" t="n"/>
      <c r="G32" s="23" t="n"/>
      <c r="H32" s="23" t="n"/>
      <c r="I32" s="23" t="n"/>
      <c r="J32" s="25">
        <f>IF(B32="","",COUNTIF($M32:$DA32,"S"))</f>
        <v/>
      </c>
      <c r="K32" s="25">
        <f>IF(B32="","",COUNTIF($M32:$DA32,"O"))</f>
        <v/>
      </c>
      <c r="L32" s="26">
        <f>IF(B32="","",SUM(DC32:DE32))</f>
        <v/>
      </c>
      <c r="M32" s="27" t="n"/>
      <c r="N32" s="27" t="n"/>
      <c r="O32" s="27" t="n"/>
      <c r="P32" s="27" t="n"/>
      <c r="Q32" s="27" t="n"/>
      <c r="R32" s="27" t="n"/>
      <c r="S32" s="27" t="n"/>
      <c r="T32" s="27" t="n"/>
      <c r="U32" s="27" t="n"/>
      <c r="V32" s="27" t="n"/>
      <c r="W32" s="27" t="n"/>
      <c r="X32" s="27" t="n"/>
      <c r="Y32" s="27" t="n"/>
      <c r="Z32" s="27" t="n"/>
      <c r="AA32" s="27" t="n"/>
      <c r="AB32" s="27" t="n"/>
      <c r="AC32" s="27" t="n"/>
      <c r="AD32" s="27" t="n"/>
      <c r="AE32" s="27" t="n"/>
      <c r="AF32" s="27" t="n"/>
      <c r="AG32" s="27" t="n"/>
      <c r="AH32" s="27" t="n"/>
      <c r="AI32" s="27" t="n"/>
      <c r="AJ32" s="27" t="n"/>
      <c r="AK32" s="27" t="n"/>
      <c r="AL32" s="27" t="n"/>
      <c r="AM32" s="27" t="n"/>
      <c r="AN32" s="27" t="n"/>
      <c r="AO32" s="27" t="n"/>
      <c r="AP32" s="27" t="n"/>
      <c r="AQ32" s="27" t="n"/>
      <c r="AR32" s="27" t="n"/>
      <c r="AS32" s="27" t="n"/>
      <c r="AT32" s="27" t="n"/>
      <c r="AU32" s="27" t="n"/>
      <c r="AV32" s="27" t="n"/>
      <c r="AW32" s="27" t="n"/>
      <c r="AX32" s="27" t="n"/>
      <c r="AY32" s="27" t="n"/>
      <c r="AZ32" s="27" t="n"/>
      <c r="BA32" s="27" t="n"/>
      <c r="BB32" s="27" t="n"/>
      <c r="BC32" s="27" t="n"/>
      <c r="BD32" s="27" t="n"/>
      <c r="BE32" s="27" t="n"/>
      <c r="BF32" s="27" t="n"/>
      <c r="BG32" s="27" t="n"/>
      <c r="BH32" s="27" t="n"/>
      <c r="BI32" s="27" t="n"/>
      <c r="BJ32" s="27" t="n"/>
      <c r="BK32" s="27" t="n"/>
      <c r="BL32" s="27" t="n"/>
      <c r="BM32" s="27" t="n"/>
      <c r="BN32" s="27" t="n"/>
      <c r="BO32" s="27" t="n"/>
      <c r="BP32" s="27" t="n"/>
      <c r="BQ32" s="27" t="n"/>
      <c r="BR32" s="27" t="n"/>
      <c r="BS32" s="27" t="n"/>
      <c r="BT32" s="27" t="n"/>
      <c r="BU32" s="27" t="n"/>
      <c r="BV32" s="27" t="n"/>
      <c r="BW32" s="27" t="n"/>
      <c r="BX32" s="27" t="n"/>
      <c r="BY32" s="27" t="n"/>
      <c r="BZ32" s="27" t="n"/>
      <c r="CA32" s="27" t="n"/>
      <c r="CB32" s="27" t="n"/>
      <c r="CC32" s="27" t="n"/>
      <c r="CD32" s="27" t="n"/>
      <c r="CE32" s="27" t="n"/>
      <c r="CF32" s="27" t="n"/>
      <c r="CG32" s="27" t="n"/>
      <c r="CH32" s="27" t="n"/>
      <c r="CI32" s="27" t="n"/>
      <c r="CJ32" s="27" t="n"/>
      <c r="CK32" s="27" t="n"/>
      <c r="CL32" s="27" t="n"/>
      <c r="CM32" s="27" t="n"/>
      <c r="CN32" s="27" t="n"/>
      <c r="CO32" s="27" t="n"/>
      <c r="CP32" s="27" t="n"/>
      <c r="CQ32" s="27" t="n"/>
      <c r="CR32" s="27" t="n"/>
      <c r="CS32" s="27" t="n"/>
      <c r="CT32" s="27" t="n"/>
      <c r="CU32" s="27" t="n"/>
      <c r="CV32" s="27" t="n"/>
      <c r="CW32" s="27" t="n"/>
      <c r="CX32" s="27" t="n"/>
      <c r="CY32" s="27" t="n"/>
      <c r="CZ32" s="27" t="n"/>
      <c r="DA32" s="27" t="n"/>
      <c r="DC32">
        <f>IF(B32="",0,IF(N(C32)&gt;0,C32,1)*(J32*N(D32)+K32*N(E32)))</f>
        <v/>
      </c>
      <c r="DD32">
        <f>IF(OR(B32="",N(K32)=0),0,IF(N(C32)&gt;0,C32,1)*(N(F32)+N(H32)))</f>
        <v/>
      </c>
      <c r="DE32">
        <f>IF(B32="",0,IF(N(C32)&gt;0,C32,1)*(IF(COUNTIF($M32:$DA32,"VR")&gt;0,N(G32),0)+IF(COUNTIF($M32:$DA32,"RC")&gt;0,N(I32),0)))</f>
        <v/>
      </c>
      <c r="DF32">
        <f>IF(B32="",0,IF(N(C32)&gt;0,C32,1)*COUNTIF($M32:$DA32,"FOC")*N(E32))</f>
        <v/>
      </c>
    </row>
    <row r="33" ht="18" customHeight="1">
      <c r="A33" s="20">
        <f>IF(AND(B33&lt;&gt;"",N(C33)&gt;0),COUNTIFS(B$21:B33,"&lt;&gt;",C$21:C33,"&gt;0"),"")</f>
        <v/>
      </c>
      <c r="B33" s="21" t="n"/>
      <c r="C33" s="28" t="n"/>
      <c r="D33" s="23" t="n"/>
      <c r="E33" s="23" t="n"/>
      <c r="F33" s="23" t="n"/>
      <c r="G33" s="23" t="n"/>
      <c r="H33" s="23" t="n"/>
      <c r="I33" s="23" t="n"/>
      <c r="J33" s="25">
        <f>IF(B33="","",COUNTIF($M33:$DA33,"S"))</f>
        <v/>
      </c>
      <c r="K33" s="25">
        <f>IF(B33="","",COUNTIF($M33:$DA33,"O"))</f>
        <v/>
      </c>
      <c r="L33" s="26">
        <f>IF(B33="","",SUM(DC33:DE33))</f>
        <v/>
      </c>
      <c r="M33" s="27" t="n"/>
      <c r="N33" s="27" t="n"/>
      <c r="O33" s="27" t="n"/>
      <c r="P33" s="27" t="n"/>
      <c r="Q33" s="27" t="n"/>
      <c r="R33" s="27" t="n"/>
      <c r="S33" s="27" t="n"/>
      <c r="T33" s="27" t="n"/>
      <c r="U33" s="27" t="n"/>
      <c r="V33" s="27" t="n"/>
      <c r="W33" s="27" t="n"/>
      <c r="X33" s="27" t="n"/>
      <c r="Y33" s="27" t="n"/>
      <c r="Z33" s="27" t="n"/>
      <c r="AA33" s="27" t="n"/>
      <c r="AB33" s="27" t="n"/>
      <c r="AC33" s="27" t="n"/>
      <c r="AD33" s="27" t="n"/>
      <c r="AE33" s="27" t="n"/>
      <c r="AF33" s="27" t="n"/>
      <c r="AG33" s="27" t="n"/>
      <c r="AH33" s="27" t="n"/>
      <c r="AI33" s="27" t="n"/>
      <c r="AJ33" s="27" t="n"/>
      <c r="AK33" s="27" t="n"/>
      <c r="AL33" s="27" t="n"/>
      <c r="AM33" s="27" t="n"/>
      <c r="AN33" s="27" t="n"/>
      <c r="AO33" s="27" t="n"/>
      <c r="AP33" s="27" t="n"/>
      <c r="AQ33" s="27" t="n"/>
      <c r="AR33" s="27" t="n"/>
      <c r="AS33" s="27" t="n"/>
      <c r="AT33" s="27" t="n"/>
      <c r="AU33" s="27" t="n"/>
      <c r="AV33" s="27" t="n"/>
      <c r="AW33" s="27" t="n"/>
      <c r="AX33" s="27" t="n"/>
      <c r="AY33" s="27" t="n"/>
      <c r="AZ33" s="27" t="n"/>
      <c r="BA33" s="27" t="n"/>
      <c r="BB33" s="27" t="n"/>
      <c r="BC33" s="27" t="n"/>
      <c r="BD33" s="27" t="n"/>
      <c r="BE33" s="27" t="n"/>
      <c r="BF33" s="27" t="n"/>
      <c r="BG33" s="27" t="n"/>
      <c r="BH33" s="27" t="n"/>
      <c r="BI33" s="27" t="n"/>
      <c r="BJ33" s="27" t="n"/>
      <c r="BK33" s="27" t="n"/>
      <c r="BL33" s="27" t="n"/>
      <c r="BM33" s="27" t="n"/>
      <c r="BN33" s="27" t="n"/>
      <c r="BO33" s="27" t="n"/>
      <c r="BP33" s="27" t="n"/>
      <c r="BQ33" s="27" t="n"/>
      <c r="BR33" s="27" t="n"/>
      <c r="BS33" s="27" t="n"/>
      <c r="BT33" s="27" t="n"/>
      <c r="BU33" s="27" t="n"/>
      <c r="BV33" s="27" t="n"/>
      <c r="BW33" s="27" t="n"/>
      <c r="BX33" s="27" t="n"/>
      <c r="BY33" s="27" t="n"/>
      <c r="BZ33" s="27" t="n"/>
      <c r="CA33" s="27" t="n"/>
      <c r="CB33" s="27" t="n"/>
      <c r="CC33" s="27" t="n"/>
      <c r="CD33" s="27" t="n"/>
      <c r="CE33" s="27" t="n"/>
      <c r="CF33" s="27" t="n"/>
      <c r="CG33" s="27" t="n"/>
      <c r="CH33" s="27" t="n"/>
      <c r="CI33" s="27" t="n"/>
      <c r="CJ33" s="27" t="n"/>
      <c r="CK33" s="27" t="n"/>
      <c r="CL33" s="27" t="n"/>
      <c r="CM33" s="27" t="n"/>
      <c r="CN33" s="27" t="n"/>
      <c r="CO33" s="27" t="n"/>
      <c r="CP33" s="27" t="n"/>
      <c r="CQ33" s="27" t="n"/>
      <c r="CR33" s="27" t="n"/>
      <c r="CS33" s="27" t="n"/>
      <c r="CT33" s="27" t="n"/>
      <c r="CU33" s="27" t="n"/>
      <c r="CV33" s="27" t="n"/>
      <c r="CW33" s="27" t="n"/>
      <c r="CX33" s="27" t="n"/>
      <c r="CY33" s="27" t="n"/>
      <c r="CZ33" s="27" t="n"/>
      <c r="DA33" s="27" t="n"/>
      <c r="DC33">
        <f>IF(B33="",0,IF(N(C33)&gt;0,C33,1)*(J33*N(D33)+K33*N(E33)))</f>
        <v/>
      </c>
      <c r="DD33">
        <f>IF(OR(B33="",N(K33)=0),0,IF(N(C33)&gt;0,C33,1)*(N(F33)+N(H33)))</f>
        <v/>
      </c>
      <c r="DE33">
        <f>IF(B33="",0,IF(N(C33)&gt;0,C33,1)*(IF(COUNTIF($M33:$DA33,"VR")&gt;0,N(G33),0)+IF(COUNTIF($M33:$DA33,"RC")&gt;0,N(I33),0)))</f>
        <v/>
      </c>
      <c r="DF33">
        <f>IF(B33="",0,IF(N(C33)&gt;0,C33,1)*COUNTIF($M33:$DA33,"FOC")*N(E33))</f>
        <v/>
      </c>
    </row>
    <row r="34" ht="18" customHeight="1">
      <c r="A34" s="20">
        <f>IF(AND(B34&lt;&gt;"",N(C34)&gt;0),COUNTIFS(B$21:B34,"&lt;&gt;",C$21:C34,"&gt;0"),"")</f>
        <v/>
      </c>
      <c r="B34" s="21" t="n"/>
      <c r="C34" s="28" t="n"/>
      <c r="D34" s="23" t="n"/>
      <c r="E34" s="23" t="n"/>
      <c r="F34" s="23" t="n"/>
      <c r="G34" s="23" t="n"/>
      <c r="H34" s="23" t="n"/>
      <c r="I34" s="23" t="n"/>
      <c r="J34" s="25">
        <f>IF(B34="","",COUNTIF($M34:$DA34,"S"))</f>
        <v/>
      </c>
      <c r="K34" s="25">
        <f>IF(B34="","",COUNTIF($M34:$DA34,"O"))</f>
        <v/>
      </c>
      <c r="L34" s="26">
        <f>IF(B34="","",SUM(DC34:DE34))</f>
        <v/>
      </c>
      <c r="M34" s="27" t="n"/>
      <c r="N34" s="27" t="n"/>
      <c r="O34" s="27" t="n"/>
      <c r="P34" s="27" t="n"/>
      <c r="Q34" s="27" t="n"/>
      <c r="R34" s="27" t="n"/>
      <c r="S34" s="27" t="n"/>
      <c r="T34" s="27" t="n"/>
      <c r="U34" s="27" t="n"/>
      <c r="V34" s="27" t="n"/>
      <c r="W34" s="27" t="n"/>
      <c r="X34" s="27" t="n"/>
      <c r="Y34" s="27" t="n"/>
      <c r="Z34" s="27" t="n"/>
      <c r="AA34" s="27" t="n"/>
      <c r="AB34" s="27" t="n"/>
      <c r="AC34" s="27" t="n"/>
      <c r="AD34" s="27" t="n"/>
      <c r="AE34" s="27" t="n"/>
      <c r="AF34" s="27" t="n"/>
      <c r="AG34" s="27" t="n"/>
      <c r="AH34" s="27" t="n"/>
      <c r="AI34" s="27" t="n"/>
      <c r="AJ34" s="27" t="n"/>
      <c r="AK34" s="27" t="n"/>
      <c r="AL34" s="27" t="n"/>
      <c r="AM34" s="27" t="n"/>
      <c r="AN34" s="27" t="n"/>
      <c r="AO34" s="27" t="n"/>
      <c r="AP34" s="27" t="n"/>
      <c r="AQ34" s="27" t="n"/>
      <c r="AR34" s="27" t="n"/>
      <c r="AS34" s="27" t="n"/>
      <c r="AT34" s="27" t="n"/>
      <c r="AU34" s="27" t="n"/>
      <c r="AV34" s="27" t="n"/>
      <c r="AW34" s="27" t="n"/>
      <c r="AX34" s="27" t="n"/>
      <c r="AY34" s="27" t="n"/>
      <c r="AZ34" s="27" t="n"/>
      <c r="BA34" s="27" t="n"/>
      <c r="BB34" s="27" t="n"/>
      <c r="BC34" s="27" t="n"/>
      <c r="BD34" s="27" t="n"/>
      <c r="BE34" s="27" t="n"/>
      <c r="BF34" s="27" t="n"/>
      <c r="BG34" s="27" t="n"/>
      <c r="BH34" s="27" t="n"/>
      <c r="BI34" s="27" t="n"/>
      <c r="BJ34" s="27" t="n"/>
      <c r="BK34" s="27" t="n"/>
      <c r="BL34" s="27" t="n"/>
      <c r="BM34" s="27" t="n"/>
      <c r="BN34" s="27" t="n"/>
      <c r="BO34" s="27" t="n"/>
      <c r="BP34" s="27" t="n"/>
      <c r="BQ34" s="27" t="n"/>
      <c r="BR34" s="27" t="n"/>
      <c r="BS34" s="27" t="n"/>
      <c r="BT34" s="27" t="n"/>
      <c r="BU34" s="27" t="n"/>
      <c r="BV34" s="27" t="n"/>
      <c r="BW34" s="27" t="n"/>
      <c r="BX34" s="27" t="n"/>
      <c r="BY34" s="27" t="n"/>
      <c r="BZ34" s="27" t="n"/>
      <c r="CA34" s="27" t="n"/>
      <c r="CB34" s="27" t="n"/>
      <c r="CC34" s="27" t="n"/>
      <c r="CD34" s="27" t="n"/>
      <c r="CE34" s="27" t="n"/>
      <c r="CF34" s="27" t="n"/>
      <c r="CG34" s="27" t="n"/>
      <c r="CH34" s="27" t="n"/>
      <c r="CI34" s="27" t="n"/>
      <c r="CJ34" s="27" t="n"/>
      <c r="CK34" s="27" t="n"/>
      <c r="CL34" s="27" t="n"/>
      <c r="CM34" s="27" t="n"/>
      <c r="CN34" s="27" t="n"/>
      <c r="CO34" s="27" t="n"/>
      <c r="CP34" s="27" t="n"/>
      <c r="CQ34" s="27" t="n"/>
      <c r="CR34" s="27" t="n"/>
      <c r="CS34" s="27" t="n"/>
      <c r="CT34" s="27" t="n"/>
      <c r="CU34" s="27" t="n"/>
      <c r="CV34" s="27" t="n"/>
      <c r="CW34" s="27" t="n"/>
      <c r="CX34" s="27" t="n"/>
      <c r="CY34" s="27" t="n"/>
      <c r="CZ34" s="27" t="n"/>
      <c r="DA34" s="27" t="n"/>
      <c r="DC34">
        <f>IF(B34="",0,IF(N(C34)&gt;0,C34,1)*(J34*N(D34)+K34*N(E34)))</f>
        <v/>
      </c>
      <c r="DD34">
        <f>IF(OR(B34="",N(K34)=0),0,IF(N(C34)&gt;0,C34,1)*(N(F34)+N(H34)))</f>
        <v/>
      </c>
      <c r="DE34">
        <f>IF(B34="",0,IF(N(C34)&gt;0,C34,1)*(IF(COUNTIF($M34:$DA34,"VR")&gt;0,N(G34),0)+IF(COUNTIF($M34:$DA34,"RC")&gt;0,N(I34),0)))</f>
        <v/>
      </c>
      <c r="DF34">
        <f>IF(B34="",0,IF(N(C34)&gt;0,C34,1)*COUNTIF($M34:$DA34,"FOC")*N(E34))</f>
        <v/>
      </c>
    </row>
    <row r="36" ht="20" customHeight="1">
      <c r="A36" s="19" t="inlineStr">
        <is>
          <t>TRANSPORT ET AUTRES FRAIS   ·   quantité × prix unitaire (colonne « Opér. € »)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</row>
    <row r="37" ht="18" customHeight="1">
      <c r="A37" s="20" t="n">
        <v>1</v>
      </c>
      <c r="B37" s="21" t="inlineStr">
        <is>
          <t>Transport MOB (au coût +15 %)</t>
        </is>
      </c>
      <c r="C37" s="28" t="n">
        <v>1</v>
      </c>
      <c r="D37" s="24" t="n"/>
      <c r="E37" s="23" t="n">
        <v>480</v>
      </c>
      <c r="F37" s="24" t="n"/>
      <c r="G37" s="24" t="n"/>
      <c r="H37" s="24" t="n"/>
      <c r="I37" s="24" t="n"/>
      <c r="J37" s="25" t="n"/>
      <c r="K37" s="25" t="n"/>
      <c r="L37" s="26">
        <f>IF(B37="","",N(C37)*N(E37))</f>
        <v/>
      </c>
      <c r="M37" s="29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  <c r="AA37" s="29" t="n"/>
      <c r="AB37" s="29" t="n"/>
      <c r="AC37" s="29" t="n"/>
      <c r="AD37" s="29" t="n"/>
      <c r="AE37" s="29" t="n"/>
      <c r="AF37" s="29" t="n"/>
      <c r="AG37" s="29" t="n"/>
      <c r="AH37" s="29" t="n"/>
      <c r="AI37" s="29" t="n"/>
      <c r="AJ37" s="29" t="n"/>
      <c r="AK37" s="29" t="n"/>
      <c r="AL37" s="29" t="n"/>
      <c r="AM37" s="29" t="n"/>
      <c r="AN37" s="29" t="n"/>
      <c r="AO37" s="29" t="n"/>
      <c r="AP37" s="29" t="n"/>
      <c r="AQ37" s="29" t="n"/>
      <c r="AR37" s="29" t="n"/>
      <c r="AS37" s="29" t="n"/>
      <c r="AT37" s="29" t="n"/>
      <c r="AU37" s="29" t="n"/>
      <c r="AV37" s="29" t="n"/>
      <c r="AW37" s="29" t="n"/>
      <c r="AX37" s="29" t="n"/>
      <c r="AY37" s="29" t="n"/>
      <c r="AZ37" s="29" t="n"/>
      <c r="BA37" s="29" t="n"/>
      <c r="BB37" s="29" t="n"/>
      <c r="BC37" s="29" t="n"/>
      <c r="BD37" s="29" t="n"/>
      <c r="BE37" s="29" t="n"/>
      <c r="BF37" s="29" t="n"/>
      <c r="BG37" s="29" t="n"/>
      <c r="BH37" s="29" t="n"/>
      <c r="BI37" s="29" t="n"/>
      <c r="BJ37" s="29" t="n"/>
      <c r="BK37" s="29" t="n"/>
      <c r="BL37" s="29" t="n"/>
      <c r="BM37" s="29" t="n"/>
      <c r="BN37" s="29" t="n"/>
      <c r="BO37" s="29" t="n"/>
      <c r="BP37" s="29" t="n"/>
      <c r="BQ37" s="29" t="n"/>
      <c r="BR37" s="29" t="n"/>
      <c r="BS37" s="29" t="n"/>
      <c r="BT37" s="29" t="n"/>
      <c r="BU37" s="29" t="n"/>
      <c r="BV37" s="29" t="n"/>
      <c r="BW37" s="29" t="n"/>
      <c r="BX37" s="29" t="n"/>
      <c r="BY37" s="29" t="n"/>
      <c r="BZ37" s="29" t="n"/>
      <c r="CA37" s="29" t="n"/>
      <c r="CB37" s="29" t="n"/>
      <c r="CC37" s="29" t="n"/>
      <c r="CD37" s="29" t="n"/>
      <c r="CE37" s="29" t="n"/>
      <c r="CF37" s="29" t="n"/>
      <c r="CG37" s="29" t="n"/>
      <c r="CH37" s="29" t="n"/>
      <c r="CI37" s="29" t="n"/>
      <c r="CJ37" s="29" t="n"/>
      <c r="CK37" s="29" t="n"/>
      <c r="CL37" s="29" t="n"/>
      <c r="CM37" s="29" t="n"/>
      <c r="CN37" s="29" t="n"/>
      <c r="CO37" s="29" t="n"/>
      <c r="CP37" s="29" t="n"/>
      <c r="CQ37" s="29" t="n"/>
      <c r="CR37" s="29" t="n"/>
      <c r="CS37" s="29" t="n"/>
      <c r="CT37" s="29" t="n"/>
      <c r="CU37" s="29" t="n"/>
      <c r="CV37" s="29" t="n"/>
      <c r="CW37" s="29" t="n"/>
      <c r="CX37" s="29" t="n"/>
      <c r="CY37" s="29" t="n"/>
      <c r="CZ37" s="29" t="n"/>
      <c r="DA37" s="29" t="n"/>
      <c r="DC37" t="n">
        <v>0</v>
      </c>
      <c r="DD37" t="n">
        <v>0</v>
      </c>
      <c r="DE37" t="n">
        <v>0</v>
      </c>
      <c r="DF37" t="n">
        <v>0</v>
      </c>
    </row>
    <row r="38" ht="18" customHeight="1">
      <c r="A38" s="20" t="n">
        <v>2</v>
      </c>
      <c r="B38" s="21" t="inlineStr">
        <is>
          <t>Transport DEMOB (au coût +15 %)</t>
        </is>
      </c>
      <c r="C38" s="28" t="n">
        <v>1</v>
      </c>
      <c r="D38" s="24" t="n"/>
      <c r="E38" s="23" t="n">
        <v>520</v>
      </c>
      <c r="F38" s="24" t="n"/>
      <c r="G38" s="24" t="n"/>
      <c r="H38" s="24" t="n"/>
      <c r="I38" s="24" t="n"/>
      <c r="J38" s="25" t="n"/>
      <c r="K38" s="25" t="n"/>
      <c r="L38" s="26">
        <f>IF(B38="","",N(C38)*N(E38))</f>
        <v/>
      </c>
      <c r="M38" s="29" t="n"/>
      <c r="N38" s="29" t="n"/>
      <c r="O38" s="29" t="n"/>
      <c r="P38" s="29" t="n"/>
      <c r="Q38" s="29" t="n"/>
      <c r="R38" s="29" t="n"/>
      <c r="S38" s="29" t="n"/>
      <c r="T38" s="29" t="n"/>
      <c r="U38" s="29" t="n"/>
      <c r="V38" s="29" t="n"/>
      <c r="W38" s="29" t="n"/>
      <c r="X38" s="29" t="n"/>
      <c r="Y38" s="29" t="n"/>
      <c r="Z38" s="29" t="n"/>
      <c r="AA38" s="29" t="n"/>
      <c r="AB38" s="29" t="n"/>
      <c r="AC38" s="29" t="n"/>
      <c r="AD38" s="29" t="n"/>
      <c r="AE38" s="29" t="n"/>
      <c r="AF38" s="29" t="n"/>
      <c r="AG38" s="29" t="n"/>
      <c r="AH38" s="29" t="n"/>
      <c r="AI38" s="29" t="n"/>
      <c r="AJ38" s="29" t="n"/>
      <c r="AK38" s="29" t="n"/>
      <c r="AL38" s="29" t="n"/>
      <c r="AM38" s="29" t="n"/>
      <c r="AN38" s="29" t="n"/>
      <c r="AO38" s="29" t="n"/>
      <c r="AP38" s="29" t="n"/>
      <c r="AQ38" s="29" t="n"/>
      <c r="AR38" s="29" t="n"/>
      <c r="AS38" s="29" t="n"/>
      <c r="AT38" s="29" t="n"/>
      <c r="AU38" s="29" t="n"/>
      <c r="AV38" s="29" t="n"/>
      <c r="AW38" s="29" t="n"/>
      <c r="AX38" s="29" t="n"/>
      <c r="AY38" s="29" t="n"/>
      <c r="AZ38" s="29" t="n"/>
      <c r="BA38" s="29" t="n"/>
      <c r="BB38" s="29" t="n"/>
      <c r="BC38" s="29" t="n"/>
      <c r="BD38" s="29" t="n"/>
      <c r="BE38" s="29" t="n"/>
      <c r="BF38" s="29" t="n"/>
      <c r="BG38" s="29" t="n"/>
      <c r="BH38" s="29" t="n"/>
      <c r="BI38" s="29" t="n"/>
      <c r="BJ38" s="29" t="n"/>
      <c r="BK38" s="29" t="n"/>
      <c r="BL38" s="29" t="n"/>
      <c r="BM38" s="29" t="n"/>
      <c r="BN38" s="29" t="n"/>
      <c r="BO38" s="29" t="n"/>
      <c r="BP38" s="29" t="n"/>
      <c r="BQ38" s="29" t="n"/>
      <c r="BR38" s="29" t="n"/>
      <c r="BS38" s="29" t="n"/>
      <c r="BT38" s="29" t="n"/>
      <c r="BU38" s="29" t="n"/>
      <c r="BV38" s="29" t="n"/>
      <c r="BW38" s="29" t="n"/>
      <c r="BX38" s="29" t="n"/>
      <c r="BY38" s="29" t="n"/>
      <c r="BZ38" s="29" t="n"/>
      <c r="CA38" s="29" t="n"/>
      <c r="CB38" s="29" t="n"/>
      <c r="CC38" s="29" t="n"/>
      <c r="CD38" s="29" t="n"/>
      <c r="CE38" s="29" t="n"/>
      <c r="CF38" s="29" t="n"/>
      <c r="CG38" s="29" t="n"/>
      <c r="CH38" s="29" t="n"/>
      <c r="CI38" s="29" t="n"/>
      <c r="CJ38" s="29" t="n"/>
      <c r="CK38" s="29" t="n"/>
      <c r="CL38" s="29" t="n"/>
      <c r="CM38" s="29" t="n"/>
      <c r="CN38" s="29" t="n"/>
      <c r="CO38" s="29" t="n"/>
      <c r="CP38" s="29" t="n"/>
      <c r="CQ38" s="29" t="n"/>
      <c r="CR38" s="29" t="n"/>
      <c r="CS38" s="29" t="n"/>
      <c r="CT38" s="29" t="n"/>
      <c r="CU38" s="29" t="n"/>
      <c r="CV38" s="29" t="n"/>
      <c r="CW38" s="29" t="n"/>
      <c r="CX38" s="29" t="n"/>
      <c r="CY38" s="29" t="n"/>
      <c r="CZ38" s="29" t="n"/>
      <c r="DA38" s="29" t="n"/>
      <c r="DC38" t="n">
        <v>0</v>
      </c>
      <c r="DD38" t="n">
        <v>0</v>
      </c>
      <c r="DE38" t="n">
        <v>0</v>
      </c>
      <c r="DF38" t="n">
        <v>0</v>
      </c>
    </row>
    <row r="39" ht="18" customHeight="1">
      <c r="A39" s="20" t="n">
        <v>3</v>
      </c>
      <c r="B39" s="21" t="n"/>
      <c r="C39" s="28" t="n"/>
      <c r="D39" s="24" t="n"/>
      <c r="E39" s="23" t="n"/>
      <c r="F39" s="24" t="n"/>
      <c r="G39" s="24" t="n"/>
      <c r="H39" s="24" t="n"/>
      <c r="I39" s="24" t="n"/>
      <c r="J39" s="25" t="n"/>
      <c r="K39" s="25" t="n"/>
      <c r="L39" s="26">
        <f>IF(B39="","",N(C39)*N(E39))</f>
        <v/>
      </c>
      <c r="M39" s="29" t="n"/>
      <c r="N39" s="29" t="n"/>
      <c r="O39" s="29" t="n"/>
      <c r="P39" s="29" t="n"/>
      <c r="Q39" s="29" t="n"/>
      <c r="R39" s="29" t="n"/>
      <c r="S39" s="29" t="n"/>
      <c r="T39" s="29" t="n"/>
      <c r="U39" s="29" t="n"/>
      <c r="V39" s="29" t="n"/>
      <c r="W39" s="29" t="n"/>
      <c r="X39" s="29" t="n"/>
      <c r="Y39" s="29" t="n"/>
      <c r="Z39" s="29" t="n"/>
      <c r="AA39" s="29" t="n"/>
      <c r="AB39" s="29" t="n"/>
      <c r="AC39" s="29" t="n"/>
      <c r="AD39" s="29" t="n"/>
      <c r="AE39" s="29" t="n"/>
      <c r="AF39" s="29" t="n"/>
      <c r="AG39" s="29" t="n"/>
      <c r="AH39" s="29" t="n"/>
      <c r="AI39" s="29" t="n"/>
      <c r="AJ39" s="29" t="n"/>
      <c r="AK39" s="29" t="n"/>
      <c r="AL39" s="29" t="n"/>
      <c r="AM39" s="29" t="n"/>
      <c r="AN39" s="29" t="n"/>
      <c r="AO39" s="29" t="n"/>
      <c r="AP39" s="29" t="n"/>
      <c r="AQ39" s="29" t="n"/>
      <c r="AR39" s="29" t="n"/>
      <c r="AS39" s="29" t="n"/>
      <c r="AT39" s="29" t="n"/>
      <c r="AU39" s="29" t="n"/>
      <c r="AV39" s="29" t="n"/>
      <c r="AW39" s="29" t="n"/>
      <c r="AX39" s="29" t="n"/>
      <c r="AY39" s="29" t="n"/>
      <c r="AZ39" s="29" t="n"/>
      <c r="BA39" s="29" t="n"/>
      <c r="BB39" s="29" t="n"/>
      <c r="BC39" s="29" t="n"/>
      <c r="BD39" s="29" t="n"/>
      <c r="BE39" s="29" t="n"/>
      <c r="BF39" s="29" t="n"/>
      <c r="BG39" s="29" t="n"/>
      <c r="BH39" s="29" t="n"/>
      <c r="BI39" s="29" t="n"/>
      <c r="BJ39" s="29" t="n"/>
      <c r="BK39" s="29" t="n"/>
      <c r="BL39" s="29" t="n"/>
      <c r="BM39" s="29" t="n"/>
      <c r="BN39" s="29" t="n"/>
      <c r="BO39" s="29" t="n"/>
      <c r="BP39" s="29" t="n"/>
      <c r="BQ39" s="29" t="n"/>
      <c r="BR39" s="29" t="n"/>
      <c r="BS39" s="29" t="n"/>
      <c r="BT39" s="29" t="n"/>
      <c r="BU39" s="29" t="n"/>
      <c r="BV39" s="29" t="n"/>
      <c r="BW39" s="29" t="n"/>
      <c r="BX39" s="29" t="n"/>
      <c r="BY39" s="29" t="n"/>
      <c r="BZ39" s="29" t="n"/>
      <c r="CA39" s="29" t="n"/>
      <c r="CB39" s="29" t="n"/>
      <c r="CC39" s="29" t="n"/>
      <c r="CD39" s="29" t="n"/>
      <c r="CE39" s="29" t="n"/>
      <c r="CF39" s="29" t="n"/>
      <c r="CG39" s="29" t="n"/>
      <c r="CH39" s="29" t="n"/>
      <c r="CI39" s="29" t="n"/>
      <c r="CJ39" s="29" t="n"/>
      <c r="CK39" s="29" t="n"/>
      <c r="CL39" s="29" t="n"/>
      <c r="CM39" s="29" t="n"/>
      <c r="CN39" s="29" t="n"/>
      <c r="CO39" s="29" t="n"/>
      <c r="CP39" s="29" t="n"/>
      <c r="CQ39" s="29" t="n"/>
      <c r="CR39" s="29" t="n"/>
      <c r="CS39" s="29" t="n"/>
      <c r="CT39" s="29" t="n"/>
      <c r="CU39" s="29" t="n"/>
      <c r="CV39" s="29" t="n"/>
      <c r="CW39" s="29" t="n"/>
      <c r="CX39" s="29" t="n"/>
      <c r="CY39" s="29" t="n"/>
      <c r="CZ39" s="29" t="n"/>
      <c r="DA39" s="29" t="n"/>
      <c r="DC39" t="n">
        <v>0</v>
      </c>
      <c r="DD39" t="n">
        <v>0</v>
      </c>
      <c r="DE39" t="n">
        <v>0</v>
      </c>
      <c r="DF39" t="n">
        <v>0</v>
      </c>
    </row>
    <row r="41" ht="20" customHeight="1">
      <c r="A41" s="19" t="inlineStr">
        <is>
          <t>RÉCAPITULATIF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 ht="20" customHeight="1">
      <c r="A42" s="30" t="inlineStr">
        <is>
          <t>Opérateurs et mob / demob</t>
        </is>
      </c>
      <c r="B42" s="22" t="n"/>
      <c r="C42" s="22" t="n"/>
      <c r="D42" s="22" t="n"/>
      <c r="E42" s="22" t="n"/>
      <c r="F42" s="22" t="n"/>
      <c r="G42" s="31" t="inlineStr">
        <is>
          <t>910XFISHINGOP</t>
        </is>
      </c>
      <c r="H42" s="22" t="n"/>
      <c r="I42" s="22" t="n"/>
      <c r="J42" s="22" t="n"/>
      <c r="K42" s="22" t="n"/>
      <c r="L42" s="32">
        <f>SUM(L16:L18)</f>
        <v/>
      </c>
    </row>
    <row r="43" ht="20" customHeight="1">
      <c r="A43" s="30" t="inlineStr">
        <is>
          <t>Location du matériel (stand-by + opérations)</t>
        </is>
      </c>
      <c r="B43" s="22" t="n"/>
      <c r="C43" s="22" t="n"/>
      <c r="D43" s="22" t="n"/>
      <c r="E43" s="22" t="n"/>
      <c r="F43" s="22" t="n"/>
      <c r="G43" s="31" t="inlineStr">
        <is>
          <t>904XRENTALEQUIPMT</t>
        </is>
      </c>
      <c r="H43" s="22" t="n"/>
      <c r="I43" s="22" t="n"/>
      <c r="J43" s="22" t="n"/>
      <c r="K43" s="22" t="n"/>
      <c r="L43" s="32">
        <f>SUM(DC21:DC34)</f>
        <v/>
      </c>
    </row>
    <row r="44" ht="20" customHeight="1">
      <c r="A44" s="30" t="inlineStr">
        <is>
          <t>Utilisation charge et inspection (UC)</t>
        </is>
      </c>
      <c r="B44" s="22" t="n"/>
      <c r="C44" s="22" t="n"/>
      <c r="D44" s="22" t="n"/>
      <c r="E44" s="22" t="n"/>
      <c r="F44" s="22" t="n"/>
      <c r="G44" s="31" t="inlineStr">
        <is>
          <t>905XUC</t>
        </is>
      </c>
      <c r="H44" s="22" t="n"/>
      <c r="I44" s="22" t="n"/>
      <c r="J44" s="22" t="n"/>
      <c r="K44" s="22" t="n"/>
      <c r="L44" s="32">
        <f>SUM(DD21:DD34)</f>
        <v/>
      </c>
    </row>
    <row r="45" ht="20" customHeight="1">
      <c r="A45" s="30" t="inlineStr">
        <is>
          <t>Valeur de remplacement et restocking</t>
        </is>
      </c>
      <c r="B45" s="22" t="n"/>
      <c r="C45" s="22" t="n"/>
      <c r="D45" s="22" t="n"/>
      <c r="E45" s="22" t="n"/>
      <c r="F45" s="22" t="n"/>
      <c r="G45" s="31" t="inlineStr"/>
      <c r="H45" s="22" t="n"/>
      <c r="I45" s="22" t="n"/>
      <c r="J45" s="22" t="n"/>
      <c r="K45" s="22" t="n"/>
      <c r="L45" s="32">
        <f>SUM(DE21:DE34)</f>
        <v/>
      </c>
    </row>
    <row r="46" ht="20" customHeight="1">
      <c r="A46" s="30" t="inlineStr">
        <is>
          <t>Transport et autres frais</t>
        </is>
      </c>
      <c r="B46" s="22" t="n"/>
      <c r="C46" s="22" t="n"/>
      <c r="D46" s="22" t="n"/>
      <c r="E46" s="22" t="n"/>
      <c r="F46" s="22" t="n"/>
      <c r="G46" s="31" t="inlineStr">
        <is>
          <t>900XMOBDEMOB</t>
        </is>
      </c>
      <c r="H46" s="22" t="n"/>
      <c r="I46" s="22" t="n"/>
      <c r="J46" s="22" t="n"/>
      <c r="K46" s="22" t="n"/>
      <c r="L46" s="32">
        <f>SUM(L37:L39)</f>
        <v/>
      </c>
    </row>
    <row r="47" ht="26" customHeight="1">
      <c r="A47" s="33" t="inlineStr">
        <is>
          <t>TOTAL HT À FACTURER</t>
        </is>
      </c>
      <c r="B47" s="34" t="n"/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5">
        <f>SUM(L42:L46)</f>
        <v/>
      </c>
    </row>
    <row r="48" ht="16" customHeight="1">
      <c r="A48" s="36" t="inlineStr">
        <is>
          <t>Gratuit (FOC), pour information</t>
        </is>
      </c>
      <c r="L48" s="37">
        <f>SUM(DF21:DF34)</f>
        <v/>
      </c>
    </row>
    <row r="50" ht="17" customHeight="1">
      <c r="A50" s="38" t="inlineStr">
        <is>
          <t>POUR ENEDRIL · Nom, date, signature</t>
        </is>
      </c>
      <c r="B50" s="39" t="n"/>
      <c r="C50" s="39" t="n"/>
      <c r="D50" s="39" t="n"/>
      <c r="E50" s="40" t="n"/>
      <c r="F50" s="38" t="inlineStr">
        <is>
          <t>POUR LE CLIENT · Nom, date, signature, cachet</t>
        </is>
      </c>
      <c r="G50" s="39" t="n"/>
      <c r="H50" s="39" t="n"/>
      <c r="I50" s="39" t="n"/>
      <c r="J50" s="39" t="n"/>
      <c r="K50" s="39" t="n"/>
      <c r="L50" s="40" t="n"/>
    </row>
    <row r="51" ht="17" customHeight="1">
      <c r="A51" s="41" t="n"/>
      <c r="B51" s="42" t="n"/>
      <c r="C51" s="42" t="n"/>
      <c r="D51" s="42" t="n"/>
      <c r="E51" s="43" t="n"/>
      <c r="F51" s="41" t="n"/>
      <c r="G51" s="42" t="n"/>
      <c r="H51" s="42" t="n"/>
      <c r="I51" s="42" t="n"/>
      <c r="J51" s="42" t="n"/>
      <c r="K51" s="42" t="n"/>
      <c r="L51" s="43" t="n"/>
    </row>
    <row r="52" ht="17" customHeight="1">
      <c r="A52" s="44" t="n"/>
      <c r="B52" s="22" t="n"/>
      <c r="C52" s="22" t="n"/>
      <c r="D52" s="22" t="n"/>
      <c r="E52" s="45" t="n"/>
      <c r="F52" s="44" t="n"/>
      <c r="G52" s="22" t="n"/>
      <c r="H52" s="22" t="n"/>
      <c r="I52" s="22" t="n"/>
      <c r="J52" s="22" t="n"/>
      <c r="K52" s="22" t="n"/>
      <c r="L52" s="45" t="n"/>
    </row>
  </sheetData>
  <mergeCells count="48">
    <mergeCell ref="J6:L6"/>
    <mergeCell ref="M12:AQ12"/>
    <mergeCell ref="J13:J14"/>
    <mergeCell ref="L13:L14"/>
    <mergeCell ref="G43:K43"/>
    <mergeCell ref="G6:I6"/>
    <mergeCell ref="C8:F8"/>
    <mergeCell ref="A46:F46"/>
    <mergeCell ref="A48:K48"/>
    <mergeCell ref="A9:B9"/>
    <mergeCell ref="BW12:DA12"/>
    <mergeCell ref="E13:E14"/>
    <mergeCell ref="G13:G14"/>
    <mergeCell ref="G42:K42"/>
    <mergeCell ref="A6:B6"/>
    <mergeCell ref="AR12:BV12"/>
    <mergeCell ref="A42:F42"/>
    <mergeCell ref="G5:I5"/>
    <mergeCell ref="B13:B14"/>
    <mergeCell ref="D13:D14"/>
    <mergeCell ref="C6:F6"/>
    <mergeCell ref="A50:E52"/>
    <mergeCell ref="C5:F5"/>
    <mergeCell ref="A43:F43"/>
    <mergeCell ref="F13:F14"/>
    <mergeCell ref="H13:H14"/>
    <mergeCell ref="A13:A14"/>
    <mergeCell ref="A44:F44"/>
    <mergeCell ref="I13:I14"/>
    <mergeCell ref="A5:B5"/>
    <mergeCell ref="K13:K14"/>
    <mergeCell ref="G9:I9"/>
    <mergeCell ref="J8:L8"/>
    <mergeCell ref="A47:K47"/>
    <mergeCell ref="G45:K45"/>
    <mergeCell ref="M1:AQ1"/>
    <mergeCell ref="A8:B8"/>
    <mergeCell ref="C13:C14"/>
    <mergeCell ref="J5:L5"/>
    <mergeCell ref="C9:F9"/>
    <mergeCell ref="M2:AQ2"/>
    <mergeCell ref="A11:L11"/>
    <mergeCell ref="A45:F45"/>
    <mergeCell ref="G8:I8"/>
    <mergeCell ref="G44:K44"/>
    <mergeCell ref="J9:L9"/>
    <mergeCell ref="G46:K46"/>
    <mergeCell ref="F50:L52"/>
  </mergeCells>
  <conditionalFormatting sqref="M16:DA18 M21:DA34">
    <cfRule type="cellIs" priority="1" operator="equal" dxfId="0">
      <formula>"S"</formula>
    </cfRule>
    <cfRule type="cellIs" priority="2" operator="equal" dxfId="1">
      <formula>"O"</formula>
    </cfRule>
    <cfRule type="cellIs" priority="3" operator="equal" dxfId="2">
      <formula>"FOC"</formula>
    </cfRule>
    <cfRule type="cellIs" priority="4" operator="equal" dxfId="3">
      <formula>"VR"</formula>
    </cfRule>
    <cfRule type="cellIs" priority="5" operator="equal" dxfId="4">
      <formula>"RC"</formula>
    </cfRule>
    <cfRule type="cellIs" priority="6" operator="equal" dxfId="5">
      <formula>"MOB"</formula>
    </cfRule>
    <cfRule type="cellIs" priority="7" operator="equal" dxfId="5">
      <formula>"DEMOB"</formula>
    </cfRule>
    <cfRule type="expression" priority="8" dxfId="6">
      <formula>AND(M$13&lt;&gt;"",WEEKDAY(M$13,2)&gt;5)</formula>
    </cfRule>
  </conditionalFormatting>
  <conditionalFormatting sqref="A21:I34">
    <cfRule type="expression" priority="9" dxfId="7">
      <formula>AND($B21&lt;&gt;"",N($C21)=0,N($E21)=0)</formula>
    </cfRule>
  </conditionalFormatting>
  <dataValidations count="2">
    <dataValidation sqref="A9" showDropDown="0" showInputMessage="0" showErrorMessage="0" allowBlank="1" type="list">
      <formula1>=Listes!$A$2:$A$12</formula1>
    </dataValidation>
    <dataValidation sqref="M16:DA18 M21:DA34" showDropDown="0" showInputMessage="0" showErrorMessage="1" allowBlank="1" error="Codes : S, O, FOC, VR, RC, MOB, DEMOB." type="list" errorStyle="warning">
      <formula1>=Listes!$C$2:$C$8</formula1>
    </dataValidation>
  </dataValidations>
  <pageMargins left="0.3" right="0.3" top="0.35" bottom="0.4" header="0.5" footer="0.5"/>
  <pageSetup orientation="landscape" paperSize="9" scale="56"/>
  <headerFooter>
    <oddHeader/>
    <oddFooter>&amp;C&amp;8 Enedril · Service ticket · &amp;P / &amp;N</oddFooter>
    <evenHeader/>
    <evenFooter/>
    <firstHeader/>
    <firstFooter/>
  </headerFooter>
  <colBreaks count="2" manualBreakCount="2">
    <brk id="43" min="0" max="16383" man="1"/>
    <brk id="74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FB6CE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3" max="3"/>
  </cols>
  <sheetData>
    <row r="1">
      <c r="A1" s="46" t="inlineStr">
        <is>
          <t>Ingénieur Enedril</t>
        </is>
      </c>
      <c r="C1" s="46" t="inlineStr">
        <is>
          <t>Codes du calendrier</t>
        </is>
      </c>
      <c r="E1" s="47" t="inlineStr">
        <is>
          <t>La fin = début + dernier jour marqué</t>
        </is>
      </c>
    </row>
    <row r="2">
      <c r="A2" t="inlineStr">
        <is>
          <t>Fabien JACQUOT</t>
        </is>
      </c>
      <c r="C2" t="inlineStr">
        <is>
          <t>S</t>
        </is>
      </c>
    </row>
    <row r="3">
      <c r="A3" t="inlineStr">
        <is>
          <t>Alexis ESTINES</t>
        </is>
      </c>
      <c r="C3" t="inlineStr">
        <is>
          <t>O</t>
        </is>
      </c>
    </row>
    <row r="4">
      <c r="A4" t="inlineStr">
        <is>
          <t>Paul HYNDERICK</t>
        </is>
      </c>
      <c r="C4" t="inlineStr">
        <is>
          <t>FOC</t>
        </is>
      </c>
    </row>
    <row r="5">
      <c r="A5" t="inlineStr">
        <is>
          <t>Céline CARDONA</t>
        </is>
      </c>
      <c r="C5" t="inlineStr">
        <is>
          <t>VR</t>
        </is>
      </c>
    </row>
    <row r="6">
      <c r="A6" t="inlineStr">
        <is>
          <t>Koen MONDELAERS</t>
        </is>
      </c>
      <c r="C6" t="inlineStr">
        <is>
          <t>RC</t>
        </is>
      </c>
    </row>
    <row r="7">
      <c r="A7" t="inlineStr">
        <is>
          <t>Luigi LIBERATORE</t>
        </is>
      </c>
      <c r="C7" t="inlineStr">
        <is>
          <t>MOB</t>
        </is>
      </c>
    </row>
    <row r="8">
      <c r="C8" t="inlineStr">
        <is>
          <t>DEMOB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2026-10-28T15:06:05Z</dcterms:created>
  <dcterms:modified xmlns:dcterms="http://purl.org/dc/terms/" xmlns:xsi="http://www.w3.org/2001/XMLSchema-instance" xsi:type="dcterms:W3CDTF">2026-10-28T15:06:06Z</dcterms:modified>
</cp:coreProperties>
</file>