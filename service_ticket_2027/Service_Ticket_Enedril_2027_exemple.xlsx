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11"/>
    </font>
    <font>
      <name val="Calibri"/>
      <b val="1"/>
      <color rgb="00E2231A"/>
      <sz val="9"/>
    </font>
    <font>
      <name val="Calibri"/>
      <b val="1"/>
      <color rgb="0008203F"/>
      <sz val="8.5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8.5"/>
    </font>
    <font>
      <name val="Calibri"/>
      <color rgb="00B8C4D2"/>
      <sz val="7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FFFFFF"/>
      <sz val="11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 wrapText="1"/>
    </xf>
    <xf numFmtId="165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0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0" fillId="7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4" borderId="2" applyAlignment="1" pivotButton="0" quotePrefix="0" xfId="0">
      <alignment horizontal="left" vertical="center" indent="1"/>
    </xf>
    <xf numFmtId="4" fontId="12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 shrinkToFit="1"/>
    </xf>
    <xf numFmtId="0" fontId="14" fillId="0" borderId="0" pivotButton="0" quotePrefix="0" xfId="0"/>
    <xf numFmtId="0" fontId="12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7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 indent="1"/>
    </xf>
    <xf numFmtId="0" fontId="16" fillId="0" borderId="2" applyAlignment="1" pivotButton="0" quotePrefix="0" xfId="0">
      <alignment vertical="center" indent="1"/>
    </xf>
    <xf numFmtId="0" fontId="20" fillId="5" borderId="0" applyAlignment="1" pivotButton="0" quotePrefix="0" xfId="0">
      <alignment horizontal="left" vertical="center" indent="1"/>
    </xf>
    <xf numFmtId="0" fontId="20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right" vertical="center" indent="1"/>
    </xf>
    <xf numFmtId="0" fontId="22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left" vertical="center"/>
    </xf>
    <xf numFmtId="4" fontId="22" fillId="5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vertical="center" indent="1"/>
    </xf>
    <xf numFmtId="4" fontId="21" fillId="0" borderId="0" applyAlignment="1" pivotButton="0" quotePrefix="0" xfId="0">
      <alignment horizontal="right" indent="1"/>
    </xf>
    <xf numFmtId="0" fontId="23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3E6EA"/>
          <bgColor rgb="00E3E6EA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X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outlineLevel="1" width="3.3" customWidth="1" min="44" max="74"/>
    <col hidden="1" outlineLevel="1" width="3.3" customWidth="1" min="7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inlineStr">
        <is>
          <t>Geopetrol</t>
        </is>
      </c>
      <c r="B6" s="7" t="n"/>
      <c r="C6" s="6" t="inlineStr">
        <is>
          <t>Puits Lacq-12 · CLU108</t>
        </is>
      </c>
      <c r="D6" s="7" t="n"/>
      <c r="E6" s="7" t="n"/>
      <c r="F6" s="7" t="n"/>
      <c r="G6" s="6" t="inlineStr">
        <is>
          <t>26-82-FR</t>
        </is>
      </c>
      <c r="H6" s="7" t="n"/>
      <c r="I6" s="7" t="n"/>
      <c r="J6" s="6" t="inlineStr">
        <is>
          <t>PO-4500123</t>
        </is>
      </c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(3 MOIS MAX)</t>
        </is>
      </c>
      <c r="J8" s="5" t="inlineStr">
        <is>
          <t>DURÉE (JOURS)</t>
        </is>
      </c>
    </row>
    <row r="9" ht="24" customHeight="1">
      <c r="A9" s="6" t="inlineStr">
        <is>
          <t>Paul HYNDERICK</t>
        </is>
      </c>
      <c r="B9" s="7" t="n"/>
      <c r="C9" s="8" t="n">
        <v>46307</v>
      </c>
      <c r="D9" s="7" t="n"/>
      <c r="E9" s="7" t="n"/>
      <c r="F9" s="7" t="n"/>
      <c r="G9" s="8" t="n">
        <v>46346</v>
      </c>
      <c r="H9" s="7" t="n"/>
      <c r="I9" s="7" t="n"/>
      <c r="J9" s="9">
        <f>IF(C9="","",$DC$9-C9+1)</f>
        <v/>
      </c>
      <c r="K9" s="10" t="n"/>
      <c r="L9" s="10" t="n"/>
      <c r="DC9">
        <f>IF($C$9="","",MIN(IF($G$9="",EOMONTH($C$9,0),MAX($G$9,$C$9)),EOMONTH($C$9,2)))</f>
        <v/>
      </c>
      <c r="DD9">
        <f>IF($C$9="",0,MAX(0,MIN($DC$9,EOMONTH($C$9,0))-$C$9+1))</f>
        <v/>
      </c>
      <c r="DE9">
        <f>IF($C$9="",0,MAX(0,MIN($DC$9,EOMONTH($C$9,1))-DATE(YEAR($C$9),MONTH($C$9)+1,1)+1))</f>
        <v/>
      </c>
      <c r="DF9">
        <f>IF($C$9="",0,MAX(0,MIN($DC$9,EOMONTH($C$9,2))-DATE(YEAR($C$9),MONTH($C$9)+2,1)+1))</f>
        <v/>
      </c>
    </row>
    <row r="10" ht="16" customHeight="1">
      <c r="A10" s="11">
        <f>IF(N($DE$9)&gt;0,"⚠  Le chantier dépasse le 1er mois : cliquer sur le [+] au-dessus du calendrier pour déplier le mois suivant (et le 3e).","")</f>
        <v/>
      </c>
    </row>
    <row r="11" ht="18" customHeight="1">
      <c r="A11" s="12" t="inlineStr">
        <is>
          <t>Codes : S stand-by · O opérations · FOC gratuit · VR valeur de remplacement · RC restocking · MOB / DEMOB (comptés en S)</t>
        </is>
      </c>
    </row>
    <row r="12" ht="20" customHeight="1">
      <c r="M12" s="13">
        <f>IF(OR($C$9="",N($DD$9)=0),"",CHOOSE(MONTH($C$9),"JANVIER","FÉVRIER","MARS","AVRIL","MAI","JUIN","JUILLET","AOÛT","SEPTEMBRE","OCTOBRE","NOVEMBRE","DÉCEMBRE")&amp;" "&amp;YEAR($C$9)&amp;"   ·   du "&amp;TEXT(DAY($C$9),"00")&amp;"/"&amp;TEXT(MONTH($C$9),"00")&amp;" au "&amp;TEXT(DAY(($C$9+$DD$9-1)),"00")&amp;"/"&amp;TEXT(MONTH(($C$9+$DD$9-1)),"00")&amp;"/"&amp;YEAR(($C$9+$DD$9-1)))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5">
        <f>IF(OR($C$9="",N($DE$9)=0),"",CHOOSE(MONTH(DATE(YEAR($C$9),MONTH($C$9)+1,1)),"JANVIER","FÉVRIER","MARS","AVRIL","MAI","JUIN","JUILLET","AOÛT","SEPTEMBRE","OCTOBRE","NOVEMBRE","DÉCEMBRE")&amp;" "&amp;YEAR(DATE(YEAR($C$9),MONTH($C$9)+1,1))&amp;"   ·   du "&amp;TEXT(DAY(DATE(YEAR($C$9),MONTH($C$9)+1,1)),"00")&amp;"/"&amp;TEXT(MONTH(DATE(YEAR($C$9),MONTH($C$9)+1,1)),"00")&amp;" au "&amp;TEXT(DAY((DATE(YEAR($C$9),MONTH($C$9)+1,1)+$DE$9-1)),"00")&amp;"/"&amp;TEXT(MONTH((DATE(YEAR($C$9),MONTH($C$9)+1,1)+$DE$9-1)),"00")&amp;"/"&amp;YEAR((DATE(YEAR($C$9),MONTH($C$9)+1,1)+$DE$9-1)))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3">
        <f>IF(OR($C$9="",N($DF$9)=0),"",CHOOSE(MONTH(DATE(YEAR($C$9),MONTH($C$9)+2,1)),"JANVIER","FÉVRIER","MARS","AVRIL","MAI","JUIN","JUILLET","AOÛT","SEPTEMBRE","OCTOBRE","NOVEMBRE","DÉCEMBRE")&amp;" "&amp;YEAR(DATE(YEAR($C$9),MONTH($C$9)+2,1))&amp;"   ·   du "&amp;TEXT(DAY(DATE(YEAR($C$9),MONTH($C$9)+2,1)),"00")&amp;"/"&amp;TEXT(MONTH(DATE(YEAR($C$9),MONTH($C$9)+2,1)),"00")&amp;" au "&amp;TEXT(DAY((DATE(YEAR($C$9),MONTH($C$9)+2,1)+$DF$9-1)),"00")&amp;"/"&amp;TEXT(MONTH((DATE(YEAR($C$9),MONTH($C$9)+2,1)+$DF$9-1)),"00")&amp;"/"&amp;YEAR((DATE(YEAR($C$9),MONTH($C$9)+2,1)+$DF$9-1)))</f>
        <v/>
      </c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  <c r="CL12" s="14" t="n"/>
      <c r="CM12" s="14" t="n"/>
      <c r="CN12" s="14" t="n"/>
      <c r="CO12" s="14" t="n"/>
      <c r="CP12" s="14" t="n"/>
      <c r="CQ12" s="14" t="n"/>
      <c r="CR12" s="14" t="n"/>
      <c r="CS12" s="14" t="n"/>
      <c r="CT12" s="14" t="n"/>
      <c r="CU12" s="14" t="n"/>
      <c r="CV12" s="14" t="n"/>
      <c r="CW12" s="14" t="n"/>
      <c r="CX12" s="14" t="n"/>
      <c r="CY12" s="14" t="n"/>
      <c r="CZ12" s="14" t="n"/>
      <c r="DA12" s="14" t="n"/>
    </row>
    <row r="13">
      <c r="A13" s="16" t="inlineStr">
        <is>
          <t>UC déjà
facturée</t>
        </is>
      </c>
      <c r="B13" s="16" t="inlineStr">
        <is>
          <t>Description</t>
        </is>
      </c>
      <c r="C13" s="16" t="inlineStr">
        <is>
          <t>Qté
Qty</t>
        </is>
      </c>
      <c r="D13" s="16" t="inlineStr">
        <is>
          <t>Stand-by
€ / jour</t>
        </is>
      </c>
      <c r="E13" s="16" t="inlineStr">
        <is>
          <t>Opér.
€ / jour</t>
        </is>
      </c>
      <c r="F13" s="16" t="inlineStr">
        <is>
          <t>UC
€</t>
        </is>
      </c>
      <c r="G13" s="16" t="inlineStr">
        <is>
          <t>Valeur
remplac.</t>
        </is>
      </c>
      <c r="H13" s="16" t="inlineStr">
        <is>
          <t>Inspect.
€</t>
        </is>
      </c>
      <c r="I13" s="16" t="inlineStr">
        <is>
          <t>Restock.
€</t>
        </is>
      </c>
      <c r="J13" s="16" t="inlineStr">
        <is>
          <t>Jours
S</t>
        </is>
      </c>
      <c r="K13" s="16" t="inlineStr">
        <is>
          <t>Jours
O</t>
        </is>
      </c>
      <c r="L13" s="16" t="inlineStr">
        <is>
          <t>Total
€ HT</t>
        </is>
      </c>
      <c r="M13" s="17">
        <f>IF(OR($C$9="",N($DD$9)&lt;=0),"",$C$9+0)</f>
        <v/>
      </c>
      <c r="N13" s="17">
        <f>IF(OR($C$9="",N($DD$9)&lt;=1),"",$C$9+1)</f>
        <v/>
      </c>
      <c r="O13" s="17">
        <f>IF(OR($C$9="",N($DD$9)&lt;=2),"",$C$9+2)</f>
        <v/>
      </c>
      <c r="P13" s="17">
        <f>IF(OR($C$9="",N($DD$9)&lt;=3),"",$C$9+3)</f>
        <v/>
      </c>
      <c r="Q13" s="17">
        <f>IF(OR($C$9="",N($DD$9)&lt;=4),"",$C$9+4)</f>
        <v/>
      </c>
      <c r="R13" s="17">
        <f>IF(OR($C$9="",N($DD$9)&lt;=5),"",$C$9+5)</f>
        <v/>
      </c>
      <c r="S13" s="17">
        <f>IF(OR($C$9="",N($DD$9)&lt;=6),"",$C$9+6)</f>
        <v/>
      </c>
      <c r="T13" s="17">
        <f>IF(OR($C$9="",N($DD$9)&lt;=7),"",$C$9+7)</f>
        <v/>
      </c>
      <c r="U13" s="17">
        <f>IF(OR($C$9="",N($DD$9)&lt;=8),"",$C$9+8)</f>
        <v/>
      </c>
      <c r="V13" s="17">
        <f>IF(OR($C$9="",N($DD$9)&lt;=9),"",$C$9+9)</f>
        <v/>
      </c>
      <c r="W13" s="17">
        <f>IF(OR($C$9="",N($DD$9)&lt;=10),"",$C$9+10)</f>
        <v/>
      </c>
      <c r="X13" s="17">
        <f>IF(OR($C$9="",N($DD$9)&lt;=11),"",$C$9+11)</f>
        <v/>
      </c>
      <c r="Y13" s="17">
        <f>IF(OR($C$9="",N($DD$9)&lt;=12),"",$C$9+12)</f>
        <v/>
      </c>
      <c r="Z13" s="17">
        <f>IF(OR($C$9="",N($DD$9)&lt;=13),"",$C$9+13)</f>
        <v/>
      </c>
      <c r="AA13" s="17">
        <f>IF(OR($C$9="",N($DD$9)&lt;=14),"",$C$9+14)</f>
        <v/>
      </c>
      <c r="AB13" s="17">
        <f>IF(OR($C$9="",N($DD$9)&lt;=15),"",$C$9+15)</f>
        <v/>
      </c>
      <c r="AC13" s="17">
        <f>IF(OR($C$9="",N($DD$9)&lt;=16),"",$C$9+16)</f>
        <v/>
      </c>
      <c r="AD13" s="17">
        <f>IF(OR($C$9="",N($DD$9)&lt;=17),"",$C$9+17)</f>
        <v/>
      </c>
      <c r="AE13" s="17">
        <f>IF(OR($C$9="",N($DD$9)&lt;=18),"",$C$9+18)</f>
        <v/>
      </c>
      <c r="AF13" s="17">
        <f>IF(OR($C$9="",N($DD$9)&lt;=19),"",$C$9+19)</f>
        <v/>
      </c>
      <c r="AG13" s="17">
        <f>IF(OR($C$9="",N($DD$9)&lt;=20),"",$C$9+20)</f>
        <v/>
      </c>
      <c r="AH13" s="17">
        <f>IF(OR($C$9="",N($DD$9)&lt;=21),"",$C$9+21)</f>
        <v/>
      </c>
      <c r="AI13" s="17">
        <f>IF(OR($C$9="",N($DD$9)&lt;=22),"",$C$9+22)</f>
        <v/>
      </c>
      <c r="AJ13" s="17">
        <f>IF(OR($C$9="",N($DD$9)&lt;=23),"",$C$9+23)</f>
        <v/>
      </c>
      <c r="AK13" s="17">
        <f>IF(OR($C$9="",N($DD$9)&lt;=24),"",$C$9+24)</f>
        <v/>
      </c>
      <c r="AL13" s="17">
        <f>IF(OR($C$9="",N($DD$9)&lt;=25),"",$C$9+25)</f>
        <v/>
      </c>
      <c r="AM13" s="17">
        <f>IF(OR($C$9="",N($DD$9)&lt;=26),"",$C$9+26)</f>
        <v/>
      </c>
      <c r="AN13" s="17">
        <f>IF(OR($C$9="",N($DD$9)&lt;=27),"",$C$9+27)</f>
        <v/>
      </c>
      <c r="AO13" s="17">
        <f>IF(OR($C$9="",N($DD$9)&lt;=28),"",$C$9+28)</f>
        <v/>
      </c>
      <c r="AP13" s="17">
        <f>IF(OR($C$9="",N($DD$9)&lt;=29),"",$C$9+29)</f>
        <v/>
      </c>
      <c r="AQ13" s="17">
        <f>IF(OR($C$9="",N($DD$9)&lt;=30),"",$C$9+30)</f>
        <v/>
      </c>
      <c r="AR13" s="17">
        <f>IF(OR($C$9="",N($DE$9)&lt;=0),"",DATE(YEAR($C$9),MONTH($C$9)+1,1)+0)</f>
        <v/>
      </c>
      <c r="AS13" s="17">
        <f>IF(OR($C$9="",N($DE$9)&lt;=1),"",DATE(YEAR($C$9),MONTH($C$9)+1,1)+1)</f>
        <v/>
      </c>
      <c r="AT13" s="17">
        <f>IF(OR($C$9="",N($DE$9)&lt;=2),"",DATE(YEAR($C$9),MONTH($C$9)+1,1)+2)</f>
        <v/>
      </c>
      <c r="AU13" s="17">
        <f>IF(OR($C$9="",N($DE$9)&lt;=3),"",DATE(YEAR($C$9),MONTH($C$9)+1,1)+3)</f>
        <v/>
      </c>
      <c r="AV13" s="17">
        <f>IF(OR($C$9="",N($DE$9)&lt;=4),"",DATE(YEAR($C$9),MONTH($C$9)+1,1)+4)</f>
        <v/>
      </c>
      <c r="AW13" s="17">
        <f>IF(OR($C$9="",N($DE$9)&lt;=5),"",DATE(YEAR($C$9),MONTH($C$9)+1,1)+5)</f>
        <v/>
      </c>
      <c r="AX13" s="17">
        <f>IF(OR($C$9="",N($DE$9)&lt;=6),"",DATE(YEAR($C$9),MONTH($C$9)+1,1)+6)</f>
        <v/>
      </c>
      <c r="AY13" s="17">
        <f>IF(OR($C$9="",N($DE$9)&lt;=7),"",DATE(YEAR($C$9),MONTH($C$9)+1,1)+7)</f>
        <v/>
      </c>
      <c r="AZ13" s="17">
        <f>IF(OR($C$9="",N($DE$9)&lt;=8),"",DATE(YEAR($C$9),MONTH($C$9)+1,1)+8)</f>
        <v/>
      </c>
      <c r="BA13" s="17">
        <f>IF(OR($C$9="",N($DE$9)&lt;=9),"",DATE(YEAR($C$9),MONTH($C$9)+1,1)+9)</f>
        <v/>
      </c>
      <c r="BB13" s="17">
        <f>IF(OR($C$9="",N($DE$9)&lt;=10),"",DATE(YEAR($C$9),MONTH($C$9)+1,1)+10)</f>
        <v/>
      </c>
      <c r="BC13" s="17">
        <f>IF(OR($C$9="",N($DE$9)&lt;=11),"",DATE(YEAR($C$9),MONTH($C$9)+1,1)+11)</f>
        <v/>
      </c>
      <c r="BD13" s="17">
        <f>IF(OR($C$9="",N($DE$9)&lt;=12),"",DATE(YEAR($C$9),MONTH($C$9)+1,1)+12)</f>
        <v/>
      </c>
      <c r="BE13" s="17">
        <f>IF(OR($C$9="",N($DE$9)&lt;=13),"",DATE(YEAR($C$9),MONTH($C$9)+1,1)+13)</f>
        <v/>
      </c>
      <c r="BF13" s="17">
        <f>IF(OR($C$9="",N($DE$9)&lt;=14),"",DATE(YEAR($C$9),MONTH($C$9)+1,1)+14)</f>
        <v/>
      </c>
      <c r="BG13" s="17">
        <f>IF(OR($C$9="",N($DE$9)&lt;=15),"",DATE(YEAR($C$9),MONTH($C$9)+1,1)+15)</f>
        <v/>
      </c>
      <c r="BH13" s="17">
        <f>IF(OR($C$9="",N($DE$9)&lt;=16),"",DATE(YEAR($C$9),MONTH($C$9)+1,1)+16)</f>
        <v/>
      </c>
      <c r="BI13" s="17">
        <f>IF(OR($C$9="",N($DE$9)&lt;=17),"",DATE(YEAR($C$9),MONTH($C$9)+1,1)+17)</f>
        <v/>
      </c>
      <c r="BJ13" s="17">
        <f>IF(OR($C$9="",N($DE$9)&lt;=18),"",DATE(YEAR($C$9),MONTH($C$9)+1,1)+18)</f>
        <v/>
      </c>
      <c r="BK13" s="17">
        <f>IF(OR($C$9="",N($DE$9)&lt;=19),"",DATE(YEAR($C$9),MONTH($C$9)+1,1)+19)</f>
        <v/>
      </c>
      <c r="BL13" s="17">
        <f>IF(OR($C$9="",N($DE$9)&lt;=20),"",DATE(YEAR($C$9),MONTH($C$9)+1,1)+20)</f>
        <v/>
      </c>
      <c r="BM13" s="17">
        <f>IF(OR($C$9="",N($DE$9)&lt;=21),"",DATE(YEAR($C$9),MONTH($C$9)+1,1)+21)</f>
        <v/>
      </c>
      <c r="BN13" s="17">
        <f>IF(OR($C$9="",N($DE$9)&lt;=22),"",DATE(YEAR($C$9),MONTH($C$9)+1,1)+22)</f>
        <v/>
      </c>
      <c r="BO13" s="17">
        <f>IF(OR($C$9="",N($DE$9)&lt;=23),"",DATE(YEAR($C$9),MONTH($C$9)+1,1)+23)</f>
        <v/>
      </c>
      <c r="BP13" s="17">
        <f>IF(OR($C$9="",N($DE$9)&lt;=24),"",DATE(YEAR($C$9),MONTH($C$9)+1,1)+24)</f>
        <v/>
      </c>
      <c r="BQ13" s="17">
        <f>IF(OR($C$9="",N($DE$9)&lt;=25),"",DATE(YEAR($C$9),MONTH($C$9)+1,1)+25)</f>
        <v/>
      </c>
      <c r="BR13" s="17">
        <f>IF(OR($C$9="",N($DE$9)&lt;=26),"",DATE(YEAR($C$9),MONTH($C$9)+1,1)+26)</f>
        <v/>
      </c>
      <c r="BS13" s="17">
        <f>IF(OR($C$9="",N($DE$9)&lt;=27),"",DATE(YEAR($C$9),MONTH($C$9)+1,1)+27)</f>
        <v/>
      </c>
      <c r="BT13" s="17">
        <f>IF(OR($C$9="",N($DE$9)&lt;=28),"",DATE(YEAR($C$9),MONTH($C$9)+1,1)+28)</f>
        <v/>
      </c>
      <c r="BU13" s="17">
        <f>IF(OR($C$9="",N($DE$9)&lt;=29),"",DATE(YEAR($C$9),MONTH($C$9)+1,1)+29)</f>
        <v/>
      </c>
      <c r="BV13" s="17">
        <f>IF(OR($C$9="",N($DE$9)&lt;=30),"",DATE(YEAR($C$9),MONTH($C$9)+1,1)+30)</f>
        <v/>
      </c>
      <c r="BW13" s="17">
        <f>IF(OR($C$9="",N($DF$9)&lt;=0),"",DATE(YEAR($C$9),MONTH($C$9)+2,1)+0)</f>
        <v/>
      </c>
      <c r="BX13" s="17">
        <f>IF(OR($C$9="",N($DF$9)&lt;=1),"",DATE(YEAR($C$9),MONTH($C$9)+2,1)+1)</f>
        <v/>
      </c>
      <c r="BY13" s="17">
        <f>IF(OR($C$9="",N($DF$9)&lt;=2),"",DATE(YEAR($C$9),MONTH($C$9)+2,1)+2)</f>
        <v/>
      </c>
      <c r="BZ13" s="17">
        <f>IF(OR($C$9="",N($DF$9)&lt;=3),"",DATE(YEAR($C$9),MONTH($C$9)+2,1)+3)</f>
        <v/>
      </c>
      <c r="CA13" s="17">
        <f>IF(OR($C$9="",N($DF$9)&lt;=4),"",DATE(YEAR($C$9),MONTH($C$9)+2,1)+4)</f>
        <v/>
      </c>
      <c r="CB13" s="17">
        <f>IF(OR($C$9="",N($DF$9)&lt;=5),"",DATE(YEAR($C$9),MONTH($C$9)+2,1)+5)</f>
        <v/>
      </c>
      <c r="CC13" s="17">
        <f>IF(OR($C$9="",N($DF$9)&lt;=6),"",DATE(YEAR($C$9),MONTH($C$9)+2,1)+6)</f>
        <v/>
      </c>
      <c r="CD13" s="17">
        <f>IF(OR($C$9="",N($DF$9)&lt;=7),"",DATE(YEAR($C$9),MONTH($C$9)+2,1)+7)</f>
        <v/>
      </c>
      <c r="CE13" s="17">
        <f>IF(OR($C$9="",N($DF$9)&lt;=8),"",DATE(YEAR($C$9),MONTH($C$9)+2,1)+8)</f>
        <v/>
      </c>
      <c r="CF13" s="17">
        <f>IF(OR($C$9="",N($DF$9)&lt;=9),"",DATE(YEAR($C$9),MONTH($C$9)+2,1)+9)</f>
        <v/>
      </c>
      <c r="CG13" s="17">
        <f>IF(OR($C$9="",N($DF$9)&lt;=10),"",DATE(YEAR($C$9),MONTH($C$9)+2,1)+10)</f>
        <v/>
      </c>
      <c r="CH13" s="17">
        <f>IF(OR($C$9="",N($DF$9)&lt;=11),"",DATE(YEAR($C$9),MONTH($C$9)+2,1)+11)</f>
        <v/>
      </c>
      <c r="CI13" s="17">
        <f>IF(OR($C$9="",N($DF$9)&lt;=12),"",DATE(YEAR($C$9),MONTH($C$9)+2,1)+12)</f>
        <v/>
      </c>
      <c r="CJ13" s="17">
        <f>IF(OR($C$9="",N($DF$9)&lt;=13),"",DATE(YEAR($C$9),MONTH($C$9)+2,1)+13)</f>
        <v/>
      </c>
      <c r="CK13" s="17">
        <f>IF(OR($C$9="",N($DF$9)&lt;=14),"",DATE(YEAR($C$9),MONTH($C$9)+2,1)+14)</f>
        <v/>
      </c>
      <c r="CL13" s="17">
        <f>IF(OR($C$9="",N($DF$9)&lt;=15),"",DATE(YEAR($C$9),MONTH($C$9)+2,1)+15)</f>
        <v/>
      </c>
      <c r="CM13" s="17">
        <f>IF(OR($C$9="",N($DF$9)&lt;=16),"",DATE(YEAR($C$9),MONTH($C$9)+2,1)+16)</f>
        <v/>
      </c>
      <c r="CN13" s="17">
        <f>IF(OR($C$9="",N($DF$9)&lt;=17),"",DATE(YEAR($C$9),MONTH($C$9)+2,1)+17)</f>
        <v/>
      </c>
      <c r="CO13" s="17">
        <f>IF(OR($C$9="",N($DF$9)&lt;=18),"",DATE(YEAR($C$9),MONTH($C$9)+2,1)+18)</f>
        <v/>
      </c>
      <c r="CP13" s="17">
        <f>IF(OR($C$9="",N($DF$9)&lt;=19),"",DATE(YEAR($C$9),MONTH($C$9)+2,1)+19)</f>
        <v/>
      </c>
      <c r="CQ13" s="17">
        <f>IF(OR($C$9="",N($DF$9)&lt;=20),"",DATE(YEAR($C$9),MONTH($C$9)+2,1)+20)</f>
        <v/>
      </c>
      <c r="CR13" s="17">
        <f>IF(OR($C$9="",N($DF$9)&lt;=21),"",DATE(YEAR($C$9),MONTH($C$9)+2,1)+21)</f>
        <v/>
      </c>
      <c r="CS13" s="17">
        <f>IF(OR($C$9="",N($DF$9)&lt;=22),"",DATE(YEAR($C$9),MONTH($C$9)+2,1)+22)</f>
        <v/>
      </c>
      <c r="CT13" s="17">
        <f>IF(OR($C$9="",N($DF$9)&lt;=23),"",DATE(YEAR($C$9),MONTH($C$9)+2,1)+23)</f>
        <v/>
      </c>
      <c r="CU13" s="17">
        <f>IF(OR($C$9="",N($DF$9)&lt;=24),"",DATE(YEAR($C$9),MONTH($C$9)+2,1)+24)</f>
        <v/>
      </c>
      <c r="CV13" s="17">
        <f>IF(OR($C$9="",N($DF$9)&lt;=25),"",DATE(YEAR($C$9),MONTH($C$9)+2,1)+25)</f>
        <v/>
      </c>
      <c r="CW13" s="17">
        <f>IF(OR($C$9="",N($DF$9)&lt;=26),"",DATE(YEAR($C$9),MONTH($C$9)+2,1)+26)</f>
        <v/>
      </c>
      <c r="CX13" s="17">
        <f>IF(OR($C$9="",N($DF$9)&lt;=27),"",DATE(YEAR($C$9),MONTH($C$9)+2,1)+27)</f>
        <v/>
      </c>
      <c r="CY13" s="17">
        <f>IF(OR($C$9="",N($DF$9)&lt;=28),"",DATE(YEAR($C$9),MONTH($C$9)+2,1)+28)</f>
        <v/>
      </c>
      <c r="CZ13" s="17">
        <f>IF(OR($C$9="",N($DF$9)&lt;=29),"",DATE(YEAR($C$9),MONTH($C$9)+2,1)+29)</f>
        <v/>
      </c>
      <c r="DA13" s="17">
        <f>IF(OR($C$9="",N($DF$9)&lt;=30),"",DATE(YEAR($C$9),MONTH($C$9)+2,1)+30)</f>
        <v/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>
        <f>IF(OR($C$9="",N($DD$9)&lt;=0),"",CHOOSE(WEEKDAY($C$9+0,2),"L","M","M","J","V","S","D"))</f>
        <v/>
      </c>
      <c r="N14" s="19">
        <f>IF(OR($C$9="",N($DD$9)&lt;=1),"",CHOOSE(WEEKDAY($C$9+1,2),"L","M","M","J","V","S","D"))</f>
        <v/>
      </c>
      <c r="O14" s="19">
        <f>IF(OR($C$9="",N($DD$9)&lt;=2),"",CHOOSE(WEEKDAY($C$9+2,2),"L","M","M","J","V","S","D"))</f>
        <v/>
      </c>
      <c r="P14" s="19">
        <f>IF(OR($C$9="",N($DD$9)&lt;=3),"",CHOOSE(WEEKDAY($C$9+3,2),"L","M","M","J","V","S","D"))</f>
        <v/>
      </c>
      <c r="Q14" s="19">
        <f>IF(OR($C$9="",N($DD$9)&lt;=4),"",CHOOSE(WEEKDAY($C$9+4,2),"L","M","M","J","V","S","D"))</f>
        <v/>
      </c>
      <c r="R14" s="19">
        <f>IF(OR($C$9="",N($DD$9)&lt;=5),"",CHOOSE(WEEKDAY($C$9+5,2),"L","M","M","J","V","S","D"))</f>
        <v/>
      </c>
      <c r="S14" s="19">
        <f>IF(OR($C$9="",N($DD$9)&lt;=6),"",CHOOSE(WEEKDAY($C$9+6,2),"L","M","M","J","V","S","D"))</f>
        <v/>
      </c>
      <c r="T14" s="19">
        <f>IF(OR($C$9="",N($DD$9)&lt;=7),"",CHOOSE(WEEKDAY($C$9+7,2),"L","M","M","J","V","S","D"))</f>
        <v/>
      </c>
      <c r="U14" s="19">
        <f>IF(OR($C$9="",N($DD$9)&lt;=8),"",CHOOSE(WEEKDAY($C$9+8,2),"L","M","M","J","V","S","D"))</f>
        <v/>
      </c>
      <c r="V14" s="19">
        <f>IF(OR($C$9="",N($DD$9)&lt;=9),"",CHOOSE(WEEKDAY($C$9+9,2),"L","M","M","J","V","S","D"))</f>
        <v/>
      </c>
      <c r="W14" s="19">
        <f>IF(OR($C$9="",N($DD$9)&lt;=10),"",CHOOSE(WEEKDAY($C$9+10,2),"L","M","M","J","V","S","D"))</f>
        <v/>
      </c>
      <c r="X14" s="19">
        <f>IF(OR($C$9="",N($DD$9)&lt;=11),"",CHOOSE(WEEKDAY($C$9+11,2),"L","M","M","J","V","S","D"))</f>
        <v/>
      </c>
      <c r="Y14" s="19">
        <f>IF(OR($C$9="",N($DD$9)&lt;=12),"",CHOOSE(WEEKDAY($C$9+12,2),"L","M","M","J","V","S","D"))</f>
        <v/>
      </c>
      <c r="Z14" s="19">
        <f>IF(OR($C$9="",N($DD$9)&lt;=13),"",CHOOSE(WEEKDAY($C$9+13,2),"L","M","M","J","V","S","D"))</f>
        <v/>
      </c>
      <c r="AA14" s="19">
        <f>IF(OR($C$9="",N($DD$9)&lt;=14),"",CHOOSE(WEEKDAY($C$9+14,2),"L","M","M","J","V","S","D"))</f>
        <v/>
      </c>
      <c r="AB14" s="19">
        <f>IF(OR($C$9="",N($DD$9)&lt;=15),"",CHOOSE(WEEKDAY($C$9+15,2),"L","M","M","J","V","S","D"))</f>
        <v/>
      </c>
      <c r="AC14" s="19">
        <f>IF(OR($C$9="",N($DD$9)&lt;=16),"",CHOOSE(WEEKDAY($C$9+16,2),"L","M","M","J","V","S","D"))</f>
        <v/>
      </c>
      <c r="AD14" s="19">
        <f>IF(OR($C$9="",N($DD$9)&lt;=17),"",CHOOSE(WEEKDAY($C$9+17,2),"L","M","M","J","V","S","D"))</f>
        <v/>
      </c>
      <c r="AE14" s="19">
        <f>IF(OR($C$9="",N($DD$9)&lt;=18),"",CHOOSE(WEEKDAY($C$9+18,2),"L","M","M","J","V","S","D"))</f>
        <v/>
      </c>
      <c r="AF14" s="19">
        <f>IF(OR($C$9="",N($DD$9)&lt;=19),"",CHOOSE(WEEKDAY($C$9+19,2),"L","M","M","J","V","S","D"))</f>
        <v/>
      </c>
      <c r="AG14" s="19">
        <f>IF(OR($C$9="",N($DD$9)&lt;=20),"",CHOOSE(WEEKDAY($C$9+20,2),"L","M","M","J","V","S","D"))</f>
        <v/>
      </c>
      <c r="AH14" s="19">
        <f>IF(OR($C$9="",N($DD$9)&lt;=21),"",CHOOSE(WEEKDAY($C$9+21,2),"L","M","M","J","V","S","D"))</f>
        <v/>
      </c>
      <c r="AI14" s="19">
        <f>IF(OR($C$9="",N($DD$9)&lt;=22),"",CHOOSE(WEEKDAY($C$9+22,2),"L","M","M","J","V","S","D"))</f>
        <v/>
      </c>
      <c r="AJ14" s="19">
        <f>IF(OR($C$9="",N($DD$9)&lt;=23),"",CHOOSE(WEEKDAY($C$9+23,2),"L","M","M","J","V","S","D"))</f>
        <v/>
      </c>
      <c r="AK14" s="19">
        <f>IF(OR($C$9="",N($DD$9)&lt;=24),"",CHOOSE(WEEKDAY($C$9+24,2),"L","M","M","J","V","S","D"))</f>
        <v/>
      </c>
      <c r="AL14" s="19">
        <f>IF(OR($C$9="",N($DD$9)&lt;=25),"",CHOOSE(WEEKDAY($C$9+25,2),"L","M","M","J","V","S","D"))</f>
        <v/>
      </c>
      <c r="AM14" s="19">
        <f>IF(OR($C$9="",N($DD$9)&lt;=26),"",CHOOSE(WEEKDAY($C$9+26,2),"L","M","M","J","V","S","D"))</f>
        <v/>
      </c>
      <c r="AN14" s="19">
        <f>IF(OR($C$9="",N($DD$9)&lt;=27),"",CHOOSE(WEEKDAY($C$9+27,2),"L","M","M","J","V","S","D"))</f>
        <v/>
      </c>
      <c r="AO14" s="19">
        <f>IF(OR($C$9="",N($DD$9)&lt;=28),"",CHOOSE(WEEKDAY($C$9+28,2),"L","M","M","J","V","S","D"))</f>
        <v/>
      </c>
      <c r="AP14" s="19">
        <f>IF(OR($C$9="",N($DD$9)&lt;=29),"",CHOOSE(WEEKDAY($C$9+29,2),"L","M","M","J","V","S","D"))</f>
        <v/>
      </c>
      <c r="AQ14" s="19">
        <f>IF(OR($C$9="",N($DD$9)&lt;=30),"",CHOOSE(WEEKDAY($C$9+30,2),"L","M","M","J","V","S","D"))</f>
        <v/>
      </c>
      <c r="AR14" s="19">
        <f>IF(OR($C$9="",N($DE$9)&lt;=0),"",CHOOSE(WEEKDAY(DATE(YEAR($C$9),MONTH($C$9)+1,1)+0,2),"L","M","M","J","V","S","D"))</f>
        <v/>
      </c>
      <c r="AS14" s="19">
        <f>IF(OR($C$9="",N($DE$9)&lt;=1),"",CHOOSE(WEEKDAY(DATE(YEAR($C$9),MONTH($C$9)+1,1)+1,2),"L","M","M","J","V","S","D"))</f>
        <v/>
      </c>
      <c r="AT14" s="19">
        <f>IF(OR($C$9="",N($DE$9)&lt;=2),"",CHOOSE(WEEKDAY(DATE(YEAR($C$9),MONTH($C$9)+1,1)+2,2),"L","M","M","J","V","S","D"))</f>
        <v/>
      </c>
      <c r="AU14" s="19">
        <f>IF(OR($C$9="",N($DE$9)&lt;=3),"",CHOOSE(WEEKDAY(DATE(YEAR($C$9),MONTH($C$9)+1,1)+3,2),"L","M","M","J","V","S","D"))</f>
        <v/>
      </c>
      <c r="AV14" s="19">
        <f>IF(OR($C$9="",N($DE$9)&lt;=4),"",CHOOSE(WEEKDAY(DATE(YEAR($C$9),MONTH($C$9)+1,1)+4,2),"L","M","M","J","V","S","D"))</f>
        <v/>
      </c>
      <c r="AW14" s="19">
        <f>IF(OR($C$9="",N($DE$9)&lt;=5),"",CHOOSE(WEEKDAY(DATE(YEAR($C$9),MONTH($C$9)+1,1)+5,2),"L","M","M","J","V","S","D"))</f>
        <v/>
      </c>
      <c r="AX14" s="19">
        <f>IF(OR($C$9="",N($DE$9)&lt;=6),"",CHOOSE(WEEKDAY(DATE(YEAR($C$9),MONTH($C$9)+1,1)+6,2),"L","M","M","J","V","S","D"))</f>
        <v/>
      </c>
      <c r="AY14" s="19">
        <f>IF(OR($C$9="",N($DE$9)&lt;=7),"",CHOOSE(WEEKDAY(DATE(YEAR($C$9),MONTH($C$9)+1,1)+7,2),"L","M","M","J","V","S","D"))</f>
        <v/>
      </c>
      <c r="AZ14" s="19">
        <f>IF(OR($C$9="",N($DE$9)&lt;=8),"",CHOOSE(WEEKDAY(DATE(YEAR($C$9),MONTH($C$9)+1,1)+8,2),"L","M","M","J","V","S","D"))</f>
        <v/>
      </c>
      <c r="BA14" s="19">
        <f>IF(OR($C$9="",N($DE$9)&lt;=9),"",CHOOSE(WEEKDAY(DATE(YEAR($C$9),MONTH($C$9)+1,1)+9,2),"L","M","M","J","V","S","D"))</f>
        <v/>
      </c>
      <c r="BB14" s="19">
        <f>IF(OR($C$9="",N($DE$9)&lt;=10),"",CHOOSE(WEEKDAY(DATE(YEAR($C$9),MONTH($C$9)+1,1)+10,2),"L","M","M","J","V","S","D"))</f>
        <v/>
      </c>
      <c r="BC14" s="19">
        <f>IF(OR($C$9="",N($DE$9)&lt;=11),"",CHOOSE(WEEKDAY(DATE(YEAR($C$9),MONTH($C$9)+1,1)+11,2),"L","M","M","J","V","S","D"))</f>
        <v/>
      </c>
      <c r="BD14" s="19">
        <f>IF(OR($C$9="",N($DE$9)&lt;=12),"",CHOOSE(WEEKDAY(DATE(YEAR($C$9),MONTH($C$9)+1,1)+12,2),"L","M","M","J","V","S","D"))</f>
        <v/>
      </c>
      <c r="BE14" s="19">
        <f>IF(OR($C$9="",N($DE$9)&lt;=13),"",CHOOSE(WEEKDAY(DATE(YEAR($C$9),MONTH($C$9)+1,1)+13,2),"L","M","M","J","V","S","D"))</f>
        <v/>
      </c>
      <c r="BF14" s="19">
        <f>IF(OR($C$9="",N($DE$9)&lt;=14),"",CHOOSE(WEEKDAY(DATE(YEAR($C$9),MONTH($C$9)+1,1)+14,2),"L","M","M","J","V","S","D"))</f>
        <v/>
      </c>
      <c r="BG14" s="19">
        <f>IF(OR($C$9="",N($DE$9)&lt;=15),"",CHOOSE(WEEKDAY(DATE(YEAR($C$9),MONTH($C$9)+1,1)+15,2),"L","M","M","J","V","S","D"))</f>
        <v/>
      </c>
      <c r="BH14" s="19">
        <f>IF(OR($C$9="",N($DE$9)&lt;=16),"",CHOOSE(WEEKDAY(DATE(YEAR($C$9),MONTH($C$9)+1,1)+16,2),"L","M","M","J","V","S","D"))</f>
        <v/>
      </c>
      <c r="BI14" s="19">
        <f>IF(OR($C$9="",N($DE$9)&lt;=17),"",CHOOSE(WEEKDAY(DATE(YEAR($C$9),MONTH($C$9)+1,1)+17,2),"L","M","M","J","V","S","D"))</f>
        <v/>
      </c>
      <c r="BJ14" s="19">
        <f>IF(OR($C$9="",N($DE$9)&lt;=18),"",CHOOSE(WEEKDAY(DATE(YEAR($C$9),MONTH($C$9)+1,1)+18,2),"L","M","M","J","V","S","D"))</f>
        <v/>
      </c>
      <c r="BK14" s="19">
        <f>IF(OR($C$9="",N($DE$9)&lt;=19),"",CHOOSE(WEEKDAY(DATE(YEAR($C$9),MONTH($C$9)+1,1)+19,2),"L","M","M","J","V","S","D"))</f>
        <v/>
      </c>
      <c r="BL14" s="19">
        <f>IF(OR($C$9="",N($DE$9)&lt;=20),"",CHOOSE(WEEKDAY(DATE(YEAR($C$9),MONTH($C$9)+1,1)+20,2),"L","M","M","J","V","S","D"))</f>
        <v/>
      </c>
      <c r="BM14" s="19">
        <f>IF(OR($C$9="",N($DE$9)&lt;=21),"",CHOOSE(WEEKDAY(DATE(YEAR($C$9),MONTH($C$9)+1,1)+21,2),"L","M","M","J","V","S","D"))</f>
        <v/>
      </c>
      <c r="BN14" s="19">
        <f>IF(OR($C$9="",N($DE$9)&lt;=22),"",CHOOSE(WEEKDAY(DATE(YEAR($C$9),MONTH($C$9)+1,1)+22,2),"L","M","M","J","V","S","D"))</f>
        <v/>
      </c>
      <c r="BO14" s="19">
        <f>IF(OR($C$9="",N($DE$9)&lt;=23),"",CHOOSE(WEEKDAY(DATE(YEAR($C$9),MONTH($C$9)+1,1)+23,2),"L","M","M","J","V","S","D"))</f>
        <v/>
      </c>
      <c r="BP14" s="19">
        <f>IF(OR($C$9="",N($DE$9)&lt;=24),"",CHOOSE(WEEKDAY(DATE(YEAR($C$9),MONTH($C$9)+1,1)+24,2),"L","M","M","J","V","S","D"))</f>
        <v/>
      </c>
      <c r="BQ14" s="19">
        <f>IF(OR($C$9="",N($DE$9)&lt;=25),"",CHOOSE(WEEKDAY(DATE(YEAR($C$9),MONTH($C$9)+1,1)+25,2),"L","M","M","J","V","S","D"))</f>
        <v/>
      </c>
      <c r="BR14" s="19">
        <f>IF(OR($C$9="",N($DE$9)&lt;=26),"",CHOOSE(WEEKDAY(DATE(YEAR($C$9),MONTH($C$9)+1,1)+26,2),"L","M","M","J","V","S","D"))</f>
        <v/>
      </c>
      <c r="BS14" s="19">
        <f>IF(OR($C$9="",N($DE$9)&lt;=27),"",CHOOSE(WEEKDAY(DATE(YEAR($C$9),MONTH($C$9)+1,1)+27,2),"L","M","M","J","V","S","D"))</f>
        <v/>
      </c>
      <c r="BT14" s="19">
        <f>IF(OR($C$9="",N($DE$9)&lt;=28),"",CHOOSE(WEEKDAY(DATE(YEAR($C$9),MONTH($C$9)+1,1)+28,2),"L","M","M","J","V","S","D"))</f>
        <v/>
      </c>
      <c r="BU14" s="19">
        <f>IF(OR($C$9="",N($DE$9)&lt;=29),"",CHOOSE(WEEKDAY(DATE(YEAR($C$9),MONTH($C$9)+1,1)+29,2),"L","M","M","J","V","S","D"))</f>
        <v/>
      </c>
      <c r="BV14" s="19">
        <f>IF(OR($C$9="",N($DE$9)&lt;=30),"",CHOOSE(WEEKDAY(DATE(YEAR($C$9),MONTH($C$9)+1,1)+30,2),"L","M","M","J","V","S","D"))</f>
        <v/>
      </c>
      <c r="BW14" s="19">
        <f>IF(OR($C$9="",N($DF$9)&lt;=0),"",CHOOSE(WEEKDAY(DATE(YEAR($C$9),MONTH($C$9)+2,1)+0,2),"L","M","M","J","V","S","D"))</f>
        <v/>
      </c>
      <c r="BX14" s="19">
        <f>IF(OR($C$9="",N($DF$9)&lt;=1),"",CHOOSE(WEEKDAY(DATE(YEAR($C$9),MONTH($C$9)+2,1)+1,2),"L","M","M","J","V","S","D"))</f>
        <v/>
      </c>
      <c r="BY14" s="19">
        <f>IF(OR($C$9="",N($DF$9)&lt;=2),"",CHOOSE(WEEKDAY(DATE(YEAR($C$9),MONTH($C$9)+2,1)+2,2),"L","M","M","J","V","S","D"))</f>
        <v/>
      </c>
      <c r="BZ14" s="19">
        <f>IF(OR($C$9="",N($DF$9)&lt;=3),"",CHOOSE(WEEKDAY(DATE(YEAR($C$9),MONTH($C$9)+2,1)+3,2),"L","M","M","J","V","S","D"))</f>
        <v/>
      </c>
      <c r="CA14" s="19">
        <f>IF(OR($C$9="",N($DF$9)&lt;=4),"",CHOOSE(WEEKDAY(DATE(YEAR($C$9),MONTH($C$9)+2,1)+4,2),"L","M","M","J","V","S","D"))</f>
        <v/>
      </c>
      <c r="CB14" s="19">
        <f>IF(OR($C$9="",N($DF$9)&lt;=5),"",CHOOSE(WEEKDAY(DATE(YEAR($C$9),MONTH($C$9)+2,1)+5,2),"L","M","M","J","V","S","D"))</f>
        <v/>
      </c>
      <c r="CC14" s="19">
        <f>IF(OR($C$9="",N($DF$9)&lt;=6),"",CHOOSE(WEEKDAY(DATE(YEAR($C$9),MONTH($C$9)+2,1)+6,2),"L","M","M","J","V","S","D"))</f>
        <v/>
      </c>
      <c r="CD14" s="19">
        <f>IF(OR($C$9="",N($DF$9)&lt;=7),"",CHOOSE(WEEKDAY(DATE(YEAR($C$9),MONTH($C$9)+2,1)+7,2),"L","M","M","J","V","S","D"))</f>
        <v/>
      </c>
      <c r="CE14" s="19">
        <f>IF(OR($C$9="",N($DF$9)&lt;=8),"",CHOOSE(WEEKDAY(DATE(YEAR($C$9),MONTH($C$9)+2,1)+8,2),"L","M","M","J","V","S","D"))</f>
        <v/>
      </c>
      <c r="CF14" s="19">
        <f>IF(OR($C$9="",N($DF$9)&lt;=9),"",CHOOSE(WEEKDAY(DATE(YEAR($C$9),MONTH($C$9)+2,1)+9,2),"L","M","M","J","V","S","D"))</f>
        <v/>
      </c>
      <c r="CG14" s="19">
        <f>IF(OR($C$9="",N($DF$9)&lt;=10),"",CHOOSE(WEEKDAY(DATE(YEAR($C$9),MONTH($C$9)+2,1)+10,2),"L","M","M","J","V","S","D"))</f>
        <v/>
      </c>
      <c r="CH14" s="19">
        <f>IF(OR($C$9="",N($DF$9)&lt;=11),"",CHOOSE(WEEKDAY(DATE(YEAR($C$9),MONTH($C$9)+2,1)+11,2),"L","M","M","J","V","S","D"))</f>
        <v/>
      </c>
      <c r="CI14" s="19">
        <f>IF(OR($C$9="",N($DF$9)&lt;=12),"",CHOOSE(WEEKDAY(DATE(YEAR($C$9),MONTH($C$9)+2,1)+12,2),"L","M","M","J","V","S","D"))</f>
        <v/>
      </c>
      <c r="CJ14" s="19">
        <f>IF(OR($C$9="",N($DF$9)&lt;=13),"",CHOOSE(WEEKDAY(DATE(YEAR($C$9),MONTH($C$9)+2,1)+13,2),"L","M","M","J","V","S","D"))</f>
        <v/>
      </c>
      <c r="CK14" s="19">
        <f>IF(OR($C$9="",N($DF$9)&lt;=14),"",CHOOSE(WEEKDAY(DATE(YEAR($C$9),MONTH($C$9)+2,1)+14,2),"L","M","M","J","V","S","D"))</f>
        <v/>
      </c>
      <c r="CL14" s="19">
        <f>IF(OR($C$9="",N($DF$9)&lt;=15),"",CHOOSE(WEEKDAY(DATE(YEAR($C$9),MONTH($C$9)+2,1)+15,2),"L","M","M","J","V","S","D"))</f>
        <v/>
      </c>
      <c r="CM14" s="19">
        <f>IF(OR($C$9="",N($DF$9)&lt;=16),"",CHOOSE(WEEKDAY(DATE(YEAR($C$9),MONTH($C$9)+2,1)+16,2),"L","M","M","J","V","S","D"))</f>
        <v/>
      </c>
      <c r="CN14" s="19">
        <f>IF(OR($C$9="",N($DF$9)&lt;=17),"",CHOOSE(WEEKDAY(DATE(YEAR($C$9),MONTH($C$9)+2,1)+17,2),"L","M","M","J","V","S","D"))</f>
        <v/>
      </c>
      <c r="CO14" s="19">
        <f>IF(OR($C$9="",N($DF$9)&lt;=18),"",CHOOSE(WEEKDAY(DATE(YEAR($C$9),MONTH($C$9)+2,1)+18,2),"L","M","M","J","V","S","D"))</f>
        <v/>
      </c>
      <c r="CP14" s="19">
        <f>IF(OR($C$9="",N($DF$9)&lt;=19),"",CHOOSE(WEEKDAY(DATE(YEAR($C$9),MONTH($C$9)+2,1)+19,2),"L","M","M","J","V","S","D"))</f>
        <v/>
      </c>
      <c r="CQ14" s="19">
        <f>IF(OR($C$9="",N($DF$9)&lt;=20),"",CHOOSE(WEEKDAY(DATE(YEAR($C$9),MONTH($C$9)+2,1)+20,2),"L","M","M","J","V","S","D"))</f>
        <v/>
      </c>
      <c r="CR14" s="19">
        <f>IF(OR($C$9="",N($DF$9)&lt;=21),"",CHOOSE(WEEKDAY(DATE(YEAR($C$9),MONTH($C$9)+2,1)+21,2),"L","M","M","J","V","S","D"))</f>
        <v/>
      </c>
      <c r="CS14" s="19">
        <f>IF(OR($C$9="",N($DF$9)&lt;=22),"",CHOOSE(WEEKDAY(DATE(YEAR($C$9),MONTH($C$9)+2,1)+22,2),"L","M","M","J","V","S","D"))</f>
        <v/>
      </c>
      <c r="CT14" s="19">
        <f>IF(OR($C$9="",N($DF$9)&lt;=23),"",CHOOSE(WEEKDAY(DATE(YEAR($C$9),MONTH($C$9)+2,1)+23,2),"L","M","M","J","V","S","D"))</f>
        <v/>
      </c>
      <c r="CU14" s="19">
        <f>IF(OR($C$9="",N($DF$9)&lt;=24),"",CHOOSE(WEEKDAY(DATE(YEAR($C$9),MONTH($C$9)+2,1)+24,2),"L","M","M","J","V","S","D"))</f>
        <v/>
      </c>
      <c r="CV14" s="19">
        <f>IF(OR($C$9="",N($DF$9)&lt;=25),"",CHOOSE(WEEKDAY(DATE(YEAR($C$9),MONTH($C$9)+2,1)+25,2),"L","M","M","J","V","S","D"))</f>
        <v/>
      </c>
      <c r="CW14" s="19">
        <f>IF(OR($C$9="",N($DF$9)&lt;=26),"",CHOOSE(WEEKDAY(DATE(YEAR($C$9),MONTH($C$9)+2,1)+26,2),"L","M","M","J","V","S","D"))</f>
        <v/>
      </c>
      <c r="CX14" s="19">
        <f>IF(OR($C$9="",N($DF$9)&lt;=27),"",CHOOSE(WEEKDAY(DATE(YEAR($C$9),MONTH($C$9)+2,1)+27,2),"L","M","M","J","V","S","D"))</f>
        <v/>
      </c>
      <c r="CY14" s="19">
        <f>IF(OR($C$9="",N($DF$9)&lt;=28),"",CHOOSE(WEEKDAY(DATE(YEAR($C$9),MONTH($C$9)+2,1)+28,2),"L","M","M","J","V","S","D"))</f>
        <v/>
      </c>
      <c r="CZ14" s="19">
        <f>IF(OR($C$9="",N($DF$9)&lt;=29),"",CHOOSE(WEEKDAY(DATE(YEAR($C$9),MONTH($C$9)+2,1)+29,2),"L","M","M","J","V","S","D"))</f>
        <v/>
      </c>
      <c r="DA14" s="19">
        <f>IF(OR($C$9="",N($DF$9)&lt;=30),"",CHOOSE(WEEKDAY(DATE(YEAR($C$9),MONTH($C$9)+2,1)+30,2),"L","M","M","J","V","S","D"))</f>
        <v/>
      </c>
      <c r="DC14" t="inlineStr">
        <is>
          <t>S1</t>
        </is>
      </c>
      <c r="DD14" t="inlineStr">
        <is>
          <t>O1</t>
        </is>
      </c>
      <c r="DE14" t="inlineStr">
        <is>
          <t>mob1</t>
        </is>
      </c>
      <c r="DF14" t="inlineStr">
        <is>
          <t>loc1</t>
        </is>
      </c>
      <c r="DG14" t="inlineStr">
        <is>
          <t>uc1</t>
        </is>
      </c>
      <c r="DH14" t="inlineStr">
        <is>
          <t>vr1</t>
        </is>
      </c>
      <c r="DI14" t="inlineStr">
        <is>
          <t>foc1</t>
        </is>
      </c>
      <c r="DJ14" t="inlineStr">
        <is>
          <t>S2</t>
        </is>
      </c>
      <c r="DK14" t="inlineStr">
        <is>
          <t>O2</t>
        </is>
      </c>
      <c r="DL14" t="inlineStr">
        <is>
          <t>mob2</t>
        </is>
      </c>
      <c r="DM14" t="inlineStr">
        <is>
          <t>loc2</t>
        </is>
      </c>
      <c r="DN14" t="inlineStr">
        <is>
          <t>uc2</t>
        </is>
      </c>
      <c r="DO14" t="inlineStr">
        <is>
          <t>vr2</t>
        </is>
      </c>
      <c r="DP14" t="inlineStr">
        <is>
          <t>foc2</t>
        </is>
      </c>
      <c r="DQ14" t="inlineStr">
        <is>
          <t>S3</t>
        </is>
      </c>
      <c r="DR14" t="inlineStr">
        <is>
          <t>O3</t>
        </is>
      </c>
      <c r="DS14" t="inlineStr">
        <is>
          <t>mob3</t>
        </is>
      </c>
      <c r="DT14" t="inlineStr">
        <is>
          <t>loc3</t>
        </is>
      </c>
      <c r="DU14" t="inlineStr">
        <is>
          <t>uc3</t>
        </is>
      </c>
      <c r="DV14" t="inlineStr">
        <is>
          <t>vr3</t>
        </is>
      </c>
      <c r="DW14" t="inlineStr">
        <is>
          <t>foc3</t>
        </is>
      </c>
      <c r="DX14" t="inlineStr">
        <is>
          <t>mois 1er O</t>
        </is>
      </c>
    </row>
    <row r="15" ht="20" customHeight="1">
      <c r="A15" s="20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1" t="n"/>
      <c r="B16" s="22" t="inlineStr">
        <is>
          <t>Nom / poste</t>
        </is>
      </c>
      <c r="C16" s="21" t="n"/>
      <c r="D16" s="22" t="inlineStr">
        <is>
          <t>Stand-by
€/j</t>
        </is>
      </c>
      <c r="E16" s="22" t="inlineStr">
        <is>
          <t>Tarif jour
€</t>
        </is>
      </c>
      <c r="F16" s="22" t="inlineStr">
        <is>
          <t>Mob-Demob
€</t>
        </is>
      </c>
      <c r="G16" s="21" t="n"/>
      <c r="H16" s="21" t="n"/>
      <c r="I16" s="22" t="inlineStr">
        <is>
          <t>Nb mob
/ demob</t>
        </is>
      </c>
      <c r="J16" s="22" t="inlineStr">
        <is>
          <t>Jours
S</t>
        </is>
      </c>
      <c r="K16" s="22" t="inlineStr">
        <is>
          <t>Jours
O</t>
        </is>
      </c>
      <c r="L16" s="22" t="inlineStr">
        <is>
          <t>Total
€ HT</t>
        </is>
      </c>
    </row>
    <row r="17" ht="18" customHeight="1">
      <c r="A17" s="23" t="n"/>
      <c r="B17" s="24" t="inlineStr">
        <is>
          <t>HARRISON Stevens (DD)</t>
        </is>
      </c>
      <c r="C17" s="23" t="n"/>
      <c r="D17" s="25" t="n">
        <v>400</v>
      </c>
      <c r="E17" s="25" t="n">
        <v>750</v>
      </c>
      <c r="F17" s="25" t="n">
        <v>300</v>
      </c>
      <c r="G17" s="26" t="n"/>
      <c r="H17" s="26" t="n"/>
      <c r="I17" s="27">
        <f>DE17+DL17+DS17</f>
        <v/>
      </c>
      <c r="J17" s="28">
        <f>DC17+DJ17+DQ17</f>
        <v/>
      </c>
      <c r="K17" s="28">
        <f>DD17+DK17+DR17</f>
        <v/>
      </c>
      <c r="L17" s="29">
        <f>IF(B17="","",DF17+DM17+DT17+DG17+DN17+DU17)</f>
        <v/>
      </c>
      <c r="M17" s="30" t="inlineStr">
        <is>
          <t>MOB</t>
        </is>
      </c>
      <c r="N17" s="30" t="inlineStr">
        <is>
          <t>O</t>
        </is>
      </c>
      <c r="O17" s="30" t="inlineStr">
        <is>
          <t>O</t>
        </is>
      </c>
      <c r="P17" s="30" t="inlineStr">
        <is>
          <t>O</t>
        </is>
      </c>
      <c r="Q17" s="30" t="inlineStr">
        <is>
          <t>O</t>
        </is>
      </c>
      <c r="R17" s="30" t="inlineStr">
        <is>
          <t>O</t>
        </is>
      </c>
      <c r="S17" s="30" t="inlineStr">
        <is>
          <t>O</t>
        </is>
      </c>
      <c r="T17" s="30" t="inlineStr">
        <is>
          <t>O</t>
        </is>
      </c>
      <c r="U17" s="30" t="inlineStr">
        <is>
          <t>O</t>
        </is>
      </c>
      <c r="V17" s="30" t="inlineStr">
        <is>
          <t>O</t>
        </is>
      </c>
      <c r="W17" s="30" t="inlineStr">
        <is>
          <t>O</t>
        </is>
      </c>
      <c r="X17" s="30" t="inlineStr">
        <is>
          <t>O</t>
        </is>
      </c>
      <c r="Y17" s="30" t="inlineStr">
        <is>
          <t>O</t>
        </is>
      </c>
      <c r="Z17" s="30" t="inlineStr">
        <is>
          <t>O</t>
        </is>
      </c>
      <c r="AA17" s="30" t="inlineStr">
        <is>
          <t>O</t>
        </is>
      </c>
      <c r="AB17" s="30" t="inlineStr">
        <is>
          <t>O</t>
        </is>
      </c>
      <c r="AC17" s="30" t="inlineStr">
        <is>
          <t>O</t>
        </is>
      </c>
      <c r="AD17" s="30" t="inlineStr">
        <is>
          <t>O</t>
        </is>
      </c>
      <c r="AE17" s="30" t="inlineStr">
        <is>
          <t>O</t>
        </is>
      </c>
      <c r="AF17" s="30" t="inlineStr">
        <is>
          <t>O</t>
        </is>
      </c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inlineStr">
        <is>
          <t>O</t>
        </is>
      </c>
      <c r="AS17" s="30" t="inlineStr">
        <is>
          <t>O</t>
        </is>
      </c>
      <c r="AT17" s="30" t="inlineStr">
        <is>
          <t>O</t>
        </is>
      </c>
      <c r="AU17" s="30" t="inlineStr">
        <is>
          <t>O</t>
        </is>
      </c>
      <c r="AV17" s="30" t="inlineStr">
        <is>
          <t>O</t>
        </is>
      </c>
      <c r="AW17" s="30" t="inlineStr">
        <is>
          <t>O</t>
        </is>
      </c>
      <c r="AX17" s="30" t="inlineStr">
        <is>
          <t>O</t>
        </is>
      </c>
      <c r="AY17" s="30" t="inlineStr">
        <is>
          <t>O</t>
        </is>
      </c>
      <c r="AZ17" s="30" t="inlineStr">
        <is>
          <t>O</t>
        </is>
      </c>
      <c r="BA17" s="30" t="inlineStr">
        <is>
          <t>O</t>
        </is>
      </c>
      <c r="BB17" s="30" t="inlineStr">
        <is>
          <t>O</t>
        </is>
      </c>
      <c r="BC17" s="30" t="inlineStr">
        <is>
          <t>O</t>
        </is>
      </c>
      <c r="BD17" s="30" t="inlineStr">
        <is>
          <t>O</t>
        </is>
      </c>
      <c r="BE17" s="30" t="inlineStr">
        <is>
          <t>O</t>
        </is>
      </c>
      <c r="BF17" s="30" t="inlineStr">
        <is>
          <t>O</t>
        </is>
      </c>
      <c r="BG17" s="30" t="inlineStr">
        <is>
          <t>O</t>
        </is>
      </c>
      <c r="BH17" s="30" t="inlineStr">
        <is>
          <t>O</t>
        </is>
      </c>
      <c r="BI17" s="30" t="inlineStr">
        <is>
          <t>O</t>
        </is>
      </c>
      <c r="BJ17" s="30" t="inlineStr">
        <is>
          <t>O</t>
        </is>
      </c>
      <c r="BK17" s="30" t="inlineStr">
        <is>
          <t>DEMOB</t>
        </is>
      </c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s="31">
        <f>IF(N($DD$9)=0,0,COUNTIF(INDEX($M17:$DA17,1):INDEX($M17:$DA17,0+MAX(1,N($DD$9))),"S")+COUNTIF(INDEX($M17:$DA17,1):INDEX($M17:$DA17,0+MAX(1,N($DD$9))),"MOB")+COUNTIF(INDEX($M17:$DA17,1):INDEX($M17:$DA17,0+MAX(1,N($DD$9))),"DEMOB"))</f>
        <v/>
      </c>
      <c r="DD17" s="31">
        <f>IF(N($DD$9)=0,0,COUNTIF(INDEX($M17:$DA17,1):INDEX($M17:$DA17,0+MAX(1,N($DD$9))),"O"))</f>
        <v/>
      </c>
      <c r="DE17" s="31">
        <f>IF(N($DD$9)=0,0,COUNTIF(INDEX($M17:$DA17,1):INDEX($M17:$DA17,0+MAX(1,N($DD$9))),"MOB")+COUNTIF(INDEX($M17:$DA17,1):INDEX($M17:$DA17,0+MAX(1,N($DD$9))),"DEMOB"))</f>
        <v/>
      </c>
      <c r="DF17" s="31">
        <f>IF(B17="",0,DC17*N(D17)+DD17*N(E17))</f>
        <v/>
      </c>
      <c r="DG17" s="31">
        <f>IF(B17="",0,DE17*N(F17))</f>
        <v/>
      </c>
      <c r="DH17" s="31" t="n">
        <v>0</v>
      </c>
      <c r="DI17" s="31" t="n">
        <v>0</v>
      </c>
      <c r="DJ17" s="31">
        <f>IF(N($DE$9)=0,0,COUNTIF(INDEX($M17:$DA17,32):INDEX($M17:$DA17,31+MAX(1,N($DE$9))),"S")+COUNTIF(INDEX($M17:$DA17,32):INDEX($M17:$DA17,31+MAX(1,N($DE$9))),"MOB")+COUNTIF(INDEX($M17:$DA17,32):INDEX($M17:$DA17,31+MAX(1,N($DE$9))),"DEMOB"))</f>
        <v/>
      </c>
      <c r="DK17" s="31">
        <f>IF(N($DE$9)=0,0,COUNTIF(INDEX($M17:$DA17,32):INDEX($M17:$DA17,31+MAX(1,N($DE$9))),"O"))</f>
        <v/>
      </c>
      <c r="DL17" s="31">
        <f>IF(N($DE$9)=0,0,COUNTIF(INDEX($M17:$DA17,32):INDEX($M17:$DA17,31+MAX(1,N($DE$9))),"MOB")+COUNTIF(INDEX($M17:$DA17,32):INDEX($M17:$DA17,31+MAX(1,N($DE$9))),"DEMOB"))</f>
        <v/>
      </c>
      <c r="DM17" s="31">
        <f>IF(B17="",0,DJ17*N(D17)+DK17*N(E17))</f>
        <v/>
      </c>
      <c r="DN17" s="31">
        <f>IF(B17="",0,DL17*N(F17))</f>
        <v/>
      </c>
      <c r="DO17" s="31" t="n">
        <v>0</v>
      </c>
      <c r="DP17" s="31" t="n">
        <v>0</v>
      </c>
      <c r="DQ17" s="31">
        <f>IF(N($DF$9)=0,0,COUNTIF(INDEX($M17:$DA17,63):INDEX($M17:$DA17,62+MAX(1,N($DF$9))),"S")+COUNTIF(INDEX($M17:$DA17,63):INDEX($M17:$DA17,62+MAX(1,N($DF$9))),"MOB")+COUNTIF(INDEX($M17:$DA17,63):INDEX($M17:$DA17,62+MAX(1,N($DF$9))),"DEMOB"))</f>
        <v/>
      </c>
      <c r="DR17" s="31">
        <f>IF(N($DF$9)=0,0,COUNTIF(INDEX($M17:$DA17,63):INDEX($M17:$DA17,62+MAX(1,N($DF$9))),"O"))</f>
        <v/>
      </c>
      <c r="DS17" s="31">
        <f>IF(N($DF$9)=0,0,COUNTIF(INDEX($M17:$DA17,63):INDEX($M17:$DA17,62+MAX(1,N($DF$9))),"MOB")+COUNTIF(INDEX($M17:$DA17,63):INDEX($M17:$DA17,62+MAX(1,N($DF$9))),"DEMOB"))</f>
        <v/>
      </c>
      <c r="DT17" s="31">
        <f>IF(B17="",0,DQ17*N(D17)+DR17*N(E17))</f>
        <v/>
      </c>
      <c r="DU17" s="31">
        <f>IF(B17="",0,DS17*N(F17))</f>
        <v/>
      </c>
      <c r="DV17" s="31" t="n">
        <v>0</v>
      </c>
      <c r="DW17" s="31" t="n">
        <v>0</v>
      </c>
      <c r="DX17" s="31" t="n">
        <v>0</v>
      </c>
    </row>
    <row r="18" ht="18" customHeight="1">
      <c r="A18" s="23" t="n"/>
      <c r="B18" s="24" t="n"/>
      <c r="C18" s="23" t="n"/>
      <c r="D18" s="25" t="n"/>
      <c r="E18" s="25" t="n"/>
      <c r="F18" s="25" t="n"/>
      <c r="G18" s="26" t="n"/>
      <c r="H18" s="26" t="n"/>
      <c r="I18" s="27">
        <f>DE18+DL18+DS18</f>
        <v/>
      </c>
      <c r="J18" s="28">
        <f>DC18+DJ18+DQ18</f>
        <v/>
      </c>
      <c r="K18" s="28">
        <f>DD18+DK18+DR18</f>
        <v/>
      </c>
      <c r="L18" s="29">
        <f>IF(B18="","",DF18+DM18+DT18+DG18+DN18+DU18)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s="31">
        <f>IF(N($DD$9)=0,0,COUNTIF(INDEX($M18:$DA18,1):INDEX($M18:$DA18,0+MAX(1,N($DD$9))),"S")+COUNTIF(INDEX($M18:$DA18,1):INDEX($M18:$DA18,0+MAX(1,N($DD$9))),"MOB")+COUNTIF(INDEX($M18:$DA18,1):INDEX($M18:$DA18,0+MAX(1,N($DD$9))),"DEMOB"))</f>
        <v/>
      </c>
      <c r="DD18" s="31">
        <f>IF(N($DD$9)=0,0,COUNTIF(INDEX($M18:$DA18,1):INDEX($M18:$DA18,0+MAX(1,N($DD$9))),"O"))</f>
        <v/>
      </c>
      <c r="DE18" s="31">
        <f>IF(N($DD$9)=0,0,COUNTIF(INDEX($M18:$DA18,1):INDEX($M18:$DA18,0+MAX(1,N($DD$9))),"MOB")+COUNTIF(INDEX($M18:$DA18,1):INDEX($M18:$DA18,0+MAX(1,N($DD$9))),"DEMOB"))</f>
        <v/>
      </c>
      <c r="DF18" s="31">
        <f>IF(B18="",0,DC18*N(D18)+DD18*N(E18))</f>
        <v/>
      </c>
      <c r="DG18" s="31">
        <f>IF(B18="",0,DE18*N(F18))</f>
        <v/>
      </c>
      <c r="DH18" s="31" t="n">
        <v>0</v>
      </c>
      <c r="DI18" s="31" t="n">
        <v>0</v>
      </c>
      <c r="DJ18" s="31">
        <f>IF(N($DE$9)=0,0,COUNTIF(INDEX($M18:$DA18,32):INDEX($M18:$DA18,31+MAX(1,N($DE$9))),"S")+COUNTIF(INDEX($M18:$DA18,32):INDEX($M18:$DA18,31+MAX(1,N($DE$9))),"MOB")+COUNTIF(INDEX($M18:$DA18,32):INDEX($M18:$DA18,31+MAX(1,N($DE$9))),"DEMOB"))</f>
        <v/>
      </c>
      <c r="DK18" s="31">
        <f>IF(N($DE$9)=0,0,COUNTIF(INDEX($M18:$DA18,32):INDEX($M18:$DA18,31+MAX(1,N($DE$9))),"O"))</f>
        <v/>
      </c>
      <c r="DL18" s="31">
        <f>IF(N($DE$9)=0,0,COUNTIF(INDEX($M18:$DA18,32):INDEX($M18:$DA18,31+MAX(1,N($DE$9))),"MOB")+COUNTIF(INDEX($M18:$DA18,32):INDEX($M18:$DA18,31+MAX(1,N($DE$9))),"DEMOB"))</f>
        <v/>
      </c>
      <c r="DM18" s="31">
        <f>IF(B18="",0,DJ18*N(D18)+DK18*N(E18))</f>
        <v/>
      </c>
      <c r="DN18" s="31">
        <f>IF(B18="",0,DL18*N(F18))</f>
        <v/>
      </c>
      <c r="DO18" s="31" t="n">
        <v>0</v>
      </c>
      <c r="DP18" s="31" t="n">
        <v>0</v>
      </c>
      <c r="DQ18" s="31">
        <f>IF(N($DF$9)=0,0,COUNTIF(INDEX($M18:$DA18,63):INDEX($M18:$DA18,62+MAX(1,N($DF$9))),"S")+COUNTIF(INDEX($M18:$DA18,63):INDEX($M18:$DA18,62+MAX(1,N($DF$9))),"MOB")+COUNTIF(INDEX($M18:$DA18,63):INDEX($M18:$DA18,62+MAX(1,N($DF$9))),"DEMOB"))</f>
        <v/>
      </c>
      <c r="DR18" s="31">
        <f>IF(N($DF$9)=0,0,COUNTIF(INDEX($M18:$DA18,63):INDEX($M18:$DA18,62+MAX(1,N($DF$9))),"O"))</f>
        <v/>
      </c>
      <c r="DS18" s="31">
        <f>IF(N($DF$9)=0,0,COUNTIF(INDEX($M18:$DA18,63):INDEX($M18:$DA18,62+MAX(1,N($DF$9))),"MOB")+COUNTIF(INDEX($M18:$DA18,63):INDEX($M18:$DA18,62+MAX(1,N($DF$9))),"DEMOB"))</f>
        <v/>
      </c>
      <c r="DT18" s="31">
        <f>IF(B18="",0,DQ18*N(D18)+DR18*N(E18))</f>
        <v/>
      </c>
      <c r="DU18" s="31">
        <f>IF(B18="",0,DS18*N(F18))</f>
        <v/>
      </c>
      <c r="DV18" s="31" t="n">
        <v>0</v>
      </c>
      <c r="DW18" s="31" t="n">
        <v>0</v>
      </c>
      <c r="DX18" s="31" t="n">
        <v>0</v>
      </c>
    </row>
    <row r="19" ht="18" customHeight="1">
      <c r="A19" s="23" t="n"/>
      <c r="B19" s="24" t="n"/>
      <c r="C19" s="23" t="n"/>
      <c r="D19" s="25" t="n"/>
      <c r="E19" s="25" t="n"/>
      <c r="F19" s="25" t="n"/>
      <c r="G19" s="26" t="n"/>
      <c r="H19" s="26" t="n"/>
      <c r="I19" s="27">
        <f>DE19+DL19+DS19</f>
        <v/>
      </c>
      <c r="J19" s="28">
        <f>DC19+DJ19+DQ19</f>
        <v/>
      </c>
      <c r="K19" s="28">
        <f>DD19+DK19+DR19</f>
        <v/>
      </c>
      <c r="L19" s="29">
        <f>IF(B19="","",DF19+DM19+DT19+DG19+DN19+DU19)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s="31">
        <f>IF(N($DD$9)=0,0,COUNTIF(INDEX($M19:$DA19,1):INDEX($M19:$DA19,0+MAX(1,N($DD$9))),"S")+COUNTIF(INDEX($M19:$DA19,1):INDEX($M19:$DA19,0+MAX(1,N($DD$9))),"MOB")+COUNTIF(INDEX($M19:$DA19,1):INDEX($M19:$DA19,0+MAX(1,N($DD$9))),"DEMOB"))</f>
        <v/>
      </c>
      <c r="DD19" s="31">
        <f>IF(N($DD$9)=0,0,COUNTIF(INDEX($M19:$DA19,1):INDEX($M19:$DA19,0+MAX(1,N($DD$9))),"O"))</f>
        <v/>
      </c>
      <c r="DE19" s="31">
        <f>IF(N($DD$9)=0,0,COUNTIF(INDEX($M19:$DA19,1):INDEX($M19:$DA19,0+MAX(1,N($DD$9))),"MOB")+COUNTIF(INDEX($M19:$DA19,1):INDEX($M19:$DA19,0+MAX(1,N($DD$9))),"DEMOB"))</f>
        <v/>
      </c>
      <c r="DF19" s="31">
        <f>IF(B19="",0,DC19*N(D19)+DD19*N(E19))</f>
        <v/>
      </c>
      <c r="DG19" s="31">
        <f>IF(B19="",0,DE19*N(F19))</f>
        <v/>
      </c>
      <c r="DH19" s="31" t="n">
        <v>0</v>
      </c>
      <c r="DI19" s="31" t="n">
        <v>0</v>
      </c>
      <c r="DJ19" s="31">
        <f>IF(N($DE$9)=0,0,COUNTIF(INDEX($M19:$DA19,32):INDEX($M19:$DA19,31+MAX(1,N($DE$9))),"S")+COUNTIF(INDEX($M19:$DA19,32):INDEX($M19:$DA19,31+MAX(1,N($DE$9))),"MOB")+COUNTIF(INDEX($M19:$DA19,32):INDEX($M19:$DA19,31+MAX(1,N($DE$9))),"DEMOB"))</f>
        <v/>
      </c>
      <c r="DK19" s="31">
        <f>IF(N($DE$9)=0,0,COUNTIF(INDEX($M19:$DA19,32):INDEX($M19:$DA19,31+MAX(1,N($DE$9))),"O"))</f>
        <v/>
      </c>
      <c r="DL19" s="31">
        <f>IF(N($DE$9)=0,0,COUNTIF(INDEX($M19:$DA19,32):INDEX($M19:$DA19,31+MAX(1,N($DE$9))),"MOB")+COUNTIF(INDEX($M19:$DA19,32):INDEX($M19:$DA19,31+MAX(1,N($DE$9))),"DEMOB"))</f>
        <v/>
      </c>
      <c r="DM19" s="31">
        <f>IF(B19="",0,DJ19*N(D19)+DK19*N(E19))</f>
        <v/>
      </c>
      <c r="DN19" s="31">
        <f>IF(B19="",0,DL19*N(F19))</f>
        <v/>
      </c>
      <c r="DO19" s="31" t="n">
        <v>0</v>
      </c>
      <c r="DP19" s="31" t="n">
        <v>0</v>
      </c>
      <c r="DQ19" s="31">
        <f>IF(N($DF$9)=0,0,COUNTIF(INDEX($M19:$DA19,63):INDEX($M19:$DA19,62+MAX(1,N($DF$9))),"S")+COUNTIF(INDEX($M19:$DA19,63):INDEX($M19:$DA19,62+MAX(1,N($DF$9))),"MOB")+COUNTIF(INDEX($M19:$DA19,63):INDEX($M19:$DA19,62+MAX(1,N($DF$9))),"DEMOB"))</f>
        <v/>
      </c>
      <c r="DR19" s="31">
        <f>IF(N($DF$9)=0,0,COUNTIF(INDEX($M19:$DA19,63):INDEX($M19:$DA19,62+MAX(1,N($DF$9))),"O"))</f>
        <v/>
      </c>
      <c r="DS19" s="31">
        <f>IF(N($DF$9)=0,0,COUNTIF(INDEX($M19:$DA19,63):INDEX($M19:$DA19,62+MAX(1,N($DF$9))),"MOB")+COUNTIF(INDEX($M19:$DA19,63):INDEX($M19:$DA19,62+MAX(1,N($DF$9))),"DEMOB"))</f>
        <v/>
      </c>
      <c r="DT19" s="31">
        <f>IF(B19="",0,DQ19*N(D19)+DR19*N(E19))</f>
        <v/>
      </c>
      <c r="DU19" s="31">
        <f>IF(B19="",0,DS19*N(F19))</f>
        <v/>
      </c>
      <c r="DV19" s="31" t="n">
        <v>0</v>
      </c>
      <c r="DW19" s="31" t="n">
        <v>0</v>
      </c>
      <c r="DX19" s="31" t="n">
        <v>0</v>
      </c>
    </row>
    <row r="21" ht="20" customHeight="1">
      <c r="A21" s="20" t="inlineStr">
        <is>
          <t>MATÉRIEL LOUÉ   ·   copier les colonnes C à J de l’onglet « 2 Matériel » du devis et les coller en B22   ·   « UC déjà facturée » : Oui si l’UC a été facturée sur un ticket précédent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32" t="n"/>
      <c r="B22" s="24" t="inlineStr">
        <is>
          <t>BHA #1</t>
        </is>
      </c>
      <c r="C22" s="32" t="n"/>
      <c r="D22" s="25" t="n"/>
      <c r="E22" s="25" t="n"/>
      <c r="F22" s="25" t="n"/>
      <c r="G22" s="25" t="n"/>
      <c r="H22" s="25" t="n"/>
      <c r="I22" s="25" t="n"/>
      <c r="J22" s="28">
        <f>IF(B22="","",DC22+DJ22+DQ22)</f>
        <v/>
      </c>
      <c r="K22" s="28">
        <f>IF(B22="","",DD22+DK22+DR22)</f>
        <v/>
      </c>
      <c r="L22" s="29">
        <f>IF(B22="","",DF22+DM22+DT22+DG22+DN22+DU22+DH22+DO22+DV22)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 s="31">
        <f>IF(N($DD$9)=0,0,COUNTIF(INDEX($M22:$DA22,1):INDEX($M22:$DA22,0+MAX(1,N($DD$9))),"S")+COUNTIF(INDEX($M22:$DA22,1):INDEX($M22:$DA22,0+MAX(1,N($DD$9))),"MOB")+COUNTIF(INDEX($M22:$DA22,1):INDEX($M22:$DA22,0+MAX(1,N($DD$9))),"DEMOB"))</f>
        <v/>
      </c>
      <c r="DD22" s="31">
        <f>IF(N($DD$9)=0,0,COUNTIF(INDEX($M22:$DA22,1):INDEX($M22:$DA22,0+MAX(1,N($DD$9))),"O"))</f>
        <v/>
      </c>
      <c r="DE22" s="31">
        <f>IF(N($DD$9)=0,0,COUNTIF(INDEX($M22:$DA22,1):INDEX($M22:$DA22,0+MAX(1,N($DD$9))),"MOB")+COUNTIF(INDEX($M22:$DA22,1):INDEX($M22:$DA22,0+MAX(1,N($DD$9))),"DEMOB"))</f>
        <v/>
      </c>
      <c r="DF22" s="31">
        <f>IF(B22="",0,IF(N(C22)&gt;0,C22,1)*(DC22*N(D22)+DD22*N(E22)))</f>
        <v/>
      </c>
      <c r="DG22" s="31">
        <f>IF(OR(B22="",A22="Oui",DX22&lt;&gt;1),0,IF(N(C22)&gt;0,C22,1)*(N(F22)+N(H22)))</f>
        <v/>
      </c>
      <c r="DH22" s="31">
        <f>IF(OR(B22="",N($DD$9)=0),0,IF(N(C22)&gt;0,C22,1)*(IF((COUNTIF(INDEX($M22:$DA22,1):INDEX($M22:$DA22,0+MAX(1,N($DD$9))),"VR"))&gt;0,N(G22),0)+IF((COUNTIF(INDEX($M22:$DA22,1):INDEX($M22:$DA22,0+MAX(1,N($DD$9))),"RC"))&gt;0,N(I22),0)))</f>
        <v/>
      </c>
      <c r="DI22" s="31">
        <f>IF(OR(B22="",N($DD$9)=0),0,IF(N(C22)&gt;0,C22,1)*(COUNTIF(INDEX($M22:$DA22,1):INDEX($M22:$DA22,0+MAX(1,N($DD$9))),"FOC"))*N(E22))</f>
        <v/>
      </c>
      <c r="DJ22" s="31">
        <f>IF(N($DE$9)=0,0,COUNTIF(INDEX($M22:$DA22,32):INDEX($M22:$DA22,31+MAX(1,N($DE$9))),"S")+COUNTIF(INDEX($M22:$DA22,32):INDEX($M22:$DA22,31+MAX(1,N($DE$9))),"MOB")+COUNTIF(INDEX($M22:$DA22,32):INDEX($M22:$DA22,31+MAX(1,N($DE$9))),"DEMOB"))</f>
        <v/>
      </c>
      <c r="DK22" s="31">
        <f>IF(N($DE$9)=0,0,COUNTIF(INDEX($M22:$DA22,32):INDEX($M22:$DA22,31+MAX(1,N($DE$9))),"O"))</f>
        <v/>
      </c>
      <c r="DL22" s="31">
        <f>IF(N($DE$9)=0,0,COUNTIF(INDEX($M22:$DA22,32):INDEX($M22:$DA22,31+MAX(1,N($DE$9))),"MOB")+COUNTIF(INDEX($M22:$DA22,32):INDEX($M22:$DA22,31+MAX(1,N($DE$9))),"DEMOB"))</f>
        <v/>
      </c>
      <c r="DM22" s="31">
        <f>IF(B22="",0,IF(N(C22)&gt;0,C22,1)*(DJ22*N(D22)+DK22*N(E22)))</f>
        <v/>
      </c>
      <c r="DN22" s="31">
        <f>IF(OR(B22="",A22="Oui",DX22&lt;&gt;2),0,IF(N(C22)&gt;0,C22,1)*(N(F22)+N(H22)))</f>
        <v/>
      </c>
      <c r="DO22" s="31">
        <f>IF(OR(B22="",N($DE$9)=0),0,IF(N(C22)&gt;0,C22,1)*(IF((COUNTIF(INDEX($M22:$DA22,32):INDEX($M22:$DA22,31+MAX(1,N($DE$9))),"VR"))&gt;0,N(G22),0)+IF((COUNTIF(INDEX($M22:$DA22,32):INDEX($M22:$DA22,31+MAX(1,N($DE$9))),"RC"))&gt;0,N(I22),0)))</f>
        <v/>
      </c>
      <c r="DP22" s="31">
        <f>IF(OR(B22="",N($DE$9)=0),0,IF(N(C22)&gt;0,C22,1)*(COUNTIF(INDEX($M22:$DA22,32):INDEX($M22:$DA22,31+MAX(1,N($DE$9))),"FOC"))*N(E22))</f>
        <v/>
      </c>
      <c r="DQ22" s="31">
        <f>IF(N($DF$9)=0,0,COUNTIF(INDEX($M22:$DA22,63):INDEX($M22:$DA22,62+MAX(1,N($DF$9))),"S")+COUNTIF(INDEX($M22:$DA22,63):INDEX($M22:$DA22,62+MAX(1,N($DF$9))),"MOB")+COUNTIF(INDEX($M22:$DA22,63):INDEX($M22:$DA22,62+MAX(1,N($DF$9))),"DEMOB"))</f>
        <v/>
      </c>
      <c r="DR22" s="31">
        <f>IF(N($DF$9)=0,0,COUNTIF(INDEX($M22:$DA22,63):INDEX($M22:$DA22,62+MAX(1,N($DF$9))),"O"))</f>
        <v/>
      </c>
      <c r="DS22" s="31">
        <f>IF(N($DF$9)=0,0,COUNTIF(INDEX($M22:$DA22,63):INDEX($M22:$DA22,62+MAX(1,N($DF$9))),"MOB")+COUNTIF(INDEX($M22:$DA22,63):INDEX($M22:$DA22,62+MAX(1,N($DF$9))),"DEMOB"))</f>
        <v/>
      </c>
      <c r="DT22" s="31">
        <f>IF(B22="",0,IF(N(C22)&gt;0,C22,1)*(DQ22*N(D22)+DR22*N(E22)))</f>
        <v/>
      </c>
      <c r="DU22" s="31">
        <f>IF(OR(B22="",A22="Oui",DX22&lt;&gt;3),0,IF(N(C22)&gt;0,C22,1)*(N(F22)+N(H22)))</f>
        <v/>
      </c>
      <c r="DV22" s="31">
        <f>IF(OR(B22="",N($DF$9)=0),0,IF(N(C22)&gt;0,C22,1)*(IF((COUNTIF(INDEX($M22:$DA22,63):INDEX($M22:$DA22,62+MAX(1,N($DF$9))),"VR"))&gt;0,N(G22),0)+IF((COUNTIF(INDEX($M22:$DA22,63):INDEX($M22:$DA22,62+MAX(1,N($DF$9))),"RC"))&gt;0,N(I22),0)))</f>
        <v/>
      </c>
      <c r="DW22" s="31">
        <f>IF(OR(B22="",N($DF$9)=0),0,IF(N(C22)&gt;0,C22,1)*(COUNTIF(INDEX($M22:$DA22,63):INDEX($M22:$DA22,62+MAX(1,N($DF$9))),"FOC"))*N(E22))</f>
        <v/>
      </c>
      <c r="DX22" s="31">
        <f>IF(B22="",0,IF(DD22&gt;0,1,IF(DK22&gt;0,2,IF(DR22&gt;0,3,0))))</f>
        <v/>
      </c>
    </row>
    <row r="23" ht="18" customHeight="1">
      <c r="A23" s="32" t="n"/>
      <c r="B23" s="24" t="inlineStr">
        <is>
          <t>Stab 5-7/8 OD, 2-1/4" ID - 3-1/2" IF Pin x Box</t>
        </is>
      </c>
      <c r="C23" s="32" t="n">
        <v>1</v>
      </c>
      <c r="D23" s="25" t="n">
        <v>85</v>
      </c>
      <c r="E23" s="25" t="n">
        <v>120</v>
      </c>
      <c r="F23" s="25" t="n">
        <v>40</v>
      </c>
      <c r="G23" s="25" t="n">
        <v>4200</v>
      </c>
      <c r="H23" s="25" t="n">
        <v>150</v>
      </c>
      <c r="I23" s="25" t="n">
        <v>600</v>
      </c>
      <c r="J23" s="28">
        <f>IF(B23="","",DC23+DJ23+DQ23)</f>
        <v/>
      </c>
      <c r="K23" s="28">
        <f>IF(B23="","",DD23+DK23+DR23)</f>
        <v/>
      </c>
      <c r="L23" s="29">
        <f>IF(B23="","",DF23+DM23+DT23+DG23+DN23+DU23+DH23+DO23+DV23)</f>
        <v/>
      </c>
      <c r="M23" s="30" t="inlineStr">
        <is>
          <t>MOB</t>
        </is>
      </c>
      <c r="N23" s="30" t="inlineStr">
        <is>
          <t>S</t>
        </is>
      </c>
      <c r="O23" s="30" t="inlineStr">
        <is>
          <t>O</t>
        </is>
      </c>
      <c r="P23" s="30" t="inlineStr">
        <is>
          <t>O</t>
        </is>
      </c>
      <c r="Q23" s="30" t="inlineStr">
        <is>
          <t>O</t>
        </is>
      </c>
      <c r="R23" s="30" t="inlineStr">
        <is>
          <t>O</t>
        </is>
      </c>
      <c r="S23" s="30" t="inlineStr">
        <is>
          <t>O</t>
        </is>
      </c>
      <c r="T23" s="30" t="inlineStr">
        <is>
          <t>O</t>
        </is>
      </c>
      <c r="U23" s="30" t="inlineStr">
        <is>
          <t>O</t>
        </is>
      </c>
      <c r="V23" s="30" t="inlineStr">
        <is>
          <t>O</t>
        </is>
      </c>
      <c r="W23" s="30" t="inlineStr">
        <is>
          <t>O</t>
        </is>
      </c>
      <c r="X23" s="30" t="inlineStr">
        <is>
          <t>O</t>
        </is>
      </c>
      <c r="Y23" s="30" t="inlineStr">
        <is>
          <t>O</t>
        </is>
      </c>
      <c r="Z23" s="30" t="inlineStr">
        <is>
          <t>O</t>
        </is>
      </c>
      <c r="AA23" s="30" t="inlineStr">
        <is>
          <t>S</t>
        </is>
      </c>
      <c r="AB23" s="30" t="inlineStr">
        <is>
          <t>S</t>
        </is>
      </c>
      <c r="AC23" s="30" t="inlineStr">
        <is>
          <t>S</t>
        </is>
      </c>
      <c r="AD23" s="30" t="inlineStr">
        <is>
          <t>S</t>
        </is>
      </c>
      <c r="AE23" s="30" t="inlineStr">
        <is>
          <t>S</t>
        </is>
      </c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inlineStr">
        <is>
          <t>S</t>
        </is>
      </c>
      <c r="AS23" s="30" t="inlineStr">
        <is>
          <t>S</t>
        </is>
      </c>
      <c r="AT23" s="30" t="inlineStr">
        <is>
          <t>S</t>
        </is>
      </c>
      <c r="AU23" s="30" t="inlineStr">
        <is>
          <t>S</t>
        </is>
      </c>
      <c r="AV23" s="30" t="inlineStr">
        <is>
          <t>S</t>
        </is>
      </c>
      <c r="AW23" s="30" t="inlineStr">
        <is>
          <t>S</t>
        </is>
      </c>
      <c r="AX23" s="30" t="inlineStr">
        <is>
          <t>O</t>
        </is>
      </c>
      <c r="AY23" s="30" t="inlineStr">
        <is>
          <t>O</t>
        </is>
      </c>
      <c r="AZ23" s="30" t="inlineStr">
        <is>
          <t>O</t>
        </is>
      </c>
      <c r="BA23" s="30" t="inlineStr">
        <is>
          <t>O</t>
        </is>
      </c>
      <c r="BB23" s="30" t="inlineStr">
        <is>
          <t>O</t>
        </is>
      </c>
      <c r="BC23" s="30" t="inlineStr">
        <is>
          <t>O</t>
        </is>
      </c>
      <c r="BD23" s="30" t="inlineStr">
        <is>
          <t>O</t>
        </is>
      </c>
      <c r="BE23" s="30" t="inlineStr">
        <is>
          <t>O</t>
        </is>
      </c>
      <c r="BF23" s="30" t="inlineStr">
        <is>
          <t>O</t>
        </is>
      </c>
      <c r="BG23" s="30" t="inlineStr">
        <is>
          <t>O</t>
        </is>
      </c>
      <c r="BH23" s="30" t="inlineStr">
        <is>
          <t>O</t>
        </is>
      </c>
      <c r="BI23" s="30" t="inlineStr">
        <is>
          <t>O</t>
        </is>
      </c>
      <c r="BJ23" s="30" t="inlineStr">
        <is>
          <t>DEMOB</t>
        </is>
      </c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 s="31">
        <f>IF(N($DD$9)=0,0,COUNTIF(INDEX($M23:$DA23,1):INDEX($M23:$DA23,0+MAX(1,N($DD$9))),"S")+COUNTIF(INDEX($M23:$DA23,1):INDEX($M23:$DA23,0+MAX(1,N($DD$9))),"MOB")+COUNTIF(INDEX($M23:$DA23,1):INDEX($M23:$DA23,0+MAX(1,N($DD$9))),"DEMOB"))</f>
        <v/>
      </c>
      <c r="DD23" s="31">
        <f>IF(N($DD$9)=0,0,COUNTIF(INDEX($M23:$DA23,1):INDEX($M23:$DA23,0+MAX(1,N($DD$9))),"O"))</f>
        <v/>
      </c>
      <c r="DE23" s="31">
        <f>IF(N($DD$9)=0,0,COUNTIF(INDEX($M23:$DA23,1):INDEX($M23:$DA23,0+MAX(1,N($DD$9))),"MOB")+COUNTIF(INDEX($M23:$DA23,1):INDEX($M23:$DA23,0+MAX(1,N($DD$9))),"DEMOB"))</f>
        <v/>
      </c>
      <c r="DF23" s="31">
        <f>IF(B23="",0,IF(N(C23)&gt;0,C23,1)*(DC23*N(D23)+DD23*N(E23)))</f>
        <v/>
      </c>
      <c r="DG23" s="31">
        <f>IF(OR(B23="",A23="Oui",DX23&lt;&gt;1),0,IF(N(C23)&gt;0,C23,1)*(N(F23)+N(H23)))</f>
        <v/>
      </c>
      <c r="DH23" s="31">
        <f>IF(OR(B23="",N($DD$9)=0),0,IF(N(C23)&gt;0,C23,1)*(IF((COUNTIF(INDEX($M23:$DA23,1):INDEX($M23:$DA23,0+MAX(1,N($DD$9))),"VR"))&gt;0,N(G23),0)+IF((COUNTIF(INDEX($M23:$DA23,1):INDEX($M23:$DA23,0+MAX(1,N($DD$9))),"RC"))&gt;0,N(I23),0)))</f>
        <v/>
      </c>
      <c r="DI23" s="31">
        <f>IF(OR(B23="",N($DD$9)=0),0,IF(N(C23)&gt;0,C23,1)*(COUNTIF(INDEX($M23:$DA23,1):INDEX($M23:$DA23,0+MAX(1,N($DD$9))),"FOC"))*N(E23))</f>
        <v/>
      </c>
      <c r="DJ23" s="31">
        <f>IF(N($DE$9)=0,0,COUNTIF(INDEX($M23:$DA23,32):INDEX($M23:$DA23,31+MAX(1,N($DE$9))),"S")+COUNTIF(INDEX($M23:$DA23,32):INDEX($M23:$DA23,31+MAX(1,N($DE$9))),"MOB")+COUNTIF(INDEX($M23:$DA23,32):INDEX($M23:$DA23,31+MAX(1,N($DE$9))),"DEMOB"))</f>
        <v/>
      </c>
      <c r="DK23" s="31">
        <f>IF(N($DE$9)=0,0,COUNTIF(INDEX($M23:$DA23,32):INDEX($M23:$DA23,31+MAX(1,N($DE$9))),"O"))</f>
        <v/>
      </c>
      <c r="DL23" s="31">
        <f>IF(N($DE$9)=0,0,COUNTIF(INDEX($M23:$DA23,32):INDEX($M23:$DA23,31+MAX(1,N($DE$9))),"MOB")+COUNTIF(INDEX($M23:$DA23,32):INDEX($M23:$DA23,31+MAX(1,N($DE$9))),"DEMOB"))</f>
        <v/>
      </c>
      <c r="DM23" s="31">
        <f>IF(B23="",0,IF(N(C23)&gt;0,C23,1)*(DJ23*N(D23)+DK23*N(E23)))</f>
        <v/>
      </c>
      <c r="DN23" s="31">
        <f>IF(OR(B23="",A23="Oui",DX23&lt;&gt;2),0,IF(N(C23)&gt;0,C23,1)*(N(F23)+N(H23)))</f>
        <v/>
      </c>
      <c r="DO23" s="31">
        <f>IF(OR(B23="",N($DE$9)=0),0,IF(N(C23)&gt;0,C23,1)*(IF((COUNTIF(INDEX($M23:$DA23,32):INDEX($M23:$DA23,31+MAX(1,N($DE$9))),"VR"))&gt;0,N(G23),0)+IF((COUNTIF(INDEX($M23:$DA23,32):INDEX($M23:$DA23,31+MAX(1,N($DE$9))),"RC"))&gt;0,N(I23),0)))</f>
        <v/>
      </c>
      <c r="DP23" s="31">
        <f>IF(OR(B23="",N($DE$9)=0),0,IF(N(C23)&gt;0,C23,1)*(COUNTIF(INDEX($M23:$DA23,32):INDEX($M23:$DA23,31+MAX(1,N($DE$9))),"FOC"))*N(E23))</f>
        <v/>
      </c>
      <c r="DQ23" s="31">
        <f>IF(N($DF$9)=0,0,COUNTIF(INDEX($M23:$DA23,63):INDEX($M23:$DA23,62+MAX(1,N($DF$9))),"S")+COUNTIF(INDEX($M23:$DA23,63):INDEX($M23:$DA23,62+MAX(1,N($DF$9))),"MOB")+COUNTIF(INDEX($M23:$DA23,63):INDEX($M23:$DA23,62+MAX(1,N($DF$9))),"DEMOB"))</f>
        <v/>
      </c>
      <c r="DR23" s="31">
        <f>IF(N($DF$9)=0,0,COUNTIF(INDEX($M23:$DA23,63):INDEX($M23:$DA23,62+MAX(1,N($DF$9))),"O"))</f>
        <v/>
      </c>
      <c r="DS23" s="31">
        <f>IF(N($DF$9)=0,0,COUNTIF(INDEX($M23:$DA23,63):INDEX($M23:$DA23,62+MAX(1,N($DF$9))),"MOB")+COUNTIF(INDEX($M23:$DA23,63):INDEX($M23:$DA23,62+MAX(1,N($DF$9))),"DEMOB"))</f>
        <v/>
      </c>
      <c r="DT23" s="31">
        <f>IF(B23="",0,IF(N(C23)&gt;0,C23,1)*(DQ23*N(D23)+DR23*N(E23)))</f>
        <v/>
      </c>
      <c r="DU23" s="31">
        <f>IF(OR(B23="",A23="Oui",DX23&lt;&gt;3),0,IF(N(C23)&gt;0,C23,1)*(N(F23)+N(H23)))</f>
        <v/>
      </c>
      <c r="DV23" s="31">
        <f>IF(OR(B23="",N($DF$9)=0),0,IF(N(C23)&gt;0,C23,1)*(IF((COUNTIF(INDEX($M23:$DA23,63):INDEX($M23:$DA23,62+MAX(1,N($DF$9))),"VR"))&gt;0,N(G23),0)+IF((COUNTIF(INDEX($M23:$DA23,63):INDEX($M23:$DA23,62+MAX(1,N($DF$9))),"RC"))&gt;0,N(I23),0)))</f>
        <v/>
      </c>
      <c r="DW23" s="31">
        <f>IF(OR(B23="",N($DF$9)=0),0,IF(N(C23)&gt;0,C23,1)*(COUNTIF(INDEX($M23:$DA23,63):INDEX($M23:$DA23,62+MAX(1,N($DF$9))),"FOC"))*N(E23))</f>
        <v/>
      </c>
      <c r="DX23" s="31">
        <f>IF(B23="",0,IF(DD23&gt;0,1,IF(DK23&gt;0,2,IF(DR23&gt;0,3,0))))</f>
        <v/>
      </c>
    </row>
    <row r="24" ht="18" customHeight="1">
      <c r="A24" s="32" t="n"/>
      <c r="B24" s="24" t="inlineStr">
        <is>
          <t>XO 3-1/2" IF Pin x 2-7/8" EU Box</t>
        </is>
      </c>
      <c r="C24" s="32" t="n">
        <v>2</v>
      </c>
      <c r="D24" s="25" t="n">
        <v>20</v>
      </c>
      <c r="E24" s="25" t="n">
        <v>30</v>
      </c>
      <c r="F24" s="25" t="n">
        <v>10</v>
      </c>
      <c r="G24" s="25" t="n">
        <v>900</v>
      </c>
      <c r="H24" s="25" t="n">
        <v>60</v>
      </c>
      <c r="I24" s="25" t="n">
        <v>150</v>
      </c>
      <c r="J24" s="28">
        <f>IF(B24="","",DC24+DJ24+DQ24)</f>
        <v/>
      </c>
      <c r="K24" s="28">
        <f>IF(B24="","",DD24+DK24+DR24)</f>
        <v/>
      </c>
      <c r="L24" s="29">
        <f>IF(B24="","",DF24+DM24+DT24+DG24+DN24+DU24+DH24+DO24+DV24)</f>
        <v/>
      </c>
      <c r="M24" s="30" t="inlineStr">
        <is>
          <t>MOB</t>
        </is>
      </c>
      <c r="N24" s="30" t="inlineStr">
        <is>
          <t>O</t>
        </is>
      </c>
      <c r="O24" s="30" t="inlineStr">
        <is>
          <t>O</t>
        </is>
      </c>
      <c r="P24" s="30" t="inlineStr">
        <is>
          <t>O</t>
        </is>
      </c>
      <c r="Q24" s="30" t="inlineStr">
        <is>
          <t>O</t>
        </is>
      </c>
      <c r="R24" s="30" t="inlineStr">
        <is>
          <t>O</t>
        </is>
      </c>
      <c r="S24" s="30" t="inlineStr">
        <is>
          <t>O</t>
        </is>
      </c>
      <c r="T24" s="30" t="inlineStr">
        <is>
          <t>O</t>
        </is>
      </c>
      <c r="U24" s="30" t="inlineStr">
        <is>
          <t>O</t>
        </is>
      </c>
      <c r="V24" s="30" t="inlineStr">
        <is>
          <t>S</t>
        </is>
      </c>
      <c r="W24" s="30" t="inlineStr">
        <is>
          <t>S</t>
        </is>
      </c>
      <c r="X24" s="30" t="inlineStr">
        <is>
          <t>S</t>
        </is>
      </c>
      <c r="Y24" s="30" t="inlineStr">
        <is>
          <t>S</t>
        </is>
      </c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inlineStr">
        <is>
          <t>DEMOB</t>
        </is>
      </c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 s="31">
        <f>IF(N($DD$9)=0,0,COUNTIF(INDEX($M24:$DA24,1):INDEX($M24:$DA24,0+MAX(1,N($DD$9))),"S")+COUNTIF(INDEX($M24:$DA24,1):INDEX($M24:$DA24,0+MAX(1,N($DD$9))),"MOB")+COUNTIF(INDEX($M24:$DA24,1):INDEX($M24:$DA24,0+MAX(1,N($DD$9))),"DEMOB"))</f>
        <v/>
      </c>
      <c r="DD24" s="31">
        <f>IF(N($DD$9)=0,0,COUNTIF(INDEX($M24:$DA24,1):INDEX($M24:$DA24,0+MAX(1,N($DD$9))),"O"))</f>
        <v/>
      </c>
      <c r="DE24" s="31">
        <f>IF(N($DD$9)=0,0,COUNTIF(INDEX($M24:$DA24,1):INDEX($M24:$DA24,0+MAX(1,N($DD$9))),"MOB")+COUNTIF(INDEX($M24:$DA24,1):INDEX($M24:$DA24,0+MAX(1,N($DD$9))),"DEMOB"))</f>
        <v/>
      </c>
      <c r="DF24" s="31">
        <f>IF(B24="",0,IF(N(C24)&gt;0,C24,1)*(DC24*N(D24)+DD24*N(E24)))</f>
        <v/>
      </c>
      <c r="DG24" s="31">
        <f>IF(OR(B24="",A24="Oui",DX24&lt;&gt;1),0,IF(N(C24)&gt;0,C24,1)*(N(F24)+N(H24)))</f>
        <v/>
      </c>
      <c r="DH24" s="31">
        <f>IF(OR(B24="",N($DD$9)=0),0,IF(N(C24)&gt;0,C24,1)*(IF((COUNTIF(INDEX($M24:$DA24,1):INDEX($M24:$DA24,0+MAX(1,N($DD$9))),"VR"))&gt;0,N(G24),0)+IF((COUNTIF(INDEX($M24:$DA24,1):INDEX($M24:$DA24,0+MAX(1,N($DD$9))),"RC"))&gt;0,N(I24),0)))</f>
        <v/>
      </c>
      <c r="DI24" s="31">
        <f>IF(OR(B24="",N($DD$9)=0),0,IF(N(C24)&gt;0,C24,1)*(COUNTIF(INDEX($M24:$DA24,1):INDEX($M24:$DA24,0+MAX(1,N($DD$9))),"FOC"))*N(E24))</f>
        <v/>
      </c>
      <c r="DJ24" s="31">
        <f>IF(N($DE$9)=0,0,COUNTIF(INDEX($M24:$DA24,32):INDEX($M24:$DA24,31+MAX(1,N($DE$9))),"S")+COUNTIF(INDEX($M24:$DA24,32):INDEX($M24:$DA24,31+MAX(1,N($DE$9))),"MOB")+COUNTIF(INDEX($M24:$DA24,32):INDEX($M24:$DA24,31+MAX(1,N($DE$9))),"DEMOB"))</f>
        <v/>
      </c>
      <c r="DK24" s="31">
        <f>IF(N($DE$9)=0,0,COUNTIF(INDEX($M24:$DA24,32):INDEX($M24:$DA24,31+MAX(1,N($DE$9))),"O"))</f>
        <v/>
      </c>
      <c r="DL24" s="31">
        <f>IF(N($DE$9)=0,0,COUNTIF(INDEX($M24:$DA24,32):INDEX($M24:$DA24,31+MAX(1,N($DE$9))),"MOB")+COUNTIF(INDEX($M24:$DA24,32):INDEX($M24:$DA24,31+MAX(1,N($DE$9))),"DEMOB"))</f>
        <v/>
      </c>
      <c r="DM24" s="31">
        <f>IF(B24="",0,IF(N(C24)&gt;0,C24,1)*(DJ24*N(D24)+DK24*N(E24)))</f>
        <v/>
      </c>
      <c r="DN24" s="31">
        <f>IF(OR(B24="",A24="Oui",DX24&lt;&gt;2),0,IF(N(C24)&gt;0,C24,1)*(N(F24)+N(H24)))</f>
        <v/>
      </c>
      <c r="DO24" s="31">
        <f>IF(OR(B24="",N($DE$9)=0),0,IF(N(C24)&gt;0,C24,1)*(IF((COUNTIF(INDEX($M24:$DA24,32):INDEX($M24:$DA24,31+MAX(1,N($DE$9))),"VR"))&gt;0,N(G24),0)+IF((COUNTIF(INDEX($M24:$DA24,32):INDEX($M24:$DA24,31+MAX(1,N($DE$9))),"RC"))&gt;0,N(I24),0)))</f>
        <v/>
      </c>
      <c r="DP24" s="31">
        <f>IF(OR(B24="",N($DE$9)=0),0,IF(N(C24)&gt;0,C24,1)*(COUNTIF(INDEX($M24:$DA24,32):INDEX($M24:$DA24,31+MAX(1,N($DE$9))),"FOC"))*N(E24))</f>
        <v/>
      </c>
      <c r="DQ24" s="31">
        <f>IF(N($DF$9)=0,0,COUNTIF(INDEX($M24:$DA24,63):INDEX($M24:$DA24,62+MAX(1,N($DF$9))),"S")+COUNTIF(INDEX($M24:$DA24,63):INDEX($M24:$DA24,62+MAX(1,N($DF$9))),"MOB")+COUNTIF(INDEX($M24:$DA24,63):INDEX($M24:$DA24,62+MAX(1,N($DF$9))),"DEMOB"))</f>
        <v/>
      </c>
      <c r="DR24" s="31">
        <f>IF(N($DF$9)=0,0,COUNTIF(INDEX($M24:$DA24,63):INDEX($M24:$DA24,62+MAX(1,N($DF$9))),"O"))</f>
        <v/>
      </c>
      <c r="DS24" s="31">
        <f>IF(N($DF$9)=0,0,COUNTIF(INDEX($M24:$DA24,63):INDEX($M24:$DA24,62+MAX(1,N($DF$9))),"MOB")+COUNTIF(INDEX($M24:$DA24,63):INDEX($M24:$DA24,62+MAX(1,N($DF$9))),"DEMOB"))</f>
        <v/>
      </c>
      <c r="DT24" s="31">
        <f>IF(B24="",0,IF(N(C24)&gt;0,C24,1)*(DQ24*N(D24)+DR24*N(E24)))</f>
        <v/>
      </c>
      <c r="DU24" s="31">
        <f>IF(OR(B24="",A24="Oui",DX24&lt;&gt;3),0,IF(N(C24)&gt;0,C24,1)*(N(F24)+N(H24)))</f>
        <v/>
      </c>
      <c r="DV24" s="31">
        <f>IF(OR(B24="",N($DF$9)=0),0,IF(N(C24)&gt;0,C24,1)*(IF((COUNTIF(INDEX($M24:$DA24,63):INDEX($M24:$DA24,62+MAX(1,N($DF$9))),"VR"))&gt;0,N(G24),0)+IF((COUNTIF(INDEX($M24:$DA24,63):INDEX($M24:$DA24,62+MAX(1,N($DF$9))),"RC"))&gt;0,N(I24),0)))</f>
        <v/>
      </c>
      <c r="DW24" s="31">
        <f>IF(OR(B24="",N($DF$9)=0),0,IF(N(C24)&gt;0,C24,1)*(COUNTIF(INDEX($M24:$DA24,63):INDEX($M24:$DA24,62+MAX(1,N($DF$9))),"FOC"))*N(E24))</f>
        <v/>
      </c>
      <c r="DX24" s="31">
        <f>IF(B24="",0,IF(DD24&gt;0,1,IF(DK24&gt;0,2,IF(DR24&gt;0,3,0))))</f>
        <v/>
      </c>
    </row>
    <row r="25" ht="18" customHeight="1">
      <c r="A25" s="32" t="n"/>
      <c r="B25" s="24" t="inlineStr">
        <is>
          <t>XO 3-1/2" IF Box x 2-7/8" EU Pin</t>
        </is>
      </c>
      <c r="C25" s="32" t="n">
        <v>1</v>
      </c>
      <c r="D25" s="25" t="n">
        <v>20</v>
      </c>
      <c r="E25" s="25" t="n">
        <v>30</v>
      </c>
      <c r="F25" s="25" t="n">
        <v>10</v>
      </c>
      <c r="G25" s="25" t="n">
        <v>900</v>
      </c>
      <c r="H25" s="25" t="n">
        <v>60</v>
      </c>
      <c r="I25" s="25" t="n">
        <v>150</v>
      </c>
      <c r="J25" s="28">
        <f>IF(B25="","",DC25+DJ25+DQ25)</f>
        <v/>
      </c>
      <c r="K25" s="28">
        <f>IF(B25="","",DD25+DK25+DR25)</f>
        <v/>
      </c>
      <c r="L25" s="29">
        <f>IF(B25="","",DF25+DM25+DT25+DG25+DN25+DU25+DH25+DO25+DV25)</f>
        <v/>
      </c>
      <c r="M25" s="30" t="inlineStr">
        <is>
          <t>S</t>
        </is>
      </c>
      <c r="N25" s="30" t="inlineStr">
        <is>
          <t>S</t>
        </is>
      </c>
      <c r="O25" s="30" t="inlineStr">
        <is>
          <t>S</t>
        </is>
      </c>
      <c r="P25" s="30" t="inlineStr">
        <is>
          <t>O</t>
        </is>
      </c>
      <c r="Q25" s="30" t="inlineStr">
        <is>
          <t>O</t>
        </is>
      </c>
      <c r="R25" s="30" t="inlineStr">
        <is>
          <t>O</t>
        </is>
      </c>
      <c r="S25" s="30" t="inlineStr">
        <is>
          <t>O</t>
        </is>
      </c>
      <c r="T25" s="30" t="inlineStr">
        <is>
          <t>O</t>
        </is>
      </c>
      <c r="U25" s="30" t="inlineStr">
        <is>
          <t>O</t>
        </is>
      </c>
      <c r="V25" s="30" t="inlineStr">
        <is>
          <t>O</t>
        </is>
      </c>
      <c r="W25" s="30" t="inlineStr">
        <is>
          <t>O</t>
        </is>
      </c>
      <c r="X25" s="30" t="inlineStr">
        <is>
          <t>VR</t>
        </is>
      </c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 s="31">
        <f>IF(N($DD$9)=0,0,COUNTIF(INDEX($M25:$DA25,1):INDEX($M25:$DA25,0+MAX(1,N($DD$9))),"S")+COUNTIF(INDEX($M25:$DA25,1):INDEX($M25:$DA25,0+MAX(1,N($DD$9))),"MOB")+COUNTIF(INDEX($M25:$DA25,1):INDEX($M25:$DA25,0+MAX(1,N($DD$9))),"DEMOB"))</f>
        <v/>
      </c>
      <c r="DD25" s="31">
        <f>IF(N($DD$9)=0,0,COUNTIF(INDEX($M25:$DA25,1):INDEX($M25:$DA25,0+MAX(1,N($DD$9))),"O"))</f>
        <v/>
      </c>
      <c r="DE25" s="31">
        <f>IF(N($DD$9)=0,0,COUNTIF(INDEX($M25:$DA25,1):INDEX($M25:$DA25,0+MAX(1,N($DD$9))),"MOB")+COUNTIF(INDEX($M25:$DA25,1):INDEX($M25:$DA25,0+MAX(1,N($DD$9))),"DEMOB"))</f>
        <v/>
      </c>
      <c r="DF25" s="31">
        <f>IF(B25="",0,IF(N(C25)&gt;0,C25,1)*(DC25*N(D25)+DD25*N(E25)))</f>
        <v/>
      </c>
      <c r="DG25" s="31">
        <f>IF(OR(B25="",A25="Oui",DX25&lt;&gt;1),0,IF(N(C25)&gt;0,C25,1)*(N(F25)+N(H25)))</f>
        <v/>
      </c>
      <c r="DH25" s="31">
        <f>IF(OR(B25="",N($DD$9)=0),0,IF(N(C25)&gt;0,C25,1)*(IF((COUNTIF(INDEX($M25:$DA25,1):INDEX($M25:$DA25,0+MAX(1,N($DD$9))),"VR"))&gt;0,N(G25),0)+IF((COUNTIF(INDEX($M25:$DA25,1):INDEX($M25:$DA25,0+MAX(1,N($DD$9))),"RC"))&gt;0,N(I25),0)))</f>
        <v/>
      </c>
      <c r="DI25" s="31">
        <f>IF(OR(B25="",N($DD$9)=0),0,IF(N(C25)&gt;0,C25,1)*(COUNTIF(INDEX($M25:$DA25,1):INDEX($M25:$DA25,0+MAX(1,N($DD$9))),"FOC"))*N(E25))</f>
        <v/>
      </c>
      <c r="DJ25" s="31">
        <f>IF(N($DE$9)=0,0,COUNTIF(INDEX($M25:$DA25,32):INDEX($M25:$DA25,31+MAX(1,N($DE$9))),"S")+COUNTIF(INDEX($M25:$DA25,32):INDEX($M25:$DA25,31+MAX(1,N($DE$9))),"MOB")+COUNTIF(INDEX($M25:$DA25,32):INDEX($M25:$DA25,31+MAX(1,N($DE$9))),"DEMOB"))</f>
        <v/>
      </c>
      <c r="DK25" s="31">
        <f>IF(N($DE$9)=0,0,COUNTIF(INDEX($M25:$DA25,32):INDEX($M25:$DA25,31+MAX(1,N($DE$9))),"O"))</f>
        <v/>
      </c>
      <c r="DL25" s="31">
        <f>IF(N($DE$9)=0,0,COUNTIF(INDEX($M25:$DA25,32):INDEX($M25:$DA25,31+MAX(1,N($DE$9))),"MOB")+COUNTIF(INDEX($M25:$DA25,32):INDEX($M25:$DA25,31+MAX(1,N($DE$9))),"DEMOB"))</f>
        <v/>
      </c>
      <c r="DM25" s="31">
        <f>IF(B25="",0,IF(N(C25)&gt;0,C25,1)*(DJ25*N(D25)+DK25*N(E25)))</f>
        <v/>
      </c>
      <c r="DN25" s="31">
        <f>IF(OR(B25="",A25="Oui",DX25&lt;&gt;2),0,IF(N(C25)&gt;0,C25,1)*(N(F25)+N(H25)))</f>
        <v/>
      </c>
      <c r="DO25" s="31">
        <f>IF(OR(B25="",N($DE$9)=0),0,IF(N(C25)&gt;0,C25,1)*(IF((COUNTIF(INDEX($M25:$DA25,32):INDEX($M25:$DA25,31+MAX(1,N($DE$9))),"VR"))&gt;0,N(G25),0)+IF((COUNTIF(INDEX($M25:$DA25,32):INDEX($M25:$DA25,31+MAX(1,N($DE$9))),"RC"))&gt;0,N(I25),0)))</f>
        <v/>
      </c>
      <c r="DP25" s="31">
        <f>IF(OR(B25="",N($DE$9)=0),0,IF(N(C25)&gt;0,C25,1)*(COUNTIF(INDEX($M25:$DA25,32):INDEX($M25:$DA25,31+MAX(1,N($DE$9))),"FOC"))*N(E25))</f>
        <v/>
      </c>
      <c r="DQ25" s="31">
        <f>IF(N($DF$9)=0,0,COUNTIF(INDEX($M25:$DA25,63):INDEX($M25:$DA25,62+MAX(1,N($DF$9))),"S")+COUNTIF(INDEX($M25:$DA25,63):INDEX($M25:$DA25,62+MAX(1,N($DF$9))),"MOB")+COUNTIF(INDEX($M25:$DA25,63):INDEX($M25:$DA25,62+MAX(1,N($DF$9))),"DEMOB"))</f>
        <v/>
      </c>
      <c r="DR25" s="31">
        <f>IF(N($DF$9)=0,0,COUNTIF(INDEX($M25:$DA25,63):INDEX($M25:$DA25,62+MAX(1,N($DF$9))),"O"))</f>
        <v/>
      </c>
      <c r="DS25" s="31">
        <f>IF(N($DF$9)=0,0,COUNTIF(INDEX($M25:$DA25,63):INDEX($M25:$DA25,62+MAX(1,N($DF$9))),"MOB")+COUNTIF(INDEX($M25:$DA25,63):INDEX($M25:$DA25,62+MAX(1,N($DF$9))),"DEMOB"))</f>
        <v/>
      </c>
      <c r="DT25" s="31">
        <f>IF(B25="",0,IF(N(C25)&gt;0,C25,1)*(DQ25*N(D25)+DR25*N(E25)))</f>
        <v/>
      </c>
      <c r="DU25" s="31">
        <f>IF(OR(B25="",A25="Oui",DX25&lt;&gt;3),0,IF(N(C25)&gt;0,C25,1)*(N(F25)+N(H25)))</f>
        <v/>
      </c>
      <c r="DV25" s="31">
        <f>IF(OR(B25="",N($DF$9)=0),0,IF(N(C25)&gt;0,C25,1)*(IF((COUNTIF(INDEX($M25:$DA25,63):INDEX($M25:$DA25,62+MAX(1,N($DF$9))),"VR"))&gt;0,N(G25),0)+IF((COUNTIF(INDEX($M25:$DA25,63):INDEX($M25:$DA25,62+MAX(1,N($DF$9))),"RC"))&gt;0,N(I25),0)))</f>
        <v/>
      </c>
      <c r="DW25" s="31">
        <f>IF(OR(B25="",N($DF$9)=0),0,IF(N(C25)&gt;0,C25,1)*(COUNTIF(INDEX($M25:$DA25,63):INDEX($M25:$DA25,62+MAX(1,N($DF$9))),"FOC"))*N(E25))</f>
        <v/>
      </c>
      <c r="DX25" s="31">
        <f>IF(B25="",0,IF(DD25&gt;0,1,IF(DK25&gt;0,2,IF(DR25&gt;0,3,0))))</f>
        <v/>
      </c>
    </row>
    <row r="26" ht="18" customHeight="1">
      <c r="A26" s="32" t="n"/>
      <c r="B26" s="24" t="n"/>
      <c r="C26" s="32" t="n"/>
      <c r="D26" s="25" t="n"/>
      <c r="E26" s="25" t="n"/>
      <c r="F26" s="25" t="n"/>
      <c r="G26" s="25" t="n"/>
      <c r="H26" s="25" t="n"/>
      <c r="I26" s="25" t="n"/>
      <c r="J26" s="28">
        <f>IF(B26="","",DC26+DJ26+DQ26)</f>
        <v/>
      </c>
      <c r="K26" s="28">
        <f>IF(B26="","",DD26+DK26+DR26)</f>
        <v/>
      </c>
      <c r="L26" s="29">
        <f>IF(B26="","",DF26+DM26+DT26+DG26+DN26+DU26+DH26+DO26+DV26)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 s="31">
        <f>IF(N($DD$9)=0,0,COUNTIF(INDEX($M26:$DA26,1):INDEX($M26:$DA26,0+MAX(1,N($DD$9))),"S")+COUNTIF(INDEX($M26:$DA26,1):INDEX($M26:$DA26,0+MAX(1,N($DD$9))),"MOB")+COUNTIF(INDEX($M26:$DA26,1):INDEX($M26:$DA26,0+MAX(1,N($DD$9))),"DEMOB"))</f>
        <v/>
      </c>
      <c r="DD26" s="31">
        <f>IF(N($DD$9)=0,0,COUNTIF(INDEX($M26:$DA26,1):INDEX($M26:$DA26,0+MAX(1,N($DD$9))),"O"))</f>
        <v/>
      </c>
      <c r="DE26" s="31">
        <f>IF(N($DD$9)=0,0,COUNTIF(INDEX($M26:$DA26,1):INDEX($M26:$DA26,0+MAX(1,N($DD$9))),"MOB")+COUNTIF(INDEX($M26:$DA26,1):INDEX($M26:$DA26,0+MAX(1,N($DD$9))),"DEMOB"))</f>
        <v/>
      </c>
      <c r="DF26" s="31">
        <f>IF(B26="",0,IF(N(C26)&gt;0,C26,1)*(DC26*N(D26)+DD26*N(E26)))</f>
        <v/>
      </c>
      <c r="DG26" s="31">
        <f>IF(OR(B26="",A26="Oui",DX26&lt;&gt;1),0,IF(N(C26)&gt;0,C26,1)*(N(F26)+N(H26)))</f>
        <v/>
      </c>
      <c r="DH26" s="31">
        <f>IF(OR(B26="",N($DD$9)=0),0,IF(N(C26)&gt;0,C26,1)*(IF((COUNTIF(INDEX($M26:$DA26,1):INDEX($M26:$DA26,0+MAX(1,N($DD$9))),"VR"))&gt;0,N(G26),0)+IF((COUNTIF(INDEX($M26:$DA26,1):INDEX($M26:$DA26,0+MAX(1,N($DD$9))),"RC"))&gt;0,N(I26),0)))</f>
        <v/>
      </c>
      <c r="DI26" s="31">
        <f>IF(OR(B26="",N($DD$9)=0),0,IF(N(C26)&gt;0,C26,1)*(COUNTIF(INDEX($M26:$DA26,1):INDEX($M26:$DA26,0+MAX(1,N($DD$9))),"FOC"))*N(E26))</f>
        <v/>
      </c>
      <c r="DJ26" s="31">
        <f>IF(N($DE$9)=0,0,COUNTIF(INDEX($M26:$DA26,32):INDEX($M26:$DA26,31+MAX(1,N($DE$9))),"S")+COUNTIF(INDEX($M26:$DA26,32):INDEX($M26:$DA26,31+MAX(1,N($DE$9))),"MOB")+COUNTIF(INDEX($M26:$DA26,32):INDEX($M26:$DA26,31+MAX(1,N($DE$9))),"DEMOB"))</f>
        <v/>
      </c>
      <c r="DK26" s="31">
        <f>IF(N($DE$9)=0,0,COUNTIF(INDEX($M26:$DA26,32):INDEX($M26:$DA26,31+MAX(1,N($DE$9))),"O"))</f>
        <v/>
      </c>
      <c r="DL26" s="31">
        <f>IF(N($DE$9)=0,0,COUNTIF(INDEX($M26:$DA26,32):INDEX($M26:$DA26,31+MAX(1,N($DE$9))),"MOB")+COUNTIF(INDEX($M26:$DA26,32):INDEX($M26:$DA26,31+MAX(1,N($DE$9))),"DEMOB"))</f>
        <v/>
      </c>
      <c r="DM26" s="31">
        <f>IF(B26="",0,IF(N(C26)&gt;0,C26,1)*(DJ26*N(D26)+DK26*N(E26)))</f>
        <v/>
      </c>
      <c r="DN26" s="31">
        <f>IF(OR(B26="",A26="Oui",DX26&lt;&gt;2),0,IF(N(C26)&gt;0,C26,1)*(N(F26)+N(H26)))</f>
        <v/>
      </c>
      <c r="DO26" s="31">
        <f>IF(OR(B26="",N($DE$9)=0),0,IF(N(C26)&gt;0,C26,1)*(IF((COUNTIF(INDEX($M26:$DA26,32):INDEX($M26:$DA26,31+MAX(1,N($DE$9))),"VR"))&gt;0,N(G26),0)+IF((COUNTIF(INDEX($M26:$DA26,32):INDEX($M26:$DA26,31+MAX(1,N($DE$9))),"RC"))&gt;0,N(I26),0)))</f>
        <v/>
      </c>
      <c r="DP26" s="31">
        <f>IF(OR(B26="",N($DE$9)=0),0,IF(N(C26)&gt;0,C26,1)*(COUNTIF(INDEX($M26:$DA26,32):INDEX($M26:$DA26,31+MAX(1,N($DE$9))),"FOC"))*N(E26))</f>
        <v/>
      </c>
      <c r="DQ26" s="31">
        <f>IF(N($DF$9)=0,0,COUNTIF(INDEX($M26:$DA26,63):INDEX($M26:$DA26,62+MAX(1,N($DF$9))),"S")+COUNTIF(INDEX($M26:$DA26,63):INDEX($M26:$DA26,62+MAX(1,N($DF$9))),"MOB")+COUNTIF(INDEX($M26:$DA26,63):INDEX($M26:$DA26,62+MAX(1,N($DF$9))),"DEMOB"))</f>
        <v/>
      </c>
      <c r="DR26" s="31">
        <f>IF(N($DF$9)=0,0,COUNTIF(INDEX($M26:$DA26,63):INDEX($M26:$DA26,62+MAX(1,N($DF$9))),"O"))</f>
        <v/>
      </c>
      <c r="DS26" s="31">
        <f>IF(N($DF$9)=0,0,COUNTIF(INDEX($M26:$DA26,63):INDEX($M26:$DA26,62+MAX(1,N($DF$9))),"MOB")+COUNTIF(INDEX($M26:$DA26,63):INDEX($M26:$DA26,62+MAX(1,N($DF$9))),"DEMOB"))</f>
        <v/>
      </c>
      <c r="DT26" s="31">
        <f>IF(B26="",0,IF(N(C26)&gt;0,C26,1)*(DQ26*N(D26)+DR26*N(E26)))</f>
        <v/>
      </c>
      <c r="DU26" s="31">
        <f>IF(OR(B26="",A26="Oui",DX26&lt;&gt;3),0,IF(N(C26)&gt;0,C26,1)*(N(F26)+N(H26)))</f>
        <v/>
      </c>
      <c r="DV26" s="31">
        <f>IF(OR(B26="",N($DF$9)=0),0,IF(N(C26)&gt;0,C26,1)*(IF((COUNTIF(INDEX($M26:$DA26,63):INDEX($M26:$DA26,62+MAX(1,N($DF$9))),"VR"))&gt;0,N(G26),0)+IF((COUNTIF(INDEX($M26:$DA26,63):INDEX($M26:$DA26,62+MAX(1,N($DF$9))),"RC"))&gt;0,N(I26),0)))</f>
        <v/>
      </c>
      <c r="DW26" s="31">
        <f>IF(OR(B26="",N($DF$9)=0),0,IF(N(C26)&gt;0,C26,1)*(COUNTIF(INDEX($M26:$DA26,63):INDEX($M26:$DA26,62+MAX(1,N($DF$9))),"FOC"))*N(E26))</f>
        <v/>
      </c>
      <c r="DX26" s="31">
        <f>IF(B26="",0,IF(DD26&gt;0,1,IF(DK26&gt;0,2,IF(DR26&gt;0,3,0))))</f>
        <v/>
      </c>
    </row>
    <row r="27" ht="18" customHeight="1">
      <c r="A27" s="32" t="n"/>
      <c r="B27" s="24" t="n"/>
      <c r="C27" s="32" t="n"/>
      <c r="D27" s="25" t="n"/>
      <c r="E27" s="25" t="n"/>
      <c r="F27" s="25" t="n"/>
      <c r="G27" s="25" t="n"/>
      <c r="H27" s="25" t="n"/>
      <c r="I27" s="25" t="n"/>
      <c r="J27" s="28">
        <f>IF(B27="","",DC27+DJ27+DQ27)</f>
        <v/>
      </c>
      <c r="K27" s="28">
        <f>IF(B27="","",DD27+DK27+DR27)</f>
        <v/>
      </c>
      <c r="L27" s="29">
        <f>IF(B27="","",DF27+DM27+DT27+DG27+DN27+DU27+DH27+DO27+DV27)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 s="31">
        <f>IF(N($DD$9)=0,0,COUNTIF(INDEX($M27:$DA27,1):INDEX($M27:$DA27,0+MAX(1,N($DD$9))),"S")+COUNTIF(INDEX($M27:$DA27,1):INDEX($M27:$DA27,0+MAX(1,N($DD$9))),"MOB")+COUNTIF(INDEX($M27:$DA27,1):INDEX($M27:$DA27,0+MAX(1,N($DD$9))),"DEMOB"))</f>
        <v/>
      </c>
      <c r="DD27" s="31">
        <f>IF(N($DD$9)=0,0,COUNTIF(INDEX($M27:$DA27,1):INDEX($M27:$DA27,0+MAX(1,N($DD$9))),"O"))</f>
        <v/>
      </c>
      <c r="DE27" s="31">
        <f>IF(N($DD$9)=0,0,COUNTIF(INDEX($M27:$DA27,1):INDEX($M27:$DA27,0+MAX(1,N($DD$9))),"MOB")+COUNTIF(INDEX($M27:$DA27,1):INDEX($M27:$DA27,0+MAX(1,N($DD$9))),"DEMOB"))</f>
        <v/>
      </c>
      <c r="DF27" s="31">
        <f>IF(B27="",0,IF(N(C27)&gt;0,C27,1)*(DC27*N(D27)+DD27*N(E27)))</f>
        <v/>
      </c>
      <c r="DG27" s="31">
        <f>IF(OR(B27="",A27="Oui",DX27&lt;&gt;1),0,IF(N(C27)&gt;0,C27,1)*(N(F27)+N(H27)))</f>
        <v/>
      </c>
      <c r="DH27" s="31">
        <f>IF(OR(B27="",N($DD$9)=0),0,IF(N(C27)&gt;0,C27,1)*(IF((COUNTIF(INDEX($M27:$DA27,1):INDEX($M27:$DA27,0+MAX(1,N($DD$9))),"VR"))&gt;0,N(G27),0)+IF((COUNTIF(INDEX($M27:$DA27,1):INDEX($M27:$DA27,0+MAX(1,N($DD$9))),"RC"))&gt;0,N(I27),0)))</f>
        <v/>
      </c>
      <c r="DI27" s="31">
        <f>IF(OR(B27="",N($DD$9)=0),0,IF(N(C27)&gt;0,C27,1)*(COUNTIF(INDEX($M27:$DA27,1):INDEX($M27:$DA27,0+MAX(1,N($DD$9))),"FOC"))*N(E27))</f>
        <v/>
      </c>
      <c r="DJ27" s="31">
        <f>IF(N($DE$9)=0,0,COUNTIF(INDEX($M27:$DA27,32):INDEX($M27:$DA27,31+MAX(1,N($DE$9))),"S")+COUNTIF(INDEX($M27:$DA27,32):INDEX($M27:$DA27,31+MAX(1,N($DE$9))),"MOB")+COUNTIF(INDEX($M27:$DA27,32):INDEX($M27:$DA27,31+MAX(1,N($DE$9))),"DEMOB"))</f>
        <v/>
      </c>
      <c r="DK27" s="31">
        <f>IF(N($DE$9)=0,0,COUNTIF(INDEX($M27:$DA27,32):INDEX($M27:$DA27,31+MAX(1,N($DE$9))),"O"))</f>
        <v/>
      </c>
      <c r="DL27" s="31">
        <f>IF(N($DE$9)=0,0,COUNTIF(INDEX($M27:$DA27,32):INDEX($M27:$DA27,31+MAX(1,N($DE$9))),"MOB")+COUNTIF(INDEX($M27:$DA27,32):INDEX($M27:$DA27,31+MAX(1,N($DE$9))),"DEMOB"))</f>
        <v/>
      </c>
      <c r="DM27" s="31">
        <f>IF(B27="",0,IF(N(C27)&gt;0,C27,1)*(DJ27*N(D27)+DK27*N(E27)))</f>
        <v/>
      </c>
      <c r="DN27" s="31">
        <f>IF(OR(B27="",A27="Oui",DX27&lt;&gt;2),0,IF(N(C27)&gt;0,C27,1)*(N(F27)+N(H27)))</f>
        <v/>
      </c>
      <c r="DO27" s="31">
        <f>IF(OR(B27="",N($DE$9)=0),0,IF(N(C27)&gt;0,C27,1)*(IF((COUNTIF(INDEX($M27:$DA27,32):INDEX($M27:$DA27,31+MAX(1,N($DE$9))),"VR"))&gt;0,N(G27),0)+IF((COUNTIF(INDEX($M27:$DA27,32):INDEX($M27:$DA27,31+MAX(1,N($DE$9))),"RC"))&gt;0,N(I27),0)))</f>
        <v/>
      </c>
      <c r="DP27" s="31">
        <f>IF(OR(B27="",N($DE$9)=0),0,IF(N(C27)&gt;0,C27,1)*(COUNTIF(INDEX($M27:$DA27,32):INDEX($M27:$DA27,31+MAX(1,N($DE$9))),"FOC"))*N(E27))</f>
        <v/>
      </c>
      <c r="DQ27" s="31">
        <f>IF(N($DF$9)=0,0,COUNTIF(INDEX($M27:$DA27,63):INDEX($M27:$DA27,62+MAX(1,N($DF$9))),"S")+COUNTIF(INDEX($M27:$DA27,63):INDEX($M27:$DA27,62+MAX(1,N($DF$9))),"MOB")+COUNTIF(INDEX($M27:$DA27,63):INDEX($M27:$DA27,62+MAX(1,N($DF$9))),"DEMOB"))</f>
        <v/>
      </c>
      <c r="DR27" s="31">
        <f>IF(N($DF$9)=0,0,COUNTIF(INDEX($M27:$DA27,63):INDEX($M27:$DA27,62+MAX(1,N($DF$9))),"O"))</f>
        <v/>
      </c>
      <c r="DS27" s="31">
        <f>IF(N($DF$9)=0,0,COUNTIF(INDEX($M27:$DA27,63):INDEX($M27:$DA27,62+MAX(1,N($DF$9))),"MOB")+COUNTIF(INDEX($M27:$DA27,63):INDEX($M27:$DA27,62+MAX(1,N($DF$9))),"DEMOB"))</f>
        <v/>
      </c>
      <c r="DT27" s="31">
        <f>IF(B27="",0,IF(N(C27)&gt;0,C27,1)*(DQ27*N(D27)+DR27*N(E27)))</f>
        <v/>
      </c>
      <c r="DU27" s="31">
        <f>IF(OR(B27="",A27="Oui",DX27&lt;&gt;3),0,IF(N(C27)&gt;0,C27,1)*(N(F27)+N(H27)))</f>
        <v/>
      </c>
      <c r="DV27" s="31">
        <f>IF(OR(B27="",N($DF$9)=0),0,IF(N(C27)&gt;0,C27,1)*(IF((COUNTIF(INDEX($M27:$DA27,63):INDEX($M27:$DA27,62+MAX(1,N($DF$9))),"VR"))&gt;0,N(G27),0)+IF((COUNTIF(INDEX($M27:$DA27,63):INDEX($M27:$DA27,62+MAX(1,N($DF$9))),"RC"))&gt;0,N(I27),0)))</f>
        <v/>
      </c>
      <c r="DW27" s="31">
        <f>IF(OR(B27="",N($DF$9)=0),0,IF(N(C27)&gt;0,C27,1)*(COUNTIF(INDEX($M27:$DA27,63):INDEX($M27:$DA27,62+MAX(1,N($DF$9))),"FOC"))*N(E27))</f>
        <v/>
      </c>
      <c r="DX27" s="31">
        <f>IF(B27="",0,IF(DD27&gt;0,1,IF(DK27&gt;0,2,IF(DR27&gt;0,3,0))))</f>
        <v/>
      </c>
    </row>
    <row r="28" ht="18" customHeight="1">
      <c r="A28" s="32" t="n"/>
      <c r="B28" s="24" t="n"/>
      <c r="C28" s="32" t="n"/>
      <c r="D28" s="25" t="n"/>
      <c r="E28" s="25" t="n"/>
      <c r="F28" s="25" t="n"/>
      <c r="G28" s="25" t="n"/>
      <c r="H28" s="25" t="n"/>
      <c r="I28" s="25" t="n"/>
      <c r="J28" s="28">
        <f>IF(B28="","",DC28+DJ28+DQ28)</f>
        <v/>
      </c>
      <c r="K28" s="28">
        <f>IF(B28="","",DD28+DK28+DR28)</f>
        <v/>
      </c>
      <c r="L28" s="29">
        <f>IF(B28="","",DF28+DM28+DT28+DG28+DN28+DU28+DH28+DO28+DV28)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 s="31">
        <f>IF(N($DD$9)=0,0,COUNTIF(INDEX($M28:$DA28,1):INDEX($M28:$DA28,0+MAX(1,N($DD$9))),"S")+COUNTIF(INDEX($M28:$DA28,1):INDEX($M28:$DA28,0+MAX(1,N($DD$9))),"MOB")+COUNTIF(INDEX($M28:$DA28,1):INDEX($M28:$DA28,0+MAX(1,N($DD$9))),"DEMOB"))</f>
        <v/>
      </c>
      <c r="DD28" s="31">
        <f>IF(N($DD$9)=0,0,COUNTIF(INDEX($M28:$DA28,1):INDEX($M28:$DA28,0+MAX(1,N($DD$9))),"O"))</f>
        <v/>
      </c>
      <c r="DE28" s="31">
        <f>IF(N($DD$9)=0,0,COUNTIF(INDEX($M28:$DA28,1):INDEX($M28:$DA28,0+MAX(1,N($DD$9))),"MOB")+COUNTIF(INDEX($M28:$DA28,1):INDEX($M28:$DA28,0+MAX(1,N($DD$9))),"DEMOB"))</f>
        <v/>
      </c>
      <c r="DF28" s="31">
        <f>IF(B28="",0,IF(N(C28)&gt;0,C28,1)*(DC28*N(D28)+DD28*N(E28)))</f>
        <v/>
      </c>
      <c r="DG28" s="31">
        <f>IF(OR(B28="",A28="Oui",DX28&lt;&gt;1),0,IF(N(C28)&gt;0,C28,1)*(N(F28)+N(H28)))</f>
        <v/>
      </c>
      <c r="DH28" s="31">
        <f>IF(OR(B28="",N($DD$9)=0),0,IF(N(C28)&gt;0,C28,1)*(IF((COUNTIF(INDEX($M28:$DA28,1):INDEX($M28:$DA28,0+MAX(1,N($DD$9))),"VR"))&gt;0,N(G28),0)+IF((COUNTIF(INDEX($M28:$DA28,1):INDEX($M28:$DA28,0+MAX(1,N($DD$9))),"RC"))&gt;0,N(I28),0)))</f>
        <v/>
      </c>
      <c r="DI28" s="31">
        <f>IF(OR(B28="",N($DD$9)=0),0,IF(N(C28)&gt;0,C28,1)*(COUNTIF(INDEX($M28:$DA28,1):INDEX($M28:$DA28,0+MAX(1,N($DD$9))),"FOC"))*N(E28))</f>
        <v/>
      </c>
      <c r="DJ28" s="31">
        <f>IF(N($DE$9)=0,0,COUNTIF(INDEX($M28:$DA28,32):INDEX($M28:$DA28,31+MAX(1,N($DE$9))),"S")+COUNTIF(INDEX($M28:$DA28,32):INDEX($M28:$DA28,31+MAX(1,N($DE$9))),"MOB")+COUNTIF(INDEX($M28:$DA28,32):INDEX($M28:$DA28,31+MAX(1,N($DE$9))),"DEMOB"))</f>
        <v/>
      </c>
      <c r="DK28" s="31">
        <f>IF(N($DE$9)=0,0,COUNTIF(INDEX($M28:$DA28,32):INDEX($M28:$DA28,31+MAX(1,N($DE$9))),"O"))</f>
        <v/>
      </c>
      <c r="DL28" s="31">
        <f>IF(N($DE$9)=0,0,COUNTIF(INDEX($M28:$DA28,32):INDEX($M28:$DA28,31+MAX(1,N($DE$9))),"MOB")+COUNTIF(INDEX($M28:$DA28,32):INDEX($M28:$DA28,31+MAX(1,N($DE$9))),"DEMOB"))</f>
        <v/>
      </c>
      <c r="DM28" s="31">
        <f>IF(B28="",0,IF(N(C28)&gt;0,C28,1)*(DJ28*N(D28)+DK28*N(E28)))</f>
        <v/>
      </c>
      <c r="DN28" s="31">
        <f>IF(OR(B28="",A28="Oui",DX28&lt;&gt;2),0,IF(N(C28)&gt;0,C28,1)*(N(F28)+N(H28)))</f>
        <v/>
      </c>
      <c r="DO28" s="31">
        <f>IF(OR(B28="",N($DE$9)=0),0,IF(N(C28)&gt;0,C28,1)*(IF((COUNTIF(INDEX($M28:$DA28,32):INDEX($M28:$DA28,31+MAX(1,N($DE$9))),"VR"))&gt;0,N(G28),0)+IF((COUNTIF(INDEX($M28:$DA28,32):INDEX($M28:$DA28,31+MAX(1,N($DE$9))),"RC"))&gt;0,N(I28),0)))</f>
        <v/>
      </c>
      <c r="DP28" s="31">
        <f>IF(OR(B28="",N($DE$9)=0),0,IF(N(C28)&gt;0,C28,1)*(COUNTIF(INDEX($M28:$DA28,32):INDEX($M28:$DA28,31+MAX(1,N($DE$9))),"FOC"))*N(E28))</f>
        <v/>
      </c>
      <c r="DQ28" s="31">
        <f>IF(N($DF$9)=0,0,COUNTIF(INDEX($M28:$DA28,63):INDEX($M28:$DA28,62+MAX(1,N($DF$9))),"S")+COUNTIF(INDEX($M28:$DA28,63):INDEX($M28:$DA28,62+MAX(1,N($DF$9))),"MOB")+COUNTIF(INDEX($M28:$DA28,63):INDEX($M28:$DA28,62+MAX(1,N($DF$9))),"DEMOB"))</f>
        <v/>
      </c>
      <c r="DR28" s="31">
        <f>IF(N($DF$9)=0,0,COUNTIF(INDEX($M28:$DA28,63):INDEX($M28:$DA28,62+MAX(1,N($DF$9))),"O"))</f>
        <v/>
      </c>
      <c r="DS28" s="31">
        <f>IF(N($DF$9)=0,0,COUNTIF(INDEX($M28:$DA28,63):INDEX($M28:$DA28,62+MAX(1,N($DF$9))),"MOB")+COUNTIF(INDEX($M28:$DA28,63):INDEX($M28:$DA28,62+MAX(1,N($DF$9))),"DEMOB"))</f>
        <v/>
      </c>
      <c r="DT28" s="31">
        <f>IF(B28="",0,IF(N(C28)&gt;0,C28,1)*(DQ28*N(D28)+DR28*N(E28)))</f>
        <v/>
      </c>
      <c r="DU28" s="31">
        <f>IF(OR(B28="",A28="Oui",DX28&lt;&gt;3),0,IF(N(C28)&gt;0,C28,1)*(N(F28)+N(H28)))</f>
        <v/>
      </c>
      <c r="DV28" s="31">
        <f>IF(OR(B28="",N($DF$9)=0),0,IF(N(C28)&gt;0,C28,1)*(IF((COUNTIF(INDEX($M28:$DA28,63):INDEX($M28:$DA28,62+MAX(1,N($DF$9))),"VR"))&gt;0,N(G28),0)+IF((COUNTIF(INDEX($M28:$DA28,63):INDEX($M28:$DA28,62+MAX(1,N($DF$9))),"RC"))&gt;0,N(I28),0)))</f>
        <v/>
      </c>
      <c r="DW28" s="31">
        <f>IF(OR(B28="",N($DF$9)=0),0,IF(N(C28)&gt;0,C28,1)*(COUNTIF(INDEX($M28:$DA28,63):INDEX($M28:$DA28,62+MAX(1,N($DF$9))),"FOC"))*N(E28))</f>
        <v/>
      </c>
      <c r="DX28" s="31">
        <f>IF(B28="",0,IF(DD28&gt;0,1,IF(DK28&gt;0,2,IF(DR28&gt;0,3,0))))</f>
        <v/>
      </c>
    </row>
    <row r="29" ht="18" customHeight="1">
      <c r="A29" s="32" t="n"/>
      <c r="B29" s="24" t="n"/>
      <c r="C29" s="32" t="n"/>
      <c r="D29" s="25" t="n"/>
      <c r="E29" s="25" t="n"/>
      <c r="F29" s="25" t="n"/>
      <c r="G29" s="25" t="n"/>
      <c r="H29" s="25" t="n"/>
      <c r="I29" s="25" t="n"/>
      <c r="J29" s="28">
        <f>IF(B29="","",DC29+DJ29+DQ29)</f>
        <v/>
      </c>
      <c r="K29" s="28">
        <f>IF(B29="","",DD29+DK29+DR29)</f>
        <v/>
      </c>
      <c r="L29" s="29">
        <f>IF(B29="","",DF29+DM29+DT29+DG29+DN29+DU29+DH29+DO29+DV29)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 s="31">
        <f>IF(N($DD$9)=0,0,COUNTIF(INDEX($M29:$DA29,1):INDEX($M29:$DA29,0+MAX(1,N($DD$9))),"S")+COUNTIF(INDEX($M29:$DA29,1):INDEX($M29:$DA29,0+MAX(1,N($DD$9))),"MOB")+COUNTIF(INDEX($M29:$DA29,1):INDEX($M29:$DA29,0+MAX(1,N($DD$9))),"DEMOB"))</f>
        <v/>
      </c>
      <c r="DD29" s="31">
        <f>IF(N($DD$9)=0,0,COUNTIF(INDEX($M29:$DA29,1):INDEX($M29:$DA29,0+MAX(1,N($DD$9))),"O"))</f>
        <v/>
      </c>
      <c r="DE29" s="31">
        <f>IF(N($DD$9)=0,0,COUNTIF(INDEX($M29:$DA29,1):INDEX($M29:$DA29,0+MAX(1,N($DD$9))),"MOB")+COUNTIF(INDEX($M29:$DA29,1):INDEX($M29:$DA29,0+MAX(1,N($DD$9))),"DEMOB"))</f>
        <v/>
      </c>
      <c r="DF29" s="31">
        <f>IF(B29="",0,IF(N(C29)&gt;0,C29,1)*(DC29*N(D29)+DD29*N(E29)))</f>
        <v/>
      </c>
      <c r="DG29" s="31">
        <f>IF(OR(B29="",A29="Oui",DX29&lt;&gt;1),0,IF(N(C29)&gt;0,C29,1)*(N(F29)+N(H29)))</f>
        <v/>
      </c>
      <c r="DH29" s="31">
        <f>IF(OR(B29="",N($DD$9)=0),0,IF(N(C29)&gt;0,C29,1)*(IF((COUNTIF(INDEX($M29:$DA29,1):INDEX($M29:$DA29,0+MAX(1,N($DD$9))),"VR"))&gt;0,N(G29),0)+IF((COUNTIF(INDEX($M29:$DA29,1):INDEX($M29:$DA29,0+MAX(1,N($DD$9))),"RC"))&gt;0,N(I29),0)))</f>
        <v/>
      </c>
      <c r="DI29" s="31">
        <f>IF(OR(B29="",N($DD$9)=0),0,IF(N(C29)&gt;0,C29,1)*(COUNTIF(INDEX($M29:$DA29,1):INDEX($M29:$DA29,0+MAX(1,N($DD$9))),"FOC"))*N(E29))</f>
        <v/>
      </c>
      <c r="DJ29" s="31">
        <f>IF(N($DE$9)=0,0,COUNTIF(INDEX($M29:$DA29,32):INDEX($M29:$DA29,31+MAX(1,N($DE$9))),"S")+COUNTIF(INDEX($M29:$DA29,32):INDEX($M29:$DA29,31+MAX(1,N($DE$9))),"MOB")+COUNTIF(INDEX($M29:$DA29,32):INDEX($M29:$DA29,31+MAX(1,N($DE$9))),"DEMOB"))</f>
        <v/>
      </c>
      <c r="DK29" s="31">
        <f>IF(N($DE$9)=0,0,COUNTIF(INDEX($M29:$DA29,32):INDEX($M29:$DA29,31+MAX(1,N($DE$9))),"O"))</f>
        <v/>
      </c>
      <c r="DL29" s="31">
        <f>IF(N($DE$9)=0,0,COUNTIF(INDEX($M29:$DA29,32):INDEX($M29:$DA29,31+MAX(1,N($DE$9))),"MOB")+COUNTIF(INDEX($M29:$DA29,32):INDEX($M29:$DA29,31+MAX(1,N($DE$9))),"DEMOB"))</f>
        <v/>
      </c>
      <c r="DM29" s="31">
        <f>IF(B29="",0,IF(N(C29)&gt;0,C29,1)*(DJ29*N(D29)+DK29*N(E29)))</f>
        <v/>
      </c>
      <c r="DN29" s="31">
        <f>IF(OR(B29="",A29="Oui",DX29&lt;&gt;2),0,IF(N(C29)&gt;0,C29,1)*(N(F29)+N(H29)))</f>
        <v/>
      </c>
      <c r="DO29" s="31">
        <f>IF(OR(B29="",N($DE$9)=0),0,IF(N(C29)&gt;0,C29,1)*(IF((COUNTIF(INDEX($M29:$DA29,32):INDEX($M29:$DA29,31+MAX(1,N($DE$9))),"VR"))&gt;0,N(G29),0)+IF((COUNTIF(INDEX($M29:$DA29,32):INDEX($M29:$DA29,31+MAX(1,N($DE$9))),"RC"))&gt;0,N(I29),0)))</f>
        <v/>
      </c>
      <c r="DP29" s="31">
        <f>IF(OR(B29="",N($DE$9)=0),0,IF(N(C29)&gt;0,C29,1)*(COUNTIF(INDEX($M29:$DA29,32):INDEX($M29:$DA29,31+MAX(1,N($DE$9))),"FOC"))*N(E29))</f>
        <v/>
      </c>
      <c r="DQ29" s="31">
        <f>IF(N($DF$9)=0,0,COUNTIF(INDEX($M29:$DA29,63):INDEX($M29:$DA29,62+MAX(1,N($DF$9))),"S")+COUNTIF(INDEX($M29:$DA29,63):INDEX($M29:$DA29,62+MAX(1,N($DF$9))),"MOB")+COUNTIF(INDEX($M29:$DA29,63):INDEX($M29:$DA29,62+MAX(1,N($DF$9))),"DEMOB"))</f>
        <v/>
      </c>
      <c r="DR29" s="31">
        <f>IF(N($DF$9)=0,0,COUNTIF(INDEX($M29:$DA29,63):INDEX($M29:$DA29,62+MAX(1,N($DF$9))),"O"))</f>
        <v/>
      </c>
      <c r="DS29" s="31">
        <f>IF(N($DF$9)=0,0,COUNTIF(INDEX($M29:$DA29,63):INDEX($M29:$DA29,62+MAX(1,N($DF$9))),"MOB")+COUNTIF(INDEX($M29:$DA29,63):INDEX($M29:$DA29,62+MAX(1,N($DF$9))),"DEMOB"))</f>
        <v/>
      </c>
      <c r="DT29" s="31">
        <f>IF(B29="",0,IF(N(C29)&gt;0,C29,1)*(DQ29*N(D29)+DR29*N(E29)))</f>
        <v/>
      </c>
      <c r="DU29" s="31">
        <f>IF(OR(B29="",A29="Oui",DX29&lt;&gt;3),0,IF(N(C29)&gt;0,C29,1)*(N(F29)+N(H29)))</f>
        <v/>
      </c>
      <c r="DV29" s="31">
        <f>IF(OR(B29="",N($DF$9)=0),0,IF(N(C29)&gt;0,C29,1)*(IF((COUNTIF(INDEX($M29:$DA29,63):INDEX($M29:$DA29,62+MAX(1,N($DF$9))),"VR"))&gt;0,N(G29),0)+IF((COUNTIF(INDEX($M29:$DA29,63):INDEX($M29:$DA29,62+MAX(1,N($DF$9))),"RC"))&gt;0,N(I29),0)))</f>
        <v/>
      </c>
      <c r="DW29" s="31">
        <f>IF(OR(B29="",N($DF$9)=0),0,IF(N(C29)&gt;0,C29,1)*(COUNTIF(INDEX($M29:$DA29,63):INDEX($M29:$DA29,62+MAX(1,N($DF$9))),"FOC"))*N(E29))</f>
        <v/>
      </c>
      <c r="DX29" s="31">
        <f>IF(B29="",0,IF(DD29&gt;0,1,IF(DK29&gt;0,2,IF(DR29&gt;0,3,0))))</f>
        <v/>
      </c>
    </row>
    <row r="30" ht="18" customHeight="1">
      <c r="A30" s="32" t="n"/>
      <c r="B30" s="24" t="n"/>
      <c r="C30" s="32" t="n"/>
      <c r="D30" s="25" t="n"/>
      <c r="E30" s="25" t="n"/>
      <c r="F30" s="25" t="n"/>
      <c r="G30" s="25" t="n"/>
      <c r="H30" s="25" t="n"/>
      <c r="I30" s="25" t="n"/>
      <c r="J30" s="28">
        <f>IF(B30="","",DC30+DJ30+DQ30)</f>
        <v/>
      </c>
      <c r="K30" s="28">
        <f>IF(B30="","",DD30+DK30+DR30)</f>
        <v/>
      </c>
      <c r="L30" s="29">
        <f>IF(B30="","",DF30+DM30+DT30+DG30+DN30+DU30+DH30+DO30+DV30)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 s="31">
        <f>IF(N($DD$9)=0,0,COUNTIF(INDEX($M30:$DA30,1):INDEX($M30:$DA30,0+MAX(1,N($DD$9))),"S")+COUNTIF(INDEX($M30:$DA30,1):INDEX($M30:$DA30,0+MAX(1,N($DD$9))),"MOB")+COUNTIF(INDEX($M30:$DA30,1):INDEX($M30:$DA30,0+MAX(1,N($DD$9))),"DEMOB"))</f>
        <v/>
      </c>
      <c r="DD30" s="31">
        <f>IF(N($DD$9)=0,0,COUNTIF(INDEX($M30:$DA30,1):INDEX($M30:$DA30,0+MAX(1,N($DD$9))),"O"))</f>
        <v/>
      </c>
      <c r="DE30" s="31">
        <f>IF(N($DD$9)=0,0,COUNTIF(INDEX($M30:$DA30,1):INDEX($M30:$DA30,0+MAX(1,N($DD$9))),"MOB")+COUNTIF(INDEX($M30:$DA30,1):INDEX($M30:$DA30,0+MAX(1,N($DD$9))),"DEMOB"))</f>
        <v/>
      </c>
      <c r="DF30" s="31">
        <f>IF(B30="",0,IF(N(C30)&gt;0,C30,1)*(DC30*N(D30)+DD30*N(E30)))</f>
        <v/>
      </c>
      <c r="DG30" s="31">
        <f>IF(OR(B30="",A30="Oui",DX30&lt;&gt;1),0,IF(N(C30)&gt;0,C30,1)*(N(F30)+N(H30)))</f>
        <v/>
      </c>
      <c r="DH30" s="31">
        <f>IF(OR(B30="",N($DD$9)=0),0,IF(N(C30)&gt;0,C30,1)*(IF((COUNTIF(INDEX($M30:$DA30,1):INDEX($M30:$DA30,0+MAX(1,N($DD$9))),"VR"))&gt;0,N(G30),0)+IF((COUNTIF(INDEX($M30:$DA30,1):INDEX($M30:$DA30,0+MAX(1,N($DD$9))),"RC"))&gt;0,N(I30),0)))</f>
        <v/>
      </c>
      <c r="DI30" s="31">
        <f>IF(OR(B30="",N($DD$9)=0),0,IF(N(C30)&gt;0,C30,1)*(COUNTIF(INDEX($M30:$DA30,1):INDEX($M30:$DA30,0+MAX(1,N($DD$9))),"FOC"))*N(E30))</f>
        <v/>
      </c>
      <c r="DJ30" s="31">
        <f>IF(N($DE$9)=0,0,COUNTIF(INDEX($M30:$DA30,32):INDEX($M30:$DA30,31+MAX(1,N($DE$9))),"S")+COUNTIF(INDEX($M30:$DA30,32):INDEX($M30:$DA30,31+MAX(1,N($DE$9))),"MOB")+COUNTIF(INDEX($M30:$DA30,32):INDEX($M30:$DA30,31+MAX(1,N($DE$9))),"DEMOB"))</f>
        <v/>
      </c>
      <c r="DK30" s="31">
        <f>IF(N($DE$9)=0,0,COUNTIF(INDEX($M30:$DA30,32):INDEX($M30:$DA30,31+MAX(1,N($DE$9))),"O"))</f>
        <v/>
      </c>
      <c r="DL30" s="31">
        <f>IF(N($DE$9)=0,0,COUNTIF(INDEX($M30:$DA30,32):INDEX($M30:$DA30,31+MAX(1,N($DE$9))),"MOB")+COUNTIF(INDEX($M30:$DA30,32):INDEX($M30:$DA30,31+MAX(1,N($DE$9))),"DEMOB"))</f>
        <v/>
      </c>
      <c r="DM30" s="31">
        <f>IF(B30="",0,IF(N(C30)&gt;0,C30,1)*(DJ30*N(D30)+DK30*N(E30)))</f>
        <v/>
      </c>
      <c r="DN30" s="31">
        <f>IF(OR(B30="",A30="Oui",DX30&lt;&gt;2),0,IF(N(C30)&gt;0,C30,1)*(N(F30)+N(H30)))</f>
        <v/>
      </c>
      <c r="DO30" s="31">
        <f>IF(OR(B30="",N($DE$9)=0),0,IF(N(C30)&gt;0,C30,1)*(IF((COUNTIF(INDEX($M30:$DA30,32):INDEX($M30:$DA30,31+MAX(1,N($DE$9))),"VR"))&gt;0,N(G30),0)+IF((COUNTIF(INDEX($M30:$DA30,32):INDEX($M30:$DA30,31+MAX(1,N($DE$9))),"RC"))&gt;0,N(I30),0)))</f>
        <v/>
      </c>
      <c r="DP30" s="31">
        <f>IF(OR(B30="",N($DE$9)=0),0,IF(N(C30)&gt;0,C30,1)*(COUNTIF(INDEX($M30:$DA30,32):INDEX($M30:$DA30,31+MAX(1,N($DE$9))),"FOC"))*N(E30))</f>
        <v/>
      </c>
      <c r="DQ30" s="31">
        <f>IF(N($DF$9)=0,0,COUNTIF(INDEX($M30:$DA30,63):INDEX($M30:$DA30,62+MAX(1,N($DF$9))),"S")+COUNTIF(INDEX($M30:$DA30,63):INDEX($M30:$DA30,62+MAX(1,N($DF$9))),"MOB")+COUNTIF(INDEX($M30:$DA30,63):INDEX($M30:$DA30,62+MAX(1,N($DF$9))),"DEMOB"))</f>
        <v/>
      </c>
      <c r="DR30" s="31">
        <f>IF(N($DF$9)=0,0,COUNTIF(INDEX($M30:$DA30,63):INDEX($M30:$DA30,62+MAX(1,N($DF$9))),"O"))</f>
        <v/>
      </c>
      <c r="DS30" s="31">
        <f>IF(N($DF$9)=0,0,COUNTIF(INDEX($M30:$DA30,63):INDEX($M30:$DA30,62+MAX(1,N($DF$9))),"MOB")+COUNTIF(INDEX($M30:$DA30,63):INDEX($M30:$DA30,62+MAX(1,N($DF$9))),"DEMOB"))</f>
        <v/>
      </c>
      <c r="DT30" s="31">
        <f>IF(B30="",0,IF(N(C30)&gt;0,C30,1)*(DQ30*N(D30)+DR30*N(E30)))</f>
        <v/>
      </c>
      <c r="DU30" s="31">
        <f>IF(OR(B30="",A30="Oui",DX30&lt;&gt;3),0,IF(N(C30)&gt;0,C30,1)*(N(F30)+N(H30)))</f>
        <v/>
      </c>
      <c r="DV30" s="31">
        <f>IF(OR(B30="",N($DF$9)=0),0,IF(N(C30)&gt;0,C30,1)*(IF((COUNTIF(INDEX($M30:$DA30,63):INDEX($M30:$DA30,62+MAX(1,N($DF$9))),"VR"))&gt;0,N(G30),0)+IF((COUNTIF(INDEX($M30:$DA30,63):INDEX($M30:$DA30,62+MAX(1,N($DF$9))),"RC"))&gt;0,N(I30),0)))</f>
        <v/>
      </c>
      <c r="DW30" s="31">
        <f>IF(OR(B30="",N($DF$9)=0),0,IF(N(C30)&gt;0,C30,1)*(COUNTIF(INDEX($M30:$DA30,63):INDEX($M30:$DA30,62+MAX(1,N($DF$9))),"FOC"))*N(E30))</f>
        <v/>
      </c>
      <c r="DX30" s="31">
        <f>IF(B30="",0,IF(DD30&gt;0,1,IF(DK30&gt;0,2,IF(DR30&gt;0,3,0))))</f>
        <v/>
      </c>
    </row>
    <row r="31" ht="18" customHeight="1">
      <c r="A31" s="32" t="n"/>
      <c r="B31" s="24" t="n"/>
      <c r="C31" s="32" t="n"/>
      <c r="D31" s="25" t="n"/>
      <c r="E31" s="25" t="n"/>
      <c r="F31" s="25" t="n"/>
      <c r="G31" s="25" t="n"/>
      <c r="H31" s="25" t="n"/>
      <c r="I31" s="25" t="n"/>
      <c r="J31" s="28">
        <f>IF(B31="","",DC31+DJ31+DQ31)</f>
        <v/>
      </c>
      <c r="K31" s="28">
        <f>IF(B31="","",DD31+DK31+DR31)</f>
        <v/>
      </c>
      <c r="L31" s="29">
        <f>IF(B31="","",DF31+DM31+DT31+DG31+DN31+DU31+DH31+DO31+DV31)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 s="31">
        <f>IF(N($DD$9)=0,0,COUNTIF(INDEX($M31:$DA31,1):INDEX($M31:$DA31,0+MAX(1,N($DD$9))),"S")+COUNTIF(INDEX($M31:$DA31,1):INDEX($M31:$DA31,0+MAX(1,N($DD$9))),"MOB")+COUNTIF(INDEX($M31:$DA31,1):INDEX($M31:$DA31,0+MAX(1,N($DD$9))),"DEMOB"))</f>
        <v/>
      </c>
      <c r="DD31" s="31">
        <f>IF(N($DD$9)=0,0,COUNTIF(INDEX($M31:$DA31,1):INDEX($M31:$DA31,0+MAX(1,N($DD$9))),"O"))</f>
        <v/>
      </c>
      <c r="DE31" s="31">
        <f>IF(N($DD$9)=0,0,COUNTIF(INDEX($M31:$DA31,1):INDEX($M31:$DA31,0+MAX(1,N($DD$9))),"MOB")+COUNTIF(INDEX($M31:$DA31,1):INDEX($M31:$DA31,0+MAX(1,N($DD$9))),"DEMOB"))</f>
        <v/>
      </c>
      <c r="DF31" s="31">
        <f>IF(B31="",0,IF(N(C31)&gt;0,C31,1)*(DC31*N(D31)+DD31*N(E31)))</f>
        <v/>
      </c>
      <c r="DG31" s="31">
        <f>IF(OR(B31="",A31="Oui",DX31&lt;&gt;1),0,IF(N(C31)&gt;0,C31,1)*(N(F31)+N(H31)))</f>
        <v/>
      </c>
      <c r="DH31" s="31">
        <f>IF(OR(B31="",N($DD$9)=0),0,IF(N(C31)&gt;0,C31,1)*(IF((COUNTIF(INDEX($M31:$DA31,1):INDEX($M31:$DA31,0+MAX(1,N($DD$9))),"VR"))&gt;0,N(G31),0)+IF((COUNTIF(INDEX($M31:$DA31,1):INDEX($M31:$DA31,0+MAX(1,N($DD$9))),"RC"))&gt;0,N(I31),0)))</f>
        <v/>
      </c>
      <c r="DI31" s="31">
        <f>IF(OR(B31="",N($DD$9)=0),0,IF(N(C31)&gt;0,C31,1)*(COUNTIF(INDEX($M31:$DA31,1):INDEX($M31:$DA31,0+MAX(1,N($DD$9))),"FOC"))*N(E31))</f>
        <v/>
      </c>
      <c r="DJ31" s="31">
        <f>IF(N($DE$9)=0,0,COUNTIF(INDEX($M31:$DA31,32):INDEX($M31:$DA31,31+MAX(1,N($DE$9))),"S")+COUNTIF(INDEX($M31:$DA31,32):INDEX($M31:$DA31,31+MAX(1,N($DE$9))),"MOB")+COUNTIF(INDEX($M31:$DA31,32):INDEX($M31:$DA31,31+MAX(1,N($DE$9))),"DEMOB"))</f>
        <v/>
      </c>
      <c r="DK31" s="31">
        <f>IF(N($DE$9)=0,0,COUNTIF(INDEX($M31:$DA31,32):INDEX($M31:$DA31,31+MAX(1,N($DE$9))),"O"))</f>
        <v/>
      </c>
      <c r="DL31" s="31">
        <f>IF(N($DE$9)=0,0,COUNTIF(INDEX($M31:$DA31,32):INDEX($M31:$DA31,31+MAX(1,N($DE$9))),"MOB")+COUNTIF(INDEX($M31:$DA31,32):INDEX($M31:$DA31,31+MAX(1,N($DE$9))),"DEMOB"))</f>
        <v/>
      </c>
      <c r="DM31" s="31">
        <f>IF(B31="",0,IF(N(C31)&gt;0,C31,1)*(DJ31*N(D31)+DK31*N(E31)))</f>
        <v/>
      </c>
      <c r="DN31" s="31">
        <f>IF(OR(B31="",A31="Oui",DX31&lt;&gt;2),0,IF(N(C31)&gt;0,C31,1)*(N(F31)+N(H31)))</f>
        <v/>
      </c>
      <c r="DO31" s="31">
        <f>IF(OR(B31="",N($DE$9)=0),0,IF(N(C31)&gt;0,C31,1)*(IF((COUNTIF(INDEX($M31:$DA31,32):INDEX($M31:$DA31,31+MAX(1,N($DE$9))),"VR"))&gt;0,N(G31),0)+IF((COUNTIF(INDEX($M31:$DA31,32):INDEX($M31:$DA31,31+MAX(1,N($DE$9))),"RC"))&gt;0,N(I31),0)))</f>
        <v/>
      </c>
      <c r="DP31" s="31">
        <f>IF(OR(B31="",N($DE$9)=0),0,IF(N(C31)&gt;0,C31,1)*(COUNTIF(INDEX($M31:$DA31,32):INDEX($M31:$DA31,31+MAX(1,N($DE$9))),"FOC"))*N(E31))</f>
        <v/>
      </c>
      <c r="DQ31" s="31">
        <f>IF(N($DF$9)=0,0,COUNTIF(INDEX($M31:$DA31,63):INDEX($M31:$DA31,62+MAX(1,N($DF$9))),"S")+COUNTIF(INDEX($M31:$DA31,63):INDEX($M31:$DA31,62+MAX(1,N($DF$9))),"MOB")+COUNTIF(INDEX($M31:$DA31,63):INDEX($M31:$DA31,62+MAX(1,N($DF$9))),"DEMOB"))</f>
        <v/>
      </c>
      <c r="DR31" s="31">
        <f>IF(N($DF$9)=0,0,COUNTIF(INDEX($M31:$DA31,63):INDEX($M31:$DA31,62+MAX(1,N($DF$9))),"O"))</f>
        <v/>
      </c>
      <c r="DS31" s="31">
        <f>IF(N($DF$9)=0,0,COUNTIF(INDEX($M31:$DA31,63):INDEX($M31:$DA31,62+MAX(1,N($DF$9))),"MOB")+COUNTIF(INDEX($M31:$DA31,63):INDEX($M31:$DA31,62+MAX(1,N($DF$9))),"DEMOB"))</f>
        <v/>
      </c>
      <c r="DT31" s="31">
        <f>IF(B31="",0,IF(N(C31)&gt;0,C31,1)*(DQ31*N(D31)+DR31*N(E31)))</f>
        <v/>
      </c>
      <c r="DU31" s="31">
        <f>IF(OR(B31="",A31="Oui",DX31&lt;&gt;3),0,IF(N(C31)&gt;0,C31,1)*(N(F31)+N(H31)))</f>
        <v/>
      </c>
      <c r="DV31" s="31">
        <f>IF(OR(B31="",N($DF$9)=0),0,IF(N(C31)&gt;0,C31,1)*(IF((COUNTIF(INDEX($M31:$DA31,63):INDEX($M31:$DA31,62+MAX(1,N($DF$9))),"VR"))&gt;0,N(G31),0)+IF((COUNTIF(INDEX($M31:$DA31,63):INDEX($M31:$DA31,62+MAX(1,N($DF$9))),"RC"))&gt;0,N(I31),0)))</f>
        <v/>
      </c>
      <c r="DW31" s="31">
        <f>IF(OR(B31="",N($DF$9)=0),0,IF(N(C31)&gt;0,C31,1)*(COUNTIF(INDEX($M31:$DA31,63):INDEX($M31:$DA31,62+MAX(1,N($DF$9))),"FOC"))*N(E31))</f>
        <v/>
      </c>
      <c r="DX31" s="31">
        <f>IF(B31="",0,IF(DD31&gt;0,1,IF(DK31&gt;0,2,IF(DR31&gt;0,3,0))))</f>
        <v/>
      </c>
    </row>
    <row r="32" ht="18" customHeight="1">
      <c r="A32" s="32" t="n"/>
      <c r="B32" s="24" t="n"/>
      <c r="C32" s="32" t="n"/>
      <c r="D32" s="25" t="n"/>
      <c r="E32" s="25" t="n"/>
      <c r="F32" s="25" t="n"/>
      <c r="G32" s="25" t="n"/>
      <c r="H32" s="25" t="n"/>
      <c r="I32" s="25" t="n"/>
      <c r="J32" s="28">
        <f>IF(B32="","",DC32+DJ32+DQ32)</f>
        <v/>
      </c>
      <c r="K32" s="28">
        <f>IF(B32="","",DD32+DK32+DR32)</f>
        <v/>
      </c>
      <c r="L32" s="29">
        <f>IF(B32="","",DF32+DM32+DT32+DG32+DN32+DU32+DH32+DO32+DV32)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 s="31">
        <f>IF(N($DD$9)=0,0,COUNTIF(INDEX($M32:$DA32,1):INDEX($M32:$DA32,0+MAX(1,N($DD$9))),"S")+COUNTIF(INDEX($M32:$DA32,1):INDEX($M32:$DA32,0+MAX(1,N($DD$9))),"MOB")+COUNTIF(INDEX($M32:$DA32,1):INDEX($M32:$DA32,0+MAX(1,N($DD$9))),"DEMOB"))</f>
        <v/>
      </c>
      <c r="DD32" s="31">
        <f>IF(N($DD$9)=0,0,COUNTIF(INDEX($M32:$DA32,1):INDEX($M32:$DA32,0+MAX(1,N($DD$9))),"O"))</f>
        <v/>
      </c>
      <c r="DE32" s="31">
        <f>IF(N($DD$9)=0,0,COUNTIF(INDEX($M32:$DA32,1):INDEX($M32:$DA32,0+MAX(1,N($DD$9))),"MOB")+COUNTIF(INDEX($M32:$DA32,1):INDEX($M32:$DA32,0+MAX(1,N($DD$9))),"DEMOB"))</f>
        <v/>
      </c>
      <c r="DF32" s="31">
        <f>IF(B32="",0,IF(N(C32)&gt;0,C32,1)*(DC32*N(D32)+DD32*N(E32)))</f>
        <v/>
      </c>
      <c r="DG32" s="31">
        <f>IF(OR(B32="",A32="Oui",DX32&lt;&gt;1),0,IF(N(C32)&gt;0,C32,1)*(N(F32)+N(H32)))</f>
        <v/>
      </c>
      <c r="DH32" s="31">
        <f>IF(OR(B32="",N($DD$9)=0),0,IF(N(C32)&gt;0,C32,1)*(IF((COUNTIF(INDEX($M32:$DA32,1):INDEX($M32:$DA32,0+MAX(1,N($DD$9))),"VR"))&gt;0,N(G32),0)+IF((COUNTIF(INDEX($M32:$DA32,1):INDEX($M32:$DA32,0+MAX(1,N($DD$9))),"RC"))&gt;0,N(I32),0)))</f>
        <v/>
      </c>
      <c r="DI32" s="31">
        <f>IF(OR(B32="",N($DD$9)=0),0,IF(N(C32)&gt;0,C32,1)*(COUNTIF(INDEX($M32:$DA32,1):INDEX($M32:$DA32,0+MAX(1,N($DD$9))),"FOC"))*N(E32))</f>
        <v/>
      </c>
      <c r="DJ32" s="31">
        <f>IF(N($DE$9)=0,0,COUNTIF(INDEX($M32:$DA32,32):INDEX($M32:$DA32,31+MAX(1,N($DE$9))),"S")+COUNTIF(INDEX($M32:$DA32,32):INDEX($M32:$DA32,31+MAX(1,N($DE$9))),"MOB")+COUNTIF(INDEX($M32:$DA32,32):INDEX($M32:$DA32,31+MAX(1,N($DE$9))),"DEMOB"))</f>
        <v/>
      </c>
      <c r="DK32" s="31">
        <f>IF(N($DE$9)=0,0,COUNTIF(INDEX($M32:$DA32,32):INDEX($M32:$DA32,31+MAX(1,N($DE$9))),"O"))</f>
        <v/>
      </c>
      <c r="DL32" s="31">
        <f>IF(N($DE$9)=0,0,COUNTIF(INDEX($M32:$DA32,32):INDEX($M32:$DA32,31+MAX(1,N($DE$9))),"MOB")+COUNTIF(INDEX($M32:$DA32,32):INDEX($M32:$DA32,31+MAX(1,N($DE$9))),"DEMOB"))</f>
        <v/>
      </c>
      <c r="DM32" s="31">
        <f>IF(B32="",0,IF(N(C32)&gt;0,C32,1)*(DJ32*N(D32)+DK32*N(E32)))</f>
        <v/>
      </c>
      <c r="DN32" s="31">
        <f>IF(OR(B32="",A32="Oui",DX32&lt;&gt;2),0,IF(N(C32)&gt;0,C32,1)*(N(F32)+N(H32)))</f>
        <v/>
      </c>
      <c r="DO32" s="31">
        <f>IF(OR(B32="",N($DE$9)=0),0,IF(N(C32)&gt;0,C32,1)*(IF((COUNTIF(INDEX($M32:$DA32,32):INDEX($M32:$DA32,31+MAX(1,N($DE$9))),"VR"))&gt;0,N(G32),0)+IF((COUNTIF(INDEX($M32:$DA32,32):INDEX($M32:$DA32,31+MAX(1,N($DE$9))),"RC"))&gt;0,N(I32),0)))</f>
        <v/>
      </c>
      <c r="DP32" s="31">
        <f>IF(OR(B32="",N($DE$9)=0),0,IF(N(C32)&gt;0,C32,1)*(COUNTIF(INDEX($M32:$DA32,32):INDEX($M32:$DA32,31+MAX(1,N($DE$9))),"FOC"))*N(E32))</f>
        <v/>
      </c>
      <c r="DQ32" s="31">
        <f>IF(N($DF$9)=0,0,COUNTIF(INDEX($M32:$DA32,63):INDEX($M32:$DA32,62+MAX(1,N($DF$9))),"S")+COUNTIF(INDEX($M32:$DA32,63):INDEX($M32:$DA32,62+MAX(1,N($DF$9))),"MOB")+COUNTIF(INDEX($M32:$DA32,63):INDEX($M32:$DA32,62+MAX(1,N($DF$9))),"DEMOB"))</f>
        <v/>
      </c>
      <c r="DR32" s="31">
        <f>IF(N($DF$9)=0,0,COUNTIF(INDEX($M32:$DA32,63):INDEX($M32:$DA32,62+MAX(1,N($DF$9))),"O"))</f>
        <v/>
      </c>
      <c r="DS32" s="31">
        <f>IF(N($DF$9)=0,0,COUNTIF(INDEX($M32:$DA32,63):INDEX($M32:$DA32,62+MAX(1,N($DF$9))),"MOB")+COUNTIF(INDEX($M32:$DA32,63):INDEX($M32:$DA32,62+MAX(1,N($DF$9))),"DEMOB"))</f>
        <v/>
      </c>
      <c r="DT32" s="31">
        <f>IF(B32="",0,IF(N(C32)&gt;0,C32,1)*(DQ32*N(D32)+DR32*N(E32)))</f>
        <v/>
      </c>
      <c r="DU32" s="31">
        <f>IF(OR(B32="",A32="Oui",DX32&lt;&gt;3),0,IF(N(C32)&gt;0,C32,1)*(N(F32)+N(H32)))</f>
        <v/>
      </c>
      <c r="DV32" s="31">
        <f>IF(OR(B32="",N($DF$9)=0),0,IF(N(C32)&gt;0,C32,1)*(IF((COUNTIF(INDEX($M32:$DA32,63):INDEX($M32:$DA32,62+MAX(1,N($DF$9))),"VR"))&gt;0,N(G32),0)+IF((COUNTIF(INDEX($M32:$DA32,63):INDEX($M32:$DA32,62+MAX(1,N($DF$9))),"RC"))&gt;0,N(I32),0)))</f>
        <v/>
      </c>
      <c r="DW32" s="31">
        <f>IF(OR(B32="",N($DF$9)=0),0,IF(N(C32)&gt;0,C32,1)*(COUNTIF(INDEX($M32:$DA32,63):INDEX($M32:$DA32,62+MAX(1,N($DF$9))),"FOC"))*N(E32))</f>
        <v/>
      </c>
      <c r="DX32" s="31">
        <f>IF(B32="",0,IF(DD32&gt;0,1,IF(DK32&gt;0,2,IF(DR32&gt;0,3,0))))</f>
        <v/>
      </c>
    </row>
    <row r="33" ht="18" customHeight="1">
      <c r="A33" s="32" t="n"/>
      <c r="B33" s="24" t="n"/>
      <c r="C33" s="32" t="n"/>
      <c r="D33" s="25" t="n"/>
      <c r="E33" s="25" t="n"/>
      <c r="F33" s="25" t="n"/>
      <c r="G33" s="25" t="n"/>
      <c r="H33" s="25" t="n"/>
      <c r="I33" s="25" t="n"/>
      <c r="J33" s="28">
        <f>IF(B33="","",DC33+DJ33+DQ33)</f>
        <v/>
      </c>
      <c r="K33" s="28">
        <f>IF(B33="","",DD33+DK33+DR33)</f>
        <v/>
      </c>
      <c r="L33" s="29">
        <f>IF(B33="","",DF33+DM33+DT33+DG33+DN33+DU33+DH33+DO33+DV33)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 s="31">
        <f>IF(N($DD$9)=0,0,COUNTIF(INDEX($M33:$DA33,1):INDEX($M33:$DA33,0+MAX(1,N($DD$9))),"S")+COUNTIF(INDEX($M33:$DA33,1):INDEX($M33:$DA33,0+MAX(1,N($DD$9))),"MOB")+COUNTIF(INDEX($M33:$DA33,1):INDEX($M33:$DA33,0+MAX(1,N($DD$9))),"DEMOB"))</f>
        <v/>
      </c>
      <c r="DD33" s="31">
        <f>IF(N($DD$9)=0,0,COUNTIF(INDEX($M33:$DA33,1):INDEX($M33:$DA33,0+MAX(1,N($DD$9))),"O"))</f>
        <v/>
      </c>
      <c r="DE33" s="31">
        <f>IF(N($DD$9)=0,0,COUNTIF(INDEX($M33:$DA33,1):INDEX($M33:$DA33,0+MAX(1,N($DD$9))),"MOB")+COUNTIF(INDEX($M33:$DA33,1):INDEX($M33:$DA33,0+MAX(1,N($DD$9))),"DEMOB"))</f>
        <v/>
      </c>
      <c r="DF33" s="31">
        <f>IF(B33="",0,IF(N(C33)&gt;0,C33,1)*(DC33*N(D33)+DD33*N(E33)))</f>
        <v/>
      </c>
      <c r="DG33" s="31">
        <f>IF(OR(B33="",A33="Oui",DX33&lt;&gt;1),0,IF(N(C33)&gt;0,C33,1)*(N(F33)+N(H33)))</f>
        <v/>
      </c>
      <c r="DH33" s="31">
        <f>IF(OR(B33="",N($DD$9)=0),0,IF(N(C33)&gt;0,C33,1)*(IF((COUNTIF(INDEX($M33:$DA33,1):INDEX($M33:$DA33,0+MAX(1,N($DD$9))),"VR"))&gt;0,N(G33),0)+IF((COUNTIF(INDEX($M33:$DA33,1):INDEX($M33:$DA33,0+MAX(1,N($DD$9))),"RC"))&gt;0,N(I33),0)))</f>
        <v/>
      </c>
      <c r="DI33" s="31">
        <f>IF(OR(B33="",N($DD$9)=0),0,IF(N(C33)&gt;0,C33,1)*(COUNTIF(INDEX($M33:$DA33,1):INDEX($M33:$DA33,0+MAX(1,N($DD$9))),"FOC"))*N(E33))</f>
        <v/>
      </c>
      <c r="DJ33" s="31">
        <f>IF(N($DE$9)=0,0,COUNTIF(INDEX($M33:$DA33,32):INDEX($M33:$DA33,31+MAX(1,N($DE$9))),"S")+COUNTIF(INDEX($M33:$DA33,32):INDEX($M33:$DA33,31+MAX(1,N($DE$9))),"MOB")+COUNTIF(INDEX($M33:$DA33,32):INDEX($M33:$DA33,31+MAX(1,N($DE$9))),"DEMOB"))</f>
        <v/>
      </c>
      <c r="DK33" s="31">
        <f>IF(N($DE$9)=0,0,COUNTIF(INDEX($M33:$DA33,32):INDEX($M33:$DA33,31+MAX(1,N($DE$9))),"O"))</f>
        <v/>
      </c>
      <c r="DL33" s="31">
        <f>IF(N($DE$9)=0,0,COUNTIF(INDEX($M33:$DA33,32):INDEX($M33:$DA33,31+MAX(1,N($DE$9))),"MOB")+COUNTIF(INDEX($M33:$DA33,32):INDEX($M33:$DA33,31+MAX(1,N($DE$9))),"DEMOB"))</f>
        <v/>
      </c>
      <c r="DM33" s="31">
        <f>IF(B33="",0,IF(N(C33)&gt;0,C33,1)*(DJ33*N(D33)+DK33*N(E33)))</f>
        <v/>
      </c>
      <c r="DN33" s="31">
        <f>IF(OR(B33="",A33="Oui",DX33&lt;&gt;2),0,IF(N(C33)&gt;0,C33,1)*(N(F33)+N(H33)))</f>
        <v/>
      </c>
      <c r="DO33" s="31">
        <f>IF(OR(B33="",N($DE$9)=0),0,IF(N(C33)&gt;0,C33,1)*(IF((COUNTIF(INDEX($M33:$DA33,32):INDEX($M33:$DA33,31+MAX(1,N($DE$9))),"VR"))&gt;0,N(G33),0)+IF((COUNTIF(INDEX($M33:$DA33,32):INDEX($M33:$DA33,31+MAX(1,N($DE$9))),"RC"))&gt;0,N(I33),0)))</f>
        <v/>
      </c>
      <c r="DP33" s="31">
        <f>IF(OR(B33="",N($DE$9)=0),0,IF(N(C33)&gt;0,C33,1)*(COUNTIF(INDEX($M33:$DA33,32):INDEX($M33:$DA33,31+MAX(1,N($DE$9))),"FOC"))*N(E33))</f>
        <v/>
      </c>
      <c r="DQ33" s="31">
        <f>IF(N($DF$9)=0,0,COUNTIF(INDEX($M33:$DA33,63):INDEX($M33:$DA33,62+MAX(1,N($DF$9))),"S")+COUNTIF(INDEX($M33:$DA33,63):INDEX($M33:$DA33,62+MAX(1,N($DF$9))),"MOB")+COUNTIF(INDEX($M33:$DA33,63):INDEX($M33:$DA33,62+MAX(1,N($DF$9))),"DEMOB"))</f>
        <v/>
      </c>
      <c r="DR33" s="31">
        <f>IF(N($DF$9)=0,0,COUNTIF(INDEX($M33:$DA33,63):INDEX($M33:$DA33,62+MAX(1,N($DF$9))),"O"))</f>
        <v/>
      </c>
      <c r="DS33" s="31">
        <f>IF(N($DF$9)=0,0,COUNTIF(INDEX($M33:$DA33,63):INDEX($M33:$DA33,62+MAX(1,N($DF$9))),"MOB")+COUNTIF(INDEX($M33:$DA33,63):INDEX($M33:$DA33,62+MAX(1,N($DF$9))),"DEMOB"))</f>
        <v/>
      </c>
      <c r="DT33" s="31">
        <f>IF(B33="",0,IF(N(C33)&gt;0,C33,1)*(DQ33*N(D33)+DR33*N(E33)))</f>
        <v/>
      </c>
      <c r="DU33" s="31">
        <f>IF(OR(B33="",A33="Oui",DX33&lt;&gt;3),0,IF(N(C33)&gt;0,C33,1)*(N(F33)+N(H33)))</f>
        <v/>
      </c>
      <c r="DV33" s="31">
        <f>IF(OR(B33="",N($DF$9)=0),0,IF(N(C33)&gt;0,C33,1)*(IF((COUNTIF(INDEX($M33:$DA33,63):INDEX($M33:$DA33,62+MAX(1,N($DF$9))),"VR"))&gt;0,N(G33),0)+IF((COUNTIF(INDEX($M33:$DA33,63):INDEX($M33:$DA33,62+MAX(1,N($DF$9))),"RC"))&gt;0,N(I33),0)))</f>
        <v/>
      </c>
      <c r="DW33" s="31">
        <f>IF(OR(B33="",N($DF$9)=0),0,IF(N(C33)&gt;0,C33,1)*(COUNTIF(INDEX($M33:$DA33,63):INDEX($M33:$DA33,62+MAX(1,N($DF$9))),"FOC"))*N(E33))</f>
        <v/>
      </c>
      <c r="DX33" s="31">
        <f>IF(B33="",0,IF(DD33&gt;0,1,IF(DK33&gt;0,2,IF(DR33&gt;0,3,0))))</f>
        <v/>
      </c>
    </row>
    <row r="35" ht="20" customHeight="1">
      <c r="A35" s="20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3" t="n"/>
      <c r="B36" s="24" t="inlineStr">
        <is>
          <t>Transport MOB (au coût +15 %)</t>
        </is>
      </c>
      <c r="C36" s="32" t="n">
        <v>1</v>
      </c>
      <c r="D36" s="26" t="n"/>
      <c r="E36" s="25" t="n">
        <v>480</v>
      </c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  <c r="BJ36" s="33" t="n"/>
      <c r="BK36" s="33" t="n"/>
      <c r="BL36" s="33" t="n"/>
      <c r="BM36" s="33" t="n"/>
      <c r="BN36" s="33" t="n"/>
      <c r="BO36" s="33" t="n"/>
      <c r="BP36" s="33" t="n"/>
      <c r="BQ36" s="33" t="n"/>
      <c r="BR36" s="33" t="n"/>
      <c r="BS36" s="33" t="n"/>
      <c r="BT36" s="33" t="n"/>
      <c r="BU36" s="33" t="n"/>
      <c r="BV36" s="33" t="n"/>
      <c r="BW36" s="33" t="n"/>
      <c r="BX36" s="33" t="n"/>
      <c r="BY36" s="33" t="n"/>
      <c r="BZ36" s="33" t="n"/>
      <c r="CA36" s="33" t="n"/>
      <c r="CB36" s="33" t="n"/>
      <c r="CC36" s="33" t="n"/>
      <c r="CD36" s="33" t="n"/>
      <c r="CE36" s="33" t="n"/>
      <c r="CF36" s="33" t="n"/>
      <c r="CG36" s="33" t="n"/>
      <c r="CH36" s="33" t="n"/>
      <c r="CI36" s="33" t="n"/>
      <c r="CJ36" s="33" t="n"/>
      <c r="CK36" s="33" t="n"/>
      <c r="CL36" s="33" t="n"/>
      <c r="CM36" s="33" t="n"/>
      <c r="CN36" s="33" t="n"/>
      <c r="CO36" s="33" t="n"/>
      <c r="CP36" s="33" t="n"/>
      <c r="CQ36" s="33" t="n"/>
      <c r="CR36" s="33" t="n"/>
      <c r="CS36" s="33" t="n"/>
      <c r="CT36" s="33" t="n"/>
      <c r="CU36" s="33" t="n"/>
      <c r="CV36" s="33" t="n"/>
      <c r="CW36" s="33" t="n"/>
      <c r="CX36" s="33" t="n"/>
      <c r="CY36" s="33" t="n"/>
      <c r="CZ36" s="33" t="n"/>
      <c r="DA36" s="33" t="n"/>
      <c r="DC36" s="31" t="n">
        <v>0</v>
      </c>
      <c r="DD36" s="31" t="n">
        <v>0</v>
      </c>
      <c r="DE36" s="31" t="n">
        <v>0</v>
      </c>
      <c r="DF36" s="31" t="n">
        <v>0</v>
      </c>
      <c r="DG36" s="31" t="n">
        <v>0</v>
      </c>
      <c r="DH36" s="31" t="n">
        <v>0</v>
      </c>
      <c r="DI36" s="31" t="n">
        <v>0</v>
      </c>
      <c r="DJ36" s="31" t="n">
        <v>0</v>
      </c>
      <c r="DK36" s="31" t="n">
        <v>0</v>
      </c>
      <c r="DL36" s="31" t="n">
        <v>0</v>
      </c>
      <c r="DM36" s="31" t="n">
        <v>0</v>
      </c>
      <c r="DN36" s="31" t="n">
        <v>0</v>
      </c>
      <c r="DO36" s="31" t="n">
        <v>0</v>
      </c>
      <c r="DP36" s="31" t="n">
        <v>0</v>
      </c>
      <c r="DQ36" s="31" t="n">
        <v>0</v>
      </c>
      <c r="DR36" s="31" t="n">
        <v>0</v>
      </c>
      <c r="DS36" s="31" t="n">
        <v>0</v>
      </c>
      <c r="DT36" s="31" t="n">
        <v>0</v>
      </c>
      <c r="DU36" s="31" t="n">
        <v>0</v>
      </c>
      <c r="DV36" s="31" t="n">
        <v>0</v>
      </c>
      <c r="DW36" s="31" t="n">
        <v>0</v>
      </c>
      <c r="DX36" s="31" t="n">
        <v>0</v>
      </c>
    </row>
    <row r="37" ht="18" customHeight="1">
      <c r="A37" s="23" t="n"/>
      <c r="B37" s="24" t="inlineStr">
        <is>
          <t>Transport DEMOB (au coût +15 %)</t>
        </is>
      </c>
      <c r="C37" s="32" t="n">
        <v>1</v>
      </c>
      <c r="D37" s="26" t="n"/>
      <c r="E37" s="25" t="n">
        <v>520</v>
      </c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  <c r="DP37" s="31" t="n">
        <v>0</v>
      </c>
      <c r="DQ37" s="31" t="n">
        <v>0</v>
      </c>
      <c r="DR37" s="31" t="n">
        <v>0</v>
      </c>
      <c r="DS37" s="31" t="n">
        <v>0</v>
      </c>
      <c r="DT37" s="31" t="n">
        <v>0</v>
      </c>
      <c r="DU37" s="31" t="n">
        <v>0</v>
      </c>
      <c r="DV37" s="31" t="n">
        <v>0</v>
      </c>
      <c r="DW37" s="31" t="n">
        <v>0</v>
      </c>
      <c r="DX37" s="31" t="n">
        <v>0</v>
      </c>
    </row>
    <row r="38" ht="18" customHeight="1">
      <c r="A38" s="23" t="n"/>
      <c r="B38" s="24" t="n"/>
      <c r="C38" s="32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  <c r="BJ38" s="33" t="n"/>
      <c r="BK38" s="33" t="n"/>
      <c r="BL38" s="33" t="n"/>
      <c r="BM38" s="33" t="n"/>
      <c r="BN38" s="33" t="n"/>
      <c r="BO38" s="33" t="n"/>
      <c r="BP38" s="33" t="n"/>
      <c r="BQ38" s="33" t="n"/>
      <c r="BR38" s="33" t="n"/>
      <c r="BS38" s="33" t="n"/>
      <c r="BT38" s="33" t="n"/>
      <c r="BU38" s="33" t="n"/>
      <c r="BV38" s="33" t="n"/>
      <c r="BW38" s="33" t="n"/>
      <c r="BX38" s="33" t="n"/>
      <c r="BY38" s="33" t="n"/>
      <c r="BZ38" s="33" t="n"/>
      <c r="CA38" s="33" t="n"/>
      <c r="CB38" s="33" t="n"/>
      <c r="CC38" s="33" t="n"/>
      <c r="CD38" s="33" t="n"/>
      <c r="CE38" s="33" t="n"/>
      <c r="CF38" s="33" t="n"/>
      <c r="CG38" s="33" t="n"/>
      <c r="CH38" s="33" t="n"/>
      <c r="CI38" s="33" t="n"/>
      <c r="CJ38" s="33" t="n"/>
      <c r="CK38" s="33" t="n"/>
      <c r="CL38" s="33" t="n"/>
      <c r="CM38" s="33" t="n"/>
      <c r="CN38" s="33" t="n"/>
      <c r="CO38" s="33" t="n"/>
      <c r="CP38" s="33" t="n"/>
      <c r="CQ38" s="33" t="n"/>
      <c r="CR38" s="33" t="n"/>
      <c r="CS38" s="33" t="n"/>
      <c r="CT38" s="33" t="n"/>
      <c r="CU38" s="33" t="n"/>
      <c r="CV38" s="33" t="n"/>
      <c r="CW38" s="33" t="n"/>
      <c r="CX38" s="33" t="n"/>
      <c r="CY38" s="33" t="n"/>
      <c r="CZ38" s="33" t="n"/>
      <c r="DA38" s="33" t="n"/>
      <c r="DC38" s="31" t="n">
        <v>0</v>
      </c>
      <c r="DD38" s="31" t="n">
        <v>0</v>
      </c>
      <c r="DE38" s="31" t="n">
        <v>0</v>
      </c>
      <c r="DF38" s="31" t="n">
        <v>0</v>
      </c>
      <c r="DG38" s="31" t="n">
        <v>0</v>
      </c>
      <c r="DH38" s="31" t="n">
        <v>0</v>
      </c>
      <c r="DI38" s="31" t="n">
        <v>0</v>
      </c>
      <c r="DJ38" s="31" t="n">
        <v>0</v>
      </c>
      <c r="DK38" s="31" t="n">
        <v>0</v>
      </c>
      <c r="DL38" s="31" t="n">
        <v>0</v>
      </c>
      <c r="DM38" s="31" t="n">
        <v>0</v>
      </c>
      <c r="DN38" s="31" t="n">
        <v>0</v>
      </c>
      <c r="DO38" s="31" t="n">
        <v>0</v>
      </c>
      <c r="DP38" s="31" t="n">
        <v>0</v>
      </c>
      <c r="DQ38" s="31" t="n">
        <v>0</v>
      </c>
      <c r="DR38" s="31" t="n">
        <v>0</v>
      </c>
      <c r="DS38" s="31" t="n">
        <v>0</v>
      </c>
      <c r="DT38" s="31" t="n">
        <v>0</v>
      </c>
      <c r="DU38" s="31" t="n">
        <v>0</v>
      </c>
      <c r="DV38" s="31" t="n">
        <v>0</v>
      </c>
      <c r="DW38" s="31" t="n">
        <v>0</v>
      </c>
      <c r="DX38" s="31" t="n">
        <v>0</v>
      </c>
    </row>
    <row r="41" ht="20" customHeight="1">
      <c r="A41" s="20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20">
        <f>IF(OR($C$9="",N($DD$9)=0),"","FACTURATION · "&amp;CHOOSE(MONTH($C$9),"JANVIER","FÉVRIER","MARS","AVRIL","MAI","JUIN","JUILLET","AOÛT","SEPTEMBRE","OCTOBRE","NOVEMBRE","DÉCEMBRE")&amp;" "&amp;YEAR($C$9)&amp;"   (hors transport et autres frais)")</f>
        <v/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20">
        <f>IF(OR($C$9="",N($DE$9)=0),"","FACTURATION · "&amp;CHOOSE(MONTH(DATE(YEAR($C$9),MONTH($C$9)+1,1)),"JANVIER","FÉVRIER","MARS","AVRIL","MAI","JUIN","JUILLET","AOÛT","SEPTEMBRE","OCTOBRE","NOVEMBRE","DÉCEMBRE")&amp;" "&amp;YEAR(DATE(YEAR($C$9),MONTH($C$9)+1,1))&amp;"   (hors transport et autres frais)")</f>
        <v/>
      </c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20">
        <f>IF(OR($C$9="",N($DF$9)=0),"","FACTURATION · "&amp;CHOOSE(MONTH(DATE(YEAR($C$9),MONTH($C$9)+2,1)),"JANVIER","FÉVRIER","MARS","AVRIL","MAI","JUIN","JUILLET","AOÛT","SEPTEMBRE","OCTOBRE","NOVEMBRE","DÉCEMBRE")&amp;" "&amp;YEAR(DATE(YEAR($C$9),MONTH($C$9)+2,1))&amp;"   (hors transport et autres frais)")</f>
        <v/>
      </c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  <c r="CH41" s="1" t="n"/>
      <c r="CI41" s="1" t="n"/>
      <c r="CJ41" s="1" t="n"/>
      <c r="CK41" s="1" t="n"/>
      <c r="CL41" s="1" t="n"/>
      <c r="CM41" s="1" t="n"/>
      <c r="CN41" s="1" t="n"/>
      <c r="CO41" s="1" t="n"/>
      <c r="CP41" s="1" t="n"/>
      <c r="CQ41" s="1" t="n"/>
      <c r="CR41" s="1" t="n"/>
      <c r="CS41" s="1" t="n"/>
      <c r="CT41" s="1" t="n"/>
      <c r="CU41" s="1" t="n"/>
      <c r="CV41" s="1" t="n"/>
      <c r="CW41" s="1" t="n"/>
      <c r="CX41" s="1" t="n"/>
      <c r="CY41" s="1" t="n"/>
      <c r="CZ41" s="1" t="n"/>
      <c r="DA41" s="1" t="n"/>
    </row>
    <row r="42" ht="18" customHeight="1">
      <c r="A42" s="34">
        <f>"Opérateurs · tarif journalier ("&amp;SUM(K17:K19)&amp;" j opérations, "&amp;SUM(J17:J19)&amp;" j stand-by)"</f>
        <v/>
      </c>
      <c r="B42" s="23" t="n"/>
      <c r="C42" s="23" t="n"/>
      <c r="D42" s="23" t="n"/>
      <c r="E42" s="23" t="n"/>
      <c r="F42" s="23" t="n"/>
      <c r="G42" s="35" t="inlineStr">
        <is>
          <t>910XFISHINGOP</t>
        </is>
      </c>
      <c r="H42" s="23" t="n"/>
      <c r="I42" s="23" t="n"/>
      <c r="J42" s="23" t="n"/>
      <c r="K42" s="23" t="n"/>
      <c r="L42" s="36">
        <f>SUM(DF17:DF19)+SUM(DM17:DM19)+SUM(DT17:DT19)</f>
        <v/>
      </c>
      <c r="M42" s="37" t="inlineStr">
        <is>
          <t>Opérateurs · jours</t>
        </is>
      </c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9">
        <f>IF(N($DD$9)=0,"",SUM(DF17:DF19))</f>
        <v/>
      </c>
      <c r="AF42" s="23" t="n"/>
      <c r="AG42" s="23" t="n"/>
      <c r="AH42" s="23" t="n"/>
      <c r="AI42" s="23" t="n"/>
      <c r="AJ42" s="23" t="n"/>
      <c r="AK42" s="23" t="n"/>
      <c r="AL42" s="23" t="n"/>
      <c r="AR42" s="37" t="inlineStr">
        <is>
          <t>Opérateurs · jours</t>
        </is>
      </c>
      <c r="AS42" s="23" t="n"/>
      <c r="AT42" s="23" t="n"/>
      <c r="AU42" s="23" t="n"/>
      <c r="AV42" s="23" t="n"/>
      <c r="AW42" s="23" t="n"/>
      <c r="AX42" s="23" t="n"/>
      <c r="AY42" s="23" t="n"/>
      <c r="AZ42" s="23" t="n"/>
      <c r="BA42" s="23" t="n"/>
      <c r="BB42" s="23" t="n"/>
      <c r="BC42" s="23" t="n"/>
      <c r="BD42" s="23" t="n"/>
      <c r="BE42" s="23" t="n"/>
      <c r="BF42" s="23" t="n"/>
      <c r="BG42" s="23" t="n"/>
      <c r="BH42" s="23" t="n"/>
      <c r="BI42" s="23" t="n"/>
      <c r="BJ42" s="29">
        <f>IF(N($DE$9)=0,"",SUM(DM17:DM19))</f>
        <v/>
      </c>
      <c r="BK42" s="23" t="n"/>
      <c r="BL42" s="23" t="n"/>
      <c r="BM42" s="23" t="n"/>
      <c r="BN42" s="23" t="n"/>
      <c r="BO42" s="23" t="n"/>
      <c r="BP42" s="23" t="n"/>
      <c r="BQ42" s="23" t="n"/>
      <c r="BW42" s="37" t="inlineStr">
        <is>
          <t>Opérateurs · jours</t>
        </is>
      </c>
      <c r="BX42" s="23" t="n"/>
      <c r="BY42" s="23" t="n"/>
      <c r="BZ42" s="23" t="n"/>
      <c r="CA42" s="23" t="n"/>
      <c r="CB42" s="23" t="n"/>
      <c r="CC42" s="23" t="n"/>
      <c r="CD42" s="23" t="n"/>
      <c r="CE42" s="23" t="n"/>
      <c r="CF42" s="23" t="n"/>
      <c r="CG42" s="23" t="n"/>
      <c r="CH42" s="23" t="n"/>
      <c r="CI42" s="23" t="n"/>
      <c r="CJ42" s="23" t="n"/>
      <c r="CK42" s="23" t="n"/>
      <c r="CL42" s="23" t="n"/>
      <c r="CM42" s="23" t="n"/>
      <c r="CN42" s="23" t="n"/>
      <c r="CO42" s="29">
        <f>IF(N($DF$9)=0,"",SUM(DT17:DT19))</f>
        <v/>
      </c>
      <c r="CP42" s="23" t="n"/>
      <c r="CQ42" s="23" t="n"/>
      <c r="CR42" s="23" t="n"/>
      <c r="CS42" s="23" t="n"/>
      <c r="CT42" s="23" t="n"/>
      <c r="CU42" s="23" t="n"/>
      <c r="CV42" s="23" t="n"/>
    </row>
    <row r="43" ht="18" customHeight="1">
      <c r="A43" s="34">
        <f>"Opérateurs · mob / demob ("&amp;SUM(I17:I19)&amp;")"</f>
        <v/>
      </c>
      <c r="B43" s="23" t="n"/>
      <c r="C43" s="23" t="n"/>
      <c r="D43" s="23" t="n"/>
      <c r="E43" s="23" t="n"/>
      <c r="F43" s="23" t="n"/>
      <c r="G43" s="35" t="inlineStr">
        <is>
          <t>900XMOBDEMOB</t>
        </is>
      </c>
      <c r="H43" s="23" t="n"/>
      <c r="I43" s="23" t="n"/>
      <c r="J43" s="23" t="n"/>
      <c r="K43" s="23" t="n"/>
      <c r="L43" s="36">
        <f>SUM(DG17:DG19)+SUM(DN17:DN19)+SUM(DU17:DU19)</f>
        <v/>
      </c>
      <c r="M43" s="37" t="inlineStr">
        <is>
          <t>Opérateurs · mob / demob</t>
        </is>
      </c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9">
        <f>IF(N($DD$9)=0,"",SUM(DG17:DG19))</f>
        <v/>
      </c>
      <c r="AF43" s="23" t="n"/>
      <c r="AG43" s="23" t="n"/>
      <c r="AH43" s="23" t="n"/>
      <c r="AI43" s="23" t="n"/>
      <c r="AJ43" s="23" t="n"/>
      <c r="AK43" s="23" t="n"/>
      <c r="AL43" s="23" t="n"/>
      <c r="AR43" s="37" t="inlineStr">
        <is>
          <t>Opérateurs · mob / demob</t>
        </is>
      </c>
      <c r="AS43" s="23" t="n"/>
      <c r="AT43" s="23" t="n"/>
      <c r="AU43" s="23" t="n"/>
      <c r="AV43" s="23" t="n"/>
      <c r="AW43" s="23" t="n"/>
      <c r="AX43" s="23" t="n"/>
      <c r="AY43" s="23" t="n"/>
      <c r="AZ43" s="23" t="n"/>
      <c r="BA43" s="23" t="n"/>
      <c r="BB43" s="23" t="n"/>
      <c r="BC43" s="23" t="n"/>
      <c r="BD43" s="23" t="n"/>
      <c r="BE43" s="23" t="n"/>
      <c r="BF43" s="23" t="n"/>
      <c r="BG43" s="23" t="n"/>
      <c r="BH43" s="23" t="n"/>
      <c r="BI43" s="23" t="n"/>
      <c r="BJ43" s="29">
        <f>IF(N($DE$9)=0,"",SUM(DN17:DN19))</f>
        <v/>
      </c>
      <c r="BK43" s="23" t="n"/>
      <c r="BL43" s="23" t="n"/>
      <c r="BM43" s="23" t="n"/>
      <c r="BN43" s="23" t="n"/>
      <c r="BO43" s="23" t="n"/>
      <c r="BP43" s="23" t="n"/>
      <c r="BQ43" s="23" t="n"/>
      <c r="BW43" s="37" t="inlineStr">
        <is>
          <t>Opérateurs · mob / demob</t>
        </is>
      </c>
      <c r="BX43" s="23" t="n"/>
      <c r="BY43" s="23" t="n"/>
      <c r="BZ43" s="23" t="n"/>
      <c r="CA43" s="23" t="n"/>
      <c r="CB43" s="23" t="n"/>
      <c r="CC43" s="23" t="n"/>
      <c r="CD43" s="23" t="n"/>
      <c r="CE43" s="23" t="n"/>
      <c r="CF43" s="23" t="n"/>
      <c r="CG43" s="23" t="n"/>
      <c r="CH43" s="23" t="n"/>
      <c r="CI43" s="23" t="n"/>
      <c r="CJ43" s="23" t="n"/>
      <c r="CK43" s="23" t="n"/>
      <c r="CL43" s="23" t="n"/>
      <c r="CM43" s="23" t="n"/>
      <c r="CN43" s="23" t="n"/>
      <c r="CO43" s="29">
        <f>IF(N($DF$9)=0,"",SUM(DU17:DU19))</f>
        <v/>
      </c>
      <c r="CP43" s="23" t="n"/>
      <c r="CQ43" s="23" t="n"/>
      <c r="CR43" s="23" t="n"/>
      <c r="CS43" s="23" t="n"/>
      <c r="CT43" s="23" t="n"/>
      <c r="CU43" s="23" t="n"/>
      <c r="CV43" s="23" t="n"/>
    </row>
    <row r="44" ht="18" customHeight="1">
      <c r="A44" s="34" t="inlineStr">
        <is>
          <t>Location du matériel (stand-by + opérations)</t>
        </is>
      </c>
      <c r="B44" s="23" t="n"/>
      <c r="C44" s="23" t="n"/>
      <c r="D44" s="23" t="n"/>
      <c r="E44" s="23" t="n"/>
      <c r="F44" s="23" t="n"/>
      <c r="G44" s="35" t="inlineStr">
        <is>
          <t>904XRENTALEQUIPMT</t>
        </is>
      </c>
      <c r="H44" s="23" t="n"/>
      <c r="I44" s="23" t="n"/>
      <c r="J44" s="23" t="n"/>
      <c r="K44" s="23" t="n"/>
      <c r="L44" s="36">
        <f>SUM(DF22:DF33)+SUM(DM22:DM33)+SUM(DT22:DT33)</f>
        <v/>
      </c>
      <c r="M44" s="37" t="inlineStr">
        <is>
          <t>Location du matériel</t>
        </is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9">
        <f>IF(N($DD$9)=0,"",SUM(DF22:DF33))</f>
        <v/>
      </c>
      <c r="AF44" s="23" t="n"/>
      <c r="AG44" s="23" t="n"/>
      <c r="AH44" s="23" t="n"/>
      <c r="AI44" s="23" t="n"/>
      <c r="AJ44" s="23" t="n"/>
      <c r="AK44" s="23" t="n"/>
      <c r="AL44" s="23" t="n"/>
      <c r="AR44" s="37" t="inlineStr">
        <is>
          <t>Location du matériel</t>
        </is>
      </c>
      <c r="AS44" s="23" t="n"/>
      <c r="AT44" s="23" t="n"/>
      <c r="AU44" s="23" t="n"/>
      <c r="AV44" s="23" t="n"/>
      <c r="AW44" s="23" t="n"/>
      <c r="AX44" s="23" t="n"/>
      <c r="AY44" s="23" t="n"/>
      <c r="AZ44" s="23" t="n"/>
      <c r="BA44" s="23" t="n"/>
      <c r="BB44" s="23" t="n"/>
      <c r="BC44" s="23" t="n"/>
      <c r="BD44" s="23" t="n"/>
      <c r="BE44" s="23" t="n"/>
      <c r="BF44" s="23" t="n"/>
      <c r="BG44" s="23" t="n"/>
      <c r="BH44" s="23" t="n"/>
      <c r="BI44" s="23" t="n"/>
      <c r="BJ44" s="29">
        <f>IF(N($DE$9)=0,"",SUM(DM22:DM33))</f>
        <v/>
      </c>
      <c r="BK44" s="23" t="n"/>
      <c r="BL44" s="23" t="n"/>
      <c r="BM44" s="23" t="n"/>
      <c r="BN44" s="23" t="n"/>
      <c r="BO44" s="23" t="n"/>
      <c r="BP44" s="23" t="n"/>
      <c r="BQ44" s="23" t="n"/>
      <c r="BW44" s="37" t="inlineStr">
        <is>
          <t>Location du matériel</t>
        </is>
      </c>
      <c r="BX44" s="23" t="n"/>
      <c r="BY44" s="23" t="n"/>
      <c r="BZ44" s="23" t="n"/>
      <c r="CA44" s="23" t="n"/>
      <c r="CB44" s="23" t="n"/>
      <c r="CC44" s="23" t="n"/>
      <c r="CD44" s="23" t="n"/>
      <c r="CE44" s="23" t="n"/>
      <c r="CF44" s="23" t="n"/>
      <c r="CG44" s="23" t="n"/>
      <c r="CH44" s="23" t="n"/>
      <c r="CI44" s="23" t="n"/>
      <c r="CJ44" s="23" t="n"/>
      <c r="CK44" s="23" t="n"/>
      <c r="CL44" s="23" t="n"/>
      <c r="CM44" s="23" t="n"/>
      <c r="CN44" s="23" t="n"/>
      <c r="CO44" s="29">
        <f>IF(N($DF$9)=0,"",SUM(DT22:DT33))</f>
        <v/>
      </c>
      <c r="CP44" s="23" t="n"/>
      <c r="CQ44" s="23" t="n"/>
      <c r="CR44" s="23" t="n"/>
      <c r="CS44" s="23" t="n"/>
      <c r="CT44" s="23" t="n"/>
      <c r="CU44" s="23" t="n"/>
      <c r="CV44" s="23" t="n"/>
    </row>
    <row r="45" ht="18" customHeight="1">
      <c r="A45" s="34" t="inlineStr">
        <is>
          <t>Utilisation charge et inspection (UC, une seule fois)</t>
        </is>
      </c>
      <c r="B45" s="23" t="n"/>
      <c r="C45" s="23" t="n"/>
      <c r="D45" s="23" t="n"/>
      <c r="E45" s="23" t="n"/>
      <c r="F45" s="23" t="n"/>
      <c r="G45" s="35" t="inlineStr">
        <is>
          <t>905XUC</t>
        </is>
      </c>
      <c r="H45" s="23" t="n"/>
      <c r="I45" s="23" t="n"/>
      <c r="J45" s="23" t="n"/>
      <c r="K45" s="23" t="n"/>
      <c r="L45" s="36">
        <f>SUM(DG22:DG33)+SUM(DN22:DN33)+SUM(DU22:DU33)</f>
        <v/>
      </c>
      <c r="M45" s="37" t="inlineStr">
        <is>
          <t>UC et inspection</t>
        </is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9">
        <f>IF(N($DD$9)=0,"",SUM(DG22:DG33))</f>
        <v/>
      </c>
      <c r="AF45" s="23" t="n"/>
      <c r="AG45" s="23" t="n"/>
      <c r="AH45" s="23" t="n"/>
      <c r="AI45" s="23" t="n"/>
      <c r="AJ45" s="23" t="n"/>
      <c r="AK45" s="23" t="n"/>
      <c r="AL45" s="23" t="n"/>
      <c r="AR45" s="37" t="inlineStr">
        <is>
          <t>UC et inspection</t>
        </is>
      </c>
      <c r="AS45" s="23" t="n"/>
      <c r="AT45" s="23" t="n"/>
      <c r="AU45" s="23" t="n"/>
      <c r="AV45" s="23" t="n"/>
      <c r="AW45" s="23" t="n"/>
      <c r="AX45" s="23" t="n"/>
      <c r="AY45" s="23" t="n"/>
      <c r="AZ45" s="23" t="n"/>
      <c r="BA45" s="23" t="n"/>
      <c r="BB45" s="23" t="n"/>
      <c r="BC45" s="23" t="n"/>
      <c r="BD45" s="23" t="n"/>
      <c r="BE45" s="23" t="n"/>
      <c r="BF45" s="23" t="n"/>
      <c r="BG45" s="23" t="n"/>
      <c r="BH45" s="23" t="n"/>
      <c r="BI45" s="23" t="n"/>
      <c r="BJ45" s="29">
        <f>IF(N($DE$9)=0,"",SUM(DN22:DN33))</f>
        <v/>
      </c>
      <c r="BK45" s="23" t="n"/>
      <c r="BL45" s="23" t="n"/>
      <c r="BM45" s="23" t="n"/>
      <c r="BN45" s="23" t="n"/>
      <c r="BO45" s="23" t="n"/>
      <c r="BP45" s="23" t="n"/>
      <c r="BQ45" s="23" t="n"/>
      <c r="BW45" s="37" t="inlineStr">
        <is>
          <t>UC et inspection</t>
        </is>
      </c>
      <c r="BX45" s="23" t="n"/>
      <c r="BY45" s="23" t="n"/>
      <c r="BZ45" s="23" t="n"/>
      <c r="CA45" s="23" t="n"/>
      <c r="CB45" s="23" t="n"/>
      <c r="CC45" s="23" t="n"/>
      <c r="CD45" s="23" t="n"/>
      <c r="CE45" s="23" t="n"/>
      <c r="CF45" s="23" t="n"/>
      <c r="CG45" s="23" t="n"/>
      <c r="CH45" s="23" t="n"/>
      <c r="CI45" s="23" t="n"/>
      <c r="CJ45" s="23" t="n"/>
      <c r="CK45" s="23" t="n"/>
      <c r="CL45" s="23" t="n"/>
      <c r="CM45" s="23" t="n"/>
      <c r="CN45" s="23" t="n"/>
      <c r="CO45" s="29">
        <f>IF(N($DF$9)=0,"",SUM(DU22:DU33))</f>
        <v/>
      </c>
      <c r="CP45" s="23" t="n"/>
      <c r="CQ45" s="23" t="n"/>
      <c r="CR45" s="23" t="n"/>
      <c r="CS45" s="23" t="n"/>
      <c r="CT45" s="23" t="n"/>
      <c r="CU45" s="23" t="n"/>
      <c r="CV45" s="23" t="n"/>
    </row>
    <row r="46" ht="18" customHeight="1">
      <c r="A46" s="34" t="inlineStr">
        <is>
          <t>Valeur de remplacement et restocking</t>
        </is>
      </c>
      <c r="B46" s="23" t="n"/>
      <c r="C46" s="23" t="n"/>
      <c r="D46" s="23" t="n"/>
      <c r="E46" s="23" t="n"/>
      <c r="F46" s="23" t="n"/>
      <c r="G46" s="35" t="inlineStr"/>
      <c r="H46" s="23" t="n"/>
      <c r="I46" s="23" t="n"/>
      <c r="J46" s="23" t="n"/>
      <c r="K46" s="23" t="n"/>
      <c r="L46" s="36">
        <f>SUM(DH22:DH33)+SUM(DO22:DO33)+SUM(DV22:DV33)</f>
        <v/>
      </c>
      <c r="M46" s="37" t="inlineStr">
        <is>
          <t>Valeur de remplacement, restocking</t>
        </is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9">
        <f>IF(N($DD$9)=0,"",SUM(DH22:DH33))</f>
        <v/>
      </c>
      <c r="AF46" s="23" t="n"/>
      <c r="AG46" s="23" t="n"/>
      <c r="AH46" s="23" t="n"/>
      <c r="AI46" s="23" t="n"/>
      <c r="AJ46" s="23" t="n"/>
      <c r="AK46" s="23" t="n"/>
      <c r="AL46" s="23" t="n"/>
      <c r="AR46" s="37" t="inlineStr">
        <is>
          <t>Valeur de remplacement, restocking</t>
        </is>
      </c>
      <c r="AS46" s="23" t="n"/>
      <c r="AT46" s="23" t="n"/>
      <c r="AU46" s="23" t="n"/>
      <c r="AV46" s="23" t="n"/>
      <c r="AW46" s="23" t="n"/>
      <c r="AX46" s="23" t="n"/>
      <c r="AY46" s="23" t="n"/>
      <c r="AZ46" s="23" t="n"/>
      <c r="BA46" s="23" t="n"/>
      <c r="BB46" s="23" t="n"/>
      <c r="BC46" s="23" t="n"/>
      <c r="BD46" s="23" t="n"/>
      <c r="BE46" s="23" t="n"/>
      <c r="BF46" s="23" t="n"/>
      <c r="BG46" s="23" t="n"/>
      <c r="BH46" s="23" t="n"/>
      <c r="BI46" s="23" t="n"/>
      <c r="BJ46" s="29">
        <f>IF(N($DE$9)=0,"",SUM(DO22:DO33))</f>
        <v/>
      </c>
      <c r="BK46" s="23" t="n"/>
      <c r="BL46" s="23" t="n"/>
      <c r="BM46" s="23" t="n"/>
      <c r="BN46" s="23" t="n"/>
      <c r="BO46" s="23" t="n"/>
      <c r="BP46" s="23" t="n"/>
      <c r="BQ46" s="23" t="n"/>
      <c r="BW46" s="37" t="inlineStr">
        <is>
          <t>Valeur de remplacement, restocking</t>
        </is>
      </c>
      <c r="BX46" s="23" t="n"/>
      <c r="BY46" s="23" t="n"/>
      <c r="BZ46" s="23" t="n"/>
      <c r="CA46" s="23" t="n"/>
      <c r="CB46" s="23" t="n"/>
      <c r="CC46" s="23" t="n"/>
      <c r="CD46" s="23" t="n"/>
      <c r="CE46" s="23" t="n"/>
      <c r="CF46" s="23" t="n"/>
      <c r="CG46" s="23" t="n"/>
      <c r="CH46" s="23" t="n"/>
      <c r="CI46" s="23" t="n"/>
      <c r="CJ46" s="23" t="n"/>
      <c r="CK46" s="23" t="n"/>
      <c r="CL46" s="23" t="n"/>
      <c r="CM46" s="23" t="n"/>
      <c r="CN46" s="23" t="n"/>
      <c r="CO46" s="29">
        <f>IF(N($DF$9)=0,"",SUM(DV22:DV33))</f>
        <v/>
      </c>
      <c r="CP46" s="23" t="n"/>
      <c r="CQ46" s="23" t="n"/>
      <c r="CR46" s="23" t="n"/>
      <c r="CS46" s="23" t="n"/>
      <c r="CT46" s="23" t="n"/>
      <c r="CU46" s="23" t="n"/>
      <c r="CV46" s="23" t="n"/>
    </row>
    <row r="47" ht="18" customHeight="1">
      <c r="A47" s="34" t="inlineStr">
        <is>
          <t>Transport et autres frais</t>
        </is>
      </c>
      <c r="B47" s="23" t="n"/>
      <c r="C47" s="23" t="n"/>
      <c r="D47" s="23" t="n"/>
      <c r="E47" s="23" t="n"/>
      <c r="F47" s="23" t="n"/>
      <c r="G47" s="35" t="inlineStr">
        <is>
          <t>900XMOBDEMOB</t>
        </is>
      </c>
      <c r="H47" s="23" t="n"/>
      <c r="I47" s="23" t="n"/>
      <c r="J47" s="23" t="n"/>
      <c r="K47" s="23" t="n"/>
      <c r="L47" s="36">
        <f>SUM(L36:L38)</f>
        <v/>
      </c>
    </row>
    <row r="48" ht="26" customHeight="1">
      <c r="A48" s="38" t="inlineStr">
        <is>
          <t>TOTAL HT À FACTURER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40">
        <f>SUM(L42:L47)</f>
        <v/>
      </c>
      <c r="M48" s="41">
        <f>IF(N($DD$9)=0,"","TOTAL À FACTURER · "&amp;CHOOSE(MONTH($C$9),"JANVIER","FÉVRIER","MARS","AVRIL","MAI","JUIN","JUILLET","AOÛT","SEPTEMBRE","OCTOBRE","NOVEMBRE","DÉCEMBRE")&amp;" "&amp;YEAR($C$9))</f>
        <v/>
      </c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3">
        <f>IF(N($DD$9)=0,"",SUM(AE42:AE46))</f>
        <v/>
      </c>
      <c r="AF48" s="42" t="n"/>
      <c r="AG48" s="42" t="n"/>
      <c r="AH48" s="42" t="n"/>
      <c r="AI48" s="42" t="n"/>
      <c r="AJ48" s="42" t="n"/>
      <c r="AK48" s="42" t="n"/>
      <c r="AL48" s="42" t="n"/>
      <c r="AR48" s="41">
        <f>IF(N($DE$9)=0,"","TOTAL À FACTURER · "&amp;CHOOSE(MONTH(DATE(YEAR($C$9),MONTH($C$9)+1,1)),"JANVIER","FÉVRIER","MARS","AVRIL","MAI","JUIN","JUILLET","AOÛT","SEPTEMBRE","OCTOBRE","NOVEMBRE","DÉCEMBRE")&amp;" "&amp;YEAR(DATE(YEAR($C$9),MONTH($C$9)+1,1)))</f>
        <v/>
      </c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3">
        <f>IF(N($DE$9)=0,"",SUM(BJ42:BJ46))</f>
        <v/>
      </c>
      <c r="BK48" s="42" t="n"/>
      <c r="BL48" s="42" t="n"/>
      <c r="BM48" s="42" t="n"/>
      <c r="BN48" s="42" t="n"/>
      <c r="BO48" s="42" t="n"/>
      <c r="BP48" s="42" t="n"/>
      <c r="BQ48" s="42" t="n"/>
      <c r="BW48" s="41">
        <f>IF(N($DF$9)=0,"","TOTAL À FACTURER · "&amp;CHOOSE(MONTH(DATE(YEAR($C$9),MONTH($C$9)+2,1)),"JANVIER","FÉVRIER","MARS","AVRIL","MAI","JUIN","JUILLET","AOÛT","SEPTEMBRE","OCTOBRE","NOVEMBRE","DÉCEMBRE")&amp;" "&amp;YEAR(DATE(YEAR($C$9),MONTH($C$9)+2,1)))</f>
        <v/>
      </c>
      <c r="BX48" s="42" t="n"/>
      <c r="BY48" s="42" t="n"/>
      <c r="BZ48" s="42" t="n"/>
      <c r="CA48" s="42" t="n"/>
      <c r="CB48" s="42" t="n"/>
      <c r="CC48" s="42" t="n"/>
      <c r="CD48" s="42" t="n"/>
      <c r="CE48" s="42" t="n"/>
      <c r="CF48" s="42" t="n"/>
      <c r="CG48" s="42" t="n"/>
      <c r="CH48" s="42" t="n"/>
      <c r="CI48" s="42" t="n"/>
      <c r="CJ48" s="42" t="n"/>
      <c r="CK48" s="42" t="n"/>
      <c r="CL48" s="42" t="n"/>
      <c r="CM48" s="42" t="n"/>
      <c r="CN48" s="42" t="n"/>
      <c r="CO48" s="43">
        <f>IF(N($DF$9)=0,"",SUM(CO42:CO46))</f>
        <v/>
      </c>
      <c r="CP48" s="42" t="n"/>
      <c r="CQ48" s="42" t="n"/>
      <c r="CR48" s="42" t="n"/>
      <c r="CS48" s="42" t="n"/>
      <c r="CT48" s="42" t="n"/>
      <c r="CU48" s="42" t="n"/>
      <c r="CV48" s="42" t="n"/>
    </row>
    <row r="49" ht="16" customHeight="1">
      <c r="A49" s="44" t="inlineStr">
        <is>
          <t>Gratuit (FOC), pour information</t>
        </is>
      </c>
      <c r="L49" s="45">
        <f>SUM(DI22:DI33)+SUM(DP22:DP33)+SUM(DW22:DW33)</f>
        <v/>
      </c>
    </row>
    <row r="51" ht="17" customHeight="1">
      <c r="A51" s="46" t="inlineStr">
        <is>
          <t>POUR ENEDRIL · Nom, date, signature</t>
        </is>
      </c>
      <c r="B51" s="47" t="n"/>
      <c r="C51" s="47" t="n"/>
      <c r="D51" s="47" t="n"/>
      <c r="E51" s="48" t="n"/>
      <c r="F51" s="46" t="inlineStr">
        <is>
          <t>POUR LE CLIENT · Nom, date, signature, cachet</t>
        </is>
      </c>
      <c r="G51" s="47" t="n"/>
      <c r="H51" s="47" t="n"/>
      <c r="I51" s="47" t="n"/>
      <c r="J51" s="47" t="n"/>
      <c r="K51" s="47" t="n"/>
      <c r="L51" s="48" t="n"/>
    </row>
    <row r="52" ht="17" customHeight="1">
      <c r="A52" s="49" t="n"/>
      <c r="B52" s="50" t="n"/>
      <c r="C52" s="50" t="n"/>
      <c r="D52" s="50" t="n"/>
      <c r="E52" s="51" t="n"/>
      <c r="F52" s="49" t="n"/>
      <c r="G52" s="50" t="n"/>
      <c r="H52" s="50" t="n"/>
      <c r="I52" s="50" t="n"/>
      <c r="J52" s="50" t="n"/>
      <c r="K52" s="50" t="n"/>
      <c r="L52" s="51" t="n"/>
    </row>
    <row r="53" ht="17" customHeight="1">
      <c r="A53" s="52" t="n"/>
      <c r="B53" s="23" t="n"/>
      <c r="C53" s="23" t="n"/>
      <c r="D53" s="23" t="n"/>
      <c r="E53" s="53" t="n"/>
      <c r="F53" s="52" t="n"/>
      <c r="G53" s="23" t="n"/>
      <c r="H53" s="23" t="n"/>
      <c r="I53" s="23" t="n"/>
      <c r="J53" s="23" t="n"/>
      <c r="K53" s="23" t="n"/>
      <c r="L53" s="53" t="n"/>
    </row>
  </sheetData>
  <mergeCells count="87">
    <mergeCell ref="BJ45:BQ45"/>
    <mergeCell ref="AR48:BI48"/>
    <mergeCell ref="CO46:CV46"/>
    <mergeCell ref="BJ42:BQ42"/>
    <mergeCell ref="BW12:DA12"/>
    <mergeCell ref="CO48:CV48"/>
    <mergeCell ref="BJ44:BQ44"/>
    <mergeCell ref="A47:F47"/>
    <mergeCell ref="B13:B14"/>
    <mergeCell ref="D13:D14"/>
    <mergeCell ref="C6:F6"/>
    <mergeCell ref="M45:AD45"/>
    <mergeCell ref="M42:AD42"/>
    <mergeCell ref="F13:F14"/>
    <mergeCell ref="BW43:CN43"/>
    <mergeCell ref="H13:H14"/>
    <mergeCell ref="A44:F44"/>
    <mergeCell ref="G9:I9"/>
    <mergeCell ref="BW42:CN42"/>
    <mergeCell ref="BJ48:BQ48"/>
    <mergeCell ref="BW44:CN44"/>
    <mergeCell ref="AR43:BI43"/>
    <mergeCell ref="M44:AD44"/>
    <mergeCell ref="A9:B9"/>
    <mergeCell ref="BW46:CN46"/>
    <mergeCell ref="BJ43:BQ43"/>
    <mergeCell ref="A48:K48"/>
    <mergeCell ref="G6:I6"/>
    <mergeCell ref="E13:E14"/>
    <mergeCell ref="BW48:CN48"/>
    <mergeCell ref="G13:G14"/>
    <mergeCell ref="G42:K42"/>
    <mergeCell ref="BW45:CN45"/>
    <mergeCell ref="A42:F42"/>
    <mergeCell ref="AE43:AL43"/>
    <mergeCell ref="BJ46:BQ46"/>
    <mergeCell ref="C5:F5"/>
    <mergeCell ref="AE42:AL42"/>
    <mergeCell ref="AE44:AL44"/>
    <mergeCell ref="A8:B8"/>
    <mergeCell ref="J5:L5"/>
    <mergeCell ref="G8:I8"/>
    <mergeCell ref="AE45:AL45"/>
    <mergeCell ref="M48:AD48"/>
    <mergeCell ref="J6:L6"/>
    <mergeCell ref="A46:F46"/>
    <mergeCell ref="G43:K43"/>
    <mergeCell ref="C8:F8"/>
    <mergeCell ref="CO43:CV43"/>
    <mergeCell ref="A49:K49"/>
    <mergeCell ref="CO42:CV42"/>
    <mergeCell ref="AE46:AL46"/>
    <mergeCell ref="AR12:BV12"/>
    <mergeCell ref="G5:I5"/>
    <mergeCell ref="CO44:CV44"/>
    <mergeCell ref="AR45:BI45"/>
    <mergeCell ref="A13:A14"/>
    <mergeCell ref="A5:B5"/>
    <mergeCell ref="AE48:AL48"/>
    <mergeCell ref="J8:L8"/>
    <mergeCell ref="G45:K45"/>
    <mergeCell ref="M1:AQ1"/>
    <mergeCell ref="AR44:BI44"/>
    <mergeCell ref="AR42:BI42"/>
    <mergeCell ref="A45:F45"/>
    <mergeCell ref="G47:K47"/>
    <mergeCell ref="G44:K44"/>
    <mergeCell ref="F51:L53"/>
    <mergeCell ref="J9:L9"/>
    <mergeCell ref="G46:K46"/>
    <mergeCell ref="M12:AQ12"/>
    <mergeCell ref="J13:J14"/>
    <mergeCell ref="L13:L14"/>
    <mergeCell ref="A6:B6"/>
    <mergeCell ref="A51:E53"/>
    <mergeCell ref="M46:AD46"/>
    <mergeCell ref="A43:F43"/>
    <mergeCell ref="A10:L10"/>
    <mergeCell ref="I13:I14"/>
    <mergeCell ref="K13:K14"/>
    <mergeCell ref="CO45:CV45"/>
    <mergeCell ref="C13:C14"/>
    <mergeCell ref="C9:F9"/>
    <mergeCell ref="M43:AD43"/>
    <mergeCell ref="M2:AQ2"/>
    <mergeCell ref="A11:L11"/>
    <mergeCell ref="AR46:BI46"/>
  </mergeCells>
  <conditionalFormatting sqref="M17:DA19 M22:DA33">
    <cfRule type="expression" priority="1" dxfId="0" stopIfTrue="1">
      <formula>M$13=""</formula>
    </cfRule>
    <cfRule type="cellIs" priority="2" operator="equal" dxfId="1">
      <formula>"S"</formula>
    </cfRule>
    <cfRule type="cellIs" priority="3" operator="equal" dxfId="2">
      <formula>"O"</formula>
    </cfRule>
    <cfRule type="cellIs" priority="4" operator="equal" dxfId="3">
      <formula>"FOC"</formula>
    </cfRule>
    <cfRule type="cellIs" priority="5" operator="equal" dxfId="4">
      <formula>"VR"</formula>
    </cfRule>
    <cfRule type="cellIs" priority="6" operator="equal" dxfId="5">
      <formula>"RC"</formula>
    </cfRule>
    <cfRule type="cellIs" priority="7" operator="equal" dxfId="6">
      <formula>"MOB"</formula>
    </cfRule>
    <cfRule type="cellIs" priority="8" operator="equal" dxfId="6">
      <formula>"DEMOB"</formula>
    </cfRule>
    <cfRule type="expression" priority="9" dxfId="7">
      <formula>AND(M$13&lt;&gt;"",WEEKDAY(M$13,2)&gt;5)</formula>
    </cfRule>
  </conditionalFormatting>
  <conditionalFormatting sqref="B22:I33">
    <cfRule type="expression" priority="10" dxfId="8">
      <formula>AND($B22&lt;&gt;"",N($C22)=0,N($E22)=0)</formula>
    </cfRule>
  </conditionalFormatting>
  <dataValidations count="3">
    <dataValidation sqref="A9" showDropDown="0" showInputMessage="0" showErrorMessage="0" allowBlank="1" type="list">
      <formula1>=Listes!$A$2:$A$12</formula1>
    </dataValidation>
    <dataValidation sqref="A22:A33" showDropDown="0" showInputMessage="0" showErrorMessage="0" allowBlank="1" type="list">
      <formula1>=Listes!$E$1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6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54" t="inlineStr">
        <is>
          <t>Ingénieur Enedril</t>
        </is>
      </c>
      <c r="C1" s="54" t="inlineStr">
        <is>
          <t>Codes du calendrier</t>
        </is>
      </c>
      <c r="E1" s="54" t="inlineStr">
        <is>
          <t>Oui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2026-10-28T16:00:40Z</dcterms:created>
  <dcterms:modified xmlns:dcterms="http://purl.org/dc/terms/" xmlns:xsi="http://www.w3.org/2001/XMLSchema-instance" xsi:type="dcterms:W3CDTF">2026-10-28T16:00:40Z</dcterms:modified>
</cp:coreProperties>
</file>