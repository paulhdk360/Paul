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vice ticket" sheetId="1" state="visible" r:id="rId1"/>
    <sheet xmlns:r="http://schemas.openxmlformats.org/officeDocument/2006/relationships" name="Listes" sheetId="2" state="visible" r:id="rId2"/>
  </sheets>
  <definedNames>
    <definedName name="_xlnm.Print_Titles" localSheetId="0">'Service ticket'!$A:$L</definedName>
    <definedName name="_xlnm.Print_Area" localSheetId="0">'Service ticket'!$A$1:$DA$53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20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1"/>
    </font>
    <font>
      <name val="Calibri"/>
      <b val="1"/>
      <color rgb="0008203F"/>
      <sz val="11"/>
    </font>
    <font>
      <name val="Calibri"/>
      <b val="1"/>
      <color rgb="00E2231A"/>
      <sz val="9"/>
    </font>
    <font>
      <name val="Calibri"/>
      <b val="1"/>
      <color rgb="0008203F"/>
      <sz val="8.5"/>
    </font>
    <font>
      <name val="Calibri"/>
      <b val="1"/>
      <color rgb="00FFFFFF"/>
      <sz val="10"/>
    </font>
    <font>
      <name val="Calibri"/>
      <color rgb="0008203F"/>
      <sz val="7.5"/>
    </font>
    <font>
      <name val="Calibri"/>
      <b val="1"/>
      <color rgb="0008203F"/>
      <sz val="8"/>
    </font>
    <font>
      <name val="Calibri"/>
      <color rgb="000A4FA0"/>
      <sz val="10"/>
    </font>
    <font>
      <name val="Calibri"/>
      <b val="1"/>
      <color rgb="000B1B2E"/>
      <sz val="8.5"/>
    </font>
    <font>
      <name val="Calibri"/>
      <color rgb="00B8C4D2"/>
      <sz val="7"/>
    </font>
    <font>
      <name val="Calibri"/>
      <b val="1"/>
      <color rgb="000B1B2E"/>
      <sz val="10"/>
    </font>
    <font>
      <name val="Calibri"/>
      <color rgb="000B1B2E"/>
      <sz val="10"/>
    </font>
    <font>
      <name val="Calibri"/>
      <color rgb="000B1B2E"/>
      <sz val="10.5"/>
    </font>
    <font>
      <name val="Calibri"/>
      <color rgb="0051647A"/>
      <sz val="8"/>
    </font>
    <font>
      <name val="Calibri"/>
      <b val="1"/>
      <color rgb="000B1B2E"/>
      <sz val="10.5"/>
    </font>
    <font>
      <name val="Calibri"/>
      <b val="1"/>
      <color rgb="00FFFFFF"/>
      <sz val="12"/>
    </font>
    <font>
      <name val="Calibri"/>
      <i val="1"/>
      <color rgb="0051647A"/>
      <sz val="9.5"/>
    </font>
    <font>
      <name val="Calibri"/>
      <b val="1"/>
      <color rgb="00FFFFFF"/>
      <sz val="11"/>
    </font>
    <font>
      <name val="Calibri"/>
      <b val="1"/>
      <color rgb="0051647A"/>
      <sz val="8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0A4FA0"/>
        <bgColor rgb="000A4FA0"/>
      </patternFill>
    </fill>
    <fill>
      <patternFill patternType="solid">
        <fgColor rgb="00DCE8F5"/>
        <bgColor rgb="00DCE8F5"/>
      </patternFill>
    </fill>
    <fill>
      <patternFill patternType="solid">
        <fgColor rgb="00E8F0FA"/>
        <bgColor rgb="00E8F0FA"/>
      </patternFill>
    </fill>
    <fill>
      <patternFill patternType="solid">
        <fgColor rgb="00F4F7FA"/>
        <bgColor rgb="00F4F7FA"/>
      </patternFill>
    </fill>
  </fills>
  <borders count="12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E6ECF3"/>
      </left>
      <right style="thin">
        <color rgb="00E6ECF3"/>
      </right>
      <bottom style="thin">
        <color rgb="00E6ECF3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4" fillId="0" borderId="0" applyAlignment="1" pivotButton="0" quotePrefix="0" xfId="0">
      <alignment vertical="bottom" indent="1"/>
    </xf>
    <xf numFmtId="0" fontId="5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164" fontId="5" fillId="4" borderId="1" applyAlignment="1" pivotButton="0" quotePrefix="0" xfId="0">
      <alignment horizontal="left" vertical="center" wrapText="1" indent="1"/>
    </xf>
    <xf numFmtId="1" fontId="6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0" borderId="0" applyAlignment="1" pivotButton="0" quotePrefix="0" xfId="0">
      <alignment vertical="center" indent="1"/>
    </xf>
    <xf numFmtId="0" fontId="8" fillId="0" borderId="0" applyAlignment="1" pivotButton="0" quotePrefix="0" xfId="0">
      <alignment vertical="center" indent="1"/>
    </xf>
    <xf numFmtId="0" fontId="9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 wrapText="1"/>
    </xf>
    <xf numFmtId="165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0" fillId="6" borderId="0" applyAlignment="1" pivotButton="0" quotePrefix="0" xfId="0">
      <alignment horizontal="center" vertical="center"/>
    </xf>
    <xf numFmtId="0" fontId="9" fillId="2" borderId="0" applyAlignment="1" pivotButton="0" quotePrefix="0" xfId="0">
      <alignment vertical="center" indent="1"/>
    </xf>
    <xf numFmtId="0" fontId="0" fillId="7" borderId="0" pivotButton="0" quotePrefix="0" xfId="0"/>
    <xf numFmtId="0" fontId="11" fillId="7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4" borderId="2" applyAlignment="1" pivotButton="0" quotePrefix="0" xfId="0">
      <alignment horizontal="left" vertical="center" indent="1"/>
    </xf>
    <xf numFmtId="4" fontId="12" fillId="4" borderId="2" applyAlignment="1" pivotButton="0" quotePrefix="0" xfId="0">
      <alignment horizontal="center" vertical="center"/>
    </xf>
    <xf numFmtId="4" fontId="0" fillId="0" borderId="2" pivotButton="0" quotePrefix="0" xfId="0"/>
    <xf numFmtId="1" fontId="16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4" fontId="15" fillId="0" borderId="2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14" fillId="0" borderId="0" pivotButton="0" quotePrefix="0" xfId="0"/>
    <xf numFmtId="0" fontId="12" fillId="4" borderId="2" applyAlignment="1" pivotButton="0" quotePrefix="0" xfId="0">
      <alignment horizontal="center" vertical="center"/>
    </xf>
    <xf numFmtId="0" fontId="0" fillId="8" borderId="0" pivotButton="0" quotePrefix="0" xfId="0"/>
    <xf numFmtId="0" fontId="17" fillId="0" borderId="2" applyAlignment="1" pivotButton="0" quotePrefix="0" xfId="0">
      <alignment vertical="center" indent="1"/>
    </xf>
    <xf numFmtId="0" fontId="18" fillId="0" borderId="2" applyAlignment="1" pivotButton="0" quotePrefix="0" xfId="0">
      <alignment horizontal="center" vertical="center"/>
    </xf>
    <xf numFmtId="4" fontId="19" fillId="0" borderId="2" applyAlignment="1" pivotButton="0" quotePrefix="0" xfId="0">
      <alignment horizontal="right" vertical="center" indent="1"/>
    </xf>
    <xf numFmtId="0" fontId="16" fillId="0" borderId="2" applyAlignment="1" pivotButton="0" quotePrefix="0" xfId="0">
      <alignment vertical="center" indent="1"/>
    </xf>
    <xf numFmtId="0" fontId="20" fillId="5" borderId="0" applyAlignment="1" pivotButton="0" quotePrefix="0" xfId="0">
      <alignment horizontal="left" vertical="center" indent="1"/>
    </xf>
    <xf numFmtId="0" fontId="20" fillId="5" borderId="0" applyAlignment="1" pivotButton="0" quotePrefix="0" xfId="0">
      <alignment horizontal="left" vertical="center"/>
    </xf>
    <xf numFmtId="4" fontId="20" fillId="5" borderId="0" applyAlignment="1" pivotButton="0" quotePrefix="0" xfId="0">
      <alignment horizontal="right" vertical="center" indent="1"/>
    </xf>
    <xf numFmtId="0" fontId="22" fillId="5" borderId="0" applyAlignment="1" pivotButton="0" quotePrefix="0" xfId="0">
      <alignment horizontal="left" vertical="center" indent="1"/>
    </xf>
    <xf numFmtId="0" fontId="22" fillId="5" borderId="0" applyAlignment="1" pivotButton="0" quotePrefix="0" xfId="0">
      <alignment horizontal="left" vertical="center"/>
    </xf>
    <xf numFmtId="4" fontId="22" fillId="5" borderId="0" applyAlignment="1" pivotButton="0" quotePrefix="0" xfId="0">
      <alignment horizontal="right" vertical="center" indent="1"/>
    </xf>
    <xf numFmtId="0" fontId="21" fillId="0" borderId="0" applyAlignment="1" pivotButton="0" quotePrefix="0" xfId="0">
      <alignment vertical="center" indent="1"/>
    </xf>
    <xf numFmtId="4" fontId="21" fillId="0" borderId="0" applyAlignment="1" pivotButton="0" quotePrefix="0" xfId="0">
      <alignment horizontal="right" indent="1"/>
    </xf>
    <xf numFmtId="0" fontId="23" fillId="0" borderId="4" applyAlignment="1" pivotButton="0" quotePrefix="0" xfId="0">
      <alignment vertical="top" inden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0" pivotButton="0" quotePrefix="0" xfId="0"/>
  </cellXfs>
  <cellStyles count="1">
    <cellStyle name="Normal" xfId="0" builtinId="0" hidden="0"/>
  </cellStyles>
  <dxfs count="9">
    <dxf>
      <fill>
        <patternFill patternType="solid">
          <fgColor rgb="00E3E6EA"/>
          <bgColor rgb="00E3E6EA"/>
        </patternFill>
      </fill>
    </dxf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7A3F00"/>
      </font>
      <fill>
        <patternFill patternType="solid">
          <fgColor rgb="00FBCB9A"/>
          <bgColor rgb="00FBCB9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ill>
        <patternFill patternType="solid">
          <fgColor rgb="00EEF2F6"/>
          <bgColor rgb="00EEF2F6"/>
        </patternFill>
      </fill>
    </dxf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/>
  </sheetPr>
  <dimension ref="A1:DO53"/>
  <sheetViews>
    <sheetView showGridLines="0" zoomScale="90" workbookViewId="0">
      <pane xSplit="3" ySplit="14" topLeftCell="D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2" customWidth="1" min="2" max="2"/>
    <col width="5" customWidth="1" min="3" max="3"/>
    <col width="8" customWidth="1" min="4" max="4"/>
    <col width="8" customWidth="1" min="5" max="5"/>
    <col width="8" customWidth="1" min="6" max="6"/>
    <col width="8" customWidth="1" min="7" max="7"/>
    <col width="7" customWidth="1" min="8" max="8"/>
    <col width="7" customWidth="1" min="9" max="9"/>
    <col width="5" customWidth="1" min="10" max="10"/>
    <col width="5" customWidth="1" min="11" max="11"/>
    <col width="11" customWidth="1" min="12" max="12"/>
    <col width="3.3" customWidth="1" min="13" max="13"/>
    <col width="3.3" customWidth="1" min="14" max="14"/>
    <col width="3.3" customWidth="1" min="15" max="15"/>
    <col width="3.3" customWidth="1" min="16" max="16"/>
    <col width="3.3" customWidth="1" min="17" max="17"/>
    <col width="3.3" customWidth="1" min="18" max="18"/>
    <col width="3.3" customWidth="1" min="19" max="19"/>
    <col width="3.3" customWidth="1" min="20" max="20"/>
    <col width="3.3" customWidth="1" min="21" max="21"/>
    <col width="3.3" customWidth="1" min="22" max="22"/>
    <col width="3.3" customWidth="1" min="23" max="23"/>
    <col width="3.3" customWidth="1" min="24" max="24"/>
    <col width="3.3" customWidth="1" min="25" max="25"/>
    <col width="3.3" customWidth="1" min="26" max="26"/>
    <col width="3.3" customWidth="1" min="27" max="27"/>
    <col width="3.3" customWidth="1" min="28" max="28"/>
    <col width="3.3" customWidth="1" min="29" max="29"/>
    <col width="3.3" customWidth="1" min="30" max="30"/>
    <col width="3.3" customWidth="1" min="31" max="31"/>
    <col width="3.3" customWidth="1" min="32" max="32"/>
    <col width="3.3" customWidth="1" min="33" max="33"/>
    <col width="3.3" customWidth="1" min="34" max="34"/>
    <col width="3.3" customWidth="1" min="35" max="35"/>
    <col width="3.3" customWidth="1" min="36" max="36"/>
    <col width="3.3" customWidth="1" min="37" max="37"/>
    <col width="3.3" customWidth="1" min="38" max="38"/>
    <col width="3.3" customWidth="1" min="39" max="39"/>
    <col width="3.3" customWidth="1" min="40" max="40"/>
    <col width="3.3" customWidth="1" min="41" max="41"/>
    <col width="3.3" customWidth="1" min="42" max="42"/>
    <col width="3.3" customWidth="1" min="43" max="43"/>
    <col outlineLevel="1" width="3.3" customWidth="1" min="44" max="74"/>
    <col hidden="1" outlineLevel="1" width="3.3" customWidth="1" min="75" max="105"/>
    <col width="1.5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" t="inlineStr">
        <is>
          <t>SERVICE TICKET</t>
        </is>
      </c>
    </row>
    <row r="2" ht="2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3">
        <f>IF(A6="","",A6&amp;"  ·  ")&amp;IF(G6="","","Dossier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</row>
    <row r="4" ht="8" customHeight="1"/>
    <row r="5" ht="15" customHeight="1">
      <c r="A5" s="5" t="inlineStr">
        <is>
          <t>CLIENT · CUSTOMER</t>
        </is>
      </c>
      <c r="C5" s="5" t="inlineStr">
        <is>
          <t>PUITS / CHANTIER · WELL</t>
        </is>
      </c>
      <c r="G5" s="5" t="inlineStr">
        <is>
          <t>DOSSIER N° · JOB</t>
        </is>
      </c>
      <c r="J5" s="5" t="inlineStr">
        <is>
          <t>PO / CONTRAT</t>
        </is>
      </c>
    </row>
    <row r="6" ht="24" customHeight="1">
      <c r="A6" s="6" t="inlineStr">
        <is>
          <t>Geopetrol</t>
        </is>
      </c>
      <c r="B6" s="7" t="n"/>
      <c r="C6" s="6" t="inlineStr">
        <is>
          <t>Puits Lacq-12 · CLU108</t>
        </is>
      </c>
      <c r="D6" s="7" t="n"/>
      <c r="E6" s="7" t="n"/>
      <c r="F6" s="7" t="n"/>
      <c r="G6" s="6" t="inlineStr">
        <is>
          <t>26-82-FR</t>
        </is>
      </c>
      <c r="H6" s="7" t="n"/>
      <c r="I6" s="7" t="n"/>
      <c r="J6" s="6" t="inlineStr">
        <is>
          <t>PO-4500123</t>
        </is>
      </c>
      <c r="K6" s="7" t="n"/>
      <c r="L6" s="7" t="n"/>
    </row>
    <row r="7" ht="6" customHeight="1"/>
    <row r="8" ht="15" customHeight="1">
      <c r="A8" s="5" t="inlineStr">
        <is>
          <t>INGÉNIEUR ENEDRIL</t>
        </is>
      </c>
      <c r="C8" s="5" t="inlineStr">
        <is>
          <t>DATE DE DÉBUT · START DATE</t>
        </is>
      </c>
      <c r="G8" s="5" t="inlineStr">
        <is>
          <t>DATE DE FIN · END DATE (À MODIFIER)</t>
        </is>
      </c>
      <c r="J8" s="5" t="inlineStr">
        <is>
          <t>DURÉE (JOURS)</t>
        </is>
      </c>
    </row>
    <row r="9" ht="24" customHeight="1">
      <c r="A9" s="6" t="inlineStr">
        <is>
          <t>Paul HYNDERICK</t>
        </is>
      </c>
      <c r="B9" s="7" t="n"/>
      <c r="C9" s="8" t="n">
        <v>46307</v>
      </c>
      <c r="D9" s="7" t="n"/>
      <c r="E9" s="7" t="n"/>
      <c r="F9" s="7" t="n"/>
      <c r="G9" s="8" t="n">
        <v>46346</v>
      </c>
      <c r="H9" s="7" t="n"/>
      <c r="I9" s="7" t="n"/>
      <c r="J9" s="9">
        <f>IF(C9="","",MIN(93,MAX(1,IF(G9="",31,G9-C9+1))))</f>
        <v/>
      </c>
      <c r="K9" s="10" t="n"/>
      <c r="L9" s="10" t="n"/>
    </row>
    <row r="10" ht="16" customHeight="1">
      <c r="A10" s="11">
        <f>IF(N($J$9)&gt;31,"⚠  La date de fin dépasse le 1er bloc : cliquer sur le [+] au-dessus du calendrier pour déplier les jours suivants.","")</f>
        <v/>
      </c>
    </row>
    <row r="11" ht="18" customHeight="1">
      <c r="A11" s="12" t="inlineStr">
        <is>
          <t>Codes : S = stand-by · O = opérations · FOC = gratuit · VR = valeur de remplacement · RC = restocking · MOB / DEMOB = arrivée / départ (comptés en S)</t>
        </is>
      </c>
    </row>
    <row r="12" ht="20" customHeight="1">
      <c r="M12" s="13">
        <f>IF(OR($C$9="",N($J$9)&lt;=0),"","Du "&amp;TEXT(DAY($C$9+0),"00")&amp;"/"&amp;TEXT(MONTH($C$9+0),"00")&amp;" au "&amp;TEXT(DAY($C$9+MIN(30,$J$9-1)),"00")&amp;"/"&amp;TEXT(MONTH($C$9+MIN(30,$J$9-1)),"00")&amp;"/"&amp;YEAR($C$9+MIN(30,$J$9-1)))</f>
        <v/>
      </c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  <c r="AB12" s="14" t="n"/>
      <c r="AC12" s="14" t="n"/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14" t="n"/>
      <c r="AM12" s="14" t="n"/>
      <c r="AN12" s="14" t="n"/>
      <c r="AO12" s="14" t="n"/>
      <c r="AP12" s="14" t="n"/>
      <c r="AQ12" s="14" t="n"/>
      <c r="AR12" s="15">
        <f>IF(OR($C$9="",N($J$9)&lt;=31),"","Du "&amp;TEXT(DAY($C$9+31),"00")&amp;"/"&amp;TEXT(MONTH($C$9+31),"00")&amp;" au "&amp;TEXT(DAY($C$9+MIN(61,$J$9-1)),"00")&amp;"/"&amp;TEXT(MONTH($C$9+MIN(61,$J$9-1)),"00")&amp;"/"&amp;YEAR($C$9+MIN(61,$J$9-1)))</f>
        <v/>
      </c>
      <c r="AS12" s="1" t="n"/>
      <c r="AT12" s="1" t="n"/>
      <c r="AU12" s="1" t="n"/>
      <c r="AV12" s="1" t="n"/>
      <c r="AW12" s="1" t="n"/>
      <c r="AX12" s="1" t="n"/>
      <c r="AY12" s="1" t="n"/>
      <c r="AZ12" s="1" t="n"/>
      <c r="BA12" s="1" t="n"/>
      <c r="BB12" s="1" t="n"/>
      <c r="BC12" s="1" t="n"/>
      <c r="BD12" s="1" t="n"/>
      <c r="BE12" s="1" t="n"/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3">
        <f>IF(OR($C$9="",N($J$9)&lt;=62),"","Du "&amp;TEXT(DAY($C$9+62),"00")&amp;"/"&amp;TEXT(MONTH($C$9+62),"00")&amp;" au "&amp;TEXT(DAY($C$9+MIN(92,$J$9-1)),"00")&amp;"/"&amp;TEXT(MONTH($C$9+MIN(92,$J$9-1)),"00")&amp;"/"&amp;YEAR($C$9+MIN(92,$J$9-1)))</f>
        <v/>
      </c>
      <c r="BX12" s="14" t="n"/>
      <c r="BY12" s="14" t="n"/>
      <c r="BZ12" s="14" t="n"/>
      <c r="CA12" s="14" t="n"/>
      <c r="CB12" s="14" t="n"/>
      <c r="CC12" s="14" t="n"/>
      <c r="CD12" s="14" t="n"/>
      <c r="CE12" s="14" t="n"/>
      <c r="CF12" s="14" t="n"/>
      <c r="CG12" s="14" t="n"/>
      <c r="CH12" s="14" t="n"/>
      <c r="CI12" s="14" t="n"/>
      <c r="CJ12" s="14" t="n"/>
      <c r="CK12" s="14" t="n"/>
      <c r="CL12" s="14" t="n"/>
      <c r="CM12" s="14" t="n"/>
      <c r="CN12" s="14" t="n"/>
      <c r="CO12" s="14" t="n"/>
      <c r="CP12" s="14" t="n"/>
      <c r="CQ12" s="14" t="n"/>
      <c r="CR12" s="14" t="n"/>
      <c r="CS12" s="14" t="n"/>
      <c r="CT12" s="14" t="n"/>
      <c r="CU12" s="14" t="n"/>
      <c r="CV12" s="14" t="n"/>
      <c r="CW12" s="14" t="n"/>
      <c r="CX12" s="14" t="n"/>
      <c r="CY12" s="14" t="n"/>
      <c r="CZ12" s="14" t="n"/>
      <c r="DA12" s="14" t="n"/>
    </row>
    <row r="13">
      <c r="A13" s="16" t="inlineStr">
        <is>
          <t>UC déjà
facturée</t>
        </is>
      </c>
      <c r="B13" s="16" t="inlineStr">
        <is>
          <t>Description</t>
        </is>
      </c>
      <c r="C13" s="16" t="inlineStr">
        <is>
          <t>Qté
Qty</t>
        </is>
      </c>
      <c r="D13" s="16" t="inlineStr">
        <is>
          <t>Stand-by
€ / jour</t>
        </is>
      </c>
      <c r="E13" s="16" t="inlineStr">
        <is>
          <t>Opér.
€ / jour</t>
        </is>
      </c>
      <c r="F13" s="16" t="inlineStr">
        <is>
          <t>UC
€</t>
        </is>
      </c>
      <c r="G13" s="16" t="inlineStr">
        <is>
          <t>Valeur
remplac.</t>
        </is>
      </c>
      <c r="H13" s="16" t="inlineStr">
        <is>
          <t>Inspect.
€</t>
        </is>
      </c>
      <c r="I13" s="16" t="inlineStr">
        <is>
          <t>Restock.
€</t>
        </is>
      </c>
      <c r="J13" s="16" t="inlineStr">
        <is>
          <t>Jours
S</t>
        </is>
      </c>
      <c r="K13" s="16" t="inlineStr">
        <is>
          <t>Jours
O</t>
        </is>
      </c>
      <c r="L13" s="16" t="inlineStr">
        <is>
          <t>Total
€ HT</t>
        </is>
      </c>
      <c r="M13" s="17">
        <f>IF(OR($C$9="",N($J$9)&lt;=0),"",$C$9+0)</f>
        <v/>
      </c>
      <c r="N13" s="17">
        <f>IF(OR($C$9="",N($J$9)&lt;=1),"",$C$9+1)</f>
        <v/>
      </c>
      <c r="O13" s="17">
        <f>IF(OR($C$9="",N($J$9)&lt;=2),"",$C$9+2)</f>
        <v/>
      </c>
      <c r="P13" s="17">
        <f>IF(OR($C$9="",N($J$9)&lt;=3),"",$C$9+3)</f>
        <v/>
      </c>
      <c r="Q13" s="17">
        <f>IF(OR($C$9="",N($J$9)&lt;=4),"",$C$9+4)</f>
        <v/>
      </c>
      <c r="R13" s="17">
        <f>IF(OR($C$9="",N($J$9)&lt;=5),"",$C$9+5)</f>
        <v/>
      </c>
      <c r="S13" s="17">
        <f>IF(OR($C$9="",N($J$9)&lt;=6),"",$C$9+6)</f>
        <v/>
      </c>
      <c r="T13" s="17">
        <f>IF(OR($C$9="",N($J$9)&lt;=7),"",$C$9+7)</f>
        <v/>
      </c>
      <c r="U13" s="17">
        <f>IF(OR($C$9="",N($J$9)&lt;=8),"",$C$9+8)</f>
        <v/>
      </c>
      <c r="V13" s="17">
        <f>IF(OR($C$9="",N($J$9)&lt;=9),"",$C$9+9)</f>
        <v/>
      </c>
      <c r="W13" s="17">
        <f>IF(OR($C$9="",N($J$9)&lt;=10),"",$C$9+10)</f>
        <v/>
      </c>
      <c r="X13" s="17">
        <f>IF(OR($C$9="",N($J$9)&lt;=11),"",$C$9+11)</f>
        <v/>
      </c>
      <c r="Y13" s="17">
        <f>IF(OR($C$9="",N($J$9)&lt;=12),"",$C$9+12)</f>
        <v/>
      </c>
      <c r="Z13" s="17">
        <f>IF(OR($C$9="",N($J$9)&lt;=13),"",$C$9+13)</f>
        <v/>
      </c>
      <c r="AA13" s="17">
        <f>IF(OR($C$9="",N($J$9)&lt;=14),"",$C$9+14)</f>
        <v/>
      </c>
      <c r="AB13" s="17">
        <f>IF(OR($C$9="",N($J$9)&lt;=15),"",$C$9+15)</f>
        <v/>
      </c>
      <c r="AC13" s="17">
        <f>IF(OR($C$9="",N($J$9)&lt;=16),"",$C$9+16)</f>
        <v/>
      </c>
      <c r="AD13" s="17">
        <f>IF(OR($C$9="",N($J$9)&lt;=17),"",$C$9+17)</f>
        <v/>
      </c>
      <c r="AE13" s="17">
        <f>IF(OR($C$9="",N($J$9)&lt;=18),"",$C$9+18)</f>
        <v/>
      </c>
      <c r="AF13" s="17">
        <f>IF(OR($C$9="",N($J$9)&lt;=19),"",$C$9+19)</f>
        <v/>
      </c>
      <c r="AG13" s="17">
        <f>IF(OR($C$9="",N($J$9)&lt;=20),"",$C$9+20)</f>
        <v/>
      </c>
      <c r="AH13" s="17">
        <f>IF(OR($C$9="",N($J$9)&lt;=21),"",$C$9+21)</f>
        <v/>
      </c>
      <c r="AI13" s="17">
        <f>IF(OR($C$9="",N($J$9)&lt;=22),"",$C$9+22)</f>
        <v/>
      </c>
      <c r="AJ13" s="17">
        <f>IF(OR($C$9="",N($J$9)&lt;=23),"",$C$9+23)</f>
        <v/>
      </c>
      <c r="AK13" s="17">
        <f>IF(OR($C$9="",N($J$9)&lt;=24),"",$C$9+24)</f>
        <v/>
      </c>
      <c r="AL13" s="17">
        <f>IF(OR($C$9="",N($J$9)&lt;=25),"",$C$9+25)</f>
        <v/>
      </c>
      <c r="AM13" s="17">
        <f>IF(OR($C$9="",N($J$9)&lt;=26),"",$C$9+26)</f>
        <v/>
      </c>
      <c r="AN13" s="17">
        <f>IF(OR($C$9="",N($J$9)&lt;=27),"",$C$9+27)</f>
        <v/>
      </c>
      <c r="AO13" s="17">
        <f>IF(OR($C$9="",N($J$9)&lt;=28),"",$C$9+28)</f>
        <v/>
      </c>
      <c r="AP13" s="17">
        <f>IF(OR($C$9="",N($J$9)&lt;=29),"",$C$9+29)</f>
        <v/>
      </c>
      <c r="AQ13" s="17">
        <f>IF(OR($C$9="",N($J$9)&lt;=30),"",$C$9+30)</f>
        <v/>
      </c>
      <c r="AR13" s="17">
        <f>IF(OR($C$9="",N($J$9)&lt;=31),"",$C$9+31)</f>
        <v/>
      </c>
      <c r="AS13" s="17">
        <f>IF(OR($C$9="",N($J$9)&lt;=32),"",$C$9+32)</f>
        <v/>
      </c>
      <c r="AT13" s="17">
        <f>IF(OR($C$9="",N($J$9)&lt;=33),"",$C$9+33)</f>
        <v/>
      </c>
      <c r="AU13" s="17">
        <f>IF(OR($C$9="",N($J$9)&lt;=34),"",$C$9+34)</f>
        <v/>
      </c>
      <c r="AV13" s="17">
        <f>IF(OR($C$9="",N($J$9)&lt;=35),"",$C$9+35)</f>
        <v/>
      </c>
      <c r="AW13" s="17">
        <f>IF(OR($C$9="",N($J$9)&lt;=36),"",$C$9+36)</f>
        <v/>
      </c>
      <c r="AX13" s="17">
        <f>IF(OR($C$9="",N($J$9)&lt;=37),"",$C$9+37)</f>
        <v/>
      </c>
      <c r="AY13" s="17">
        <f>IF(OR($C$9="",N($J$9)&lt;=38),"",$C$9+38)</f>
        <v/>
      </c>
      <c r="AZ13" s="17">
        <f>IF(OR($C$9="",N($J$9)&lt;=39),"",$C$9+39)</f>
        <v/>
      </c>
      <c r="BA13" s="17">
        <f>IF(OR($C$9="",N($J$9)&lt;=40),"",$C$9+40)</f>
        <v/>
      </c>
      <c r="BB13" s="17">
        <f>IF(OR($C$9="",N($J$9)&lt;=41),"",$C$9+41)</f>
        <v/>
      </c>
      <c r="BC13" s="17">
        <f>IF(OR($C$9="",N($J$9)&lt;=42),"",$C$9+42)</f>
        <v/>
      </c>
      <c r="BD13" s="17">
        <f>IF(OR($C$9="",N($J$9)&lt;=43),"",$C$9+43)</f>
        <v/>
      </c>
      <c r="BE13" s="17">
        <f>IF(OR($C$9="",N($J$9)&lt;=44),"",$C$9+44)</f>
        <v/>
      </c>
      <c r="BF13" s="17">
        <f>IF(OR($C$9="",N($J$9)&lt;=45),"",$C$9+45)</f>
        <v/>
      </c>
      <c r="BG13" s="17">
        <f>IF(OR($C$9="",N($J$9)&lt;=46),"",$C$9+46)</f>
        <v/>
      </c>
      <c r="BH13" s="17">
        <f>IF(OR($C$9="",N($J$9)&lt;=47),"",$C$9+47)</f>
        <v/>
      </c>
      <c r="BI13" s="17">
        <f>IF(OR($C$9="",N($J$9)&lt;=48),"",$C$9+48)</f>
        <v/>
      </c>
      <c r="BJ13" s="17">
        <f>IF(OR($C$9="",N($J$9)&lt;=49),"",$C$9+49)</f>
        <v/>
      </c>
      <c r="BK13" s="17">
        <f>IF(OR($C$9="",N($J$9)&lt;=50),"",$C$9+50)</f>
        <v/>
      </c>
      <c r="BL13" s="17">
        <f>IF(OR($C$9="",N($J$9)&lt;=51),"",$C$9+51)</f>
        <v/>
      </c>
      <c r="BM13" s="17">
        <f>IF(OR($C$9="",N($J$9)&lt;=52),"",$C$9+52)</f>
        <v/>
      </c>
      <c r="BN13" s="17">
        <f>IF(OR($C$9="",N($J$9)&lt;=53),"",$C$9+53)</f>
        <v/>
      </c>
      <c r="BO13" s="17">
        <f>IF(OR($C$9="",N($J$9)&lt;=54),"",$C$9+54)</f>
        <v/>
      </c>
      <c r="BP13" s="17">
        <f>IF(OR($C$9="",N($J$9)&lt;=55),"",$C$9+55)</f>
        <v/>
      </c>
      <c r="BQ13" s="17">
        <f>IF(OR($C$9="",N($J$9)&lt;=56),"",$C$9+56)</f>
        <v/>
      </c>
      <c r="BR13" s="17">
        <f>IF(OR($C$9="",N($J$9)&lt;=57),"",$C$9+57)</f>
        <v/>
      </c>
      <c r="BS13" s="17">
        <f>IF(OR($C$9="",N($J$9)&lt;=58),"",$C$9+58)</f>
        <v/>
      </c>
      <c r="BT13" s="17">
        <f>IF(OR($C$9="",N($J$9)&lt;=59),"",$C$9+59)</f>
        <v/>
      </c>
      <c r="BU13" s="17">
        <f>IF(OR($C$9="",N($J$9)&lt;=60),"",$C$9+60)</f>
        <v/>
      </c>
      <c r="BV13" s="17">
        <f>IF(OR($C$9="",N($J$9)&lt;=61),"",$C$9+61)</f>
        <v/>
      </c>
      <c r="BW13" s="17">
        <f>IF(OR($C$9="",N($J$9)&lt;=62),"",$C$9+62)</f>
        <v/>
      </c>
      <c r="BX13" s="17">
        <f>IF(OR($C$9="",N($J$9)&lt;=63),"",$C$9+63)</f>
        <v/>
      </c>
      <c r="BY13" s="17">
        <f>IF(OR($C$9="",N($J$9)&lt;=64),"",$C$9+64)</f>
        <v/>
      </c>
      <c r="BZ13" s="17">
        <f>IF(OR($C$9="",N($J$9)&lt;=65),"",$C$9+65)</f>
        <v/>
      </c>
      <c r="CA13" s="17">
        <f>IF(OR($C$9="",N($J$9)&lt;=66),"",$C$9+66)</f>
        <v/>
      </c>
      <c r="CB13" s="17">
        <f>IF(OR($C$9="",N($J$9)&lt;=67),"",$C$9+67)</f>
        <v/>
      </c>
      <c r="CC13" s="17">
        <f>IF(OR($C$9="",N($J$9)&lt;=68),"",$C$9+68)</f>
        <v/>
      </c>
      <c r="CD13" s="17">
        <f>IF(OR($C$9="",N($J$9)&lt;=69),"",$C$9+69)</f>
        <v/>
      </c>
      <c r="CE13" s="17">
        <f>IF(OR($C$9="",N($J$9)&lt;=70),"",$C$9+70)</f>
        <v/>
      </c>
      <c r="CF13" s="17">
        <f>IF(OR($C$9="",N($J$9)&lt;=71),"",$C$9+71)</f>
        <v/>
      </c>
      <c r="CG13" s="17">
        <f>IF(OR($C$9="",N($J$9)&lt;=72),"",$C$9+72)</f>
        <v/>
      </c>
      <c r="CH13" s="17">
        <f>IF(OR($C$9="",N($J$9)&lt;=73),"",$C$9+73)</f>
        <v/>
      </c>
      <c r="CI13" s="17">
        <f>IF(OR($C$9="",N($J$9)&lt;=74),"",$C$9+74)</f>
        <v/>
      </c>
      <c r="CJ13" s="17">
        <f>IF(OR($C$9="",N($J$9)&lt;=75),"",$C$9+75)</f>
        <v/>
      </c>
      <c r="CK13" s="17">
        <f>IF(OR($C$9="",N($J$9)&lt;=76),"",$C$9+76)</f>
        <v/>
      </c>
      <c r="CL13" s="17">
        <f>IF(OR($C$9="",N($J$9)&lt;=77),"",$C$9+77)</f>
        <v/>
      </c>
      <c r="CM13" s="17">
        <f>IF(OR($C$9="",N($J$9)&lt;=78),"",$C$9+78)</f>
        <v/>
      </c>
      <c r="CN13" s="17">
        <f>IF(OR($C$9="",N($J$9)&lt;=79),"",$C$9+79)</f>
        <v/>
      </c>
      <c r="CO13" s="17">
        <f>IF(OR($C$9="",N($J$9)&lt;=80),"",$C$9+80)</f>
        <v/>
      </c>
      <c r="CP13" s="17">
        <f>IF(OR($C$9="",N($J$9)&lt;=81),"",$C$9+81)</f>
        <v/>
      </c>
      <c r="CQ13" s="17">
        <f>IF(OR($C$9="",N($J$9)&lt;=82),"",$C$9+82)</f>
        <v/>
      </c>
      <c r="CR13" s="17">
        <f>IF(OR($C$9="",N($J$9)&lt;=83),"",$C$9+83)</f>
        <v/>
      </c>
      <c r="CS13" s="17">
        <f>IF(OR($C$9="",N($J$9)&lt;=84),"",$C$9+84)</f>
        <v/>
      </c>
      <c r="CT13" s="17">
        <f>IF(OR($C$9="",N($J$9)&lt;=85),"",$C$9+85)</f>
        <v/>
      </c>
      <c r="CU13" s="17">
        <f>IF(OR($C$9="",N($J$9)&lt;=86),"",$C$9+86)</f>
        <v/>
      </c>
      <c r="CV13" s="17">
        <f>IF(OR($C$9="",N($J$9)&lt;=87),"",$C$9+87)</f>
        <v/>
      </c>
      <c r="CW13" s="17">
        <f>IF(OR($C$9="",N($J$9)&lt;=88),"",$C$9+88)</f>
        <v/>
      </c>
      <c r="CX13" s="17">
        <f>IF(OR($C$9="",N($J$9)&lt;=89),"",$C$9+89)</f>
        <v/>
      </c>
      <c r="CY13" s="17">
        <f>IF(OR($C$9="",N($J$9)&lt;=90),"",$C$9+90)</f>
        <v/>
      </c>
      <c r="CZ13" s="17">
        <f>IF(OR($C$9="",N($J$9)&lt;=91),"",$C$9+91)</f>
        <v/>
      </c>
      <c r="DA13" s="17">
        <f>IF(OR($C$9="",N($J$9)&lt;=92),"",$C$9+92)</f>
        <v/>
      </c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>
        <f>IF(OR($C$9="",N($J$9)&lt;=0),"",CHOOSE(WEEKDAY($C$9+0,2),"L","M","M","J","V","S","D"))</f>
        <v/>
      </c>
      <c r="N14" s="19">
        <f>IF(OR($C$9="",N($J$9)&lt;=1),"",CHOOSE(WEEKDAY($C$9+1,2),"L","M","M","J","V","S","D"))</f>
        <v/>
      </c>
      <c r="O14" s="19">
        <f>IF(OR($C$9="",N($J$9)&lt;=2),"",CHOOSE(WEEKDAY($C$9+2,2),"L","M","M","J","V","S","D"))</f>
        <v/>
      </c>
      <c r="P14" s="19">
        <f>IF(OR($C$9="",N($J$9)&lt;=3),"",CHOOSE(WEEKDAY($C$9+3,2),"L","M","M","J","V","S","D"))</f>
        <v/>
      </c>
      <c r="Q14" s="19">
        <f>IF(OR($C$9="",N($J$9)&lt;=4),"",CHOOSE(WEEKDAY($C$9+4,2),"L","M","M","J","V","S","D"))</f>
        <v/>
      </c>
      <c r="R14" s="19">
        <f>IF(OR($C$9="",N($J$9)&lt;=5),"",CHOOSE(WEEKDAY($C$9+5,2),"L","M","M","J","V","S","D"))</f>
        <v/>
      </c>
      <c r="S14" s="19">
        <f>IF(OR($C$9="",N($J$9)&lt;=6),"",CHOOSE(WEEKDAY($C$9+6,2),"L","M","M","J","V","S","D"))</f>
        <v/>
      </c>
      <c r="T14" s="19">
        <f>IF(OR($C$9="",N($J$9)&lt;=7),"",CHOOSE(WEEKDAY($C$9+7,2),"L","M","M","J","V","S","D"))</f>
        <v/>
      </c>
      <c r="U14" s="19">
        <f>IF(OR($C$9="",N($J$9)&lt;=8),"",CHOOSE(WEEKDAY($C$9+8,2),"L","M","M","J","V","S","D"))</f>
        <v/>
      </c>
      <c r="V14" s="19">
        <f>IF(OR($C$9="",N($J$9)&lt;=9),"",CHOOSE(WEEKDAY($C$9+9,2),"L","M","M","J","V","S","D"))</f>
        <v/>
      </c>
      <c r="W14" s="19">
        <f>IF(OR($C$9="",N($J$9)&lt;=10),"",CHOOSE(WEEKDAY($C$9+10,2),"L","M","M","J","V","S","D"))</f>
        <v/>
      </c>
      <c r="X14" s="19">
        <f>IF(OR($C$9="",N($J$9)&lt;=11),"",CHOOSE(WEEKDAY($C$9+11,2),"L","M","M","J","V","S","D"))</f>
        <v/>
      </c>
      <c r="Y14" s="19">
        <f>IF(OR($C$9="",N($J$9)&lt;=12),"",CHOOSE(WEEKDAY($C$9+12,2),"L","M","M","J","V","S","D"))</f>
        <v/>
      </c>
      <c r="Z14" s="19">
        <f>IF(OR($C$9="",N($J$9)&lt;=13),"",CHOOSE(WEEKDAY($C$9+13,2),"L","M","M","J","V","S","D"))</f>
        <v/>
      </c>
      <c r="AA14" s="19">
        <f>IF(OR($C$9="",N($J$9)&lt;=14),"",CHOOSE(WEEKDAY($C$9+14,2),"L","M","M","J","V","S","D"))</f>
        <v/>
      </c>
      <c r="AB14" s="19">
        <f>IF(OR($C$9="",N($J$9)&lt;=15),"",CHOOSE(WEEKDAY($C$9+15,2),"L","M","M","J","V","S","D"))</f>
        <v/>
      </c>
      <c r="AC14" s="19">
        <f>IF(OR($C$9="",N($J$9)&lt;=16),"",CHOOSE(WEEKDAY($C$9+16,2),"L","M","M","J","V","S","D"))</f>
        <v/>
      </c>
      <c r="AD14" s="19">
        <f>IF(OR($C$9="",N($J$9)&lt;=17),"",CHOOSE(WEEKDAY($C$9+17,2),"L","M","M","J","V","S","D"))</f>
        <v/>
      </c>
      <c r="AE14" s="19">
        <f>IF(OR($C$9="",N($J$9)&lt;=18),"",CHOOSE(WEEKDAY($C$9+18,2),"L","M","M","J","V","S","D"))</f>
        <v/>
      </c>
      <c r="AF14" s="19">
        <f>IF(OR($C$9="",N($J$9)&lt;=19),"",CHOOSE(WEEKDAY($C$9+19,2),"L","M","M","J","V","S","D"))</f>
        <v/>
      </c>
      <c r="AG14" s="19">
        <f>IF(OR($C$9="",N($J$9)&lt;=20),"",CHOOSE(WEEKDAY($C$9+20,2),"L","M","M","J","V","S","D"))</f>
        <v/>
      </c>
      <c r="AH14" s="19">
        <f>IF(OR($C$9="",N($J$9)&lt;=21),"",CHOOSE(WEEKDAY($C$9+21,2),"L","M","M","J","V","S","D"))</f>
        <v/>
      </c>
      <c r="AI14" s="19">
        <f>IF(OR($C$9="",N($J$9)&lt;=22),"",CHOOSE(WEEKDAY($C$9+22,2),"L","M","M","J","V","S","D"))</f>
        <v/>
      </c>
      <c r="AJ14" s="19">
        <f>IF(OR($C$9="",N($J$9)&lt;=23),"",CHOOSE(WEEKDAY($C$9+23,2),"L","M","M","J","V","S","D"))</f>
        <v/>
      </c>
      <c r="AK14" s="19">
        <f>IF(OR($C$9="",N($J$9)&lt;=24),"",CHOOSE(WEEKDAY($C$9+24,2),"L","M","M","J","V","S","D"))</f>
        <v/>
      </c>
      <c r="AL14" s="19">
        <f>IF(OR($C$9="",N($J$9)&lt;=25),"",CHOOSE(WEEKDAY($C$9+25,2),"L","M","M","J","V","S","D"))</f>
        <v/>
      </c>
      <c r="AM14" s="19">
        <f>IF(OR($C$9="",N($J$9)&lt;=26),"",CHOOSE(WEEKDAY($C$9+26,2),"L","M","M","J","V","S","D"))</f>
        <v/>
      </c>
      <c r="AN14" s="19">
        <f>IF(OR($C$9="",N($J$9)&lt;=27),"",CHOOSE(WEEKDAY($C$9+27,2),"L","M","M","J","V","S","D"))</f>
        <v/>
      </c>
      <c r="AO14" s="19">
        <f>IF(OR($C$9="",N($J$9)&lt;=28),"",CHOOSE(WEEKDAY($C$9+28,2),"L","M","M","J","V","S","D"))</f>
        <v/>
      </c>
      <c r="AP14" s="19">
        <f>IF(OR($C$9="",N($J$9)&lt;=29),"",CHOOSE(WEEKDAY($C$9+29,2),"L","M","M","J","V","S","D"))</f>
        <v/>
      </c>
      <c r="AQ14" s="19">
        <f>IF(OR($C$9="",N($J$9)&lt;=30),"",CHOOSE(WEEKDAY($C$9+30,2),"L","M","M","J","V","S","D"))</f>
        <v/>
      </c>
      <c r="AR14" s="19">
        <f>IF(OR($C$9="",N($J$9)&lt;=31),"",CHOOSE(WEEKDAY($C$9+31,2),"L","M","M","J","V","S","D"))</f>
        <v/>
      </c>
      <c r="AS14" s="19">
        <f>IF(OR($C$9="",N($J$9)&lt;=32),"",CHOOSE(WEEKDAY($C$9+32,2),"L","M","M","J","V","S","D"))</f>
        <v/>
      </c>
      <c r="AT14" s="19">
        <f>IF(OR($C$9="",N($J$9)&lt;=33),"",CHOOSE(WEEKDAY($C$9+33,2),"L","M","M","J","V","S","D"))</f>
        <v/>
      </c>
      <c r="AU14" s="19">
        <f>IF(OR($C$9="",N($J$9)&lt;=34),"",CHOOSE(WEEKDAY($C$9+34,2),"L","M","M","J","V","S","D"))</f>
        <v/>
      </c>
      <c r="AV14" s="19">
        <f>IF(OR($C$9="",N($J$9)&lt;=35),"",CHOOSE(WEEKDAY($C$9+35,2),"L","M","M","J","V","S","D"))</f>
        <v/>
      </c>
      <c r="AW14" s="19">
        <f>IF(OR($C$9="",N($J$9)&lt;=36),"",CHOOSE(WEEKDAY($C$9+36,2),"L","M","M","J","V","S","D"))</f>
        <v/>
      </c>
      <c r="AX14" s="19">
        <f>IF(OR($C$9="",N($J$9)&lt;=37),"",CHOOSE(WEEKDAY($C$9+37,2),"L","M","M","J","V","S","D"))</f>
        <v/>
      </c>
      <c r="AY14" s="19">
        <f>IF(OR($C$9="",N($J$9)&lt;=38),"",CHOOSE(WEEKDAY($C$9+38,2),"L","M","M","J","V","S","D"))</f>
        <v/>
      </c>
      <c r="AZ14" s="19">
        <f>IF(OR($C$9="",N($J$9)&lt;=39),"",CHOOSE(WEEKDAY($C$9+39,2),"L","M","M","J","V","S","D"))</f>
        <v/>
      </c>
      <c r="BA14" s="19">
        <f>IF(OR($C$9="",N($J$9)&lt;=40),"",CHOOSE(WEEKDAY($C$9+40,2),"L","M","M","J","V","S","D"))</f>
        <v/>
      </c>
      <c r="BB14" s="19">
        <f>IF(OR($C$9="",N($J$9)&lt;=41),"",CHOOSE(WEEKDAY($C$9+41,2),"L","M","M","J","V","S","D"))</f>
        <v/>
      </c>
      <c r="BC14" s="19">
        <f>IF(OR($C$9="",N($J$9)&lt;=42),"",CHOOSE(WEEKDAY($C$9+42,2),"L","M","M","J","V","S","D"))</f>
        <v/>
      </c>
      <c r="BD14" s="19">
        <f>IF(OR($C$9="",N($J$9)&lt;=43),"",CHOOSE(WEEKDAY($C$9+43,2),"L","M","M","J","V","S","D"))</f>
        <v/>
      </c>
      <c r="BE14" s="19">
        <f>IF(OR($C$9="",N($J$9)&lt;=44),"",CHOOSE(WEEKDAY($C$9+44,2),"L","M","M","J","V","S","D"))</f>
        <v/>
      </c>
      <c r="BF14" s="19">
        <f>IF(OR($C$9="",N($J$9)&lt;=45),"",CHOOSE(WEEKDAY($C$9+45,2),"L","M","M","J","V","S","D"))</f>
        <v/>
      </c>
      <c r="BG14" s="19">
        <f>IF(OR($C$9="",N($J$9)&lt;=46),"",CHOOSE(WEEKDAY($C$9+46,2),"L","M","M","J","V","S","D"))</f>
        <v/>
      </c>
      <c r="BH14" s="19">
        <f>IF(OR($C$9="",N($J$9)&lt;=47),"",CHOOSE(WEEKDAY($C$9+47,2),"L","M","M","J","V","S","D"))</f>
        <v/>
      </c>
      <c r="BI14" s="19">
        <f>IF(OR($C$9="",N($J$9)&lt;=48),"",CHOOSE(WEEKDAY($C$9+48,2),"L","M","M","J","V","S","D"))</f>
        <v/>
      </c>
      <c r="BJ14" s="19">
        <f>IF(OR($C$9="",N($J$9)&lt;=49),"",CHOOSE(WEEKDAY($C$9+49,2),"L","M","M","J","V","S","D"))</f>
        <v/>
      </c>
      <c r="BK14" s="19">
        <f>IF(OR($C$9="",N($J$9)&lt;=50),"",CHOOSE(WEEKDAY($C$9+50,2),"L","M","M","J","V","S","D"))</f>
        <v/>
      </c>
      <c r="BL14" s="19">
        <f>IF(OR($C$9="",N($J$9)&lt;=51),"",CHOOSE(WEEKDAY($C$9+51,2),"L","M","M","J","V","S","D"))</f>
        <v/>
      </c>
      <c r="BM14" s="19">
        <f>IF(OR($C$9="",N($J$9)&lt;=52),"",CHOOSE(WEEKDAY($C$9+52,2),"L","M","M","J","V","S","D"))</f>
        <v/>
      </c>
      <c r="BN14" s="19">
        <f>IF(OR($C$9="",N($J$9)&lt;=53),"",CHOOSE(WEEKDAY($C$9+53,2),"L","M","M","J","V","S","D"))</f>
        <v/>
      </c>
      <c r="BO14" s="19">
        <f>IF(OR($C$9="",N($J$9)&lt;=54),"",CHOOSE(WEEKDAY($C$9+54,2),"L","M","M","J","V","S","D"))</f>
        <v/>
      </c>
      <c r="BP14" s="19">
        <f>IF(OR($C$9="",N($J$9)&lt;=55),"",CHOOSE(WEEKDAY($C$9+55,2),"L","M","M","J","V","S","D"))</f>
        <v/>
      </c>
      <c r="BQ14" s="19">
        <f>IF(OR($C$9="",N($J$9)&lt;=56),"",CHOOSE(WEEKDAY($C$9+56,2),"L","M","M","J","V","S","D"))</f>
        <v/>
      </c>
      <c r="BR14" s="19">
        <f>IF(OR($C$9="",N($J$9)&lt;=57),"",CHOOSE(WEEKDAY($C$9+57,2),"L","M","M","J","V","S","D"))</f>
        <v/>
      </c>
      <c r="BS14" s="19">
        <f>IF(OR($C$9="",N($J$9)&lt;=58),"",CHOOSE(WEEKDAY($C$9+58,2),"L","M","M","J","V","S","D"))</f>
        <v/>
      </c>
      <c r="BT14" s="19">
        <f>IF(OR($C$9="",N($J$9)&lt;=59),"",CHOOSE(WEEKDAY($C$9+59,2),"L","M","M","J","V","S","D"))</f>
        <v/>
      </c>
      <c r="BU14" s="19">
        <f>IF(OR($C$9="",N($J$9)&lt;=60),"",CHOOSE(WEEKDAY($C$9+60,2),"L","M","M","J","V","S","D"))</f>
        <v/>
      </c>
      <c r="BV14" s="19">
        <f>IF(OR($C$9="",N($J$9)&lt;=61),"",CHOOSE(WEEKDAY($C$9+61,2),"L","M","M","J","V","S","D"))</f>
        <v/>
      </c>
      <c r="BW14" s="19">
        <f>IF(OR($C$9="",N($J$9)&lt;=62),"",CHOOSE(WEEKDAY($C$9+62,2),"L","M","M","J","V","S","D"))</f>
        <v/>
      </c>
      <c r="BX14" s="19">
        <f>IF(OR($C$9="",N($J$9)&lt;=63),"",CHOOSE(WEEKDAY($C$9+63,2),"L","M","M","J","V","S","D"))</f>
        <v/>
      </c>
      <c r="BY14" s="19">
        <f>IF(OR($C$9="",N($J$9)&lt;=64),"",CHOOSE(WEEKDAY($C$9+64,2),"L","M","M","J","V","S","D"))</f>
        <v/>
      </c>
      <c r="BZ14" s="19">
        <f>IF(OR($C$9="",N($J$9)&lt;=65),"",CHOOSE(WEEKDAY($C$9+65,2),"L","M","M","J","V","S","D"))</f>
        <v/>
      </c>
      <c r="CA14" s="19">
        <f>IF(OR($C$9="",N($J$9)&lt;=66),"",CHOOSE(WEEKDAY($C$9+66,2),"L","M","M","J","V","S","D"))</f>
        <v/>
      </c>
      <c r="CB14" s="19">
        <f>IF(OR($C$9="",N($J$9)&lt;=67),"",CHOOSE(WEEKDAY($C$9+67,2),"L","M","M","J","V","S","D"))</f>
        <v/>
      </c>
      <c r="CC14" s="19">
        <f>IF(OR($C$9="",N($J$9)&lt;=68),"",CHOOSE(WEEKDAY($C$9+68,2),"L","M","M","J","V","S","D"))</f>
        <v/>
      </c>
      <c r="CD14" s="19">
        <f>IF(OR($C$9="",N($J$9)&lt;=69),"",CHOOSE(WEEKDAY($C$9+69,2),"L","M","M","J","V","S","D"))</f>
        <v/>
      </c>
      <c r="CE14" s="19">
        <f>IF(OR($C$9="",N($J$9)&lt;=70),"",CHOOSE(WEEKDAY($C$9+70,2),"L","M","M","J","V","S","D"))</f>
        <v/>
      </c>
      <c r="CF14" s="19">
        <f>IF(OR($C$9="",N($J$9)&lt;=71),"",CHOOSE(WEEKDAY($C$9+71,2),"L","M","M","J","V","S","D"))</f>
        <v/>
      </c>
      <c r="CG14" s="19">
        <f>IF(OR($C$9="",N($J$9)&lt;=72),"",CHOOSE(WEEKDAY($C$9+72,2),"L","M","M","J","V","S","D"))</f>
        <v/>
      </c>
      <c r="CH14" s="19">
        <f>IF(OR($C$9="",N($J$9)&lt;=73),"",CHOOSE(WEEKDAY($C$9+73,2),"L","M","M","J","V","S","D"))</f>
        <v/>
      </c>
      <c r="CI14" s="19">
        <f>IF(OR($C$9="",N($J$9)&lt;=74),"",CHOOSE(WEEKDAY($C$9+74,2),"L","M","M","J","V","S","D"))</f>
        <v/>
      </c>
      <c r="CJ14" s="19">
        <f>IF(OR($C$9="",N($J$9)&lt;=75),"",CHOOSE(WEEKDAY($C$9+75,2),"L","M","M","J","V","S","D"))</f>
        <v/>
      </c>
      <c r="CK14" s="19">
        <f>IF(OR($C$9="",N($J$9)&lt;=76),"",CHOOSE(WEEKDAY($C$9+76,2),"L","M","M","J","V","S","D"))</f>
        <v/>
      </c>
      <c r="CL14" s="19">
        <f>IF(OR($C$9="",N($J$9)&lt;=77),"",CHOOSE(WEEKDAY($C$9+77,2),"L","M","M","J","V","S","D"))</f>
        <v/>
      </c>
      <c r="CM14" s="19">
        <f>IF(OR($C$9="",N($J$9)&lt;=78),"",CHOOSE(WEEKDAY($C$9+78,2),"L","M","M","J","V","S","D"))</f>
        <v/>
      </c>
      <c r="CN14" s="19">
        <f>IF(OR($C$9="",N($J$9)&lt;=79),"",CHOOSE(WEEKDAY($C$9+79,2),"L","M","M","J","V","S","D"))</f>
        <v/>
      </c>
      <c r="CO14" s="19">
        <f>IF(OR($C$9="",N($J$9)&lt;=80),"",CHOOSE(WEEKDAY($C$9+80,2),"L","M","M","J","V","S","D"))</f>
        <v/>
      </c>
      <c r="CP14" s="19">
        <f>IF(OR($C$9="",N($J$9)&lt;=81),"",CHOOSE(WEEKDAY($C$9+81,2),"L","M","M","J","V","S","D"))</f>
        <v/>
      </c>
      <c r="CQ14" s="19">
        <f>IF(OR($C$9="",N($J$9)&lt;=82),"",CHOOSE(WEEKDAY($C$9+82,2),"L","M","M","J","V","S","D"))</f>
        <v/>
      </c>
      <c r="CR14" s="19">
        <f>IF(OR($C$9="",N($J$9)&lt;=83),"",CHOOSE(WEEKDAY($C$9+83,2),"L","M","M","J","V","S","D"))</f>
        <v/>
      </c>
      <c r="CS14" s="19">
        <f>IF(OR($C$9="",N($J$9)&lt;=84),"",CHOOSE(WEEKDAY($C$9+84,2),"L","M","M","J","V","S","D"))</f>
        <v/>
      </c>
      <c r="CT14" s="19">
        <f>IF(OR($C$9="",N($J$9)&lt;=85),"",CHOOSE(WEEKDAY($C$9+85,2),"L","M","M","J","V","S","D"))</f>
        <v/>
      </c>
      <c r="CU14" s="19">
        <f>IF(OR($C$9="",N($J$9)&lt;=86),"",CHOOSE(WEEKDAY($C$9+86,2),"L","M","M","J","V","S","D"))</f>
        <v/>
      </c>
      <c r="CV14" s="19">
        <f>IF(OR($C$9="",N($J$9)&lt;=87),"",CHOOSE(WEEKDAY($C$9+87,2),"L","M","M","J","V","S","D"))</f>
        <v/>
      </c>
      <c r="CW14" s="19">
        <f>IF(OR($C$9="",N($J$9)&lt;=88),"",CHOOSE(WEEKDAY($C$9+88,2),"L","M","M","J","V","S","D"))</f>
        <v/>
      </c>
      <c r="CX14" s="19">
        <f>IF(OR($C$9="",N($J$9)&lt;=89),"",CHOOSE(WEEKDAY($C$9+89,2),"L","M","M","J","V","S","D"))</f>
        <v/>
      </c>
      <c r="CY14" s="19">
        <f>IF(OR($C$9="",N($J$9)&lt;=90),"",CHOOSE(WEEKDAY($C$9+90,2),"L","M","M","J","V","S","D"))</f>
        <v/>
      </c>
      <c r="CZ14" s="19">
        <f>IF(OR($C$9="",N($J$9)&lt;=91),"",CHOOSE(WEEKDAY($C$9+91,2),"L","M","M","J","V","S","D"))</f>
        <v/>
      </c>
      <c r="DA14" s="19">
        <f>IF(OR($C$9="",N($J$9)&lt;=92),"",CHOOSE(WEEKDAY($C$9+92,2),"L","M","M","J","V","S","D"))</f>
        <v/>
      </c>
      <c r="DC14" t="inlineStr">
        <is>
          <t>loc1</t>
        </is>
      </c>
      <c r="DD14" t="inlineStr">
        <is>
          <t>uc1</t>
        </is>
      </c>
      <c r="DE14" t="inlineStr">
        <is>
          <t>vr1</t>
        </is>
      </c>
      <c r="DF14" t="inlineStr">
        <is>
          <t>foc1</t>
        </is>
      </c>
      <c r="DG14" t="inlineStr">
        <is>
          <t>loc2</t>
        </is>
      </c>
      <c r="DH14" t="inlineStr">
        <is>
          <t>uc2</t>
        </is>
      </c>
      <c r="DI14" t="inlineStr">
        <is>
          <t>vr2</t>
        </is>
      </c>
      <c r="DJ14" t="inlineStr">
        <is>
          <t>foc2</t>
        </is>
      </c>
      <c r="DK14" t="inlineStr">
        <is>
          <t>loc3</t>
        </is>
      </c>
      <c r="DL14" t="inlineStr">
        <is>
          <t>uc3</t>
        </is>
      </c>
      <c r="DM14" t="inlineStr">
        <is>
          <t>vr3</t>
        </is>
      </c>
      <c r="DN14" t="inlineStr">
        <is>
          <t>foc3</t>
        </is>
      </c>
      <c r="DO14" t="inlineStr">
        <is>
          <t>bloc 1er O</t>
        </is>
      </c>
    </row>
    <row r="15" ht="20" customHeight="1">
      <c r="A15" s="20" t="inlineStr">
        <is>
          <t>OPÉRATEURS   ·   tarif journalier et mob / demob (codes MOB et DEMOB dans le calendrier)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  <c r="BA15" s="1" t="n"/>
      <c r="BB15" s="1" t="n"/>
      <c r="BC15" s="1" t="n"/>
      <c r="BD15" s="1" t="n"/>
      <c r="BE15" s="1" t="n"/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  <c r="CH15" s="1" t="n"/>
      <c r="CI15" s="1" t="n"/>
      <c r="CJ15" s="1" t="n"/>
      <c r="CK15" s="1" t="n"/>
      <c r="CL15" s="1" t="n"/>
      <c r="CM15" s="1" t="n"/>
      <c r="CN15" s="1" t="n"/>
      <c r="CO15" s="1" t="n"/>
      <c r="CP15" s="1" t="n"/>
      <c r="CQ15" s="1" t="n"/>
      <c r="CR15" s="1" t="n"/>
      <c r="CS15" s="1" t="n"/>
      <c r="CT15" s="1" t="n"/>
      <c r="CU15" s="1" t="n"/>
      <c r="CV15" s="1" t="n"/>
      <c r="CW15" s="1" t="n"/>
      <c r="CX15" s="1" t="n"/>
      <c r="CY15" s="1" t="n"/>
      <c r="CZ15" s="1" t="n"/>
      <c r="DA15" s="1" t="n"/>
    </row>
    <row r="16" ht="30" customHeight="1">
      <c r="A16" s="21" t="n"/>
      <c r="B16" s="22" t="inlineStr">
        <is>
          <t>Nom / poste</t>
        </is>
      </c>
      <c r="C16" s="21" t="n"/>
      <c r="D16" s="22" t="inlineStr">
        <is>
          <t>Stand-by
€/j</t>
        </is>
      </c>
      <c r="E16" s="22" t="inlineStr">
        <is>
          <t>Tarif jour
€</t>
        </is>
      </c>
      <c r="F16" s="22" t="inlineStr">
        <is>
          <t>Mob-Demob
€</t>
        </is>
      </c>
      <c r="G16" s="21" t="n"/>
      <c r="H16" s="21" t="n"/>
      <c r="I16" s="22" t="inlineStr">
        <is>
          <t>Nb mob
/ demob</t>
        </is>
      </c>
      <c r="J16" s="22" t="inlineStr">
        <is>
          <t>Jours
S</t>
        </is>
      </c>
      <c r="K16" s="22" t="inlineStr">
        <is>
          <t>Jours
O</t>
        </is>
      </c>
      <c r="L16" s="22" t="inlineStr">
        <is>
          <t>Total
€ HT</t>
        </is>
      </c>
    </row>
    <row r="17" ht="18" customHeight="1">
      <c r="A17" s="23" t="n"/>
      <c r="B17" s="24" t="inlineStr">
        <is>
          <t>HARRISON Stevens (DD)</t>
        </is>
      </c>
      <c r="C17" s="23" t="n"/>
      <c r="D17" s="25" t="n">
        <v>400</v>
      </c>
      <c r="E17" s="25" t="n">
        <v>750</v>
      </c>
      <c r="F17" s="25" t="n">
        <v>300</v>
      </c>
      <c r="G17" s="26" t="n"/>
      <c r="H17" s="26" t="n"/>
      <c r="I17" s="27">
        <f>COUNTIF($M17:INDEX($M17:$DA17,MAX(1,N($J$9))),"MOB")+COUNTIF($M17:INDEX($M17:$DA17,MAX(1,N($J$9))),"DEMOB")</f>
        <v/>
      </c>
      <c r="J17" s="28">
        <f>COUNTIF($M17:INDEX($M17:$DA17,MAX(1,N($J$9))),"S")+COUNTIF($M17:INDEX($M17:$DA17,MAX(1,N($J$9))),"MOB")+COUNTIF($M17:INDEX($M17:$DA17,MAX(1,N($J$9))),"DEMOB")</f>
        <v/>
      </c>
      <c r="K17" s="28">
        <f>COUNTIF($M17:INDEX($M17:$DA17,MAX(1,N($J$9))),"O")</f>
        <v/>
      </c>
      <c r="L17" s="29">
        <f>IF(B17="","",DC17+DG17+DK17+DD17+DH17+DL17)</f>
        <v/>
      </c>
      <c r="M17" s="30" t="inlineStr">
        <is>
          <t>MOB</t>
        </is>
      </c>
      <c r="N17" s="30" t="inlineStr">
        <is>
          <t>O</t>
        </is>
      </c>
      <c r="O17" s="30" t="inlineStr">
        <is>
          <t>O</t>
        </is>
      </c>
      <c r="P17" s="30" t="inlineStr">
        <is>
          <t>O</t>
        </is>
      </c>
      <c r="Q17" s="30" t="inlineStr">
        <is>
          <t>O</t>
        </is>
      </c>
      <c r="R17" s="30" t="inlineStr">
        <is>
          <t>O</t>
        </is>
      </c>
      <c r="S17" s="30" t="inlineStr">
        <is>
          <t>O</t>
        </is>
      </c>
      <c r="T17" s="30" t="inlineStr">
        <is>
          <t>O</t>
        </is>
      </c>
      <c r="U17" s="30" t="inlineStr">
        <is>
          <t>O</t>
        </is>
      </c>
      <c r="V17" s="30" t="inlineStr">
        <is>
          <t>O</t>
        </is>
      </c>
      <c r="W17" s="30" t="inlineStr">
        <is>
          <t>O</t>
        </is>
      </c>
      <c r="X17" s="30" t="inlineStr">
        <is>
          <t>O</t>
        </is>
      </c>
      <c r="Y17" s="30" t="inlineStr">
        <is>
          <t>O</t>
        </is>
      </c>
      <c r="Z17" s="30" t="inlineStr">
        <is>
          <t>O</t>
        </is>
      </c>
      <c r="AA17" s="30" t="inlineStr">
        <is>
          <t>O</t>
        </is>
      </c>
      <c r="AB17" s="30" t="inlineStr">
        <is>
          <t>O</t>
        </is>
      </c>
      <c r="AC17" s="30" t="inlineStr">
        <is>
          <t>O</t>
        </is>
      </c>
      <c r="AD17" s="30" t="inlineStr">
        <is>
          <t>O</t>
        </is>
      </c>
      <c r="AE17" s="30" t="inlineStr">
        <is>
          <t>O</t>
        </is>
      </c>
      <c r="AF17" s="30" t="inlineStr">
        <is>
          <t>O</t>
        </is>
      </c>
      <c r="AG17" s="30" t="inlineStr">
        <is>
          <t>O</t>
        </is>
      </c>
      <c r="AH17" s="30" t="inlineStr">
        <is>
          <t>O</t>
        </is>
      </c>
      <c r="AI17" s="30" t="inlineStr">
        <is>
          <t>O</t>
        </is>
      </c>
      <c r="AJ17" s="30" t="inlineStr">
        <is>
          <t>O</t>
        </is>
      </c>
      <c r="AK17" s="30" t="inlineStr">
        <is>
          <t>O</t>
        </is>
      </c>
      <c r="AL17" s="30" t="inlineStr">
        <is>
          <t>O</t>
        </is>
      </c>
      <c r="AM17" s="30" t="inlineStr">
        <is>
          <t>O</t>
        </is>
      </c>
      <c r="AN17" s="30" t="inlineStr">
        <is>
          <t>O</t>
        </is>
      </c>
      <c r="AO17" s="30" t="inlineStr">
        <is>
          <t>O</t>
        </is>
      </c>
      <c r="AP17" s="30" t="inlineStr">
        <is>
          <t>O</t>
        </is>
      </c>
      <c r="AQ17" s="30" t="inlineStr">
        <is>
          <t>O</t>
        </is>
      </c>
      <c r="AR17" s="30" t="inlineStr">
        <is>
          <t>O</t>
        </is>
      </c>
      <c r="AS17" s="30" t="inlineStr">
        <is>
          <t>O</t>
        </is>
      </c>
      <c r="AT17" s="30" t="inlineStr">
        <is>
          <t>O</t>
        </is>
      </c>
      <c r="AU17" s="30" t="inlineStr">
        <is>
          <t>O</t>
        </is>
      </c>
      <c r="AV17" s="30" t="inlineStr">
        <is>
          <t>O</t>
        </is>
      </c>
      <c r="AW17" s="30" t="inlineStr">
        <is>
          <t>DEMOB</t>
        </is>
      </c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C17" s="31">
        <f>IF(OR(B17="",N($J$9)&lt;=0),0,(COUNTIF(INDEX($M17:$DA17,1):INDEX($M17:$DA17,MIN(31,N($J$9))),"S")+COUNTIF(INDEX($M17:$DA17,1):INDEX($M17:$DA17,MIN(31,N($J$9))),"MOB")+COUNTIF(INDEX($M17:$DA17,1):INDEX($M17:$DA17,MIN(31,N($J$9))),"DEMOB"))*N(D17)+(COUNTIF(INDEX($M17:$DA17,1):INDEX($M17:$DA17,MIN(31,N($J$9))),"O"))*N(E17))</f>
        <v/>
      </c>
      <c r="DD17" s="31">
        <f>IF(OR(B17="",N($J$9)&lt;=0),0,(COUNTIF(INDEX($M17:$DA17,1):INDEX($M17:$DA17,MIN(31,N($J$9))),"MOB")+COUNTIF(INDEX($M17:$DA17,1):INDEX($M17:$DA17,MIN(31,N($J$9))),"DEMOB"))*N(F17))</f>
        <v/>
      </c>
      <c r="DE17" s="31" t="n">
        <v>0</v>
      </c>
      <c r="DF17" s="31" t="n">
        <v>0</v>
      </c>
      <c r="DG17" s="31">
        <f>IF(OR(B17="",N($J$9)&lt;=31),0,(COUNTIF(INDEX($M17:$DA17,32):INDEX($M17:$DA17,MIN(62,N($J$9))),"S")+COUNTIF(INDEX($M17:$DA17,32):INDEX($M17:$DA17,MIN(62,N($J$9))),"MOB")+COUNTIF(INDEX($M17:$DA17,32):INDEX($M17:$DA17,MIN(62,N($J$9))),"DEMOB"))*N(D17)+(COUNTIF(INDEX($M17:$DA17,32):INDEX($M17:$DA17,MIN(62,N($J$9))),"O"))*N(E17))</f>
        <v/>
      </c>
      <c r="DH17" s="31">
        <f>IF(OR(B17="",N($J$9)&lt;=31),0,(COUNTIF(INDEX($M17:$DA17,32):INDEX($M17:$DA17,MIN(62,N($J$9))),"MOB")+COUNTIF(INDEX($M17:$DA17,32):INDEX($M17:$DA17,MIN(62,N($J$9))),"DEMOB"))*N(F17))</f>
        <v/>
      </c>
      <c r="DI17" s="31" t="n">
        <v>0</v>
      </c>
      <c r="DJ17" s="31" t="n">
        <v>0</v>
      </c>
      <c r="DK17" s="31">
        <f>IF(OR(B17="",N($J$9)&lt;=62),0,(COUNTIF(INDEX($M17:$DA17,63):INDEX($M17:$DA17,MIN(93,N($J$9))),"S")+COUNTIF(INDEX($M17:$DA17,63):INDEX($M17:$DA17,MIN(93,N($J$9))),"MOB")+COUNTIF(INDEX($M17:$DA17,63):INDEX($M17:$DA17,MIN(93,N($J$9))),"DEMOB"))*N(D17)+(COUNTIF(INDEX($M17:$DA17,63):INDEX($M17:$DA17,MIN(93,N($J$9))),"O"))*N(E17))</f>
        <v/>
      </c>
      <c r="DL17" s="31">
        <f>IF(OR(B17="",N($J$9)&lt;=62),0,(COUNTIF(INDEX($M17:$DA17,63):INDEX($M17:$DA17,MIN(93,N($J$9))),"MOB")+COUNTIF(INDEX($M17:$DA17,63):INDEX($M17:$DA17,MIN(93,N($J$9))),"DEMOB"))*N(F17))</f>
        <v/>
      </c>
      <c r="DM17" s="31" t="n">
        <v>0</v>
      </c>
      <c r="DN17" s="31" t="n">
        <v>0</v>
      </c>
      <c r="DO17" s="31" t="n">
        <v>0</v>
      </c>
    </row>
    <row r="18" ht="18" customHeight="1">
      <c r="A18" s="23" t="n"/>
      <c r="B18" s="24" t="n"/>
      <c r="C18" s="23" t="n"/>
      <c r="D18" s="25" t="n"/>
      <c r="E18" s="25" t="n"/>
      <c r="F18" s="25" t="n"/>
      <c r="G18" s="26" t="n"/>
      <c r="H18" s="26" t="n"/>
      <c r="I18" s="27">
        <f>COUNTIF($M18:INDEX($M18:$DA18,MAX(1,N($J$9))),"MOB")+COUNTIF($M18:INDEX($M18:$DA18,MAX(1,N($J$9))),"DEMOB")</f>
        <v/>
      </c>
      <c r="J18" s="28">
        <f>COUNTIF($M18:INDEX($M18:$DA18,MAX(1,N($J$9))),"S")+COUNTIF($M18:INDEX($M18:$DA18,MAX(1,N($J$9))),"MOB")+COUNTIF($M18:INDEX($M18:$DA18,MAX(1,N($J$9))),"DEMOB")</f>
        <v/>
      </c>
      <c r="K18" s="28">
        <f>COUNTIF($M18:INDEX($M18:$DA18,MAX(1,N($J$9))),"O")</f>
        <v/>
      </c>
      <c r="L18" s="29">
        <f>IF(B18="","",DC18+DG18+DK18+DD18+DH18+DL18)</f>
        <v/>
      </c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C18" s="31">
        <f>IF(OR(B18="",N($J$9)&lt;=0),0,(COUNTIF(INDEX($M18:$DA18,1):INDEX($M18:$DA18,MIN(31,N($J$9))),"S")+COUNTIF(INDEX($M18:$DA18,1):INDEX($M18:$DA18,MIN(31,N($J$9))),"MOB")+COUNTIF(INDEX($M18:$DA18,1):INDEX($M18:$DA18,MIN(31,N($J$9))),"DEMOB"))*N(D18)+(COUNTIF(INDEX($M18:$DA18,1):INDEX($M18:$DA18,MIN(31,N($J$9))),"O"))*N(E18))</f>
        <v/>
      </c>
      <c r="DD18" s="31">
        <f>IF(OR(B18="",N($J$9)&lt;=0),0,(COUNTIF(INDEX($M18:$DA18,1):INDEX($M18:$DA18,MIN(31,N($J$9))),"MOB")+COUNTIF(INDEX($M18:$DA18,1):INDEX($M18:$DA18,MIN(31,N($J$9))),"DEMOB"))*N(F18))</f>
        <v/>
      </c>
      <c r="DE18" s="31" t="n">
        <v>0</v>
      </c>
      <c r="DF18" s="31" t="n">
        <v>0</v>
      </c>
      <c r="DG18" s="31">
        <f>IF(OR(B18="",N($J$9)&lt;=31),0,(COUNTIF(INDEX($M18:$DA18,32):INDEX($M18:$DA18,MIN(62,N($J$9))),"S")+COUNTIF(INDEX($M18:$DA18,32):INDEX($M18:$DA18,MIN(62,N($J$9))),"MOB")+COUNTIF(INDEX($M18:$DA18,32):INDEX($M18:$DA18,MIN(62,N($J$9))),"DEMOB"))*N(D18)+(COUNTIF(INDEX($M18:$DA18,32):INDEX($M18:$DA18,MIN(62,N($J$9))),"O"))*N(E18))</f>
        <v/>
      </c>
      <c r="DH18" s="31">
        <f>IF(OR(B18="",N($J$9)&lt;=31),0,(COUNTIF(INDEX($M18:$DA18,32):INDEX($M18:$DA18,MIN(62,N($J$9))),"MOB")+COUNTIF(INDEX($M18:$DA18,32):INDEX($M18:$DA18,MIN(62,N($J$9))),"DEMOB"))*N(F18))</f>
        <v/>
      </c>
      <c r="DI18" s="31" t="n">
        <v>0</v>
      </c>
      <c r="DJ18" s="31" t="n">
        <v>0</v>
      </c>
      <c r="DK18" s="31">
        <f>IF(OR(B18="",N($J$9)&lt;=62),0,(COUNTIF(INDEX($M18:$DA18,63):INDEX($M18:$DA18,MIN(93,N($J$9))),"S")+COUNTIF(INDEX($M18:$DA18,63):INDEX($M18:$DA18,MIN(93,N($J$9))),"MOB")+COUNTIF(INDEX($M18:$DA18,63):INDEX($M18:$DA18,MIN(93,N($J$9))),"DEMOB"))*N(D18)+(COUNTIF(INDEX($M18:$DA18,63):INDEX($M18:$DA18,MIN(93,N($J$9))),"O"))*N(E18))</f>
        <v/>
      </c>
      <c r="DL18" s="31">
        <f>IF(OR(B18="",N($J$9)&lt;=62),0,(COUNTIF(INDEX($M18:$DA18,63):INDEX($M18:$DA18,MIN(93,N($J$9))),"MOB")+COUNTIF(INDEX($M18:$DA18,63):INDEX($M18:$DA18,MIN(93,N($J$9))),"DEMOB"))*N(F18))</f>
        <v/>
      </c>
      <c r="DM18" s="31" t="n">
        <v>0</v>
      </c>
      <c r="DN18" s="31" t="n">
        <v>0</v>
      </c>
      <c r="DO18" s="31" t="n">
        <v>0</v>
      </c>
    </row>
    <row r="19" ht="18" customHeight="1">
      <c r="A19" s="23" t="n"/>
      <c r="B19" s="24" t="n"/>
      <c r="C19" s="23" t="n"/>
      <c r="D19" s="25" t="n"/>
      <c r="E19" s="25" t="n"/>
      <c r="F19" s="25" t="n"/>
      <c r="G19" s="26" t="n"/>
      <c r="H19" s="26" t="n"/>
      <c r="I19" s="27">
        <f>COUNTIF($M19:INDEX($M19:$DA19,MAX(1,N($J$9))),"MOB")+COUNTIF($M19:INDEX($M19:$DA19,MAX(1,N($J$9))),"DEMOB")</f>
        <v/>
      </c>
      <c r="J19" s="28">
        <f>COUNTIF($M19:INDEX($M19:$DA19,MAX(1,N($J$9))),"S")+COUNTIF($M19:INDEX($M19:$DA19,MAX(1,N($J$9))),"MOB")+COUNTIF($M19:INDEX($M19:$DA19,MAX(1,N($J$9))),"DEMOB")</f>
        <v/>
      </c>
      <c r="K19" s="28">
        <f>COUNTIF($M19:INDEX($M19:$DA19,MAX(1,N($J$9))),"O")</f>
        <v/>
      </c>
      <c r="L19" s="29">
        <f>IF(B19="","",DC19+DG19+DK19+DD19+DH19+DL19)</f>
        <v/>
      </c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C19" s="31">
        <f>IF(OR(B19="",N($J$9)&lt;=0),0,(COUNTIF(INDEX($M19:$DA19,1):INDEX($M19:$DA19,MIN(31,N($J$9))),"S")+COUNTIF(INDEX($M19:$DA19,1):INDEX($M19:$DA19,MIN(31,N($J$9))),"MOB")+COUNTIF(INDEX($M19:$DA19,1):INDEX($M19:$DA19,MIN(31,N($J$9))),"DEMOB"))*N(D19)+(COUNTIF(INDEX($M19:$DA19,1):INDEX($M19:$DA19,MIN(31,N($J$9))),"O"))*N(E19))</f>
        <v/>
      </c>
      <c r="DD19" s="31">
        <f>IF(OR(B19="",N($J$9)&lt;=0),0,(COUNTIF(INDEX($M19:$DA19,1):INDEX($M19:$DA19,MIN(31,N($J$9))),"MOB")+COUNTIF(INDEX($M19:$DA19,1):INDEX($M19:$DA19,MIN(31,N($J$9))),"DEMOB"))*N(F19))</f>
        <v/>
      </c>
      <c r="DE19" s="31" t="n">
        <v>0</v>
      </c>
      <c r="DF19" s="31" t="n">
        <v>0</v>
      </c>
      <c r="DG19" s="31">
        <f>IF(OR(B19="",N($J$9)&lt;=31),0,(COUNTIF(INDEX($M19:$DA19,32):INDEX($M19:$DA19,MIN(62,N($J$9))),"S")+COUNTIF(INDEX($M19:$DA19,32):INDEX($M19:$DA19,MIN(62,N($J$9))),"MOB")+COUNTIF(INDEX($M19:$DA19,32):INDEX($M19:$DA19,MIN(62,N($J$9))),"DEMOB"))*N(D19)+(COUNTIF(INDEX($M19:$DA19,32):INDEX($M19:$DA19,MIN(62,N($J$9))),"O"))*N(E19))</f>
        <v/>
      </c>
      <c r="DH19" s="31">
        <f>IF(OR(B19="",N($J$9)&lt;=31),0,(COUNTIF(INDEX($M19:$DA19,32):INDEX($M19:$DA19,MIN(62,N($J$9))),"MOB")+COUNTIF(INDEX($M19:$DA19,32):INDEX($M19:$DA19,MIN(62,N($J$9))),"DEMOB"))*N(F19))</f>
        <v/>
      </c>
      <c r="DI19" s="31" t="n">
        <v>0</v>
      </c>
      <c r="DJ19" s="31" t="n">
        <v>0</v>
      </c>
      <c r="DK19" s="31">
        <f>IF(OR(B19="",N($J$9)&lt;=62),0,(COUNTIF(INDEX($M19:$DA19,63):INDEX($M19:$DA19,MIN(93,N($J$9))),"S")+COUNTIF(INDEX($M19:$DA19,63):INDEX($M19:$DA19,MIN(93,N($J$9))),"MOB")+COUNTIF(INDEX($M19:$DA19,63):INDEX($M19:$DA19,MIN(93,N($J$9))),"DEMOB"))*N(D19)+(COUNTIF(INDEX($M19:$DA19,63):INDEX($M19:$DA19,MIN(93,N($J$9))),"O"))*N(E19))</f>
        <v/>
      </c>
      <c r="DL19" s="31">
        <f>IF(OR(B19="",N($J$9)&lt;=62),0,(COUNTIF(INDEX($M19:$DA19,63):INDEX($M19:$DA19,MIN(93,N($J$9))),"MOB")+COUNTIF(INDEX($M19:$DA19,63):INDEX($M19:$DA19,MIN(93,N($J$9))),"DEMOB"))*N(F19))</f>
        <v/>
      </c>
      <c r="DM19" s="31" t="n">
        <v>0</v>
      </c>
      <c r="DN19" s="31" t="n">
        <v>0</v>
      </c>
      <c r="DO19" s="31" t="n">
        <v>0</v>
      </c>
    </row>
    <row r="21" ht="20" customHeight="1">
      <c r="A21" s="20" t="inlineStr">
        <is>
          <t>MATÉRIEL LOUÉ   ·   copier les colonnes C à J de l’onglet « 2 Matériel » du devis et les coller en B22   ·   « UC déjà facturée » : Oui si l’UC a été facturée sur un ticket précédent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  <c r="BA21" s="1" t="n"/>
      <c r="BB21" s="1" t="n"/>
      <c r="BC21" s="1" t="n"/>
      <c r="BD21" s="1" t="n"/>
      <c r="BE21" s="1" t="n"/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  <c r="CH21" s="1" t="n"/>
      <c r="CI21" s="1" t="n"/>
      <c r="CJ21" s="1" t="n"/>
      <c r="CK21" s="1" t="n"/>
      <c r="CL21" s="1" t="n"/>
      <c r="CM21" s="1" t="n"/>
      <c r="CN21" s="1" t="n"/>
      <c r="CO21" s="1" t="n"/>
      <c r="CP21" s="1" t="n"/>
      <c r="CQ21" s="1" t="n"/>
      <c r="CR21" s="1" t="n"/>
      <c r="CS21" s="1" t="n"/>
      <c r="CT21" s="1" t="n"/>
      <c r="CU21" s="1" t="n"/>
      <c r="CV21" s="1" t="n"/>
      <c r="CW21" s="1" t="n"/>
      <c r="CX21" s="1" t="n"/>
      <c r="CY21" s="1" t="n"/>
      <c r="CZ21" s="1" t="n"/>
      <c r="DA21" s="1" t="n"/>
    </row>
    <row r="22" ht="18" customHeight="1">
      <c r="A22" s="32" t="n"/>
      <c r="B22" s="24" t="inlineStr">
        <is>
          <t>BHA #1</t>
        </is>
      </c>
      <c r="C22" s="32" t="n"/>
      <c r="D22" s="25" t="n"/>
      <c r="E22" s="25" t="n"/>
      <c r="F22" s="25" t="n"/>
      <c r="G22" s="25" t="n"/>
      <c r="H22" s="25" t="n"/>
      <c r="I22" s="25" t="n"/>
      <c r="J22" s="28">
        <f>IF(B22="","",COUNTIF($M22:INDEX($M22:$DA22,MAX(1,N($J$9))),"S")+COUNTIF($M22:INDEX($M22:$DA22,MAX(1,N($J$9))),"MOB")+COUNTIF($M22:INDEX($M22:$DA22,MAX(1,N($J$9))),"DEMOB"))</f>
        <v/>
      </c>
      <c r="K22" s="28">
        <f>IF(B22="","",COUNTIF($M22:INDEX($M22:$DA22,MAX(1,N($J$9))),"O"))</f>
        <v/>
      </c>
      <c r="L22" s="29">
        <f>IF(B22="","",DC22+DG22+DK22+DD22+DH22+DL22+DE22+DI22+DM22)</f>
        <v/>
      </c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C22" s="31">
        <f>IF(OR(B22="",NOT(N($J$9)&gt;0)),0,IF(N(C22)&gt;0,C22,1)*((COUNTIF(INDEX($M22:$DA22,1):INDEX($M22:$DA22,MIN(31,N($J$9))),"S")+COUNTIF(INDEX($M22:$DA22,1):INDEX($M22:$DA22,MIN(31,N($J$9))),"MOB")+COUNTIF(INDEX($M22:$DA22,1):INDEX($M22:$DA22,MIN(31,N($J$9))),"DEMOB"))*N(D22)+(COUNTIF(INDEX($M22:$DA22,1):INDEX($M22:$DA22,MIN(31,N($J$9))),"O"))*N(E22)))</f>
        <v/>
      </c>
      <c r="DD22" s="31">
        <f>IF(OR(B22="",A22="Oui",DO22&lt;&gt;1),0,IF(N(C22)&gt;0,C22,1)*(N(F22)+N(H22)))</f>
        <v/>
      </c>
      <c r="DE22" s="31">
        <f>IF(OR(B22="",NOT(N($J$9)&gt;0)),0,IF(N(C22)&gt;0,C22,1)*(IF((COUNTIF(INDEX($M22:$DA22,1):INDEX($M22:$DA22,MIN(31,N($J$9))),"VR"))&gt;0,N(G22),0)+IF((COUNTIF(INDEX($M22:$DA22,1):INDEX($M22:$DA22,MIN(31,N($J$9))),"RC"))&gt;0,N(I22),0)))</f>
        <v/>
      </c>
      <c r="DF22" s="31">
        <f>IF(OR(B22="",NOT(N($J$9)&gt;0)),0,IF(N(C22)&gt;0,C22,1)*(COUNTIF(INDEX($M22:$DA22,1):INDEX($M22:$DA22,MIN(31,N($J$9))),"FOC"))*N(E22))</f>
        <v/>
      </c>
      <c r="DG22" s="31">
        <f>IF(OR(B22="",NOT(N($J$9)&gt;31)),0,IF(N(C22)&gt;0,C22,1)*((COUNTIF(INDEX($M22:$DA22,32):INDEX($M22:$DA22,MIN(62,N($J$9))),"S")+COUNTIF(INDEX($M22:$DA22,32):INDEX($M22:$DA22,MIN(62,N($J$9))),"MOB")+COUNTIF(INDEX($M22:$DA22,32):INDEX($M22:$DA22,MIN(62,N($J$9))),"DEMOB"))*N(D22)+(COUNTIF(INDEX($M22:$DA22,32):INDEX($M22:$DA22,MIN(62,N($J$9))),"O"))*N(E22)))</f>
        <v/>
      </c>
      <c r="DH22" s="31">
        <f>IF(OR(B22="",A22="Oui",DO22&lt;&gt;2),0,IF(N(C22)&gt;0,C22,1)*(N(F22)+N(H22)))</f>
        <v/>
      </c>
      <c r="DI22" s="31">
        <f>IF(OR(B22="",NOT(N($J$9)&gt;31)),0,IF(N(C22)&gt;0,C22,1)*(IF((COUNTIF(INDEX($M22:$DA22,32):INDEX($M22:$DA22,MIN(62,N($J$9))),"VR"))&gt;0,N(G22),0)+IF((COUNTIF(INDEX($M22:$DA22,32):INDEX($M22:$DA22,MIN(62,N($J$9))),"RC"))&gt;0,N(I22),0)))</f>
        <v/>
      </c>
      <c r="DJ22" s="31">
        <f>IF(OR(B22="",NOT(N($J$9)&gt;31)),0,IF(N(C22)&gt;0,C22,1)*(COUNTIF(INDEX($M22:$DA22,32):INDEX($M22:$DA22,MIN(62,N($J$9))),"FOC"))*N(E22))</f>
        <v/>
      </c>
      <c r="DK22" s="31">
        <f>IF(OR(B22="",NOT(N($J$9)&gt;62)),0,IF(N(C22)&gt;0,C22,1)*((COUNTIF(INDEX($M22:$DA22,63):INDEX($M22:$DA22,MIN(93,N($J$9))),"S")+COUNTIF(INDEX($M22:$DA22,63):INDEX($M22:$DA22,MIN(93,N($J$9))),"MOB")+COUNTIF(INDEX($M22:$DA22,63):INDEX($M22:$DA22,MIN(93,N($J$9))),"DEMOB"))*N(D22)+(COUNTIF(INDEX($M22:$DA22,63):INDEX($M22:$DA22,MIN(93,N($J$9))),"O"))*N(E22)))</f>
        <v/>
      </c>
      <c r="DL22" s="31">
        <f>IF(OR(B22="",A22="Oui",DO22&lt;&gt;3),0,IF(N(C22)&gt;0,C22,1)*(N(F22)+N(H22)))</f>
        <v/>
      </c>
      <c r="DM22" s="31">
        <f>IF(OR(B22="",NOT(N($J$9)&gt;62)),0,IF(N(C22)&gt;0,C22,1)*(IF((COUNTIF(INDEX($M22:$DA22,63):INDEX($M22:$DA22,MIN(93,N($J$9))),"VR"))&gt;0,N(G22),0)+IF((COUNTIF(INDEX($M22:$DA22,63):INDEX($M22:$DA22,MIN(93,N($J$9))),"RC"))&gt;0,N(I22),0)))</f>
        <v/>
      </c>
      <c r="DN22" s="31">
        <f>IF(OR(B22="",NOT(N($J$9)&gt;62)),0,IF(N(C22)&gt;0,C22,1)*(COUNTIF(INDEX($M22:$DA22,63):INDEX($M22:$DA22,MIN(93,N($J$9))),"FOC"))*N(E22))</f>
        <v/>
      </c>
      <c r="DO22" s="31">
        <f>IF(B22="",0,IFERROR(INT((MATCH("O",$M22:INDEX($M22:$DA22,MAX(1,N($J$9))),0)-1)/31)+1,0))</f>
        <v/>
      </c>
    </row>
    <row r="23" ht="18" customHeight="1">
      <c r="A23" s="32" t="n"/>
      <c r="B23" s="24" t="inlineStr">
        <is>
          <t>Stab 5-7/8 OD, 2-1/4" ID - 3-1/2" IF Pin x Box</t>
        </is>
      </c>
      <c r="C23" s="32" t="n">
        <v>1</v>
      </c>
      <c r="D23" s="25" t="n">
        <v>85</v>
      </c>
      <c r="E23" s="25" t="n">
        <v>120</v>
      </c>
      <c r="F23" s="25" t="n">
        <v>40</v>
      </c>
      <c r="G23" s="25" t="n">
        <v>4200</v>
      </c>
      <c r="H23" s="25" t="n">
        <v>150</v>
      </c>
      <c r="I23" s="25" t="n">
        <v>600</v>
      </c>
      <c r="J23" s="28">
        <f>IF(B23="","",COUNTIF($M23:INDEX($M23:$DA23,MAX(1,N($J$9))),"S")+COUNTIF($M23:INDEX($M23:$DA23,MAX(1,N($J$9))),"MOB")+COUNTIF($M23:INDEX($M23:$DA23,MAX(1,N($J$9))),"DEMOB"))</f>
        <v/>
      </c>
      <c r="K23" s="28">
        <f>IF(B23="","",COUNTIF($M23:INDEX($M23:$DA23,MAX(1,N($J$9))),"O"))</f>
        <v/>
      </c>
      <c r="L23" s="29">
        <f>IF(B23="","",DC23+DG23+DK23+DD23+DH23+DL23+DE23+DI23+DM23)</f>
        <v/>
      </c>
      <c r="M23" s="30" t="inlineStr">
        <is>
          <t>MOB</t>
        </is>
      </c>
      <c r="N23" s="30" t="inlineStr">
        <is>
          <t>S</t>
        </is>
      </c>
      <c r="O23" s="30" t="inlineStr">
        <is>
          <t>O</t>
        </is>
      </c>
      <c r="P23" s="30" t="inlineStr">
        <is>
          <t>O</t>
        </is>
      </c>
      <c r="Q23" s="30" t="inlineStr">
        <is>
          <t>O</t>
        </is>
      </c>
      <c r="R23" s="30" t="inlineStr">
        <is>
          <t>O</t>
        </is>
      </c>
      <c r="S23" s="30" t="inlineStr">
        <is>
          <t>O</t>
        </is>
      </c>
      <c r="T23" s="30" t="inlineStr">
        <is>
          <t>O</t>
        </is>
      </c>
      <c r="U23" s="30" t="inlineStr">
        <is>
          <t>O</t>
        </is>
      </c>
      <c r="V23" s="30" t="inlineStr">
        <is>
          <t>O</t>
        </is>
      </c>
      <c r="W23" s="30" t="inlineStr">
        <is>
          <t>O</t>
        </is>
      </c>
      <c r="X23" s="30" t="inlineStr">
        <is>
          <t>O</t>
        </is>
      </c>
      <c r="Y23" s="30" t="inlineStr">
        <is>
          <t>O</t>
        </is>
      </c>
      <c r="Z23" s="30" t="inlineStr">
        <is>
          <t>O</t>
        </is>
      </c>
      <c r="AA23" s="30" t="inlineStr">
        <is>
          <t>S</t>
        </is>
      </c>
      <c r="AB23" s="30" t="inlineStr">
        <is>
          <t>S</t>
        </is>
      </c>
      <c r="AC23" s="30" t="inlineStr">
        <is>
          <t>S</t>
        </is>
      </c>
      <c r="AD23" s="30" t="inlineStr">
        <is>
          <t>S</t>
        </is>
      </c>
      <c r="AE23" s="30" t="inlineStr">
        <is>
          <t>S</t>
        </is>
      </c>
      <c r="AF23" s="30" t="inlineStr">
        <is>
          <t>S</t>
        </is>
      </c>
      <c r="AG23" s="30" t="inlineStr">
        <is>
          <t>S</t>
        </is>
      </c>
      <c r="AH23" s="30" t="inlineStr">
        <is>
          <t>S</t>
        </is>
      </c>
      <c r="AI23" s="30" t="inlineStr">
        <is>
          <t>S</t>
        </is>
      </c>
      <c r="AJ23" s="30" t="inlineStr">
        <is>
          <t>S</t>
        </is>
      </c>
      <c r="AK23" s="30" t="inlineStr">
        <is>
          <t>O</t>
        </is>
      </c>
      <c r="AL23" s="30" t="inlineStr">
        <is>
          <t>O</t>
        </is>
      </c>
      <c r="AM23" s="30" t="inlineStr">
        <is>
          <t>O</t>
        </is>
      </c>
      <c r="AN23" s="30" t="inlineStr">
        <is>
          <t>O</t>
        </is>
      </c>
      <c r="AO23" s="30" t="inlineStr">
        <is>
          <t>O</t>
        </is>
      </c>
      <c r="AP23" s="30" t="inlineStr">
        <is>
          <t>O</t>
        </is>
      </c>
      <c r="AQ23" s="30" t="inlineStr">
        <is>
          <t>O</t>
        </is>
      </c>
      <c r="AR23" s="30" t="inlineStr">
        <is>
          <t>O</t>
        </is>
      </c>
      <c r="AS23" s="30" t="inlineStr">
        <is>
          <t>O</t>
        </is>
      </c>
      <c r="AT23" s="30" t="inlineStr">
        <is>
          <t>O</t>
        </is>
      </c>
      <c r="AU23" s="30" t="inlineStr">
        <is>
          <t>O</t>
        </is>
      </c>
      <c r="AV23" s="30" t="inlineStr">
        <is>
          <t>O</t>
        </is>
      </c>
      <c r="AW23" s="30" t="inlineStr">
        <is>
          <t>DEMOB</t>
        </is>
      </c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C23" s="31">
        <f>IF(OR(B23="",NOT(N($J$9)&gt;0)),0,IF(N(C23)&gt;0,C23,1)*((COUNTIF(INDEX($M23:$DA23,1):INDEX($M23:$DA23,MIN(31,N($J$9))),"S")+COUNTIF(INDEX($M23:$DA23,1):INDEX($M23:$DA23,MIN(31,N($J$9))),"MOB")+COUNTIF(INDEX($M23:$DA23,1):INDEX($M23:$DA23,MIN(31,N($J$9))),"DEMOB"))*N(D23)+(COUNTIF(INDEX($M23:$DA23,1):INDEX($M23:$DA23,MIN(31,N($J$9))),"O"))*N(E23)))</f>
        <v/>
      </c>
      <c r="DD23" s="31">
        <f>IF(OR(B23="",A23="Oui",DO23&lt;&gt;1),0,IF(N(C23)&gt;0,C23,1)*(N(F23)+N(H23)))</f>
        <v/>
      </c>
      <c r="DE23" s="31">
        <f>IF(OR(B23="",NOT(N($J$9)&gt;0)),0,IF(N(C23)&gt;0,C23,1)*(IF((COUNTIF(INDEX($M23:$DA23,1):INDEX($M23:$DA23,MIN(31,N($J$9))),"VR"))&gt;0,N(G23),0)+IF((COUNTIF(INDEX($M23:$DA23,1):INDEX($M23:$DA23,MIN(31,N($J$9))),"RC"))&gt;0,N(I23),0)))</f>
        <v/>
      </c>
      <c r="DF23" s="31">
        <f>IF(OR(B23="",NOT(N($J$9)&gt;0)),0,IF(N(C23)&gt;0,C23,1)*(COUNTIF(INDEX($M23:$DA23,1):INDEX($M23:$DA23,MIN(31,N($J$9))),"FOC"))*N(E23))</f>
        <v/>
      </c>
      <c r="DG23" s="31">
        <f>IF(OR(B23="",NOT(N($J$9)&gt;31)),0,IF(N(C23)&gt;0,C23,1)*((COUNTIF(INDEX($M23:$DA23,32):INDEX($M23:$DA23,MIN(62,N($J$9))),"S")+COUNTIF(INDEX($M23:$DA23,32):INDEX($M23:$DA23,MIN(62,N($J$9))),"MOB")+COUNTIF(INDEX($M23:$DA23,32):INDEX($M23:$DA23,MIN(62,N($J$9))),"DEMOB"))*N(D23)+(COUNTIF(INDEX($M23:$DA23,32):INDEX($M23:$DA23,MIN(62,N($J$9))),"O"))*N(E23)))</f>
        <v/>
      </c>
      <c r="DH23" s="31">
        <f>IF(OR(B23="",A23="Oui",DO23&lt;&gt;2),0,IF(N(C23)&gt;0,C23,1)*(N(F23)+N(H23)))</f>
        <v/>
      </c>
      <c r="DI23" s="31">
        <f>IF(OR(B23="",NOT(N($J$9)&gt;31)),0,IF(N(C23)&gt;0,C23,1)*(IF((COUNTIF(INDEX($M23:$DA23,32):INDEX($M23:$DA23,MIN(62,N($J$9))),"VR"))&gt;0,N(G23),0)+IF((COUNTIF(INDEX($M23:$DA23,32):INDEX($M23:$DA23,MIN(62,N($J$9))),"RC"))&gt;0,N(I23),0)))</f>
        <v/>
      </c>
      <c r="DJ23" s="31">
        <f>IF(OR(B23="",NOT(N($J$9)&gt;31)),0,IF(N(C23)&gt;0,C23,1)*(COUNTIF(INDEX($M23:$DA23,32):INDEX($M23:$DA23,MIN(62,N($J$9))),"FOC"))*N(E23))</f>
        <v/>
      </c>
      <c r="DK23" s="31">
        <f>IF(OR(B23="",NOT(N($J$9)&gt;62)),0,IF(N(C23)&gt;0,C23,1)*((COUNTIF(INDEX($M23:$DA23,63):INDEX($M23:$DA23,MIN(93,N($J$9))),"S")+COUNTIF(INDEX($M23:$DA23,63):INDEX($M23:$DA23,MIN(93,N($J$9))),"MOB")+COUNTIF(INDEX($M23:$DA23,63):INDEX($M23:$DA23,MIN(93,N($J$9))),"DEMOB"))*N(D23)+(COUNTIF(INDEX($M23:$DA23,63):INDEX($M23:$DA23,MIN(93,N($J$9))),"O"))*N(E23)))</f>
        <v/>
      </c>
      <c r="DL23" s="31">
        <f>IF(OR(B23="",A23="Oui",DO23&lt;&gt;3),0,IF(N(C23)&gt;0,C23,1)*(N(F23)+N(H23)))</f>
        <v/>
      </c>
      <c r="DM23" s="31">
        <f>IF(OR(B23="",NOT(N($J$9)&gt;62)),0,IF(N(C23)&gt;0,C23,1)*(IF((COUNTIF(INDEX($M23:$DA23,63):INDEX($M23:$DA23,MIN(93,N($J$9))),"VR"))&gt;0,N(G23),0)+IF((COUNTIF(INDEX($M23:$DA23,63):INDEX($M23:$DA23,MIN(93,N($J$9))),"RC"))&gt;0,N(I23),0)))</f>
        <v/>
      </c>
      <c r="DN23" s="31">
        <f>IF(OR(B23="",NOT(N($J$9)&gt;62)),0,IF(N(C23)&gt;0,C23,1)*(COUNTIF(INDEX($M23:$DA23,63):INDEX($M23:$DA23,MIN(93,N($J$9))),"FOC"))*N(E23))</f>
        <v/>
      </c>
      <c r="DO23" s="31">
        <f>IF(B23="",0,IFERROR(INT((MATCH("O",$M23:INDEX($M23:$DA23,MAX(1,N($J$9))),0)-1)/31)+1,0))</f>
        <v/>
      </c>
    </row>
    <row r="24" ht="18" customHeight="1">
      <c r="A24" s="32" t="n"/>
      <c r="B24" s="24" t="inlineStr">
        <is>
          <t>XO 3-1/2" IF Pin x 2-7/8" EU Box</t>
        </is>
      </c>
      <c r="C24" s="32" t="n">
        <v>2</v>
      </c>
      <c r="D24" s="25" t="n">
        <v>20</v>
      </c>
      <c r="E24" s="25" t="n">
        <v>30</v>
      </c>
      <c r="F24" s="25" t="n">
        <v>10</v>
      </c>
      <c r="G24" s="25" t="n">
        <v>900</v>
      </c>
      <c r="H24" s="25" t="n">
        <v>60</v>
      </c>
      <c r="I24" s="25" t="n">
        <v>150</v>
      </c>
      <c r="J24" s="28">
        <f>IF(B24="","",COUNTIF($M24:INDEX($M24:$DA24,MAX(1,N($J$9))),"S")+COUNTIF($M24:INDEX($M24:$DA24,MAX(1,N($J$9))),"MOB")+COUNTIF($M24:INDEX($M24:$DA24,MAX(1,N($J$9))),"DEMOB"))</f>
        <v/>
      </c>
      <c r="K24" s="28">
        <f>IF(B24="","",COUNTIF($M24:INDEX($M24:$DA24,MAX(1,N($J$9))),"O"))</f>
        <v/>
      </c>
      <c r="L24" s="29">
        <f>IF(B24="","",DC24+DG24+DK24+DD24+DH24+DL24+DE24+DI24+DM24)</f>
        <v/>
      </c>
      <c r="M24" s="30" t="inlineStr">
        <is>
          <t>MOB</t>
        </is>
      </c>
      <c r="N24" s="30" t="inlineStr">
        <is>
          <t>O</t>
        </is>
      </c>
      <c r="O24" s="30" t="inlineStr">
        <is>
          <t>O</t>
        </is>
      </c>
      <c r="P24" s="30" t="inlineStr">
        <is>
          <t>O</t>
        </is>
      </c>
      <c r="Q24" s="30" t="inlineStr">
        <is>
          <t>O</t>
        </is>
      </c>
      <c r="R24" s="30" t="inlineStr">
        <is>
          <t>O</t>
        </is>
      </c>
      <c r="S24" s="30" t="inlineStr">
        <is>
          <t>O</t>
        </is>
      </c>
      <c r="T24" s="30" t="inlineStr">
        <is>
          <t>O</t>
        </is>
      </c>
      <c r="U24" s="30" t="inlineStr">
        <is>
          <t>O</t>
        </is>
      </c>
      <c r="V24" s="30" t="inlineStr">
        <is>
          <t>S</t>
        </is>
      </c>
      <c r="W24" s="30" t="inlineStr">
        <is>
          <t>S</t>
        </is>
      </c>
      <c r="X24" s="30" t="inlineStr">
        <is>
          <t>S</t>
        </is>
      </c>
      <c r="Y24" s="30" t="inlineStr">
        <is>
          <t>S</t>
        </is>
      </c>
      <c r="Z24" s="30" t="inlineStr">
        <is>
          <t>DEMOB</t>
        </is>
      </c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C24" s="31">
        <f>IF(OR(B24="",NOT(N($J$9)&gt;0)),0,IF(N(C24)&gt;0,C24,1)*((COUNTIF(INDEX($M24:$DA24,1):INDEX($M24:$DA24,MIN(31,N($J$9))),"S")+COUNTIF(INDEX($M24:$DA24,1):INDEX($M24:$DA24,MIN(31,N($J$9))),"MOB")+COUNTIF(INDEX($M24:$DA24,1):INDEX($M24:$DA24,MIN(31,N($J$9))),"DEMOB"))*N(D24)+(COUNTIF(INDEX($M24:$DA24,1):INDEX($M24:$DA24,MIN(31,N($J$9))),"O"))*N(E24)))</f>
        <v/>
      </c>
      <c r="DD24" s="31">
        <f>IF(OR(B24="",A24="Oui",DO24&lt;&gt;1),0,IF(N(C24)&gt;0,C24,1)*(N(F24)+N(H24)))</f>
        <v/>
      </c>
      <c r="DE24" s="31">
        <f>IF(OR(B24="",NOT(N($J$9)&gt;0)),0,IF(N(C24)&gt;0,C24,1)*(IF((COUNTIF(INDEX($M24:$DA24,1):INDEX($M24:$DA24,MIN(31,N($J$9))),"VR"))&gt;0,N(G24),0)+IF((COUNTIF(INDEX($M24:$DA24,1):INDEX($M24:$DA24,MIN(31,N($J$9))),"RC"))&gt;0,N(I24),0)))</f>
        <v/>
      </c>
      <c r="DF24" s="31">
        <f>IF(OR(B24="",NOT(N($J$9)&gt;0)),0,IF(N(C24)&gt;0,C24,1)*(COUNTIF(INDEX($M24:$DA24,1):INDEX($M24:$DA24,MIN(31,N($J$9))),"FOC"))*N(E24))</f>
        <v/>
      </c>
      <c r="DG24" s="31">
        <f>IF(OR(B24="",NOT(N($J$9)&gt;31)),0,IF(N(C24)&gt;0,C24,1)*((COUNTIF(INDEX($M24:$DA24,32):INDEX($M24:$DA24,MIN(62,N($J$9))),"S")+COUNTIF(INDEX($M24:$DA24,32):INDEX($M24:$DA24,MIN(62,N($J$9))),"MOB")+COUNTIF(INDEX($M24:$DA24,32):INDEX($M24:$DA24,MIN(62,N($J$9))),"DEMOB"))*N(D24)+(COUNTIF(INDEX($M24:$DA24,32):INDEX($M24:$DA24,MIN(62,N($J$9))),"O"))*N(E24)))</f>
        <v/>
      </c>
      <c r="DH24" s="31">
        <f>IF(OR(B24="",A24="Oui",DO24&lt;&gt;2),0,IF(N(C24)&gt;0,C24,1)*(N(F24)+N(H24)))</f>
        <v/>
      </c>
      <c r="DI24" s="31">
        <f>IF(OR(B24="",NOT(N($J$9)&gt;31)),0,IF(N(C24)&gt;0,C24,1)*(IF((COUNTIF(INDEX($M24:$DA24,32):INDEX($M24:$DA24,MIN(62,N($J$9))),"VR"))&gt;0,N(G24),0)+IF((COUNTIF(INDEX($M24:$DA24,32):INDEX($M24:$DA24,MIN(62,N($J$9))),"RC"))&gt;0,N(I24),0)))</f>
        <v/>
      </c>
      <c r="DJ24" s="31">
        <f>IF(OR(B24="",NOT(N($J$9)&gt;31)),0,IF(N(C24)&gt;0,C24,1)*(COUNTIF(INDEX($M24:$DA24,32):INDEX($M24:$DA24,MIN(62,N($J$9))),"FOC"))*N(E24))</f>
        <v/>
      </c>
      <c r="DK24" s="31">
        <f>IF(OR(B24="",NOT(N($J$9)&gt;62)),0,IF(N(C24)&gt;0,C24,1)*((COUNTIF(INDEX($M24:$DA24,63):INDEX($M24:$DA24,MIN(93,N($J$9))),"S")+COUNTIF(INDEX($M24:$DA24,63):INDEX($M24:$DA24,MIN(93,N($J$9))),"MOB")+COUNTIF(INDEX($M24:$DA24,63):INDEX($M24:$DA24,MIN(93,N($J$9))),"DEMOB"))*N(D24)+(COUNTIF(INDEX($M24:$DA24,63):INDEX($M24:$DA24,MIN(93,N($J$9))),"O"))*N(E24)))</f>
        <v/>
      </c>
      <c r="DL24" s="31">
        <f>IF(OR(B24="",A24="Oui",DO24&lt;&gt;3),0,IF(N(C24)&gt;0,C24,1)*(N(F24)+N(H24)))</f>
        <v/>
      </c>
      <c r="DM24" s="31">
        <f>IF(OR(B24="",NOT(N($J$9)&gt;62)),0,IF(N(C24)&gt;0,C24,1)*(IF((COUNTIF(INDEX($M24:$DA24,63):INDEX($M24:$DA24,MIN(93,N($J$9))),"VR"))&gt;0,N(G24),0)+IF((COUNTIF(INDEX($M24:$DA24,63):INDEX($M24:$DA24,MIN(93,N($J$9))),"RC"))&gt;0,N(I24),0)))</f>
        <v/>
      </c>
      <c r="DN24" s="31">
        <f>IF(OR(B24="",NOT(N($J$9)&gt;62)),0,IF(N(C24)&gt;0,C24,1)*(COUNTIF(INDEX($M24:$DA24,63):INDEX($M24:$DA24,MIN(93,N($J$9))),"FOC"))*N(E24))</f>
        <v/>
      </c>
      <c r="DO24" s="31">
        <f>IF(B24="",0,IFERROR(INT((MATCH("O",$M24:INDEX($M24:$DA24,MAX(1,N($J$9))),0)-1)/31)+1,0))</f>
        <v/>
      </c>
    </row>
    <row r="25" ht="18" customHeight="1">
      <c r="A25" s="32" t="n"/>
      <c r="B25" s="24" t="inlineStr">
        <is>
          <t>XO 3-1/2" IF Box x 2-7/8" EU Pin</t>
        </is>
      </c>
      <c r="C25" s="32" t="n">
        <v>1</v>
      </c>
      <c r="D25" s="25" t="n">
        <v>20</v>
      </c>
      <c r="E25" s="25" t="n">
        <v>30</v>
      </c>
      <c r="F25" s="25" t="n">
        <v>10</v>
      </c>
      <c r="G25" s="25" t="n">
        <v>900</v>
      </c>
      <c r="H25" s="25" t="n">
        <v>60</v>
      </c>
      <c r="I25" s="25" t="n">
        <v>150</v>
      </c>
      <c r="J25" s="28">
        <f>IF(B25="","",COUNTIF($M25:INDEX($M25:$DA25,MAX(1,N($J$9))),"S")+COUNTIF($M25:INDEX($M25:$DA25,MAX(1,N($J$9))),"MOB")+COUNTIF($M25:INDEX($M25:$DA25,MAX(1,N($J$9))),"DEMOB"))</f>
        <v/>
      </c>
      <c r="K25" s="28">
        <f>IF(B25="","",COUNTIF($M25:INDEX($M25:$DA25,MAX(1,N($J$9))),"O"))</f>
        <v/>
      </c>
      <c r="L25" s="29">
        <f>IF(B25="","",DC25+DG25+DK25+DD25+DH25+DL25+DE25+DI25+DM25)</f>
        <v/>
      </c>
      <c r="M25" s="30" t="inlineStr">
        <is>
          <t>S</t>
        </is>
      </c>
      <c r="N25" s="30" t="inlineStr">
        <is>
          <t>S</t>
        </is>
      </c>
      <c r="O25" s="30" t="inlineStr">
        <is>
          <t>S</t>
        </is>
      </c>
      <c r="P25" s="30" t="inlineStr">
        <is>
          <t>O</t>
        </is>
      </c>
      <c r="Q25" s="30" t="inlineStr">
        <is>
          <t>O</t>
        </is>
      </c>
      <c r="R25" s="30" t="inlineStr">
        <is>
          <t>O</t>
        </is>
      </c>
      <c r="S25" s="30" t="inlineStr">
        <is>
          <t>O</t>
        </is>
      </c>
      <c r="T25" s="30" t="inlineStr">
        <is>
          <t>O</t>
        </is>
      </c>
      <c r="U25" s="30" t="inlineStr">
        <is>
          <t>O</t>
        </is>
      </c>
      <c r="V25" s="30" t="inlineStr">
        <is>
          <t>O</t>
        </is>
      </c>
      <c r="W25" s="30" t="inlineStr">
        <is>
          <t>O</t>
        </is>
      </c>
      <c r="X25" s="30" t="inlineStr">
        <is>
          <t>VR</t>
        </is>
      </c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C25" s="31">
        <f>IF(OR(B25="",NOT(N($J$9)&gt;0)),0,IF(N(C25)&gt;0,C25,1)*((COUNTIF(INDEX($M25:$DA25,1):INDEX($M25:$DA25,MIN(31,N($J$9))),"S")+COUNTIF(INDEX($M25:$DA25,1):INDEX($M25:$DA25,MIN(31,N($J$9))),"MOB")+COUNTIF(INDEX($M25:$DA25,1):INDEX($M25:$DA25,MIN(31,N($J$9))),"DEMOB"))*N(D25)+(COUNTIF(INDEX($M25:$DA25,1):INDEX($M25:$DA25,MIN(31,N($J$9))),"O"))*N(E25)))</f>
        <v/>
      </c>
      <c r="DD25" s="31">
        <f>IF(OR(B25="",A25="Oui",DO25&lt;&gt;1),0,IF(N(C25)&gt;0,C25,1)*(N(F25)+N(H25)))</f>
        <v/>
      </c>
      <c r="DE25" s="31">
        <f>IF(OR(B25="",NOT(N($J$9)&gt;0)),0,IF(N(C25)&gt;0,C25,1)*(IF((COUNTIF(INDEX($M25:$DA25,1):INDEX($M25:$DA25,MIN(31,N($J$9))),"VR"))&gt;0,N(G25),0)+IF((COUNTIF(INDEX($M25:$DA25,1):INDEX($M25:$DA25,MIN(31,N($J$9))),"RC"))&gt;0,N(I25),0)))</f>
        <v/>
      </c>
      <c r="DF25" s="31">
        <f>IF(OR(B25="",NOT(N($J$9)&gt;0)),0,IF(N(C25)&gt;0,C25,1)*(COUNTIF(INDEX($M25:$DA25,1):INDEX($M25:$DA25,MIN(31,N($J$9))),"FOC"))*N(E25))</f>
        <v/>
      </c>
      <c r="DG25" s="31">
        <f>IF(OR(B25="",NOT(N($J$9)&gt;31)),0,IF(N(C25)&gt;0,C25,1)*((COUNTIF(INDEX($M25:$DA25,32):INDEX($M25:$DA25,MIN(62,N($J$9))),"S")+COUNTIF(INDEX($M25:$DA25,32):INDEX($M25:$DA25,MIN(62,N($J$9))),"MOB")+COUNTIF(INDEX($M25:$DA25,32):INDEX($M25:$DA25,MIN(62,N($J$9))),"DEMOB"))*N(D25)+(COUNTIF(INDEX($M25:$DA25,32):INDEX($M25:$DA25,MIN(62,N($J$9))),"O"))*N(E25)))</f>
        <v/>
      </c>
      <c r="DH25" s="31">
        <f>IF(OR(B25="",A25="Oui",DO25&lt;&gt;2),0,IF(N(C25)&gt;0,C25,1)*(N(F25)+N(H25)))</f>
        <v/>
      </c>
      <c r="DI25" s="31">
        <f>IF(OR(B25="",NOT(N($J$9)&gt;31)),0,IF(N(C25)&gt;0,C25,1)*(IF((COUNTIF(INDEX($M25:$DA25,32):INDEX($M25:$DA25,MIN(62,N($J$9))),"VR"))&gt;0,N(G25),0)+IF((COUNTIF(INDEX($M25:$DA25,32):INDEX($M25:$DA25,MIN(62,N($J$9))),"RC"))&gt;0,N(I25),0)))</f>
        <v/>
      </c>
      <c r="DJ25" s="31">
        <f>IF(OR(B25="",NOT(N($J$9)&gt;31)),0,IF(N(C25)&gt;0,C25,1)*(COUNTIF(INDEX($M25:$DA25,32):INDEX($M25:$DA25,MIN(62,N($J$9))),"FOC"))*N(E25))</f>
        <v/>
      </c>
      <c r="DK25" s="31">
        <f>IF(OR(B25="",NOT(N($J$9)&gt;62)),0,IF(N(C25)&gt;0,C25,1)*((COUNTIF(INDEX($M25:$DA25,63):INDEX($M25:$DA25,MIN(93,N($J$9))),"S")+COUNTIF(INDEX($M25:$DA25,63):INDEX($M25:$DA25,MIN(93,N($J$9))),"MOB")+COUNTIF(INDEX($M25:$DA25,63):INDEX($M25:$DA25,MIN(93,N($J$9))),"DEMOB"))*N(D25)+(COUNTIF(INDEX($M25:$DA25,63):INDEX($M25:$DA25,MIN(93,N($J$9))),"O"))*N(E25)))</f>
        <v/>
      </c>
      <c r="DL25" s="31">
        <f>IF(OR(B25="",A25="Oui",DO25&lt;&gt;3),0,IF(N(C25)&gt;0,C25,1)*(N(F25)+N(H25)))</f>
        <v/>
      </c>
      <c r="DM25" s="31">
        <f>IF(OR(B25="",NOT(N($J$9)&gt;62)),0,IF(N(C25)&gt;0,C25,1)*(IF((COUNTIF(INDEX($M25:$DA25,63):INDEX($M25:$DA25,MIN(93,N($J$9))),"VR"))&gt;0,N(G25),0)+IF((COUNTIF(INDEX($M25:$DA25,63):INDEX($M25:$DA25,MIN(93,N($J$9))),"RC"))&gt;0,N(I25),0)))</f>
        <v/>
      </c>
      <c r="DN25" s="31">
        <f>IF(OR(B25="",NOT(N($J$9)&gt;62)),0,IF(N(C25)&gt;0,C25,1)*(COUNTIF(INDEX($M25:$DA25,63):INDEX($M25:$DA25,MIN(93,N($J$9))),"FOC"))*N(E25))</f>
        <v/>
      </c>
      <c r="DO25" s="31">
        <f>IF(B25="",0,IFERROR(INT((MATCH("O",$M25:INDEX($M25:$DA25,MAX(1,N($J$9))),0)-1)/31)+1,0))</f>
        <v/>
      </c>
    </row>
    <row r="26" ht="18" customHeight="1">
      <c r="A26" s="32" t="n"/>
      <c r="B26" s="24" t="n"/>
      <c r="C26" s="32" t="n"/>
      <c r="D26" s="25" t="n"/>
      <c r="E26" s="25" t="n"/>
      <c r="F26" s="25" t="n"/>
      <c r="G26" s="25" t="n"/>
      <c r="H26" s="25" t="n"/>
      <c r="I26" s="25" t="n"/>
      <c r="J26" s="28">
        <f>IF(B26="","",COUNTIF($M26:INDEX($M26:$DA26,MAX(1,N($J$9))),"S")+COUNTIF($M26:INDEX($M26:$DA26,MAX(1,N($J$9))),"MOB")+COUNTIF($M26:INDEX($M26:$DA26,MAX(1,N($J$9))),"DEMOB"))</f>
        <v/>
      </c>
      <c r="K26" s="28">
        <f>IF(B26="","",COUNTIF($M26:INDEX($M26:$DA26,MAX(1,N($J$9))),"O"))</f>
        <v/>
      </c>
      <c r="L26" s="29">
        <f>IF(B26="","",DC26+DG26+DK26+DD26+DH26+DL26+DE26+DI26+DM26)</f>
        <v/>
      </c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C26" s="31">
        <f>IF(OR(B26="",NOT(N($J$9)&gt;0)),0,IF(N(C26)&gt;0,C26,1)*((COUNTIF(INDEX($M26:$DA26,1):INDEX($M26:$DA26,MIN(31,N($J$9))),"S")+COUNTIF(INDEX($M26:$DA26,1):INDEX($M26:$DA26,MIN(31,N($J$9))),"MOB")+COUNTIF(INDEX($M26:$DA26,1):INDEX($M26:$DA26,MIN(31,N($J$9))),"DEMOB"))*N(D26)+(COUNTIF(INDEX($M26:$DA26,1):INDEX($M26:$DA26,MIN(31,N($J$9))),"O"))*N(E26)))</f>
        <v/>
      </c>
      <c r="DD26" s="31">
        <f>IF(OR(B26="",A26="Oui",DO26&lt;&gt;1),0,IF(N(C26)&gt;0,C26,1)*(N(F26)+N(H26)))</f>
        <v/>
      </c>
      <c r="DE26" s="31">
        <f>IF(OR(B26="",NOT(N($J$9)&gt;0)),0,IF(N(C26)&gt;0,C26,1)*(IF((COUNTIF(INDEX($M26:$DA26,1):INDEX($M26:$DA26,MIN(31,N($J$9))),"VR"))&gt;0,N(G26),0)+IF((COUNTIF(INDEX($M26:$DA26,1):INDEX($M26:$DA26,MIN(31,N($J$9))),"RC"))&gt;0,N(I26),0)))</f>
        <v/>
      </c>
      <c r="DF26" s="31">
        <f>IF(OR(B26="",NOT(N($J$9)&gt;0)),0,IF(N(C26)&gt;0,C26,1)*(COUNTIF(INDEX($M26:$DA26,1):INDEX($M26:$DA26,MIN(31,N($J$9))),"FOC"))*N(E26))</f>
        <v/>
      </c>
      <c r="DG26" s="31">
        <f>IF(OR(B26="",NOT(N($J$9)&gt;31)),0,IF(N(C26)&gt;0,C26,1)*((COUNTIF(INDEX($M26:$DA26,32):INDEX($M26:$DA26,MIN(62,N($J$9))),"S")+COUNTIF(INDEX($M26:$DA26,32):INDEX($M26:$DA26,MIN(62,N($J$9))),"MOB")+COUNTIF(INDEX($M26:$DA26,32):INDEX($M26:$DA26,MIN(62,N($J$9))),"DEMOB"))*N(D26)+(COUNTIF(INDEX($M26:$DA26,32):INDEX($M26:$DA26,MIN(62,N($J$9))),"O"))*N(E26)))</f>
        <v/>
      </c>
      <c r="DH26" s="31">
        <f>IF(OR(B26="",A26="Oui",DO26&lt;&gt;2),0,IF(N(C26)&gt;0,C26,1)*(N(F26)+N(H26)))</f>
        <v/>
      </c>
      <c r="DI26" s="31">
        <f>IF(OR(B26="",NOT(N($J$9)&gt;31)),0,IF(N(C26)&gt;0,C26,1)*(IF((COUNTIF(INDEX($M26:$DA26,32):INDEX($M26:$DA26,MIN(62,N($J$9))),"VR"))&gt;0,N(G26),0)+IF((COUNTIF(INDEX($M26:$DA26,32):INDEX($M26:$DA26,MIN(62,N($J$9))),"RC"))&gt;0,N(I26),0)))</f>
        <v/>
      </c>
      <c r="DJ26" s="31">
        <f>IF(OR(B26="",NOT(N($J$9)&gt;31)),0,IF(N(C26)&gt;0,C26,1)*(COUNTIF(INDEX($M26:$DA26,32):INDEX($M26:$DA26,MIN(62,N($J$9))),"FOC"))*N(E26))</f>
        <v/>
      </c>
      <c r="DK26" s="31">
        <f>IF(OR(B26="",NOT(N($J$9)&gt;62)),0,IF(N(C26)&gt;0,C26,1)*((COUNTIF(INDEX($M26:$DA26,63):INDEX($M26:$DA26,MIN(93,N($J$9))),"S")+COUNTIF(INDEX($M26:$DA26,63):INDEX($M26:$DA26,MIN(93,N($J$9))),"MOB")+COUNTIF(INDEX($M26:$DA26,63):INDEX($M26:$DA26,MIN(93,N($J$9))),"DEMOB"))*N(D26)+(COUNTIF(INDEX($M26:$DA26,63):INDEX($M26:$DA26,MIN(93,N($J$9))),"O"))*N(E26)))</f>
        <v/>
      </c>
      <c r="DL26" s="31">
        <f>IF(OR(B26="",A26="Oui",DO26&lt;&gt;3),0,IF(N(C26)&gt;0,C26,1)*(N(F26)+N(H26)))</f>
        <v/>
      </c>
      <c r="DM26" s="31">
        <f>IF(OR(B26="",NOT(N($J$9)&gt;62)),0,IF(N(C26)&gt;0,C26,1)*(IF((COUNTIF(INDEX($M26:$DA26,63):INDEX($M26:$DA26,MIN(93,N($J$9))),"VR"))&gt;0,N(G26),0)+IF((COUNTIF(INDEX($M26:$DA26,63):INDEX($M26:$DA26,MIN(93,N($J$9))),"RC"))&gt;0,N(I26),0)))</f>
        <v/>
      </c>
      <c r="DN26" s="31">
        <f>IF(OR(B26="",NOT(N($J$9)&gt;62)),0,IF(N(C26)&gt;0,C26,1)*(COUNTIF(INDEX($M26:$DA26,63):INDEX($M26:$DA26,MIN(93,N($J$9))),"FOC"))*N(E26))</f>
        <v/>
      </c>
      <c r="DO26" s="31">
        <f>IF(B26="",0,IFERROR(INT((MATCH("O",$M26:INDEX($M26:$DA26,MAX(1,N($J$9))),0)-1)/31)+1,0))</f>
        <v/>
      </c>
    </row>
    <row r="27" ht="18" customHeight="1">
      <c r="A27" s="32" t="n"/>
      <c r="B27" s="24" t="n"/>
      <c r="C27" s="32" t="n"/>
      <c r="D27" s="25" t="n"/>
      <c r="E27" s="25" t="n"/>
      <c r="F27" s="25" t="n"/>
      <c r="G27" s="25" t="n"/>
      <c r="H27" s="25" t="n"/>
      <c r="I27" s="25" t="n"/>
      <c r="J27" s="28">
        <f>IF(B27="","",COUNTIF($M27:INDEX($M27:$DA27,MAX(1,N($J$9))),"S")+COUNTIF($M27:INDEX($M27:$DA27,MAX(1,N($J$9))),"MOB")+COUNTIF($M27:INDEX($M27:$DA27,MAX(1,N($J$9))),"DEMOB"))</f>
        <v/>
      </c>
      <c r="K27" s="28">
        <f>IF(B27="","",COUNTIF($M27:INDEX($M27:$DA27,MAX(1,N($J$9))),"O"))</f>
        <v/>
      </c>
      <c r="L27" s="29">
        <f>IF(B27="","",DC27+DG27+DK27+DD27+DH27+DL27+DE27+DI27+DM27)</f>
        <v/>
      </c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C27" s="31">
        <f>IF(OR(B27="",NOT(N($J$9)&gt;0)),0,IF(N(C27)&gt;0,C27,1)*((COUNTIF(INDEX($M27:$DA27,1):INDEX($M27:$DA27,MIN(31,N($J$9))),"S")+COUNTIF(INDEX($M27:$DA27,1):INDEX($M27:$DA27,MIN(31,N($J$9))),"MOB")+COUNTIF(INDEX($M27:$DA27,1):INDEX($M27:$DA27,MIN(31,N($J$9))),"DEMOB"))*N(D27)+(COUNTIF(INDEX($M27:$DA27,1):INDEX($M27:$DA27,MIN(31,N($J$9))),"O"))*N(E27)))</f>
        <v/>
      </c>
      <c r="DD27" s="31">
        <f>IF(OR(B27="",A27="Oui",DO27&lt;&gt;1),0,IF(N(C27)&gt;0,C27,1)*(N(F27)+N(H27)))</f>
        <v/>
      </c>
      <c r="DE27" s="31">
        <f>IF(OR(B27="",NOT(N($J$9)&gt;0)),0,IF(N(C27)&gt;0,C27,1)*(IF((COUNTIF(INDEX($M27:$DA27,1):INDEX($M27:$DA27,MIN(31,N($J$9))),"VR"))&gt;0,N(G27),0)+IF((COUNTIF(INDEX($M27:$DA27,1):INDEX($M27:$DA27,MIN(31,N($J$9))),"RC"))&gt;0,N(I27),0)))</f>
        <v/>
      </c>
      <c r="DF27" s="31">
        <f>IF(OR(B27="",NOT(N($J$9)&gt;0)),0,IF(N(C27)&gt;0,C27,1)*(COUNTIF(INDEX($M27:$DA27,1):INDEX($M27:$DA27,MIN(31,N($J$9))),"FOC"))*N(E27))</f>
        <v/>
      </c>
      <c r="DG27" s="31">
        <f>IF(OR(B27="",NOT(N($J$9)&gt;31)),0,IF(N(C27)&gt;0,C27,1)*((COUNTIF(INDEX($M27:$DA27,32):INDEX($M27:$DA27,MIN(62,N($J$9))),"S")+COUNTIF(INDEX($M27:$DA27,32):INDEX($M27:$DA27,MIN(62,N($J$9))),"MOB")+COUNTIF(INDEX($M27:$DA27,32):INDEX($M27:$DA27,MIN(62,N($J$9))),"DEMOB"))*N(D27)+(COUNTIF(INDEX($M27:$DA27,32):INDEX($M27:$DA27,MIN(62,N($J$9))),"O"))*N(E27)))</f>
        <v/>
      </c>
      <c r="DH27" s="31">
        <f>IF(OR(B27="",A27="Oui",DO27&lt;&gt;2),0,IF(N(C27)&gt;0,C27,1)*(N(F27)+N(H27)))</f>
        <v/>
      </c>
      <c r="DI27" s="31">
        <f>IF(OR(B27="",NOT(N($J$9)&gt;31)),0,IF(N(C27)&gt;0,C27,1)*(IF((COUNTIF(INDEX($M27:$DA27,32):INDEX($M27:$DA27,MIN(62,N($J$9))),"VR"))&gt;0,N(G27),0)+IF((COUNTIF(INDEX($M27:$DA27,32):INDEX($M27:$DA27,MIN(62,N($J$9))),"RC"))&gt;0,N(I27),0)))</f>
        <v/>
      </c>
      <c r="DJ27" s="31">
        <f>IF(OR(B27="",NOT(N($J$9)&gt;31)),0,IF(N(C27)&gt;0,C27,1)*(COUNTIF(INDEX($M27:$DA27,32):INDEX($M27:$DA27,MIN(62,N($J$9))),"FOC"))*N(E27))</f>
        <v/>
      </c>
      <c r="DK27" s="31">
        <f>IF(OR(B27="",NOT(N($J$9)&gt;62)),0,IF(N(C27)&gt;0,C27,1)*((COUNTIF(INDEX($M27:$DA27,63):INDEX($M27:$DA27,MIN(93,N($J$9))),"S")+COUNTIF(INDEX($M27:$DA27,63):INDEX($M27:$DA27,MIN(93,N($J$9))),"MOB")+COUNTIF(INDEX($M27:$DA27,63):INDEX($M27:$DA27,MIN(93,N($J$9))),"DEMOB"))*N(D27)+(COUNTIF(INDEX($M27:$DA27,63):INDEX($M27:$DA27,MIN(93,N($J$9))),"O"))*N(E27)))</f>
        <v/>
      </c>
      <c r="DL27" s="31">
        <f>IF(OR(B27="",A27="Oui",DO27&lt;&gt;3),0,IF(N(C27)&gt;0,C27,1)*(N(F27)+N(H27)))</f>
        <v/>
      </c>
      <c r="DM27" s="31">
        <f>IF(OR(B27="",NOT(N($J$9)&gt;62)),0,IF(N(C27)&gt;0,C27,1)*(IF((COUNTIF(INDEX($M27:$DA27,63):INDEX($M27:$DA27,MIN(93,N($J$9))),"VR"))&gt;0,N(G27),0)+IF((COUNTIF(INDEX($M27:$DA27,63):INDEX($M27:$DA27,MIN(93,N($J$9))),"RC"))&gt;0,N(I27),0)))</f>
        <v/>
      </c>
      <c r="DN27" s="31">
        <f>IF(OR(B27="",NOT(N($J$9)&gt;62)),0,IF(N(C27)&gt;0,C27,1)*(COUNTIF(INDEX($M27:$DA27,63):INDEX($M27:$DA27,MIN(93,N($J$9))),"FOC"))*N(E27))</f>
        <v/>
      </c>
      <c r="DO27" s="31">
        <f>IF(B27="",0,IFERROR(INT((MATCH("O",$M27:INDEX($M27:$DA27,MAX(1,N($J$9))),0)-1)/31)+1,0))</f>
        <v/>
      </c>
    </row>
    <row r="28" ht="18" customHeight="1">
      <c r="A28" s="32" t="n"/>
      <c r="B28" s="24" t="n"/>
      <c r="C28" s="32" t="n"/>
      <c r="D28" s="25" t="n"/>
      <c r="E28" s="25" t="n"/>
      <c r="F28" s="25" t="n"/>
      <c r="G28" s="25" t="n"/>
      <c r="H28" s="25" t="n"/>
      <c r="I28" s="25" t="n"/>
      <c r="J28" s="28">
        <f>IF(B28="","",COUNTIF($M28:INDEX($M28:$DA28,MAX(1,N($J$9))),"S")+COUNTIF($M28:INDEX($M28:$DA28,MAX(1,N($J$9))),"MOB")+COUNTIF($M28:INDEX($M28:$DA28,MAX(1,N($J$9))),"DEMOB"))</f>
        <v/>
      </c>
      <c r="K28" s="28">
        <f>IF(B28="","",COUNTIF($M28:INDEX($M28:$DA28,MAX(1,N($J$9))),"O"))</f>
        <v/>
      </c>
      <c r="L28" s="29">
        <f>IF(B28="","",DC28+DG28+DK28+DD28+DH28+DL28+DE28+DI28+DM28)</f>
        <v/>
      </c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C28" s="31">
        <f>IF(OR(B28="",NOT(N($J$9)&gt;0)),0,IF(N(C28)&gt;0,C28,1)*((COUNTIF(INDEX($M28:$DA28,1):INDEX($M28:$DA28,MIN(31,N($J$9))),"S")+COUNTIF(INDEX($M28:$DA28,1):INDEX($M28:$DA28,MIN(31,N($J$9))),"MOB")+COUNTIF(INDEX($M28:$DA28,1):INDEX($M28:$DA28,MIN(31,N($J$9))),"DEMOB"))*N(D28)+(COUNTIF(INDEX($M28:$DA28,1):INDEX($M28:$DA28,MIN(31,N($J$9))),"O"))*N(E28)))</f>
        <v/>
      </c>
      <c r="DD28" s="31">
        <f>IF(OR(B28="",A28="Oui",DO28&lt;&gt;1),0,IF(N(C28)&gt;0,C28,1)*(N(F28)+N(H28)))</f>
        <v/>
      </c>
      <c r="DE28" s="31">
        <f>IF(OR(B28="",NOT(N($J$9)&gt;0)),0,IF(N(C28)&gt;0,C28,1)*(IF((COUNTIF(INDEX($M28:$DA28,1):INDEX($M28:$DA28,MIN(31,N($J$9))),"VR"))&gt;0,N(G28),0)+IF((COUNTIF(INDEX($M28:$DA28,1):INDEX($M28:$DA28,MIN(31,N($J$9))),"RC"))&gt;0,N(I28),0)))</f>
        <v/>
      </c>
      <c r="DF28" s="31">
        <f>IF(OR(B28="",NOT(N($J$9)&gt;0)),0,IF(N(C28)&gt;0,C28,1)*(COUNTIF(INDEX($M28:$DA28,1):INDEX($M28:$DA28,MIN(31,N($J$9))),"FOC"))*N(E28))</f>
        <v/>
      </c>
      <c r="DG28" s="31">
        <f>IF(OR(B28="",NOT(N($J$9)&gt;31)),0,IF(N(C28)&gt;0,C28,1)*((COUNTIF(INDEX($M28:$DA28,32):INDEX($M28:$DA28,MIN(62,N($J$9))),"S")+COUNTIF(INDEX($M28:$DA28,32):INDEX($M28:$DA28,MIN(62,N($J$9))),"MOB")+COUNTIF(INDEX($M28:$DA28,32):INDEX($M28:$DA28,MIN(62,N($J$9))),"DEMOB"))*N(D28)+(COUNTIF(INDEX($M28:$DA28,32):INDEX($M28:$DA28,MIN(62,N($J$9))),"O"))*N(E28)))</f>
        <v/>
      </c>
      <c r="DH28" s="31">
        <f>IF(OR(B28="",A28="Oui",DO28&lt;&gt;2),0,IF(N(C28)&gt;0,C28,1)*(N(F28)+N(H28)))</f>
        <v/>
      </c>
      <c r="DI28" s="31">
        <f>IF(OR(B28="",NOT(N($J$9)&gt;31)),0,IF(N(C28)&gt;0,C28,1)*(IF((COUNTIF(INDEX($M28:$DA28,32):INDEX($M28:$DA28,MIN(62,N($J$9))),"VR"))&gt;0,N(G28),0)+IF((COUNTIF(INDEX($M28:$DA28,32):INDEX($M28:$DA28,MIN(62,N($J$9))),"RC"))&gt;0,N(I28),0)))</f>
        <v/>
      </c>
      <c r="DJ28" s="31">
        <f>IF(OR(B28="",NOT(N($J$9)&gt;31)),0,IF(N(C28)&gt;0,C28,1)*(COUNTIF(INDEX($M28:$DA28,32):INDEX($M28:$DA28,MIN(62,N($J$9))),"FOC"))*N(E28))</f>
        <v/>
      </c>
      <c r="DK28" s="31">
        <f>IF(OR(B28="",NOT(N($J$9)&gt;62)),0,IF(N(C28)&gt;0,C28,1)*((COUNTIF(INDEX($M28:$DA28,63):INDEX($M28:$DA28,MIN(93,N($J$9))),"S")+COUNTIF(INDEX($M28:$DA28,63):INDEX($M28:$DA28,MIN(93,N($J$9))),"MOB")+COUNTIF(INDEX($M28:$DA28,63):INDEX($M28:$DA28,MIN(93,N($J$9))),"DEMOB"))*N(D28)+(COUNTIF(INDEX($M28:$DA28,63):INDEX($M28:$DA28,MIN(93,N($J$9))),"O"))*N(E28)))</f>
        <v/>
      </c>
      <c r="DL28" s="31">
        <f>IF(OR(B28="",A28="Oui",DO28&lt;&gt;3),0,IF(N(C28)&gt;0,C28,1)*(N(F28)+N(H28)))</f>
        <v/>
      </c>
      <c r="DM28" s="31">
        <f>IF(OR(B28="",NOT(N($J$9)&gt;62)),0,IF(N(C28)&gt;0,C28,1)*(IF((COUNTIF(INDEX($M28:$DA28,63):INDEX($M28:$DA28,MIN(93,N($J$9))),"VR"))&gt;0,N(G28),0)+IF((COUNTIF(INDEX($M28:$DA28,63):INDEX($M28:$DA28,MIN(93,N($J$9))),"RC"))&gt;0,N(I28),0)))</f>
        <v/>
      </c>
      <c r="DN28" s="31">
        <f>IF(OR(B28="",NOT(N($J$9)&gt;62)),0,IF(N(C28)&gt;0,C28,1)*(COUNTIF(INDEX($M28:$DA28,63):INDEX($M28:$DA28,MIN(93,N($J$9))),"FOC"))*N(E28))</f>
        <v/>
      </c>
      <c r="DO28" s="31">
        <f>IF(B28="",0,IFERROR(INT((MATCH("O",$M28:INDEX($M28:$DA28,MAX(1,N($J$9))),0)-1)/31)+1,0))</f>
        <v/>
      </c>
    </row>
    <row r="29" ht="18" customHeight="1">
      <c r="A29" s="32" t="n"/>
      <c r="B29" s="24" t="n"/>
      <c r="C29" s="32" t="n"/>
      <c r="D29" s="25" t="n"/>
      <c r="E29" s="25" t="n"/>
      <c r="F29" s="25" t="n"/>
      <c r="G29" s="25" t="n"/>
      <c r="H29" s="25" t="n"/>
      <c r="I29" s="25" t="n"/>
      <c r="J29" s="28">
        <f>IF(B29="","",COUNTIF($M29:INDEX($M29:$DA29,MAX(1,N($J$9))),"S")+COUNTIF($M29:INDEX($M29:$DA29,MAX(1,N($J$9))),"MOB")+COUNTIF($M29:INDEX($M29:$DA29,MAX(1,N($J$9))),"DEMOB"))</f>
        <v/>
      </c>
      <c r="K29" s="28">
        <f>IF(B29="","",COUNTIF($M29:INDEX($M29:$DA29,MAX(1,N($J$9))),"O"))</f>
        <v/>
      </c>
      <c r="L29" s="29">
        <f>IF(B29="","",DC29+DG29+DK29+DD29+DH29+DL29+DE29+DI29+DM29)</f>
        <v/>
      </c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C29" s="31">
        <f>IF(OR(B29="",NOT(N($J$9)&gt;0)),0,IF(N(C29)&gt;0,C29,1)*((COUNTIF(INDEX($M29:$DA29,1):INDEX($M29:$DA29,MIN(31,N($J$9))),"S")+COUNTIF(INDEX($M29:$DA29,1):INDEX($M29:$DA29,MIN(31,N($J$9))),"MOB")+COUNTIF(INDEX($M29:$DA29,1):INDEX($M29:$DA29,MIN(31,N($J$9))),"DEMOB"))*N(D29)+(COUNTIF(INDEX($M29:$DA29,1):INDEX($M29:$DA29,MIN(31,N($J$9))),"O"))*N(E29)))</f>
        <v/>
      </c>
      <c r="DD29" s="31">
        <f>IF(OR(B29="",A29="Oui",DO29&lt;&gt;1),0,IF(N(C29)&gt;0,C29,1)*(N(F29)+N(H29)))</f>
        <v/>
      </c>
      <c r="DE29" s="31">
        <f>IF(OR(B29="",NOT(N($J$9)&gt;0)),0,IF(N(C29)&gt;0,C29,1)*(IF((COUNTIF(INDEX($M29:$DA29,1):INDEX($M29:$DA29,MIN(31,N($J$9))),"VR"))&gt;0,N(G29),0)+IF((COUNTIF(INDEX($M29:$DA29,1):INDEX($M29:$DA29,MIN(31,N($J$9))),"RC"))&gt;0,N(I29),0)))</f>
        <v/>
      </c>
      <c r="DF29" s="31">
        <f>IF(OR(B29="",NOT(N($J$9)&gt;0)),0,IF(N(C29)&gt;0,C29,1)*(COUNTIF(INDEX($M29:$DA29,1):INDEX($M29:$DA29,MIN(31,N($J$9))),"FOC"))*N(E29))</f>
        <v/>
      </c>
      <c r="DG29" s="31">
        <f>IF(OR(B29="",NOT(N($J$9)&gt;31)),0,IF(N(C29)&gt;0,C29,1)*((COUNTIF(INDEX($M29:$DA29,32):INDEX($M29:$DA29,MIN(62,N($J$9))),"S")+COUNTIF(INDEX($M29:$DA29,32):INDEX($M29:$DA29,MIN(62,N($J$9))),"MOB")+COUNTIF(INDEX($M29:$DA29,32):INDEX($M29:$DA29,MIN(62,N($J$9))),"DEMOB"))*N(D29)+(COUNTIF(INDEX($M29:$DA29,32):INDEX($M29:$DA29,MIN(62,N($J$9))),"O"))*N(E29)))</f>
        <v/>
      </c>
      <c r="DH29" s="31">
        <f>IF(OR(B29="",A29="Oui",DO29&lt;&gt;2),0,IF(N(C29)&gt;0,C29,1)*(N(F29)+N(H29)))</f>
        <v/>
      </c>
      <c r="DI29" s="31">
        <f>IF(OR(B29="",NOT(N($J$9)&gt;31)),0,IF(N(C29)&gt;0,C29,1)*(IF((COUNTIF(INDEX($M29:$DA29,32):INDEX($M29:$DA29,MIN(62,N($J$9))),"VR"))&gt;0,N(G29),0)+IF((COUNTIF(INDEX($M29:$DA29,32):INDEX($M29:$DA29,MIN(62,N($J$9))),"RC"))&gt;0,N(I29),0)))</f>
        <v/>
      </c>
      <c r="DJ29" s="31">
        <f>IF(OR(B29="",NOT(N($J$9)&gt;31)),0,IF(N(C29)&gt;0,C29,1)*(COUNTIF(INDEX($M29:$DA29,32):INDEX($M29:$DA29,MIN(62,N($J$9))),"FOC"))*N(E29))</f>
        <v/>
      </c>
      <c r="DK29" s="31">
        <f>IF(OR(B29="",NOT(N($J$9)&gt;62)),0,IF(N(C29)&gt;0,C29,1)*((COUNTIF(INDEX($M29:$DA29,63):INDEX($M29:$DA29,MIN(93,N($J$9))),"S")+COUNTIF(INDEX($M29:$DA29,63):INDEX($M29:$DA29,MIN(93,N($J$9))),"MOB")+COUNTIF(INDEX($M29:$DA29,63):INDEX($M29:$DA29,MIN(93,N($J$9))),"DEMOB"))*N(D29)+(COUNTIF(INDEX($M29:$DA29,63):INDEX($M29:$DA29,MIN(93,N($J$9))),"O"))*N(E29)))</f>
        <v/>
      </c>
      <c r="DL29" s="31">
        <f>IF(OR(B29="",A29="Oui",DO29&lt;&gt;3),0,IF(N(C29)&gt;0,C29,1)*(N(F29)+N(H29)))</f>
        <v/>
      </c>
      <c r="DM29" s="31">
        <f>IF(OR(B29="",NOT(N($J$9)&gt;62)),0,IF(N(C29)&gt;0,C29,1)*(IF((COUNTIF(INDEX($M29:$DA29,63):INDEX($M29:$DA29,MIN(93,N($J$9))),"VR"))&gt;0,N(G29),0)+IF((COUNTIF(INDEX($M29:$DA29,63):INDEX($M29:$DA29,MIN(93,N($J$9))),"RC"))&gt;0,N(I29),0)))</f>
        <v/>
      </c>
      <c r="DN29" s="31">
        <f>IF(OR(B29="",NOT(N($J$9)&gt;62)),0,IF(N(C29)&gt;0,C29,1)*(COUNTIF(INDEX($M29:$DA29,63):INDEX($M29:$DA29,MIN(93,N($J$9))),"FOC"))*N(E29))</f>
        <v/>
      </c>
      <c r="DO29" s="31">
        <f>IF(B29="",0,IFERROR(INT((MATCH("O",$M29:INDEX($M29:$DA29,MAX(1,N($J$9))),0)-1)/31)+1,0))</f>
        <v/>
      </c>
    </row>
    <row r="30" ht="18" customHeight="1">
      <c r="A30" s="32" t="n"/>
      <c r="B30" s="24" t="n"/>
      <c r="C30" s="32" t="n"/>
      <c r="D30" s="25" t="n"/>
      <c r="E30" s="25" t="n"/>
      <c r="F30" s="25" t="n"/>
      <c r="G30" s="25" t="n"/>
      <c r="H30" s="25" t="n"/>
      <c r="I30" s="25" t="n"/>
      <c r="J30" s="28">
        <f>IF(B30="","",COUNTIF($M30:INDEX($M30:$DA30,MAX(1,N($J$9))),"S")+COUNTIF($M30:INDEX($M30:$DA30,MAX(1,N($J$9))),"MOB")+COUNTIF($M30:INDEX($M30:$DA30,MAX(1,N($J$9))),"DEMOB"))</f>
        <v/>
      </c>
      <c r="K30" s="28">
        <f>IF(B30="","",COUNTIF($M30:INDEX($M30:$DA30,MAX(1,N($J$9))),"O"))</f>
        <v/>
      </c>
      <c r="L30" s="29">
        <f>IF(B30="","",DC30+DG30+DK30+DD30+DH30+DL30+DE30+DI30+DM30)</f>
        <v/>
      </c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C30" s="31">
        <f>IF(OR(B30="",NOT(N($J$9)&gt;0)),0,IF(N(C30)&gt;0,C30,1)*((COUNTIF(INDEX($M30:$DA30,1):INDEX($M30:$DA30,MIN(31,N($J$9))),"S")+COUNTIF(INDEX($M30:$DA30,1):INDEX($M30:$DA30,MIN(31,N($J$9))),"MOB")+COUNTIF(INDEX($M30:$DA30,1):INDEX($M30:$DA30,MIN(31,N($J$9))),"DEMOB"))*N(D30)+(COUNTIF(INDEX($M30:$DA30,1):INDEX($M30:$DA30,MIN(31,N($J$9))),"O"))*N(E30)))</f>
        <v/>
      </c>
      <c r="DD30" s="31">
        <f>IF(OR(B30="",A30="Oui",DO30&lt;&gt;1),0,IF(N(C30)&gt;0,C30,1)*(N(F30)+N(H30)))</f>
        <v/>
      </c>
      <c r="DE30" s="31">
        <f>IF(OR(B30="",NOT(N($J$9)&gt;0)),0,IF(N(C30)&gt;0,C30,1)*(IF((COUNTIF(INDEX($M30:$DA30,1):INDEX($M30:$DA30,MIN(31,N($J$9))),"VR"))&gt;0,N(G30),0)+IF((COUNTIF(INDEX($M30:$DA30,1):INDEX($M30:$DA30,MIN(31,N($J$9))),"RC"))&gt;0,N(I30),0)))</f>
        <v/>
      </c>
      <c r="DF30" s="31">
        <f>IF(OR(B30="",NOT(N($J$9)&gt;0)),0,IF(N(C30)&gt;0,C30,1)*(COUNTIF(INDEX($M30:$DA30,1):INDEX($M30:$DA30,MIN(31,N($J$9))),"FOC"))*N(E30))</f>
        <v/>
      </c>
      <c r="DG30" s="31">
        <f>IF(OR(B30="",NOT(N($J$9)&gt;31)),0,IF(N(C30)&gt;0,C30,1)*((COUNTIF(INDEX($M30:$DA30,32):INDEX($M30:$DA30,MIN(62,N($J$9))),"S")+COUNTIF(INDEX($M30:$DA30,32):INDEX($M30:$DA30,MIN(62,N($J$9))),"MOB")+COUNTIF(INDEX($M30:$DA30,32):INDEX($M30:$DA30,MIN(62,N($J$9))),"DEMOB"))*N(D30)+(COUNTIF(INDEX($M30:$DA30,32):INDEX($M30:$DA30,MIN(62,N($J$9))),"O"))*N(E30)))</f>
        <v/>
      </c>
      <c r="DH30" s="31">
        <f>IF(OR(B30="",A30="Oui",DO30&lt;&gt;2),0,IF(N(C30)&gt;0,C30,1)*(N(F30)+N(H30)))</f>
        <v/>
      </c>
      <c r="DI30" s="31">
        <f>IF(OR(B30="",NOT(N($J$9)&gt;31)),0,IF(N(C30)&gt;0,C30,1)*(IF((COUNTIF(INDEX($M30:$DA30,32):INDEX($M30:$DA30,MIN(62,N($J$9))),"VR"))&gt;0,N(G30),0)+IF((COUNTIF(INDEX($M30:$DA30,32):INDEX($M30:$DA30,MIN(62,N($J$9))),"RC"))&gt;0,N(I30),0)))</f>
        <v/>
      </c>
      <c r="DJ30" s="31">
        <f>IF(OR(B30="",NOT(N($J$9)&gt;31)),0,IF(N(C30)&gt;0,C30,1)*(COUNTIF(INDEX($M30:$DA30,32):INDEX($M30:$DA30,MIN(62,N($J$9))),"FOC"))*N(E30))</f>
        <v/>
      </c>
      <c r="DK30" s="31">
        <f>IF(OR(B30="",NOT(N($J$9)&gt;62)),0,IF(N(C30)&gt;0,C30,1)*((COUNTIF(INDEX($M30:$DA30,63):INDEX($M30:$DA30,MIN(93,N($J$9))),"S")+COUNTIF(INDEX($M30:$DA30,63):INDEX($M30:$DA30,MIN(93,N($J$9))),"MOB")+COUNTIF(INDEX($M30:$DA30,63):INDEX($M30:$DA30,MIN(93,N($J$9))),"DEMOB"))*N(D30)+(COUNTIF(INDEX($M30:$DA30,63):INDEX($M30:$DA30,MIN(93,N($J$9))),"O"))*N(E30)))</f>
        <v/>
      </c>
      <c r="DL30" s="31">
        <f>IF(OR(B30="",A30="Oui",DO30&lt;&gt;3),0,IF(N(C30)&gt;0,C30,1)*(N(F30)+N(H30)))</f>
        <v/>
      </c>
      <c r="DM30" s="31">
        <f>IF(OR(B30="",NOT(N($J$9)&gt;62)),0,IF(N(C30)&gt;0,C30,1)*(IF((COUNTIF(INDEX($M30:$DA30,63):INDEX($M30:$DA30,MIN(93,N($J$9))),"VR"))&gt;0,N(G30),0)+IF((COUNTIF(INDEX($M30:$DA30,63):INDEX($M30:$DA30,MIN(93,N($J$9))),"RC"))&gt;0,N(I30),0)))</f>
        <v/>
      </c>
      <c r="DN30" s="31">
        <f>IF(OR(B30="",NOT(N($J$9)&gt;62)),0,IF(N(C30)&gt;0,C30,1)*(COUNTIF(INDEX($M30:$DA30,63):INDEX($M30:$DA30,MIN(93,N($J$9))),"FOC"))*N(E30))</f>
        <v/>
      </c>
      <c r="DO30" s="31">
        <f>IF(B30="",0,IFERROR(INT((MATCH("O",$M30:INDEX($M30:$DA30,MAX(1,N($J$9))),0)-1)/31)+1,0))</f>
        <v/>
      </c>
    </row>
    <row r="31" ht="18" customHeight="1">
      <c r="A31" s="32" t="n"/>
      <c r="B31" s="24" t="n"/>
      <c r="C31" s="32" t="n"/>
      <c r="D31" s="25" t="n"/>
      <c r="E31" s="25" t="n"/>
      <c r="F31" s="25" t="n"/>
      <c r="G31" s="25" t="n"/>
      <c r="H31" s="25" t="n"/>
      <c r="I31" s="25" t="n"/>
      <c r="J31" s="28">
        <f>IF(B31="","",COUNTIF($M31:INDEX($M31:$DA31,MAX(1,N($J$9))),"S")+COUNTIF($M31:INDEX($M31:$DA31,MAX(1,N($J$9))),"MOB")+COUNTIF($M31:INDEX($M31:$DA31,MAX(1,N($J$9))),"DEMOB"))</f>
        <v/>
      </c>
      <c r="K31" s="28">
        <f>IF(B31="","",COUNTIF($M31:INDEX($M31:$DA31,MAX(1,N($J$9))),"O"))</f>
        <v/>
      </c>
      <c r="L31" s="29">
        <f>IF(B31="","",DC31+DG31+DK31+DD31+DH31+DL31+DE31+DI31+DM31)</f>
        <v/>
      </c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C31" s="31">
        <f>IF(OR(B31="",NOT(N($J$9)&gt;0)),0,IF(N(C31)&gt;0,C31,1)*((COUNTIF(INDEX($M31:$DA31,1):INDEX($M31:$DA31,MIN(31,N($J$9))),"S")+COUNTIF(INDEX($M31:$DA31,1):INDEX($M31:$DA31,MIN(31,N($J$9))),"MOB")+COUNTIF(INDEX($M31:$DA31,1):INDEX($M31:$DA31,MIN(31,N($J$9))),"DEMOB"))*N(D31)+(COUNTIF(INDEX($M31:$DA31,1):INDEX($M31:$DA31,MIN(31,N($J$9))),"O"))*N(E31)))</f>
        <v/>
      </c>
      <c r="DD31" s="31">
        <f>IF(OR(B31="",A31="Oui",DO31&lt;&gt;1),0,IF(N(C31)&gt;0,C31,1)*(N(F31)+N(H31)))</f>
        <v/>
      </c>
      <c r="DE31" s="31">
        <f>IF(OR(B31="",NOT(N($J$9)&gt;0)),0,IF(N(C31)&gt;0,C31,1)*(IF((COUNTIF(INDEX($M31:$DA31,1):INDEX($M31:$DA31,MIN(31,N($J$9))),"VR"))&gt;0,N(G31),0)+IF((COUNTIF(INDEX($M31:$DA31,1):INDEX($M31:$DA31,MIN(31,N($J$9))),"RC"))&gt;0,N(I31),0)))</f>
        <v/>
      </c>
      <c r="DF31" s="31">
        <f>IF(OR(B31="",NOT(N($J$9)&gt;0)),0,IF(N(C31)&gt;0,C31,1)*(COUNTIF(INDEX($M31:$DA31,1):INDEX($M31:$DA31,MIN(31,N($J$9))),"FOC"))*N(E31))</f>
        <v/>
      </c>
      <c r="DG31" s="31">
        <f>IF(OR(B31="",NOT(N($J$9)&gt;31)),0,IF(N(C31)&gt;0,C31,1)*((COUNTIF(INDEX($M31:$DA31,32):INDEX($M31:$DA31,MIN(62,N($J$9))),"S")+COUNTIF(INDEX($M31:$DA31,32):INDEX($M31:$DA31,MIN(62,N($J$9))),"MOB")+COUNTIF(INDEX($M31:$DA31,32):INDEX($M31:$DA31,MIN(62,N($J$9))),"DEMOB"))*N(D31)+(COUNTIF(INDEX($M31:$DA31,32):INDEX($M31:$DA31,MIN(62,N($J$9))),"O"))*N(E31)))</f>
        <v/>
      </c>
      <c r="DH31" s="31">
        <f>IF(OR(B31="",A31="Oui",DO31&lt;&gt;2),0,IF(N(C31)&gt;0,C31,1)*(N(F31)+N(H31)))</f>
        <v/>
      </c>
      <c r="DI31" s="31">
        <f>IF(OR(B31="",NOT(N($J$9)&gt;31)),0,IF(N(C31)&gt;0,C31,1)*(IF((COUNTIF(INDEX($M31:$DA31,32):INDEX($M31:$DA31,MIN(62,N($J$9))),"VR"))&gt;0,N(G31),0)+IF((COUNTIF(INDEX($M31:$DA31,32):INDEX($M31:$DA31,MIN(62,N($J$9))),"RC"))&gt;0,N(I31),0)))</f>
        <v/>
      </c>
      <c r="DJ31" s="31">
        <f>IF(OR(B31="",NOT(N($J$9)&gt;31)),0,IF(N(C31)&gt;0,C31,1)*(COUNTIF(INDEX($M31:$DA31,32):INDEX($M31:$DA31,MIN(62,N($J$9))),"FOC"))*N(E31))</f>
        <v/>
      </c>
      <c r="DK31" s="31">
        <f>IF(OR(B31="",NOT(N($J$9)&gt;62)),0,IF(N(C31)&gt;0,C31,1)*((COUNTIF(INDEX($M31:$DA31,63):INDEX($M31:$DA31,MIN(93,N($J$9))),"S")+COUNTIF(INDEX($M31:$DA31,63):INDEX($M31:$DA31,MIN(93,N($J$9))),"MOB")+COUNTIF(INDEX($M31:$DA31,63):INDEX($M31:$DA31,MIN(93,N($J$9))),"DEMOB"))*N(D31)+(COUNTIF(INDEX($M31:$DA31,63):INDEX($M31:$DA31,MIN(93,N($J$9))),"O"))*N(E31)))</f>
        <v/>
      </c>
      <c r="DL31" s="31">
        <f>IF(OR(B31="",A31="Oui",DO31&lt;&gt;3),0,IF(N(C31)&gt;0,C31,1)*(N(F31)+N(H31)))</f>
        <v/>
      </c>
      <c r="DM31" s="31">
        <f>IF(OR(B31="",NOT(N($J$9)&gt;62)),0,IF(N(C31)&gt;0,C31,1)*(IF((COUNTIF(INDEX($M31:$DA31,63):INDEX($M31:$DA31,MIN(93,N($J$9))),"VR"))&gt;0,N(G31),0)+IF((COUNTIF(INDEX($M31:$DA31,63):INDEX($M31:$DA31,MIN(93,N($J$9))),"RC"))&gt;0,N(I31),0)))</f>
        <v/>
      </c>
      <c r="DN31" s="31">
        <f>IF(OR(B31="",NOT(N($J$9)&gt;62)),0,IF(N(C31)&gt;0,C31,1)*(COUNTIF(INDEX($M31:$DA31,63):INDEX($M31:$DA31,MIN(93,N($J$9))),"FOC"))*N(E31))</f>
        <v/>
      </c>
      <c r="DO31" s="31">
        <f>IF(B31="",0,IFERROR(INT((MATCH("O",$M31:INDEX($M31:$DA31,MAX(1,N($J$9))),0)-1)/31)+1,0))</f>
        <v/>
      </c>
    </row>
    <row r="32" ht="18" customHeight="1">
      <c r="A32" s="32" t="n"/>
      <c r="B32" s="24" t="n"/>
      <c r="C32" s="32" t="n"/>
      <c r="D32" s="25" t="n"/>
      <c r="E32" s="25" t="n"/>
      <c r="F32" s="25" t="n"/>
      <c r="G32" s="25" t="n"/>
      <c r="H32" s="25" t="n"/>
      <c r="I32" s="25" t="n"/>
      <c r="J32" s="28">
        <f>IF(B32="","",COUNTIF($M32:INDEX($M32:$DA32,MAX(1,N($J$9))),"S")+COUNTIF($M32:INDEX($M32:$DA32,MAX(1,N($J$9))),"MOB")+COUNTIF($M32:INDEX($M32:$DA32,MAX(1,N($J$9))),"DEMOB"))</f>
        <v/>
      </c>
      <c r="K32" s="28">
        <f>IF(B32="","",COUNTIF($M32:INDEX($M32:$DA32,MAX(1,N($J$9))),"O"))</f>
        <v/>
      </c>
      <c r="L32" s="29">
        <f>IF(B32="","",DC32+DG32+DK32+DD32+DH32+DL32+DE32+DI32+DM32)</f>
        <v/>
      </c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C32" s="31">
        <f>IF(OR(B32="",NOT(N($J$9)&gt;0)),0,IF(N(C32)&gt;0,C32,1)*((COUNTIF(INDEX($M32:$DA32,1):INDEX($M32:$DA32,MIN(31,N($J$9))),"S")+COUNTIF(INDEX($M32:$DA32,1):INDEX($M32:$DA32,MIN(31,N($J$9))),"MOB")+COUNTIF(INDEX($M32:$DA32,1):INDEX($M32:$DA32,MIN(31,N($J$9))),"DEMOB"))*N(D32)+(COUNTIF(INDEX($M32:$DA32,1):INDEX($M32:$DA32,MIN(31,N($J$9))),"O"))*N(E32)))</f>
        <v/>
      </c>
      <c r="DD32" s="31">
        <f>IF(OR(B32="",A32="Oui",DO32&lt;&gt;1),0,IF(N(C32)&gt;0,C32,1)*(N(F32)+N(H32)))</f>
        <v/>
      </c>
      <c r="DE32" s="31">
        <f>IF(OR(B32="",NOT(N($J$9)&gt;0)),0,IF(N(C32)&gt;0,C32,1)*(IF((COUNTIF(INDEX($M32:$DA32,1):INDEX($M32:$DA32,MIN(31,N($J$9))),"VR"))&gt;0,N(G32),0)+IF((COUNTIF(INDEX($M32:$DA32,1):INDEX($M32:$DA32,MIN(31,N($J$9))),"RC"))&gt;0,N(I32),0)))</f>
        <v/>
      </c>
      <c r="DF32" s="31">
        <f>IF(OR(B32="",NOT(N($J$9)&gt;0)),0,IF(N(C32)&gt;0,C32,1)*(COUNTIF(INDEX($M32:$DA32,1):INDEX($M32:$DA32,MIN(31,N($J$9))),"FOC"))*N(E32))</f>
        <v/>
      </c>
      <c r="DG32" s="31">
        <f>IF(OR(B32="",NOT(N($J$9)&gt;31)),0,IF(N(C32)&gt;0,C32,1)*((COUNTIF(INDEX($M32:$DA32,32):INDEX($M32:$DA32,MIN(62,N($J$9))),"S")+COUNTIF(INDEX($M32:$DA32,32):INDEX($M32:$DA32,MIN(62,N($J$9))),"MOB")+COUNTIF(INDEX($M32:$DA32,32):INDEX($M32:$DA32,MIN(62,N($J$9))),"DEMOB"))*N(D32)+(COUNTIF(INDEX($M32:$DA32,32):INDEX($M32:$DA32,MIN(62,N($J$9))),"O"))*N(E32)))</f>
        <v/>
      </c>
      <c r="DH32" s="31">
        <f>IF(OR(B32="",A32="Oui",DO32&lt;&gt;2),0,IF(N(C32)&gt;0,C32,1)*(N(F32)+N(H32)))</f>
        <v/>
      </c>
      <c r="DI32" s="31">
        <f>IF(OR(B32="",NOT(N($J$9)&gt;31)),0,IF(N(C32)&gt;0,C32,1)*(IF((COUNTIF(INDEX($M32:$DA32,32):INDEX($M32:$DA32,MIN(62,N($J$9))),"VR"))&gt;0,N(G32),0)+IF((COUNTIF(INDEX($M32:$DA32,32):INDEX($M32:$DA32,MIN(62,N($J$9))),"RC"))&gt;0,N(I32),0)))</f>
        <v/>
      </c>
      <c r="DJ32" s="31">
        <f>IF(OR(B32="",NOT(N($J$9)&gt;31)),0,IF(N(C32)&gt;0,C32,1)*(COUNTIF(INDEX($M32:$DA32,32):INDEX($M32:$DA32,MIN(62,N($J$9))),"FOC"))*N(E32))</f>
        <v/>
      </c>
      <c r="DK32" s="31">
        <f>IF(OR(B32="",NOT(N($J$9)&gt;62)),0,IF(N(C32)&gt;0,C32,1)*((COUNTIF(INDEX($M32:$DA32,63):INDEX($M32:$DA32,MIN(93,N($J$9))),"S")+COUNTIF(INDEX($M32:$DA32,63):INDEX($M32:$DA32,MIN(93,N($J$9))),"MOB")+COUNTIF(INDEX($M32:$DA32,63):INDEX($M32:$DA32,MIN(93,N($J$9))),"DEMOB"))*N(D32)+(COUNTIF(INDEX($M32:$DA32,63):INDEX($M32:$DA32,MIN(93,N($J$9))),"O"))*N(E32)))</f>
        <v/>
      </c>
      <c r="DL32" s="31">
        <f>IF(OR(B32="",A32="Oui",DO32&lt;&gt;3),0,IF(N(C32)&gt;0,C32,1)*(N(F32)+N(H32)))</f>
        <v/>
      </c>
      <c r="DM32" s="31">
        <f>IF(OR(B32="",NOT(N($J$9)&gt;62)),0,IF(N(C32)&gt;0,C32,1)*(IF((COUNTIF(INDEX($M32:$DA32,63):INDEX($M32:$DA32,MIN(93,N($J$9))),"VR"))&gt;0,N(G32),0)+IF((COUNTIF(INDEX($M32:$DA32,63):INDEX($M32:$DA32,MIN(93,N($J$9))),"RC"))&gt;0,N(I32),0)))</f>
        <v/>
      </c>
      <c r="DN32" s="31">
        <f>IF(OR(B32="",NOT(N($J$9)&gt;62)),0,IF(N(C32)&gt;0,C32,1)*(COUNTIF(INDEX($M32:$DA32,63):INDEX($M32:$DA32,MIN(93,N($J$9))),"FOC"))*N(E32))</f>
        <v/>
      </c>
      <c r="DO32" s="31">
        <f>IF(B32="",0,IFERROR(INT((MATCH("O",$M32:INDEX($M32:$DA32,MAX(1,N($J$9))),0)-1)/31)+1,0))</f>
        <v/>
      </c>
    </row>
    <row r="33" ht="18" customHeight="1">
      <c r="A33" s="32" t="n"/>
      <c r="B33" s="24" t="n"/>
      <c r="C33" s="32" t="n"/>
      <c r="D33" s="25" t="n"/>
      <c r="E33" s="25" t="n"/>
      <c r="F33" s="25" t="n"/>
      <c r="G33" s="25" t="n"/>
      <c r="H33" s="25" t="n"/>
      <c r="I33" s="25" t="n"/>
      <c r="J33" s="28">
        <f>IF(B33="","",COUNTIF($M33:INDEX($M33:$DA33,MAX(1,N($J$9))),"S")+COUNTIF($M33:INDEX($M33:$DA33,MAX(1,N($J$9))),"MOB")+COUNTIF($M33:INDEX($M33:$DA33,MAX(1,N($J$9))),"DEMOB"))</f>
        <v/>
      </c>
      <c r="K33" s="28">
        <f>IF(B33="","",COUNTIF($M33:INDEX($M33:$DA33,MAX(1,N($J$9))),"O"))</f>
        <v/>
      </c>
      <c r="L33" s="29">
        <f>IF(B33="","",DC33+DG33+DK33+DD33+DH33+DL33+DE33+DI33+DM33)</f>
        <v/>
      </c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C33" s="31">
        <f>IF(OR(B33="",NOT(N($J$9)&gt;0)),0,IF(N(C33)&gt;0,C33,1)*((COUNTIF(INDEX($M33:$DA33,1):INDEX($M33:$DA33,MIN(31,N($J$9))),"S")+COUNTIF(INDEX($M33:$DA33,1):INDEX($M33:$DA33,MIN(31,N($J$9))),"MOB")+COUNTIF(INDEX($M33:$DA33,1):INDEX($M33:$DA33,MIN(31,N($J$9))),"DEMOB"))*N(D33)+(COUNTIF(INDEX($M33:$DA33,1):INDEX($M33:$DA33,MIN(31,N($J$9))),"O"))*N(E33)))</f>
        <v/>
      </c>
      <c r="DD33" s="31">
        <f>IF(OR(B33="",A33="Oui",DO33&lt;&gt;1),0,IF(N(C33)&gt;0,C33,1)*(N(F33)+N(H33)))</f>
        <v/>
      </c>
      <c r="DE33" s="31">
        <f>IF(OR(B33="",NOT(N($J$9)&gt;0)),0,IF(N(C33)&gt;0,C33,1)*(IF((COUNTIF(INDEX($M33:$DA33,1):INDEX($M33:$DA33,MIN(31,N($J$9))),"VR"))&gt;0,N(G33),0)+IF((COUNTIF(INDEX($M33:$DA33,1):INDEX($M33:$DA33,MIN(31,N($J$9))),"RC"))&gt;0,N(I33),0)))</f>
        <v/>
      </c>
      <c r="DF33" s="31">
        <f>IF(OR(B33="",NOT(N($J$9)&gt;0)),0,IF(N(C33)&gt;0,C33,1)*(COUNTIF(INDEX($M33:$DA33,1):INDEX($M33:$DA33,MIN(31,N($J$9))),"FOC"))*N(E33))</f>
        <v/>
      </c>
      <c r="DG33" s="31">
        <f>IF(OR(B33="",NOT(N($J$9)&gt;31)),0,IF(N(C33)&gt;0,C33,1)*((COUNTIF(INDEX($M33:$DA33,32):INDEX($M33:$DA33,MIN(62,N($J$9))),"S")+COUNTIF(INDEX($M33:$DA33,32):INDEX($M33:$DA33,MIN(62,N($J$9))),"MOB")+COUNTIF(INDEX($M33:$DA33,32):INDEX($M33:$DA33,MIN(62,N($J$9))),"DEMOB"))*N(D33)+(COUNTIF(INDEX($M33:$DA33,32):INDEX($M33:$DA33,MIN(62,N($J$9))),"O"))*N(E33)))</f>
        <v/>
      </c>
      <c r="DH33" s="31">
        <f>IF(OR(B33="",A33="Oui",DO33&lt;&gt;2),0,IF(N(C33)&gt;0,C33,1)*(N(F33)+N(H33)))</f>
        <v/>
      </c>
      <c r="DI33" s="31">
        <f>IF(OR(B33="",NOT(N($J$9)&gt;31)),0,IF(N(C33)&gt;0,C33,1)*(IF((COUNTIF(INDEX($M33:$DA33,32):INDEX($M33:$DA33,MIN(62,N($J$9))),"VR"))&gt;0,N(G33),0)+IF((COUNTIF(INDEX($M33:$DA33,32):INDEX($M33:$DA33,MIN(62,N($J$9))),"RC"))&gt;0,N(I33),0)))</f>
        <v/>
      </c>
      <c r="DJ33" s="31">
        <f>IF(OR(B33="",NOT(N($J$9)&gt;31)),0,IF(N(C33)&gt;0,C33,1)*(COUNTIF(INDEX($M33:$DA33,32):INDEX($M33:$DA33,MIN(62,N($J$9))),"FOC"))*N(E33))</f>
        <v/>
      </c>
      <c r="DK33" s="31">
        <f>IF(OR(B33="",NOT(N($J$9)&gt;62)),0,IF(N(C33)&gt;0,C33,1)*((COUNTIF(INDEX($M33:$DA33,63):INDEX($M33:$DA33,MIN(93,N($J$9))),"S")+COUNTIF(INDEX($M33:$DA33,63):INDEX($M33:$DA33,MIN(93,N($J$9))),"MOB")+COUNTIF(INDEX($M33:$DA33,63):INDEX($M33:$DA33,MIN(93,N($J$9))),"DEMOB"))*N(D33)+(COUNTIF(INDEX($M33:$DA33,63):INDEX($M33:$DA33,MIN(93,N($J$9))),"O"))*N(E33)))</f>
        <v/>
      </c>
      <c r="DL33" s="31">
        <f>IF(OR(B33="",A33="Oui",DO33&lt;&gt;3),0,IF(N(C33)&gt;0,C33,1)*(N(F33)+N(H33)))</f>
        <v/>
      </c>
      <c r="DM33" s="31">
        <f>IF(OR(B33="",NOT(N($J$9)&gt;62)),0,IF(N(C33)&gt;0,C33,1)*(IF((COUNTIF(INDEX($M33:$DA33,63):INDEX($M33:$DA33,MIN(93,N($J$9))),"VR"))&gt;0,N(G33),0)+IF((COUNTIF(INDEX($M33:$DA33,63):INDEX($M33:$DA33,MIN(93,N($J$9))),"RC"))&gt;0,N(I33),0)))</f>
        <v/>
      </c>
      <c r="DN33" s="31">
        <f>IF(OR(B33="",NOT(N($J$9)&gt;62)),0,IF(N(C33)&gt;0,C33,1)*(COUNTIF(INDEX($M33:$DA33,63):INDEX($M33:$DA33,MIN(93,N($J$9))),"FOC"))*N(E33))</f>
        <v/>
      </c>
      <c r="DO33" s="31">
        <f>IF(B33="",0,IFERROR(INT((MATCH("O",$M33:INDEX($M33:$DA33,MAX(1,N($J$9))),0)-1)/31)+1,0))</f>
        <v/>
      </c>
    </row>
    <row r="35" ht="20" customHeight="1">
      <c r="A35" s="20" t="inlineStr">
        <is>
          <t>TRANSPORT ET AUTRES FRAIS   ·   quantité × prix unitaire (colonne « Opér. € »)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  <c r="BA35" s="1" t="n"/>
      <c r="BB35" s="1" t="n"/>
      <c r="BC35" s="1" t="n"/>
      <c r="BD35" s="1" t="n"/>
      <c r="BE35" s="1" t="n"/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  <c r="CH35" s="1" t="n"/>
      <c r="CI35" s="1" t="n"/>
      <c r="CJ35" s="1" t="n"/>
      <c r="CK35" s="1" t="n"/>
      <c r="CL35" s="1" t="n"/>
      <c r="CM35" s="1" t="n"/>
      <c r="CN35" s="1" t="n"/>
      <c r="CO35" s="1" t="n"/>
      <c r="CP35" s="1" t="n"/>
      <c r="CQ35" s="1" t="n"/>
      <c r="CR35" s="1" t="n"/>
      <c r="CS35" s="1" t="n"/>
      <c r="CT35" s="1" t="n"/>
      <c r="CU35" s="1" t="n"/>
      <c r="CV35" s="1" t="n"/>
      <c r="CW35" s="1" t="n"/>
      <c r="CX35" s="1" t="n"/>
      <c r="CY35" s="1" t="n"/>
      <c r="CZ35" s="1" t="n"/>
      <c r="DA35" s="1" t="n"/>
    </row>
    <row r="36" ht="18" customHeight="1">
      <c r="A36" s="23" t="n"/>
      <c r="B36" s="24" t="inlineStr">
        <is>
          <t>Transport MOB (au coût +15 %)</t>
        </is>
      </c>
      <c r="C36" s="32" t="n">
        <v>1</v>
      </c>
      <c r="D36" s="26" t="n"/>
      <c r="E36" s="25" t="n">
        <v>480</v>
      </c>
      <c r="F36" s="26" t="n"/>
      <c r="G36" s="26" t="n"/>
      <c r="H36" s="26" t="n"/>
      <c r="I36" s="26" t="n"/>
      <c r="J36" s="28" t="n"/>
      <c r="K36" s="28" t="n"/>
      <c r="L36" s="29">
        <f>IF(B36="","",N(C36)*N(E36))</f>
        <v/>
      </c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33" t="n"/>
      <c r="AJ36" s="33" t="n"/>
      <c r="AK36" s="33" t="n"/>
      <c r="AL36" s="33" t="n"/>
      <c r="AM36" s="33" t="n"/>
      <c r="AN36" s="33" t="n"/>
      <c r="AO36" s="33" t="n"/>
      <c r="AP36" s="33" t="n"/>
      <c r="AQ36" s="33" t="n"/>
      <c r="AR36" s="33" t="n"/>
      <c r="AS36" s="33" t="n"/>
      <c r="AT36" s="33" t="n"/>
      <c r="AU36" s="33" t="n"/>
      <c r="AV36" s="33" t="n"/>
      <c r="AW36" s="33" t="n"/>
      <c r="AX36" s="33" t="n"/>
      <c r="AY36" s="33" t="n"/>
      <c r="AZ36" s="33" t="n"/>
      <c r="BA36" s="33" t="n"/>
      <c r="BB36" s="33" t="n"/>
      <c r="BC36" s="33" t="n"/>
      <c r="BD36" s="33" t="n"/>
      <c r="BE36" s="33" t="n"/>
      <c r="BF36" s="33" t="n"/>
      <c r="BG36" s="33" t="n"/>
      <c r="BH36" s="33" t="n"/>
      <c r="BI36" s="33" t="n"/>
      <c r="BJ36" s="33" t="n"/>
      <c r="BK36" s="33" t="n"/>
      <c r="BL36" s="33" t="n"/>
      <c r="BM36" s="33" t="n"/>
      <c r="BN36" s="33" t="n"/>
      <c r="BO36" s="33" t="n"/>
      <c r="BP36" s="33" t="n"/>
      <c r="BQ36" s="33" t="n"/>
      <c r="BR36" s="33" t="n"/>
      <c r="BS36" s="33" t="n"/>
      <c r="BT36" s="33" t="n"/>
      <c r="BU36" s="33" t="n"/>
      <c r="BV36" s="33" t="n"/>
      <c r="BW36" s="33" t="n"/>
      <c r="BX36" s="33" t="n"/>
      <c r="BY36" s="33" t="n"/>
      <c r="BZ36" s="33" t="n"/>
      <c r="CA36" s="33" t="n"/>
      <c r="CB36" s="33" t="n"/>
      <c r="CC36" s="33" t="n"/>
      <c r="CD36" s="33" t="n"/>
      <c r="CE36" s="33" t="n"/>
      <c r="CF36" s="33" t="n"/>
      <c r="CG36" s="33" t="n"/>
      <c r="CH36" s="33" t="n"/>
      <c r="CI36" s="33" t="n"/>
      <c r="CJ36" s="33" t="n"/>
      <c r="CK36" s="33" t="n"/>
      <c r="CL36" s="33" t="n"/>
      <c r="CM36" s="33" t="n"/>
      <c r="CN36" s="33" t="n"/>
      <c r="CO36" s="33" t="n"/>
      <c r="CP36" s="33" t="n"/>
      <c r="CQ36" s="33" t="n"/>
      <c r="CR36" s="33" t="n"/>
      <c r="CS36" s="33" t="n"/>
      <c r="CT36" s="33" t="n"/>
      <c r="CU36" s="33" t="n"/>
      <c r="CV36" s="33" t="n"/>
      <c r="CW36" s="33" t="n"/>
      <c r="CX36" s="33" t="n"/>
      <c r="CY36" s="33" t="n"/>
      <c r="CZ36" s="33" t="n"/>
      <c r="DA36" s="33" t="n"/>
      <c r="DC36" s="31" t="n">
        <v>0</v>
      </c>
      <c r="DD36" s="31" t="n">
        <v>0</v>
      </c>
      <c r="DE36" s="31" t="n">
        <v>0</v>
      </c>
      <c r="DF36" s="31" t="n">
        <v>0</v>
      </c>
      <c r="DG36" s="31" t="n">
        <v>0</v>
      </c>
      <c r="DH36" s="31" t="n">
        <v>0</v>
      </c>
      <c r="DI36" s="31" t="n">
        <v>0</v>
      </c>
      <c r="DJ36" s="31" t="n">
        <v>0</v>
      </c>
      <c r="DK36" s="31" t="n">
        <v>0</v>
      </c>
      <c r="DL36" s="31" t="n">
        <v>0</v>
      </c>
      <c r="DM36" s="31" t="n">
        <v>0</v>
      </c>
      <c r="DN36" s="31" t="n">
        <v>0</v>
      </c>
      <c r="DO36" s="31" t="n">
        <v>0</v>
      </c>
    </row>
    <row r="37" ht="18" customHeight="1">
      <c r="A37" s="23" t="n"/>
      <c r="B37" s="24" t="inlineStr">
        <is>
          <t>Transport DEMOB (au coût +15 %)</t>
        </is>
      </c>
      <c r="C37" s="32" t="n">
        <v>1</v>
      </c>
      <c r="D37" s="26" t="n"/>
      <c r="E37" s="25" t="n">
        <v>520</v>
      </c>
      <c r="F37" s="26" t="n"/>
      <c r="G37" s="26" t="n"/>
      <c r="H37" s="26" t="n"/>
      <c r="I37" s="26" t="n"/>
      <c r="J37" s="28" t="n"/>
      <c r="K37" s="28" t="n"/>
      <c r="L37" s="29">
        <f>IF(B37="","",N(C37)*N(E37))</f>
        <v/>
      </c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  <c r="AF37" s="33" t="n"/>
      <c r="AG37" s="33" t="n"/>
      <c r="AH37" s="33" t="n"/>
      <c r="AI37" s="33" t="n"/>
      <c r="AJ37" s="33" t="n"/>
      <c r="AK37" s="33" t="n"/>
      <c r="AL37" s="33" t="n"/>
      <c r="AM37" s="33" t="n"/>
      <c r="AN37" s="33" t="n"/>
      <c r="AO37" s="33" t="n"/>
      <c r="AP37" s="33" t="n"/>
      <c r="AQ37" s="33" t="n"/>
      <c r="AR37" s="33" t="n"/>
      <c r="AS37" s="33" t="n"/>
      <c r="AT37" s="33" t="n"/>
      <c r="AU37" s="33" t="n"/>
      <c r="AV37" s="33" t="n"/>
      <c r="AW37" s="33" t="n"/>
      <c r="AX37" s="33" t="n"/>
      <c r="AY37" s="33" t="n"/>
      <c r="AZ37" s="33" t="n"/>
      <c r="BA37" s="33" t="n"/>
      <c r="BB37" s="33" t="n"/>
      <c r="BC37" s="33" t="n"/>
      <c r="BD37" s="33" t="n"/>
      <c r="BE37" s="33" t="n"/>
      <c r="BF37" s="33" t="n"/>
      <c r="BG37" s="33" t="n"/>
      <c r="BH37" s="33" t="n"/>
      <c r="BI37" s="33" t="n"/>
      <c r="BJ37" s="33" t="n"/>
      <c r="BK37" s="33" t="n"/>
      <c r="BL37" s="33" t="n"/>
      <c r="BM37" s="33" t="n"/>
      <c r="BN37" s="33" t="n"/>
      <c r="BO37" s="33" t="n"/>
      <c r="BP37" s="33" t="n"/>
      <c r="BQ37" s="33" t="n"/>
      <c r="BR37" s="33" t="n"/>
      <c r="BS37" s="33" t="n"/>
      <c r="BT37" s="33" t="n"/>
      <c r="BU37" s="33" t="n"/>
      <c r="BV37" s="33" t="n"/>
      <c r="BW37" s="33" t="n"/>
      <c r="BX37" s="33" t="n"/>
      <c r="BY37" s="33" t="n"/>
      <c r="BZ37" s="33" t="n"/>
      <c r="CA37" s="33" t="n"/>
      <c r="CB37" s="33" t="n"/>
      <c r="CC37" s="33" t="n"/>
      <c r="CD37" s="33" t="n"/>
      <c r="CE37" s="33" t="n"/>
      <c r="CF37" s="33" t="n"/>
      <c r="CG37" s="33" t="n"/>
      <c r="CH37" s="33" t="n"/>
      <c r="CI37" s="33" t="n"/>
      <c r="CJ37" s="33" t="n"/>
      <c r="CK37" s="33" t="n"/>
      <c r="CL37" s="33" t="n"/>
      <c r="CM37" s="33" t="n"/>
      <c r="CN37" s="33" t="n"/>
      <c r="CO37" s="33" t="n"/>
      <c r="CP37" s="33" t="n"/>
      <c r="CQ37" s="33" t="n"/>
      <c r="CR37" s="33" t="n"/>
      <c r="CS37" s="33" t="n"/>
      <c r="CT37" s="33" t="n"/>
      <c r="CU37" s="33" t="n"/>
      <c r="CV37" s="33" t="n"/>
      <c r="CW37" s="33" t="n"/>
      <c r="CX37" s="33" t="n"/>
      <c r="CY37" s="33" t="n"/>
      <c r="CZ37" s="33" t="n"/>
      <c r="DA37" s="33" t="n"/>
      <c r="DC37" s="31" t="n">
        <v>0</v>
      </c>
      <c r="DD37" s="31" t="n">
        <v>0</v>
      </c>
      <c r="DE37" s="31" t="n">
        <v>0</v>
      </c>
      <c r="DF37" s="31" t="n">
        <v>0</v>
      </c>
      <c r="DG37" s="31" t="n">
        <v>0</v>
      </c>
      <c r="DH37" s="31" t="n">
        <v>0</v>
      </c>
      <c r="DI37" s="31" t="n">
        <v>0</v>
      </c>
      <c r="DJ37" s="31" t="n">
        <v>0</v>
      </c>
      <c r="DK37" s="31" t="n">
        <v>0</v>
      </c>
      <c r="DL37" s="31" t="n">
        <v>0</v>
      </c>
      <c r="DM37" s="31" t="n">
        <v>0</v>
      </c>
      <c r="DN37" s="31" t="n">
        <v>0</v>
      </c>
      <c r="DO37" s="31" t="n">
        <v>0</v>
      </c>
    </row>
    <row r="38" ht="18" customHeight="1">
      <c r="A38" s="23" t="n"/>
      <c r="B38" s="24" t="n"/>
      <c r="C38" s="32" t="n"/>
      <c r="D38" s="26" t="n"/>
      <c r="E38" s="25" t="n"/>
      <c r="F38" s="26" t="n"/>
      <c r="G38" s="26" t="n"/>
      <c r="H38" s="26" t="n"/>
      <c r="I38" s="26" t="n"/>
      <c r="J38" s="28" t="n"/>
      <c r="K38" s="28" t="n"/>
      <c r="L38" s="29">
        <f>IF(B38="","",N(C38)*N(E38))</f>
        <v/>
      </c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33" t="n"/>
      <c r="AJ38" s="33" t="n"/>
      <c r="AK38" s="33" t="n"/>
      <c r="AL38" s="33" t="n"/>
      <c r="AM38" s="33" t="n"/>
      <c r="AN38" s="33" t="n"/>
      <c r="AO38" s="33" t="n"/>
      <c r="AP38" s="33" t="n"/>
      <c r="AQ38" s="33" t="n"/>
      <c r="AR38" s="33" t="n"/>
      <c r="AS38" s="33" t="n"/>
      <c r="AT38" s="33" t="n"/>
      <c r="AU38" s="33" t="n"/>
      <c r="AV38" s="33" t="n"/>
      <c r="AW38" s="33" t="n"/>
      <c r="AX38" s="33" t="n"/>
      <c r="AY38" s="33" t="n"/>
      <c r="AZ38" s="33" t="n"/>
      <c r="BA38" s="33" t="n"/>
      <c r="BB38" s="33" t="n"/>
      <c r="BC38" s="33" t="n"/>
      <c r="BD38" s="33" t="n"/>
      <c r="BE38" s="33" t="n"/>
      <c r="BF38" s="33" t="n"/>
      <c r="BG38" s="33" t="n"/>
      <c r="BH38" s="33" t="n"/>
      <c r="BI38" s="33" t="n"/>
      <c r="BJ38" s="33" t="n"/>
      <c r="BK38" s="33" t="n"/>
      <c r="BL38" s="33" t="n"/>
      <c r="BM38" s="33" t="n"/>
      <c r="BN38" s="33" t="n"/>
      <c r="BO38" s="33" t="n"/>
      <c r="BP38" s="33" t="n"/>
      <c r="BQ38" s="33" t="n"/>
      <c r="BR38" s="33" t="n"/>
      <c r="BS38" s="33" t="n"/>
      <c r="BT38" s="33" t="n"/>
      <c r="BU38" s="33" t="n"/>
      <c r="BV38" s="33" t="n"/>
      <c r="BW38" s="33" t="n"/>
      <c r="BX38" s="33" t="n"/>
      <c r="BY38" s="33" t="n"/>
      <c r="BZ38" s="33" t="n"/>
      <c r="CA38" s="33" t="n"/>
      <c r="CB38" s="33" t="n"/>
      <c r="CC38" s="33" t="n"/>
      <c r="CD38" s="33" t="n"/>
      <c r="CE38" s="33" t="n"/>
      <c r="CF38" s="33" t="n"/>
      <c r="CG38" s="33" t="n"/>
      <c r="CH38" s="33" t="n"/>
      <c r="CI38" s="33" t="n"/>
      <c r="CJ38" s="33" t="n"/>
      <c r="CK38" s="33" t="n"/>
      <c r="CL38" s="33" t="n"/>
      <c r="CM38" s="33" t="n"/>
      <c r="CN38" s="33" t="n"/>
      <c r="CO38" s="33" t="n"/>
      <c r="CP38" s="33" t="n"/>
      <c r="CQ38" s="33" t="n"/>
      <c r="CR38" s="33" t="n"/>
      <c r="CS38" s="33" t="n"/>
      <c r="CT38" s="33" t="n"/>
      <c r="CU38" s="33" t="n"/>
      <c r="CV38" s="33" t="n"/>
      <c r="CW38" s="33" t="n"/>
      <c r="CX38" s="33" t="n"/>
      <c r="CY38" s="33" t="n"/>
      <c r="CZ38" s="33" t="n"/>
      <c r="DA38" s="33" t="n"/>
      <c r="DC38" s="31" t="n">
        <v>0</v>
      </c>
      <c r="DD38" s="31" t="n">
        <v>0</v>
      </c>
      <c r="DE38" s="31" t="n">
        <v>0</v>
      </c>
      <c r="DF38" s="31" t="n">
        <v>0</v>
      </c>
      <c r="DG38" s="31" t="n">
        <v>0</v>
      </c>
      <c r="DH38" s="31" t="n">
        <v>0</v>
      </c>
      <c r="DI38" s="31" t="n">
        <v>0</v>
      </c>
      <c r="DJ38" s="31" t="n">
        <v>0</v>
      </c>
      <c r="DK38" s="31" t="n">
        <v>0</v>
      </c>
      <c r="DL38" s="31" t="n">
        <v>0</v>
      </c>
      <c r="DM38" s="31" t="n">
        <v>0</v>
      </c>
      <c r="DN38" s="31" t="n">
        <v>0</v>
      </c>
      <c r="DO38" s="31" t="n">
        <v>0</v>
      </c>
    </row>
    <row r="41" ht="20" customHeight="1">
      <c r="A41" s="20" t="inlineStr">
        <is>
          <t>RÉCAPITULATIF</t>
        </is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20">
        <f>IF(OR($C$9="",N($J$9)&lt;=0),"","FACTURATION DU BLOC "&amp;1&amp;" (hors transport et autres frais)")</f>
        <v/>
      </c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20">
        <f>IF(OR($C$9="",N($J$9)&lt;=31),"","FACTURATION DU BLOC "&amp;2&amp;" (hors transport et autres frais)")</f>
        <v/>
      </c>
      <c r="AS41" s="1" t="n"/>
      <c r="AT41" s="1" t="n"/>
      <c r="AU41" s="1" t="n"/>
      <c r="AV41" s="1" t="n"/>
      <c r="AW41" s="1" t="n"/>
      <c r="AX41" s="1" t="n"/>
      <c r="AY41" s="1" t="n"/>
      <c r="AZ41" s="1" t="n"/>
      <c r="BA41" s="1" t="n"/>
      <c r="BB41" s="1" t="n"/>
      <c r="BC41" s="1" t="n"/>
      <c r="BD41" s="1" t="n"/>
      <c r="BE41" s="1" t="n"/>
      <c r="BF41" s="1" t="n"/>
      <c r="BG41" s="1" t="n"/>
      <c r="BH41" s="1" t="n"/>
      <c r="BI41" s="1" t="n"/>
      <c r="BJ41" s="1" t="n"/>
      <c r="BK41" s="1" t="n"/>
      <c r="BL41" s="1" t="n"/>
      <c r="BM41" s="1" t="n"/>
      <c r="BN41" s="1" t="n"/>
      <c r="BO41" s="1" t="n"/>
      <c r="BP41" s="1" t="n"/>
      <c r="BQ41" s="1" t="n"/>
      <c r="BR41" s="1" t="n"/>
      <c r="BS41" s="1" t="n"/>
      <c r="BT41" s="1" t="n"/>
      <c r="BU41" s="1" t="n"/>
      <c r="BV41" s="1" t="n"/>
      <c r="BW41" s="20">
        <f>IF(OR($C$9="",N($J$9)&lt;=62),"","FACTURATION DU BLOC "&amp;3&amp;" (hors transport et autres frais)")</f>
        <v/>
      </c>
      <c r="BX41" s="1" t="n"/>
      <c r="BY41" s="1" t="n"/>
      <c r="BZ41" s="1" t="n"/>
      <c r="CA41" s="1" t="n"/>
      <c r="CB41" s="1" t="n"/>
      <c r="CC41" s="1" t="n"/>
      <c r="CD41" s="1" t="n"/>
      <c r="CE41" s="1" t="n"/>
      <c r="CF41" s="1" t="n"/>
      <c r="CG41" s="1" t="n"/>
      <c r="CH41" s="1" t="n"/>
      <c r="CI41" s="1" t="n"/>
      <c r="CJ41" s="1" t="n"/>
      <c r="CK41" s="1" t="n"/>
      <c r="CL41" s="1" t="n"/>
      <c r="CM41" s="1" t="n"/>
      <c r="CN41" s="1" t="n"/>
      <c r="CO41" s="1" t="n"/>
      <c r="CP41" s="1" t="n"/>
      <c r="CQ41" s="1" t="n"/>
      <c r="CR41" s="1" t="n"/>
      <c r="CS41" s="1" t="n"/>
      <c r="CT41" s="1" t="n"/>
      <c r="CU41" s="1" t="n"/>
      <c r="CV41" s="1" t="n"/>
      <c r="CW41" s="1" t="n"/>
      <c r="CX41" s="1" t="n"/>
      <c r="CY41" s="1" t="n"/>
      <c r="CZ41" s="1" t="n"/>
      <c r="DA41" s="1" t="n"/>
    </row>
    <row r="42" ht="18" customHeight="1">
      <c r="A42" s="34">
        <f>"Opérateurs · tarif journalier ("&amp;SUM(K17:K19)&amp;" j opérations, "&amp;SUM(J17:J19)&amp;" j stand-by)"</f>
        <v/>
      </c>
      <c r="B42" s="23" t="n"/>
      <c r="C42" s="23" t="n"/>
      <c r="D42" s="23" t="n"/>
      <c r="E42" s="23" t="n"/>
      <c r="F42" s="23" t="n"/>
      <c r="G42" s="35" t="inlineStr">
        <is>
          <t>910XFISHINGOP</t>
        </is>
      </c>
      <c r="H42" s="23" t="n"/>
      <c r="I42" s="23" t="n"/>
      <c r="J42" s="23" t="n"/>
      <c r="K42" s="23" t="n"/>
      <c r="L42" s="36">
        <f>SUM(DC17:DC19)+SUM(DG17:DG19)+SUM(DK17:DK19)</f>
        <v/>
      </c>
      <c r="M42" s="37" t="inlineStr">
        <is>
          <t>Opérateurs · jours</t>
        </is>
      </c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9">
        <f>IF(N($J$9)&lt;=0,"",SUM(DC17:DC19))</f>
        <v/>
      </c>
      <c r="AF42" s="23" t="n"/>
      <c r="AG42" s="23" t="n"/>
      <c r="AH42" s="23" t="n"/>
      <c r="AI42" s="23" t="n"/>
      <c r="AJ42" s="23" t="n"/>
      <c r="AK42" s="23" t="n"/>
      <c r="AL42" s="23" t="n"/>
      <c r="AR42" s="37" t="inlineStr">
        <is>
          <t>Opérateurs · jours</t>
        </is>
      </c>
      <c r="AS42" s="23" t="n"/>
      <c r="AT42" s="23" t="n"/>
      <c r="AU42" s="23" t="n"/>
      <c r="AV42" s="23" t="n"/>
      <c r="AW42" s="23" t="n"/>
      <c r="AX42" s="23" t="n"/>
      <c r="AY42" s="23" t="n"/>
      <c r="AZ42" s="23" t="n"/>
      <c r="BA42" s="23" t="n"/>
      <c r="BB42" s="23" t="n"/>
      <c r="BC42" s="23" t="n"/>
      <c r="BD42" s="23" t="n"/>
      <c r="BE42" s="23" t="n"/>
      <c r="BF42" s="23" t="n"/>
      <c r="BG42" s="23" t="n"/>
      <c r="BH42" s="23" t="n"/>
      <c r="BI42" s="23" t="n"/>
      <c r="BJ42" s="29">
        <f>IF(N($J$9)&lt;=31,"",SUM(DG17:DG19))</f>
        <v/>
      </c>
      <c r="BK42" s="23" t="n"/>
      <c r="BL42" s="23" t="n"/>
      <c r="BM42" s="23" t="n"/>
      <c r="BN42" s="23" t="n"/>
      <c r="BO42" s="23" t="n"/>
      <c r="BP42" s="23" t="n"/>
      <c r="BQ42" s="23" t="n"/>
      <c r="BW42" s="37" t="inlineStr">
        <is>
          <t>Opérateurs · jours</t>
        </is>
      </c>
      <c r="BX42" s="23" t="n"/>
      <c r="BY42" s="23" t="n"/>
      <c r="BZ42" s="23" t="n"/>
      <c r="CA42" s="23" t="n"/>
      <c r="CB42" s="23" t="n"/>
      <c r="CC42" s="23" t="n"/>
      <c r="CD42" s="23" t="n"/>
      <c r="CE42" s="23" t="n"/>
      <c r="CF42" s="23" t="n"/>
      <c r="CG42" s="23" t="n"/>
      <c r="CH42" s="23" t="n"/>
      <c r="CI42" s="23" t="n"/>
      <c r="CJ42" s="23" t="n"/>
      <c r="CK42" s="23" t="n"/>
      <c r="CL42" s="23" t="n"/>
      <c r="CM42" s="23" t="n"/>
      <c r="CN42" s="23" t="n"/>
      <c r="CO42" s="29">
        <f>IF(N($J$9)&lt;=62,"",SUM(DK17:DK19))</f>
        <v/>
      </c>
      <c r="CP42" s="23" t="n"/>
      <c r="CQ42" s="23" t="n"/>
      <c r="CR42" s="23" t="n"/>
      <c r="CS42" s="23" t="n"/>
      <c r="CT42" s="23" t="n"/>
      <c r="CU42" s="23" t="n"/>
      <c r="CV42" s="23" t="n"/>
    </row>
    <row r="43" ht="18" customHeight="1">
      <c r="A43" s="34">
        <f>"Opérateurs · mob / demob ("&amp;SUM(I17:I19)&amp;")"</f>
        <v/>
      </c>
      <c r="B43" s="23" t="n"/>
      <c r="C43" s="23" t="n"/>
      <c r="D43" s="23" t="n"/>
      <c r="E43" s="23" t="n"/>
      <c r="F43" s="23" t="n"/>
      <c r="G43" s="35" t="inlineStr">
        <is>
          <t>900XMOBDEMOB</t>
        </is>
      </c>
      <c r="H43" s="23" t="n"/>
      <c r="I43" s="23" t="n"/>
      <c r="J43" s="23" t="n"/>
      <c r="K43" s="23" t="n"/>
      <c r="L43" s="36">
        <f>SUM(DD17:DD19)+SUM(DH17:DH19)+SUM(DL17:DL19)</f>
        <v/>
      </c>
      <c r="M43" s="37" t="inlineStr">
        <is>
          <t>Opérateurs · mob / demob</t>
        </is>
      </c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  <c r="AE43" s="29">
        <f>IF(N($J$9)&lt;=0,"",SUM(DD17:DD19))</f>
        <v/>
      </c>
      <c r="AF43" s="23" t="n"/>
      <c r="AG43" s="23" t="n"/>
      <c r="AH43" s="23" t="n"/>
      <c r="AI43" s="23" t="n"/>
      <c r="AJ43" s="23" t="n"/>
      <c r="AK43" s="23" t="n"/>
      <c r="AL43" s="23" t="n"/>
      <c r="AR43" s="37" t="inlineStr">
        <is>
          <t>Opérateurs · mob / demob</t>
        </is>
      </c>
      <c r="AS43" s="23" t="n"/>
      <c r="AT43" s="23" t="n"/>
      <c r="AU43" s="23" t="n"/>
      <c r="AV43" s="23" t="n"/>
      <c r="AW43" s="23" t="n"/>
      <c r="AX43" s="23" t="n"/>
      <c r="AY43" s="23" t="n"/>
      <c r="AZ43" s="23" t="n"/>
      <c r="BA43" s="23" t="n"/>
      <c r="BB43" s="23" t="n"/>
      <c r="BC43" s="23" t="n"/>
      <c r="BD43" s="23" t="n"/>
      <c r="BE43" s="23" t="n"/>
      <c r="BF43" s="23" t="n"/>
      <c r="BG43" s="23" t="n"/>
      <c r="BH43" s="23" t="n"/>
      <c r="BI43" s="23" t="n"/>
      <c r="BJ43" s="29">
        <f>IF(N($J$9)&lt;=31,"",SUM(DH17:DH19))</f>
        <v/>
      </c>
      <c r="BK43" s="23" t="n"/>
      <c r="BL43" s="23" t="n"/>
      <c r="BM43" s="23" t="n"/>
      <c r="BN43" s="23" t="n"/>
      <c r="BO43" s="23" t="n"/>
      <c r="BP43" s="23" t="n"/>
      <c r="BQ43" s="23" t="n"/>
      <c r="BW43" s="37" t="inlineStr">
        <is>
          <t>Opérateurs · mob / demob</t>
        </is>
      </c>
      <c r="BX43" s="23" t="n"/>
      <c r="BY43" s="23" t="n"/>
      <c r="BZ43" s="23" t="n"/>
      <c r="CA43" s="23" t="n"/>
      <c r="CB43" s="23" t="n"/>
      <c r="CC43" s="23" t="n"/>
      <c r="CD43" s="23" t="n"/>
      <c r="CE43" s="23" t="n"/>
      <c r="CF43" s="23" t="n"/>
      <c r="CG43" s="23" t="n"/>
      <c r="CH43" s="23" t="n"/>
      <c r="CI43" s="23" t="n"/>
      <c r="CJ43" s="23" t="n"/>
      <c r="CK43" s="23" t="n"/>
      <c r="CL43" s="23" t="n"/>
      <c r="CM43" s="23" t="n"/>
      <c r="CN43" s="23" t="n"/>
      <c r="CO43" s="29">
        <f>IF(N($J$9)&lt;=62,"",SUM(DL17:DL19))</f>
        <v/>
      </c>
      <c r="CP43" s="23" t="n"/>
      <c r="CQ43" s="23" t="n"/>
      <c r="CR43" s="23" t="n"/>
      <c r="CS43" s="23" t="n"/>
      <c r="CT43" s="23" t="n"/>
      <c r="CU43" s="23" t="n"/>
      <c r="CV43" s="23" t="n"/>
    </row>
    <row r="44" ht="18" customHeight="1">
      <c r="A44" s="34" t="inlineStr">
        <is>
          <t>Location du matériel (stand-by + opérations)</t>
        </is>
      </c>
      <c r="B44" s="23" t="n"/>
      <c r="C44" s="23" t="n"/>
      <c r="D44" s="23" t="n"/>
      <c r="E44" s="23" t="n"/>
      <c r="F44" s="23" t="n"/>
      <c r="G44" s="35" t="inlineStr">
        <is>
          <t>904XRENTALEQUIPMT</t>
        </is>
      </c>
      <c r="H44" s="23" t="n"/>
      <c r="I44" s="23" t="n"/>
      <c r="J44" s="23" t="n"/>
      <c r="K44" s="23" t="n"/>
      <c r="L44" s="36">
        <f>SUM(DC22:DC33)+SUM(DG22:DG33)+SUM(DK22:DK33)</f>
        <v/>
      </c>
      <c r="M44" s="37" t="inlineStr">
        <is>
          <t>Location du matériel</t>
        </is>
      </c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  <c r="AD44" s="23" t="n"/>
      <c r="AE44" s="29">
        <f>IF(N($J$9)&lt;=0,"",SUM(DC22:DC33))</f>
        <v/>
      </c>
      <c r="AF44" s="23" t="n"/>
      <c r="AG44" s="23" t="n"/>
      <c r="AH44" s="23" t="n"/>
      <c r="AI44" s="23" t="n"/>
      <c r="AJ44" s="23" t="n"/>
      <c r="AK44" s="23" t="n"/>
      <c r="AL44" s="23" t="n"/>
      <c r="AR44" s="37" t="inlineStr">
        <is>
          <t>Location du matériel</t>
        </is>
      </c>
      <c r="AS44" s="23" t="n"/>
      <c r="AT44" s="23" t="n"/>
      <c r="AU44" s="23" t="n"/>
      <c r="AV44" s="23" t="n"/>
      <c r="AW44" s="23" t="n"/>
      <c r="AX44" s="23" t="n"/>
      <c r="AY44" s="23" t="n"/>
      <c r="AZ44" s="23" t="n"/>
      <c r="BA44" s="23" t="n"/>
      <c r="BB44" s="23" t="n"/>
      <c r="BC44" s="23" t="n"/>
      <c r="BD44" s="23" t="n"/>
      <c r="BE44" s="23" t="n"/>
      <c r="BF44" s="23" t="n"/>
      <c r="BG44" s="23" t="n"/>
      <c r="BH44" s="23" t="n"/>
      <c r="BI44" s="23" t="n"/>
      <c r="BJ44" s="29">
        <f>IF(N($J$9)&lt;=31,"",SUM(DG22:DG33))</f>
        <v/>
      </c>
      <c r="BK44" s="23" t="n"/>
      <c r="BL44" s="23" t="n"/>
      <c r="BM44" s="23" t="n"/>
      <c r="BN44" s="23" t="n"/>
      <c r="BO44" s="23" t="n"/>
      <c r="BP44" s="23" t="n"/>
      <c r="BQ44" s="23" t="n"/>
      <c r="BW44" s="37" t="inlineStr">
        <is>
          <t>Location du matériel</t>
        </is>
      </c>
      <c r="BX44" s="23" t="n"/>
      <c r="BY44" s="23" t="n"/>
      <c r="BZ44" s="23" t="n"/>
      <c r="CA44" s="23" t="n"/>
      <c r="CB44" s="23" t="n"/>
      <c r="CC44" s="23" t="n"/>
      <c r="CD44" s="23" t="n"/>
      <c r="CE44" s="23" t="n"/>
      <c r="CF44" s="23" t="n"/>
      <c r="CG44" s="23" t="n"/>
      <c r="CH44" s="23" t="n"/>
      <c r="CI44" s="23" t="n"/>
      <c r="CJ44" s="23" t="n"/>
      <c r="CK44" s="23" t="n"/>
      <c r="CL44" s="23" t="n"/>
      <c r="CM44" s="23" t="n"/>
      <c r="CN44" s="23" t="n"/>
      <c r="CO44" s="29">
        <f>IF(N($J$9)&lt;=62,"",SUM(DK22:DK33))</f>
        <v/>
      </c>
      <c r="CP44" s="23" t="n"/>
      <c r="CQ44" s="23" t="n"/>
      <c r="CR44" s="23" t="n"/>
      <c r="CS44" s="23" t="n"/>
      <c r="CT44" s="23" t="n"/>
      <c r="CU44" s="23" t="n"/>
      <c r="CV44" s="23" t="n"/>
    </row>
    <row r="45" ht="18" customHeight="1">
      <c r="A45" s="34" t="inlineStr">
        <is>
          <t>Utilisation charge et inspection (UC, une seule fois)</t>
        </is>
      </c>
      <c r="B45" s="23" t="n"/>
      <c r="C45" s="23" t="n"/>
      <c r="D45" s="23" t="n"/>
      <c r="E45" s="23" t="n"/>
      <c r="F45" s="23" t="n"/>
      <c r="G45" s="35" t="inlineStr">
        <is>
          <t>905XUC</t>
        </is>
      </c>
      <c r="H45" s="23" t="n"/>
      <c r="I45" s="23" t="n"/>
      <c r="J45" s="23" t="n"/>
      <c r="K45" s="23" t="n"/>
      <c r="L45" s="36">
        <f>SUM(DD22:DD33)+SUM(DH22:DH33)+SUM(DL22:DL33)</f>
        <v/>
      </c>
      <c r="M45" s="37" t="inlineStr">
        <is>
          <t>UC et inspection</t>
        </is>
      </c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  <c r="AE45" s="29">
        <f>IF(N($J$9)&lt;=0,"",SUM(DD22:DD33))</f>
        <v/>
      </c>
      <c r="AF45" s="23" t="n"/>
      <c r="AG45" s="23" t="n"/>
      <c r="AH45" s="23" t="n"/>
      <c r="AI45" s="23" t="n"/>
      <c r="AJ45" s="23" t="n"/>
      <c r="AK45" s="23" t="n"/>
      <c r="AL45" s="23" t="n"/>
      <c r="AR45" s="37" t="inlineStr">
        <is>
          <t>UC et inspection</t>
        </is>
      </c>
      <c r="AS45" s="23" t="n"/>
      <c r="AT45" s="23" t="n"/>
      <c r="AU45" s="23" t="n"/>
      <c r="AV45" s="23" t="n"/>
      <c r="AW45" s="23" t="n"/>
      <c r="AX45" s="23" t="n"/>
      <c r="AY45" s="23" t="n"/>
      <c r="AZ45" s="23" t="n"/>
      <c r="BA45" s="23" t="n"/>
      <c r="BB45" s="23" t="n"/>
      <c r="BC45" s="23" t="n"/>
      <c r="BD45" s="23" t="n"/>
      <c r="BE45" s="23" t="n"/>
      <c r="BF45" s="23" t="n"/>
      <c r="BG45" s="23" t="n"/>
      <c r="BH45" s="23" t="n"/>
      <c r="BI45" s="23" t="n"/>
      <c r="BJ45" s="29">
        <f>IF(N($J$9)&lt;=31,"",SUM(DH22:DH33))</f>
        <v/>
      </c>
      <c r="BK45" s="23" t="n"/>
      <c r="BL45" s="23" t="n"/>
      <c r="BM45" s="23" t="n"/>
      <c r="BN45" s="23" t="n"/>
      <c r="BO45" s="23" t="n"/>
      <c r="BP45" s="23" t="n"/>
      <c r="BQ45" s="23" t="n"/>
      <c r="BW45" s="37" t="inlineStr">
        <is>
          <t>UC et inspection</t>
        </is>
      </c>
      <c r="BX45" s="23" t="n"/>
      <c r="BY45" s="23" t="n"/>
      <c r="BZ45" s="23" t="n"/>
      <c r="CA45" s="23" t="n"/>
      <c r="CB45" s="23" t="n"/>
      <c r="CC45" s="23" t="n"/>
      <c r="CD45" s="23" t="n"/>
      <c r="CE45" s="23" t="n"/>
      <c r="CF45" s="23" t="n"/>
      <c r="CG45" s="23" t="n"/>
      <c r="CH45" s="23" t="n"/>
      <c r="CI45" s="23" t="n"/>
      <c r="CJ45" s="23" t="n"/>
      <c r="CK45" s="23" t="n"/>
      <c r="CL45" s="23" t="n"/>
      <c r="CM45" s="23" t="n"/>
      <c r="CN45" s="23" t="n"/>
      <c r="CO45" s="29">
        <f>IF(N($J$9)&lt;=62,"",SUM(DL22:DL33))</f>
        <v/>
      </c>
      <c r="CP45" s="23" t="n"/>
      <c r="CQ45" s="23" t="n"/>
      <c r="CR45" s="23" t="n"/>
      <c r="CS45" s="23" t="n"/>
      <c r="CT45" s="23" t="n"/>
      <c r="CU45" s="23" t="n"/>
      <c r="CV45" s="23" t="n"/>
    </row>
    <row r="46" ht="18" customHeight="1">
      <c r="A46" s="34" t="inlineStr">
        <is>
          <t>Valeur de remplacement et restocking</t>
        </is>
      </c>
      <c r="B46" s="23" t="n"/>
      <c r="C46" s="23" t="n"/>
      <c r="D46" s="23" t="n"/>
      <c r="E46" s="23" t="n"/>
      <c r="F46" s="23" t="n"/>
      <c r="G46" s="35" t="inlineStr"/>
      <c r="H46" s="23" t="n"/>
      <c r="I46" s="23" t="n"/>
      <c r="J46" s="23" t="n"/>
      <c r="K46" s="23" t="n"/>
      <c r="L46" s="36">
        <f>SUM(DE22:DE33)+SUM(DI22:DI33)+SUM(DM22:DM33)</f>
        <v/>
      </c>
      <c r="M46" s="37" t="inlineStr">
        <is>
          <t>Valeur de remplacement, restocking</t>
        </is>
      </c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  <c r="AE46" s="29">
        <f>IF(N($J$9)&lt;=0,"",SUM(DE22:DE33))</f>
        <v/>
      </c>
      <c r="AF46" s="23" t="n"/>
      <c r="AG46" s="23" t="n"/>
      <c r="AH46" s="23" t="n"/>
      <c r="AI46" s="23" t="n"/>
      <c r="AJ46" s="23" t="n"/>
      <c r="AK46" s="23" t="n"/>
      <c r="AL46" s="23" t="n"/>
      <c r="AR46" s="37" t="inlineStr">
        <is>
          <t>Valeur de remplacement, restocking</t>
        </is>
      </c>
      <c r="AS46" s="23" t="n"/>
      <c r="AT46" s="23" t="n"/>
      <c r="AU46" s="23" t="n"/>
      <c r="AV46" s="23" t="n"/>
      <c r="AW46" s="23" t="n"/>
      <c r="AX46" s="23" t="n"/>
      <c r="AY46" s="23" t="n"/>
      <c r="AZ46" s="23" t="n"/>
      <c r="BA46" s="23" t="n"/>
      <c r="BB46" s="23" t="n"/>
      <c r="BC46" s="23" t="n"/>
      <c r="BD46" s="23" t="n"/>
      <c r="BE46" s="23" t="n"/>
      <c r="BF46" s="23" t="n"/>
      <c r="BG46" s="23" t="n"/>
      <c r="BH46" s="23" t="n"/>
      <c r="BI46" s="23" t="n"/>
      <c r="BJ46" s="29">
        <f>IF(N($J$9)&lt;=31,"",SUM(DI22:DI33))</f>
        <v/>
      </c>
      <c r="BK46" s="23" t="n"/>
      <c r="BL46" s="23" t="n"/>
      <c r="BM46" s="23" t="n"/>
      <c r="BN46" s="23" t="n"/>
      <c r="BO46" s="23" t="n"/>
      <c r="BP46" s="23" t="n"/>
      <c r="BQ46" s="23" t="n"/>
      <c r="BW46" s="37" t="inlineStr">
        <is>
          <t>Valeur de remplacement, restocking</t>
        </is>
      </c>
      <c r="BX46" s="23" t="n"/>
      <c r="BY46" s="23" t="n"/>
      <c r="BZ46" s="23" t="n"/>
      <c r="CA46" s="23" t="n"/>
      <c r="CB46" s="23" t="n"/>
      <c r="CC46" s="23" t="n"/>
      <c r="CD46" s="23" t="n"/>
      <c r="CE46" s="23" t="n"/>
      <c r="CF46" s="23" t="n"/>
      <c r="CG46" s="23" t="n"/>
      <c r="CH46" s="23" t="n"/>
      <c r="CI46" s="23" t="n"/>
      <c r="CJ46" s="23" t="n"/>
      <c r="CK46" s="23" t="n"/>
      <c r="CL46" s="23" t="n"/>
      <c r="CM46" s="23" t="n"/>
      <c r="CN46" s="23" t="n"/>
      <c r="CO46" s="29">
        <f>IF(N($J$9)&lt;=62,"",SUM(DM22:DM33))</f>
        <v/>
      </c>
      <c r="CP46" s="23" t="n"/>
      <c r="CQ46" s="23" t="n"/>
      <c r="CR46" s="23" t="n"/>
      <c r="CS46" s="23" t="n"/>
      <c r="CT46" s="23" t="n"/>
      <c r="CU46" s="23" t="n"/>
      <c r="CV46" s="23" t="n"/>
    </row>
    <row r="47" ht="18" customHeight="1">
      <c r="A47" s="34" t="inlineStr">
        <is>
          <t>Transport et autres frais</t>
        </is>
      </c>
      <c r="B47" s="23" t="n"/>
      <c r="C47" s="23" t="n"/>
      <c r="D47" s="23" t="n"/>
      <c r="E47" s="23" t="n"/>
      <c r="F47" s="23" t="n"/>
      <c r="G47" s="35" t="inlineStr">
        <is>
          <t>900XMOBDEMOB</t>
        </is>
      </c>
      <c r="H47" s="23" t="n"/>
      <c r="I47" s="23" t="n"/>
      <c r="J47" s="23" t="n"/>
      <c r="K47" s="23" t="n"/>
      <c r="L47" s="36">
        <f>SUM(L36:L38)</f>
        <v/>
      </c>
    </row>
    <row r="48" ht="26" customHeight="1">
      <c r="A48" s="38" t="inlineStr">
        <is>
          <t>TOTAL HT À FACTURER</t>
        </is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40">
        <f>SUM(L42:L47)</f>
        <v/>
      </c>
      <c r="M48" s="41">
        <f>"TOTAL DU BLOC "&amp;1</f>
        <v/>
      </c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3">
        <f>IF(N($J$9)&lt;=0,"",SUM(AE42:AE46))</f>
        <v/>
      </c>
      <c r="AF48" s="42" t="n"/>
      <c r="AG48" s="42" t="n"/>
      <c r="AH48" s="42" t="n"/>
      <c r="AI48" s="42" t="n"/>
      <c r="AJ48" s="42" t="n"/>
      <c r="AK48" s="42" t="n"/>
      <c r="AL48" s="42" t="n"/>
      <c r="AR48" s="41">
        <f>"TOTAL DU BLOC "&amp;2</f>
        <v/>
      </c>
      <c r="AS48" s="42" t="n"/>
      <c r="AT48" s="42" t="n"/>
      <c r="AU48" s="42" t="n"/>
      <c r="AV48" s="42" t="n"/>
      <c r="AW48" s="42" t="n"/>
      <c r="AX48" s="42" t="n"/>
      <c r="AY48" s="42" t="n"/>
      <c r="AZ48" s="42" t="n"/>
      <c r="BA48" s="42" t="n"/>
      <c r="BB48" s="42" t="n"/>
      <c r="BC48" s="42" t="n"/>
      <c r="BD48" s="42" t="n"/>
      <c r="BE48" s="42" t="n"/>
      <c r="BF48" s="42" t="n"/>
      <c r="BG48" s="42" t="n"/>
      <c r="BH48" s="42" t="n"/>
      <c r="BI48" s="42" t="n"/>
      <c r="BJ48" s="43">
        <f>IF(N($J$9)&lt;=31,"",SUM(BJ42:BJ46))</f>
        <v/>
      </c>
      <c r="BK48" s="42" t="n"/>
      <c r="BL48" s="42" t="n"/>
      <c r="BM48" s="42" t="n"/>
      <c r="BN48" s="42" t="n"/>
      <c r="BO48" s="42" t="n"/>
      <c r="BP48" s="42" t="n"/>
      <c r="BQ48" s="42" t="n"/>
      <c r="BW48" s="41">
        <f>"TOTAL DU BLOC "&amp;3</f>
        <v/>
      </c>
      <c r="BX48" s="42" t="n"/>
      <c r="BY48" s="42" t="n"/>
      <c r="BZ48" s="42" t="n"/>
      <c r="CA48" s="42" t="n"/>
      <c r="CB48" s="42" t="n"/>
      <c r="CC48" s="42" t="n"/>
      <c r="CD48" s="42" t="n"/>
      <c r="CE48" s="42" t="n"/>
      <c r="CF48" s="42" t="n"/>
      <c r="CG48" s="42" t="n"/>
      <c r="CH48" s="42" t="n"/>
      <c r="CI48" s="42" t="n"/>
      <c r="CJ48" s="42" t="n"/>
      <c r="CK48" s="42" t="n"/>
      <c r="CL48" s="42" t="n"/>
      <c r="CM48" s="42" t="n"/>
      <c r="CN48" s="42" t="n"/>
      <c r="CO48" s="43">
        <f>IF(N($J$9)&lt;=62,"",SUM(CO42:CO46))</f>
        <v/>
      </c>
      <c r="CP48" s="42" t="n"/>
      <c r="CQ48" s="42" t="n"/>
      <c r="CR48" s="42" t="n"/>
      <c r="CS48" s="42" t="n"/>
      <c r="CT48" s="42" t="n"/>
      <c r="CU48" s="42" t="n"/>
      <c r="CV48" s="42" t="n"/>
    </row>
    <row r="49" ht="16" customHeight="1">
      <c r="A49" s="44" t="inlineStr">
        <is>
          <t>Gratuit (FOC), pour information</t>
        </is>
      </c>
      <c r="L49" s="45">
        <f>SUM(DF22:DF33)+SUM(DJ22:DJ33)+SUM(DN22:DN33)</f>
        <v/>
      </c>
    </row>
    <row r="51" ht="17" customHeight="1">
      <c r="A51" s="46" t="inlineStr">
        <is>
          <t>POUR ENEDRIL · Nom, date, signature</t>
        </is>
      </c>
      <c r="B51" s="47" t="n"/>
      <c r="C51" s="47" t="n"/>
      <c r="D51" s="47" t="n"/>
      <c r="E51" s="48" t="n"/>
      <c r="F51" s="46" t="inlineStr">
        <is>
          <t>POUR LE CLIENT · Nom, date, signature, cachet</t>
        </is>
      </c>
      <c r="G51" s="47" t="n"/>
      <c r="H51" s="47" t="n"/>
      <c r="I51" s="47" t="n"/>
      <c r="J51" s="47" t="n"/>
      <c r="K51" s="47" t="n"/>
      <c r="L51" s="48" t="n"/>
    </row>
    <row r="52" ht="17" customHeight="1">
      <c r="A52" s="49" t="n"/>
      <c r="B52" s="50" t="n"/>
      <c r="C52" s="50" t="n"/>
      <c r="D52" s="50" t="n"/>
      <c r="E52" s="51" t="n"/>
      <c r="F52" s="49" t="n"/>
      <c r="G52" s="50" t="n"/>
      <c r="H52" s="50" t="n"/>
      <c r="I52" s="50" t="n"/>
      <c r="J52" s="50" t="n"/>
      <c r="K52" s="50" t="n"/>
      <c r="L52" s="51" t="n"/>
    </row>
    <row r="53" ht="17" customHeight="1">
      <c r="A53" s="52" t="n"/>
      <c r="B53" s="23" t="n"/>
      <c r="C53" s="23" t="n"/>
      <c r="D53" s="23" t="n"/>
      <c r="E53" s="53" t="n"/>
      <c r="F53" s="52" t="n"/>
      <c r="G53" s="23" t="n"/>
      <c r="H53" s="23" t="n"/>
      <c r="I53" s="23" t="n"/>
      <c r="J53" s="23" t="n"/>
      <c r="K53" s="23" t="n"/>
      <c r="L53" s="53" t="n"/>
    </row>
  </sheetData>
  <mergeCells count="87">
    <mergeCell ref="BJ45:BQ45"/>
    <mergeCell ref="AR48:BI48"/>
    <mergeCell ref="CO46:CV46"/>
    <mergeCell ref="BJ42:BQ42"/>
    <mergeCell ref="BW12:DA12"/>
    <mergeCell ref="CO48:CV48"/>
    <mergeCell ref="BJ44:BQ44"/>
    <mergeCell ref="A47:F47"/>
    <mergeCell ref="B13:B14"/>
    <mergeCell ref="D13:D14"/>
    <mergeCell ref="C6:F6"/>
    <mergeCell ref="M45:AD45"/>
    <mergeCell ref="M42:AD42"/>
    <mergeCell ref="F13:F14"/>
    <mergeCell ref="BW43:CN43"/>
    <mergeCell ref="H13:H14"/>
    <mergeCell ref="A44:F44"/>
    <mergeCell ref="G9:I9"/>
    <mergeCell ref="BW42:CN42"/>
    <mergeCell ref="BJ48:BQ48"/>
    <mergeCell ref="BW44:CN44"/>
    <mergeCell ref="AR43:BI43"/>
    <mergeCell ref="M44:AD44"/>
    <mergeCell ref="A9:B9"/>
    <mergeCell ref="BW46:CN46"/>
    <mergeCell ref="BJ43:BQ43"/>
    <mergeCell ref="A48:K48"/>
    <mergeCell ref="G6:I6"/>
    <mergeCell ref="E13:E14"/>
    <mergeCell ref="BW48:CN48"/>
    <mergeCell ref="G13:G14"/>
    <mergeCell ref="G42:K42"/>
    <mergeCell ref="BW45:CN45"/>
    <mergeCell ref="A42:F42"/>
    <mergeCell ref="AE43:AL43"/>
    <mergeCell ref="BJ46:BQ46"/>
    <mergeCell ref="C5:F5"/>
    <mergeCell ref="AE42:AL42"/>
    <mergeCell ref="AE44:AL44"/>
    <mergeCell ref="A8:B8"/>
    <mergeCell ref="J5:L5"/>
    <mergeCell ref="G8:I8"/>
    <mergeCell ref="AE45:AL45"/>
    <mergeCell ref="M48:AD48"/>
    <mergeCell ref="J6:L6"/>
    <mergeCell ref="A46:F46"/>
    <mergeCell ref="G43:K43"/>
    <mergeCell ref="C8:F8"/>
    <mergeCell ref="CO43:CV43"/>
    <mergeCell ref="A49:K49"/>
    <mergeCell ref="CO42:CV42"/>
    <mergeCell ref="AE46:AL46"/>
    <mergeCell ref="AR12:BV12"/>
    <mergeCell ref="G5:I5"/>
    <mergeCell ref="CO44:CV44"/>
    <mergeCell ref="AR45:BI45"/>
    <mergeCell ref="A13:A14"/>
    <mergeCell ref="A5:B5"/>
    <mergeCell ref="AE48:AL48"/>
    <mergeCell ref="J8:L8"/>
    <mergeCell ref="G45:K45"/>
    <mergeCell ref="M1:AQ1"/>
    <mergeCell ref="AR44:BI44"/>
    <mergeCell ref="AR42:BI42"/>
    <mergeCell ref="A45:F45"/>
    <mergeCell ref="G47:K47"/>
    <mergeCell ref="G44:K44"/>
    <mergeCell ref="F51:L53"/>
    <mergeCell ref="J9:L9"/>
    <mergeCell ref="G46:K46"/>
    <mergeCell ref="M12:AQ12"/>
    <mergeCell ref="J13:J14"/>
    <mergeCell ref="L13:L14"/>
    <mergeCell ref="A6:B6"/>
    <mergeCell ref="A51:E53"/>
    <mergeCell ref="M46:AD46"/>
    <mergeCell ref="A43:F43"/>
    <mergeCell ref="A10:L10"/>
    <mergeCell ref="I13:I14"/>
    <mergeCell ref="K13:K14"/>
    <mergeCell ref="CO45:CV45"/>
    <mergeCell ref="C13:C14"/>
    <mergeCell ref="C9:F9"/>
    <mergeCell ref="M43:AD43"/>
    <mergeCell ref="M2:AQ2"/>
    <mergeCell ref="A11:L11"/>
    <mergeCell ref="AR46:BI46"/>
  </mergeCells>
  <conditionalFormatting sqref="M17:DA19 M22:DA33">
    <cfRule type="expression" priority="1" dxfId="0" stopIfTrue="1">
      <formula>M$13=""</formula>
    </cfRule>
    <cfRule type="cellIs" priority="2" operator="equal" dxfId="1">
      <formula>"S"</formula>
    </cfRule>
    <cfRule type="cellIs" priority="3" operator="equal" dxfId="2">
      <formula>"O"</formula>
    </cfRule>
    <cfRule type="cellIs" priority="4" operator="equal" dxfId="3">
      <formula>"FOC"</formula>
    </cfRule>
    <cfRule type="cellIs" priority="5" operator="equal" dxfId="4">
      <formula>"VR"</formula>
    </cfRule>
    <cfRule type="cellIs" priority="6" operator="equal" dxfId="5">
      <formula>"RC"</formula>
    </cfRule>
    <cfRule type="cellIs" priority="7" operator="equal" dxfId="6">
      <formula>"MOB"</formula>
    </cfRule>
    <cfRule type="cellIs" priority="8" operator="equal" dxfId="6">
      <formula>"DEMOB"</formula>
    </cfRule>
    <cfRule type="expression" priority="9" dxfId="7">
      <formula>AND(M$13&lt;&gt;"",WEEKDAY(M$13,2)&gt;5)</formula>
    </cfRule>
  </conditionalFormatting>
  <conditionalFormatting sqref="B22:I33">
    <cfRule type="expression" priority="10" dxfId="8">
      <formula>AND($B22&lt;&gt;"",N($C22)=0,N($E22)=0)</formula>
    </cfRule>
  </conditionalFormatting>
  <dataValidations count="3">
    <dataValidation sqref="A9" showDropDown="0" showInputMessage="0" showErrorMessage="0" allowBlank="1" type="list">
      <formula1>=Listes!$A$2:$A$12</formula1>
    </dataValidation>
    <dataValidation sqref="A22:A33" showDropDown="0" showInputMessage="0" showErrorMessage="0" allowBlank="1" type="list">
      <formula1>=Listes!$E$1</formula1>
    </dataValidation>
    <dataValidation sqref="M17:DA19 M22:DA33" showDropDown="0" showInputMessage="0" showErrorMessage="1" allowBlank="1" error="Codes : S, O, FOC, VR, RC, MOB, DEMOB." type="list" errorStyle="warning">
      <formula1>=Listes!$C$2:$C$8</formula1>
    </dataValidation>
  </dataValidations>
  <pageMargins left="0.3" right="0.3" top="0.35" bottom="0.4" header="0.5" footer="0.5"/>
  <pageSetup orientation="landscape" paperSize="9" scale="56"/>
  <headerFooter>
    <oddHeader/>
    <oddFooter>&amp;C&amp;8 Enedril · Service ticket · &amp;P / &amp;N</oddFooter>
    <evenHeader/>
    <evenFooter/>
    <firstHeader/>
    <firstFooter/>
  </headerFooter>
  <colBreaks count="2" manualBreakCount="2">
    <brk id="43" min="0" max="16383" man="1"/>
    <brk id="74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FB6CE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3" max="3"/>
  </cols>
  <sheetData>
    <row r="1">
      <c r="A1" s="54" t="inlineStr">
        <is>
          <t>Ingénieur Enedril</t>
        </is>
      </c>
      <c r="C1" s="54" t="inlineStr">
        <is>
          <t>Codes du calendrier</t>
        </is>
      </c>
      <c r="E1" s="54" t="inlineStr">
        <is>
          <t>Oui</t>
        </is>
      </c>
    </row>
    <row r="2">
      <c r="A2" t="inlineStr">
        <is>
          <t>Fabien JACQUOT</t>
        </is>
      </c>
      <c r="C2" t="inlineStr">
        <is>
          <t>S</t>
        </is>
      </c>
    </row>
    <row r="3">
      <c r="A3" t="inlineStr">
        <is>
          <t>Alexis ESTINES</t>
        </is>
      </c>
      <c r="C3" t="inlineStr">
        <is>
          <t>O</t>
        </is>
      </c>
    </row>
    <row r="4">
      <c r="A4" t="inlineStr">
        <is>
          <t>Paul HYNDERICK</t>
        </is>
      </c>
      <c r="C4" t="inlineStr">
        <is>
          <t>FOC</t>
        </is>
      </c>
    </row>
    <row r="5">
      <c r="A5" t="inlineStr">
        <is>
          <t>Céline CARDONA</t>
        </is>
      </c>
      <c r="C5" t="inlineStr">
        <is>
          <t>VR</t>
        </is>
      </c>
    </row>
    <row r="6">
      <c r="A6" t="inlineStr">
        <is>
          <t>Koen MONDELAERS</t>
        </is>
      </c>
      <c r="C6" t="inlineStr">
        <is>
          <t>RC</t>
        </is>
      </c>
    </row>
    <row r="7">
      <c r="A7" t="inlineStr">
        <is>
          <t>Luigi LIBERATORE</t>
        </is>
      </c>
      <c r="C7" t="inlineStr">
        <is>
          <t>MOB</t>
        </is>
      </c>
    </row>
    <row r="8">
      <c r="C8" t="inlineStr">
        <is>
          <t>DEMOB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2026-10-28T15:55:58Z</dcterms:created>
  <dcterms:modified xmlns:dcterms="http://purl.org/dc/terms/" xmlns:xsi="http://www.w3.org/2001/XMLSchema-instance" xsi:type="dcterms:W3CDTF">2026-10-28T15:55:58Z</dcterms:modified>
</cp:coreProperties>
</file>