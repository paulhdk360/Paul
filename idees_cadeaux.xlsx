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man-Frère-Copine &amp; famille" sheetId="1" state="visible" r:id="rId1"/>
    <sheet xmlns:r="http://schemas.openxmlformats.org/officeDocument/2006/relationships" name="Papa" sheetId="2" state="visible" r:id="rId2"/>
    <sheet xmlns:r="http://schemas.openxmlformats.org/officeDocument/2006/relationships" name="Ma wish list" sheetId="3" state="visible" r:id="rId3"/>
    <sheet xmlns:r="http://schemas.openxmlformats.org/officeDocument/2006/relationships" name="Récap" sheetId="4" state="visible" r:id="rId4"/>
    <sheet xmlns:r="http://schemas.openxmlformats.org/officeDocument/2006/relationships" name="Si je gagne - Début" sheetId="5" state="visible" r:id="rId5"/>
    <sheet xmlns:r="http://schemas.openxmlformats.org/officeDocument/2006/relationships" name="Si je gagne - Placements" sheetId="6" state="visible" r:id="rId6"/>
  </sheets>
  <definedNames>
    <definedName name="_xlnm._FilterDatabase" localSheetId="2" hidden="1">'Ma wish list'!$A$3:$G$40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€&quot;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77777"/>
    </font>
    <font>
      <b val="1"/>
      <color rgb="00FFFFFF"/>
    </font>
    <font>
      <b val="1"/>
    </font>
    <font>
      <color rgb="00999999"/>
    </font>
    <font>
      <b val="1"/>
      <sz val="16"/>
    </font>
    <font>
      <b val="1"/>
      <sz val="13"/>
    </font>
    <font>
      <i val="1"/>
    </font>
  </fonts>
  <fills count="10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04040"/>
      </patternFill>
    </fill>
    <fill>
      <patternFill patternType="solid">
        <fgColor rgb="00FFF8E5"/>
      </patternFill>
    </fill>
    <fill>
      <patternFill patternType="solid">
        <fgColor rgb="004F81BD"/>
      </patternFill>
    </fill>
    <fill>
      <patternFill patternType="solid">
        <fgColor rgb="00E69138"/>
      </patternFill>
    </fill>
    <fill>
      <patternFill patternType="solid">
        <fgColor rgb="00999999"/>
      </patternFill>
    </fill>
    <fill>
      <patternFill patternType="solid">
        <fgColor rgb="006AA84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0" fontId="3" fillId="7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8" borderId="0" pivotButton="0" quotePrefix="0" xfId="0"/>
    <xf numFmtId="0" fontId="7" fillId="0" borderId="0" pivotButton="0" quotePrefix="0" xfId="0"/>
    <xf numFmtId="164" fontId="0" fillId="9" borderId="0" pivotButton="0" quotePrefix="0" xfId="0"/>
    <xf numFmtId="9" fontId="0" fillId="9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4" fillId="0" borderId="0" pivotButton="0" quotePrefix="0" xfId="0"/>
    <xf numFmtId="164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D9EAD3"/>
        </patternFill>
      </fill>
    </dxf>
    <dxf>
      <fill>
        <patternFill patternType="solid"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6" customWidth="1" min="3" max="3"/>
    <col width="16" customWidth="1" min="4" max="4"/>
    <col width="32" customWidth="1" min="5" max="5"/>
  </cols>
  <sheetData>
    <row r="1" ht="30" customHeight="1">
      <c r="A1" s="1" t="inlineStr">
        <is>
          <t>🎁 Idées cadeaux – Maman-Frère-Copine &amp; famille</t>
        </is>
      </c>
    </row>
    <row r="2">
      <c r="A2" s="2" t="inlineStr">
        <is>
          <t>Lignes jaunes = automatiques depuis « Ma wish list » (statut et notes se modifient là-bas). Lignes blanches = tes idées perso.</t>
        </is>
      </c>
    </row>
    <row r="3">
      <c r="A3" s="3" t="inlineStr">
        <is>
          <t>Pour qui</t>
        </is>
      </c>
      <c r="B3" s="3" t="inlineStr">
        <is>
          <t>Idée cadeau</t>
        </is>
      </c>
      <c r="C3" s="3" t="inlineStr">
        <is>
          <t>Où l'acheter / lien</t>
        </is>
      </c>
      <c r="D3" s="3" t="inlineStr">
        <is>
          <t>Statut</t>
        </is>
      </c>
      <c r="E3" s="3" t="inlineStr">
        <is>
          <t>Notes</t>
        </is>
      </c>
    </row>
    <row r="4">
      <c r="A4" s="4">
        <f>IFERROR(INDEX('Ma wish list'!$E$4:$E$40,MATCH(1,'Ma wish list'!$I$4:$I$40,0))&amp;"","")</f>
        <v/>
      </c>
      <c r="B4" s="4">
        <f>IFERROR(INDEX('Ma wish list'!$A$4:$A$40,MATCH(1,'Ma wish list'!$I$4:$I$40,0))&amp;"","")</f>
        <v/>
      </c>
      <c r="C4" s="4">
        <f>IFERROR(INDEX('Ma wish list'!$D$4:$D$40,MATCH(1,'Ma wish list'!$I$4:$I$40,0))&amp;"","")</f>
        <v/>
      </c>
      <c r="D4" s="4">
        <f>IFERROR(INDEX('Ma wish list'!$F$4:$F$40,MATCH(1,'Ma wish list'!$I$4:$I$40,0))&amp;"","")</f>
        <v/>
      </c>
      <c r="E4" s="4">
        <f>IFERROR(INDEX('Ma wish list'!$G$4:$G$40,MATCH(1,'Ma wish list'!$I$4:$I$40,0))&amp;"","")</f>
        <v/>
      </c>
    </row>
    <row r="5">
      <c r="A5" s="4">
        <f>IFERROR(INDEX('Ma wish list'!$E$4:$E$40,MATCH(2,'Ma wish list'!$I$4:$I$40,0))&amp;"","")</f>
        <v/>
      </c>
      <c r="B5" s="4">
        <f>IFERROR(INDEX('Ma wish list'!$A$4:$A$40,MATCH(2,'Ma wish list'!$I$4:$I$40,0))&amp;"","")</f>
        <v/>
      </c>
      <c r="C5" s="4">
        <f>IFERROR(INDEX('Ma wish list'!$D$4:$D$40,MATCH(2,'Ma wish list'!$I$4:$I$40,0))&amp;"","")</f>
        <v/>
      </c>
      <c r="D5" s="4">
        <f>IFERROR(INDEX('Ma wish list'!$F$4:$F$40,MATCH(2,'Ma wish list'!$I$4:$I$40,0))&amp;"","")</f>
        <v/>
      </c>
      <c r="E5" s="4">
        <f>IFERROR(INDEX('Ma wish list'!$G$4:$G$40,MATCH(2,'Ma wish list'!$I$4:$I$40,0))&amp;"","")</f>
        <v/>
      </c>
    </row>
    <row r="6">
      <c r="A6" s="4">
        <f>IFERROR(INDEX('Ma wish list'!$E$4:$E$40,MATCH(3,'Ma wish list'!$I$4:$I$40,0))&amp;"","")</f>
        <v/>
      </c>
      <c r="B6" s="4">
        <f>IFERROR(INDEX('Ma wish list'!$A$4:$A$40,MATCH(3,'Ma wish list'!$I$4:$I$40,0))&amp;"","")</f>
        <v/>
      </c>
      <c r="C6" s="4">
        <f>IFERROR(INDEX('Ma wish list'!$D$4:$D$40,MATCH(3,'Ma wish list'!$I$4:$I$40,0))&amp;"","")</f>
        <v/>
      </c>
      <c r="D6" s="4">
        <f>IFERROR(INDEX('Ma wish list'!$F$4:$F$40,MATCH(3,'Ma wish list'!$I$4:$I$40,0))&amp;"","")</f>
        <v/>
      </c>
      <c r="E6" s="4">
        <f>IFERROR(INDEX('Ma wish list'!$G$4:$G$40,MATCH(3,'Ma wish list'!$I$4:$I$40,0))&amp;"","")</f>
        <v/>
      </c>
    </row>
    <row r="7">
      <c r="A7" s="4">
        <f>IFERROR(INDEX('Ma wish list'!$E$4:$E$40,MATCH(4,'Ma wish list'!$I$4:$I$40,0))&amp;"","")</f>
        <v/>
      </c>
      <c r="B7" s="4">
        <f>IFERROR(INDEX('Ma wish list'!$A$4:$A$40,MATCH(4,'Ma wish list'!$I$4:$I$40,0))&amp;"","")</f>
        <v/>
      </c>
      <c r="C7" s="4">
        <f>IFERROR(INDEX('Ma wish list'!$D$4:$D$40,MATCH(4,'Ma wish list'!$I$4:$I$40,0))&amp;"","")</f>
        <v/>
      </c>
      <c r="D7" s="4">
        <f>IFERROR(INDEX('Ma wish list'!$F$4:$F$40,MATCH(4,'Ma wish list'!$I$4:$I$40,0))&amp;"","")</f>
        <v/>
      </c>
      <c r="E7" s="4">
        <f>IFERROR(INDEX('Ma wish list'!$G$4:$G$40,MATCH(4,'Ma wish list'!$I$4:$I$40,0))&amp;"","")</f>
        <v/>
      </c>
    </row>
    <row r="8">
      <c r="A8" s="4">
        <f>IFERROR(INDEX('Ma wish list'!$E$4:$E$40,MATCH(5,'Ma wish list'!$I$4:$I$40,0))&amp;"","")</f>
        <v/>
      </c>
      <c r="B8" s="4">
        <f>IFERROR(INDEX('Ma wish list'!$A$4:$A$40,MATCH(5,'Ma wish list'!$I$4:$I$40,0))&amp;"","")</f>
        <v/>
      </c>
      <c r="C8" s="4">
        <f>IFERROR(INDEX('Ma wish list'!$D$4:$D$40,MATCH(5,'Ma wish list'!$I$4:$I$40,0))&amp;"","")</f>
        <v/>
      </c>
      <c r="D8" s="4">
        <f>IFERROR(INDEX('Ma wish list'!$F$4:$F$40,MATCH(5,'Ma wish list'!$I$4:$I$40,0))&amp;"","")</f>
        <v/>
      </c>
      <c r="E8" s="4">
        <f>IFERROR(INDEX('Ma wish list'!$G$4:$G$40,MATCH(5,'Ma wish list'!$I$4:$I$40,0))&amp;"","")</f>
        <v/>
      </c>
    </row>
    <row r="9">
      <c r="A9" s="4">
        <f>IFERROR(INDEX('Ma wish list'!$E$4:$E$40,MATCH(6,'Ma wish list'!$I$4:$I$40,0))&amp;"","")</f>
        <v/>
      </c>
      <c r="B9" s="4">
        <f>IFERROR(INDEX('Ma wish list'!$A$4:$A$40,MATCH(6,'Ma wish list'!$I$4:$I$40,0))&amp;"","")</f>
        <v/>
      </c>
      <c r="C9" s="4">
        <f>IFERROR(INDEX('Ma wish list'!$D$4:$D$40,MATCH(6,'Ma wish list'!$I$4:$I$40,0))&amp;"","")</f>
        <v/>
      </c>
      <c r="D9" s="4">
        <f>IFERROR(INDEX('Ma wish list'!$F$4:$F$40,MATCH(6,'Ma wish list'!$I$4:$I$40,0))&amp;"","")</f>
        <v/>
      </c>
      <c r="E9" s="4">
        <f>IFERROR(INDEX('Ma wish list'!$G$4:$G$40,MATCH(6,'Ma wish list'!$I$4:$I$40,0))&amp;"","")</f>
        <v/>
      </c>
    </row>
    <row r="10">
      <c r="A10" s="4">
        <f>IFERROR(INDEX('Ma wish list'!$E$4:$E$40,MATCH(7,'Ma wish list'!$I$4:$I$40,0))&amp;"","")</f>
        <v/>
      </c>
      <c r="B10" s="4">
        <f>IFERROR(INDEX('Ma wish list'!$A$4:$A$40,MATCH(7,'Ma wish list'!$I$4:$I$40,0))&amp;"","")</f>
        <v/>
      </c>
      <c r="C10" s="4">
        <f>IFERROR(INDEX('Ma wish list'!$D$4:$D$40,MATCH(7,'Ma wish list'!$I$4:$I$40,0))&amp;"","")</f>
        <v/>
      </c>
      <c r="D10" s="4">
        <f>IFERROR(INDEX('Ma wish list'!$F$4:$F$40,MATCH(7,'Ma wish list'!$I$4:$I$40,0))&amp;"","")</f>
        <v/>
      </c>
      <c r="E10" s="4">
        <f>IFERROR(INDEX('Ma wish list'!$G$4:$G$40,MATCH(7,'Ma wish list'!$I$4:$I$40,0))&amp;"","")</f>
        <v/>
      </c>
    </row>
    <row r="11">
      <c r="A11" s="4">
        <f>IFERROR(INDEX('Ma wish list'!$E$4:$E$40,MATCH(8,'Ma wish list'!$I$4:$I$40,0))&amp;"","")</f>
        <v/>
      </c>
      <c r="B11" s="4">
        <f>IFERROR(INDEX('Ma wish list'!$A$4:$A$40,MATCH(8,'Ma wish list'!$I$4:$I$40,0))&amp;"","")</f>
        <v/>
      </c>
      <c r="C11" s="4">
        <f>IFERROR(INDEX('Ma wish list'!$D$4:$D$40,MATCH(8,'Ma wish list'!$I$4:$I$40,0))&amp;"","")</f>
        <v/>
      </c>
      <c r="D11" s="4">
        <f>IFERROR(INDEX('Ma wish list'!$F$4:$F$40,MATCH(8,'Ma wish list'!$I$4:$I$40,0))&amp;"","")</f>
        <v/>
      </c>
      <c r="E11" s="4">
        <f>IFERROR(INDEX('Ma wish list'!$G$4:$G$40,MATCH(8,'Ma wish list'!$I$4:$I$40,0))&amp;"","")</f>
        <v/>
      </c>
    </row>
    <row r="12">
      <c r="A12" s="4">
        <f>IFERROR(INDEX('Ma wish list'!$E$4:$E$40,MATCH(9,'Ma wish list'!$I$4:$I$40,0))&amp;"","")</f>
        <v/>
      </c>
      <c r="B12" s="4">
        <f>IFERROR(INDEX('Ma wish list'!$A$4:$A$40,MATCH(9,'Ma wish list'!$I$4:$I$40,0))&amp;"","")</f>
        <v/>
      </c>
      <c r="C12" s="4">
        <f>IFERROR(INDEX('Ma wish list'!$D$4:$D$40,MATCH(9,'Ma wish list'!$I$4:$I$40,0))&amp;"","")</f>
        <v/>
      </c>
      <c r="D12" s="4">
        <f>IFERROR(INDEX('Ma wish list'!$F$4:$F$40,MATCH(9,'Ma wish list'!$I$4:$I$40,0))&amp;"","")</f>
        <v/>
      </c>
      <c r="E12" s="4">
        <f>IFERROR(INDEX('Ma wish list'!$G$4:$G$40,MATCH(9,'Ma wish list'!$I$4:$I$40,0))&amp;"","")</f>
        <v/>
      </c>
    </row>
    <row r="13">
      <c r="A13" s="4">
        <f>IFERROR(INDEX('Ma wish list'!$E$4:$E$40,MATCH(10,'Ma wish list'!$I$4:$I$40,0))&amp;"","")</f>
        <v/>
      </c>
      <c r="B13" s="4">
        <f>IFERROR(INDEX('Ma wish list'!$A$4:$A$40,MATCH(10,'Ma wish list'!$I$4:$I$40,0))&amp;"","")</f>
        <v/>
      </c>
      <c r="C13" s="4">
        <f>IFERROR(INDEX('Ma wish list'!$D$4:$D$40,MATCH(10,'Ma wish list'!$I$4:$I$40,0))&amp;"","")</f>
        <v/>
      </c>
      <c r="D13" s="4">
        <f>IFERROR(INDEX('Ma wish list'!$F$4:$F$40,MATCH(10,'Ma wish list'!$I$4:$I$40,0))&amp;"","")</f>
        <v/>
      </c>
      <c r="E13" s="4">
        <f>IFERROR(INDEX('Ma wish list'!$G$4:$G$40,MATCH(10,'Ma wish list'!$I$4:$I$40,0))&amp;"","")</f>
        <v/>
      </c>
    </row>
    <row r="14">
      <c r="A14" s="4">
        <f>IFERROR(INDEX('Ma wish list'!$E$4:$E$40,MATCH(11,'Ma wish list'!$I$4:$I$40,0))&amp;"","")</f>
        <v/>
      </c>
      <c r="B14" s="4">
        <f>IFERROR(INDEX('Ma wish list'!$A$4:$A$40,MATCH(11,'Ma wish list'!$I$4:$I$40,0))&amp;"","")</f>
        <v/>
      </c>
      <c r="C14" s="4">
        <f>IFERROR(INDEX('Ma wish list'!$D$4:$D$40,MATCH(11,'Ma wish list'!$I$4:$I$40,0))&amp;"","")</f>
        <v/>
      </c>
      <c r="D14" s="4">
        <f>IFERROR(INDEX('Ma wish list'!$F$4:$F$40,MATCH(11,'Ma wish list'!$I$4:$I$40,0))&amp;"","")</f>
        <v/>
      </c>
      <c r="E14" s="4">
        <f>IFERROR(INDEX('Ma wish list'!$G$4:$G$40,MATCH(11,'Ma wish list'!$I$4:$I$40,0))&amp;"","")</f>
        <v/>
      </c>
    </row>
    <row r="15">
      <c r="A15" s="4">
        <f>IFERROR(INDEX('Ma wish list'!$E$4:$E$40,MATCH(12,'Ma wish list'!$I$4:$I$40,0))&amp;"","")</f>
        <v/>
      </c>
      <c r="B15" s="4">
        <f>IFERROR(INDEX('Ma wish list'!$A$4:$A$40,MATCH(12,'Ma wish list'!$I$4:$I$40,0))&amp;"","")</f>
        <v/>
      </c>
      <c r="C15" s="4">
        <f>IFERROR(INDEX('Ma wish list'!$D$4:$D$40,MATCH(12,'Ma wish list'!$I$4:$I$40,0))&amp;"","")</f>
        <v/>
      </c>
      <c r="D15" s="4">
        <f>IFERROR(INDEX('Ma wish list'!$F$4:$F$40,MATCH(12,'Ma wish list'!$I$4:$I$40,0))&amp;"","")</f>
        <v/>
      </c>
      <c r="E15" s="4">
        <f>IFERROR(INDEX('Ma wish list'!$G$4:$G$40,MATCH(12,'Ma wish list'!$I$4:$I$40,0))&amp;"","")</f>
        <v/>
      </c>
    </row>
    <row r="16">
      <c r="A16" s="4">
        <f>IFERROR(INDEX('Ma wish list'!$E$4:$E$40,MATCH(13,'Ma wish list'!$I$4:$I$40,0))&amp;"","")</f>
        <v/>
      </c>
      <c r="B16" s="4">
        <f>IFERROR(INDEX('Ma wish list'!$A$4:$A$40,MATCH(13,'Ma wish list'!$I$4:$I$40,0))&amp;"","")</f>
        <v/>
      </c>
      <c r="C16" s="4">
        <f>IFERROR(INDEX('Ma wish list'!$D$4:$D$40,MATCH(13,'Ma wish list'!$I$4:$I$40,0))&amp;"","")</f>
        <v/>
      </c>
      <c r="D16" s="4">
        <f>IFERROR(INDEX('Ma wish list'!$F$4:$F$40,MATCH(13,'Ma wish list'!$I$4:$I$40,0))&amp;"","")</f>
        <v/>
      </c>
      <c r="E16" s="4">
        <f>IFERROR(INDEX('Ma wish list'!$G$4:$G$40,MATCH(13,'Ma wish list'!$I$4:$I$40,0))&amp;"","")</f>
        <v/>
      </c>
    </row>
    <row r="17">
      <c r="A17" s="4">
        <f>IFERROR(INDEX('Ma wish list'!$E$4:$E$40,MATCH(14,'Ma wish list'!$I$4:$I$40,0))&amp;"","")</f>
        <v/>
      </c>
      <c r="B17" s="4">
        <f>IFERROR(INDEX('Ma wish list'!$A$4:$A$40,MATCH(14,'Ma wish list'!$I$4:$I$40,0))&amp;"","")</f>
        <v/>
      </c>
      <c r="C17" s="4">
        <f>IFERROR(INDEX('Ma wish list'!$D$4:$D$40,MATCH(14,'Ma wish list'!$I$4:$I$40,0))&amp;"","")</f>
        <v/>
      </c>
      <c r="D17" s="4">
        <f>IFERROR(INDEX('Ma wish list'!$F$4:$F$40,MATCH(14,'Ma wish list'!$I$4:$I$40,0))&amp;"","")</f>
        <v/>
      </c>
      <c r="E17" s="4">
        <f>IFERROR(INDEX('Ma wish list'!$G$4:$G$40,MATCH(14,'Ma wish list'!$I$4:$I$40,0))&amp;"","")</f>
        <v/>
      </c>
    </row>
    <row r="18">
      <c r="A18" s="4">
        <f>IFERROR(INDEX('Ma wish list'!$E$4:$E$40,MATCH(15,'Ma wish list'!$I$4:$I$40,0))&amp;"","")</f>
        <v/>
      </c>
      <c r="B18" s="4">
        <f>IFERROR(INDEX('Ma wish list'!$A$4:$A$40,MATCH(15,'Ma wish list'!$I$4:$I$40,0))&amp;"","")</f>
        <v/>
      </c>
      <c r="C18" s="4">
        <f>IFERROR(INDEX('Ma wish list'!$D$4:$D$40,MATCH(15,'Ma wish list'!$I$4:$I$40,0))&amp;"","")</f>
        <v/>
      </c>
      <c r="D18" s="4">
        <f>IFERROR(INDEX('Ma wish list'!$F$4:$F$40,MATCH(15,'Ma wish list'!$I$4:$I$40,0))&amp;"","")</f>
        <v/>
      </c>
      <c r="E18" s="4">
        <f>IFERROR(INDEX('Ma wish list'!$G$4:$G$40,MATCH(15,'Ma wish list'!$I$4:$I$40,0))&amp;"","")</f>
        <v/>
      </c>
    </row>
    <row r="19">
      <c r="A19" s="4">
        <f>IFERROR(INDEX('Ma wish list'!$E$4:$E$40,MATCH(16,'Ma wish list'!$I$4:$I$40,0))&amp;"","")</f>
        <v/>
      </c>
      <c r="B19" s="4">
        <f>IFERROR(INDEX('Ma wish list'!$A$4:$A$40,MATCH(16,'Ma wish list'!$I$4:$I$40,0))&amp;"","")</f>
        <v/>
      </c>
      <c r="C19" s="4">
        <f>IFERROR(INDEX('Ma wish list'!$D$4:$D$40,MATCH(16,'Ma wish list'!$I$4:$I$40,0))&amp;"","")</f>
        <v/>
      </c>
      <c r="D19" s="4">
        <f>IFERROR(INDEX('Ma wish list'!$F$4:$F$40,MATCH(16,'Ma wish list'!$I$4:$I$40,0))&amp;"","")</f>
        <v/>
      </c>
      <c r="E19" s="4">
        <f>IFERROR(INDEX('Ma wish list'!$G$4:$G$40,MATCH(16,'Ma wish list'!$I$4:$I$40,0))&amp;"","")</f>
        <v/>
      </c>
    </row>
    <row r="20">
      <c r="A20" s="4">
        <f>IFERROR(INDEX('Ma wish list'!$E$4:$E$40,MATCH(17,'Ma wish list'!$I$4:$I$40,0))&amp;"","")</f>
        <v/>
      </c>
      <c r="B20" s="4">
        <f>IFERROR(INDEX('Ma wish list'!$A$4:$A$40,MATCH(17,'Ma wish list'!$I$4:$I$40,0))&amp;"","")</f>
        <v/>
      </c>
      <c r="C20" s="4">
        <f>IFERROR(INDEX('Ma wish list'!$D$4:$D$40,MATCH(17,'Ma wish list'!$I$4:$I$40,0))&amp;"","")</f>
        <v/>
      </c>
      <c r="D20" s="4">
        <f>IFERROR(INDEX('Ma wish list'!$F$4:$F$40,MATCH(17,'Ma wish list'!$I$4:$I$40,0))&amp;"","")</f>
        <v/>
      </c>
      <c r="E20" s="4">
        <f>IFERROR(INDEX('Ma wish list'!$G$4:$G$40,MATCH(17,'Ma wish list'!$I$4:$I$40,0))&amp;"","")</f>
        <v/>
      </c>
    </row>
    <row r="21">
      <c r="A21" s="4">
        <f>IFERROR(INDEX('Ma wish list'!$E$4:$E$40,MATCH(18,'Ma wish list'!$I$4:$I$40,0))&amp;"","")</f>
        <v/>
      </c>
      <c r="B21" s="4">
        <f>IFERROR(INDEX('Ma wish list'!$A$4:$A$40,MATCH(18,'Ma wish list'!$I$4:$I$40,0))&amp;"","")</f>
        <v/>
      </c>
      <c r="C21" s="4">
        <f>IFERROR(INDEX('Ma wish list'!$D$4:$D$40,MATCH(18,'Ma wish list'!$I$4:$I$40,0))&amp;"","")</f>
        <v/>
      </c>
      <c r="D21" s="4">
        <f>IFERROR(INDEX('Ma wish list'!$F$4:$F$40,MATCH(18,'Ma wish list'!$I$4:$I$40,0))&amp;"","")</f>
        <v/>
      </c>
      <c r="E21" s="4">
        <f>IFERROR(INDEX('Ma wish list'!$G$4:$G$40,MATCH(18,'Ma wish list'!$I$4:$I$40,0))&amp;"","")</f>
        <v/>
      </c>
    </row>
    <row r="22">
      <c r="A22" s="4">
        <f>IFERROR(INDEX('Ma wish list'!$E$4:$E$40,MATCH(19,'Ma wish list'!$I$4:$I$40,0))&amp;"","")</f>
        <v/>
      </c>
      <c r="B22" s="4">
        <f>IFERROR(INDEX('Ma wish list'!$A$4:$A$40,MATCH(19,'Ma wish list'!$I$4:$I$40,0))&amp;"","")</f>
        <v/>
      </c>
      <c r="C22" s="4">
        <f>IFERROR(INDEX('Ma wish list'!$D$4:$D$40,MATCH(19,'Ma wish list'!$I$4:$I$40,0))&amp;"","")</f>
        <v/>
      </c>
      <c r="D22" s="4">
        <f>IFERROR(INDEX('Ma wish list'!$F$4:$F$40,MATCH(19,'Ma wish list'!$I$4:$I$40,0))&amp;"","")</f>
        <v/>
      </c>
      <c r="E22" s="4">
        <f>IFERROR(INDEX('Ma wish list'!$G$4:$G$40,MATCH(19,'Ma wish list'!$I$4:$I$40,0))&amp;"","")</f>
        <v/>
      </c>
    </row>
    <row r="23">
      <c r="A23" s="4">
        <f>IFERROR(INDEX('Ma wish list'!$E$4:$E$40,MATCH(20,'Ma wish list'!$I$4:$I$40,0))&amp;"","")</f>
        <v/>
      </c>
      <c r="B23" s="4">
        <f>IFERROR(INDEX('Ma wish list'!$A$4:$A$40,MATCH(20,'Ma wish list'!$I$4:$I$40,0))&amp;"","")</f>
        <v/>
      </c>
      <c r="C23" s="4">
        <f>IFERROR(INDEX('Ma wish list'!$D$4:$D$40,MATCH(20,'Ma wish list'!$I$4:$I$40,0))&amp;"","")</f>
        <v/>
      </c>
      <c r="D23" s="4">
        <f>IFERROR(INDEX('Ma wish list'!$F$4:$F$40,MATCH(20,'Ma wish list'!$I$4:$I$40,0))&amp;"","")</f>
        <v/>
      </c>
      <c r="E23" s="4">
        <f>IFERROR(INDEX('Ma wish list'!$G$4:$G$40,MATCH(20,'Ma wish list'!$I$4:$I$40,0))&amp;"","")</f>
        <v/>
      </c>
    </row>
    <row r="24">
      <c r="A24" s="4">
        <f>IFERROR(INDEX('Ma wish list'!$E$4:$E$40,MATCH(21,'Ma wish list'!$I$4:$I$40,0))&amp;"","")</f>
        <v/>
      </c>
      <c r="B24" s="4">
        <f>IFERROR(INDEX('Ma wish list'!$A$4:$A$40,MATCH(21,'Ma wish list'!$I$4:$I$40,0))&amp;"","")</f>
        <v/>
      </c>
      <c r="C24" s="4">
        <f>IFERROR(INDEX('Ma wish list'!$D$4:$D$40,MATCH(21,'Ma wish list'!$I$4:$I$40,0))&amp;"","")</f>
        <v/>
      </c>
      <c r="D24" s="4">
        <f>IFERROR(INDEX('Ma wish list'!$F$4:$F$40,MATCH(21,'Ma wish list'!$I$4:$I$40,0))&amp;"","")</f>
        <v/>
      </c>
      <c r="E24" s="4">
        <f>IFERROR(INDEX('Ma wish list'!$G$4:$G$40,MATCH(21,'Ma wish list'!$I$4:$I$40,0))&amp;"","")</f>
        <v/>
      </c>
    </row>
    <row r="25">
      <c r="A25" s="4">
        <f>IFERROR(INDEX('Ma wish list'!$E$4:$E$40,MATCH(22,'Ma wish list'!$I$4:$I$40,0))&amp;"","")</f>
        <v/>
      </c>
      <c r="B25" s="4">
        <f>IFERROR(INDEX('Ma wish list'!$A$4:$A$40,MATCH(22,'Ma wish list'!$I$4:$I$40,0))&amp;"","")</f>
        <v/>
      </c>
      <c r="C25" s="4">
        <f>IFERROR(INDEX('Ma wish list'!$D$4:$D$40,MATCH(22,'Ma wish list'!$I$4:$I$40,0))&amp;"","")</f>
        <v/>
      </c>
      <c r="D25" s="4">
        <f>IFERROR(INDEX('Ma wish list'!$F$4:$F$40,MATCH(22,'Ma wish list'!$I$4:$I$40,0))&amp;"","")</f>
        <v/>
      </c>
      <c r="E25" s="4">
        <f>IFERROR(INDEX('Ma wish list'!$G$4:$G$40,MATCH(22,'Ma wish list'!$I$4:$I$40,0))&amp;"","")</f>
        <v/>
      </c>
    </row>
    <row r="26">
      <c r="A26" s="4">
        <f>IFERROR(INDEX('Ma wish list'!$E$4:$E$40,MATCH(23,'Ma wish list'!$I$4:$I$40,0))&amp;"","")</f>
        <v/>
      </c>
      <c r="B26" s="4">
        <f>IFERROR(INDEX('Ma wish list'!$A$4:$A$40,MATCH(23,'Ma wish list'!$I$4:$I$40,0))&amp;"","")</f>
        <v/>
      </c>
      <c r="C26" s="4">
        <f>IFERROR(INDEX('Ma wish list'!$D$4:$D$40,MATCH(23,'Ma wish list'!$I$4:$I$40,0))&amp;"","")</f>
        <v/>
      </c>
      <c r="D26" s="4">
        <f>IFERROR(INDEX('Ma wish list'!$F$4:$F$40,MATCH(23,'Ma wish list'!$I$4:$I$40,0))&amp;"","")</f>
        <v/>
      </c>
      <c r="E26" s="4">
        <f>IFERROR(INDEX('Ma wish list'!$G$4:$G$40,MATCH(23,'Ma wish list'!$I$4:$I$40,0))&amp;"","")</f>
        <v/>
      </c>
    </row>
    <row r="27">
      <c r="A27" s="4">
        <f>IFERROR(INDEX('Ma wish list'!$E$4:$E$40,MATCH(24,'Ma wish list'!$I$4:$I$40,0))&amp;"","")</f>
        <v/>
      </c>
      <c r="B27" s="4">
        <f>IFERROR(INDEX('Ma wish list'!$A$4:$A$40,MATCH(24,'Ma wish list'!$I$4:$I$40,0))&amp;"","")</f>
        <v/>
      </c>
      <c r="C27" s="4">
        <f>IFERROR(INDEX('Ma wish list'!$D$4:$D$40,MATCH(24,'Ma wish list'!$I$4:$I$40,0))&amp;"","")</f>
        <v/>
      </c>
      <c r="D27" s="4">
        <f>IFERROR(INDEX('Ma wish list'!$F$4:$F$40,MATCH(24,'Ma wish list'!$I$4:$I$40,0))&amp;"","")</f>
        <v/>
      </c>
      <c r="E27" s="4">
        <f>IFERROR(INDEX('Ma wish list'!$G$4:$G$40,MATCH(24,'Ma wish list'!$I$4:$I$40,0))&amp;"","")</f>
        <v/>
      </c>
    </row>
    <row r="28">
      <c r="A28" s="4">
        <f>IFERROR(INDEX('Ma wish list'!$E$4:$E$40,MATCH(25,'Ma wish list'!$I$4:$I$40,0))&amp;"","")</f>
        <v/>
      </c>
      <c r="B28" s="4">
        <f>IFERROR(INDEX('Ma wish list'!$A$4:$A$40,MATCH(25,'Ma wish list'!$I$4:$I$40,0))&amp;"","")</f>
        <v/>
      </c>
      <c r="C28" s="4">
        <f>IFERROR(INDEX('Ma wish list'!$D$4:$D$40,MATCH(25,'Ma wish list'!$I$4:$I$40,0))&amp;"","")</f>
        <v/>
      </c>
      <c r="D28" s="4">
        <f>IFERROR(INDEX('Ma wish list'!$F$4:$F$40,MATCH(25,'Ma wish list'!$I$4:$I$40,0))&amp;"","")</f>
        <v/>
      </c>
      <c r="E28" s="4">
        <f>IFERROR(INDEX('Ma wish list'!$G$4:$G$40,MATCH(25,'Ma wish list'!$I$4:$I$40,0))&amp;"","")</f>
        <v/>
      </c>
    </row>
    <row r="29">
      <c r="A29" s="4">
        <f>IFERROR(INDEX('Ma wish list'!$E$4:$E$40,MATCH(26,'Ma wish list'!$I$4:$I$40,0))&amp;"","")</f>
        <v/>
      </c>
      <c r="B29" s="4">
        <f>IFERROR(INDEX('Ma wish list'!$A$4:$A$40,MATCH(26,'Ma wish list'!$I$4:$I$40,0))&amp;"","")</f>
        <v/>
      </c>
      <c r="C29" s="4">
        <f>IFERROR(INDEX('Ma wish list'!$D$4:$D$40,MATCH(26,'Ma wish list'!$I$4:$I$40,0))&amp;"","")</f>
        <v/>
      </c>
      <c r="D29" s="4">
        <f>IFERROR(INDEX('Ma wish list'!$F$4:$F$40,MATCH(26,'Ma wish list'!$I$4:$I$40,0))&amp;"","")</f>
        <v/>
      </c>
      <c r="E29" s="4">
        <f>IFERROR(INDEX('Ma wish list'!$G$4:$G$40,MATCH(26,'Ma wish list'!$I$4:$I$40,0))&amp;"","")</f>
        <v/>
      </c>
    </row>
    <row r="30">
      <c r="A30" s="4">
        <f>IFERROR(INDEX('Ma wish list'!$E$4:$E$40,MATCH(27,'Ma wish list'!$I$4:$I$40,0))&amp;"","")</f>
        <v/>
      </c>
      <c r="B30" s="4">
        <f>IFERROR(INDEX('Ma wish list'!$A$4:$A$40,MATCH(27,'Ma wish list'!$I$4:$I$40,0))&amp;"","")</f>
        <v/>
      </c>
      <c r="C30" s="4">
        <f>IFERROR(INDEX('Ma wish list'!$D$4:$D$40,MATCH(27,'Ma wish list'!$I$4:$I$40,0))&amp;"","")</f>
        <v/>
      </c>
      <c r="D30" s="4">
        <f>IFERROR(INDEX('Ma wish list'!$F$4:$F$40,MATCH(27,'Ma wish list'!$I$4:$I$40,0))&amp;"","")</f>
        <v/>
      </c>
      <c r="E30" s="4">
        <f>IFERROR(INDEX('Ma wish list'!$G$4:$G$40,MATCH(27,'Ma wish list'!$I$4:$I$40,0))&amp;"","")</f>
        <v/>
      </c>
    </row>
    <row r="31">
      <c r="A31" s="4">
        <f>IFERROR(INDEX('Ma wish list'!$E$4:$E$40,MATCH(28,'Ma wish list'!$I$4:$I$40,0))&amp;"","")</f>
        <v/>
      </c>
      <c r="B31" s="4">
        <f>IFERROR(INDEX('Ma wish list'!$A$4:$A$40,MATCH(28,'Ma wish list'!$I$4:$I$40,0))&amp;"","")</f>
        <v/>
      </c>
      <c r="C31" s="4">
        <f>IFERROR(INDEX('Ma wish list'!$D$4:$D$40,MATCH(28,'Ma wish list'!$I$4:$I$40,0))&amp;"","")</f>
        <v/>
      </c>
      <c r="D31" s="4">
        <f>IFERROR(INDEX('Ma wish list'!$F$4:$F$40,MATCH(28,'Ma wish list'!$I$4:$I$40,0))&amp;"","")</f>
        <v/>
      </c>
      <c r="E31" s="4">
        <f>IFERROR(INDEX('Ma wish list'!$G$4:$G$40,MATCH(28,'Ma wish list'!$I$4:$I$40,0))&amp;"","")</f>
        <v/>
      </c>
    </row>
    <row r="32">
      <c r="A32" s="4">
        <f>IFERROR(INDEX('Ma wish list'!$E$4:$E$40,MATCH(29,'Ma wish list'!$I$4:$I$40,0))&amp;"","")</f>
        <v/>
      </c>
      <c r="B32" s="4">
        <f>IFERROR(INDEX('Ma wish list'!$A$4:$A$40,MATCH(29,'Ma wish list'!$I$4:$I$40,0))&amp;"","")</f>
        <v/>
      </c>
      <c r="C32" s="4">
        <f>IFERROR(INDEX('Ma wish list'!$D$4:$D$40,MATCH(29,'Ma wish list'!$I$4:$I$40,0))&amp;"","")</f>
        <v/>
      </c>
      <c r="D32" s="4">
        <f>IFERROR(INDEX('Ma wish list'!$F$4:$F$40,MATCH(29,'Ma wish list'!$I$4:$I$40,0))&amp;"","")</f>
        <v/>
      </c>
      <c r="E32" s="4">
        <f>IFERROR(INDEX('Ma wish list'!$G$4:$G$40,MATCH(29,'Ma wish list'!$I$4:$I$40,0))&amp;"","")</f>
        <v/>
      </c>
    </row>
    <row r="33">
      <c r="A33" s="4">
        <f>IFERROR(INDEX('Ma wish list'!$E$4:$E$40,MATCH(30,'Ma wish list'!$I$4:$I$40,0))&amp;"","")</f>
        <v/>
      </c>
      <c r="B33" s="4">
        <f>IFERROR(INDEX('Ma wish list'!$A$4:$A$40,MATCH(30,'Ma wish list'!$I$4:$I$40,0))&amp;"","")</f>
        <v/>
      </c>
      <c r="C33" s="4">
        <f>IFERROR(INDEX('Ma wish list'!$D$4:$D$40,MATCH(30,'Ma wish list'!$I$4:$I$40,0))&amp;"","")</f>
        <v/>
      </c>
      <c r="D33" s="4">
        <f>IFERROR(INDEX('Ma wish list'!$F$4:$F$40,MATCH(30,'Ma wish list'!$I$4:$I$40,0))&amp;"","")</f>
        <v/>
      </c>
      <c r="E33" s="4">
        <f>IFERROR(INDEX('Ma wish list'!$G$4:$G$40,MATCH(30,'Ma wish list'!$I$4:$I$40,0))&amp;"","")</f>
        <v/>
      </c>
    </row>
    <row r="34">
      <c r="A34" s="5" t="inlineStr">
        <is>
          <t>✏️ Mes idées perso</t>
        </is>
      </c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</sheetData>
  <mergeCells count="1">
    <mergeCell ref="A1:E1"/>
  </mergeCells>
  <conditionalFormatting sqref="A4:E59">
    <cfRule type="expression" priority="1" dxfId="0">
      <formula>$D4="✅ Offert"</formula>
    </cfRule>
    <cfRule type="expression" priority="2" dxfId="1">
      <formula>$D4="🎁 Emballé"</formula>
    </cfRule>
  </conditionalFormatting>
  <dataValidations count="2">
    <dataValidation sqref="D35:D59" showDropDown="0" showInputMessage="0" showErrorMessage="0" allowBlank="1" type="list">
      <formula1>"💡 Idée,🔎 À trouver,🛒 Acheté,🎁 Emballé,✅ Offert"</formula1>
    </dataValidation>
    <dataValidation sqref="A35:A59" showDropDown="0" showInputMessage="0" showErrorMessage="0" allowBlank="1" type="list">
      <formula1>"Maman,Mon frère,Ma copine,Mère de ma copine,Père de ma copine,Frère/Sœur de ma copine"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36" customWidth="1" min="3" max="3"/>
    <col width="16" customWidth="1" min="4" max="4"/>
    <col width="32" customWidth="1" min="5" max="5"/>
  </cols>
  <sheetData>
    <row r="1" ht="30" customHeight="1">
      <c r="A1" s="7" t="inlineStr">
        <is>
          <t>🎁 Idées cadeaux – Papa</t>
        </is>
      </c>
    </row>
    <row r="2">
      <c r="A2" s="2" t="inlineStr">
        <is>
          <t>Lignes jaunes = automatiques depuis « Ma wish list » (statut et notes se modifient là-bas). Lignes blanches = tes idées perso.</t>
        </is>
      </c>
    </row>
    <row r="3">
      <c r="A3" s="3" t="inlineStr">
        <is>
          <t>Pour qui</t>
        </is>
      </c>
      <c r="B3" s="3" t="inlineStr">
        <is>
          <t>Idée cadeau</t>
        </is>
      </c>
      <c r="C3" s="3" t="inlineStr">
        <is>
          <t>Où l'acheter / lien</t>
        </is>
      </c>
      <c r="D3" s="3" t="inlineStr">
        <is>
          <t>Statut</t>
        </is>
      </c>
      <c r="E3" s="3" t="inlineStr">
        <is>
          <t>Notes</t>
        </is>
      </c>
    </row>
    <row r="4">
      <c r="A4" s="4">
        <f>IFERROR(INDEX('Ma wish list'!$E$4:$E$40,MATCH(1,'Ma wish list'!$H$4:$H$40,0))&amp;"","")</f>
        <v/>
      </c>
      <c r="B4" s="4">
        <f>IFERROR(INDEX('Ma wish list'!$A$4:$A$40,MATCH(1,'Ma wish list'!$H$4:$H$40,0))&amp;"","")</f>
        <v/>
      </c>
      <c r="C4" s="4">
        <f>IFERROR(INDEX('Ma wish list'!$D$4:$D$40,MATCH(1,'Ma wish list'!$H$4:$H$40,0))&amp;"","")</f>
        <v/>
      </c>
      <c r="D4" s="4">
        <f>IFERROR(INDEX('Ma wish list'!$F$4:$F$40,MATCH(1,'Ma wish list'!$H$4:$H$40,0))&amp;"","")</f>
        <v/>
      </c>
      <c r="E4" s="4">
        <f>IFERROR(INDEX('Ma wish list'!$G$4:$G$40,MATCH(1,'Ma wish list'!$H$4:$H$40,0))&amp;"","")</f>
        <v/>
      </c>
    </row>
    <row r="5">
      <c r="A5" s="4">
        <f>IFERROR(INDEX('Ma wish list'!$E$4:$E$40,MATCH(2,'Ma wish list'!$H$4:$H$40,0))&amp;"","")</f>
        <v/>
      </c>
      <c r="B5" s="4">
        <f>IFERROR(INDEX('Ma wish list'!$A$4:$A$40,MATCH(2,'Ma wish list'!$H$4:$H$40,0))&amp;"","")</f>
        <v/>
      </c>
      <c r="C5" s="4">
        <f>IFERROR(INDEX('Ma wish list'!$D$4:$D$40,MATCH(2,'Ma wish list'!$H$4:$H$40,0))&amp;"","")</f>
        <v/>
      </c>
      <c r="D5" s="4">
        <f>IFERROR(INDEX('Ma wish list'!$F$4:$F$40,MATCH(2,'Ma wish list'!$H$4:$H$40,0))&amp;"","")</f>
        <v/>
      </c>
      <c r="E5" s="4">
        <f>IFERROR(INDEX('Ma wish list'!$G$4:$G$40,MATCH(2,'Ma wish list'!$H$4:$H$40,0))&amp;"","")</f>
        <v/>
      </c>
    </row>
    <row r="6">
      <c r="A6" s="4">
        <f>IFERROR(INDEX('Ma wish list'!$E$4:$E$40,MATCH(3,'Ma wish list'!$H$4:$H$40,0))&amp;"","")</f>
        <v/>
      </c>
      <c r="B6" s="4">
        <f>IFERROR(INDEX('Ma wish list'!$A$4:$A$40,MATCH(3,'Ma wish list'!$H$4:$H$40,0))&amp;"","")</f>
        <v/>
      </c>
      <c r="C6" s="4">
        <f>IFERROR(INDEX('Ma wish list'!$D$4:$D$40,MATCH(3,'Ma wish list'!$H$4:$H$40,0))&amp;"","")</f>
        <v/>
      </c>
      <c r="D6" s="4">
        <f>IFERROR(INDEX('Ma wish list'!$F$4:$F$40,MATCH(3,'Ma wish list'!$H$4:$H$40,0))&amp;"","")</f>
        <v/>
      </c>
      <c r="E6" s="4">
        <f>IFERROR(INDEX('Ma wish list'!$G$4:$G$40,MATCH(3,'Ma wish list'!$H$4:$H$40,0))&amp;"","")</f>
        <v/>
      </c>
    </row>
    <row r="7">
      <c r="A7" s="4">
        <f>IFERROR(INDEX('Ma wish list'!$E$4:$E$40,MATCH(4,'Ma wish list'!$H$4:$H$40,0))&amp;"","")</f>
        <v/>
      </c>
      <c r="B7" s="4">
        <f>IFERROR(INDEX('Ma wish list'!$A$4:$A$40,MATCH(4,'Ma wish list'!$H$4:$H$40,0))&amp;"","")</f>
        <v/>
      </c>
      <c r="C7" s="4">
        <f>IFERROR(INDEX('Ma wish list'!$D$4:$D$40,MATCH(4,'Ma wish list'!$H$4:$H$40,0))&amp;"","")</f>
        <v/>
      </c>
      <c r="D7" s="4">
        <f>IFERROR(INDEX('Ma wish list'!$F$4:$F$40,MATCH(4,'Ma wish list'!$H$4:$H$40,0))&amp;"","")</f>
        <v/>
      </c>
      <c r="E7" s="4">
        <f>IFERROR(INDEX('Ma wish list'!$G$4:$G$40,MATCH(4,'Ma wish list'!$H$4:$H$40,0))&amp;"","")</f>
        <v/>
      </c>
    </row>
    <row r="8">
      <c r="A8" s="4">
        <f>IFERROR(INDEX('Ma wish list'!$E$4:$E$40,MATCH(5,'Ma wish list'!$H$4:$H$40,0))&amp;"","")</f>
        <v/>
      </c>
      <c r="B8" s="4">
        <f>IFERROR(INDEX('Ma wish list'!$A$4:$A$40,MATCH(5,'Ma wish list'!$H$4:$H$40,0))&amp;"","")</f>
        <v/>
      </c>
      <c r="C8" s="4">
        <f>IFERROR(INDEX('Ma wish list'!$D$4:$D$40,MATCH(5,'Ma wish list'!$H$4:$H$40,0))&amp;"","")</f>
        <v/>
      </c>
      <c r="D8" s="4">
        <f>IFERROR(INDEX('Ma wish list'!$F$4:$F$40,MATCH(5,'Ma wish list'!$H$4:$H$40,0))&amp;"","")</f>
        <v/>
      </c>
      <c r="E8" s="4">
        <f>IFERROR(INDEX('Ma wish list'!$G$4:$G$40,MATCH(5,'Ma wish list'!$H$4:$H$40,0))&amp;"","")</f>
        <v/>
      </c>
    </row>
    <row r="9">
      <c r="A9" s="4">
        <f>IFERROR(INDEX('Ma wish list'!$E$4:$E$40,MATCH(6,'Ma wish list'!$H$4:$H$40,0))&amp;"","")</f>
        <v/>
      </c>
      <c r="B9" s="4">
        <f>IFERROR(INDEX('Ma wish list'!$A$4:$A$40,MATCH(6,'Ma wish list'!$H$4:$H$40,0))&amp;"","")</f>
        <v/>
      </c>
      <c r="C9" s="4">
        <f>IFERROR(INDEX('Ma wish list'!$D$4:$D$40,MATCH(6,'Ma wish list'!$H$4:$H$40,0))&amp;"","")</f>
        <v/>
      </c>
      <c r="D9" s="4">
        <f>IFERROR(INDEX('Ma wish list'!$F$4:$F$40,MATCH(6,'Ma wish list'!$H$4:$H$40,0))&amp;"","")</f>
        <v/>
      </c>
      <c r="E9" s="4">
        <f>IFERROR(INDEX('Ma wish list'!$G$4:$G$40,MATCH(6,'Ma wish list'!$H$4:$H$40,0))&amp;"","")</f>
        <v/>
      </c>
    </row>
    <row r="10">
      <c r="A10" s="4">
        <f>IFERROR(INDEX('Ma wish list'!$E$4:$E$40,MATCH(7,'Ma wish list'!$H$4:$H$40,0))&amp;"","")</f>
        <v/>
      </c>
      <c r="B10" s="4">
        <f>IFERROR(INDEX('Ma wish list'!$A$4:$A$40,MATCH(7,'Ma wish list'!$H$4:$H$40,0))&amp;"","")</f>
        <v/>
      </c>
      <c r="C10" s="4">
        <f>IFERROR(INDEX('Ma wish list'!$D$4:$D$40,MATCH(7,'Ma wish list'!$H$4:$H$40,0))&amp;"","")</f>
        <v/>
      </c>
      <c r="D10" s="4">
        <f>IFERROR(INDEX('Ma wish list'!$F$4:$F$40,MATCH(7,'Ma wish list'!$H$4:$H$40,0))&amp;"","")</f>
        <v/>
      </c>
      <c r="E10" s="4">
        <f>IFERROR(INDEX('Ma wish list'!$G$4:$G$40,MATCH(7,'Ma wish list'!$H$4:$H$40,0))&amp;"","")</f>
        <v/>
      </c>
    </row>
    <row r="11">
      <c r="A11" s="4">
        <f>IFERROR(INDEX('Ma wish list'!$E$4:$E$40,MATCH(8,'Ma wish list'!$H$4:$H$40,0))&amp;"","")</f>
        <v/>
      </c>
      <c r="B11" s="4">
        <f>IFERROR(INDEX('Ma wish list'!$A$4:$A$40,MATCH(8,'Ma wish list'!$H$4:$H$40,0))&amp;"","")</f>
        <v/>
      </c>
      <c r="C11" s="4">
        <f>IFERROR(INDEX('Ma wish list'!$D$4:$D$40,MATCH(8,'Ma wish list'!$H$4:$H$40,0))&amp;"","")</f>
        <v/>
      </c>
      <c r="D11" s="4">
        <f>IFERROR(INDEX('Ma wish list'!$F$4:$F$40,MATCH(8,'Ma wish list'!$H$4:$H$40,0))&amp;"","")</f>
        <v/>
      </c>
      <c r="E11" s="4">
        <f>IFERROR(INDEX('Ma wish list'!$G$4:$G$40,MATCH(8,'Ma wish list'!$H$4:$H$40,0))&amp;"","")</f>
        <v/>
      </c>
    </row>
    <row r="12">
      <c r="A12" s="4">
        <f>IFERROR(INDEX('Ma wish list'!$E$4:$E$40,MATCH(9,'Ma wish list'!$H$4:$H$40,0))&amp;"","")</f>
        <v/>
      </c>
      <c r="B12" s="4">
        <f>IFERROR(INDEX('Ma wish list'!$A$4:$A$40,MATCH(9,'Ma wish list'!$H$4:$H$40,0))&amp;"","")</f>
        <v/>
      </c>
      <c r="C12" s="4">
        <f>IFERROR(INDEX('Ma wish list'!$D$4:$D$40,MATCH(9,'Ma wish list'!$H$4:$H$40,0))&amp;"","")</f>
        <v/>
      </c>
      <c r="D12" s="4">
        <f>IFERROR(INDEX('Ma wish list'!$F$4:$F$40,MATCH(9,'Ma wish list'!$H$4:$H$40,0))&amp;"","")</f>
        <v/>
      </c>
      <c r="E12" s="4">
        <f>IFERROR(INDEX('Ma wish list'!$G$4:$G$40,MATCH(9,'Ma wish list'!$H$4:$H$40,0))&amp;"","")</f>
        <v/>
      </c>
    </row>
    <row r="13">
      <c r="A13" s="4">
        <f>IFERROR(INDEX('Ma wish list'!$E$4:$E$40,MATCH(10,'Ma wish list'!$H$4:$H$40,0))&amp;"","")</f>
        <v/>
      </c>
      <c r="B13" s="4">
        <f>IFERROR(INDEX('Ma wish list'!$A$4:$A$40,MATCH(10,'Ma wish list'!$H$4:$H$40,0))&amp;"","")</f>
        <v/>
      </c>
      <c r="C13" s="4">
        <f>IFERROR(INDEX('Ma wish list'!$D$4:$D$40,MATCH(10,'Ma wish list'!$H$4:$H$40,0))&amp;"","")</f>
        <v/>
      </c>
      <c r="D13" s="4">
        <f>IFERROR(INDEX('Ma wish list'!$F$4:$F$40,MATCH(10,'Ma wish list'!$H$4:$H$40,0))&amp;"","")</f>
        <v/>
      </c>
      <c r="E13" s="4">
        <f>IFERROR(INDEX('Ma wish list'!$G$4:$G$40,MATCH(10,'Ma wish list'!$H$4:$H$40,0))&amp;"","")</f>
        <v/>
      </c>
    </row>
    <row r="14">
      <c r="A14" s="4">
        <f>IFERROR(INDEX('Ma wish list'!$E$4:$E$40,MATCH(11,'Ma wish list'!$H$4:$H$40,0))&amp;"","")</f>
        <v/>
      </c>
      <c r="B14" s="4">
        <f>IFERROR(INDEX('Ma wish list'!$A$4:$A$40,MATCH(11,'Ma wish list'!$H$4:$H$40,0))&amp;"","")</f>
        <v/>
      </c>
      <c r="C14" s="4">
        <f>IFERROR(INDEX('Ma wish list'!$D$4:$D$40,MATCH(11,'Ma wish list'!$H$4:$H$40,0))&amp;"","")</f>
        <v/>
      </c>
      <c r="D14" s="4">
        <f>IFERROR(INDEX('Ma wish list'!$F$4:$F$40,MATCH(11,'Ma wish list'!$H$4:$H$40,0))&amp;"","")</f>
        <v/>
      </c>
      <c r="E14" s="4">
        <f>IFERROR(INDEX('Ma wish list'!$G$4:$G$40,MATCH(11,'Ma wish list'!$H$4:$H$40,0))&amp;"","")</f>
        <v/>
      </c>
    </row>
    <row r="15">
      <c r="A15" s="4">
        <f>IFERROR(INDEX('Ma wish list'!$E$4:$E$40,MATCH(12,'Ma wish list'!$H$4:$H$40,0))&amp;"","")</f>
        <v/>
      </c>
      <c r="B15" s="4">
        <f>IFERROR(INDEX('Ma wish list'!$A$4:$A$40,MATCH(12,'Ma wish list'!$H$4:$H$40,0))&amp;"","")</f>
        <v/>
      </c>
      <c r="C15" s="4">
        <f>IFERROR(INDEX('Ma wish list'!$D$4:$D$40,MATCH(12,'Ma wish list'!$H$4:$H$40,0))&amp;"","")</f>
        <v/>
      </c>
      <c r="D15" s="4">
        <f>IFERROR(INDEX('Ma wish list'!$F$4:$F$40,MATCH(12,'Ma wish list'!$H$4:$H$40,0))&amp;"","")</f>
        <v/>
      </c>
      <c r="E15" s="4">
        <f>IFERROR(INDEX('Ma wish list'!$G$4:$G$40,MATCH(12,'Ma wish list'!$H$4:$H$40,0))&amp;"","")</f>
        <v/>
      </c>
    </row>
    <row r="16">
      <c r="A16" s="4">
        <f>IFERROR(INDEX('Ma wish list'!$E$4:$E$40,MATCH(13,'Ma wish list'!$H$4:$H$40,0))&amp;"","")</f>
        <v/>
      </c>
      <c r="B16" s="4">
        <f>IFERROR(INDEX('Ma wish list'!$A$4:$A$40,MATCH(13,'Ma wish list'!$H$4:$H$40,0))&amp;"","")</f>
        <v/>
      </c>
      <c r="C16" s="4">
        <f>IFERROR(INDEX('Ma wish list'!$D$4:$D$40,MATCH(13,'Ma wish list'!$H$4:$H$40,0))&amp;"","")</f>
        <v/>
      </c>
      <c r="D16" s="4">
        <f>IFERROR(INDEX('Ma wish list'!$F$4:$F$40,MATCH(13,'Ma wish list'!$H$4:$H$40,0))&amp;"","")</f>
        <v/>
      </c>
      <c r="E16" s="4">
        <f>IFERROR(INDEX('Ma wish list'!$G$4:$G$40,MATCH(13,'Ma wish list'!$H$4:$H$40,0))&amp;"","")</f>
        <v/>
      </c>
    </row>
    <row r="17">
      <c r="A17" s="4">
        <f>IFERROR(INDEX('Ma wish list'!$E$4:$E$40,MATCH(14,'Ma wish list'!$H$4:$H$40,0))&amp;"","")</f>
        <v/>
      </c>
      <c r="B17" s="4">
        <f>IFERROR(INDEX('Ma wish list'!$A$4:$A$40,MATCH(14,'Ma wish list'!$H$4:$H$40,0))&amp;"","")</f>
        <v/>
      </c>
      <c r="C17" s="4">
        <f>IFERROR(INDEX('Ma wish list'!$D$4:$D$40,MATCH(14,'Ma wish list'!$H$4:$H$40,0))&amp;"","")</f>
        <v/>
      </c>
      <c r="D17" s="4">
        <f>IFERROR(INDEX('Ma wish list'!$F$4:$F$40,MATCH(14,'Ma wish list'!$H$4:$H$40,0))&amp;"","")</f>
        <v/>
      </c>
      <c r="E17" s="4">
        <f>IFERROR(INDEX('Ma wish list'!$G$4:$G$40,MATCH(14,'Ma wish list'!$H$4:$H$40,0))&amp;"","")</f>
        <v/>
      </c>
    </row>
    <row r="18">
      <c r="A18" s="4">
        <f>IFERROR(INDEX('Ma wish list'!$E$4:$E$40,MATCH(15,'Ma wish list'!$H$4:$H$40,0))&amp;"","")</f>
        <v/>
      </c>
      <c r="B18" s="4">
        <f>IFERROR(INDEX('Ma wish list'!$A$4:$A$40,MATCH(15,'Ma wish list'!$H$4:$H$40,0))&amp;"","")</f>
        <v/>
      </c>
      <c r="C18" s="4">
        <f>IFERROR(INDEX('Ma wish list'!$D$4:$D$40,MATCH(15,'Ma wish list'!$H$4:$H$40,0))&amp;"","")</f>
        <v/>
      </c>
      <c r="D18" s="4">
        <f>IFERROR(INDEX('Ma wish list'!$F$4:$F$40,MATCH(15,'Ma wish list'!$H$4:$H$40,0))&amp;"","")</f>
        <v/>
      </c>
      <c r="E18" s="4">
        <f>IFERROR(INDEX('Ma wish list'!$G$4:$G$40,MATCH(15,'Ma wish list'!$H$4:$H$40,0))&amp;"","")</f>
        <v/>
      </c>
    </row>
    <row r="19">
      <c r="A19" s="4">
        <f>IFERROR(INDEX('Ma wish list'!$E$4:$E$40,MATCH(16,'Ma wish list'!$H$4:$H$40,0))&amp;"","")</f>
        <v/>
      </c>
      <c r="B19" s="4">
        <f>IFERROR(INDEX('Ma wish list'!$A$4:$A$40,MATCH(16,'Ma wish list'!$H$4:$H$40,0))&amp;"","")</f>
        <v/>
      </c>
      <c r="C19" s="4">
        <f>IFERROR(INDEX('Ma wish list'!$D$4:$D$40,MATCH(16,'Ma wish list'!$H$4:$H$40,0))&amp;"","")</f>
        <v/>
      </c>
      <c r="D19" s="4">
        <f>IFERROR(INDEX('Ma wish list'!$F$4:$F$40,MATCH(16,'Ma wish list'!$H$4:$H$40,0))&amp;"","")</f>
        <v/>
      </c>
      <c r="E19" s="4">
        <f>IFERROR(INDEX('Ma wish list'!$G$4:$G$40,MATCH(16,'Ma wish list'!$H$4:$H$40,0))&amp;"","")</f>
        <v/>
      </c>
    </row>
    <row r="20">
      <c r="A20" s="4">
        <f>IFERROR(INDEX('Ma wish list'!$E$4:$E$40,MATCH(17,'Ma wish list'!$H$4:$H$40,0))&amp;"","")</f>
        <v/>
      </c>
      <c r="B20" s="4">
        <f>IFERROR(INDEX('Ma wish list'!$A$4:$A$40,MATCH(17,'Ma wish list'!$H$4:$H$40,0))&amp;"","")</f>
        <v/>
      </c>
      <c r="C20" s="4">
        <f>IFERROR(INDEX('Ma wish list'!$D$4:$D$40,MATCH(17,'Ma wish list'!$H$4:$H$40,0))&amp;"","")</f>
        <v/>
      </c>
      <c r="D20" s="4">
        <f>IFERROR(INDEX('Ma wish list'!$F$4:$F$40,MATCH(17,'Ma wish list'!$H$4:$H$40,0))&amp;"","")</f>
        <v/>
      </c>
      <c r="E20" s="4">
        <f>IFERROR(INDEX('Ma wish list'!$G$4:$G$40,MATCH(17,'Ma wish list'!$H$4:$H$40,0))&amp;"","")</f>
        <v/>
      </c>
    </row>
    <row r="21">
      <c r="A21" s="4">
        <f>IFERROR(INDEX('Ma wish list'!$E$4:$E$40,MATCH(18,'Ma wish list'!$H$4:$H$40,0))&amp;"","")</f>
        <v/>
      </c>
      <c r="B21" s="4">
        <f>IFERROR(INDEX('Ma wish list'!$A$4:$A$40,MATCH(18,'Ma wish list'!$H$4:$H$40,0))&amp;"","")</f>
        <v/>
      </c>
      <c r="C21" s="4">
        <f>IFERROR(INDEX('Ma wish list'!$D$4:$D$40,MATCH(18,'Ma wish list'!$H$4:$H$40,0))&amp;"","")</f>
        <v/>
      </c>
      <c r="D21" s="4">
        <f>IFERROR(INDEX('Ma wish list'!$F$4:$F$40,MATCH(18,'Ma wish list'!$H$4:$H$40,0))&amp;"","")</f>
        <v/>
      </c>
      <c r="E21" s="4">
        <f>IFERROR(INDEX('Ma wish list'!$G$4:$G$40,MATCH(18,'Ma wish list'!$H$4:$H$40,0))&amp;"","")</f>
        <v/>
      </c>
    </row>
    <row r="22">
      <c r="A22" s="4">
        <f>IFERROR(INDEX('Ma wish list'!$E$4:$E$40,MATCH(19,'Ma wish list'!$H$4:$H$40,0))&amp;"","")</f>
        <v/>
      </c>
      <c r="B22" s="4">
        <f>IFERROR(INDEX('Ma wish list'!$A$4:$A$40,MATCH(19,'Ma wish list'!$H$4:$H$40,0))&amp;"","")</f>
        <v/>
      </c>
      <c r="C22" s="4">
        <f>IFERROR(INDEX('Ma wish list'!$D$4:$D$40,MATCH(19,'Ma wish list'!$H$4:$H$40,0))&amp;"","")</f>
        <v/>
      </c>
      <c r="D22" s="4">
        <f>IFERROR(INDEX('Ma wish list'!$F$4:$F$40,MATCH(19,'Ma wish list'!$H$4:$H$40,0))&amp;"","")</f>
        <v/>
      </c>
      <c r="E22" s="4">
        <f>IFERROR(INDEX('Ma wish list'!$G$4:$G$40,MATCH(19,'Ma wish list'!$H$4:$H$40,0))&amp;"","")</f>
        <v/>
      </c>
    </row>
    <row r="23">
      <c r="A23" s="4">
        <f>IFERROR(INDEX('Ma wish list'!$E$4:$E$40,MATCH(20,'Ma wish list'!$H$4:$H$40,0))&amp;"","")</f>
        <v/>
      </c>
      <c r="B23" s="4">
        <f>IFERROR(INDEX('Ma wish list'!$A$4:$A$40,MATCH(20,'Ma wish list'!$H$4:$H$40,0))&amp;"","")</f>
        <v/>
      </c>
      <c r="C23" s="4">
        <f>IFERROR(INDEX('Ma wish list'!$D$4:$D$40,MATCH(20,'Ma wish list'!$H$4:$H$40,0))&amp;"","")</f>
        <v/>
      </c>
      <c r="D23" s="4">
        <f>IFERROR(INDEX('Ma wish list'!$F$4:$F$40,MATCH(20,'Ma wish list'!$H$4:$H$40,0))&amp;"","")</f>
        <v/>
      </c>
      <c r="E23" s="4">
        <f>IFERROR(INDEX('Ma wish list'!$G$4:$G$40,MATCH(20,'Ma wish list'!$H$4:$H$40,0))&amp;"","")</f>
        <v/>
      </c>
    </row>
    <row r="24">
      <c r="A24" s="4">
        <f>IFERROR(INDEX('Ma wish list'!$E$4:$E$40,MATCH(21,'Ma wish list'!$H$4:$H$40,0))&amp;"","")</f>
        <v/>
      </c>
      <c r="B24" s="4">
        <f>IFERROR(INDEX('Ma wish list'!$A$4:$A$40,MATCH(21,'Ma wish list'!$H$4:$H$40,0))&amp;"","")</f>
        <v/>
      </c>
      <c r="C24" s="4">
        <f>IFERROR(INDEX('Ma wish list'!$D$4:$D$40,MATCH(21,'Ma wish list'!$H$4:$H$40,0))&amp;"","")</f>
        <v/>
      </c>
      <c r="D24" s="4">
        <f>IFERROR(INDEX('Ma wish list'!$F$4:$F$40,MATCH(21,'Ma wish list'!$H$4:$H$40,0))&amp;"","")</f>
        <v/>
      </c>
      <c r="E24" s="4">
        <f>IFERROR(INDEX('Ma wish list'!$G$4:$G$40,MATCH(21,'Ma wish list'!$H$4:$H$40,0))&amp;"","")</f>
        <v/>
      </c>
    </row>
    <row r="25">
      <c r="A25" s="4">
        <f>IFERROR(INDEX('Ma wish list'!$E$4:$E$40,MATCH(22,'Ma wish list'!$H$4:$H$40,0))&amp;"","")</f>
        <v/>
      </c>
      <c r="B25" s="4">
        <f>IFERROR(INDEX('Ma wish list'!$A$4:$A$40,MATCH(22,'Ma wish list'!$H$4:$H$40,0))&amp;"","")</f>
        <v/>
      </c>
      <c r="C25" s="4">
        <f>IFERROR(INDEX('Ma wish list'!$D$4:$D$40,MATCH(22,'Ma wish list'!$H$4:$H$40,0))&amp;"","")</f>
        <v/>
      </c>
      <c r="D25" s="4">
        <f>IFERROR(INDEX('Ma wish list'!$F$4:$F$40,MATCH(22,'Ma wish list'!$H$4:$H$40,0))&amp;"","")</f>
        <v/>
      </c>
      <c r="E25" s="4">
        <f>IFERROR(INDEX('Ma wish list'!$G$4:$G$40,MATCH(22,'Ma wish list'!$H$4:$H$40,0))&amp;"","")</f>
        <v/>
      </c>
    </row>
    <row r="26">
      <c r="A26" s="4">
        <f>IFERROR(INDEX('Ma wish list'!$E$4:$E$40,MATCH(23,'Ma wish list'!$H$4:$H$40,0))&amp;"","")</f>
        <v/>
      </c>
      <c r="B26" s="4">
        <f>IFERROR(INDEX('Ma wish list'!$A$4:$A$40,MATCH(23,'Ma wish list'!$H$4:$H$40,0))&amp;"","")</f>
        <v/>
      </c>
      <c r="C26" s="4">
        <f>IFERROR(INDEX('Ma wish list'!$D$4:$D$40,MATCH(23,'Ma wish list'!$H$4:$H$40,0))&amp;"","")</f>
        <v/>
      </c>
      <c r="D26" s="4">
        <f>IFERROR(INDEX('Ma wish list'!$F$4:$F$40,MATCH(23,'Ma wish list'!$H$4:$H$40,0))&amp;"","")</f>
        <v/>
      </c>
      <c r="E26" s="4">
        <f>IFERROR(INDEX('Ma wish list'!$G$4:$G$40,MATCH(23,'Ma wish list'!$H$4:$H$40,0))&amp;"","")</f>
        <v/>
      </c>
    </row>
    <row r="27">
      <c r="A27" s="4">
        <f>IFERROR(INDEX('Ma wish list'!$E$4:$E$40,MATCH(24,'Ma wish list'!$H$4:$H$40,0))&amp;"","")</f>
        <v/>
      </c>
      <c r="B27" s="4">
        <f>IFERROR(INDEX('Ma wish list'!$A$4:$A$40,MATCH(24,'Ma wish list'!$H$4:$H$40,0))&amp;"","")</f>
        <v/>
      </c>
      <c r="C27" s="4">
        <f>IFERROR(INDEX('Ma wish list'!$D$4:$D$40,MATCH(24,'Ma wish list'!$H$4:$H$40,0))&amp;"","")</f>
        <v/>
      </c>
      <c r="D27" s="4">
        <f>IFERROR(INDEX('Ma wish list'!$F$4:$F$40,MATCH(24,'Ma wish list'!$H$4:$H$40,0))&amp;"","")</f>
        <v/>
      </c>
      <c r="E27" s="4">
        <f>IFERROR(INDEX('Ma wish list'!$G$4:$G$40,MATCH(24,'Ma wish list'!$H$4:$H$40,0))&amp;"","")</f>
        <v/>
      </c>
    </row>
    <row r="28">
      <c r="A28" s="4">
        <f>IFERROR(INDEX('Ma wish list'!$E$4:$E$40,MATCH(25,'Ma wish list'!$H$4:$H$40,0))&amp;"","")</f>
        <v/>
      </c>
      <c r="B28" s="4">
        <f>IFERROR(INDEX('Ma wish list'!$A$4:$A$40,MATCH(25,'Ma wish list'!$H$4:$H$40,0))&amp;"","")</f>
        <v/>
      </c>
      <c r="C28" s="4">
        <f>IFERROR(INDEX('Ma wish list'!$D$4:$D$40,MATCH(25,'Ma wish list'!$H$4:$H$40,0))&amp;"","")</f>
        <v/>
      </c>
      <c r="D28" s="4">
        <f>IFERROR(INDEX('Ma wish list'!$F$4:$F$40,MATCH(25,'Ma wish list'!$H$4:$H$40,0))&amp;"","")</f>
        <v/>
      </c>
      <c r="E28" s="4">
        <f>IFERROR(INDEX('Ma wish list'!$G$4:$G$40,MATCH(25,'Ma wish list'!$H$4:$H$40,0))&amp;"","")</f>
        <v/>
      </c>
    </row>
    <row r="29">
      <c r="A29" s="4">
        <f>IFERROR(INDEX('Ma wish list'!$E$4:$E$40,MATCH(26,'Ma wish list'!$H$4:$H$40,0))&amp;"","")</f>
        <v/>
      </c>
      <c r="B29" s="4">
        <f>IFERROR(INDEX('Ma wish list'!$A$4:$A$40,MATCH(26,'Ma wish list'!$H$4:$H$40,0))&amp;"","")</f>
        <v/>
      </c>
      <c r="C29" s="4">
        <f>IFERROR(INDEX('Ma wish list'!$D$4:$D$40,MATCH(26,'Ma wish list'!$H$4:$H$40,0))&amp;"","")</f>
        <v/>
      </c>
      <c r="D29" s="4">
        <f>IFERROR(INDEX('Ma wish list'!$F$4:$F$40,MATCH(26,'Ma wish list'!$H$4:$H$40,0))&amp;"","")</f>
        <v/>
      </c>
      <c r="E29" s="4">
        <f>IFERROR(INDEX('Ma wish list'!$G$4:$G$40,MATCH(26,'Ma wish list'!$H$4:$H$40,0))&amp;"","")</f>
        <v/>
      </c>
    </row>
    <row r="30">
      <c r="A30" s="4">
        <f>IFERROR(INDEX('Ma wish list'!$E$4:$E$40,MATCH(27,'Ma wish list'!$H$4:$H$40,0))&amp;"","")</f>
        <v/>
      </c>
      <c r="B30" s="4">
        <f>IFERROR(INDEX('Ma wish list'!$A$4:$A$40,MATCH(27,'Ma wish list'!$H$4:$H$40,0))&amp;"","")</f>
        <v/>
      </c>
      <c r="C30" s="4">
        <f>IFERROR(INDEX('Ma wish list'!$D$4:$D$40,MATCH(27,'Ma wish list'!$H$4:$H$40,0))&amp;"","")</f>
        <v/>
      </c>
      <c r="D30" s="4">
        <f>IFERROR(INDEX('Ma wish list'!$F$4:$F$40,MATCH(27,'Ma wish list'!$H$4:$H$40,0))&amp;"","")</f>
        <v/>
      </c>
      <c r="E30" s="4">
        <f>IFERROR(INDEX('Ma wish list'!$G$4:$G$40,MATCH(27,'Ma wish list'!$H$4:$H$40,0))&amp;"","")</f>
        <v/>
      </c>
    </row>
    <row r="31">
      <c r="A31" s="4">
        <f>IFERROR(INDEX('Ma wish list'!$E$4:$E$40,MATCH(28,'Ma wish list'!$H$4:$H$40,0))&amp;"","")</f>
        <v/>
      </c>
      <c r="B31" s="4">
        <f>IFERROR(INDEX('Ma wish list'!$A$4:$A$40,MATCH(28,'Ma wish list'!$H$4:$H$40,0))&amp;"","")</f>
        <v/>
      </c>
      <c r="C31" s="4">
        <f>IFERROR(INDEX('Ma wish list'!$D$4:$D$40,MATCH(28,'Ma wish list'!$H$4:$H$40,0))&amp;"","")</f>
        <v/>
      </c>
      <c r="D31" s="4">
        <f>IFERROR(INDEX('Ma wish list'!$F$4:$F$40,MATCH(28,'Ma wish list'!$H$4:$H$40,0))&amp;"","")</f>
        <v/>
      </c>
      <c r="E31" s="4">
        <f>IFERROR(INDEX('Ma wish list'!$G$4:$G$40,MATCH(28,'Ma wish list'!$H$4:$H$40,0))&amp;"","")</f>
        <v/>
      </c>
    </row>
    <row r="32">
      <c r="A32" s="4">
        <f>IFERROR(INDEX('Ma wish list'!$E$4:$E$40,MATCH(29,'Ma wish list'!$H$4:$H$40,0))&amp;"","")</f>
        <v/>
      </c>
      <c r="B32" s="4">
        <f>IFERROR(INDEX('Ma wish list'!$A$4:$A$40,MATCH(29,'Ma wish list'!$H$4:$H$40,0))&amp;"","")</f>
        <v/>
      </c>
      <c r="C32" s="4">
        <f>IFERROR(INDEX('Ma wish list'!$D$4:$D$40,MATCH(29,'Ma wish list'!$H$4:$H$40,0))&amp;"","")</f>
        <v/>
      </c>
      <c r="D32" s="4">
        <f>IFERROR(INDEX('Ma wish list'!$F$4:$F$40,MATCH(29,'Ma wish list'!$H$4:$H$40,0))&amp;"","")</f>
        <v/>
      </c>
      <c r="E32" s="4">
        <f>IFERROR(INDEX('Ma wish list'!$G$4:$G$40,MATCH(29,'Ma wish list'!$H$4:$H$40,0))&amp;"","")</f>
        <v/>
      </c>
    </row>
    <row r="33">
      <c r="A33" s="4">
        <f>IFERROR(INDEX('Ma wish list'!$E$4:$E$40,MATCH(30,'Ma wish list'!$H$4:$H$40,0))&amp;"","")</f>
        <v/>
      </c>
      <c r="B33" s="4">
        <f>IFERROR(INDEX('Ma wish list'!$A$4:$A$40,MATCH(30,'Ma wish list'!$H$4:$H$40,0))&amp;"","")</f>
        <v/>
      </c>
      <c r="C33" s="4">
        <f>IFERROR(INDEX('Ma wish list'!$D$4:$D$40,MATCH(30,'Ma wish list'!$H$4:$H$40,0))&amp;"","")</f>
        <v/>
      </c>
      <c r="D33" s="4">
        <f>IFERROR(INDEX('Ma wish list'!$F$4:$F$40,MATCH(30,'Ma wish list'!$H$4:$H$40,0))&amp;"","")</f>
        <v/>
      </c>
      <c r="E33" s="4">
        <f>IFERROR(INDEX('Ma wish list'!$G$4:$G$40,MATCH(30,'Ma wish list'!$H$4:$H$40,0))&amp;"","")</f>
        <v/>
      </c>
    </row>
    <row r="34">
      <c r="A34" s="5" t="inlineStr">
        <is>
          <t>✏️ Mes idées perso</t>
        </is>
      </c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</sheetData>
  <mergeCells count="1">
    <mergeCell ref="A1:E1"/>
  </mergeCells>
  <conditionalFormatting sqref="A4:E59">
    <cfRule type="expression" priority="1" dxfId="0">
      <formula>$D4="✅ Offert"</formula>
    </cfRule>
    <cfRule type="expression" priority="2" dxfId="1">
      <formula>$D4="🎁 Emballé"</formula>
    </cfRule>
  </conditionalFormatting>
  <dataValidations count="2">
    <dataValidation sqref="D35:D59" showDropDown="0" showInputMessage="0" showErrorMessage="0" allowBlank="1" type="list">
      <formula1>"💡 Idée,🔎 À trouver,🛒 Acheté,🎁 Emballé,✅ Offert"</formula1>
    </dataValidation>
    <dataValidation sqref="A35:A59" showDropDown="0" showInputMessage="0" showErrorMessage="0" allowBlank="1" type="list">
      <formula1>"Papa"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36" customWidth="1" min="4" max="4"/>
    <col width="18" customWidth="1" min="5" max="5"/>
    <col width="16" customWidth="1" min="6" max="6"/>
    <col width="30" customWidth="1" min="7" max="7"/>
    <col width="9" customWidth="1" min="8" max="8"/>
    <col width="9" customWidth="1" min="9" max="9"/>
  </cols>
  <sheetData>
    <row r="1" ht="30" customHeight="1">
      <c r="A1" s="8" t="inlineStr">
        <is>
          <t>⭐ Ma wish list – choisis « Offert par » pour l'envoyer dans le bon onglet</t>
        </is>
      </c>
    </row>
    <row r="3">
      <c r="A3" s="3" t="inlineStr">
        <is>
          <t>Article</t>
        </is>
      </c>
      <c r="B3" s="3" t="inlineStr">
        <is>
          <t>Catégorie</t>
        </is>
      </c>
      <c r="C3" s="3" t="inlineStr">
        <is>
          <t>Priorité</t>
        </is>
      </c>
      <c r="D3" s="3" t="inlineStr">
        <is>
          <t>Lien</t>
        </is>
      </c>
      <c r="E3" s="3" t="inlineStr">
        <is>
          <t>Offert par</t>
        </is>
      </c>
      <c r="F3" s="3" t="inlineStr">
        <is>
          <t>Statut</t>
        </is>
      </c>
      <c r="G3" s="3" t="inlineStr">
        <is>
          <t>Notes</t>
        </is>
      </c>
      <c r="H3" s="9" t="inlineStr">
        <is>
          <t>n° Papa</t>
        </is>
      </c>
      <c r="I3" s="9" t="inlineStr">
        <is>
          <t>n° autres</t>
        </is>
      </c>
    </row>
    <row r="4">
      <c r="A4" s="6" t="inlineStr">
        <is>
          <t>Glacière transport repas midi</t>
        </is>
      </c>
      <c r="B4" s="10" t="inlineStr">
        <is>
          <t>Divers</t>
        </is>
      </c>
      <c r="C4" s="10" t="n"/>
      <c r="D4" s="6" t="n"/>
      <c r="E4" s="10" t="n"/>
      <c r="F4" s="10" t="n"/>
      <c r="G4" s="6" t="n"/>
      <c r="H4" s="11">
        <f>IF($E4="Papa",COUNTIF($E$4:$E4,"Papa"),"")</f>
        <v/>
      </c>
      <c r="I4" s="11">
        <f>IF(OR($E4="",$E4="Papa",$E4="Autre"),"",COUNTIFS($E$4:$E4,"&lt;&gt;Papa",$E$4:$E4,"&lt;&gt;Autre",$E$4:$E4,"&lt;&gt;"))</f>
        <v/>
      </c>
    </row>
    <row r="5">
      <c r="A5" s="6" t="inlineStr">
        <is>
          <t>Compressport R2V2</t>
        </is>
      </c>
      <c r="B5" s="10" t="inlineStr">
        <is>
          <t>Course / Trail</t>
        </is>
      </c>
      <c r="C5" s="10" t="n"/>
      <c r="D5" s="6" t="n"/>
      <c r="E5" s="10" t="n"/>
      <c r="F5" s="10" t="n"/>
      <c r="G5" s="6" t="n"/>
      <c r="H5" s="11">
        <f>IF($E5="Papa",COUNTIF($E$4:$E5,"Papa"),"")</f>
        <v/>
      </c>
      <c r="I5" s="11">
        <f>IF(OR($E5="",$E5="Papa",$E5="Autre"),"",COUNTIFS($E$4:$E5,"&lt;&gt;Papa",$E$4:$E5,"&lt;&gt;Autre",$E$4:$E5,"&lt;&gt;"))</f>
        <v/>
      </c>
    </row>
    <row r="6">
      <c r="A6" s="6" t="inlineStr">
        <is>
          <t>Gel Meltonic</t>
        </is>
      </c>
      <c r="B6" s="10" t="inlineStr">
        <is>
          <t>Course / Trail</t>
        </is>
      </c>
      <c r="C6" s="10" t="n"/>
      <c r="D6" s="6" t="n"/>
      <c r="E6" s="10" t="n"/>
      <c r="F6" s="10" t="n"/>
      <c r="G6" s="6" t="n"/>
      <c r="H6" s="11">
        <f>IF($E6="Papa",COUNTIF($E$4:$E6,"Papa"),"")</f>
        <v/>
      </c>
      <c r="I6" s="11">
        <f>IF(OR($E6="",$E6="Papa",$E6="Autre"),"",COUNTIFS($E$4:$E6,"&lt;&gt;Papa",$E$4:$E6,"&lt;&gt;Autre",$E$4:$E6,"&lt;&gt;"))</f>
        <v/>
      </c>
    </row>
    <row r="7">
      <c r="A7" s="6" t="inlineStr">
        <is>
          <t>Débardeur course</t>
        </is>
      </c>
      <c r="B7" s="10" t="inlineStr">
        <is>
          <t>Course / Trail</t>
        </is>
      </c>
      <c r="C7" s="10" t="n"/>
      <c r="D7" s="6" t="n"/>
      <c r="E7" s="10" t="n"/>
      <c r="F7" s="10" t="n"/>
      <c r="G7" s="6" t="n"/>
      <c r="H7" s="11">
        <f>IF($E7="Papa",COUNTIF($E$4:$E7,"Papa"),"")</f>
        <v/>
      </c>
      <c r="I7" s="11">
        <f>IF(OR($E7="",$E7="Papa",$E7="Autre"),"",COUNTIFS($E$4:$E7,"&lt;&gt;Papa",$E$4:$E7,"&lt;&gt;Autre",$E$4:$E7,"&lt;&gt;"))</f>
        <v/>
      </c>
    </row>
    <row r="8">
      <c r="A8" s="6" t="inlineStr">
        <is>
          <t>Écouteurs</t>
        </is>
      </c>
      <c r="B8" s="10" t="inlineStr">
        <is>
          <t>Tech</t>
        </is>
      </c>
      <c r="C8" s="10" t="n"/>
      <c r="D8" s="6" t="n"/>
      <c r="E8" s="10" t="n"/>
      <c r="F8" s="10" t="n"/>
      <c r="G8" s="6" t="n"/>
      <c r="H8" s="11">
        <f>IF($E8="Papa",COUNTIF($E$4:$E8,"Papa"),"")</f>
        <v/>
      </c>
      <c r="I8" s="11">
        <f>IF(OR($E8="",$E8="Papa",$E8="Autre"),"",COUNTIFS($E$4:$E8,"&lt;&gt;Papa",$E$4:$E8,"&lt;&gt;Autre",$E$4:$E8,"&lt;&gt;"))</f>
        <v/>
      </c>
    </row>
    <row r="9">
      <c r="A9" s="6" t="inlineStr">
        <is>
          <t>Garmin HRM Pro Plus</t>
        </is>
      </c>
      <c r="B9" s="10" t="inlineStr">
        <is>
          <t>Tech</t>
        </is>
      </c>
      <c r="C9" s="10" t="n"/>
      <c r="D9" s="6" t="n"/>
      <c r="E9" s="10" t="n"/>
      <c r="F9" s="10" t="n"/>
      <c r="G9" s="6" t="n"/>
      <c r="H9" s="11">
        <f>IF($E9="Papa",COUNTIF($E$4:$E9,"Papa"),"")</f>
        <v/>
      </c>
      <c r="I9" s="11">
        <f>IF(OR($E9="",$E9="Papa",$E9="Autre"),"",COUNTIFS($E$4:$E9,"&lt;&gt;Papa",$E$4:$E9,"&lt;&gt;Autre",$E$4:$E9,"&lt;&gt;"))</f>
        <v/>
      </c>
    </row>
    <row r="10">
      <c r="A10" s="6" t="inlineStr">
        <is>
          <t>Chaussettes trail</t>
        </is>
      </c>
      <c r="B10" s="10" t="inlineStr">
        <is>
          <t>Course / Trail</t>
        </is>
      </c>
      <c r="C10" s="10" t="n"/>
      <c r="D10" s="6" t="n"/>
      <c r="E10" s="10" t="n"/>
      <c r="F10" s="10" t="n"/>
      <c r="G10" s="6" t="n"/>
      <c r="H10" s="11">
        <f>IF($E10="Papa",COUNTIF($E$4:$E10,"Papa"),"")</f>
        <v/>
      </c>
      <c r="I10" s="11">
        <f>IF(OR($E10="",$E10="Papa",$E10="Autre"),"",COUNTIFS($E$4:$E10,"&lt;&gt;Papa",$E$4:$E10,"&lt;&gt;Autre",$E$4:$E10,"&lt;&gt;"))</f>
        <v/>
      </c>
    </row>
    <row r="11">
      <c r="A11" s="6" t="inlineStr">
        <is>
          <t>Vêtements course à pied</t>
        </is>
      </c>
      <c r="B11" s="10" t="inlineStr">
        <is>
          <t>Course / Trail</t>
        </is>
      </c>
      <c r="C11" s="10" t="n"/>
      <c r="D11" s="6" t="n"/>
      <c r="E11" s="10" t="n"/>
      <c r="F11" s="10" t="n"/>
      <c r="G11" s="6" t="n"/>
      <c r="H11" s="11">
        <f>IF($E11="Papa",COUNTIF($E$4:$E11,"Papa"),"")</f>
        <v/>
      </c>
      <c r="I11" s="11">
        <f>IF(OR($E11="",$E11="Papa",$E11="Autre"),"",COUNTIFS($E$4:$E11,"&lt;&gt;Papa",$E$4:$E11,"&lt;&gt;Autre",$E$4:$E11,"&lt;&gt;"))</f>
        <v/>
      </c>
    </row>
    <row r="12">
      <c r="A12" s="6" t="inlineStr">
        <is>
          <t>Casquette</t>
        </is>
      </c>
      <c r="B12" s="10" t="inlineStr">
        <is>
          <t>Course / Trail</t>
        </is>
      </c>
      <c r="C12" s="10" t="n"/>
      <c r="D12" s="6" t="n"/>
      <c r="E12" s="10" t="n"/>
      <c r="F12" s="10" t="n"/>
      <c r="G12" s="6" t="n"/>
      <c r="H12" s="11">
        <f>IF($E12="Papa",COUNTIF($E$4:$E12,"Papa"),"")</f>
        <v/>
      </c>
      <c r="I12" s="11">
        <f>IF(OR($E12="",$E12="Papa",$E12="Autre"),"",COUNTIFS($E$4:$E12,"&lt;&gt;Papa",$E$4:$E12,"&lt;&gt;Autre",$E$4:$E12,"&lt;&gt;"))</f>
        <v/>
      </c>
    </row>
    <row r="13">
      <c r="A13" s="6" t="inlineStr">
        <is>
          <t>Bâtons de trail</t>
        </is>
      </c>
      <c r="B13" s="10" t="inlineStr">
        <is>
          <t>Course / Trail</t>
        </is>
      </c>
      <c r="C13" s="10" t="n"/>
      <c r="D13" s="6" t="n"/>
      <c r="E13" s="10" t="n"/>
      <c r="F13" s="10" t="n"/>
      <c r="G13" s="6" t="n"/>
      <c r="H13" s="11">
        <f>IF($E13="Papa",COUNTIF($E$4:$E13,"Papa"),"")</f>
        <v/>
      </c>
      <c r="I13" s="11">
        <f>IF(OR($E13="",$E13="Papa",$E13="Autre"),"",COUNTIFS($E$4:$E13,"&lt;&gt;Papa",$E$4:$E13,"&lt;&gt;Autre",$E$4:$E13,"&lt;&gt;"))</f>
        <v/>
      </c>
    </row>
    <row r="14">
      <c r="A14" s="6" t="inlineStr">
        <is>
          <t>Sac de sport grand under</t>
        </is>
      </c>
      <c r="B14" s="10" t="inlineStr">
        <is>
          <t>Sport</t>
        </is>
      </c>
      <c r="C14" s="10" t="n"/>
      <c r="D14" s="6" t="n"/>
      <c r="E14" s="10" t="n"/>
      <c r="F14" s="10" t="n"/>
      <c r="G14" s="6" t="n"/>
      <c r="H14" s="11">
        <f>IF($E14="Papa",COUNTIF($E$4:$E14,"Papa"),"")</f>
        <v/>
      </c>
      <c r="I14" s="11">
        <f>IF(OR($E14="",$E14="Papa",$E14="Autre"),"",COUNTIFS($E$4:$E14,"&lt;&gt;Papa",$E$4:$E14,"&lt;&gt;Autre",$E$4:$E14,"&lt;&gt;"))</f>
        <v/>
      </c>
    </row>
    <row r="15">
      <c r="A15" s="6" t="inlineStr">
        <is>
          <t>PS5 + Madden</t>
        </is>
      </c>
      <c r="B15" s="10" t="inlineStr">
        <is>
          <t>Tech</t>
        </is>
      </c>
      <c r="C15" s="10" t="n"/>
      <c r="D15" s="6" t="n"/>
      <c r="E15" s="10" t="n"/>
      <c r="F15" s="10" t="n"/>
      <c r="G15" s="6" t="n"/>
      <c r="H15" s="11">
        <f>IF($E15="Papa",COUNTIF($E$4:$E15,"Papa"),"")</f>
        <v/>
      </c>
      <c r="I15" s="11">
        <f>IF(OR($E15="",$E15="Papa",$E15="Autre"),"",COUNTIFS($E$4:$E15,"&lt;&gt;Papa",$E$4:$E15,"&lt;&gt;Autre",$E$4:$E15,"&lt;&gt;"))</f>
        <v/>
      </c>
    </row>
    <row r="16">
      <c r="A16" s="6" t="inlineStr">
        <is>
          <t>Maillot NFL</t>
        </is>
      </c>
      <c r="B16" s="10" t="inlineStr">
        <is>
          <t>Sport</t>
        </is>
      </c>
      <c r="C16" s="10" t="n"/>
      <c r="D16" s="6" t="n"/>
      <c r="E16" s="10" t="n"/>
      <c r="F16" s="10" t="n"/>
      <c r="G16" s="6" t="n"/>
      <c r="H16" s="11">
        <f>IF($E16="Papa",COUNTIF($E$4:$E16,"Papa"),"")</f>
        <v/>
      </c>
      <c r="I16" s="11">
        <f>IF(OR($E16="",$E16="Papa",$E16="Autre"),"",COUNTIFS($E$4:$E16,"&lt;&gt;Papa",$E$4:$E16,"&lt;&gt;Autre",$E$4:$E16,"&lt;&gt;"))</f>
        <v/>
      </c>
    </row>
    <row r="17">
      <c r="A17" s="6" t="inlineStr">
        <is>
          <t>Oreiller ergonomique</t>
        </is>
      </c>
      <c r="B17" s="10" t="inlineStr">
        <is>
          <t>Maison</t>
        </is>
      </c>
      <c r="C17" s="10" t="n"/>
      <c r="D17" s="6" t="n"/>
      <c r="E17" s="10" t="n"/>
      <c r="F17" s="10" t="n"/>
      <c r="G17" s="6" t="n"/>
      <c r="H17" s="11">
        <f>IF($E17="Papa",COUNTIF($E$4:$E17,"Papa"),"")</f>
        <v/>
      </c>
      <c r="I17" s="11">
        <f>IF(OR($E17="",$E17="Papa",$E17="Autre"),"",COUNTIFS($E$4:$E17,"&lt;&gt;Papa",$E$4:$E17,"&lt;&gt;Autre",$E$4:$E17,"&lt;&gt;"))</f>
        <v/>
      </c>
    </row>
    <row r="18">
      <c r="A18" s="6" t="inlineStr">
        <is>
          <t>Raquette padel</t>
        </is>
      </c>
      <c r="B18" s="10" t="inlineStr">
        <is>
          <t>Sport</t>
        </is>
      </c>
      <c r="C18" s="10" t="n"/>
      <c r="D18" s="6" t="n"/>
      <c r="E18" s="10" t="n"/>
      <c r="F18" s="10" t="n"/>
      <c r="G18" s="6" t="n"/>
      <c r="H18" s="11">
        <f>IF($E18="Papa",COUNTIF($E$4:$E18,"Papa"),"")</f>
        <v/>
      </c>
      <c r="I18" s="11">
        <f>IF(OR($E18="",$E18="Papa",$E18="Autre"),"",COUNTIFS($E$4:$E18,"&lt;&gt;Papa",$E$4:$E18,"&lt;&gt;Autre",$E$4:$E18,"&lt;&gt;"))</f>
        <v/>
      </c>
    </row>
    <row r="19">
      <c r="A19" s="6" t="inlineStr">
        <is>
          <t>Montre (style terrain / rétro)</t>
        </is>
      </c>
      <c r="B19" s="10" t="inlineStr">
        <is>
          <t>Tech</t>
        </is>
      </c>
      <c r="C19" s="10" t="n"/>
      <c r="D19" s="6" t="inlineStr">
        <is>
          <t>https://timex.eu/products/expedition-sierra-40mm-fabric-strap-watch-tw2v22800
https://charlie-paris.com/products/grx-mecaquartz-chronographe-evo-iii?variant=50144588857670</t>
        </is>
      </c>
      <c r="E19" s="10" t="n"/>
      <c r="F19" s="10" t="n"/>
      <c r="G19" s="6" t="inlineStr">
        <is>
          <t>Timex Expedition Sierra 40 mm (119 €) / Charlie GRX mecaquartz chrono (395 €)</t>
        </is>
      </c>
      <c r="H19" s="11">
        <f>IF($E19="Papa",COUNTIF($E$4:$E19,"Papa"),"")</f>
        <v/>
      </c>
      <c r="I19" s="11">
        <f>IF(OR($E19="",$E19="Papa",$E19="Autre"),"",COUNTIFS($E$4:$E19,"&lt;&gt;Papa",$E$4:$E19,"&lt;&gt;Autre",$E$4:$E19,"&lt;&gt;"))</f>
        <v/>
      </c>
    </row>
    <row r="20">
      <c r="A20" s="6" t="inlineStr">
        <is>
          <t>Box U2</t>
        </is>
      </c>
      <c r="B20" s="10" t="inlineStr">
        <is>
          <t>Divers</t>
        </is>
      </c>
      <c r="C20" s="10" t="n"/>
      <c r="D20" s="6" t="n"/>
      <c r="E20" s="10" t="n"/>
      <c r="F20" s="10" t="n"/>
      <c r="G20" s="6" t="n"/>
      <c r="H20" s="11">
        <f>IF($E20="Papa",COUNTIF($E$4:$E20,"Papa"),"")</f>
        <v/>
      </c>
      <c r="I20" s="11">
        <f>IF(OR($E20="",$E20="Papa",$E20="Autre"),"",COUNTIFS($E$4:$E20,"&lt;&gt;Papa",$E$4:$E20,"&lt;&gt;Autre",$E$4:$E20,"&lt;&gt;"))</f>
        <v/>
      </c>
    </row>
    <row r="21">
      <c r="A21" s="6" t="inlineStr">
        <is>
          <t>Chaussures On</t>
        </is>
      </c>
      <c r="B21" s="10" t="inlineStr">
        <is>
          <t>Course / Trail</t>
        </is>
      </c>
      <c r="C21" s="10" t="n"/>
      <c r="D21" s="6" t="n"/>
      <c r="E21" s="10" t="n"/>
      <c r="F21" s="10" t="n"/>
      <c r="G21" s="6" t="n"/>
      <c r="H21" s="11">
        <f>IF($E21="Papa",COUNTIF($E$4:$E21,"Papa"),"")</f>
        <v/>
      </c>
      <c r="I21" s="11">
        <f>IF(OR($E21="",$E21="Papa",$E21="Autre"),"",COUNTIFS($E$4:$E21,"&lt;&gt;Papa",$E$4:$E21,"&lt;&gt;Autre",$E$4:$E21,"&lt;&gt;"))</f>
        <v/>
      </c>
    </row>
    <row r="22">
      <c r="A22" s="6" t="inlineStr">
        <is>
          <t>Coque téléphone</t>
        </is>
      </c>
      <c r="B22" s="10" t="inlineStr">
        <is>
          <t>Tech</t>
        </is>
      </c>
      <c r="C22" s="10" t="n"/>
      <c r="D22" s="6" t="n"/>
      <c r="E22" s="10" t="n"/>
      <c r="F22" s="10" t="n"/>
      <c r="G22" s="6" t="n"/>
      <c r="H22" s="11">
        <f>IF($E22="Papa",COUNTIF($E$4:$E22,"Papa"),"")</f>
        <v/>
      </c>
      <c r="I22" s="11">
        <f>IF(OR($E22="",$E22="Papa",$E22="Autre"),"",COUNTIFS($E$4:$E22,"&lt;&gt;Papa",$E$4:$E22,"&lt;&gt;Autre",$E$4:$E22,"&lt;&gt;"))</f>
        <v/>
      </c>
    </row>
    <row r="23">
      <c r="A23" s="6" t="inlineStr">
        <is>
          <t>Montre – Timex Expedition North Field Post Solar 41 mm</t>
        </is>
      </c>
      <c r="B23" s="10" t="inlineStr">
        <is>
          <t>Tech</t>
        </is>
      </c>
      <c r="C23" s="10" t="n"/>
      <c r="D23" s="6" t="inlineStr">
        <is>
          <t>https://ablogtowatch.com/watch-review-timex-expedition-north-field-post-solar-41mm</t>
        </is>
      </c>
      <c r="E23" s="10" t="n"/>
      <c r="F23" s="10" t="n"/>
      <c r="G23" s="6" t="inlineStr">
        <is>
          <t>Quartz solaire, 100 m. Lien = test. Env. 170-180 $ (prix à vérifier en €)</t>
        </is>
      </c>
      <c r="H23" s="11">
        <f>IF($E23="Papa",COUNTIF($E$4:$E23,"Papa"),"")</f>
        <v/>
      </c>
      <c r="I23" s="11">
        <f>IF(OR($E23="",$E23="Papa",$E23="Autre"),"",COUNTIFS($E$4:$E23,"&lt;&gt;Papa",$E$4:$E23,"&lt;&gt;Autre",$E$4:$E23,"&lt;&gt;"))</f>
        <v/>
      </c>
    </row>
    <row r="24">
      <c r="A24" s="6" t="inlineStr">
        <is>
          <t>Montre – Citizen Eco-Drive Garrison BM8180</t>
        </is>
      </c>
      <c r="B24" s="10" t="inlineStr">
        <is>
          <t>Tech</t>
        </is>
      </c>
      <c r="C24" s="10" t="n"/>
      <c r="D24" s="6" t="inlineStr">
        <is>
          <t>https://longislandwatch.com/products/citizen-eco-drive-garrison-watch-with-black-dial-and-green-strap-bm8180-03e</t>
        </is>
      </c>
      <c r="E24" s="10" t="n"/>
      <c r="F24" s="10" t="n"/>
      <c r="G24" s="6" t="inlineStr">
        <is>
          <t>Solaire, 37 mm, 100 m. Prix très variable, à vérifier en France</t>
        </is>
      </c>
      <c r="H24" s="11">
        <f>IF($E24="Papa",COUNTIF($E$4:$E24,"Papa"),"")</f>
        <v/>
      </c>
      <c r="I24" s="11">
        <f>IF(OR($E24="",$E24="Papa",$E24="Autre"),"",COUNTIFS($E$4:$E24,"&lt;&gt;Papa",$E$4:$E24,"&lt;&gt;Autre",$E$4:$E24,"&lt;&gt;"))</f>
        <v/>
      </c>
    </row>
    <row r="25">
      <c r="A25" s="6" t="inlineStr">
        <is>
          <t>Montre – Seiko 5 SNK809</t>
        </is>
      </c>
      <c r="B25" s="10" t="inlineStr">
        <is>
          <t>Tech</t>
        </is>
      </c>
      <c r="C25" s="10" t="n"/>
      <c r="D25" s="6" t="inlineStr">
        <is>
          <t>https://www.ebay.de/p/24050466267</t>
        </is>
      </c>
      <c r="E25" s="10" t="n"/>
      <c r="F25" s="10" t="n"/>
      <c r="G25" s="6" t="inlineStr">
        <is>
          <t>Automatique, classique de terrain. Env. 218 € sur une annonce eBay.de, à comparer</t>
        </is>
      </c>
      <c r="H25" s="11">
        <f>IF($E25="Papa",COUNTIF($E$4:$E25,"Papa"),"")</f>
        <v/>
      </c>
      <c r="I25" s="11">
        <f>IF(OR($E25="",$E25="Papa",$E25="Autre"),"",COUNTIFS($E$4:$E25,"&lt;&gt;Papa",$E$4:$E25,"&lt;&gt;Autre",$E$4:$E25,"&lt;&gt;"))</f>
        <v/>
      </c>
    </row>
    <row r="26">
      <c r="A26" s="6" t="inlineStr">
        <is>
          <t>Montre – Hamilton Khaki Field Quartz 40 mm</t>
        </is>
      </c>
      <c r="B26" s="10" t="inlineStr">
        <is>
          <t>Tech</t>
        </is>
      </c>
      <c r="C26" s="10" t="n"/>
      <c r="D26" s="6" t="inlineStr">
        <is>
          <t>https://www.thewatchpages.com/watches/hamilton-khaki-field-quartz-40-h68551933</t>
        </is>
      </c>
      <c r="E26" s="10" t="n"/>
      <c r="F26" s="10" t="n"/>
      <c r="G26" s="6" t="inlineStr">
        <is>
          <t>Référence du genre, prix catalogue env. 575-595 $ (haut de gamme)</t>
        </is>
      </c>
      <c r="H26" s="11">
        <f>IF($E26="Papa",COUNTIF($E$4:$E26,"Papa"),"")</f>
        <v/>
      </c>
      <c r="I26" s="11">
        <f>IF(OR($E26="",$E26="Papa",$E26="Autre"),"",COUNTIFS($E$4:$E26,"&lt;&gt;Papa",$E$4:$E26,"&lt;&gt;Autre",$E$4:$E26,"&lt;&gt;"))</f>
        <v/>
      </c>
    </row>
    <row r="27">
      <c r="A27" s="6" t="inlineStr">
        <is>
          <t>Montre – Yema Rallygraf (chrono mecaquartz)</t>
        </is>
      </c>
      <c r="B27" s="10" t="inlineStr">
        <is>
          <t>Tech</t>
        </is>
      </c>
      <c r="C27" s="10" t="n"/>
      <c r="D27" s="6" t="inlineStr">
        <is>
          <t>https://jamaisvulgaire.com/conseil-montre-homme/meilleure-montre-chronographe-homme-moins-de-500-euros/</t>
        </is>
      </c>
      <c r="E27" s="10" t="n"/>
      <c r="F27" s="10" t="n"/>
      <c r="G27" s="6" t="inlineStr">
        <is>
          <t>Piste pour un chrono mecaquartz &lt; 500 €. Lien = guide, modèle à vérifier</t>
        </is>
      </c>
      <c r="H27" s="11">
        <f>IF($E27="Papa",COUNTIF($E$4:$E27,"Papa"),"")</f>
        <v/>
      </c>
      <c r="I27" s="11">
        <f>IF(OR($E27="",$E27="Papa",$E27="Autre"),"",COUNTIFS($E$4:$E27,"&lt;&gt;Papa",$E$4:$E27,"&lt;&gt;Autre",$E$4:$E27,"&lt;&gt;"))</f>
        <v/>
      </c>
    </row>
    <row r="28">
      <c r="A28" s="6" t="n"/>
      <c r="B28" s="10" t="n"/>
      <c r="C28" s="10" t="n"/>
      <c r="D28" s="6" t="n"/>
      <c r="E28" s="10" t="n"/>
      <c r="F28" s="10" t="n"/>
      <c r="G28" s="6" t="n"/>
      <c r="H28" s="11">
        <f>IF($E28="Papa",COUNTIF($E$4:$E28,"Papa"),"")</f>
        <v/>
      </c>
      <c r="I28" s="11">
        <f>IF(OR($E28="",$E28="Papa",$E28="Autre"),"",COUNTIFS($E$4:$E28,"&lt;&gt;Papa",$E$4:$E28,"&lt;&gt;Autre",$E$4:$E28,"&lt;&gt;"))</f>
        <v/>
      </c>
    </row>
    <row r="29">
      <c r="A29" s="6" t="n"/>
      <c r="B29" s="10" t="n"/>
      <c r="C29" s="10" t="n"/>
      <c r="D29" s="6" t="n"/>
      <c r="E29" s="10" t="n"/>
      <c r="F29" s="10" t="n"/>
      <c r="G29" s="6" t="n"/>
      <c r="H29" s="11">
        <f>IF($E29="Papa",COUNTIF($E$4:$E29,"Papa"),"")</f>
        <v/>
      </c>
      <c r="I29" s="11">
        <f>IF(OR($E29="",$E29="Papa",$E29="Autre"),"",COUNTIFS($E$4:$E29,"&lt;&gt;Papa",$E$4:$E29,"&lt;&gt;Autre",$E$4:$E29,"&lt;&gt;"))</f>
        <v/>
      </c>
    </row>
    <row r="30">
      <c r="A30" s="6" t="n"/>
      <c r="B30" s="10" t="n"/>
      <c r="C30" s="10" t="n"/>
      <c r="D30" s="6" t="n"/>
      <c r="E30" s="10" t="n"/>
      <c r="F30" s="10" t="n"/>
      <c r="G30" s="6" t="n"/>
      <c r="H30" s="11">
        <f>IF($E30="Papa",COUNTIF($E$4:$E30,"Papa"),"")</f>
        <v/>
      </c>
      <c r="I30" s="11">
        <f>IF(OR($E30="",$E30="Papa",$E30="Autre"),"",COUNTIFS($E$4:$E30,"&lt;&gt;Papa",$E$4:$E30,"&lt;&gt;Autre",$E$4:$E30,"&lt;&gt;"))</f>
        <v/>
      </c>
    </row>
    <row r="31">
      <c r="A31" s="6" t="n"/>
      <c r="B31" s="10" t="n"/>
      <c r="C31" s="10" t="n"/>
      <c r="D31" s="6" t="n"/>
      <c r="E31" s="10" t="n"/>
      <c r="F31" s="10" t="n"/>
      <c r="G31" s="6" t="n"/>
      <c r="H31" s="11">
        <f>IF($E31="Papa",COUNTIF($E$4:$E31,"Papa"),"")</f>
        <v/>
      </c>
      <c r="I31" s="11">
        <f>IF(OR($E31="",$E31="Papa",$E31="Autre"),"",COUNTIFS($E$4:$E31,"&lt;&gt;Papa",$E$4:$E31,"&lt;&gt;Autre",$E$4:$E31,"&lt;&gt;"))</f>
        <v/>
      </c>
    </row>
    <row r="32">
      <c r="A32" s="6" t="n"/>
      <c r="B32" s="10" t="n"/>
      <c r="C32" s="10" t="n"/>
      <c r="D32" s="6" t="n"/>
      <c r="E32" s="10" t="n"/>
      <c r="F32" s="10" t="n"/>
      <c r="G32" s="6" t="n"/>
      <c r="H32" s="11">
        <f>IF($E32="Papa",COUNTIF($E$4:$E32,"Papa"),"")</f>
        <v/>
      </c>
      <c r="I32" s="11">
        <f>IF(OR($E32="",$E32="Papa",$E32="Autre"),"",COUNTIFS($E$4:$E32,"&lt;&gt;Papa",$E$4:$E32,"&lt;&gt;Autre",$E$4:$E32,"&lt;&gt;"))</f>
        <v/>
      </c>
    </row>
    <row r="33">
      <c r="A33" s="6" t="n"/>
      <c r="B33" s="10" t="n"/>
      <c r="C33" s="10" t="n"/>
      <c r="D33" s="6" t="n"/>
      <c r="E33" s="10" t="n"/>
      <c r="F33" s="10" t="n"/>
      <c r="G33" s="6" t="n"/>
      <c r="H33" s="11">
        <f>IF($E33="Papa",COUNTIF($E$4:$E33,"Papa"),"")</f>
        <v/>
      </c>
      <c r="I33" s="11">
        <f>IF(OR($E33="",$E33="Papa",$E33="Autre"),"",COUNTIFS($E$4:$E33,"&lt;&gt;Papa",$E$4:$E33,"&lt;&gt;Autre",$E$4:$E33,"&lt;&gt;"))</f>
        <v/>
      </c>
    </row>
    <row r="34">
      <c r="A34" s="6" t="n"/>
      <c r="B34" s="10" t="n"/>
      <c r="C34" s="10" t="n"/>
      <c r="D34" s="6" t="n"/>
      <c r="E34" s="10" t="n"/>
      <c r="F34" s="10" t="n"/>
      <c r="G34" s="6" t="n"/>
      <c r="H34" s="11">
        <f>IF($E34="Papa",COUNTIF($E$4:$E34,"Papa"),"")</f>
        <v/>
      </c>
      <c r="I34" s="11">
        <f>IF(OR($E34="",$E34="Papa",$E34="Autre"),"",COUNTIFS($E$4:$E34,"&lt;&gt;Papa",$E$4:$E34,"&lt;&gt;Autre",$E$4:$E34,"&lt;&gt;"))</f>
        <v/>
      </c>
    </row>
    <row r="35">
      <c r="A35" s="6" t="n"/>
      <c r="B35" s="10" t="n"/>
      <c r="C35" s="10" t="n"/>
      <c r="D35" s="6" t="n"/>
      <c r="E35" s="10" t="n"/>
      <c r="F35" s="10" t="n"/>
      <c r="G35" s="6" t="n"/>
      <c r="H35" s="11">
        <f>IF($E35="Papa",COUNTIF($E$4:$E35,"Papa"),"")</f>
        <v/>
      </c>
      <c r="I35" s="11">
        <f>IF(OR($E35="",$E35="Papa",$E35="Autre"),"",COUNTIFS($E$4:$E35,"&lt;&gt;Papa",$E$4:$E35,"&lt;&gt;Autre",$E$4:$E35,"&lt;&gt;"))</f>
        <v/>
      </c>
    </row>
    <row r="36">
      <c r="A36" s="6" t="n"/>
      <c r="B36" s="10" t="n"/>
      <c r="C36" s="10" t="n"/>
      <c r="D36" s="6" t="n"/>
      <c r="E36" s="10" t="n"/>
      <c r="F36" s="10" t="n"/>
      <c r="G36" s="6" t="n"/>
      <c r="H36" s="11">
        <f>IF($E36="Papa",COUNTIF($E$4:$E36,"Papa"),"")</f>
        <v/>
      </c>
      <c r="I36" s="11">
        <f>IF(OR($E36="",$E36="Papa",$E36="Autre"),"",COUNTIFS($E$4:$E36,"&lt;&gt;Papa",$E$4:$E36,"&lt;&gt;Autre",$E$4:$E36,"&lt;&gt;"))</f>
        <v/>
      </c>
    </row>
    <row r="37">
      <c r="A37" s="6" t="n"/>
      <c r="B37" s="10" t="n"/>
      <c r="C37" s="10" t="n"/>
      <c r="D37" s="6" t="n"/>
      <c r="E37" s="10" t="n"/>
      <c r="F37" s="10" t="n"/>
      <c r="G37" s="6" t="n"/>
      <c r="H37" s="11">
        <f>IF($E37="Papa",COUNTIF($E$4:$E37,"Papa"),"")</f>
        <v/>
      </c>
      <c r="I37" s="11">
        <f>IF(OR($E37="",$E37="Papa",$E37="Autre"),"",COUNTIFS($E$4:$E37,"&lt;&gt;Papa",$E$4:$E37,"&lt;&gt;Autre",$E$4:$E37,"&lt;&gt;"))</f>
        <v/>
      </c>
    </row>
    <row r="38">
      <c r="A38" s="6" t="n"/>
      <c r="B38" s="10" t="n"/>
      <c r="C38" s="10" t="n"/>
      <c r="D38" s="6" t="n"/>
      <c r="E38" s="10" t="n"/>
      <c r="F38" s="10" t="n"/>
      <c r="G38" s="6" t="n"/>
      <c r="H38" s="11">
        <f>IF($E38="Papa",COUNTIF($E$4:$E38,"Papa"),"")</f>
        <v/>
      </c>
      <c r="I38" s="11">
        <f>IF(OR($E38="",$E38="Papa",$E38="Autre"),"",COUNTIFS($E$4:$E38,"&lt;&gt;Papa",$E$4:$E38,"&lt;&gt;Autre",$E$4:$E38,"&lt;&gt;"))</f>
        <v/>
      </c>
    </row>
    <row r="39">
      <c r="A39" s="6" t="n"/>
      <c r="B39" s="10" t="n"/>
      <c r="C39" s="10" t="n"/>
      <c r="D39" s="6" t="n"/>
      <c r="E39" s="10" t="n"/>
      <c r="F39" s="10" t="n"/>
      <c r="G39" s="6" t="n"/>
      <c r="H39" s="11">
        <f>IF($E39="Papa",COUNTIF($E$4:$E39,"Papa"),"")</f>
        <v/>
      </c>
      <c r="I39" s="11">
        <f>IF(OR($E39="",$E39="Papa",$E39="Autre"),"",COUNTIFS($E$4:$E39,"&lt;&gt;Papa",$E$4:$E39,"&lt;&gt;Autre",$E$4:$E39,"&lt;&gt;"))</f>
        <v/>
      </c>
    </row>
    <row r="40">
      <c r="A40" s="6" t="n"/>
      <c r="B40" s="10" t="n"/>
      <c r="C40" s="10" t="n"/>
      <c r="D40" s="6" t="n"/>
      <c r="E40" s="10" t="n"/>
      <c r="F40" s="10" t="n"/>
      <c r="G40" s="6" t="n"/>
      <c r="H40" s="11">
        <f>IF($E40="Papa",COUNTIF($E$4:$E40,"Papa"),"")</f>
        <v/>
      </c>
      <c r="I40" s="11">
        <f>IF(OR($E40="",$E40="Papa",$E40="Autre"),"",COUNTIFS($E$4:$E40,"&lt;&gt;Papa",$E$4:$E40,"&lt;&gt;Autre",$E$4:$E40,"&lt;&gt;"))</f>
        <v/>
      </c>
    </row>
  </sheetData>
  <autoFilter ref="A3:G40"/>
  <mergeCells count="1">
    <mergeCell ref="A1:G1"/>
  </mergeCells>
  <conditionalFormatting sqref="A4:G40">
    <cfRule type="expression" priority="1" dxfId="0">
      <formula>$F4="✅ Offert"</formula>
    </cfRule>
  </conditionalFormatting>
  <dataValidations count="3">
    <dataValidation sqref="C4:C40" showDropDown="0" showInputMessage="0" showErrorMessage="0" allowBlank="1" type="list">
      <formula1>"Haute,Moyenne,Basse"</formula1>
    </dataValidation>
    <dataValidation sqref="E4:E40" showDropDown="0" showInputMessage="0" showErrorMessage="0" allowBlank="1" type="list">
      <formula1>"Papa,Maman,Frère,Copine,Famille copine,Autre"</formula1>
    </dataValidation>
    <dataValidation sqref="F4:F40" showDropDown="0" showInputMessage="0" showErrorMessage="0" allowBlank="1" type="list">
      <formula1>"💡 Idée,🔎 À trouver,🛒 Acheté,🎁 Emballé,✅ Offert"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</cols>
  <sheetData>
    <row r="1">
      <c r="A1" s="12" t="inlineStr">
        <is>
          <t>📊 Récap</t>
        </is>
      </c>
    </row>
    <row r="3">
      <c r="A3" s="3" t="inlineStr">
        <is>
          <t>Onglet</t>
        </is>
      </c>
      <c r="B3" s="3" t="inlineStr">
        <is>
          <t>Nb idées</t>
        </is>
      </c>
      <c r="C3" s="3" t="inlineStr">
        <is>
          <t>Nb achetés</t>
        </is>
      </c>
      <c r="D3" s="3" t="inlineStr">
        <is>
          <t>Nb offerts</t>
        </is>
      </c>
    </row>
    <row r="4">
      <c r="A4" t="inlineStr">
        <is>
          <t>Maman-Frère-Copine &amp; famille</t>
        </is>
      </c>
      <c r="B4">
        <f>COUNTIF('Maman-Frère-Copine &amp; famille'!B4:B59,"?*")-COUNTIF('Maman-Frère-Copine &amp; famille'!B34,"?*")</f>
        <v/>
      </c>
      <c r="C4">
        <f>COUNTIF('Maman-Frère-Copine &amp; famille'!D4:D59,"🛒 Acheté")+COUNTIF('Maman-Frère-Copine &amp; famille'!D4:D59,"🎁 Emballé")</f>
        <v/>
      </c>
      <c r="D4">
        <f>COUNTIF('Maman-Frère-Copine &amp; famille'!D4:D59,"✅ Offert")</f>
        <v/>
      </c>
    </row>
    <row r="5">
      <c r="A5" t="inlineStr">
        <is>
          <t>Papa</t>
        </is>
      </c>
      <c r="B5">
        <f>COUNTIF('Papa'!B4:B59,"?*")-COUNTIF('Papa'!B34,"?*")</f>
        <v/>
      </c>
      <c r="C5">
        <f>COUNTIF('Papa'!D4:D59,"🛒 Acheté")+COUNTIF('Papa'!D4:D59,"🎁 Emballé")</f>
        <v/>
      </c>
      <c r="D5">
        <f>COUNTIF('Papa'!D4:D59,"✅ Offert")</f>
        <v/>
      </c>
    </row>
    <row r="6">
      <c r="A6" s="5" t="inlineStr">
        <is>
          <t>TOTAL</t>
        </is>
      </c>
      <c r="B6" s="5">
        <f>SUM(B4:B5)</f>
        <v/>
      </c>
      <c r="C6" s="5">
        <f>SUM(C4:C5)</f>
        <v/>
      </c>
      <c r="D6" s="5">
        <f>SUM(D4:D5)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5" customWidth="1" min="3" max="3"/>
    <col width="30" customWidth="1" min="4" max="4"/>
  </cols>
  <sheetData>
    <row r="1" ht="30" customHeight="1">
      <c r="A1" s="13" t="inlineStr">
        <is>
          <t>🎰 Si je gagne – les premiers pas (hypothétique)</t>
        </is>
      </c>
    </row>
    <row r="2">
      <c r="A2" s="2" t="inlineStr">
        <is>
          <t>Informations générales, pas un conseil. Chiffres et règles à revérifier avec un notaire / conseiller indépendant.</t>
        </is>
      </c>
    </row>
    <row r="3">
      <c r="A3" s="3" t="inlineStr">
        <is>
          <t>Étape</t>
        </is>
      </c>
      <c r="B3" s="3" t="inlineStr">
        <is>
          <t>À faire</t>
        </is>
      </c>
      <c r="C3" s="3" t="inlineStr">
        <is>
          <t>Quand</t>
        </is>
      </c>
      <c r="D3" s="3" t="inlineStr">
        <is>
          <t>Fait ?</t>
        </is>
      </c>
    </row>
    <row r="4">
      <c r="A4" s="6" t="inlineStr">
        <is>
          <t>1. Ticket</t>
        </is>
      </c>
      <c r="B4" s="6" t="inlineStr">
        <is>
          <t>Signer le ticket, en faire des photos, le ranger en lieu sûr</t>
        </is>
      </c>
      <c r="C4" s="6" t="inlineStr">
        <is>
          <t>Jour J</t>
        </is>
      </c>
      <c r="D4" s="6" t="inlineStr"/>
    </row>
    <row r="5">
      <c r="A5" s="6" t="inlineStr">
        <is>
          <t>2. Discrétion</t>
        </is>
      </c>
      <c r="B5" s="6" t="inlineStr">
        <is>
          <t>Ne rien dire à personne (ni réseaux sociaux) tant que rien n'est décidé</t>
        </is>
      </c>
      <c r="C5" s="6" t="inlineStr">
        <is>
          <t>Jour J</t>
        </is>
      </c>
      <c r="D5" s="6" t="inlineStr"/>
    </row>
    <row r="6">
      <c r="A6" s="6" t="inlineStr">
        <is>
          <t>3. Décider le nom</t>
        </is>
      </c>
      <c r="B6" s="6" t="inlineStr">
        <is>
          <t>Voir le tableau « Ticket : à ton nom ou aux deux ? » plus bas, idéalement AVANT de signer</t>
        </is>
      </c>
      <c r="C6" s="6" t="inlineStr">
        <is>
          <t>Jour J</t>
        </is>
      </c>
      <c r="D6" s="6" t="inlineStr"/>
    </row>
    <row r="7">
      <c r="A7" s="6" t="inlineStr">
        <is>
          <t>4. FDJ</t>
        </is>
      </c>
      <c r="B7" s="6" t="inlineStr">
        <is>
          <t>Contacter la FDJ pour la réclamation et l'accompagnement des gros gagnants</t>
        </is>
      </c>
      <c r="C7" s="6" t="inlineStr">
        <is>
          <t>Jours 1-3</t>
        </is>
      </c>
      <c r="D7" s="6" t="inlineStr"/>
    </row>
    <row r="8">
      <c r="A8" s="6" t="inlineStr">
        <is>
          <t>5. Équipe</t>
        </is>
      </c>
      <c r="B8" s="6" t="inlineStr">
        <is>
          <t>Choisir un notaire, un conseiller en gestion de patrimoine indépendant (honoraires), un expert-comptable</t>
        </is>
      </c>
      <c r="C8" s="6" t="inlineStr">
        <is>
          <t>Semaine 1</t>
        </is>
      </c>
      <c r="D8" s="6" t="inlineStr"/>
    </row>
    <row r="9">
      <c r="A9" s="6" t="inlineStr">
        <is>
          <t>6. Banque</t>
        </is>
      </c>
      <c r="B9" s="6" t="inlineStr">
        <is>
          <t>Verser sur un compte, répartir sur plusieurs banques (dépôts garantis à 100 000 € par banque)</t>
        </is>
      </c>
      <c r="C9" s="6" t="inlineStr">
        <is>
          <t>Semaine 1-2</t>
        </is>
      </c>
      <c r="D9" s="6" t="inlineStr"/>
    </row>
    <row r="10">
      <c r="A10" s="6" t="inlineStr">
        <is>
          <t>7. Pause</t>
        </is>
      </c>
      <c r="B10" s="6" t="inlineStr">
        <is>
          <t>Ne rien dépenser de gros pendant 1 à 3 mois</t>
        </is>
      </c>
      <c r="C10" s="6" t="inlineStr">
        <is>
          <t>Mois 1-3</t>
        </is>
      </c>
      <c r="D10" s="6" t="inlineStr"/>
    </row>
    <row r="11">
      <c r="A11" s="6" t="inlineStr">
        <is>
          <t>8. Budget plaisir</t>
        </is>
      </c>
      <c r="B11" s="6" t="inlineStr">
        <is>
          <t>Fixer une enveloppe cadeaux / achats plaisir (voir onglet Placements)</t>
        </is>
      </c>
      <c r="C11" s="6" t="inlineStr">
        <is>
          <t>Mois 1</t>
        </is>
      </c>
      <c r="D11" s="6" t="inlineStr"/>
    </row>
    <row r="12">
      <c r="A12" s="6" t="inlineStr">
        <is>
          <t>9. Famille</t>
        </is>
      </c>
      <c r="B12" s="6" t="inlineStr">
        <is>
          <t>Définir qui reçoit quoi, puis faire des dons encadrés par le notaire</t>
        </is>
      </c>
      <c r="C12" s="6" t="inlineStr">
        <is>
          <t>Mois 1-3</t>
        </is>
      </c>
      <c r="D12" s="6" t="inlineStr"/>
    </row>
    <row r="13">
      <c r="A13" s="6" t="inlineStr">
        <is>
          <t>10. Protection</t>
        </is>
      </c>
      <c r="B13" s="6" t="inlineStr">
        <is>
          <t>Faire le point sur PACS / mariage, testament, assurance-vie avec bénéficiaire</t>
        </is>
      </c>
      <c r="C13" s="6" t="inlineStr">
        <is>
          <t>Mois 1-3</t>
        </is>
      </c>
      <c r="D13" s="6" t="inlineStr"/>
    </row>
    <row r="14">
      <c r="A14" s="6" t="inlineStr">
        <is>
          <t>11. Placements</t>
        </is>
      </c>
      <c r="B14" s="6" t="inlineStr">
        <is>
          <t>Investir progressivement selon l'onglet Placements</t>
        </is>
      </c>
      <c r="C14" s="6" t="inlineStr">
        <is>
          <t>Mois 3+</t>
        </is>
      </c>
      <c r="D14" s="6" t="inlineStr"/>
    </row>
    <row r="16">
      <c r="A16" s="14" t="inlineStr">
        <is>
          <t>Ticket : à ton nom ou aux deux ?</t>
        </is>
      </c>
    </row>
    <row r="17">
      <c r="A17" s="3" t="inlineStr">
        <is>
          <t>Option</t>
        </is>
      </c>
      <c r="B17" s="3" t="inlineStr">
        <is>
          <t>Avantages</t>
        </is>
      </c>
      <c r="C17" s="3" t="inlineStr">
        <is>
          <t>Risques / limites</t>
        </is>
      </c>
      <c r="D17" s="3" t="inlineStr">
        <is>
          <t>À vérifier</t>
        </is>
      </c>
    </row>
    <row r="18">
      <c r="A18" s="6" t="inlineStr">
        <is>
          <t>À ton nom seul</t>
        </is>
      </c>
      <c r="B18" s="6" t="inlineStr">
        <is>
          <t>Le gain est à toi. Tu gardes la main et tu choisis ensuite à qui donner, de façon encadrée.</t>
        </is>
      </c>
      <c r="C18" s="6" t="inlineStr">
        <is>
          <t>Ta copine n'est pas héritière sans mariage ni testament. Des dons à une personne non mariée ou non pacsée sont taxés lourdement.</t>
        </is>
      </c>
      <c r="D18" s="6" t="inlineStr">
        <is>
          <t>Droits de donation / succession entre non-mariés</t>
        </is>
      </c>
    </row>
    <row r="19">
      <c r="A19" s="6" t="inlineStr">
        <is>
          <t>Aux deux noms (copine)</t>
        </is>
      </c>
      <c r="B19" s="6" t="inlineStr">
        <is>
          <t>Le gain est partagé dès le départ.</t>
        </is>
      </c>
      <c r="C19" s="6" t="inlineStr">
        <is>
          <t>Co-propriété : en cas de séparation, c'est compliqué. Aussi une donation indirecte possible. Ça ne règle pas la transmission.</t>
        </is>
      </c>
      <c r="D19" s="6" t="inlineStr">
        <is>
          <t>Notaire AVANT de signer</t>
        </is>
      </c>
    </row>
    <row r="20">
      <c r="A20" s="6" t="inlineStr">
        <is>
          <t>À ton nom + PACS ou mariage</t>
        </is>
      </c>
      <c r="B20" s="6" t="inlineStr">
        <is>
          <t>Le conjoint ou partenaire pacsé est exonéré de droits de succession. Le mariage protège davantage.</t>
        </is>
      </c>
      <c r="C20" s="6" t="inlineStr">
        <is>
          <t>Engagement juridique, régime matrimonial à choisir.</t>
        </is>
      </c>
      <c r="D20" s="6" t="inlineStr">
        <is>
          <t>Contrat de mariage, testament</t>
        </is>
      </c>
    </row>
    <row r="21">
      <c r="A21" s="6" t="inlineStr">
        <is>
          <t>À ton nom + assurance-vie</t>
        </is>
      </c>
      <c r="B21" s="6" t="inlineStr">
        <is>
          <t>Tu désignes qui reçoit, hors succession classique, avec un abattement par bénéficiaire (152 500 € dans le cas général, à vérifier).</t>
        </is>
      </c>
      <c r="C21" s="6" t="inlineStr">
        <is>
          <t>Clause bénéficiaire à rédiger précisément. Fiscalité selon l'âge des versements.</t>
        </is>
      </c>
      <c r="D21" s="6" t="inlineStr">
        <is>
          <t>Clause bénéficiaire avec le notaire</t>
        </is>
      </c>
    </row>
  </sheetData>
  <mergeCells count="1">
    <mergeCell ref="A1:D1"/>
  </mergeCells>
  <dataValidations count="1">
    <dataValidation sqref="D4:D14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12" customWidth="1" min="3" max="3"/>
    <col width="16" customWidth="1" min="4" max="4"/>
    <col width="28" customWidth="1" min="5" max="5"/>
    <col width="42" customWidth="1" min="6" max="6"/>
    <col width="40" customWidth="1" min="7" max="7"/>
  </cols>
  <sheetData>
    <row r="1" ht="30" customHeight="1">
      <c r="A1" s="13" t="inlineStr">
        <is>
          <t>💶 Si je gagne – répartition et placements (hypothétique)</t>
        </is>
      </c>
    </row>
    <row r="3">
      <c r="A3" s="5" t="inlineStr">
        <is>
          <t>Montant gagné (€)</t>
        </is>
      </c>
      <c r="B3" s="15" t="n">
        <v>79000000</v>
      </c>
    </row>
    <row r="4">
      <c r="A4" s="2" t="inlineStr">
        <is>
          <t>Mets les % dans la colonne C. Les montants se calculent seuls.</t>
        </is>
      </c>
    </row>
    <row r="6">
      <c r="A6" s="3" t="inlineStr">
        <is>
          <t>Poste</t>
        </is>
      </c>
      <c r="B6" s="3" t="inlineStr">
        <is>
          <t>Quoi</t>
        </is>
      </c>
      <c r="C6" s="3" t="inlineStr">
        <is>
          <t>% du gain</t>
        </is>
      </c>
      <c r="D6" s="3" t="inlineStr">
        <is>
          <t>Montant (€)</t>
        </is>
      </c>
      <c r="E6" s="3" t="inlineStr">
        <is>
          <t>Plafond / limite</t>
        </is>
      </c>
      <c r="F6" s="3" t="inlineStr">
        <is>
          <t>Fiscalité (à vérifier)</t>
        </is>
      </c>
      <c r="G6" s="3" t="inlineStr">
        <is>
          <t>Remarques</t>
        </is>
      </c>
    </row>
    <row r="7">
      <c r="A7" s="6" t="inlineStr">
        <is>
          <t>Sécurité – comptes</t>
        </is>
      </c>
      <c r="B7" s="6" t="inlineStr">
        <is>
          <t>Plusieurs banques, livrets</t>
        </is>
      </c>
      <c r="C7" s="16" t="n">
        <v>0.1</v>
      </c>
      <c r="D7" s="17">
        <f>$B$3*C7</f>
        <v/>
      </c>
      <c r="E7" s="6" t="inlineStr">
        <is>
          <t>Garantie 100 000 € par banque. Livret A 22 950 €, LDDS 12 000 €</t>
        </is>
      </c>
      <c r="F7" s="6" t="inlineStr">
        <is>
          <t>Intérêts du Livret A et LDDS exonérés d'impôt</t>
        </is>
      </c>
      <c r="G7" s="6" t="inlineStr">
        <is>
          <t>Réserve de précaution, disponible tout de suite</t>
        </is>
      </c>
    </row>
    <row r="8">
      <c r="A8" s="6" t="inlineStr">
        <is>
          <t>Assurance-vie</t>
        </is>
      </c>
      <c r="B8" s="6" t="inlineStr">
        <is>
          <t>Fonds euros + unités de compte</t>
        </is>
      </c>
      <c r="C8" s="16" t="n">
        <v>0.25</v>
      </c>
      <c r="D8" s="17">
        <f>$B$3*C8</f>
        <v/>
      </c>
      <c r="E8" s="6" t="inlineStr">
        <is>
          <t>Pas de plafond. Plusieurs contrats possibles</t>
        </is>
      </c>
      <c r="F8" s="6" t="inlineStr">
        <is>
          <t>Gains imposés après 8 ans avec abattement 4 600 € (9 200 € couple), puis 7,5 % ou 12,8 % + prélèvements sociaux (~17,2 %, taux à vérifier)</t>
        </is>
      </c>
      <c r="G8" s="6" t="inlineStr">
        <is>
          <t>Bon pour la transmission (abattement par bénéficiaire). Répartir les risques</t>
        </is>
      </c>
    </row>
    <row r="9">
      <c r="A9" s="6" t="inlineStr">
        <is>
          <t>PEA (actions)</t>
        </is>
      </c>
      <c r="B9" s="6" t="inlineStr">
        <is>
          <t>Actions européennes, ETF</t>
        </is>
      </c>
      <c r="C9" s="16" t="n">
        <v>0.05</v>
      </c>
      <c r="D9" s="17">
        <f>$B$3*C9</f>
        <v/>
      </c>
      <c r="E9" s="6" t="inlineStr">
        <is>
          <t>Plafond de versements 150 000 €</t>
        </is>
      </c>
      <c r="F9" s="6" t="inlineStr">
        <is>
          <t>Après 5 ans, plus d'impôt sur les gains (prélèvements sociaux restent)</t>
        </is>
      </c>
      <c r="G9" s="6" t="inlineStr">
        <is>
          <t>Placement long terme, risque de perte</t>
        </is>
      </c>
    </row>
    <row r="10">
      <c r="A10" s="6" t="inlineStr">
        <is>
          <t>Compte-titres</t>
        </is>
      </c>
      <c r="B10" s="6" t="inlineStr">
        <is>
          <t>Actions, ETF, obligations</t>
        </is>
      </c>
      <c r="C10" s="16" t="n">
        <v>0.15</v>
      </c>
      <c r="D10" s="17">
        <f>$B$3*C10</f>
        <v/>
      </c>
      <c r="E10" s="6" t="inlineStr">
        <is>
          <t>Pas de plafond</t>
        </is>
      </c>
      <c r="F10" s="6" t="inlineStr">
        <is>
          <t>Flat tax 30 % (12,8 % + 17,2 %), taux à vérifier</t>
        </is>
      </c>
      <c r="G10" s="6" t="inlineStr">
        <is>
          <t>Souple, mais plus taxé</t>
        </is>
      </c>
    </row>
    <row r="11">
      <c r="A11" s="6" t="inlineStr">
        <is>
          <t>Contrat de capitalisation</t>
        </is>
      </c>
      <c r="B11" s="6" t="inlineStr">
        <is>
          <t>Support proche de l'assurance-vie</t>
        </is>
      </c>
      <c r="C11" s="16" t="n">
        <v>0.1</v>
      </c>
      <c r="D11" s="17">
        <f>$B$3*C11</f>
        <v/>
      </c>
      <c r="E11" s="6" t="inlineStr">
        <is>
          <t>Pas de plafond</t>
        </is>
      </c>
      <c r="F11" s="6" t="inlineStr">
        <is>
          <t>Fiscalité proche de l'assurance-vie</t>
        </is>
      </c>
      <c r="G11" s="6" t="inlineStr">
        <is>
          <t>Utile pour donner / transmettre</t>
        </is>
      </c>
    </row>
    <row r="12">
      <c r="A12" s="6" t="inlineStr">
        <is>
          <t>Immobilier</t>
        </is>
      </c>
      <c r="B12" s="6" t="inlineStr">
        <is>
          <t>Résidence principale, locatif</t>
        </is>
      </c>
      <c r="C12" s="16" t="n">
        <v>0.2</v>
      </c>
      <c r="D12" s="17">
        <f>$B$3*C12</f>
        <v/>
      </c>
      <c r="E12" s="6" t="inlineStr">
        <is>
          <t>IFI au-delà de 1,3 M € de patrimoine immobilier net</t>
        </is>
      </c>
      <c r="F12" s="6" t="inlineStr">
        <is>
          <t>Revenus fonciers imposés. Résidence principale exonérée de plus-value à la revente</t>
        </is>
      </c>
      <c r="G12" s="6" t="inlineStr">
        <is>
          <t>Demande un notaire, évite l'endettement</t>
        </is>
      </c>
    </row>
    <row r="13">
      <c r="A13" s="6" t="inlineStr">
        <is>
          <t>Famille – dons</t>
        </is>
      </c>
      <c r="B13" s="6" t="inlineStr">
        <is>
          <t>Parents, frère, copine et sa famille</t>
        </is>
      </c>
      <c r="C13" s="16" t="n">
        <v>0.08</v>
      </c>
      <c r="D13" s="17">
        <f>$B$3*C13</f>
        <v/>
      </c>
      <c r="E13" s="6" t="inlineStr">
        <is>
          <t>Abattement parent-enfant 100 000 € tous les 15 ans. Don d'argent exonéré 31 865 € (donateur &lt; 80 ans, bénéficiaire majeur : enfants, petits-enfants, neveux/nièces, PAS les parents). Frère/sœur 15 932 €</t>
        </is>
      </c>
      <c r="F13" s="6" t="inlineStr">
        <is>
          <t>Au-delà : droits de donation selon le lien de parenté</t>
        </is>
      </c>
      <c r="G13" s="6" t="inlineStr">
        <is>
          <t>Dons encadrés par le notaire, répartis dans le temps</t>
        </is>
      </c>
    </row>
    <row r="14">
      <c r="A14" s="6" t="inlineStr">
        <is>
          <t>Plaisir</t>
        </is>
      </c>
      <c r="B14" s="6" t="inlineStr">
        <is>
          <t>Voyages, montres, PS5, etc.</t>
        </is>
      </c>
      <c r="C14" s="16" t="n">
        <v>0.05</v>
      </c>
      <c r="D14" s="17">
        <f>$B$3*C14</f>
        <v/>
      </c>
      <c r="E14" s="6" t="inlineStr">
        <is>
          <t>–</t>
        </is>
      </c>
      <c r="F14" s="6" t="inlineStr">
        <is>
          <t>Pas d'impôt sur la dépense</t>
        </is>
      </c>
      <c r="G14" s="6" t="inlineStr">
        <is>
          <t>Fixe-le à l'avance pour ne pas déraper</t>
        </is>
      </c>
    </row>
    <row r="15">
      <c r="A15" s="6" t="inlineStr">
        <is>
          <t>Associations / dons</t>
        </is>
      </c>
      <c r="B15" s="6" t="inlineStr">
        <is>
          <t>Dons à des causes qui comptent</t>
        </is>
      </c>
      <c r="C15" s="16" t="n">
        <v>0.01</v>
      </c>
      <c r="D15" s="17">
        <f>$B$3*C15</f>
        <v/>
      </c>
      <c r="E15" s="6" t="inlineStr">
        <is>
          <t>Plafond 20 % du revenu imposable</t>
        </is>
      </c>
      <c r="F15" s="6" t="inlineStr">
        <is>
          <t>Réduction d'impôt de 66 % (cas général)</t>
        </is>
      </c>
      <c r="G15" s="6" t="inlineStr">
        <is>
          <t>Optionnel</t>
        </is>
      </c>
    </row>
    <row r="16">
      <c r="A16" s="6" t="inlineStr">
        <is>
          <t>Imprévus / à décider</t>
        </is>
      </c>
      <c r="B16" s="6" t="inlineStr">
        <is>
          <t>Réserve pour décider plus tard</t>
        </is>
      </c>
      <c r="C16" s="16" t="n">
        <v>0.01</v>
      </c>
      <c r="D16" s="17">
        <f>$B$3*C16</f>
        <v/>
      </c>
      <c r="E16" s="6" t="inlineStr">
        <is>
          <t>–</t>
        </is>
      </c>
      <c r="F16" s="6" t="inlineStr">
        <is>
          <t>–</t>
        </is>
      </c>
      <c r="G16" s="6" t="inlineStr">
        <is>
          <t>Garde une marge</t>
        </is>
      </c>
    </row>
    <row r="17">
      <c r="A17" s="5" t="inlineStr">
        <is>
          <t>TOTAL</t>
        </is>
      </c>
      <c r="C17" s="18">
        <f>SUM(C7:C16)</f>
        <v/>
      </c>
      <c r="D17" s="19">
        <f>SUM(D7:D16)</f>
        <v/>
      </c>
      <c r="E17">
        <f>IF(ROUND(C17,4)=1,"✅ 100 %","⚠️ Le total doit faire 100 %")</f>
        <v/>
      </c>
    </row>
    <row r="18"/>
    <row r="19">
      <c r="A19" s="20" t="inlineStr">
        <is>
          <t>Aide pour payer moins d'impôt légalement : enveloppes avantageuses (assurance-vie, PEA, capitalisation), dons échelonnés, bon notaire. Pas d'optimisation agressive.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2026-10-20T12:21:32Z</dcterms:created>
  <dcterms:modified xmlns:dcterms="http://purl.org/dc/terms/" xmlns:xsi="http://www.w3.org/2001/XMLSchema-instance" xsi:type="dcterms:W3CDTF">2026-10-26T09:53:49Z</dcterms:modified>
</cp:coreProperties>
</file>