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man-Frère-Copine &amp; famille" sheetId="1" state="visible" r:id="rId1"/>
    <sheet xmlns:r="http://schemas.openxmlformats.org/officeDocument/2006/relationships" name="Papa" sheetId="2" state="visible" r:id="rId2"/>
    <sheet xmlns:r="http://schemas.openxmlformats.org/officeDocument/2006/relationships" name="Ma wish list" sheetId="3" state="visible" r:id="rId3"/>
    <sheet xmlns:r="http://schemas.openxmlformats.org/officeDocument/2006/relationships" name="Récap budget" sheetId="4" state="visible" r:id="rId4"/>
  </sheets>
  <definedNames>
    <definedName name="_xlnm._FilterDatabase" localSheetId="0" hidden="1">'Maman-Frère-Copine &amp; famille'!$A$3:$G$28</definedName>
    <definedName name="_xlnm._FilterDatabase" localSheetId="1" hidden="1">'Papa'!$A$3:$G$28</definedName>
    <definedName name="_xlnm._FilterDatabase" localSheetId="2" hidden="1">'Ma wish list'!$A$3:$G$40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  <font>
      <b val="1"/>
      <i val="1"/>
    </font>
    <font>
      <color rgb="0099999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FFF8E5"/>
      </patternFill>
    </fill>
    <fill>
      <patternFill patternType="solid">
        <fgColor rgb="004F81BD"/>
      </patternFill>
    </fill>
    <fill>
      <patternFill patternType="solid">
        <fgColor rgb="00E69138"/>
      </patternFill>
    </fill>
    <fill>
      <patternFill patternType="solid">
        <fgColor rgb="009999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pivotButton="0" quotePrefix="0" xfId="0"/>
    <xf numFmtId="164" fontId="0" fillId="4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2" fillId="7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0" fillId="8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0" customWidth="1" min="7" max="7"/>
    <col width="3" customWidth="1" min="8" max="8"/>
    <col width="30" customWidth="1" min="9" max="9"/>
    <col width="16" customWidth="1" min="10" max="10"/>
    <col width="12" customWidth="1" min="11" max="11"/>
  </cols>
  <sheetData>
    <row r="1" ht="30" customHeight="1">
      <c r="A1" s="1" t="inlineStr">
        <is>
          <t>🎁 Idées cadeaux – Maman-Frère-Copine &amp; famille</t>
        </is>
      </c>
    </row>
    <row r="2">
      <c r="I2" s="2" t="inlineStr">
        <is>
          <t>⭐ Depuis ma wish list (automatique, ne pas modifier)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Prix estimé (€)</t>
        </is>
      </c>
      <c r="E3" s="3" t="inlineStr">
        <is>
          <t>Prix payé (€)</t>
        </is>
      </c>
      <c r="F3" s="3" t="inlineStr">
        <is>
          <t>Statut</t>
        </is>
      </c>
      <c r="G3" s="3" t="inlineStr">
        <is>
          <t>Notes</t>
        </is>
      </c>
      <c r="I3" s="3" t="inlineStr">
        <is>
          <t>Article</t>
        </is>
      </c>
      <c r="J3" s="3" t="inlineStr">
        <is>
          <t>Offert par</t>
        </is>
      </c>
      <c r="K3" s="3" t="inlineStr">
        <is>
          <t>Prix (€)</t>
        </is>
      </c>
    </row>
    <row r="4">
      <c r="A4" s="4" t="n"/>
      <c r="B4" s="4" t="n"/>
      <c r="C4" s="4" t="n"/>
      <c r="D4" s="5" t="n"/>
      <c r="E4" s="5" t="n"/>
      <c r="F4" s="4" t="n"/>
      <c r="G4" s="4" t="n"/>
      <c r="I4" s="6">
        <f>IFERROR(INDEX('Ma wish list'!$A$4:$A$40,MATCH(1,'Ma wish list'!$I$4:$I$40,0)),"")</f>
        <v/>
      </c>
      <c r="J4" s="6">
        <f>IFERROR(INDEX('Ma wish list'!$F$4:$F$40,MATCH(1,'Ma wish list'!$I$4:$I$40,0)),"")</f>
        <v/>
      </c>
      <c r="K4" s="7">
        <f>IFERROR(INDEX('Ma wish list'!$D$4:$D$40,MATCH(1,'Ma wish list'!$I$4:$I$40,0)),"")</f>
        <v/>
      </c>
    </row>
    <row r="5">
      <c r="A5" s="4" t="n"/>
      <c r="B5" s="4" t="n"/>
      <c r="C5" s="4" t="n"/>
      <c r="D5" s="5" t="n"/>
      <c r="E5" s="5" t="n"/>
      <c r="F5" s="4" t="n"/>
      <c r="G5" s="4" t="n"/>
      <c r="I5" s="6">
        <f>IFERROR(INDEX('Ma wish list'!$A$4:$A$40,MATCH(2,'Ma wish list'!$I$4:$I$40,0)),"")</f>
        <v/>
      </c>
      <c r="J5" s="6">
        <f>IFERROR(INDEX('Ma wish list'!$F$4:$F$40,MATCH(2,'Ma wish list'!$I$4:$I$40,0)),"")</f>
        <v/>
      </c>
      <c r="K5" s="7">
        <f>IFERROR(INDEX('Ma wish list'!$D$4:$D$40,MATCH(2,'Ma wish list'!$I$4:$I$40,0)),"")</f>
        <v/>
      </c>
    </row>
    <row r="6">
      <c r="A6" s="4" t="n"/>
      <c r="B6" s="4" t="n"/>
      <c r="C6" s="4" t="n"/>
      <c r="D6" s="5" t="n"/>
      <c r="E6" s="5" t="n"/>
      <c r="F6" s="4" t="n"/>
      <c r="G6" s="4" t="n"/>
      <c r="I6" s="6">
        <f>IFERROR(INDEX('Ma wish list'!$A$4:$A$40,MATCH(3,'Ma wish list'!$I$4:$I$40,0)),"")</f>
        <v/>
      </c>
      <c r="J6" s="6">
        <f>IFERROR(INDEX('Ma wish list'!$F$4:$F$40,MATCH(3,'Ma wish list'!$I$4:$I$40,0)),"")</f>
        <v/>
      </c>
      <c r="K6" s="7">
        <f>IFERROR(INDEX('Ma wish list'!$D$4:$D$40,MATCH(3,'Ma wish list'!$I$4:$I$40,0)),"")</f>
        <v/>
      </c>
    </row>
    <row r="7">
      <c r="A7" s="4" t="n"/>
      <c r="B7" s="4" t="n"/>
      <c r="C7" s="4" t="n"/>
      <c r="D7" s="5" t="n"/>
      <c r="E7" s="5" t="n"/>
      <c r="F7" s="4" t="n"/>
      <c r="G7" s="4" t="n"/>
      <c r="I7" s="6">
        <f>IFERROR(INDEX('Ma wish list'!$A$4:$A$40,MATCH(4,'Ma wish list'!$I$4:$I$40,0)),"")</f>
        <v/>
      </c>
      <c r="J7" s="6">
        <f>IFERROR(INDEX('Ma wish list'!$F$4:$F$40,MATCH(4,'Ma wish list'!$I$4:$I$40,0)),"")</f>
        <v/>
      </c>
      <c r="K7" s="7">
        <f>IFERROR(INDEX('Ma wish list'!$D$4:$D$40,MATCH(4,'Ma wish list'!$I$4:$I$40,0)),"")</f>
        <v/>
      </c>
    </row>
    <row r="8">
      <c r="A8" s="4" t="n"/>
      <c r="B8" s="4" t="n"/>
      <c r="C8" s="4" t="n"/>
      <c r="D8" s="5" t="n"/>
      <c r="E8" s="5" t="n"/>
      <c r="F8" s="4" t="n"/>
      <c r="G8" s="4" t="n"/>
      <c r="I8" s="6">
        <f>IFERROR(INDEX('Ma wish list'!$A$4:$A$40,MATCH(5,'Ma wish list'!$I$4:$I$40,0)),"")</f>
        <v/>
      </c>
      <c r="J8" s="6">
        <f>IFERROR(INDEX('Ma wish list'!$F$4:$F$40,MATCH(5,'Ma wish list'!$I$4:$I$40,0)),"")</f>
        <v/>
      </c>
      <c r="K8" s="7">
        <f>IFERROR(INDEX('Ma wish list'!$D$4:$D$40,MATCH(5,'Ma wish list'!$I$4:$I$40,0)),"")</f>
        <v/>
      </c>
    </row>
    <row r="9">
      <c r="A9" s="4" t="n"/>
      <c r="B9" s="4" t="n"/>
      <c r="C9" s="4" t="n"/>
      <c r="D9" s="5" t="n"/>
      <c r="E9" s="5" t="n"/>
      <c r="F9" s="4" t="n"/>
      <c r="G9" s="4" t="n"/>
      <c r="I9" s="6">
        <f>IFERROR(INDEX('Ma wish list'!$A$4:$A$40,MATCH(6,'Ma wish list'!$I$4:$I$40,0)),"")</f>
        <v/>
      </c>
      <c r="J9" s="6">
        <f>IFERROR(INDEX('Ma wish list'!$F$4:$F$40,MATCH(6,'Ma wish list'!$I$4:$I$40,0)),"")</f>
        <v/>
      </c>
      <c r="K9" s="7">
        <f>IFERROR(INDEX('Ma wish list'!$D$4:$D$40,MATCH(6,'Ma wish list'!$I$4:$I$40,0)),"")</f>
        <v/>
      </c>
    </row>
    <row r="10">
      <c r="A10" s="4" t="n"/>
      <c r="B10" s="4" t="n"/>
      <c r="C10" s="4" t="n"/>
      <c r="D10" s="5" t="n"/>
      <c r="E10" s="5" t="n"/>
      <c r="F10" s="4" t="n"/>
      <c r="G10" s="4" t="n"/>
      <c r="I10" s="6">
        <f>IFERROR(INDEX('Ma wish list'!$A$4:$A$40,MATCH(7,'Ma wish list'!$I$4:$I$40,0)),"")</f>
        <v/>
      </c>
      <c r="J10" s="6">
        <f>IFERROR(INDEX('Ma wish list'!$F$4:$F$40,MATCH(7,'Ma wish list'!$I$4:$I$40,0)),"")</f>
        <v/>
      </c>
      <c r="K10" s="7">
        <f>IFERROR(INDEX('Ma wish list'!$D$4:$D$40,MATCH(7,'Ma wish list'!$I$4:$I$40,0)),"")</f>
        <v/>
      </c>
    </row>
    <row r="11">
      <c r="A11" s="4" t="n"/>
      <c r="B11" s="4" t="n"/>
      <c r="C11" s="4" t="n"/>
      <c r="D11" s="5" t="n"/>
      <c r="E11" s="5" t="n"/>
      <c r="F11" s="4" t="n"/>
      <c r="G11" s="4" t="n"/>
      <c r="I11" s="6">
        <f>IFERROR(INDEX('Ma wish list'!$A$4:$A$40,MATCH(8,'Ma wish list'!$I$4:$I$40,0)),"")</f>
        <v/>
      </c>
      <c r="J11" s="6">
        <f>IFERROR(INDEX('Ma wish list'!$F$4:$F$40,MATCH(8,'Ma wish list'!$I$4:$I$40,0)),"")</f>
        <v/>
      </c>
      <c r="K11" s="7">
        <f>IFERROR(INDEX('Ma wish list'!$D$4:$D$40,MATCH(8,'Ma wish list'!$I$4:$I$40,0)),"")</f>
        <v/>
      </c>
    </row>
    <row r="12">
      <c r="A12" s="4" t="n"/>
      <c r="B12" s="4" t="n"/>
      <c r="C12" s="4" t="n"/>
      <c r="D12" s="5" t="n"/>
      <c r="E12" s="5" t="n"/>
      <c r="F12" s="4" t="n"/>
      <c r="G12" s="4" t="n"/>
      <c r="I12" s="6">
        <f>IFERROR(INDEX('Ma wish list'!$A$4:$A$40,MATCH(9,'Ma wish list'!$I$4:$I$40,0)),"")</f>
        <v/>
      </c>
      <c r="J12" s="6">
        <f>IFERROR(INDEX('Ma wish list'!$F$4:$F$40,MATCH(9,'Ma wish list'!$I$4:$I$40,0)),"")</f>
        <v/>
      </c>
      <c r="K12" s="7">
        <f>IFERROR(INDEX('Ma wish list'!$D$4:$D$40,MATCH(9,'Ma wish list'!$I$4:$I$40,0)),"")</f>
        <v/>
      </c>
    </row>
    <row r="13">
      <c r="A13" s="4" t="n"/>
      <c r="B13" s="4" t="n"/>
      <c r="C13" s="4" t="n"/>
      <c r="D13" s="5" t="n"/>
      <c r="E13" s="5" t="n"/>
      <c r="F13" s="4" t="n"/>
      <c r="G13" s="4" t="n"/>
      <c r="I13" s="6">
        <f>IFERROR(INDEX('Ma wish list'!$A$4:$A$40,MATCH(10,'Ma wish list'!$I$4:$I$40,0)),"")</f>
        <v/>
      </c>
      <c r="J13" s="6">
        <f>IFERROR(INDEX('Ma wish list'!$F$4:$F$40,MATCH(10,'Ma wish list'!$I$4:$I$40,0)),"")</f>
        <v/>
      </c>
      <c r="K13" s="7">
        <f>IFERROR(INDEX('Ma wish list'!$D$4:$D$40,MATCH(10,'Ma wish list'!$I$4:$I$40,0)),"")</f>
        <v/>
      </c>
    </row>
    <row r="14">
      <c r="A14" s="4" t="n"/>
      <c r="B14" s="4" t="n"/>
      <c r="C14" s="4" t="n"/>
      <c r="D14" s="5" t="n"/>
      <c r="E14" s="5" t="n"/>
      <c r="F14" s="4" t="n"/>
      <c r="G14" s="4" t="n"/>
      <c r="I14" s="6">
        <f>IFERROR(INDEX('Ma wish list'!$A$4:$A$40,MATCH(11,'Ma wish list'!$I$4:$I$40,0)),"")</f>
        <v/>
      </c>
      <c r="J14" s="6">
        <f>IFERROR(INDEX('Ma wish list'!$F$4:$F$40,MATCH(11,'Ma wish list'!$I$4:$I$40,0)),"")</f>
        <v/>
      </c>
      <c r="K14" s="7">
        <f>IFERROR(INDEX('Ma wish list'!$D$4:$D$40,MATCH(11,'Ma wish list'!$I$4:$I$40,0)),"")</f>
        <v/>
      </c>
    </row>
    <row r="15">
      <c r="A15" s="4" t="n"/>
      <c r="B15" s="4" t="n"/>
      <c r="C15" s="4" t="n"/>
      <c r="D15" s="5" t="n"/>
      <c r="E15" s="5" t="n"/>
      <c r="F15" s="4" t="n"/>
      <c r="G15" s="4" t="n"/>
      <c r="I15" s="6">
        <f>IFERROR(INDEX('Ma wish list'!$A$4:$A$40,MATCH(12,'Ma wish list'!$I$4:$I$40,0)),"")</f>
        <v/>
      </c>
      <c r="J15" s="6">
        <f>IFERROR(INDEX('Ma wish list'!$F$4:$F$40,MATCH(12,'Ma wish list'!$I$4:$I$40,0)),"")</f>
        <v/>
      </c>
      <c r="K15" s="7">
        <f>IFERROR(INDEX('Ma wish list'!$D$4:$D$40,MATCH(12,'Ma wish list'!$I$4:$I$40,0)),"")</f>
        <v/>
      </c>
    </row>
    <row r="16">
      <c r="A16" s="4" t="n"/>
      <c r="B16" s="4" t="n"/>
      <c r="C16" s="4" t="n"/>
      <c r="D16" s="5" t="n"/>
      <c r="E16" s="5" t="n"/>
      <c r="F16" s="4" t="n"/>
      <c r="G16" s="4" t="n"/>
      <c r="I16" s="6">
        <f>IFERROR(INDEX('Ma wish list'!$A$4:$A$40,MATCH(13,'Ma wish list'!$I$4:$I$40,0)),"")</f>
        <v/>
      </c>
      <c r="J16" s="6">
        <f>IFERROR(INDEX('Ma wish list'!$F$4:$F$40,MATCH(13,'Ma wish list'!$I$4:$I$40,0)),"")</f>
        <v/>
      </c>
      <c r="K16" s="7">
        <f>IFERROR(INDEX('Ma wish list'!$D$4:$D$40,MATCH(13,'Ma wish list'!$I$4:$I$40,0)),"")</f>
        <v/>
      </c>
    </row>
    <row r="17">
      <c r="A17" s="4" t="n"/>
      <c r="B17" s="4" t="n"/>
      <c r="C17" s="4" t="n"/>
      <c r="D17" s="5" t="n"/>
      <c r="E17" s="5" t="n"/>
      <c r="F17" s="4" t="n"/>
      <c r="G17" s="4" t="n"/>
      <c r="I17" s="6">
        <f>IFERROR(INDEX('Ma wish list'!$A$4:$A$40,MATCH(14,'Ma wish list'!$I$4:$I$40,0)),"")</f>
        <v/>
      </c>
      <c r="J17" s="6">
        <f>IFERROR(INDEX('Ma wish list'!$F$4:$F$40,MATCH(14,'Ma wish list'!$I$4:$I$40,0)),"")</f>
        <v/>
      </c>
      <c r="K17" s="7">
        <f>IFERROR(INDEX('Ma wish list'!$D$4:$D$40,MATCH(14,'Ma wish list'!$I$4:$I$40,0)),"")</f>
        <v/>
      </c>
    </row>
    <row r="18">
      <c r="A18" s="4" t="n"/>
      <c r="B18" s="4" t="n"/>
      <c r="C18" s="4" t="n"/>
      <c r="D18" s="5" t="n"/>
      <c r="E18" s="5" t="n"/>
      <c r="F18" s="4" t="n"/>
      <c r="G18" s="4" t="n"/>
      <c r="I18" s="6">
        <f>IFERROR(INDEX('Ma wish list'!$A$4:$A$40,MATCH(15,'Ma wish list'!$I$4:$I$40,0)),"")</f>
        <v/>
      </c>
      <c r="J18" s="6">
        <f>IFERROR(INDEX('Ma wish list'!$F$4:$F$40,MATCH(15,'Ma wish list'!$I$4:$I$40,0)),"")</f>
        <v/>
      </c>
      <c r="K18" s="7">
        <f>IFERROR(INDEX('Ma wish list'!$D$4:$D$40,MATCH(15,'Ma wish list'!$I$4:$I$40,0)),"")</f>
        <v/>
      </c>
    </row>
    <row r="19">
      <c r="A19" s="4" t="n"/>
      <c r="B19" s="4" t="n"/>
      <c r="C19" s="4" t="n"/>
      <c r="D19" s="5" t="n"/>
      <c r="E19" s="5" t="n"/>
      <c r="F19" s="4" t="n"/>
      <c r="G19" s="4" t="n"/>
      <c r="I19" s="6">
        <f>IFERROR(INDEX('Ma wish list'!$A$4:$A$40,MATCH(16,'Ma wish list'!$I$4:$I$40,0)),"")</f>
        <v/>
      </c>
      <c r="J19" s="6">
        <f>IFERROR(INDEX('Ma wish list'!$F$4:$F$40,MATCH(16,'Ma wish list'!$I$4:$I$40,0)),"")</f>
        <v/>
      </c>
      <c r="K19" s="7">
        <f>IFERROR(INDEX('Ma wish list'!$D$4:$D$40,MATCH(16,'Ma wish list'!$I$4:$I$40,0)),"")</f>
        <v/>
      </c>
    </row>
    <row r="20">
      <c r="A20" s="4" t="n"/>
      <c r="B20" s="4" t="n"/>
      <c r="C20" s="4" t="n"/>
      <c r="D20" s="5" t="n"/>
      <c r="E20" s="5" t="n"/>
      <c r="F20" s="4" t="n"/>
      <c r="G20" s="4" t="n"/>
      <c r="I20" s="6">
        <f>IFERROR(INDEX('Ma wish list'!$A$4:$A$40,MATCH(17,'Ma wish list'!$I$4:$I$40,0)),"")</f>
        <v/>
      </c>
      <c r="J20" s="6">
        <f>IFERROR(INDEX('Ma wish list'!$F$4:$F$40,MATCH(17,'Ma wish list'!$I$4:$I$40,0)),"")</f>
        <v/>
      </c>
      <c r="K20" s="7">
        <f>IFERROR(INDEX('Ma wish list'!$D$4:$D$40,MATCH(17,'Ma wish list'!$I$4:$I$40,0)),"")</f>
        <v/>
      </c>
    </row>
    <row r="21">
      <c r="A21" s="4" t="n"/>
      <c r="B21" s="4" t="n"/>
      <c r="C21" s="4" t="n"/>
      <c r="D21" s="5" t="n"/>
      <c r="E21" s="5" t="n"/>
      <c r="F21" s="4" t="n"/>
      <c r="G21" s="4" t="n"/>
      <c r="I21" s="6">
        <f>IFERROR(INDEX('Ma wish list'!$A$4:$A$40,MATCH(18,'Ma wish list'!$I$4:$I$40,0)),"")</f>
        <v/>
      </c>
      <c r="J21" s="6">
        <f>IFERROR(INDEX('Ma wish list'!$F$4:$F$40,MATCH(18,'Ma wish list'!$I$4:$I$40,0)),"")</f>
        <v/>
      </c>
      <c r="K21" s="7">
        <f>IFERROR(INDEX('Ma wish list'!$D$4:$D$40,MATCH(18,'Ma wish list'!$I$4:$I$40,0)),"")</f>
        <v/>
      </c>
    </row>
    <row r="22">
      <c r="A22" s="4" t="n"/>
      <c r="B22" s="4" t="n"/>
      <c r="C22" s="4" t="n"/>
      <c r="D22" s="5" t="n"/>
      <c r="E22" s="5" t="n"/>
      <c r="F22" s="4" t="n"/>
      <c r="G22" s="4" t="n"/>
      <c r="I22" s="6">
        <f>IFERROR(INDEX('Ma wish list'!$A$4:$A$40,MATCH(19,'Ma wish list'!$I$4:$I$40,0)),"")</f>
        <v/>
      </c>
      <c r="J22" s="6">
        <f>IFERROR(INDEX('Ma wish list'!$F$4:$F$40,MATCH(19,'Ma wish list'!$I$4:$I$40,0)),"")</f>
        <v/>
      </c>
      <c r="K22" s="7">
        <f>IFERROR(INDEX('Ma wish list'!$D$4:$D$40,MATCH(19,'Ma wish list'!$I$4:$I$40,0)),"")</f>
        <v/>
      </c>
    </row>
    <row r="23">
      <c r="A23" s="4" t="n"/>
      <c r="B23" s="4" t="n"/>
      <c r="C23" s="4" t="n"/>
      <c r="D23" s="5" t="n"/>
      <c r="E23" s="5" t="n"/>
      <c r="F23" s="4" t="n"/>
      <c r="G23" s="4" t="n"/>
      <c r="I23" s="6">
        <f>IFERROR(INDEX('Ma wish list'!$A$4:$A$40,MATCH(20,'Ma wish list'!$I$4:$I$40,0)),"")</f>
        <v/>
      </c>
      <c r="J23" s="6">
        <f>IFERROR(INDEX('Ma wish list'!$F$4:$F$40,MATCH(20,'Ma wish list'!$I$4:$I$40,0)),"")</f>
        <v/>
      </c>
      <c r="K23" s="7">
        <f>IFERROR(INDEX('Ma wish list'!$D$4:$D$40,MATCH(20,'Ma wish list'!$I$4:$I$40,0)),"")</f>
        <v/>
      </c>
    </row>
    <row r="24">
      <c r="A24" s="4" t="n"/>
      <c r="B24" s="4" t="n"/>
      <c r="C24" s="4" t="n"/>
      <c r="D24" s="5" t="n"/>
      <c r="E24" s="5" t="n"/>
      <c r="F24" s="4" t="n"/>
      <c r="G24" s="4" t="n"/>
      <c r="I24" s="6">
        <f>IFERROR(INDEX('Ma wish list'!$A$4:$A$40,MATCH(21,'Ma wish list'!$I$4:$I$40,0)),"")</f>
        <v/>
      </c>
      <c r="J24" s="6">
        <f>IFERROR(INDEX('Ma wish list'!$F$4:$F$40,MATCH(21,'Ma wish list'!$I$4:$I$40,0)),"")</f>
        <v/>
      </c>
      <c r="K24" s="7">
        <f>IFERROR(INDEX('Ma wish list'!$D$4:$D$40,MATCH(21,'Ma wish list'!$I$4:$I$40,0)),"")</f>
        <v/>
      </c>
    </row>
    <row r="25">
      <c r="A25" s="4" t="n"/>
      <c r="B25" s="4" t="n"/>
      <c r="C25" s="4" t="n"/>
      <c r="D25" s="5" t="n"/>
      <c r="E25" s="5" t="n"/>
      <c r="F25" s="4" t="n"/>
      <c r="G25" s="4" t="n"/>
      <c r="I25" s="6">
        <f>IFERROR(INDEX('Ma wish list'!$A$4:$A$40,MATCH(22,'Ma wish list'!$I$4:$I$40,0)),"")</f>
        <v/>
      </c>
      <c r="J25" s="6">
        <f>IFERROR(INDEX('Ma wish list'!$F$4:$F$40,MATCH(22,'Ma wish list'!$I$4:$I$40,0)),"")</f>
        <v/>
      </c>
      <c r="K25" s="7">
        <f>IFERROR(INDEX('Ma wish list'!$D$4:$D$40,MATCH(22,'Ma wish list'!$I$4:$I$40,0)),"")</f>
        <v/>
      </c>
    </row>
    <row r="26">
      <c r="A26" s="4" t="n"/>
      <c r="B26" s="4" t="n"/>
      <c r="C26" s="4" t="n"/>
      <c r="D26" s="5" t="n"/>
      <c r="E26" s="5" t="n"/>
      <c r="F26" s="4" t="n"/>
      <c r="G26" s="4" t="n"/>
      <c r="I26" s="6">
        <f>IFERROR(INDEX('Ma wish list'!$A$4:$A$40,MATCH(23,'Ma wish list'!$I$4:$I$40,0)),"")</f>
        <v/>
      </c>
      <c r="J26" s="6">
        <f>IFERROR(INDEX('Ma wish list'!$F$4:$F$40,MATCH(23,'Ma wish list'!$I$4:$I$40,0)),"")</f>
        <v/>
      </c>
      <c r="K26" s="7">
        <f>IFERROR(INDEX('Ma wish list'!$D$4:$D$40,MATCH(23,'Ma wish list'!$I$4:$I$40,0)),"")</f>
        <v/>
      </c>
    </row>
    <row r="27">
      <c r="A27" s="4" t="n"/>
      <c r="B27" s="4" t="n"/>
      <c r="C27" s="4" t="n"/>
      <c r="D27" s="5" t="n"/>
      <c r="E27" s="5" t="n"/>
      <c r="F27" s="4" t="n"/>
      <c r="G27" s="4" t="n"/>
      <c r="I27" s="6">
        <f>IFERROR(INDEX('Ma wish list'!$A$4:$A$40,MATCH(24,'Ma wish list'!$I$4:$I$40,0)),"")</f>
        <v/>
      </c>
      <c r="J27" s="6">
        <f>IFERROR(INDEX('Ma wish list'!$F$4:$F$40,MATCH(24,'Ma wish list'!$I$4:$I$40,0)),"")</f>
        <v/>
      </c>
      <c r="K27" s="7">
        <f>IFERROR(INDEX('Ma wish list'!$D$4:$D$40,MATCH(24,'Ma wish list'!$I$4:$I$40,0)),"")</f>
        <v/>
      </c>
    </row>
    <row r="28">
      <c r="A28" s="4" t="n"/>
      <c r="B28" s="4" t="n"/>
      <c r="C28" s="4" t="n"/>
      <c r="D28" s="5" t="n"/>
      <c r="E28" s="5" t="n"/>
      <c r="F28" s="4" t="n"/>
      <c r="G28" s="4" t="n"/>
      <c r="I28" s="6">
        <f>IFERROR(INDEX('Ma wish list'!$A$4:$A$40,MATCH(25,'Ma wish list'!$I$4:$I$40,0)),"")</f>
        <v/>
      </c>
      <c r="J28" s="6">
        <f>IFERROR(INDEX('Ma wish list'!$F$4:$F$40,MATCH(25,'Ma wish list'!$I$4:$I$40,0)),"")</f>
        <v/>
      </c>
      <c r="K28" s="7">
        <f>IFERROR(INDEX('Ma wish list'!$D$4:$D$40,MATCH(25,'Ma wish list'!$I$4:$I$40,0)),"")</f>
        <v/>
      </c>
    </row>
    <row r="29">
      <c r="C29" s="8" t="inlineStr">
        <is>
          <t>TOTAL</t>
        </is>
      </c>
      <c r="D29" s="9">
        <f>SUM(D4:D28)</f>
        <v/>
      </c>
      <c r="E29" s="9">
        <f>SUM(E4:E28)</f>
        <v/>
      </c>
    </row>
  </sheetData>
  <autoFilter ref="A3:G28"/>
  <mergeCells count="1">
    <mergeCell ref="A1:K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"Maman,Mon frère,Ma copine,Mère de ma copine,Père de ma copine,Frère/Sœur de ma copine"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0" customWidth="1" min="7" max="7"/>
    <col width="3" customWidth="1" min="8" max="8"/>
    <col width="30" customWidth="1" min="9" max="9"/>
    <col width="16" customWidth="1" min="10" max="10"/>
    <col width="12" customWidth="1" min="11" max="11"/>
  </cols>
  <sheetData>
    <row r="1" ht="30" customHeight="1">
      <c r="A1" s="10" t="inlineStr">
        <is>
          <t>🎁 Idées cadeaux – Papa</t>
        </is>
      </c>
    </row>
    <row r="2">
      <c r="I2" s="2" t="inlineStr">
        <is>
          <t>⭐ Depuis ma wish list (automatique, ne pas modifier)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Prix estimé (€)</t>
        </is>
      </c>
      <c r="E3" s="3" t="inlineStr">
        <is>
          <t>Prix payé (€)</t>
        </is>
      </c>
      <c r="F3" s="3" t="inlineStr">
        <is>
          <t>Statut</t>
        </is>
      </c>
      <c r="G3" s="3" t="inlineStr">
        <is>
          <t>Notes</t>
        </is>
      </c>
      <c r="I3" s="3" t="inlineStr">
        <is>
          <t>Article</t>
        </is>
      </c>
      <c r="J3" s="3" t="inlineStr">
        <is>
          <t>Offert par</t>
        </is>
      </c>
      <c r="K3" s="3" t="inlineStr">
        <is>
          <t>Prix (€)</t>
        </is>
      </c>
    </row>
    <row r="4">
      <c r="A4" s="4" t="n"/>
      <c r="B4" s="4" t="n"/>
      <c r="C4" s="4" t="n"/>
      <c r="D4" s="5" t="n"/>
      <c r="E4" s="5" t="n"/>
      <c r="F4" s="4" t="n"/>
      <c r="G4" s="4" t="n"/>
      <c r="I4" s="6">
        <f>IFERROR(INDEX('Ma wish list'!$A$4:$A$40,MATCH(1,'Ma wish list'!$H$4:$H$40,0)),"")</f>
        <v/>
      </c>
      <c r="J4" s="6">
        <f>IFERROR(INDEX('Ma wish list'!$F$4:$F$40,MATCH(1,'Ma wish list'!$H$4:$H$40,0)),"")</f>
        <v/>
      </c>
      <c r="K4" s="7">
        <f>IFERROR(INDEX('Ma wish list'!$D$4:$D$40,MATCH(1,'Ma wish list'!$H$4:$H$40,0)),"")</f>
        <v/>
      </c>
    </row>
    <row r="5">
      <c r="A5" s="4" t="n"/>
      <c r="B5" s="4" t="n"/>
      <c r="C5" s="4" t="n"/>
      <c r="D5" s="5" t="n"/>
      <c r="E5" s="5" t="n"/>
      <c r="F5" s="4" t="n"/>
      <c r="G5" s="4" t="n"/>
      <c r="I5" s="6">
        <f>IFERROR(INDEX('Ma wish list'!$A$4:$A$40,MATCH(2,'Ma wish list'!$H$4:$H$40,0)),"")</f>
        <v/>
      </c>
      <c r="J5" s="6">
        <f>IFERROR(INDEX('Ma wish list'!$F$4:$F$40,MATCH(2,'Ma wish list'!$H$4:$H$40,0)),"")</f>
        <v/>
      </c>
      <c r="K5" s="7">
        <f>IFERROR(INDEX('Ma wish list'!$D$4:$D$40,MATCH(2,'Ma wish list'!$H$4:$H$40,0)),"")</f>
        <v/>
      </c>
    </row>
    <row r="6">
      <c r="A6" s="4" t="n"/>
      <c r="B6" s="4" t="n"/>
      <c r="C6" s="4" t="n"/>
      <c r="D6" s="5" t="n"/>
      <c r="E6" s="5" t="n"/>
      <c r="F6" s="4" t="n"/>
      <c r="G6" s="4" t="n"/>
      <c r="I6" s="6">
        <f>IFERROR(INDEX('Ma wish list'!$A$4:$A$40,MATCH(3,'Ma wish list'!$H$4:$H$40,0)),"")</f>
        <v/>
      </c>
      <c r="J6" s="6">
        <f>IFERROR(INDEX('Ma wish list'!$F$4:$F$40,MATCH(3,'Ma wish list'!$H$4:$H$40,0)),"")</f>
        <v/>
      </c>
      <c r="K6" s="7">
        <f>IFERROR(INDEX('Ma wish list'!$D$4:$D$40,MATCH(3,'Ma wish list'!$H$4:$H$40,0)),"")</f>
        <v/>
      </c>
    </row>
    <row r="7">
      <c r="A7" s="4" t="n"/>
      <c r="B7" s="4" t="n"/>
      <c r="C7" s="4" t="n"/>
      <c r="D7" s="5" t="n"/>
      <c r="E7" s="5" t="n"/>
      <c r="F7" s="4" t="n"/>
      <c r="G7" s="4" t="n"/>
      <c r="I7" s="6">
        <f>IFERROR(INDEX('Ma wish list'!$A$4:$A$40,MATCH(4,'Ma wish list'!$H$4:$H$40,0)),"")</f>
        <v/>
      </c>
      <c r="J7" s="6">
        <f>IFERROR(INDEX('Ma wish list'!$F$4:$F$40,MATCH(4,'Ma wish list'!$H$4:$H$40,0)),"")</f>
        <v/>
      </c>
      <c r="K7" s="7">
        <f>IFERROR(INDEX('Ma wish list'!$D$4:$D$40,MATCH(4,'Ma wish list'!$H$4:$H$40,0)),"")</f>
        <v/>
      </c>
    </row>
    <row r="8">
      <c r="A8" s="4" t="n"/>
      <c r="B8" s="4" t="n"/>
      <c r="C8" s="4" t="n"/>
      <c r="D8" s="5" t="n"/>
      <c r="E8" s="5" t="n"/>
      <c r="F8" s="4" t="n"/>
      <c r="G8" s="4" t="n"/>
      <c r="I8" s="6">
        <f>IFERROR(INDEX('Ma wish list'!$A$4:$A$40,MATCH(5,'Ma wish list'!$H$4:$H$40,0)),"")</f>
        <v/>
      </c>
      <c r="J8" s="6">
        <f>IFERROR(INDEX('Ma wish list'!$F$4:$F$40,MATCH(5,'Ma wish list'!$H$4:$H$40,0)),"")</f>
        <v/>
      </c>
      <c r="K8" s="7">
        <f>IFERROR(INDEX('Ma wish list'!$D$4:$D$40,MATCH(5,'Ma wish list'!$H$4:$H$40,0)),"")</f>
        <v/>
      </c>
    </row>
    <row r="9">
      <c r="A9" s="4" t="n"/>
      <c r="B9" s="4" t="n"/>
      <c r="C9" s="4" t="n"/>
      <c r="D9" s="5" t="n"/>
      <c r="E9" s="5" t="n"/>
      <c r="F9" s="4" t="n"/>
      <c r="G9" s="4" t="n"/>
      <c r="I9" s="6">
        <f>IFERROR(INDEX('Ma wish list'!$A$4:$A$40,MATCH(6,'Ma wish list'!$H$4:$H$40,0)),"")</f>
        <v/>
      </c>
      <c r="J9" s="6">
        <f>IFERROR(INDEX('Ma wish list'!$F$4:$F$40,MATCH(6,'Ma wish list'!$H$4:$H$40,0)),"")</f>
        <v/>
      </c>
      <c r="K9" s="7">
        <f>IFERROR(INDEX('Ma wish list'!$D$4:$D$40,MATCH(6,'Ma wish list'!$H$4:$H$40,0)),"")</f>
        <v/>
      </c>
    </row>
    <row r="10">
      <c r="A10" s="4" t="n"/>
      <c r="B10" s="4" t="n"/>
      <c r="C10" s="4" t="n"/>
      <c r="D10" s="5" t="n"/>
      <c r="E10" s="5" t="n"/>
      <c r="F10" s="4" t="n"/>
      <c r="G10" s="4" t="n"/>
      <c r="I10" s="6">
        <f>IFERROR(INDEX('Ma wish list'!$A$4:$A$40,MATCH(7,'Ma wish list'!$H$4:$H$40,0)),"")</f>
        <v/>
      </c>
      <c r="J10" s="6">
        <f>IFERROR(INDEX('Ma wish list'!$F$4:$F$40,MATCH(7,'Ma wish list'!$H$4:$H$40,0)),"")</f>
        <v/>
      </c>
      <c r="K10" s="7">
        <f>IFERROR(INDEX('Ma wish list'!$D$4:$D$40,MATCH(7,'Ma wish list'!$H$4:$H$40,0)),"")</f>
        <v/>
      </c>
    </row>
    <row r="11">
      <c r="A11" s="4" t="n"/>
      <c r="B11" s="4" t="n"/>
      <c r="C11" s="4" t="n"/>
      <c r="D11" s="5" t="n"/>
      <c r="E11" s="5" t="n"/>
      <c r="F11" s="4" t="n"/>
      <c r="G11" s="4" t="n"/>
      <c r="I11" s="6">
        <f>IFERROR(INDEX('Ma wish list'!$A$4:$A$40,MATCH(8,'Ma wish list'!$H$4:$H$40,0)),"")</f>
        <v/>
      </c>
      <c r="J11" s="6">
        <f>IFERROR(INDEX('Ma wish list'!$F$4:$F$40,MATCH(8,'Ma wish list'!$H$4:$H$40,0)),"")</f>
        <v/>
      </c>
      <c r="K11" s="7">
        <f>IFERROR(INDEX('Ma wish list'!$D$4:$D$40,MATCH(8,'Ma wish list'!$H$4:$H$40,0)),"")</f>
        <v/>
      </c>
    </row>
    <row r="12">
      <c r="A12" s="4" t="n"/>
      <c r="B12" s="4" t="n"/>
      <c r="C12" s="4" t="n"/>
      <c r="D12" s="5" t="n"/>
      <c r="E12" s="5" t="n"/>
      <c r="F12" s="4" t="n"/>
      <c r="G12" s="4" t="n"/>
      <c r="I12" s="6">
        <f>IFERROR(INDEX('Ma wish list'!$A$4:$A$40,MATCH(9,'Ma wish list'!$H$4:$H$40,0)),"")</f>
        <v/>
      </c>
      <c r="J12" s="6">
        <f>IFERROR(INDEX('Ma wish list'!$F$4:$F$40,MATCH(9,'Ma wish list'!$H$4:$H$40,0)),"")</f>
        <v/>
      </c>
      <c r="K12" s="7">
        <f>IFERROR(INDEX('Ma wish list'!$D$4:$D$40,MATCH(9,'Ma wish list'!$H$4:$H$40,0)),"")</f>
        <v/>
      </c>
    </row>
    <row r="13">
      <c r="A13" s="4" t="n"/>
      <c r="B13" s="4" t="n"/>
      <c r="C13" s="4" t="n"/>
      <c r="D13" s="5" t="n"/>
      <c r="E13" s="5" t="n"/>
      <c r="F13" s="4" t="n"/>
      <c r="G13" s="4" t="n"/>
      <c r="I13" s="6">
        <f>IFERROR(INDEX('Ma wish list'!$A$4:$A$40,MATCH(10,'Ma wish list'!$H$4:$H$40,0)),"")</f>
        <v/>
      </c>
      <c r="J13" s="6">
        <f>IFERROR(INDEX('Ma wish list'!$F$4:$F$40,MATCH(10,'Ma wish list'!$H$4:$H$40,0)),"")</f>
        <v/>
      </c>
      <c r="K13" s="7">
        <f>IFERROR(INDEX('Ma wish list'!$D$4:$D$40,MATCH(10,'Ma wish list'!$H$4:$H$40,0)),"")</f>
        <v/>
      </c>
    </row>
    <row r="14">
      <c r="A14" s="4" t="n"/>
      <c r="B14" s="4" t="n"/>
      <c r="C14" s="4" t="n"/>
      <c r="D14" s="5" t="n"/>
      <c r="E14" s="5" t="n"/>
      <c r="F14" s="4" t="n"/>
      <c r="G14" s="4" t="n"/>
      <c r="I14" s="6">
        <f>IFERROR(INDEX('Ma wish list'!$A$4:$A$40,MATCH(11,'Ma wish list'!$H$4:$H$40,0)),"")</f>
        <v/>
      </c>
      <c r="J14" s="6">
        <f>IFERROR(INDEX('Ma wish list'!$F$4:$F$40,MATCH(11,'Ma wish list'!$H$4:$H$40,0)),"")</f>
        <v/>
      </c>
      <c r="K14" s="7">
        <f>IFERROR(INDEX('Ma wish list'!$D$4:$D$40,MATCH(11,'Ma wish list'!$H$4:$H$40,0)),"")</f>
        <v/>
      </c>
    </row>
    <row r="15">
      <c r="A15" s="4" t="n"/>
      <c r="B15" s="4" t="n"/>
      <c r="C15" s="4" t="n"/>
      <c r="D15" s="5" t="n"/>
      <c r="E15" s="5" t="n"/>
      <c r="F15" s="4" t="n"/>
      <c r="G15" s="4" t="n"/>
      <c r="I15" s="6">
        <f>IFERROR(INDEX('Ma wish list'!$A$4:$A$40,MATCH(12,'Ma wish list'!$H$4:$H$40,0)),"")</f>
        <v/>
      </c>
      <c r="J15" s="6">
        <f>IFERROR(INDEX('Ma wish list'!$F$4:$F$40,MATCH(12,'Ma wish list'!$H$4:$H$40,0)),"")</f>
        <v/>
      </c>
      <c r="K15" s="7">
        <f>IFERROR(INDEX('Ma wish list'!$D$4:$D$40,MATCH(12,'Ma wish list'!$H$4:$H$40,0)),"")</f>
        <v/>
      </c>
    </row>
    <row r="16">
      <c r="A16" s="4" t="n"/>
      <c r="B16" s="4" t="n"/>
      <c r="C16" s="4" t="n"/>
      <c r="D16" s="5" t="n"/>
      <c r="E16" s="5" t="n"/>
      <c r="F16" s="4" t="n"/>
      <c r="G16" s="4" t="n"/>
      <c r="I16" s="6">
        <f>IFERROR(INDEX('Ma wish list'!$A$4:$A$40,MATCH(13,'Ma wish list'!$H$4:$H$40,0)),"")</f>
        <v/>
      </c>
      <c r="J16" s="6">
        <f>IFERROR(INDEX('Ma wish list'!$F$4:$F$40,MATCH(13,'Ma wish list'!$H$4:$H$40,0)),"")</f>
        <v/>
      </c>
      <c r="K16" s="7">
        <f>IFERROR(INDEX('Ma wish list'!$D$4:$D$40,MATCH(13,'Ma wish list'!$H$4:$H$40,0)),"")</f>
        <v/>
      </c>
    </row>
    <row r="17">
      <c r="A17" s="4" t="n"/>
      <c r="B17" s="4" t="n"/>
      <c r="C17" s="4" t="n"/>
      <c r="D17" s="5" t="n"/>
      <c r="E17" s="5" t="n"/>
      <c r="F17" s="4" t="n"/>
      <c r="G17" s="4" t="n"/>
      <c r="I17" s="6">
        <f>IFERROR(INDEX('Ma wish list'!$A$4:$A$40,MATCH(14,'Ma wish list'!$H$4:$H$40,0)),"")</f>
        <v/>
      </c>
      <c r="J17" s="6">
        <f>IFERROR(INDEX('Ma wish list'!$F$4:$F$40,MATCH(14,'Ma wish list'!$H$4:$H$40,0)),"")</f>
        <v/>
      </c>
      <c r="K17" s="7">
        <f>IFERROR(INDEX('Ma wish list'!$D$4:$D$40,MATCH(14,'Ma wish list'!$H$4:$H$40,0)),"")</f>
        <v/>
      </c>
    </row>
    <row r="18">
      <c r="A18" s="4" t="n"/>
      <c r="B18" s="4" t="n"/>
      <c r="C18" s="4" t="n"/>
      <c r="D18" s="5" t="n"/>
      <c r="E18" s="5" t="n"/>
      <c r="F18" s="4" t="n"/>
      <c r="G18" s="4" t="n"/>
      <c r="I18" s="6">
        <f>IFERROR(INDEX('Ma wish list'!$A$4:$A$40,MATCH(15,'Ma wish list'!$H$4:$H$40,0)),"")</f>
        <v/>
      </c>
      <c r="J18" s="6">
        <f>IFERROR(INDEX('Ma wish list'!$F$4:$F$40,MATCH(15,'Ma wish list'!$H$4:$H$40,0)),"")</f>
        <v/>
      </c>
      <c r="K18" s="7">
        <f>IFERROR(INDEX('Ma wish list'!$D$4:$D$40,MATCH(15,'Ma wish list'!$H$4:$H$40,0)),"")</f>
        <v/>
      </c>
    </row>
    <row r="19">
      <c r="A19" s="4" t="n"/>
      <c r="B19" s="4" t="n"/>
      <c r="C19" s="4" t="n"/>
      <c r="D19" s="5" t="n"/>
      <c r="E19" s="5" t="n"/>
      <c r="F19" s="4" t="n"/>
      <c r="G19" s="4" t="n"/>
      <c r="I19" s="6">
        <f>IFERROR(INDEX('Ma wish list'!$A$4:$A$40,MATCH(16,'Ma wish list'!$H$4:$H$40,0)),"")</f>
        <v/>
      </c>
      <c r="J19" s="6">
        <f>IFERROR(INDEX('Ma wish list'!$F$4:$F$40,MATCH(16,'Ma wish list'!$H$4:$H$40,0)),"")</f>
        <v/>
      </c>
      <c r="K19" s="7">
        <f>IFERROR(INDEX('Ma wish list'!$D$4:$D$40,MATCH(16,'Ma wish list'!$H$4:$H$40,0)),"")</f>
        <v/>
      </c>
    </row>
    <row r="20">
      <c r="A20" s="4" t="n"/>
      <c r="B20" s="4" t="n"/>
      <c r="C20" s="4" t="n"/>
      <c r="D20" s="5" t="n"/>
      <c r="E20" s="5" t="n"/>
      <c r="F20" s="4" t="n"/>
      <c r="G20" s="4" t="n"/>
      <c r="I20" s="6">
        <f>IFERROR(INDEX('Ma wish list'!$A$4:$A$40,MATCH(17,'Ma wish list'!$H$4:$H$40,0)),"")</f>
        <v/>
      </c>
      <c r="J20" s="6">
        <f>IFERROR(INDEX('Ma wish list'!$F$4:$F$40,MATCH(17,'Ma wish list'!$H$4:$H$40,0)),"")</f>
        <v/>
      </c>
      <c r="K20" s="7">
        <f>IFERROR(INDEX('Ma wish list'!$D$4:$D$40,MATCH(17,'Ma wish list'!$H$4:$H$40,0)),"")</f>
        <v/>
      </c>
    </row>
    <row r="21">
      <c r="A21" s="4" t="n"/>
      <c r="B21" s="4" t="n"/>
      <c r="C21" s="4" t="n"/>
      <c r="D21" s="5" t="n"/>
      <c r="E21" s="5" t="n"/>
      <c r="F21" s="4" t="n"/>
      <c r="G21" s="4" t="n"/>
      <c r="I21" s="6">
        <f>IFERROR(INDEX('Ma wish list'!$A$4:$A$40,MATCH(18,'Ma wish list'!$H$4:$H$40,0)),"")</f>
        <v/>
      </c>
      <c r="J21" s="6">
        <f>IFERROR(INDEX('Ma wish list'!$F$4:$F$40,MATCH(18,'Ma wish list'!$H$4:$H$40,0)),"")</f>
        <v/>
      </c>
      <c r="K21" s="7">
        <f>IFERROR(INDEX('Ma wish list'!$D$4:$D$40,MATCH(18,'Ma wish list'!$H$4:$H$40,0)),"")</f>
        <v/>
      </c>
    </row>
    <row r="22">
      <c r="A22" s="4" t="n"/>
      <c r="B22" s="4" t="n"/>
      <c r="C22" s="4" t="n"/>
      <c r="D22" s="5" t="n"/>
      <c r="E22" s="5" t="n"/>
      <c r="F22" s="4" t="n"/>
      <c r="G22" s="4" t="n"/>
      <c r="I22" s="6">
        <f>IFERROR(INDEX('Ma wish list'!$A$4:$A$40,MATCH(19,'Ma wish list'!$H$4:$H$40,0)),"")</f>
        <v/>
      </c>
      <c r="J22" s="6">
        <f>IFERROR(INDEX('Ma wish list'!$F$4:$F$40,MATCH(19,'Ma wish list'!$H$4:$H$40,0)),"")</f>
        <v/>
      </c>
      <c r="K22" s="7">
        <f>IFERROR(INDEX('Ma wish list'!$D$4:$D$40,MATCH(19,'Ma wish list'!$H$4:$H$40,0)),"")</f>
        <v/>
      </c>
    </row>
    <row r="23">
      <c r="A23" s="4" t="n"/>
      <c r="B23" s="4" t="n"/>
      <c r="C23" s="4" t="n"/>
      <c r="D23" s="5" t="n"/>
      <c r="E23" s="5" t="n"/>
      <c r="F23" s="4" t="n"/>
      <c r="G23" s="4" t="n"/>
      <c r="I23" s="6">
        <f>IFERROR(INDEX('Ma wish list'!$A$4:$A$40,MATCH(20,'Ma wish list'!$H$4:$H$40,0)),"")</f>
        <v/>
      </c>
      <c r="J23" s="6">
        <f>IFERROR(INDEX('Ma wish list'!$F$4:$F$40,MATCH(20,'Ma wish list'!$H$4:$H$40,0)),"")</f>
        <v/>
      </c>
      <c r="K23" s="7">
        <f>IFERROR(INDEX('Ma wish list'!$D$4:$D$40,MATCH(20,'Ma wish list'!$H$4:$H$40,0)),"")</f>
        <v/>
      </c>
    </row>
    <row r="24">
      <c r="A24" s="4" t="n"/>
      <c r="B24" s="4" t="n"/>
      <c r="C24" s="4" t="n"/>
      <c r="D24" s="5" t="n"/>
      <c r="E24" s="5" t="n"/>
      <c r="F24" s="4" t="n"/>
      <c r="G24" s="4" t="n"/>
      <c r="I24" s="6">
        <f>IFERROR(INDEX('Ma wish list'!$A$4:$A$40,MATCH(21,'Ma wish list'!$H$4:$H$40,0)),"")</f>
        <v/>
      </c>
      <c r="J24" s="6">
        <f>IFERROR(INDEX('Ma wish list'!$F$4:$F$40,MATCH(21,'Ma wish list'!$H$4:$H$40,0)),"")</f>
        <v/>
      </c>
      <c r="K24" s="7">
        <f>IFERROR(INDEX('Ma wish list'!$D$4:$D$40,MATCH(21,'Ma wish list'!$H$4:$H$40,0)),"")</f>
        <v/>
      </c>
    </row>
    <row r="25">
      <c r="A25" s="4" t="n"/>
      <c r="B25" s="4" t="n"/>
      <c r="C25" s="4" t="n"/>
      <c r="D25" s="5" t="n"/>
      <c r="E25" s="5" t="n"/>
      <c r="F25" s="4" t="n"/>
      <c r="G25" s="4" t="n"/>
      <c r="I25" s="6">
        <f>IFERROR(INDEX('Ma wish list'!$A$4:$A$40,MATCH(22,'Ma wish list'!$H$4:$H$40,0)),"")</f>
        <v/>
      </c>
      <c r="J25" s="6">
        <f>IFERROR(INDEX('Ma wish list'!$F$4:$F$40,MATCH(22,'Ma wish list'!$H$4:$H$40,0)),"")</f>
        <v/>
      </c>
      <c r="K25" s="7">
        <f>IFERROR(INDEX('Ma wish list'!$D$4:$D$40,MATCH(22,'Ma wish list'!$H$4:$H$40,0)),"")</f>
        <v/>
      </c>
    </row>
    <row r="26">
      <c r="A26" s="4" t="n"/>
      <c r="B26" s="4" t="n"/>
      <c r="C26" s="4" t="n"/>
      <c r="D26" s="5" t="n"/>
      <c r="E26" s="5" t="n"/>
      <c r="F26" s="4" t="n"/>
      <c r="G26" s="4" t="n"/>
      <c r="I26" s="6">
        <f>IFERROR(INDEX('Ma wish list'!$A$4:$A$40,MATCH(23,'Ma wish list'!$H$4:$H$40,0)),"")</f>
        <v/>
      </c>
      <c r="J26" s="6">
        <f>IFERROR(INDEX('Ma wish list'!$F$4:$F$40,MATCH(23,'Ma wish list'!$H$4:$H$40,0)),"")</f>
        <v/>
      </c>
      <c r="K26" s="7">
        <f>IFERROR(INDEX('Ma wish list'!$D$4:$D$40,MATCH(23,'Ma wish list'!$H$4:$H$40,0)),"")</f>
        <v/>
      </c>
    </row>
    <row r="27">
      <c r="A27" s="4" t="n"/>
      <c r="B27" s="4" t="n"/>
      <c r="C27" s="4" t="n"/>
      <c r="D27" s="5" t="n"/>
      <c r="E27" s="5" t="n"/>
      <c r="F27" s="4" t="n"/>
      <c r="G27" s="4" t="n"/>
      <c r="I27" s="6">
        <f>IFERROR(INDEX('Ma wish list'!$A$4:$A$40,MATCH(24,'Ma wish list'!$H$4:$H$40,0)),"")</f>
        <v/>
      </c>
      <c r="J27" s="6">
        <f>IFERROR(INDEX('Ma wish list'!$F$4:$F$40,MATCH(24,'Ma wish list'!$H$4:$H$40,0)),"")</f>
        <v/>
      </c>
      <c r="K27" s="7">
        <f>IFERROR(INDEX('Ma wish list'!$D$4:$D$40,MATCH(24,'Ma wish list'!$H$4:$H$40,0)),"")</f>
        <v/>
      </c>
    </row>
    <row r="28">
      <c r="A28" s="4" t="n"/>
      <c r="B28" s="4" t="n"/>
      <c r="C28" s="4" t="n"/>
      <c r="D28" s="5" t="n"/>
      <c r="E28" s="5" t="n"/>
      <c r="F28" s="4" t="n"/>
      <c r="G28" s="4" t="n"/>
      <c r="I28" s="6">
        <f>IFERROR(INDEX('Ma wish list'!$A$4:$A$40,MATCH(25,'Ma wish list'!$H$4:$H$40,0)),"")</f>
        <v/>
      </c>
      <c r="J28" s="6">
        <f>IFERROR(INDEX('Ma wish list'!$F$4:$F$40,MATCH(25,'Ma wish list'!$H$4:$H$40,0)),"")</f>
        <v/>
      </c>
      <c r="K28" s="7">
        <f>IFERROR(INDEX('Ma wish list'!$D$4:$D$40,MATCH(25,'Ma wish list'!$H$4:$H$40,0)),"")</f>
        <v/>
      </c>
    </row>
    <row r="29">
      <c r="C29" s="8" t="inlineStr">
        <is>
          <t>TOTAL</t>
        </is>
      </c>
      <c r="D29" s="9">
        <f>SUM(D4:D28)</f>
        <v/>
      </c>
      <c r="E29" s="9">
        <f>SUM(E4:E28)</f>
        <v/>
      </c>
    </row>
  </sheetData>
  <autoFilter ref="A3:G28"/>
  <mergeCells count="1">
    <mergeCell ref="A1:K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6" customWidth="1" min="5" max="5"/>
    <col width="18" customWidth="1" min="6" max="6"/>
    <col width="10" customWidth="1" min="7" max="7"/>
    <col width="9" customWidth="1" min="8" max="8"/>
    <col width="9" customWidth="1" min="9" max="9"/>
  </cols>
  <sheetData>
    <row r="1" ht="30" customHeight="1">
      <c r="A1" s="11" t="inlineStr">
        <is>
          <t>⭐ Ma wish list – attribue chaque cadeau dans « Offert par »</t>
        </is>
      </c>
    </row>
    <row r="3">
      <c r="A3" s="3" t="inlineStr">
        <is>
          <t>Article</t>
        </is>
      </c>
      <c r="B3" s="3" t="inlineStr">
        <is>
          <t>Catégorie</t>
        </is>
      </c>
      <c r="C3" s="3" t="inlineStr">
        <is>
          <t>Priorité</t>
        </is>
      </c>
      <c r="D3" s="3" t="inlineStr">
        <is>
          <t>Prix (€)</t>
        </is>
      </c>
      <c r="E3" s="3" t="inlineStr">
        <is>
          <t>Lien</t>
        </is>
      </c>
      <c r="F3" s="3" t="inlineStr">
        <is>
          <t>Offert par</t>
        </is>
      </c>
      <c r="G3" s="3" t="inlineStr">
        <is>
          <t>Reçu ?</t>
        </is>
      </c>
      <c r="H3" s="12" t="inlineStr">
        <is>
          <t>n° Papa</t>
        </is>
      </c>
      <c r="I3" s="12" t="inlineStr">
        <is>
          <t>n° autres</t>
        </is>
      </c>
    </row>
    <row r="4">
      <c r="A4" s="13" t="inlineStr">
        <is>
          <t>Glacière transport repas midi</t>
        </is>
      </c>
      <c r="B4" s="13" t="inlineStr">
        <is>
          <t>Divers</t>
        </is>
      </c>
      <c r="C4" s="13" t="n"/>
      <c r="D4" s="14" t="n"/>
      <c r="E4" s="13" t="n"/>
      <c r="F4" s="13" t="n"/>
      <c r="G4" s="13" t="n"/>
      <c r="H4" s="15">
        <f>IF($F4="Papa",COUNTIF($F$4:$F4,"Papa"),"")</f>
        <v/>
      </c>
      <c r="I4" s="15">
        <f>IF(OR($F4="",$F4="Papa",$F4="Autre"),"",COUNTIFS($F$4:$F4,"&lt;&gt;Papa",$F$4:$F4,"&lt;&gt;Autre",$F$4:$F4,"&lt;&gt;"))</f>
        <v/>
      </c>
    </row>
    <row r="5">
      <c r="A5" s="13" t="inlineStr">
        <is>
          <t>Compressport R2V2</t>
        </is>
      </c>
      <c r="B5" s="13" t="inlineStr">
        <is>
          <t>Course / Trail</t>
        </is>
      </c>
      <c r="C5" s="13" t="n"/>
      <c r="D5" s="14" t="n"/>
      <c r="E5" s="13" t="n"/>
      <c r="F5" s="13" t="n"/>
      <c r="G5" s="13" t="n"/>
      <c r="H5" s="15">
        <f>IF($F5="Papa",COUNTIF($F$4:$F5,"Papa"),"")</f>
        <v/>
      </c>
      <c r="I5" s="15">
        <f>IF(OR($F5="",$F5="Papa",$F5="Autre"),"",COUNTIFS($F$4:$F5,"&lt;&gt;Papa",$F$4:$F5,"&lt;&gt;Autre",$F$4:$F5,"&lt;&gt;"))</f>
        <v/>
      </c>
    </row>
    <row r="6">
      <c r="A6" s="13" t="inlineStr">
        <is>
          <t>Gel Meltonic</t>
        </is>
      </c>
      <c r="B6" s="13" t="inlineStr">
        <is>
          <t>Course / Trail</t>
        </is>
      </c>
      <c r="C6" s="13" t="n"/>
      <c r="D6" s="14" t="n"/>
      <c r="E6" s="13" t="n"/>
      <c r="F6" s="13" t="n"/>
      <c r="G6" s="13" t="n"/>
      <c r="H6" s="15">
        <f>IF($F6="Papa",COUNTIF($F$4:$F6,"Papa"),"")</f>
        <v/>
      </c>
      <c r="I6" s="15">
        <f>IF(OR($F6="",$F6="Papa",$F6="Autre"),"",COUNTIFS($F$4:$F6,"&lt;&gt;Papa",$F$4:$F6,"&lt;&gt;Autre",$F$4:$F6,"&lt;&gt;"))</f>
        <v/>
      </c>
    </row>
    <row r="7">
      <c r="A7" s="13" t="inlineStr">
        <is>
          <t>Débardeur course</t>
        </is>
      </c>
      <c r="B7" s="13" t="inlineStr">
        <is>
          <t>Course / Trail</t>
        </is>
      </c>
      <c r="C7" s="13" t="n"/>
      <c r="D7" s="14" t="n"/>
      <c r="E7" s="13" t="n"/>
      <c r="F7" s="13" t="n"/>
      <c r="G7" s="13" t="n"/>
      <c r="H7" s="15">
        <f>IF($F7="Papa",COUNTIF($F$4:$F7,"Papa"),"")</f>
        <v/>
      </c>
      <c r="I7" s="15">
        <f>IF(OR($F7="",$F7="Papa",$F7="Autre"),"",COUNTIFS($F$4:$F7,"&lt;&gt;Papa",$F$4:$F7,"&lt;&gt;Autre",$F$4:$F7,"&lt;&gt;"))</f>
        <v/>
      </c>
    </row>
    <row r="8">
      <c r="A8" s="13" t="inlineStr">
        <is>
          <t>Écouteurs</t>
        </is>
      </c>
      <c r="B8" s="13" t="inlineStr">
        <is>
          <t>Tech</t>
        </is>
      </c>
      <c r="C8" s="13" t="n"/>
      <c r="D8" s="14" t="n"/>
      <c r="E8" s="13" t="n"/>
      <c r="F8" s="13" t="n"/>
      <c r="G8" s="13" t="n"/>
      <c r="H8" s="15">
        <f>IF($F8="Papa",COUNTIF($F$4:$F8,"Papa"),"")</f>
        <v/>
      </c>
      <c r="I8" s="15">
        <f>IF(OR($F8="",$F8="Papa",$F8="Autre"),"",COUNTIFS($F$4:$F8,"&lt;&gt;Papa",$F$4:$F8,"&lt;&gt;Autre",$F$4:$F8,"&lt;&gt;"))</f>
        <v/>
      </c>
    </row>
    <row r="9">
      <c r="A9" s="13" t="inlineStr">
        <is>
          <t>Garmin HRM Pro Plus</t>
        </is>
      </c>
      <c r="B9" s="13" t="inlineStr">
        <is>
          <t>Tech</t>
        </is>
      </c>
      <c r="C9" s="13" t="n"/>
      <c r="D9" s="14" t="n"/>
      <c r="E9" s="13" t="n"/>
      <c r="F9" s="13" t="n"/>
      <c r="G9" s="13" t="n"/>
      <c r="H9" s="15">
        <f>IF($F9="Papa",COUNTIF($F$4:$F9,"Papa"),"")</f>
        <v/>
      </c>
      <c r="I9" s="15">
        <f>IF(OR($F9="",$F9="Papa",$F9="Autre"),"",COUNTIFS($F$4:$F9,"&lt;&gt;Papa",$F$4:$F9,"&lt;&gt;Autre",$F$4:$F9,"&lt;&gt;"))</f>
        <v/>
      </c>
    </row>
    <row r="10">
      <c r="A10" s="13" t="inlineStr">
        <is>
          <t>Chaussettes trail</t>
        </is>
      </c>
      <c r="B10" s="13" t="inlineStr">
        <is>
          <t>Course / Trail</t>
        </is>
      </c>
      <c r="C10" s="13" t="n"/>
      <c r="D10" s="14" t="n"/>
      <c r="E10" s="13" t="n"/>
      <c r="F10" s="13" t="n"/>
      <c r="G10" s="13" t="n"/>
      <c r="H10" s="15">
        <f>IF($F10="Papa",COUNTIF($F$4:$F10,"Papa"),"")</f>
        <v/>
      </c>
      <c r="I10" s="15">
        <f>IF(OR($F10="",$F10="Papa",$F10="Autre"),"",COUNTIFS($F$4:$F10,"&lt;&gt;Papa",$F$4:$F10,"&lt;&gt;Autre",$F$4:$F10,"&lt;&gt;"))</f>
        <v/>
      </c>
    </row>
    <row r="11">
      <c r="A11" s="13" t="inlineStr">
        <is>
          <t>Vêtements course à pied</t>
        </is>
      </c>
      <c r="B11" s="13" t="inlineStr">
        <is>
          <t>Course / Trail</t>
        </is>
      </c>
      <c r="C11" s="13" t="n"/>
      <c r="D11" s="14" t="n"/>
      <c r="E11" s="13" t="n"/>
      <c r="F11" s="13" t="n"/>
      <c r="G11" s="13" t="n"/>
      <c r="H11" s="15">
        <f>IF($F11="Papa",COUNTIF($F$4:$F11,"Papa"),"")</f>
        <v/>
      </c>
      <c r="I11" s="15">
        <f>IF(OR($F11="",$F11="Papa",$F11="Autre"),"",COUNTIFS($F$4:$F11,"&lt;&gt;Papa",$F$4:$F11,"&lt;&gt;Autre",$F$4:$F11,"&lt;&gt;"))</f>
        <v/>
      </c>
    </row>
    <row r="12">
      <c r="A12" s="13" t="inlineStr">
        <is>
          <t>Casquette</t>
        </is>
      </c>
      <c r="B12" s="13" t="inlineStr">
        <is>
          <t>Course / Trail</t>
        </is>
      </c>
      <c r="C12" s="13" t="n"/>
      <c r="D12" s="14" t="n"/>
      <c r="E12" s="13" t="n"/>
      <c r="F12" s="13" t="n"/>
      <c r="G12" s="13" t="n"/>
      <c r="H12" s="15">
        <f>IF($F12="Papa",COUNTIF($F$4:$F12,"Papa"),"")</f>
        <v/>
      </c>
      <c r="I12" s="15">
        <f>IF(OR($F12="",$F12="Papa",$F12="Autre"),"",COUNTIFS($F$4:$F12,"&lt;&gt;Papa",$F$4:$F12,"&lt;&gt;Autre",$F$4:$F12,"&lt;&gt;"))</f>
        <v/>
      </c>
    </row>
    <row r="13">
      <c r="A13" s="13" t="inlineStr">
        <is>
          <t>Bâtons de trail</t>
        </is>
      </c>
      <c r="B13" s="13" t="inlineStr">
        <is>
          <t>Course / Trail</t>
        </is>
      </c>
      <c r="C13" s="13" t="n"/>
      <c r="D13" s="14" t="n"/>
      <c r="E13" s="13" t="n"/>
      <c r="F13" s="13" t="n"/>
      <c r="G13" s="13" t="n"/>
      <c r="H13" s="15">
        <f>IF($F13="Papa",COUNTIF($F$4:$F13,"Papa"),"")</f>
        <v/>
      </c>
      <c r="I13" s="15">
        <f>IF(OR($F13="",$F13="Papa",$F13="Autre"),"",COUNTIFS($F$4:$F13,"&lt;&gt;Papa",$F$4:$F13,"&lt;&gt;Autre",$F$4:$F13,"&lt;&gt;"))</f>
        <v/>
      </c>
    </row>
    <row r="14">
      <c r="A14" s="13" t="inlineStr">
        <is>
          <t>Sac de sport grand under</t>
        </is>
      </c>
      <c r="B14" s="13" t="inlineStr">
        <is>
          <t>Sport</t>
        </is>
      </c>
      <c r="C14" s="13" t="n"/>
      <c r="D14" s="14" t="n"/>
      <c r="E14" s="13" t="n"/>
      <c r="F14" s="13" t="n"/>
      <c r="G14" s="13" t="n"/>
      <c r="H14" s="15">
        <f>IF($F14="Papa",COUNTIF($F$4:$F14,"Papa"),"")</f>
        <v/>
      </c>
      <c r="I14" s="15">
        <f>IF(OR($F14="",$F14="Papa",$F14="Autre"),"",COUNTIFS($F$4:$F14,"&lt;&gt;Papa",$F$4:$F14,"&lt;&gt;Autre",$F$4:$F14,"&lt;&gt;"))</f>
        <v/>
      </c>
    </row>
    <row r="15">
      <c r="A15" s="13" t="inlineStr">
        <is>
          <t>PS5 + Madden</t>
        </is>
      </c>
      <c r="B15" s="13" t="inlineStr">
        <is>
          <t>Tech</t>
        </is>
      </c>
      <c r="C15" s="13" t="n"/>
      <c r="D15" s="14" t="n"/>
      <c r="E15" s="13" t="n"/>
      <c r="F15" s="13" t="n"/>
      <c r="G15" s="13" t="n"/>
      <c r="H15" s="15">
        <f>IF($F15="Papa",COUNTIF($F$4:$F15,"Papa"),"")</f>
        <v/>
      </c>
      <c r="I15" s="15">
        <f>IF(OR($F15="",$F15="Papa",$F15="Autre"),"",COUNTIFS($F$4:$F15,"&lt;&gt;Papa",$F$4:$F15,"&lt;&gt;Autre",$F$4:$F15,"&lt;&gt;"))</f>
        <v/>
      </c>
    </row>
    <row r="16">
      <c r="A16" s="13" t="inlineStr">
        <is>
          <t>Maillot NFL</t>
        </is>
      </c>
      <c r="B16" s="13" t="inlineStr">
        <is>
          <t>Sport</t>
        </is>
      </c>
      <c r="C16" s="13" t="n"/>
      <c r="D16" s="14" t="n"/>
      <c r="E16" s="13" t="n"/>
      <c r="F16" s="13" t="n"/>
      <c r="G16" s="13" t="n"/>
      <c r="H16" s="15">
        <f>IF($F16="Papa",COUNTIF($F$4:$F16,"Papa"),"")</f>
        <v/>
      </c>
      <c r="I16" s="15">
        <f>IF(OR($F16="",$F16="Papa",$F16="Autre"),"",COUNTIFS($F$4:$F16,"&lt;&gt;Papa",$F$4:$F16,"&lt;&gt;Autre",$F$4:$F16,"&lt;&gt;"))</f>
        <v/>
      </c>
    </row>
    <row r="17">
      <c r="A17" s="13" t="inlineStr">
        <is>
          <t>Oreiller ergonomique</t>
        </is>
      </c>
      <c r="B17" s="13" t="inlineStr">
        <is>
          <t>Maison</t>
        </is>
      </c>
      <c r="C17" s="13" t="n"/>
      <c r="D17" s="14" t="n"/>
      <c r="E17" s="13" t="n"/>
      <c r="F17" s="13" t="n"/>
      <c r="G17" s="13" t="n"/>
      <c r="H17" s="15">
        <f>IF($F17="Papa",COUNTIF($F$4:$F17,"Papa"),"")</f>
        <v/>
      </c>
      <c r="I17" s="15">
        <f>IF(OR($F17="",$F17="Papa",$F17="Autre"),"",COUNTIFS($F$4:$F17,"&lt;&gt;Papa",$F$4:$F17,"&lt;&gt;Autre",$F$4:$F17,"&lt;&gt;"))</f>
        <v/>
      </c>
    </row>
    <row r="18">
      <c r="A18" s="13" t="inlineStr">
        <is>
          <t>Raquette padel</t>
        </is>
      </c>
      <c r="B18" s="13" t="inlineStr">
        <is>
          <t>Sport</t>
        </is>
      </c>
      <c r="C18" s="13" t="n"/>
      <c r="D18" s="14" t="n"/>
      <c r="E18" s="13" t="n"/>
      <c r="F18" s="13" t="n"/>
      <c r="G18" s="13" t="n"/>
      <c r="H18" s="15">
        <f>IF($F18="Papa",COUNTIF($F$4:$F18,"Papa"),"")</f>
        <v/>
      </c>
      <c r="I18" s="15">
        <f>IF(OR($F18="",$F18="Papa",$F18="Autre"),"",COUNTIFS($F$4:$F18,"&lt;&gt;Papa",$F$4:$F18,"&lt;&gt;Autre",$F$4:$F18,"&lt;&gt;"))</f>
        <v/>
      </c>
    </row>
    <row r="19">
      <c r="A19" s="13" t="inlineStr">
        <is>
          <t>Montre</t>
        </is>
      </c>
      <c r="B19" s="13" t="inlineStr">
        <is>
          <t>Tech</t>
        </is>
      </c>
      <c r="C19" s="13" t="n"/>
      <c r="D19" s="14" t="n"/>
      <c r="E19" s="13" t="n"/>
      <c r="F19" s="13" t="n"/>
      <c r="G19" s="13" t="n"/>
      <c r="H19" s="15">
        <f>IF($F19="Papa",COUNTIF($F$4:$F19,"Papa"),"")</f>
        <v/>
      </c>
      <c r="I19" s="15">
        <f>IF(OR($F19="",$F19="Papa",$F19="Autre"),"",COUNTIFS($F$4:$F19,"&lt;&gt;Papa",$F$4:$F19,"&lt;&gt;Autre",$F$4:$F19,"&lt;&gt;"))</f>
        <v/>
      </c>
    </row>
    <row r="20">
      <c r="A20" s="13" t="inlineStr">
        <is>
          <t>Box U2</t>
        </is>
      </c>
      <c r="B20" s="13" t="inlineStr">
        <is>
          <t>Divers</t>
        </is>
      </c>
      <c r="C20" s="13" t="n"/>
      <c r="D20" s="14" t="n"/>
      <c r="E20" s="13" t="n"/>
      <c r="F20" s="13" t="n"/>
      <c r="G20" s="13" t="n"/>
      <c r="H20" s="15">
        <f>IF($F20="Papa",COUNTIF($F$4:$F20,"Papa"),"")</f>
        <v/>
      </c>
      <c r="I20" s="15">
        <f>IF(OR($F20="",$F20="Papa",$F20="Autre"),"",COUNTIFS($F$4:$F20,"&lt;&gt;Papa",$F$4:$F20,"&lt;&gt;Autre",$F$4:$F20,"&lt;&gt;"))</f>
        <v/>
      </c>
    </row>
    <row r="21">
      <c r="A21" s="13" t="inlineStr">
        <is>
          <t>Chaussures On</t>
        </is>
      </c>
      <c r="B21" s="13" t="inlineStr">
        <is>
          <t>Course / Trail</t>
        </is>
      </c>
      <c r="C21" s="13" t="n"/>
      <c r="D21" s="14" t="n"/>
      <c r="E21" s="13" t="n"/>
      <c r="F21" s="13" t="n"/>
      <c r="G21" s="13" t="n"/>
      <c r="H21" s="15">
        <f>IF($F21="Papa",COUNTIF($F$4:$F21,"Papa"),"")</f>
        <v/>
      </c>
      <c r="I21" s="15">
        <f>IF(OR($F21="",$F21="Papa",$F21="Autre"),"",COUNTIFS($F$4:$F21,"&lt;&gt;Papa",$F$4:$F21,"&lt;&gt;Autre",$F$4:$F21,"&lt;&gt;"))</f>
        <v/>
      </c>
    </row>
    <row r="22">
      <c r="A22" s="13" t="inlineStr">
        <is>
          <t>Coque téléphone</t>
        </is>
      </c>
      <c r="B22" s="13" t="inlineStr">
        <is>
          <t>Tech</t>
        </is>
      </c>
      <c r="C22" s="13" t="n"/>
      <c r="D22" s="14" t="n"/>
      <c r="E22" s="13" t="n"/>
      <c r="F22" s="13" t="n"/>
      <c r="G22" s="13" t="n"/>
      <c r="H22" s="15">
        <f>IF($F22="Papa",COUNTIF($F$4:$F22,"Papa"),"")</f>
        <v/>
      </c>
      <c r="I22" s="15">
        <f>IF(OR($F22="",$F22="Papa",$F22="Autre"),"",COUNTIFS($F$4:$F22,"&lt;&gt;Papa",$F$4:$F22,"&lt;&gt;Autre",$F$4:$F22,"&lt;&gt;"))</f>
        <v/>
      </c>
    </row>
    <row r="23">
      <c r="A23" s="13" t="n"/>
      <c r="B23" s="13" t="n"/>
      <c r="C23" s="13" t="n"/>
      <c r="D23" s="14" t="n"/>
      <c r="E23" s="13" t="n"/>
      <c r="F23" s="13" t="n"/>
      <c r="G23" s="13" t="n"/>
      <c r="H23" s="15">
        <f>IF($F23="Papa",COUNTIF($F$4:$F23,"Papa"),"")</f>
        <v/>
      </c>
      <c r="I23" s="15">
        <f>IF(OR($F23="",$F23="Papa",$F23="Autre"),"",COUNTIFS($F$4:$F23,"&lt;&gt;Papa",$F$4:$F23,"&lt;&gt;Autre",$F$4:$F23,"&lt;&gt;"))</f>
        <v/>
      </c>
    </row>
    <row r="24">
      <c r="A24" s="13" t="n"/>
      <c r="B24" s="13" t="n"/>
      <c r="C24" s="13" t="n"/>
      <c r="D24" s="14" t="n"/>
      <c r="E24" s="13" t="n"/>
      <c r="F24" s="13" t="n"/>
      <c r="G24" s="13" t="n"/>
      <c r="H24" s="15">
        <f>IF($F24="Papa",COUNTIF($F$4:$F24,"Papa"),"")</f>
        <v/>
      </c>
      <c r="I24" s="15">
        <f>IF(OR($F24="",$F24="Papa",$F24="Autre"),"",COUNTIFS($F$4:$F24,"&lt;&gt;Papa",$F$4:$F24,"&lt;&gt;Autre",$F$4:$F24,"&lt;&gt;"))</f>
        <v/>
      </c>
    </row>
    <row r="25">
      <c r="A25" s="13" t="n"/>
      <c r="B25" s="13" t="n"/>
      <c r="C25" s="13" t="n"/>
      <c r="D25" s="14" t="n"/>
      <c r="E25" s="13" t="n"/>
      <c r="F25" s="13" t="n"/>
      <c r="G25" s="13" t="n"/>
      <c r="H25" s="15">
        <f>IF($F25="Papa",COUNTIF($F$4:$F25,"Papa"),"")</f>
        <v/>
      </c>
      <c r="I25" s="15">
        <f>IF(OR($F25="",$F25="Papa",$F25="Autre"),"",COUNTIFS($F$4:$F25,"&lt;&gt;Papa",$F$4:$F25,"&lt;&gt;Autre",$F$4:$F25,"&lt;&gt;"))</f>
        <v/>
      </c>
    </row>
    <row r="26">
      <c r="A26" s="13" t="n"/>
      <c r="B26" s="13" t="n"/>
      <c r="C26" s="13" t="n"/>
      <c r="D26" s="14" t="n"/>
      <c r="E26" s="13" t="n"/>
      <c r="F26" s="13" t="n"/>
      <c r="G26" s="13" t="n"/>
      <c r="H26" s="15">
        <f>IF($F26="Papa",COUNTIF($F$4:$F26,"Papa"),"")</f>
        <v/>
      </c>
      <c r="I26" s="15">
        <f>IF(OR($F26="",$F26="Papa",$F26="Autre"),"",COUNTIFS($F$4:$F26,"&lt;&gt;Papa",$F$4:$F26,"&lt;&gt;Autre",$F$4:$F26,"&lt;&gt;"))</f>
        <v/>
      </c>
    </row>
    <row r="27">
      <c r="A27" s="13" t="n"/>
      <c r="B27" s="13" t="n"/>
      <c r="C27" s="13" t="n"/>
      <c r="D27" s="14" t="n"/>
      <c r="E27" s="13" t="n"/>
      <c r="F27" s="13" t="n"/>
      <c r="G27" s="13" t="n"/>
      <c r="H27" s="15">
        <f>IF($F27="Papa",COUNTIF($F$4:$F27,"Papa"),"")</f>
        <v/>
      </c>
      <c r="I27" s="15">
        <f>IF(OR($F27="",$F27="Papa",$F27="Autre"),"",COUNTIFS($F$4:$F27,"&lt;&gt;Papa",$F$4:$F27,"&lt;&gt;Autre",$F$4:$F27,"&lt;&gt;"))</f>
        <v/>
      </c>
    </row>
    <row r="28">
      <c r="A28" s="13" t="n"/>
      <c r="B28" s="13" t="n"/>
      <c r="C28" s="13" t="n"/>
      <c r="D28" s="14" t="n"/>
      <c r="E28" s="13" t="n"/>
      <c r="F28" s="13" t="n"/>
      <c r="G28" s="13" t="n"/>
      <c r="H28" s="15">
        <f>IF($F28="Papa",COUNTIF($F$4:$F28,"Papa"),"")</f>
        <v/>
      </c>
      <c r="I28" s="15">
        <f>IF(OR($F28="",$F28="Papa",$F28="Autre"),"",COUNTIFS($F$4:$F28,"&lt;&gt;Papa",$F$4:$F28,"&lt;&gt;Autre",$F$4:$F28,"&lt;&gt;"))</f>
        <v/>
      </c>
    </row>
    <row r="29">
      <c r="A29" s="13" t="n"/>
      <c r="B29" s="13" t="n"/>
      <c r="C29" s="13" t="n"/>
      <c r="D29" s="14" t="n"/>
      <c r="E29" s="13" t="n"/>
      <c r="F29" s="13" t="n"/>
      <c r="G29" s="13" t="n"/>
      <c r="H29" s="15">
        <f>IF($F29="Papa",COUNTIF($F$4:$F29,"Papa"),"")</f>
        <v/>
      </c>
      <c r="I29" s="15">
        <f>IF(OR($F29="",$F29="Papa",$F29="Autre"),"",COUNTIFS($F$4:$F29,"&lt;&gt;Papa",$F$4:$F29,"&lt;&gt;Autre",$F$4:$F29,"&lt;&gt;"))</f>
        <v/>
      </c>
    </row>
    <row r="30">
      <c r="A30" s="13" t="n"/>
      <c r="B30" s="13" t="n"/>
      <c r="C30" s="13" t="n"/>
      <c r="D30" s="14" t="n"/>
      <c r="E30" s="13" t="n"/>
      <c r="F30" s="13" t="n"/>
      <c r="G30" s="13" t="n"/>
      <c r="H30" s="15">
        <f>IF($F30="Papa",COUNTIF($F$4:$F30,"Papa"),"")</f>
        <v/>
      </c>
      <c r="I30" s="15">
        <f>IF(OR($F30="",$F30="Papa",$F30="Autre"),"",COUNTIFS($F$4:$F30,"&lt;&gt;Papa",$F$4:$F30,"&lt;&gt;Autre",$F$4:$F30,"&lt;&gt;"))</f>
        <v/>
      </c>
    </row>
    <row r="31">
      <c r="A31" s="13" t="n"/>
      <c r="B31" s="13" t="n"/>
      <c r="C31" s="13" t="n"/>
      <c r="D31" s="14" t="n"/>
      <c r="E31" s="13" t="n"/>
      <c r="F31" s="13" t="n"/>
      <c r="G31" s="13" t="n"/>
      <c r="H31" s="15">
        <f>IF($F31="Papa",COUNTIF($F$4:$F31,"Papa"),"")</f>
        <v/>
      </c>
      <c r="I31" s="15">
        <f>IF(OR($F31="",$F31="Papa",$F31="Autre"),"",COUNTIFS($F$4:$F31,"&lt;&gt;Papa",$F$4:$F31,"&lt;&gt;Autre",$F$4:$F31,"&lt;&gt;"))</f>
        <v/>
      </c>
    </row>
    <row r="32">
      <c r="A32" s="13" t="n"/>
      <c r="B32" s="13" t="n"/>
      <c r="C32" s="13" t="n"/>
      <c r="D32" s="14" t="n"/>
      <c r="E32" s="13" t="n"/>
      <c r="F32" s="13" t="n"/>
      <c r="G32" s="13" t="n"/>
      <c r="H32" s="15">
        <f>IF($F32="Papa",COUNTIF($F$4:$F32,"Papa"),"")</f>
        <v/>
      </c>
      <c r="I32" s="15">
        <f>IF(OR($F32="",$F32="Papa",$F32="Autre"),"",COUNTIFS($F$4:$F32,"&lt;&gt;Papa",$F$4:$F32,"&lt;&gt;Autre",$F$4:$F32,"&lt;&gt;"))</f>
        <v/>
      </c>
    </row>
    <row r="33">
      <c r="A33" s="13" t="n"/>
      <c r="B33" s="13" t="n"/>
      <c r="C33" s="13" t="n"/>
      <c r="D33" s="14" t="n"/>
      <c r="E33" s="13" t="n"/>
      <c r="F33" s="13" t="n"/>
      <c r="G33" s="13" t="n"/>
      <c r="H33" s="15">
        <f>IF($F33="Papa",COUNTIF($F$4:$F33,"Papa"),"")</f>
        <v/>
      </c>
      <c r="I33" s="15">
        <f>IF(OR($F33="",$F33="Papa",$F33="Autre"),"",COUNTIFS($F$4:$F33,"&lt;&gt;Papa",$F$4:$F33,"&lt;&gt;Autre",$F$4:$F33,"&lt;&gt;"))</f>
        <v/>
      </c>
    </row>
    <row r="34">
      <c r="A34" s="13" t="n"/>
      <c r="B34" s="13" t="n"/>
      <c r="C34" s="13" t="n"/>
      <c r="D34" s="14" t="n"/>
      <c r="E34" s="13" t="n"/>
      <c r="F34" s="13" t="n"/>
      <c r="G34" s="13" t="n"/>
      <c r="H34" s="15">
        <f>IF($F34="Papa",COUNTIF($F$4:$F34,"Papa"),"")</f>
        <v/>
      </c>
      <c r="I34" s="15">
        <f>IF(OR($F34="",$F34="Papa",$F34="Autre"),"",COUNTIFS($F$4:$F34,"&lt;&gt;Papa",$F$4:$F34,"&lt;&gt;Autre",$F$4:$F34,"&lt;&gt;"))</f>
        <v/>
      </c>
    </row>
    <row r="35">
      <c r="A35" s="13" t="n"/>
      <c r="B35" s="13" t="n"/>
      <c r="C35" s="13" t="n"/>
      <c r="D35" s="14" t="n"/>
      <c r="E35" s="13" t="n"/>
      <c r="F35" s="13" t="n"/>
      <c r="G35" s="13" t="n"/>
      <c r="H35" s="15">
        <f>IF($F35="Papa",COUNTIF($F$4:$F35,"Papa"),"")</f>
        <v/>
      </c>
      <c r="I35" s="15">
        <f>IF(OR($F35="",$F35="Papa",$F35="Autre"),"",COUNTIFS($F$4:$F35,"&lt;&gt;Papa",$F$4:$F35,"&lt;&gt;Autre",$F$4:$F35,"&lt;&gt;"))</f>
        <v/>
      </c>
    </row>
    <row r="36">
      <c r="A36" s="13" t="n"/>
      <c r="B36" s="13" t="n"/>
      <c r="C36" s="13" t="n"/>
      <c r="D36" s="14" t="n"/>
      <c r="E36" s="13" t="n"/>
      <c r="F36" s="13" t="n"/>
      <c r="G36" s="13" t="n"/>
      <c r="H36" s="15">
        <f>IF($F36="Papa",COUNTIF($F$4:$F36,"Papa"),"")</f>
        <v/>
      </c>
      <c r="I36" s="15">
        <f>IF(OR($F36="",$F36="Papa",$F36="Autre"),"",COUNTIFS($F$4:$F36,"&lt;&gt;Papa",$F$4:$F36,"&lt;&gt;Autre",$F$4:$F36,"&lt;&gt;"))</f>
        <v/>
      </c>
    </row>
    <row r="37">
      <c r="A37" s="13" t="n"/>
      <c r="B37" s="13" t="n"/>
      <c r="C37" s="13" t="n"/>
      <c r="D37" s="14" t="n"/>
      <c r="E37" s="13" t="n"/>
      <c r="F37" s="13" t="n"/>
      <c r="G37" s="13" t="n"/>
      <c r="H37" s="15">
        <f>IF($F37="Papa",COUNTIF($F$4:$F37,"Papa"),"")</f>
        <v/>
      </c>
      <c r="I37" s="15">
        <f>IF(OR($F37="",$F37="Papa",$F37="Autre"),"",COUNTIFS($F$4:$F37,"&lt;&gt;Papa",$F$4:$F37,"&lt;&gt;Autre",$F$4:$F37,"&lt;&gt;"))</f>
        <v/>
      </c>
    </row>
    <row r="38">
      <c r="A38" s="13" t="n"/>
      <c r="B38" s="13" t="n"/>
      <c r="C38" s="13" t="n"/>
      <c r="D38" s="14" t="n"/>
      <c r="E38" s="13" t="n"/>
      <c r="F38" s="13" t="n"/>
      <c r="G38" s="13" t="n"/>
      <c r="H38" s="15">
        <f>IF($F38="Papa",COUNTIF($F$4:$F38,"Papa"),"")</f>
        <v/>
      </c>
      <c r="I38" s="15">
        <f>IF(OR($F38="",$F38="Papa",$F38="Autre"),"",COUNTIFS($F$4:$F38,"&lt;&gt;Papa",$F$4:$F38,"&lt;&gt;Autre",$F$4:$F38,"&lt;&gt;"))</f>
        <v/>
      </c>
    </row>
    <row r="39">
      <c r="A39" s="13" t="n"/>
      <c r="B39" s="13" t="n"/>
      <c r="C39" s="13" t="n"/>
      <c r="D39" s="14" t="n"/>
      <c r="E39" s="13" t="n"/>
      <c r="F39" s="13" t="n"/>
      <c r="G39" s="13" t="n"/>
      <c r="H39" s="15">
        <f>IF($F39="Papa",COUNTIF($F$4:$F39,"Papa"),"")</f>
        <v/>
      </c>
      <c r="I39" s="15">
        <f>IF(OR($F39="",$F39="Papa",$F39="Autre"),"",COUNTIFS($F$4:$F39,"&lt;&gt;Papa",$F$4:$F39,"&lt;&gt;Autre",$F$4:$F39,"&lt;&gt;"))</f>
        <v/>
      </c>
    </row>
    <row r="40">
      <c r="A40" s="13" t="n"/>
      <c r="B40" s="13" t="n"/>
      <c r="C40" s="13" t="n"/>
      <c r="D40" s="14" t="n"/>
      <c r="E40" s="13" t="n"/>
      <c r="F40" s="13" t="n"/>
      <c r="G40" s="13" t="n"/>
      <c r="H40" s="15">
        <f>IF($F40="Papa",COUNTIF($F$4:$F40,"Papa"),"")</f>
        <v/>
      </c>
      <c r="I40" s="15">
        <f>IF(OR($F40="",$F40="Papa",$F40="Autre"),"",COUNTIFS($F$4:$F40,"&lt;&gt;Papa",$F$4:$F40,"&lt;&gt;Autre",$F$4:$F40,"&lt;&gt;"))</f>
        <v/>
      </c>
    </row>
  </sheetData>
  <autoFilter ref="A3:G40"/>
  <mergeCells count="1">
    <mergeCell ref="A1:G1"/>
  </mergeCells>
  <conditionalFormatting sqref="A4:G40">
    <cfRule type="expression" priority="1" dxfId="0">
      <formula>$G4="Oui"</formula>
    </cfRule>
  </conditionalFormatting>
  <dataValidations count="3">
    <dataValidation sqref="C4:C40" showDropDown="0" showInputMessage="0" showErrorMessage="0" allowBlank="1" type="list">
      <formula1>"Haute,Moyenne,Basse"</formula1>
    </dataValidation>
    <dataValidation sqref="F4:F40" showDropDown="0" showInputMessage="0" showErrorMessage="0" allowBlank="1" type="list">
      <formula1>"Papa,Maman,Frère,Copine,Famille copine,Autre"</formula1>
    </dataValidation>
    <dataValidation sqref="G4:G4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2" customWidth="1" min="5" max="5"/>
  </cols>
  <sheetData>
    <row r="1">
      <c r="A1" s="16" t="inlineStr">
        <is>
          <t>💰 Récap budget</t>
        </is>
      </c>
    </row>
    <row r="3">
      <c r="A3" s="3" t="inlineStr">
        <is>
          <t>Onglet</t>
        </is>
      </c>
      <c r="B3" s="3" t="inlineStr">
        <is>
          <t>Estimé (€)</t>
        </is>
      </c>
      <c r="C3" s="3" t="inlineStr">
        <is>
          <t>Payé (€)</t>
        </is>
      </c>
      <c r="D3" s="3" t="inlineStr">
        <is>
          <t>Nb idées</t>
        </is>
      </c>
      <c r="E3" s="3" t="inlineStr">
        <is>
          <t>Nb offerts</t>
        </is>
      </c>
    </row>
    <row r="4">
      <c r="A4" t="inlineStr">
        <is>
          <t>Maman-Frère-Copine &amp; famille</t>
        </is>
      </c>
      <c r="B4" s="17">
        <f>SUM('Maman-Frère-Copine &amp; famille'!D4:D28)</f>
        <v/>
      </c>
      <c r="C4" s="17">
        <f>SUM('Maman-Frère-Copine &amp; famille'!E4:E28)</f>
        <v/>
      </c>
      <c r="D4">
        <f>COUNTA('Maman-Frère-Copine &amp; famille'!B4:B28)</f>
        <v/>
      </c>
      <c r="E4">
        <f>COUNTIF('Maman-Frère-Copine &amp; famille'!F4:F28,"✅ Offert")</f>
        <v/>
      </c>
    </row>
    <row r="5">
      <c r="A5" t="inlineStr">
        <is>
          <t>Papa</t>
        </is>
      </c>
      <c r="B5" s="17">
        <f>SUM('Papa'!D4:D28)</f>
        <v/>
      </c>
      <c r="C5" s="17">
        <f>SUM('Papa'!E4:E28)</f>
        <v/>
      </c>
      <c r="D5">
        <f>COUNTA('Papa'!B4:B28)</f>
        <v/>
      </c>
      <c r="E5">
        <f>COUNTIF('Papa'!F4:F28,"✅ Offert")</f>
        <v/>
      </c>
    </row>
    <row r="6">
      <c r="A6" s="8" t="inlineStr">
        <is>
          <t>TOTAL</t>
        </is>
      </c>
      <c r="B6" s="9">
        <f>SUM(B4:B5)</f>
        <v/>
      </c>
      <c r="C6" s="9">
        <f>SUM(C4:C5)</f>
        <v/>
      </c>
      <c r="D6" s="8">
        <f>SUM(D4:D5)</f>
        <v/>
      </c>
      <c r="E6" s="8">
        <f>SUM(E4:E5)</f>
        <v/>
      </c>
    </row>
    <row r="8">
      <c r="A8" t="inlineStr">
        <is>
          <t>Budget max (à saisir) :</t>
        </is>
      </c>
      <c r="B8" s="18" t="n"/>
    </row>
    <row r="9">
      <c r="A9" t="inlineStr">
        <is>
          <t>Reste :</t>
        </is>
      </c>
      <c r="B9" s="17">
        <f>IF(B8="","",B8-C6)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2026-10-20T12:17:32Z</dcterms:created>
  <dcterms:modified xmlns:dcterms="http://purl.org/dc/terms/" xmlns:xsi="http://www.w3.org/2001/XMLSchema-instance" xsi:type="dcterms:W3CDTF">2026-10-20T12:17:32Z</dcterms:modified>
</cp:coreProperties>
</file>