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" sheetId="4" state="visible" r:id="rId4"/>
  </sheets>
  <definedNames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77777"/>
    </font>
    <font>
      <b val="1"/>
      <color rgb="00FFFFFF"/>
    </font>
    <font>
      <b val="1"/>
    </font>
    <font>
      <color rgb="00999999"/>
    </font>
    <font>
      <b val="1"/>
      <sz val="16"/>
    </font>
  </fonts>
  <fills count="8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1" t="inlineStr">
        <is>
          <t>🎁 Idées cadeaux – Maman-Frère-Copine &amp; famille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list'!$I$4:$I$40,0))&amp;"","")</f>
        <v/>
      </c>
      <c r="B4" s="4">
        <f>IFERROR(INDEX('Ma wish list'!$A$4:$A$40,MATCH(1,'Ma wish list'!$I$4:$I$40,0))&amp;"","")</f>
        <v/>
      </c>
      <c r="C4" s="4">
        <f>IFERROR(INDEX('Ma wish list'!$D$4:$D$40,MATCH(1,'Ma wish list'!$I$4:$I$40,0))&amp;"","")</f>
        <v/>
      </c>
      <c r="D4" s="4">
        <f>IFERROR(INDEX('Ma wish list'!$F$4:$F$40,MATCH(1,'Ma wish list'!$I$4:$I$40,0))&amp;"","")</f>
        <v/>
      </c>
      <c r="E4" s="4">
        <f>IFERROR(INDEX('Ma wish list'!$G$4:$G$40,MATCH(1,'Ma wish list'!$I$4:$I$40,0))&amp;"","")</f>
        <v/>
      </c>
    </row>
    <row r="5">
      <c r="A5" s="4">
        <f>IFERROR(INDEX('Ma wish list'!$E$4:$E$40,MATCH(2,'Ma wish list'!$I$4:$I$40,0))&amp;"","")</f>
        <v/>
      </c>
      <c r="B5" s="4">
        <f>IFERROR(INDEX('Ma wish list'!$A$4:$A$40,MATCH(2,'Ma wish list'!$I$4:$I$40,0))&amp;"","")</f>
        <v/>
      </c>
      <c r="C5" s="4">
        <f>IFERROR(INDEX('Ma wish list'!$D$4:$D$40,MATCH(2,'Ma wish list'!$I$4:$I$40,0))&amp;"","")</f>
        <v/>
      </c>
      <c r="D5" s="4">
        <f>IFERROR(INDEX('Ma wish list'!$F$4:$F$40,MATCH(2,'Ma wish list'!$I$4:$I$40,0))&amp;"","")</f>
        <v/>
      </c>
      <c r="E5" s="4">
        <f>IFERROR(INDEX('Ma wish list'!$G$4:$G$40,MATCH(2,'Ma wish list'!$I$4:$I$40,0))&amp;"","")</f>
        <v/>
      </c>
    </row>
    <row r="6">
      <c r="A6" s="4">
        <f>IFERROR(INDEX('Ma wish list'!$E$4:$E$40,MATCH(3,'Ma wish list'!$I$4:$I$40,0))&amp;"","")</f>
        <v/>
      </c>
      <c r="B6" s="4">
        <f>IFERROR(INDEX('Ma wish list'!$A$4:$A$40,MATCH(3,'Ma wish list'!$I$4:$I$40,0))&amp;"","")</f>
        <v/>
      </c>
      <c r="C6" s="4">
        <f>IFERROR(INDEX('Ma wish list'!$D$4:$D$40,MATCH(3,'Ma wish list'!$I$4:$I$40,0))&amp;"","")</f>
        <v/>
      </c>
      <c r="D6" s="4">
        <f>IFERROR(INDEX('Ma wish list'!$F$4:$F$40,MATCH(3,'Ma wish list'!$I$4:$I$40,0))&amp;"","")</f>
        <v/>
      </c>
      <c r="E6" s="4">
        <f>IFERROR(INDEX('Ma wish list'!$G$4:$G$40,MATCH(3,'Ma wish list'!$I$4:$I$40,0))&amp;"","")</f>
        <v/>
      </c>
    </row>
    <row r="7">
      <c r="A7" s="4">
        <f>IFERROR(INDEX('Ma wish list'!$E$4:$E$40,MATCH(4,'Ma wish list'!$I$4:$I$40,0))&amp;"","")</f>
        <v/>
      </c>
      <c r="B7" s="4">
        <f>IFERROR(INDEX('Ma wish list'!$A$4:$A$40,MATCH(4,'Ma wish list'!$I$4:$I$40,0))&amp;"","")</f>
        <v/>
      </c>
      <c r="C7" s="4">
        <f>IFERROR(INDEX('Ma wish list'!$D$4:$D$40,MATCH(4,'Ma wish list'!$I$4:$I$40,0))&amp;"","")</f>
        <v/>
      </c>
      <c r="D7" s="4">
        <f>IFERROR(INDEX('Ma wish list'!$F$4:$F$40,MATCH(4,'Ma wish list'!$I$4:$I$40,0))&amp;"","")</f>
        <v/>
      </c>
      <c r="E7" s="4">
        <f>IFERROR(INDEX('Ma wish list'!$G$4:$G$40,MATCH(4,'Ma wish list'!$I$4:$I$40,0))&amp;"","")</f>
        <v/>
      </c>
    </row>
    <row r="8">
      <c r="A8" s="4">
        <f>IFERROR(INDEX('Ma wish list'!$E$4:$E$40,MATCH(5,'Ma wish list'!$I$4:$I$40,0))&amp;"","")</f>
        <v/>
      </c>
      <c r="B8" s="4">
        <f>IFERROR(INDEX('Ma wish list'!$A$4:$A$40,MATCH(5,'Ma wish list'!$I$4:$I$40,0))&amp;"","")</f>
        <v/>
      </c>
      <c r="C8" s="4">
        <f>IFERROR(INDEX('Ma wish list'!$D$4:$D$40,MATCH(5,'Ma wish list'!$I$4:$I$40,0))&amp;"","")</f>
        <v/>
      </c>
      <c r="D8" s="4">
        <f>IFERROR(INDEX('Ma wish list'!$F$4:$F$40,MATCH(5,'Ma wish list'!$I$4:$I$40,0))&amp;"","")</f>
        <v/>
      </c>
      <c r="E8" s="4">
        <f>IFERROR(INDEX('Ma wish list'!$G$4:$G$40,MATCH(5,'Ma wish list'!$I$4:$I$40,0))&amp;"","")</f>
        <v/>
      </c>
    </row>
    <row r="9">
      <c r="A9" s="4">
        <f>IFERROR(INDEX('Ma wish list'!$E$4:$E$40,MATCH(6,'Ma wish list'!$I$4:$I$40,0))&amp;"","")</f>
        <v/>
      </c>
      <c r="B9" s="4">
        <f>IFERROR(INDEX('Ma wish list'!$A$4:$A$40,MATCH(6,'Ma wish list'!$I$4:$I$40,0))&amp;"","")</f>
        <v/>
      </c>
      <c r="C9" s="4">
        <f>IFERROR(INDEX('Ma wish list'!$D$4:$D$40,MATCH(6,'Ma wish list'!$I$4:$I$40,0))&amp;"","")</f>
        <v/>
      </c>
      <c r="D9" s="4">
        <f>IFERROR(INDEX('Ma wish list'!$F$4:$F$40,MATCH(6,'Ma wish list'!$I$4:$I$40,0))&amp;"","")</f>
        <v/>
      </c>
      <c r="E9" s="4">
        <f>IFERROR(INDEX('Ma wish list'!$G$4:$G$40,MATCH(6,'Ma wish list'!$I$4:$I$40,0))&amp;"","")</f>
        <v/>
      </c>
    </row>
    <row r="10">
      <c r="A10" s="4">
        <f>IFERROR(INDEX('Ma wish list'!$E$4:$E$40,MATCH(7,'Ma wish list'!$I$4:$I$40,0))&amp;"","")</f>
        <v/>
      </c>
      <c r="B10" s="4">
        <f>IFERROR(INDEX('Ma wish list'!$A$4:$A$40,MATCH(7,'Ma wish list'!$I$4:$I$40,0))&amp;"","")</f>
        <v/>
      </c>
      <c r="C10" s="4">
        <f>IFERROR(INDEX('Ma wish list'!$D$4:$D$40,MATCH(7,'Ma wish list'!$I$4:$I$40,0))&amp;"","")</f>
        <v/>
      </c>
      <c r="D10" s="4">
        <f>IFERROR(INDEX('Ma wish list'!$F$4:$F$40,MATCH(7,'Ma wish list'!$I$4:$I$40,0))&amp;"","")</f>
        <v/>
      </c>
      <c r="E10" s="4">
        <f>IFERROR(INDEX('Ma wish list'!$G$4:$G$40,MATCH(7,'Ma wish list'!$I$4:$I$40,0))&amp;"","")</f>
        <v/>
      </c>
    </row>
    <row r="11">
      <c r="A11" s="4">
        <f>IFERROR(INDEX('Ma wish list'!$E$4:$E$40,MATCH(8,'Ma wish list'!$I$4:$I$40,0))&amp;"","")</f>
        <v/>
      </c>
      <c r="B11" s="4">
        <f>IFERROR(INDEX('Ma wish list'!$A$4:$A$40,MATCH(8,'Ma wish list'!$I$4:$I$40,0))&amp;"","")</f>
        <v/>
      </c>
      <c r="C11" s="4">
        <f>IFERROR(INDEX('Ma wish list'!$D$4:$D$40,MATCH(8,'Ma wish list'!$I$4:$I$40,0))&amp;"","")</f>
        <v/>
      </c>
      <c r="D11" s="4">
        <f>IFERROR(INDEX('Ma wish list'!$F$4:$F$40,MATCH(8,'Ma wish list'!$I$4:$I$40,0))&amp;"","")</f>
        <v/>
      </c>
      <c r="E11" s="4">
        <f>IFERROR(INDEX('Ma wish list'!$G$4:$G$40,MATCH(8,'Ma wish list'!$I$4:$I$40,0))&amp;"","")</f>
        <v/>
      </c>
    </row>
    <row r="12">
      <c r="A12" s="4">
        <f>IFERROR(INDEX('Ma wish list'!$E$4:$E$40,MATCH(9,'Ma wish list'!$I$4:$I$40,0))&amp;"","")</f>
        <v/>
      </c>
      <c r="B12" s="4">
        <f>IFERROR(INDEX('Ma wish list'!$A$4:$A$40,MATCH(9,'Ma wish list'!$I$4:$I$40,0))&amp;"","")</f>
        <v/>
      </c>
      <c r="C12" s="4">
        <f>IFERROR(INDEX('Ma wish list'!$D$4:$D$40,MATCH(9,'Ma wish list'!$I$4:$I$40,0))&amp;"","")</f>
        <v/>
      </c>
      <c r="D12" s="4">
        <f>IFERROR(INDEX('Ma wish list'!$F$4:$F$40,MATCH(9,'Ma wish list'!$I$4:$I$40,0))&amp;"","")</f>
        <v/>
      </c>
      <c r="E12" s="4">
        <f>IFERROR(INDEX('Ma wish list'!$G$4:$G$40,MATCH(9,'Ma wish list'!$I$4:$I$40,0))&amp;"","")</f>
        <v/>
      </c>
    </row>
    <row r="13">
      <c r="A13" s="4">
        <f>IFERROR(INDEX('Ma wish list'!$E$4:$E$40,MATCH(10,'Ma wish list'!$I$4:$I$40,0))&amp;"","")</f>
        <v/>
      </c>
      <c r="B13" s="4">
        <f>IFERROR(INDEX('Ma wish list'!$A$4:$A$40,MATCH(10,'Ma wish list'!$I$4:$I$40,0))&amp;"","")</f>
        <v/>
      </c>
      <c r="C13" s="4">
        <f>IFERROR(INDEX('Ma wish list'!$D$4:$D$40,MATCH(10,'Ma wish list'!$I$4:$I$40,0))&amp;"","")</f>
        <v/>
      </c>
      <c r="D13" s="4">
        <f>IFERROR(INDEX('Ma wish list'!$F$4:$F$40,MATCH(10,'Ma wish list'!$I$4:$I$40,0))&amp;"","")</f>
        <v/>
      </c>
      <c r="E13" s="4">
        <f>IFERROR(INDEX('Ma wish list'!$G$4:$G$40,MATCH(10,'Ma wish list'!$I$4:$I$40,0))&amp;"","")</f>
        <v/>
      </c>
    </row>
    <row r="14">
      <c r="A14" s="4">
        <f>IFERROR(INDEX('Ma wish list'!$E$4:$E$40,MATCH(11,'Ma wish list'!$I$4:$I$40,0))&amp;"","")</f>
        <v/>
      </c>
      <c r="B14" s="4">
        <f>IFERROR(INDEX('Ma wish list'!$A$4:$A$40,MATCH(11,'Ma wish list'!$I$4:$I$40,0))&amp;"","")</f>
        <v/>
      </c>
      <c r="C14" s="4">
        <f>IFERROR(INDEX('Ma wish list'!$D$4:$D$40,MATCH(11,'Ma wish list'!$I$4:$I$40,0))&amp;"","")</f>
        <v/>
      </c>
      <c r="D14" s="4">
        <f>IFERROR(INDEX('Ma wish list'!$F$4:$F$40,MATCH(11,'Ma wish list'!$I$4:$I$40,0))&amp;"","")</f>
        <v/>
      </c>
      <c r="E14" s="4">
        <f>IFERROR(INDEX('Ma wish list'!$G$4:$G$40,MATCH(11,'Ma wish list'!$I$4:$I$40,0))&amp;"","")</f>
        <v/>
      </c>
    </row>
    <row r="15">
      <c r="A15" s="4">
        <f>IFERROR(INDEX('Ma wish list'!$E$4:$E$40,MATCH(12,'Ma wish list'!$I$4:$I$40,0))&amp;"","")</f>
        <v/>
      </c>
      <c r="B15" s="4">
        <f>IFERROR(INDEX('Ma wish list'!$A$4:$A$40,MATCH(12,'Ma wish list'!$I$4:$I$40,0))&amp;"","")</f>
        <v/>
      </c>
      <c r="C15" s="4">
        <f>IFERROR(INDEX('Ma wish list'!$D$4:$D$40,MATCH(12,'Ma wish list'!$I$4:$I$40,0))&amp;"","")</f>
        <v/>
      </c>
      <c r="D15" s="4">
        <f>IFERROR(INDEX('Ma wish list'!$F$4:$F$40,MATCH(12,'Ma wish list'!$I$4:$I$40,0))&amp;"","")</f>
        <v/>
      </c>
      <c r="E15" s="4">
        <f>IFERROR(INDEX('Ma wish list'!$G$4:$G$40,MATCH(12,'Ma wish list'!$I$4:$I$40,0))&amp;"","")</f>
        <v/>
      </c>
    </row>
    <row r="16">
      <c r="A16" s="4">
        <f>IFERROR(INDEX('Ma wish list'!$E$4:$E$40,MATCH(13,'Ma wish list'!$I$4:$I$40,0))&amp;"","")</f>
        <v/>
      </c>
      <c r="B16" s="4">
        <f>IFERROR(INDEX('Ma wish list'!$A$4:$A$40,MATCH(13,'Ma wish list'!$I$4:$I$40,0))&amp;"","")</f>
        <v/>
      </c>
      <c r="C16" s="4">
        <f>IFERROR(INDEX('Ma wish list'!$D$4:$D$40,MATCH(13,'Ma wish list'!$I$4:$I$40,0))&amp;"","")</f>
        <v/>
      </c>
      <c r="D16" s="4">
        <f>IFERROR(INDEX('Ma wish list'!$F$4:$F$40,MATCH(13,'Ma wish list'!$I$4:$I$40,0))&amp;"","")</f>
        <v/>
      </c>
      <c r="E16" s="4">
        <f>IFERROR(INDEX('Ma wish list'!$G$4:$G$40,MATCH(13,'Ma wish list'!$I$4:$I$40,0))&amp;"","")</f>
        <v/>
      </c>
    </row>
    <row r="17">
      <c r="A17" s="4">
        <f>IFERROR(INDEX('Ma wish list'!$E$4:$E$40,MATCH(14,'Ma wish list'!$I$4:$I$40,0))&amp;"","")</f>
        <v/>
      </c>
      <c r="B17" s="4">
        <f>IFERROR(INDEX('Ma wish list'!$A$4:$A$40,MATCH(14,'Ma wish list'!$I$4:$I$40,0))&amp;"","")</f>
        <v/>
      </c>
      <c r="C17" s="4">
        <f>IFERROR(INDEX('Ma wish list'!$D$4:$D$40,MATCH(14,'Ma wish list'!$I$4:$I$40,0))&amp;"","")</f>
        <v/>
      </c>
      <c r="D17" s="4">
        <f>IFERROR(INDEX('Ma wish list'!$F$4:$F$40,MATCH(14,'Ma wish list'!$I$4:$I$40,0))&amp;"","")</f>
        <v/>
      </c>
      <c r="E17" s="4">
        <f>IFERROR(INDEX('Ma wish list'!$G$4:$G$40,MATCH(14,'Ma wish list'!$I$4:$I$40,0))&amp;"","")</f>
        <v/>
      </c>
    </row>
    <row r="18">
      <c r="A18" s="4">
        <f>IFERROR(INDEX('Ma wish list'!$E$4:$E$40,MATCH(15,'Ma wish list'!$I$4:$I$40,0))&amp;"","")</f>
        <v/>
      </c>
      <c r="B18" s="4">
        <f>IFERROR(INDEX('Ma wish list'!$A$4:$A$40,MATCH(15,'Ma wish list'!$I$4:$I$40,0))&amp;"","")</f>
        <v/>
      </c>
      <c r="C18" s="4">
        <f>IFERROR(INDEX('Ma wish list'!$D$4:$D$40,MATCH(15,'Ma wish list'!$I$4:$I$40,0))&amp;"","")</f>
        <v/>
      </c>
      <c r="D18" s="4">
        <f>IFERROR(INDEX('Ma wish list'!$F$4:$F$40,MATCH(15,'Ma wish list'!$I$4:$I$40,0))&amp;"","")</f>
        <v/>
      </c>
      <c r="E18" s="4">
        <f>IFERROR(INDEX('Ma wish list'!$G$4:$G$40,MATCH(15,'Ma wish list'!$I$4:$I$40,0))&amp;"","")</f>
        <v/>
      </c>
    </row>
    <row r="19">
      <c r="A19" s="4">
        <f>IFERROR(INDEX('Ma wish list'!$E$4:$E$40,MATCH(16,'Ma wish list'!$I$4:$I$40,0))&amp;"","")</f>
        <v/>
      </c>
      <c r="B19" s="4">
        <f>IFERROR(INDEX('Ma wish list'!$A$4:$A$40,MATCH(16,'Ma wish list'!$I$4:$I$40,0))&amp;"","")</f>
        <v/>
      </c>
      <c r="C19" s="4">
        <f>IFERROR(INDEX('Ma wish list'!$D$4:$D$40,MATCH(16,'Ma wish list'!$I$4:$I$40,0))&amp;"","")</f>
        <v/>
      </c>
      <c r="D19" s="4">
        <f>IFERROR(INDEX('Ma wish list'!$F$4:$F$40,MATCH(16,'Ma wish list'!$I$4:$I$40,0))&amp;"","")</f>
        <v/>
      </c>
      <c r="E19" s="4">
        <f>IFERROR(INDEX('Ma wish list'!$G$4:$G$40,MATCH(16,'Ma wish list'!$I$4:$I$40,0))&amp;"","")</f>
        <v/>
      </c>
    </row>
    <row r="20">
      <c r="A20" s="4">
        <f>IFERROR(INDEX('Ma wish list'!$E$4:$E$40,MATCH(17,'Ma wish list'!$I$4:$I$40,0))&amp;"","")</f>
        <v/>
      </c>
      <c r="B20" s="4">
        <f>IFERROR(INDEX('Ma wish list'!$A$4:$A$40,MATCH(17,'Ma wish list'!$I$4:$I$40,0))&amp;"","")</f>
        <v/>
      </c>
      <c r="C20" s="4">
        <f>IFERROR(INDEX('Ma wish list'!$D$4:$D$40,MATCH(17,'Ma wish list'!$I$4:$I$40,0))&amp;"","")</f>
        <v/>
      </c>
      <c r="D20" s="4">
        <f>IFERROR(INDEX('Ma wish list'!$F$4:$F$40,MATCH(17,'Ma wish list'!$I$4:$I$40,0))&amp;"","")</f>
        <v/>
      </c>
      <c r="E20" s="4">
        <f>IFERROR(INDEX('Ma wish list'!$G$4:$G$40,MATCH(17,'Ma wish list'!$I$4:$I$40,0))&amp;"","")</f>
        <v/>
      </c>
    </row>
    <row r="21">
      <c r="A21" s="4">
        <f>IFERROR(INDEX('Ma wish list'!$E$4:$E$40,MATCH(18,'Ma wish list'!$I$4:$I$40,0))&amp;"","")</f>
        <v/>
      </c>
      <c r="B21" s="4">
        <f>IFERROR(INDEX('Ma wish list'!$A$4:$A$40,MATCH(18,'Ma wish list'!$I$4:$I$40,0))&amp;"","")</f>
        <v/>
      </c>
      <c r="C21" s="4">
        <f>IFERROR(INDEX('Ma wish list'!$D$4:$D$40,MATCH(18,'Ma wish list'!$I$4:$I$40,0))&amp;"","")</f>
        <v/>
      </c>
      <c r="D21" s="4">
        <f>IFERROR(INDEX('Ma wish list'!$F$4:$F$40,MATCH(18,'Ma wish list'!$I$4:$I$40,0))&amp;"","")</f>
        <v/>
      </c>
      <c r="E21" s="4">
        <f>IFERROR(INDEX('Ma wish list'!$G$4:$G$40,MATCH(18,'Ma wish list'!$I$4:$I$40,0))&amp;"","")</f>
        <v/>
      </c>
    </row>
    <row r="22">
      <c r="A22" s="4">
        <f>IFERROR(INDEX('Ma wish list'!$E$4:$E$40,MATCH(19,'Ma wish list'!$I$4:$I$40,0))&amp;"","")</f>
        <v/>
      </c>
      <c r="B22" s="4">
        <f>IFERROR(INDEX('Ma wish list'!$A$4:$A$40,MATCH(19,'Ma wish list'!$I$4:$I$40,0))&amp;"","")</f>
        <v/>
      </c>
      <c r="C22" s="4">
        <f>IFERROR(INDEX('Ma wish list'!$D$4:$D$40,MATCH(19,'Ma wish list'!$I$4:$I$40,0))&amp;"","")</f>
        <v/>
      </c>
      <c r="D22" s="4">
        <f>IFERROR(INDEX('Ma wish list'!$F$4:$F$40,MATCH(19,'Ma wish list'!$I$4:$I$40,0))&amp;"","")</f>
        <v/>
      </c>
      <c r="E22" s="4">
        <f>IFERROR(INDEX('Ma wish list'!$G$4:$G$40,MATCH(19,'Ma wish list'!$I$4:$I$40,0))&amp;"","")</f>
        <v/>
      </c>
    </row>
    <row r="23">
      <c r="A23" s="4">
        <f>IFERROR(INDEX('Ma wish list'!$E$4:$E$40,MATCH(20,'Ma wish list'!$I$4:$I$40,0))&amp;"","")</f>
        <v/>
      </c>
      <c r="B23" s="4">
        <f>IFERROR(INDEX('Ma wish list'!$A$4:$A$40,MATCH(20,'Ma wish list'!$I$4:$I$40,0))&amp;"","")</f>
        <v/>
      </c>
      <c r="C23" s="4">
        <f>IFERROR(INDEX('Ma wish list'!$D$4:$D$40,MATCH(20,'Ma wish list'!$I$4:$I$40,0))&amp;"","")</f>
        <v/>
      </c>
      <c r="D23" s="4">
        <f>IFERROR(INDEX('Ma wish list'!$F$4:$F$40,MATCH(20,'Ma wish list'!$I$4:$I$40,0))&amp;"","")</f>
        <v/>
      </c>
      <c r="E23" s="4">
        <f>IFERROR(INDEX('Ma wish list'!$G$4:$G$40,MATCH(20,'Ma wish list'!$I$4:$I$40,0))&amp;"","")</f>
        <v/>
      </c>
    </row>
    <row r="24">
      <c r="A24" s="4">
        <f>IFERROR(INDEX('Ma wish list'!$E$4:$E$40,MATCH(21,'Ma wish list'!$I$4:$I$40,0))&amp;"","")</f>
        <v/>
      </c>
      <c r="B24" s="4">
        <f>IFERROR(INDEX('Ma wish list'!$A$4:$A$40,MATCH(21,'Ma wish list'!$I$4:$I$40,0))&amp;"","")</f>
        <v/>
      </c>
      <c r="C24" s="4">
        <f>IFERROR(INDEX('Ma wish list'!$D$4:$D$40,MATCH(21,'Ma wish list'!$I$4:$I$40,0))&amp;"","")</f>
        <v/>
      </c>
      <c r="D24" s="4">
        <f>IFERROR(INDEX('Ma wish list'!$F$4:$F$40,MATCH(21,'Ma wish list'!$I$4:$I$40,0))&amp;"","")</f>
        <v/>
      </c>
      <c r="E24" s="4">
        <f>IFERROR(INDEX('Ma wish list'!$G$4:$G$40,MATCH(21,'Ma wish list'!$I$4:$I$40,0))&amp;"","")</f>
        <v/>
      </c>
    </row>
    <row r="25">
      <c r="A25" s="4">
        <f>IFERROR(INDEX('Ma wish list'!$E$4:$E$40,MATCH(22,'Ma wish list'!$I$4:$I$40,0))&amp;"","")</f>
        <v/>
      </c>
      <c r="B25" s="4">
        <f>IFERROR(INDEX('Ma wish list'!$A$4:$A$40,MATCH(22,'Ma wish list'!$I$4:$I$40,0))&amp;"","")</f>
        <v/>
      </c>
      <c r="C25" s="4">
        <f>IFERROR(INDEX('Ma wish list'!$D$4:$D$40,MATCH(22,'Ma wish list'!$I$4:$I$40,0))&amp;"","")</f>
        <v/>
      </c>
      <c r="D25" s="4">
        <f>IFERROR(INDEX('Ma wish list'!$F$4:$F$40,MATCH(22,'Ma wish list'!$I$4:$I$40,0))&amp;"","")</f>
        <v/>
      </c>
      <c r="E25" s="4">
        <f>IFERROR(INDEX('Ma wish list'!$G$4:$G$40,MATCH(22,'Ma wish list'!$I$4:$I$40,0))&amp;"","")</f>
        <v/>
      </c>
    </row>
    <row r="26">
      <c r="A26" s="4">
        <f>IFERROR(INDEX('Ma wish list'!$E$4:$E$40,MATCH(23,'Ma wish list'!$I$4:$I$40,0))&amp;"","")</f>
        <v/>
      </c>
      <c r="B26" s="4">
        <f>IFERROR(INDEX('Ma wish list'!$A$4:$A$40,MATCH(23,'Ma wish list'!$I$4:$I$40,0))&amp;"","")</f>
        <v/>
      </c>
      <c r="C26" s="4">
        <f>IFERROR(INDEX('Ma wish list'!$D$4:$D$40,MATCH(23,'Ma wish list'!$I$4:$I$40,0))&amp;"","")</f>
        <v/>
      </c>
      <c r="D26" s="4">
        <f>IFERROR(INDEX('Ma wish list'!$F$4:$F$40,MATCH(23,'Ma wish list'!$I$4:$I$40,0))&amp;"","")</f>
        <v/>
      </c>
      <c r="E26" s="4">
        <f>IFERROR(INDEX('Ma wish list'!$G$4:$G$40,MATCH(23,'Ma wish list'!$I$4:$I$40,0))&amp;"","")</f>
        <v/>
      </c>
    </row>
    <row r="27">
      <c r="A27" s="4">
        <f>IFERROR(INDEX('Ma wish list'!$E$4:$E$40,MATCH(24,'Ma wish list'!$I$4:$I$40,0))&amp;"","")</f>
        <v/>
      </c>
      <c r="B27" s="4">
        <f>IFERROR(INDEX('Ma wish list'!$A$4:$A$40,MATCH(24,'Ma wish list'!$I$4:$I$40,0))&amp;"","")</f>
        <v/>
      </c>
      <c r="C27" s="4">
        <f>IFERROR(INDEX('Ma wish list'!$D$4:$D$40,MATCH(24,'Ma wish list'!$I$4:$I$40,0))&amp;"","")</f>
        <v/>
      </c>
      <c r="D27" s="4">
        <f>IFERROR(INDEX('Ma wish list'!$F$4:$F$40,MATCH(24,'Ma wish list'!$I$4:$I$40,0))&amp;"","")</f>
        <v/>
      </c>
      <c r="E27" s="4">
        <f>IFERROR(INDEX('Ma wish list'!$G$4:$G$40,MATCH(24,'Ma wish list'!$I$4:$I$40,0))&amp;"","")</f>
        <v/>
      </c>
    </row>
    <row r="28">
      <c r="A28" s="4">
        <f>IFERROR(INDEX('Ma wish list'!$E$4:$E$40,MATCH(25,'Ma wish list'!$I$4:$I$40,0))&amp;"","")</f>
        <v/>
      </c>
      <c r="B28" s="4">
        <f>IFERROR(INDEX('Ma wish list'!$A$4:$A$40,MATCH(25,'Ma wish list'!$I$4:$I$40,0))&amp;"","")</f>
        <v/>
      </c>
      <c r="C28" s="4">
        <f>IFERROR(INDEX('Ma wish list'!$D$4:$D$40,MATCH(25,'Ma wish list'!$I$4:$I$40,0))&amp;"","")</f>
        <v/>
      </c>
      <c r="D28" s="4">
        <f>IFERROR(INDEX('Ma wish list'!$F$4:$F$40,MATCH(25,'Ma wish list'!$I$4:$I$40,0))&amp;"","")</f>
        <v/>
      </c>
      <c r="E28" s="4">
        <f>IFERROR(INDEX('Ma wish list'!$G$4:$G$40,MATCH(25,'Ma wish list'!$I$4:$I$40,0))&amp;"","")</f>
        <v/>
      </c>
    </row>
    <row r="29">
      <c r="A29" s="4">
        <f>IFERROR(INDEX('Ma wish list'!$E$4:$E$40,MATCH(26,'Ma wish list'!$I$4:$I$40,0))&amp;"","")</f>
        <v/>
      </c>
      <c r="B29" s="4">
        <f>IFERROR(INDEX('Ma wish list'!$A$4:$A$40,MATCH(26,'Ma wish list'!$I$4:$I$40,0))&amp;"","")</f>
        <v/>
      </c>
      <c r="C29" s="4">
        <f>IFERROR(INDEX('Ma wish list'!$D$4:$D$40,MATCH(26,'Ma wish list'!$I$4:$I$40,0))&amp;"","")</f>
        <v/>
      </c>
      <c r="D29" s="4">
        <f>IFERROR(INDEX('Ma wish list'!$F$4:$F$40,MATCH(26,'Ma wish list'!$I$4:$I$40,0))&amp;"","")</f>
        <v/>
      </c>
      <c r="E29" s="4">
        <f>IFERROR(INDEX('Ma wish list'!$G$4:$G$40,MATCH(26,'Ma wish list'!$I$4:$I$40,0))&amp;"","")</f>
        <v/>
      </c>
    </row>
    <row r="30">
      <c r="A30" s="4">
        <f>IFERROR(INDEX('Ma wish list'!$E$4:$E$40,MATCH(27,'Ma wish list'!$I$4:$I$40,0))&amp;"","")</f>
        <v/>
      </c>
      <c r="B30" s="4">
        <f>IFERROR(INDEX('Ma wish list'!$A$4:$A$40,MATCH(27,'Ma wish list'!$I$4:$I$40,0))&amp;"","")</f>
        <v/>
      </c>
      <c r="C30" s="4">
        <f>IFERROR(INDEX('Ma wish list'!$D$4:$D$40,MATCH(27,'Ma wish list'!$I$4:$I$40,0))&amp;"","")</f>
        <v/>
      </c>
      <c r="D30" s="4">
        <f>IFERROR(INDEX('Ma wish list'!$F$4:$F$40,MATCH(27,'Ma wish list'!$I$4:$I$40,0))&amp;"","")</f>
        <v/>
      </c>
      <c r="E30" s="4">
        <f>IFERROR(INDEX('Ma wish list'!$G$4:$G$40,MATCH(27,'Ma wish list'!$I$4:$I$40,0))&amp;"","")</f>
        <v/>
      </c>
    </row>
    <row r="31">
      <c r="A31" s="4">
        <f>IFERROR(INDEX('Ma wish list'!$E$4:$E$40,MATCH(28,'Ma wish list'!$I$4:$I$40,0))&amp;"","")</f>
        <v/>
      </c>
      <c r="B31" s="4">
        <f>IFERROR(INDEX('Ma wish list'!$A$4:$A$40,MATCH(28,'Ma wish list'!$I$4:$I$40,0))&amp;"","")</f>
        <v/>
      </c>
      <c r="C31" s="4">
        <f>IFERROR(INDEX('Ma wish list'!$D$4:$D$40,MATCH(28,'Ma wish list'!$I$4:$I$40,0))&amp;"","")</f>
        <v/>
      </c>
      <c r="D31" s="4">
        <f>IFERROR(INDEX('Ma wish list'!$F$4:$F$40,MATCH(28,'Ma wish list'!$I$4:$I$40,0))&amp;"","")</f>
        <v/>
      </c>
      <c r="E31" s="4">
        <f>IFERROR(INDEX('Ma wish list'!$G$4:$G$40,MATCH(28,'Ma wish list'!$I$4:$I$40,0))&amp;"","")</f>
        <v/>
      </c>
    </row>
    <row r="32">
      <c r="A32" s="4">
        <f>IFERROR(INDEX('Ma wish list'!$E$4:$E$40,MATCH(29,'Ma wish list'!$I$4:$I$40,0))&amp;"","")</f>
        <v/>
      </c>
      <c r="B32" s="4">
        <f>IFERROR(INDEX('Ma wish list'!$A$4:$A$40,MATCH(29,'Ma wish list'!$I$4:$I$40,0))&amp;"","")</f>
        <v/>
      </c>
      <c r="C32" s="4">
        <f>IFERROR(INDEX('Ma wish list'!$D$4:$D$40,MATCH(29,'Ma wish list'!$I$4:$I$40,0))&amp;"","")</f>
        <v/>
      </c>
      <c r="D32" s="4">
        <f>IFERROR(INDEX('Ma wish list'!$F$4:$F$40,MATCH(29,'Ma wish list'!$I$4:$I$40,0))&amp;"","")</f>
        <v/>
      </c>
      <c r="E32" s="4">
        <f>IFERROR(INDEX('Ma wish list'!$G$4:$G$40,MATCH(29,'Ma wish list'!$I$4:$I$40,0))&amp;"","")</f>
        <v/>
      </c>
    </row>
    <row r="33">
      <c r="A33" s="4">
        <f>IFERROR(INDEX('Ma wish list'!$E$4:$E$40,MATCH(30,'Ma wish list'!$I$4:$I$40,0))&amp;"","")</f>
        <v/>
      </c>
      <c r="B33" s="4">
        <f>IFERROR(INDEX('Ma wish list'!$A$4:$A$40,MATCH(30,'Ma wish list'!$I$4:$I$40,0))&amp;"","")</f>
        <v/>
      </c>
      <c r="C33" s="4">
        <f>IFERROR(INDEX('Ma wish list'!$D$4:$D$40,MATCH(30,'Ma wish list'!$I$4:$I$40,0))&amp;"","")</f>
        <v/>
      </c>
      <c r="D33" s="4">
        <f>IFERROR(INDEX('Ma wish list'!$F$4:$F$40,MATCH(30,'Ma wish list'!$I$4:$I$40,0))&amp;"","")</f>
        <v/>
      </c>
      <c r="E33" s="4">
        <f>IFERROR(INDEX('Ma wish list'!$G$4:$G$40,MATCH(30,'Ma wish list'!$I$4:$I$40,0))&amp;"","")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7" t="inlineStr">
        <is>
          <t>🎁 Idées cadeaux – Papa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list'!$H$4:$H$40,0))&amp;"","")</f>
        <v/>
      </c>
      <c r="B4" s="4">
        <f>IFERROR(INDEX('Ma wish list'!$A$4:$A$40,MATCH(1,'Ma wish list'!$H$4:$H$40,0))&amp;"","")</f>
        <v/>
      </c>
      <c r="C4" s="4">
        <f>IFERROR(INDEX('Ma wish list'!$D$4:$D$40,MATCH(1,'Ma wish list'!$H$4:$H$40,0))&amp;"","")</f>
        <v/>
      </c>
      <c r="D4" s="4">
        <f>IFERROR(INDEX('Ma wish list'!$F$4:$F$40,MATCH(1,'Ma wish list'!$H$4:$H$40,0))&amp;"","")</f>
        <v/>
      </c>
      <c r="E4" s="4">
        <f>IFERROR(INDEX('Ma wish list'!$G$4:$G$40,MATCH(1,'Ma wish list'!$H$4:$H$40,0))&amp;"","")</f>
        <v/>
      </c>
    </row>
    <row r="5">
      <c r="A5" s="4">
        <f>IFERROR(INDEX('Ma wish list'!$E$4:$E$40,MATCH(2,'Ma wish list'!$H$4:$H$40,0))&amp;"","")</f>
        <v/>
      </c>
      <c r="B5" s="4">
        <f>IFERROR(INDEX('Ma wish list'!$A$4:$A$40,MATCH(2,'Ma wish list'!$H$4:$H$40,0))&amp;"","")</f>
        <v/>
      </c>
      <c r="C5" s="4">
        <f>IFERROR(INDEX('Ma wish list'!$D$4:$D$40,MATCH(2,'Ma wish list'!$H$4:$H$40,0))&amp;"","")</f>
        <v/>
      </c>
      <c r="D5" s="4">
        <f>IFERROR(INDEX('Ma wish list'!$F$4:$F$40,MATCH(2,'Ma wish list'!$H$4:$H$40,0))&amp;"","")</f>
        <v/>
      </c>
      <c r="E5" s="4">
        <f>IFERROR(INDEX('Ma wish list'!$G$4:$G$40,MATCH(2,'Ma wish list'!$H$4:$H$40,0))&amp;"","")</f>
        <v/>
      </c>
    </row>
    <row r="6">
      <c r="A6" s="4">
        <f>IFERROR(INDEX('Ma wish list'!$E$4:$E$40,MATCH(3,'Ma wish list'!$H$4:$H$40,0))&amp;"","")</f>
        <v/>
      </c>
      <c r="B6" s="4">
        <f>IFERROR(INDEX('Ma wish list'!$A$4:$A$40,MATCH(3,'Ma wish list'!$H$4:$H$40,0))&amp;"","")</f>
        <v/>
      </c>
      <c r="C6" s="4">
        <f>IFERROR(INDEX('Ma wish list'!$D$4:$D$40,MATCH(3,'Ma wish list'!$H$4:$H$40,0))&amp;"","")</f>
        <v/>
      </c>
      <c r="D6" s="4">
        <f>IFERROR(INDEX('Ma wish list'!$F$4:$F$40,MATCH(3,'Ma wish list'!$H$4:$H$40,0))&amp;"","")</f>
        <v/>
      </c>
      <c r="E6" s="4">
        <f>IFERROR(INDEX('Ma wish list'!$G$4:$G$40,MATCH(3,'Ma wish list'!$H$4:$H$40,0))&amp;"","")</f>
        <v/>
      </c>
    </row>
    <row r="7">
      <c r="A7" s="4">
        <f>IFERROR(INDEX('Ma wish list'!$E$4:$E$40,MATCH(4,'Ma wish list'!$H$4:$H$40,0))&amp;"","")</f>
        <v/>
      </c>
      <c r="B7" s="4">
        <f>IFERROR(INDEX('Ma wish list'!$A$4:$A$40,MATCH(4,'Ma wish list'!$H$4:$H$40,0))&amp;"","")</f>
        <v/>
      </c>
      <c r="C7" s="4">
        <f>IFERROR(INDEX('Ma wish list'!$D$4:$D$40,MATCH(4,'Ma wish list'!$H$4:$H$40,0))&amp;"","")</f>
        <v/>
      </c>
      <c r="D7" s="4">
        <f>IFERROR(INDEX('Ma wish list'!$F$4:$F$40,MATCH(4,'Ma wish list'!$H$4:$H$40,0))&amp;"","")</f>
        <v/>
      </c>
      <c r="E7" s="4">
        <f>IFERROR(INDEX('Ma wish list'!$G$4:$G$40,MATCH(4,'Ma wish list'!$H$4:$H$40,0))&amp;"","")</f>
        <v/>
      </c>
    </row>
    <row r="8">
      <c r="A8" s="4">
        <f>IFERROR(INDEX('Ma wish list'!$E$4:$E$40,MATCH(5,'Ma wish list'!$H$4:$H$40,0))&amp;"","")</f>
        <v/>
      </c>
      <c r="B8" s="4">
        <f>IFERROR(INDEX('Ma wish list'!$A$4:$A$40,MATCH(5,'Ma wish list'!$H$4:$H$40,0))&amp;"","")</f>
        <v/>
      </c>
      <c r="C8" s="4">
        <f>IFERROR(INDEX('Ma wish list'!$D$4:$D$40,MATCH(5,'Ma wish list'!$H$4:$H$40,0))&amp;"","")</f>
        <v/>
      </c>
      <c r="D8" s="4">
        <f>IFERROR(INDEX('Ma wish list'!$F$4:$F$40,MATCH(5,'Ma wish list'!$H$4:$H$40,0))&amp;"","")</f>
        <v/>
      </c>
      <c r="E8" s="4">
        <f>IFERROR(INDEX('Ma wish list'!$G$4:$G$40,MATCH(5,'Ma wish list'!$H$4:$H$40,0))&amp;"","")</f>
        <v/>
      </c>
    </row>
    <row r="9">
      <c r="A9" s="4">
        <f>IFERROR(INDEX('Ma wish list'!$E$4:$E$40,MATCH(6,'Ma wish list'!$H$4:$H$40,0))&amp;"","")</f>
        <v/>
      </c>
      <c r="B9" s="4">
        <f>IFERROR(INDEX('Ma wish list'!$A$4:$A$40,MATCH(6,'Ma wish list'!$H$4:$H$40,0))&amp;"","")</f>
        <v/>
      </c>
      <c r="C9" s="4">
        <f>IFERROR(INDEX('Ma wish list'!$D$4:$D$40,MATCH(6,'Ma wish list'!$H$4:$H$40,0))&amp;"","")</f>
        <v/>
      </c>
      <c r="D9" s="4">
        <f>IFERROR(INDEX('Ma wish list'!$F$4:$F$40,MATCH(6,'Ma wish list'!$H$4:$H$40,0))&amp;"","")</f>
        <v/>
      </c>
      <c r="E9" s="4">
        <f>IFERROR(INDEX('Ma wish list'!$G$4:$G$40,MATCH(6,'Ma wish list'!$H$4:$H$40,0))&amp;"","")</f>
        <v/>
      </c>
    </row>
    <row r="10">
      <c r="A10" s="4">
        <f>IFERROR(INDEX('Ma wish list'!$E$4:$E$40,MATCH(7,'Ma wish list'!$H$4:$H$40,0))&amp;"","")</f>
        <v/>
      </c>
      <c r="B10" s="4">
        <f>IFERROR(INDEX('Ma wish list'!$A$4:$A$40,MATCH(7,'Ma wish list'!$H$4:$H$40,0))&amp;"","")</f>
        <v/>
      </c>
      <c r="C10" s="4">
        <f>IFERROR(INDEX('Ma wish list'!$D$4:$D$40,MATCH(7,'Ma wish list'!$H$4:$H$40,0))&amp;"","")</f>
        <v/>
      </c>
      <c r="D10" s="4">
        <f>IFERROR(INDEX('Ma wish list'!$F$4:$F$40,MATCH(7,'Ma wish list'!$H$4:$H$40,0))&amp;"","")</f>
        <v/>
      </c>
      <c r="E10" s="4">
        <f>IFERROR(INDEX('Ma wish list'!$G$4:$G$40,MATCH(7,'Ma wish list'!$H$4:$H$40,0))&amp;"","")</f>
        <v/>
      </c>
    </row>
    <row r="11">
      <c r="A11" s="4">
        <f>IFERROR(INDEX('Ma wish list'!$E$4:$E$40,MATCH(8,'Ma wish list'!$H$4:$H$40,0))&amp;"","")</f>
        <v/>
      </c>
      <c r="B11" s="4">
        <f>IFERROR(INDEX('Ma wish list'!$A$4:$A$40,MATCH(8,'Ma wish list'!$H$4:$H$40,0))&amp;"","")</f>
        <v/>
      </c>
      <c r="C11" s="4">
        <f>IFERROR(INDEX('Ma wish list'!$D$4:$D$40,MATCH(8,'Ma wish list'!$H$4:$H$40,0))&amp;"","")</f>
        <v/>
      </c>
      <c r="D11" s="4">
        <f>IFERROR(INDEX('Ma wish list'!$F$4:$F$40,MATCH(8,'Ma wish list'!$H$4:$H$40,0))&amp;"","")</f>
        <v/>
      </c>
      <c r="E11" s="4">
        <f>IFERROR(INDEX('Ma wish list'!$G$4:$G$40,MATCH(8,'Ma wish list'!$H$4:$H$40,0))&amp;"","")</f>
        <v/>
      </c>
    </row>
    <row r="12">
      <c r="A12" s="4">
        <f>IFERROR(INDEX('Ma wish list'!$E$4:$E$40,MATCH(9,'Ma wish list'!$H$4:$H$40,0))&amp;"","")</f>
        <v/>
      </c>
      <c r="B12" s="4">
        <f>IFERROR(INDEX('Ma wish list'!$A$4:$A$40,MATCH(9,'Ma wish list'!$H$4:$H$40,0))&amp;"","")</f>
        <v/>
      </c>
      <c r="C12" s="4">
        <f>IFERROR(INDEX('Ma wish list'!$D$4:$D$40,MATCH(9,'Ma wish list'!$H$4:$H$40,0))&amp;"","")</f>
        <v/>
      </c>
      <c r="D12" s="4">
        <f>IFERROR(INDEX('Ma wish list'!$F$4:$F$40,MATCH(9,'Ma wish list'!$H$4:$H$40,0))&amp;"","")</f>
        <v/>
      </c>
      <c r="E12" s="4">
        <f>IFERROR(INDEX('Ma wish list'!$G$4:$G$40,MATCH(9,'Ma wish list'!$H$4:$H$40,0))&amp;"","")</f>
        <v/>
      </c>
    </row>
    <row r="13">
      <c r="A13" s="4">
        <f>IFERROR(INDEX('Ma wish list'!$E$4:$E$40,MATCH(10,'Ma wish list'!$H$4:$H$40,0))&amp;"","")</f>
        <v/>
      </c>
      <c r="B13" s="4">
        <f>IFERROR(INDEX('Ma wish list'!$A$4:$A$40,MATCH(10,'Ma wish list'!$H$4:$H$40,0))&amp;"","")</f>
        <v/>
      </c>
      <c r="C13" s="4">
        <f>IFERROR(INDEX('Ma wish list'!$D$4:$D$40,MATCH(10,'Ma wish list'!$H$4:$H$40,0))&amp;"","")</f>
        <v/>
      </c>
      <c r="D13" s="4">
        <f>IFERROR(INDEX('Ma wish list'!$F$4:$F$40,MATCH(10,'Ma wish list'!$H$4:$H$40,0))&amp;"","")</f>
        <v/>
      </c>
      <c r="E13" s="4">
        <f>IFERROR(INDEX('Ma wish list'!$G$4:$G$40,MATCH(10,'Ma wish list'!$H$4:$H$40,0))&amp;"","")</f>
        <v/>
      </c>
    </row>
    <row r="14">
      <c r="A14" s="4">
        <f>IFERROR(INDEX('Ma wish list'!$E$4:$E$40,MATCH(11,'Ma wish list'!$H$4:$H$40,0))&amp;"","")</f>
        <v/>
      </c>
      <c r="B14" s="4">
        <f>IFERROR(INDEX('Ma wish list'!$A$4:$A$40,MATCH(11,'Ma wish list'!$H$4:$H$40,0))&amp;"","")</f>
        <v/>
      </c>
      <c r="C14" s="4">
        <f>IFERROR(INDEX('Ma wish list'!$D$4:$D$40,MATCH(11,'Ma wish list'!$H$4:$H$40,0))&amp;"","")</f>
        <v/>
      </c>
      <c r="D14" s="4">
        <f>IFERROR(INDEX('Ma wish list'!$F$4:$F$40,MATCH(11,'Ma wish list'!$H$4:$H$40,0))&amp;"","")</f>
        <v/>
      </c>
      <c r="E14" s="4">
        <f>IFERROR(INDEX('Ma wish list'!$G$4:$G$40,MATCH(11,'Ma wish list'!$H$4:$H$40,0))&amp;"","")</f>
        <v/>
      </c>
    </row>
    <row r="15">
      <c r="A15" s="4">
        <f>IFERROR(INDEX('Ma wish list'!$E$4:$E$40,MATCH(12,'Ma wish list'!$H$4:$H$40,0))&amp;"","")</f>
        <v/>
      </c>
      <c r="B15" s="4">
        <f>IFERROR(INDEX('Ma wish list'!$A$4:$A$40,MATCH(12,'Ma wish list'!$H$4:$H$40,0))&amp;"","")</f>
        <v/>
      </c>
      <c r="C15" s="4">
        <f>IFERROR(INDEX('Ma wish list'!$D$4:$D$40,MATCH(12,'Ma wish list'!$H$4:$H$40,0))&amp;"","")</f>
        <v/>
      </c>
      <c r="D15" s="4">
        <f>IFERROR(INDEX('Ma wish list'!$F$4:$F$40,MATCH(12,'Ma wish list'!$H$4:$H$40,0))&amp;"","")</f>
        <v/>
      </c>
      <c r="E15" s="4">
        <f>IFERROR(INDEX('Ma wish list'!$G$4:$G$40,MATCH(12,'Ma wish list'!$H$4:$H$40,0))&amp;"","")</f>
        <v/>
      </c>
    </row>
    <row r="16">
      <c r="A16" s="4">
        <f>IFERROR(INDEX('Ma wish list'!$E$4:$E$40,MATCH(13,'Ma wish list'!$H$4:$H$40,0))&amp;"","")</f>
        <v/>
      </c>
      <c r="B16" s="4">
        <f>IFERROR(INDEX('Ma wish list'!$A$4:$A$40,MATCH(13,'Ma wish list'!$H$4:$H$40,0))&amp;"","")</f>
        <v/>
      </c>
      <c r="C16" s="4">
        <f>IFERROR(INDEX('Ma wish list'!$D$4:$D$40,MATCH(13,'Ma wish list'!$H$4:$H$40,0))&amp;"","")</f>
        <v/>
      </c>
      <c r="D16" s="4">
        <f>IFERROR(INDEX('Ma wish list'!$F$4:$F$40,MATCH(13,'Ma wish list'!$H$4:$H$40,0))&amp;"","")</f>
        <v/>
      </c>
      <c r="E16" s="4">
        <f>IFERROR(INDEX('Ma wish list'!$G$4:$G$40,MATCH(13,'Ma wish list'!$H$4:$H$40,0))&amp;"","")</f>
        <v/>
      </c>
    </row>
    <row r="17">
      <c r="A17" s="4">
        <f>IFERROR(INDEX('Ma wish list'!$E$4:$E$40,MATCH(14,'Ma wish list'!$H$4:$H$40,0))&amp;"","")</f>
        <v/>
      </c>
      <c r="B17" s="4">
        <f>IFERROR(INDEX('Ma wish list'!$A$4:$A$40,MATCH(14,'Ma wish list'!$H$4:$H$40,0))&amp;"","")</f>
        <v/>
      </c>
      <c r="C17" s="4">
        <f>IFERROR(INDEX('Ma wish list'!$D$4:$D$40,MATCH(14,'Ma wish list'!$H$4:$H$40,0))&amp;"","")</f>
        <v/>
      </c>
      <c r="D17" s="4">
        <f>IFERROR(INDEX('Ma wish list'!$F$4:$F$40,MATCH(14,'Ma wish list'!$H$4:$H$40,0))&amp;"","")</f>
        <v/>
      </c>
      <c r="E17" s="4">
        <f>IFERROR(INDEX('Ma wish list'!$G$4:$G$40,MATCH(14,'Ma wish list'!$H$4:$H$40,0))&amp;"","")</f>
        <v/>
      </c>
    </row>
    <row r="18">
      <c r="A18" s="4">
        <f>IFERROR(INDEX('Ma wish list'!$E$4:$E$40,MATCH(15,'Ma wish list'!$H$4:$H$40,0))&amp;"","")</f>
        <v/>
      </c>
      <c r="B18" s="4">
        <f>IFERROR(INDEX('Ma wish list'!$A$4:$A$40,MATCH(15,'Ma wish list'!$H$4:$H$40,0))&amp;"","")</f>
        <v/>
      </c>
      <c r="C18" s="4">
        <f>IFERROR(INDEX('Ma wish list'!$D$4:$D$40,MATCH(15,'Ma wish list'!$H$4:$H$40,0))&amp;"","")</f>
        <v/>
      </c>
      <c r="D18" s="4">
        <f>IFERROR(INDEX('Ma wish list'!$F$4:$F$40,MATCH(15,'Ma wish list'!$H$4:$H$40,0))&amp;"","")</f>
        <v/>
      </c>
      <c r="E18" s="4">
        <f>IFERROR(INDEX('Ma wish list'!$G$4:$G$40,MATCH(15,'Ma wish list'!$H$4:$H$40,0))&amp;"","")</f>
        <v/>
      </c>
    </row>
    <row r="19">
      <c r="A19" s="4">
        <f>IFERROR(INDEX('Ma wish list'!$E$4:$E$40,MATCH(16,'Ma wish list'!$H$4:$H$40,0))&amp;"","")</f>
        <v/>
      </c>
      <c r="B19" s="4">
        <f>IFERROR(INDEX('Ma wish list'!$A$4:$A$40,MATCH(16,'Ma wish list'!$H$4:$H$40,0))&amp;"","")</f>
        <v/>
      </c>
      <c r="C19" s="4">
        <f>IFERROR(INDEX('Ma wish list'!$D$4:$D$40,MATCH(16,'Ma wish list'!$H$4:$H$40,0))&amp;"","")</f>
        <v/>
      </c>
      <c r="D19" s="4">
        <f>IFERROR(INDEX('Ma wish list'!$F$4:$F$40,MATCH(16,'Ma wish list'!$H$4:$H$40,0))&amp;"","")</f>
        <v/>
      </c>
      <c r="E19" s="4">
        <f>IFERROR(INDEX('Ma wish list'!$G$4:$G$40,MATCH(16,'Ma wish list'!$H$4:$H$40,0))&amp;"","")</f>
        <v/>
      </c>
    </row>
    <row r="20">
      <c r="A20" s="4">
        <f>IFERROR(INDEX('Ma wish list'!$E$4:$E$40,MATCH(17,'Ma wish list'!$H$4:$H$40,0))&amp;"","")</f>
        <v/>
      </c>
      <c r="B20" s="4">
        <f>IFERROR(INDEX('Ma wish list'!$A$4:$A$40,MATCH(17,'Ma wish list'!$H$4:$H$40,0))&amp;"","")</f>
        <v/>
      </c>
      <c r="C20" s="4">
        <f>IFERROR(INDEX('Ma wish list'!$D$4:$D$40,MATCH(17,'Ma wish list'!$H$4:$H$40,0))&amp;"","")</f>
        <v/>
      </c>
      <c r="D20" s="4">
        <f>IFERROR(INDEX('Ma wish list'!$F$4:$F$40,MATCH(17,'Ma wish list'!$H$4:$H$40,0))&amp;"","")</f>
        <v/>
      </c>
      <c r="E20" s="4">
        <f>IFERROR(INDEX('Ma wish list'!$G$4:$G$40,MATCH(17,'Ma wish list'!$H$4:$H$40,0))&amp;"","")</f>
        <v/>
      </c>
    </row>
    <row r="21">
      <c r="A21" s="4">
        <f>IFERROR(INDEX('Ma wish list'!$E$4:$E$40,MATCH(18,'Ma wish list'!$H$4:$H$40,0))&amp;"","")</f>
        <v/>
      </c>
      <c r="B21" s="4">
        <f>IFERROR(INDEX('Ma wish list'!$A$4:$A$40,MATCH(18,'Ma wish list'!$H$4:$H$40,0))&amp;"","")</f>
        <v/>
      </c>
      <c r="C21" s="4">
        <f>IFERROR(INDEX('Ma wish list'!$D$4:$D$40,MATCH(18,'Ma wish list'!$H$4:$H$40,0))&amp;"","")</f>
        <v/>
      </c>
      <c r="D21" s="4">
        <f>IFERROR(INDEX('Ma wish list'!$F$4:$F$40,MATCH(18,'Ma wish list'!$H$4:$H$40,0))&amp;"","")</f>
        <v/>
      </c>
      <c r="E21" s="4">
        <f>IFERROR(INDEX('Ma wish list'!$G$4:$G$40,MATCH(18,'Ma wish list'!$H$4:$H$40,0))&amp;"","")</f>
        <v/>
      </c>
    </row>
    <row r="22">
      <c r="A22" s="4">
        <f>IFERROR(INDEX('Ma wish list'!$E$4:$E$40,MATCH(19,'Ma wish list'!$H$4:$H$40,0))&amp;"","")</f>
        <v/>
      </c>
      <c r="B22" s="4">
        <f>IFERROR(INDEX('Ma wish list'!$A$4:$A$40,MATCH(19,'Ma wish list'!$H$4:$H$40,0))&amp;"","")</f>
        <v/>
      </c>
      <c r="C22" s="4">
        <f>IFERROR(INDEX('Ma wish list'!$D$4:$D$40,MATCH(19,'Ma wish list'!$H$4:$H$40,0))&amp;"","")</f>
        <v/>
      </c>
      <c r="D22" s="4">
        <f>IFERROR(INDEX('Ma wish list'!$F$4:$F$40,MATCH(19,'Ma wish list'!$H$4:$H$40,0))&amp;"","")</f>
        <v/>
      </c>
      <c r="E22" s="4">
        <f>IFERROR(INDEX('Ma wish list'!$G$4:$G$40,MATCH(19,'Ma wish list'!$H$4:$H$40,0))&amp;"","")</f>
        <v/>
      </c>
    </row>
    <row r="23">
      <c r="A23" s="4">
        <f>IFERROR(INDEX('Ma wish list'!$E$4:$E$40,MATCH(20,'Ma wish list'!$H$4:$H$40,0))&amp;"","")</f>
        <v/>
      </c>
      <c r="B23" s="4">
        <f>IFERROR(INDEX('Ma wish list'!$A$4:$A$40,MATCH(20,'Ma wish list'!$H$4:$H$40,0))&amp;"","")</f>
        <v/>
      </c>
      <c r="C23" s="4">
        <f>IFERROR(INDEX('Ma wish list'!$D$4:$D$40,MATCH(20,'Ma wish list'!$H$4:$H$40,0))&amp;"","")</f>
        <v/>
      </c>
      <c r="D23" s="4">
        <f>IFERROR(INDEX('Ma wish list'!$F$4:$F$40,MATCH(20,'Ma wish list'!$H$4:$H$40,0))&amp;"","")</f>
        <v/>
      </c>
      <c r="E23" s="4">
        <f>IFERROR(INDEX('Ma wish list'!$G$4:$G$40,MATCH(20,'Ma wish list'!$H$4:$H$40,0))&amp;"","")</f>
        <v/>
      </c>
    </row>
    <row r="24">
      <c r="A24" s="4">
        <f>IFERROR(INDEX('Ma wish list'!$E$4:$E$40,MATCH(21,'Ma wish list'!$H$4:$H$40,0))&amp;"","")</f>
        <v/>
      </c>
      <c r="B24" s="4">
        <f>IFERROR(INDEX('Ma wish list'!$A$4:$A$40,MATCH(21,'Ma wish list'!$H$4:$H$40,0))&amp;"","")</f>
        <v/>
      </c>
      <c r="C24" s="4">
        <f>IFERROR(INDEX('Ma wish list'!$D$4:$D$40,MATCH(21,'Ma wish list'!$H$4:$H$40,0))&amp;"","")</f>
        <v/>
      </c>
      <c r="D24" s="4">
        <f>IFERROR(INDEX('Ma wish list'!$F$4:$F$40,MATCH(21,'Ma wish list'!$H$4:$H$40,0))&amp;"","")</f>
        <v/>
      </c>
      <c r="E24" s="4">
        <f>IFERROR(INDEX('Ma wish list'!$G$4:$G$40,MATCH(21,'Ma wish list'!$H$4:$H$40,0))&amp;"","")</f>
        <v/>
      </c>
    </row>
    <row r="25">
      <c r="A25" s="4">
        <f>IFERROR(INDEX('Ma wish list'!$E$4:$E$40,MATCH(22,'Ma wish list'!$H$4:$H$40,0))&amp;"","")</f>
        <v/>
      </c>
      <c r="B25" s="4">
        <f>IFERROR(INDEX('Ma wish list'!$A$4:$A$40,MATCH(22,'Ma wish list'!$H$4:$H$40,0))&amp;"","")</f>
        <v/>
      </c>
      <c r="C25" s="4">
        <f>IFERROR(INDEX('Ma wish list'!$D$4:$D$40,MATCH(22,'Ma wish list'!$H$4:$H$40,0))&amp;"","")</f>
        <v/>
      </c>
      <c r="D25" s="4">
        <f>IFERROR(INDEX('Ma wish list'!$F$4:$F$40,MATCH(22,'Ma wish list'!$H$4:$H$40,0))&amp;"","")</f>
        <v/>
      </c>
      <c r="E25" s="4">
        <f>IFERROR(INDEX('Ma wish list'!$G$4:$G$40,MATCH(22,'Ma wish list'!$H$4:$H$40,0))&amp;"","")</f>
        <v/>
      </c>
    </row>
    <row r="26">
      <c r="A26" s="4">
        <f>IFERROR(INDEX('Ma wish list'!$E$4:$E$40,MATCH(23,'Ma wish list'!$H$4:$H$40,0))&amp;"","")</f>
        <v/>
      </c>
      <c r="B26" s="4">
        <f>IFERROR(INDEX('Ma wish list'!$A$4:$A$40,MATCH(23,'Ma wish list'!$H$4:$H$40,0))&amp;"","")</f>
        <v/>
      </c>
      <c r="C26" s="4">
        <f>IFERROR(INDEX('Ma wish list'!$D$4:$D$40,MATCH(23,'Ma wish list'!$H$4:$H$40,0))&amp;"","")</f>
        <v/>
      </c>
      <c r="D26" s="4">
        <f>IFERROR(INDEX('Ma wish list'!$F$4:$F$40,MATCH(23,'Ma wish list'!$H$4:$H$40,0))&amp;"","")</f>
        <v/>
      </c>
      <c r="E26" s="4">
        <f>IFERROR(INDEX('Ma wish list'!$G$4:$G$40,MATCH(23,'Ma wish list'!$H$4:$H$40,0))&amp;"","")</f>
        <v/>
      </c>
    </row>
    <row r="27">
      <c r="A27" s="4">
        <f>IFERROR(INDEX('Ma wish list'!$E$4:$E$40,MATCH(24,'Ma wish list'!$H$4:$H$40,0))&amp;"","")</f>
        <v/>
      </c>
      <c r="B27" s="4">
        <f>IFERROR(INDEX('Ma wish list'!$A$4:$A$40,MATCH(24,'Ma wish list'!$H$4:$H$40,0))&amp;"","")</f>
        <v/>
      </c>
      <c r="C27" s="4">
        <f>IFERROR(INDEX('Ma wish list'!$D$4:$D$40,MATCH(24,'Ma wish list'!$H$4:$H$40,0))&amp;"","")</f>
        <v/>
      </c>
      <c r="D27" s="4">
        <f>IFERROR(INDEX('Ma wish list'!$F$4:$F$40,MATCH(24,'Ma wish list'!$H$4:$H$40,0))&amp;"","")</f>
        <v/>
      </c>
      <c r="E27" s="4">
        <f>IFERROR(INDEX('Ma wish list'!$G$4:$G$40,MATCH(24,'Ma wish list'!$H$4:$H$40,0))&amp;"","")</f>
        <v/>
      </c>
    </row>
    <row r="28">
      <c r="A28" s="4">
        <f>IFERROR(INDEX('Ma wish list'!$E$4:$E$40,MATCH(25,'Ma wish list'!$H$4:$H$40,0))&amp;"","")</f>
        <v/>
      </c>
      <c r="B28" s="4">
        <f>IFERROR(INDEX('Ma wish list'!$A$4:$A$40,MATCH(25,'Ma wish list'!$H$4:$H$40,0))&amp;"","")</f>
        <v/>
      </c>
      <c r="C28" s="4">
        <f>IFERROR(INDEX('Ma wish list'!$D$4:$D$40,MATCH(25,'Ma wish list'!$H$4:$H$40,0))&amp;"","")</f>
        <v/>
      </c>
      <c r="D28" s="4">
        <f>IFERROR(INDEX('Ma wish list'!$F$4:$F$40,MATCH(25,'Ma wish list'!$H$4:$H$40,0))&amp;"","")</f>
        <v/>
      </c>
      <c r="E28" s="4">
        <f>IFERROR(INDEX('Ma wish list'!$G$4:$G$40,MATCH(25,'Ma wish list'!$H$4:$H$40,0))&amp;"","")</f>
        <v/>
      </c>
    </row>
    <row r="29">
      <c r="A29" s="4">
        <f>IFERROR(INDEX('Ma wish list'!$E$4:$E$40,MATCH(26,'Ma wish list'!$H$4:$H$40,0))&amp;"","")</f>
        <v/>
      </c>
      <c r="B29" s="4">
        <f>IFERROR(INDEX('Ma wish list'!$A$4:$A$40,MATCH(26,'Ma wish list'!$H$4:$H$40,0))&amp;"","")</f>
        <v/>
      </c>
      <c r="C29" s="4">
        <f>IFERROR(INDEX('Ma wish list'!$D$4:$D$40,MATCH(26,'Ma wish list'!$H$4:$H$40,0))&amp;"","")</f>
        <v/>
      </c>
      <c r="D29" s="4">
        <f>IFERROR(INDEX('Ma wish list'!$F$4:$F$40,MATCH(26,'Ma wish list'!$H$4:$H$40,0))&amp;"","")</f>
        <v/>
      </c>
      <c r="E29" s="4">
        <f>IFERROR(INDEX('Ma wish list'!$G$4:$G$40,MATCH(26,'Ma wish list'!$H$4:$H$40,0))&amp;"","")</f>
        <v/>
      </c>
    </row>
    <row r="30">
      <c r="A30" s="4">
        <f>IFERROR(INDEX('Ma wish list'!$E$4:$E$40,MATCH(27,'Ma wish list'!$H$4:$H$40,0))&amp;"","")</f>
        <v/>
      </c>
      <c r="B30" s="4">
        <f>IFERROR(INDEX('Ma wish list'!$A$4:$A$40,MATCH(27,'Ma wish list'!$H$4:$H$40,0))&amp;"","")</f>
        <v/>
      </c>
      <c r="C30" s="4">
        <f>IFERROR(INDEX('Ma wish list'!$D$4:$D$40,MATCH(27,'Ma wish list'!$H$4:$H$40,0))&amp;"","")</f>
        <v/>
      </c>
      <c r="D30" s="4">
        <f>IFERROR(INDEX('Ma wish list'!$F$4:$F$40,MATCH(27,'Ma wish list'!$H$4:$H$40,0))&amp;"","")</f>
        <v/>
      </c>
      <c r="E30" s="4">
        <f>IFERROR(INDEX('Ma wish list'!$G$4:$G$40,MATCH(27,'Ma wish list'!$H$4:$H$40,0))&amp;"","")</f>
        <v/>
      </c>
    </row>
    <row r="31">
      <c r="A31" s="4">
        <f>IFERROR(INDEX('Ma wish list'!$E$4:$E$40,MATCH(28,'Ma wish list'!$H$4:$H$40,0))&amp;"","")</f>
        <v/>
      </c>
      <c r="B31" s="4">
        <f>IFERROR(INDEX('Ma wish list'!$A$4:$A$40,MATCH(28,'Ma wish list'!$H$4:$H$40,0))&amp;"","")</f>
        <v/>
      </c>
      <c r="C31" s="4">
        <f>IFERROR(INDEX('Ma wish list'!$D$4:$D$40,MATCH(28,'Ma wish list'!$H$4:$H$40,0))&amp;"","")</f>
        <v/>
      </c>
      <c r="D31" s="4">
        <f>IFERROR(INDEX('Ma wish list'!$F$4:$F$40,MATCH(28,'Ma wish list'!$H$4:$H$40,0))&amp;"","")</f>
        <v/>
      </c>
      <c r="E31" s="4">
        <f>IFERROR(INDEX('Ma wish list'!$G$4:$G$40,MATCH(28,'Ma wish list'!$H$4:$H$40,0))&amp;"","")</f>
        <v/>
      </c>
    </row>
    <row r="32">
      <c r="A32" s="4">
        <f>IFERROR(INDEX('Ma wish list'!$E$4:$E$40,MATCH(29,'Ma wish list'!$H$4:$H$40,0))&amp;"","")</f>
        <v/>
      </c>
      <c r="B32" s="4">
        <f>IFERROR(INDEX('Ma wish list'!$A$4:$A$40,MATCH(29,'Ma wish list'!$H$4:$H$40,0))&amp;"","")</f>
        <v/>
      </c>
      <c r="C32" s="4">
        <f>IFERROR(INDEX('Ma wish list'!$D$4:$D$40,MATCH(29,'Ma wish list'!$H$4:$H$40,0))&amp;"","")</f>
        <v/>
      </c>
      <c r="D32" s="4">
        <f>IFERROR(INDEX('Ma wish list'!$F$4:$F$40,MATCH(29,'Ma wish list'!$H$4:$H$40,0))&amp;"","")</f>
        <v/>
      </c>
      <c r="E32" s="4">
        <f>IFERROR(INDEX('Ma wish list'!$G$4:$G$40,MATCH(29,'Ma wish list'!$H$4:$H$40,0))&amp;"","")</f>
        <v/>
      </c>
    </row>
    <row r="33">
      <c r="A33" s="4">
        <f>IFERROR(INDEX('Ma wish list'!$E$4:$E$40,MATCH(30,'Ma wish list'!$H$4:$H$40,0))&amp;"","")</f>
        <v/>
      </c>
      <c r="B33" s="4">
        <f>IFERROR(INDEX('Ma wish list'!$A$4:$A$40,MATCH(30,'Ma wish list'!$H$4:$H$40,0))&amp;"","")</f>
        <v/>
      </c>
      <c r="C33" s="4">
        <f>IFERROR(INDEX('Ma wish list'!$D$4:$D$40,MATCH(30,'Ma wish list'!$H$4:$H$40,0))&amp;"","")</f>
        <v/>
      </c>
      <c r="D33" s="4">
        <f>IFERROR(INDEX('Ma wish list'!$F$4:$F$40,MATCH(30,'Ma wish list'!$H$4:$H$40,0))&amp;"","")</f>
        <v/>
      </c>
      <c r="E33" s="4">
        <f>IFERROR(INDEX('Ma wish list'!$G$4:$G$40,MATCH(30,'Ma wish list'!$H$4:$H$40,0))&amp;"","")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6" customWidth="1" min="4" max="4"/>
    <col width="18" customWidth="1" min="5" max="5"/>
    <col width="16" customWidth="1" min="6" max="6"/>
    <col width="30" customWidth="1" min="7" max="7"/>
    <col width="9" customWidth="1" min="8" max="8"/>
    <col width="9" customWidth="1" min="9" max="9"/>
  </cols>
  <sheetData>
    <row r="1" ht="30" customHeight="1">
      <c r="A1" s="8" t="inlineStr">
        <is>
          <t>⭐ Ma wish list – choisis « Offert par » pour l'envoyer dans le bon onglet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Lien</t>
        </is>
      </c>
      <c r="E3" s="3" t="inlineStr">
        <is>
          <t>Offert par</t>
        </is>
      </c>
      <c r="F3" s="3" t="inlineStr">
        <is>
          <t>Statut</t>
        </is>
      </c>
      <c r="G3" s="3" t="inlineStr">
        <is>
          <t>Notes</t>
        </is>
      </c>
      <c r="H3" s="9" t="inlineStr">
        <is>
          <t>n° Papa</t>
        </is>
      </c>
      <c r="I3" s="9" t="inlineStr">
        <is>
          <t>n° autres</t>
        </is>
      </c>
    </row>
    <row r="4">
      <c r="A4" s="10" t="inlineStr">
        <is>
          <t>Glacière transport repas midi</t>
        </is>
      </c>
      <c r="B4" s="10" t="inlineStr">
        <is>
          <t>Divers</t>
        </is>
      </c>
      <c r="C4" s="10" t="n"/>
      <c r="D4" s="10" t="n"/>
      <c r="E4" s="10" t="n"/>
      <c r="F4" s="10" t="n"/>
      <c r="G4" s="10" t="n"/>
      <c r="H4" s="11">
        <f>IF($E4="Papa",COUNTIF($E$4:$E4,"Papa"),"")</f>
        <v/>
      </c>
      <c r="I4" s="11">
        <f>IF(OR($E4="",$E4="Papa",$E4="Autre"),"",COUNTIFS($E$4:$E4,"&lt;&gt;Papa",$E$4:$E4,"&lt;&gt;Autre",$E$4:$E4,"&lt;&gt;"))</f>
        <v/>
      </c>
    </row>
    <row r="5">
      <c r="A5" s="10" t="inlineStr">
        <is>
          <t>Compressport R2V2</t>
        </is>
      </c>
      <c r="B5" s="10" t="inlineStr">
        <is>
          <t>Course / Trail</t>
        </is>
      </c>
      <c r="C5" s="10" t="n"/>
      <c r="D5" s="10" t="n"/>
      <c r="E5" s="10" t="n"/>
      <c r="F5" s="10" t="n"/>
      <c r="G5" s="10" t="n"/>
      <c r="H5" s="11">
        <f>IF($E5="Papa",COUNTIF($E$4:$E5,"Papa"),"")</f>
        <v/>
      </c>
      <c r="I5" s="11">
        <f>IF(OR($E5="",$E5="Papa",$E5="Autre"),"",COUNTIFS($E$4:$E5,"&lt;&gt;Papa",$E$4:$E5,"&lt;&gt;Autre",$E$4:$E5,"&lt;&gt;"))</f>
        <v/>
      </c>
    </row>
    <row r="6">
      <c r="A6" s="10" t="inlineStr">
        <is>
          <t>Gel Meltonic</t>
        </is>
      </c>
      <c r="B6" s="10" t="inlineStr">
        <is>
          <t>Course / Trail</t>
        </is>
      </c>
      <c r="C6" s="10" t="n"/>
      <c r="D6" s="10" t="n"/>
      <c r="E6" s="10" t="n"/>
      <c r="F6" s="10" t="n"/>
      <c r="G6" s="10" t="n"/>
      <c r="H6" s="11">
        <f>IF($E6="Papa",COUNTIF($E$4:$E6,"Papa"),"")</f>
        <v/>
      </c>
      <c r="I6" s="11">
        <f>IF(OR($E6="",$E6="Papa",$E6="Autre"),"",COUNTIFS($E$4:$E6,"&lt;&gt;Papa",$E$4:$E6,"&lt;&gt;Autre",$E$4:$E6,"&lt;&gt;"))</f>
        <v/>
      </c>
    </row>
    <row r="7">
      <c r="A7" s="10" t="inlineStr">
        <is>
          <t>Débardeur course</t>
        </is>
      </c>
      <c r="B7" s="10" t="inlineStr">
        <is>
          <t>Course / Trail</t>
        </is>
      </c>
      <c r="C7" s="10" t="n"/>
      <c r="D7" s="10" t="n"/>
      <c r="E7" s="10" t="n"/>
      <c r="F7" s="10" t="n"/>
      <c r="G7" s="10" t="n"/>
      <c r="H7" s="11">
        <f>IF($E7="Papa",COUNTIF($E$4:$E7,"Papa"),"")</f>
        <v/>
      </c>
      <c r="I7" s="11">
        <f>IF(OR($E7="",$E7="Papa",$E7="Autre"),"",COUNTIFS($E$4:$E7,"&lt;&gt;Papa",$E$4:$E7,"&lt;&gt;Autre",$E$4:$E7,"&lt;&gt;"))</f>
        <v/>
      </c>
    </row>
    <row r="8">
      <c r="A8" s="10" t="inlineStr">
        <is>
          <t>Écouteurs</t>
        </is>
      </c>
      <c r="B8" s="10" t="inlineStr">
        <is>
          <t>Tech</t>
        </is>
      </c>
      <c r="C8" s="10" t="n"/>
      <c r="D8" s="10" t="n"/>
      <c r="E8" s="10" t="n"/>
      <c r="F8" s="10" t="n"/>
      <c r="G8" s="10" t="n"/>
      <c r="H8" s="11">
        <f>IF($E8="Papa",COUNTIF($E$4:$E8,"Papa"),"")</f>
        <v/>
      </c>
      <c r="I8" s="11">
        <f>IF(OR($E8="",$E8="Papa",$E8="Autre"),"",COUNTIFS($E$4:$E8,"&lt;&gt;Papa",$E$4:$E8,"&lt;&gt;Autre",$E$4:$E8,"&lt;&gt;"))</f>
        <v/>
      </c>
    </row>
    <row r="9">
      <c r="A9" s="10" t="inlineStr">
        <is>
          <t>Garmin HRM Pro Plus</t>
        </is>
      </c>
      <c r="B9" s="10" t="inlineStr">
        <is>
          <t>Tech</t>
        </is>
      </c>
      <c r="C9" s="10" t="n"/>
      <c r="D9" s="10" t="n"/>
      <c r="E9" s="10" t="n"/>
      <c r="F9" s="10" t="n"/>
      <c r="G9" s="10" t="n"/>
      <c r="H9" s="11">
        <f>IF($E9="Papa",COUNTIF($E$4:$E9,"Papa"),"")</f>
        <v/>
      </c>
      <c r="I9" s="11">
        <f>IF(OR($E9="",$E9="Papa",$E9="Autre"),"",COUNTIFS($E$4:$E9,"&lt;&gt;Papa",$E$4:$E9,"&lt;&gt;Autre",$E$4:$E9,"&lt;&gt;"))</f>
        <v/>
      </c>
    </row>
    <row r="10">
      <c r="A10" s="10" t="inlineStr">
        <is>
          <t>Chaussettes trail</t>
        </is>
      </c>
      <c r="B10" s="10" t="inlineStr">
        <is>
          <t>Course / Trail</t>
        </is>
      </c>
      <c r="C10" s="10" t="n"/>
      <c r="D10" s="10" t="n"/>
      <c r="E10" s="10" t="n"/>
      <c r="F10" s="10" t="n"/>
      <c r="G10" s="10" t="n"/>
      <c r="H10" s="11">
        <f>IF($E10="Papa",COUNTIF($E$4:$E10,"Papa"),"")</f>
        <v/>
      </c>
      <c r="I10" s="11">
        <f>IF(OR($E10="",$E10="Papa",$E10="Autre"),"",COUNTIFS($E$4:$E10,"&lt;&gt;Papa",$E$4:$E10,"&lt;&gt;Autre",$E$4:$E10,"&lt;&gt;"))</f>
        <v/>
      </c>
    </row>
    <row r="11">
      <c r="A11" s="10" t="inlineStr">
        <is>
          <t>Vêtements course à pied</t>
        </is>
      </c>
      <c r="B11" s="10" t="inlineStr">
        <is>
          <t>Course / Trail</t>
        </is>
      </c>
      <c r="C11" s="10" t="n"/>
      <c r="D11" s="10" t="n"/>
      <c r="E11" s="10" t="n"/>
      <c r="F11" s="10" t="n"/>
      <c r="G11" s="10" t="n"/>
      <c r="H11" s="11">
        <f>IF($E11="Papa",COUNTIF($E$4:$E11,"Papa"),"")</f>
        <v/>
      </c>
      <c r="I11" s="11">
        <f>IF(OR($E11="",$E11="Papa",$E11="Autre"),"",COUNTIFS($E$4:$E11,"&lt;&gt;Papa",$E$4:$E11,"&lt;&gt;Autre",$E$4:$E11,"&lt;&gt;"))</f>
        <v/>
      </c>
    </row>
    <row r="12">
      <c r="A12" s="10" t="inlineStr">
        <is>
          <t>Casquette</t>
        </is>
      </c>
      <c r="B12" s="10" t="inlineStr">
        <is>
          <t>Course / Trail</t>
        </is>
      </c>
      <c r="C12" s="10" t="n"/>
      <c r="D12" s="10" t="n"/>
      <c r="E12" s="10" t="n"/>
      <c r="F12" s="10" t="n"/>
      <c r="G12" s="10" t="n"/>
      <c r="H12" s="11">
        <f>IF($E12="Papa",COUNTIF($E$4:$E12,"Papa"),"")</f>
        <v/>
      </c>
      <c r="I12" s="11">
        <f>IF(OR($E12="",$E12="Papa",$E12="Autre"),"",COUNTIFS($E$4:$E12,"&lt;&gt;Papa",$E$4:$E12,"&lt;&gt;Autre",$E$4:$E12,"&lt;&gt;"))</f>
        <v/>
      </c>
    </row>
    <row r="13">
      <c r="A13" s="10" t="inlineStr">
        <is>
          <t>Bâtons de trail</t>
        </is>
      </c>
      <c r="B13" s="10" t="inlineStr">
        <is>
          <t>Course / Trail</t>
        </is>
      </c>
      <c r="C13" s="10" t="n"/>
      <c r="D13" s="10" t="n"/>
      <c r="E13" s="10" t="n"/>
      <c r="F13" s="10" t="n"/>
      <c r="G13" s="10" t="n"/>
      <c r="H13" s="11">
        <f>IF($E13="Papa",COUNTIF($E$4:$E13,"Papa"),"")</f>
        <v/>
      </c>
      <c r="I13" s="11">
        <f>IF(OR($E13="",$E13="Papa",$E13="Autre"),"",COUNTIFS($E$4:$E13,"&lt;&gt;Papa",$E$4:$E13,"&lt;&gt;Autre",$E$4:$E13,"&lt;&gt;"))</f>
        <v/>
      </c>
    </row>
    <row r="14">
      <c r="A14" s="10" t="inlineStr">
        <is>
          <t>Sac de sport grand under</t>
        </is>
      </c>
      <c r="B14" s="10" t="inlineStr">
        <is>
          <t>Sport</t>
        </is>
      </c>
      <c r="C14" s="10" t="n"/>
      <c r="D14" s="10" t="n"/>
      <c r="E14" s="10" t="n"/>
      <c r="F14" s="10" t="n"/>
      <c r="G14" s="10" t="n"/>
      <c r="H14" s="11">
        <f>IF($E14="Papa",COUNTIF($E$4:$E14,"Papa"),"")</f>
        <v/>
      </c>
      <c r="I14" s="11">
        <f>IF(OR($E14="",$E14="Papa",$E14="Autre"),"",COUNTIFS($E$4:$E14,"&lt;&gt;Papa",$E$4:$E14,"&lt;&gt;Autre",$E$4:$E14,"&lt;&gt;"))</f>
        <v/>
      </c>
    </row>
    <row r="15">
      <c r="A15" s="10" t="inlineStr">
        <is>
          <t>PS5 + Madden</t>
        </is>
      </c>
      <c r="B15" s="10" t="inlineStr">
        <is>
          <t>Tech</t>
        </is>
      </c>
      <c r="C15" s="10" t="n"/>
      <c r="D15" s="10" t="n"/>
      <c r="E15" s="10" t="n"/>
      <c r="F15" s="10" t="n"/>
      <c r="G15" s="10" t="n"/>
      <c r="H15" s="11">
        <f>IF($E15="Papa",COUNTIF($E$4:$E15,"Papa"),"")</f>
        <v/>
      </c>
      <c r="I15" s="11">
        <f>IF(OR($E15="",$E15="Papa",$E15="Autre"),"",COUNTIFS($E$4:$E15,"&lt;&gt;Papa",$E$4:$E15,"&lt;&gt;Autre",$E$4:$E15,"&lt;&gt;"))</f>
        <v/>
      </c>
    </row>
    <row r="16">
      <c r="A16" s="10" t="inlineStr">
        <is>
          <t>Maillot NFL</t>
        </is>
      </c>
      <c r="B16" s="10" t="inlineStr">
        <is>
          <t>Sport</t>
        </is>
      </c>
      <c r="C16" s="10" t="n"/>
      <c r="D16" s="10" t="n"/>
      <c r="E16" s="10" t="n"/>
      <c r="F16" s="10" t="n"/>
      <c r="G16" s="10" t="n"/>
      <c r="H16" s="11">
        <f>IF($E16="Papa",COUNTIF($E$4:$E16,"Papa"),"")</f>
        <v/>
      </c>
      <c r="I16" s="11">
        <f>IF(OR($E16="",$E16="Papa",$E16="Autre"),"",COUNTIFS($E$4:$E16,"&lt;&gt;Papa",$E$4:$E16,"&lt;&gt;Autre",$E$4:$E16,"&lt;&gt;"))</f>
        <v/>
      </c>
    </row>
    <row r="17">
      <c r="A17" s="10" t="inlineStr">
        <is>
          <t>Oreiller ergonomique</t>
        </is>
      </c>
      <c r="B17" s="10" t="inlineStr">
        <is>
          <t>Maison</t>
        </is>
      </c>
      <c r="C17" s="10" t="n"/>
      <c r="D17" s="10" t="n"/>
      <c r="E17" s="10" t="n"/>
      <c r="F17" s="10" t="n"/>
      <c r="G17" s="10" t="n"/>
      <c r="H17" s="11">
        <f>IF($E17="Papa",COUNTIF($E$4:$E17,"Papa"),"")</f>
        <v/>
      </c>
      <c r="I17" s="11">
        <f>IF(OR($E17="",$E17="Papa",$E17="Autre"),"",COUNTIFS($E$4:$E17,"&lt;&gt;Papa",$E$4:$E17,"&lt;&gt;Autre",$E$4:$E17,"&lt;&gt;"))</f>
        <v/>
      </c>
    </row>
    <row r="18">
      <c r="A18" s="10" t="inlineStr">
        <is>
          <t>Raquette padel</t>
        </is>
      </c>
      <c r="B18" s="10" t="inlineStr">
        <is>
          <t>Sport</t>
        </is>
      </c>
      <c r="C18" s="10" t="n"/>
      <c r="D18" s="10" t="n"/>
      <c r="E18" s="10" t="n"/>
      <c r="F18" s="10" t="n"/>
      <c r="G18" s="10" t="n"/>
      <c r="H18" s="11">
        <f>IF($E18="Papa",COUNTIF($E$4:$E18,"Papa"),"")</f>
        <v/>
      </c>
      <c r="I18" s="11">
        <f>IF(OR($E18="",$E18="Papa",$E18="Autre"),"",COUNTIFS($E$4:$E18,"&lt;&gt;Papa",$E$4:$E18,"&lt;&gt;Autre",$E$4:$E18,"&lt;&gt;"))</f>
        <v/>
      </c>
    </row>
    <row r="19">
      <c r="A19" s="10" t="inlineStr">
        <is>
          <t>Montre</t>
        </is>
      </c>
      <c r="B19" s="10" t="inlineStr">
        <is>
          <t>Tech</t>
        </is>
      </c>
      <c r="C19" s="10" t="n"/>
      <c r="D19" s="10" t="n"/>
      <c r="E19" s="10" t="n"/>
      <c r="F19" s="10" t="n"/>
      <c r="G19" s="10" t="n"/>
      <c r="H19" s="11">
        <f>IF($E19="Papa",COUNTIF($E$4:$E19,"Papa"),"")</f>
        <v/>
      </c>
      <c r="I19" s="11">
        <f>IF(OR($E19="",$E19="Papa",$E19="Autre"),"",COUNTIFS($E$4:$E19,"&lt;&gt;Papa",$E$4:$E19,"&lt;&gt;Autre",$E$4:$E19,"&lt;&gt;"))</f>
        <v/>
      </c>
    </row>
    <row r="20">
      <c r="A20" s="10" t="inlineStr">
        <is>
          <t>Box U2</t>
        </is>
      </c>
      <c r="B20" s="10" t="inlineStr">
        <is>
          <t>Divers</t>
        </is>
      </c>
      <c r="C20" s="10" t="n"/>
      <c r="D20" s="10" t="n"/>
      <c r="E20" s="10" t="n"/>
      <c r="F20" s="10" t="n"/>
      <c r="G20" s="10" t="n"/>
      <c r="H20" s="11">
        <f>IF($E20="Papa",COUNTIF($E$4:$E20,"Papa"),"")</f>
        <v/>
      </c>
      <c r="I20" s="11">
        <f>IF(OR($E20="",$E20="Papa",$E20="Autre"),"",COUNTIFS($E$4:$E20,"&lt;&gt;Papa",$E$4:$E20,"&lt;&gt;Autre",$E$4:$E20,"&lt;&gt;"))</f>
        <v/>
      </c>
    </row>
    <row r="21">
      <c r="A21" s="10" t="inlineStr">
        <is>
          <t>Chaussures On</t>
        </is>
      </c>
      <c r="B21" s="10" t="inlineStr">
        <is>
          <t>Course / Trail</t>
        </is>
      </c>
      <c r="C21" s="10" t="n"/>
      <c r="D21" s="10" t="n"/>
      <c r="E21" s="10" t="n"/>
      <c r="F21" s="10" t="n"/>
      <c r="G21" s="10" t="n"/>
      <c r="H21" s="11">
        <f>IF($E21="Papa",COUNTIF($E$4:$E21,"Papa"),"")</f>
        <v/>
      </c>
      <c r="I21" s="11">
        <f>IF(OR($E21="",$E21="Papa",$E21="Autre"),"",COUNTIFS($E$4:$E21,"&lt;&gt;Papa",$E$4:$E21,"&lt;&gt;Autre",$E$4:$E21,"&lt;&gt;"))</f>
        <v/>
      </c>
    </row>
    <row r="22">
      <c r="A22" s="10" t="inlineStr">
        <is>
          <t>Coque téléphone</t>
        </is>
      </c>
      <c r="B22" s="10" t="inlineStr">
        <is>
          <t>Tech</t>
        </is>
      </c>
      <c r="C22" s="10" t="n"/>
      <c r="D22" s="10" t="n"/>
      <c r="E22" s="10" t="n"/>
      <c r="F22" s="10" t="n"/>
      <c r="G22" s="10" t="n"/>
      <c r="H22" s="11">
        <f>IF($E22="Papa",COUNTIF($E$4:$E22,"Papa"),"")</f>
        <v/>
      </c>
      <c r="I22" s="11">
        <f>IF(OR($E22="",$E22="Papa",$E22="Autre"),"",COUNTIFS($E$4:$E22,"&lt;&gt;Papa",$E$4:$E22,"&lt;&gt;Autre",$E$4:$E22,"&lt;&gt;"))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1">
        <f>IF($E23="Papa",COUNTIF($E$4:$E23,"Papa"),"")</f>
        <v/>
      </c>
      <c r="I23" s="11">
        <f>IF(OR($E23="",$E23="Papa",$E23="Autre"),"",COUNTIFS($E$4:$E23,"&lt;&gt;Papa",$E$4:$E23,"&lt;&gt;Autre",$E$4:$E23,"&lt;&gt;"))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1">
        <f>IF($E24="Papa",COUNTIF($E$4:$E24,"Papa"),"")</f>
        <v/>
      </c>
      <c r="I24" s="11">
        <f>IF(OR($E24="",$E24="Papa",$E24="Autre"),"",COUNTIFS($E$4:$E24,"&lt;&gt;Papa",$E$4:$E24,"&lt;&gt;Autre",$E$4:$E24,"&lt;&gt;"))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1">
        <f>IF($E25="Papa",COUNTIF($E$4:$E25,"Papa"),"")</f>
        <v/>
      </c>
      <c r="I25" s="11">
        <f>IF(OR($E25="",$E25="Papa",$E25="Autre"),"",COUNTIFS($E$4:$E25,"&lt;&gt;Papa",$E$4:$E25,"&lt;&gt;Autre",$E$4:$E25,"&lt;&gt;"))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1">
        <f>IF($E26="Papa",COUNTIF($E$4:$E26,"Papa"),"")</f>
        <v/>
      </c>
      <c r="I26" s="11">
        <f>IF(OR($E26="",$E26="Papa",$E26="Autre"),"",COUNTIFS($E$4:$E26,"&lt;&gt;Papa",$E$4:$E26,"&lt;&gt;Autre",$E$4:$E26,"&lt;&gt;"))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1">
        <f>IF($E27="Papa",COUNTIF($E$4:$E27,"Papa"),"")</f>
        <v/>
      </c>
      <c r="I27" s="11">
        <f>IF(OR($E27="",$E27="Papa",$E27="Autre"),"",COUNTIFS($E$4:$E27,"&lt;&gt;Papa",$E$4:$E27,"&lt;&gt;Autre",$E$4:$E27,"&lt;&gt;"))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1">
        <f>IF($E28="Papa",COUNTIF($E$4:$E28,"Papa"),"")</f>
        <v/>
      </c>
      <c r="I28" s="11">
        <f>IF(OR($E28="",$E28="Papa",$E28="Autre"),"",COUNTIFS($E$4:$E28,"&lt;&gt;Papa",$E$4:$E28,"&lt;&gt;Autre",$E$4:$E28,"&lt;&gt;"))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1">
        <f>IF($E29="Papa",COUNTIF($E$4:$E29,"Papa"),"")</f>
        <v/>
      </c>
      <c r="I29" s="11">
        <f>IF(OR($E29="",$E29="Papa",$E29="Autre"),"",COUNTIFS($E$4:$E29,"&lt;&gt;Papa",$E$4:$E29,"&lt;&gt;Autre",$E$4:$E29,"&lt;&gt;"))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1">
        <f>IF($E30="Papa",COUNTIF($E$4:$E30,"Papa"),"")</f>
        <v/>
      </c>
      <c r="I30" s="11">
        <f>IF(OR($E30="",$E30="Papa",$E30="Autre"),"",COUNTIFS($E$4:$E30,"&lt;&gt;Papa",$E$4:$E30,"&lt;&gt;Autre",$E$4:$E30,"&lt;&gt;"))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1">
        <f>IF($E31="Papa",COUNTIF($E$4:$E31,"Papa"),"")</f>
        <v/>
      </c>
      <c r="I31" s="11">
        <f>IF(OR($E31="",$E31="Papa",$E31="Autre"),"",COUNTIFS($E$4:$E31,"&lt;&gt;Papa",$E$4:$E31,"&lt;&gt;Autre",$E$4:$E31,"&lt;&gt;"))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1">
        <f>IF($E32="Papa",COUNTIF($E$4:$E32,"Papa"),"")</f>
        <v/>
      </c>
      <c r="I32" s="11">
        <f>IF(OR($E32="",$E32="Papa",$E32="Autre"),"",COUNTIFS($E$4:$E32,"&lt;&gt;Papa",$E$4:$E32,"&lt;&gt;Autre",$E$4:$E32,"&lt;&gt;"))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1">
        <f>IF($E33="Papa",COUNTIF($E$4:$E33,"Papa"),"")</f>
        <v/>
      </c>
      <c r="I33" s="11">
        <f>IF(OR($E33="",$E33="Papa",$E33="Autre"),"",COUNTIFS($E$4:$E33,"&lt;&gt;Papa",$E$4:$E33,"&lt;&gt;Autre",$E$4:$E33,"&lt;&gt;"))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1">
        <f>IF($E34="Papa",COUNTIF($E$4:$E34,"Papa"),"")</f>
        <v/>
      </c>
      <c r="I34" s="11">
        <f>IF(OR($E34="",$E34="Papa",$E34="Autre"),"",COUNTIFS($E$4:$E34,"&lt;&gt;Papa",$E$4:$E34,"&lt;&gt;Autre",$E$4:$E34,"&lt;&gt;"))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1">
        <f>IF($E35="Papa",COUNTIF($E$4:$E35,"Papa"),"")</f>
        <v/>
      </c>
      <c r="I35" s="11">
        <f>IF(OR($E35="",$E35="Papa",$E35="Autre"),"",COUNTIFS($E$4:$E35,"&lt;&gt;Papa",$E$4:$E35,"&lt;&gt;Autre",$E$4:$E35,"&lt;&gt;"))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1">
        <f>IF($E36="Papa",COUNTIF($E$4:$E36,"Papa"),"")</f>
        <v/>
      </c>
      <c r="I36" s="11">
        <f>IF(OR($E36="",$E36="Papa",$E36="Autre"),"",COUNTIFS($E$4:$E36,"&lt;&gt;Papa",$E$4:$E36,"&lt;&gt;Autre",$E$4:$E36,"&lt;&gt;"))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1">
        <f>IF($E37="Papa",COUNTIF($E$4:$E37,"Papa"),"")</f>
        <v/>
      </c>
      <c r="I37" s="11">
        <f>IF(OR($E37="",$E37="Papa",$E37="Autre"),"",COUNTIFS($E$4:$E37,"&lt;&gt;Papa",$E$4:$E37,"&lt;&gt;Autre",$E$4:$E37,"&lt;&gt;"))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1">
        <f>IF($E38="Papa",COUNTIF($E$4:$E38,"Papa"),"")</f>
        <v/>
      </c>
      <c r="I38" s="11">
        <f>IF(OR($E38="",$E38="Papa",$E38="Autre"),"",COUNTIFS($E$4:$E38,"&lt;&gt;Papa",$E$4:$E38,"&lt;&gt;Autre",$E$4:$E38,"&lt;&gt;"))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1">
        <f>IF($E39="Papa",COUNTIF($E$4:$E39,"Papa"),"")</f>
        <v/>
      </c>
      <c r="I39" s="11">
        <f>IF(OR($E39="",$E39="Papa",$E39="Autre"),"",COUNTIFS($E$4:$E39,"&lt;&gt;Papa",$E$4:$E39,"&lt;&gt;Autre",$E$4:$E39,"&lt;&gt;"))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1">
        <f>IF($E40="Papa",COUNTIF($E$4:$E40,"Papa"),"")</f>
        <v/>
      </c>
      <c r="I40" s="11">
        <f>IF(OR($E40="",$E40="Papa",$E40="Autre"),"",COUNTIFS($E$4:$E40,"&lt;&gt;Papa",$E$4:$E40,"&lt;&gt;Autre",$E$4:$E40,"&lt;&gt;"))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$F4="✅ Offert"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E4:E40" showDropDown="0" showInputMessage="0" showErrorMessage="0" allowBlank="1" type="list">
      <formula1>"Papa,Maman,Frère,Copine,Famille copine,Autre"</formula1>
    </dataValidation>
    <dataValidation sqref="F4:F40" showDropDown="0" showInputMessage="0" showErrorMessage="0" allowBlank="1" type="list">
      <formula1>"💡 Idée,🔎 À trouver,🛒 Acheté,🎁 Emballé,✅ Offert"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2" t="inlineStr">
        <is>
          <t>📊 Récap</t>
        </is>
      </c>
    </row>
    <row r="3">
      <c r="A3" s="3" t="inlineStr">
        <is>
          <t>Onglet</t>
        </is>
      </c>
      <c r="B3" s="3" t="inlineStr">
        <is>
          <t>Nb idées</t>
        </is>
      </c>
      <c r="C3" s="3" t="inlineStr">
        <is>
          <t>Nb achetés</t>
        </is>
      </c>
      <c r="D3" s="3" t="inlineStr">
        <is>
          <t>Nb offerts</t>
        </is>
      </c>
    </row>
    <row r="4">
      <c r="A4" t="inlineStr">
        <is>
          <t>Maman-Frère-Copine &amp; famille</t>
        </is>
      </c>
      <c r="B4">
        <f>COUNTIF('Maman-Frère-Copine &amp; famille'!B4:B59,"?*")-COUNTIF('Maman-Frère-Copine &amp; famille'!B34,"?*")</f>
        <v/>
      </c>
      <c r="C4">
        <f>COUNTIF('Maman-Frère-Copine &amp; famille'!D4:D59,"🛒 Acheté")+COUNTIF('Maman-Frère-Copine &amp; famille'!D4:D59,"🎁 Emballé")</f>
        <v/>
      </c>
      <c r="D4">
        <f>COUNTIF('Maman-Frère-Copine &amp; famille'!D4:D59,"✅ Offert")</f>
        <v/>
      </c>
    </row>
    <row r="5">
      <c r="A5" t="inlineStr">
        <is>
          <t>Papa</t>
        </is>
      </c>
      <c r="B5">
        <f>COUNTIF('Papa'!B4:B59,"?*")-COUNTIF('Papa'!B34,"?*")</f>
        <v/>
      </c>
      <c r="C5">
        <f>COUNTIF('Papa'!D4:D59,"🛒 Acheté")+COUNTIF('Papa'!D4:D59,"🎁 Emballé")</f>
        <v/>
      </c>
      <c r="D5">
        <f>COUNTIF('Papa'!D4:D59,"✅ Offert")</f>
        <v/>
      </c>
    </row>
    <row r="6">
      <c r="A6" s="5" t="inlineStr">
        <is>
          <t>TOTAL</t>
        </is>
      </c>
      <c r="B6" s="5">
        <f>SUM(B4:B5)</f>
        <v/>
      </c>
      <c r="C6" s="5">
        <f>SUM(C4:C5)</f>
        <v/>
      </c>
      <c r="D6" s="5">
        <f>SUM(D4:D5)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2026-10-20T12:21:32Z</dcterms:created>
  <dcterms:modified xmlns:dcterms="http://purl.org/dc/terms/" xmlns:xsi="http://www.w3.org/2001/XMLSchema-instance" xsi:type="dcterms:W3CDTF">2026-10-20T12:21:32Z</dcterms:modified>
</cp:coreProperties>
</file>