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rono 2027" sheetId="1" state="visible" r:id="rId1"/>
  </sheets>
  <definedNames>
    <definedName name="_xlnm._FilterDatabase" localSheetId="0" hidden="1">'Chrono 2027'!$A$13:$U$513</definedName>
    <definedName name="_xlnm.Print_Titles" localSheetId="0">'Chrono 2027'!$13:$13</definedName>
    <definedName name="_xlnm.Print_Area" localSheetId="0">'Chrono 2027'!$A$1:$U$113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dd/mm/yy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9FD8F5"/>
      <sz val="10"/>
    </font>
    <font>
      <name val="Calibri"/>
      <b val="1"/>
      <color rgb="0051647A"/>
      <sz val="8"/>
    </font>
    <font>
      <name val="Calibri"/>
      <b val="1"/>
      <color rgb="000A4FA0"/>
      <sz val="15"/>
    </font>
    <font>
      <name val="Calibri"/>
      <b val="1"/>
      <color rgb="0051647A"/>
      <sz val="8.5"/>
    </font>
    <font>
      <name val="Calibri"/>
      <b val="1"/>
      <color rgb="0008203F"/>
      <sz val="8.5"/>
    </font>
    <font>
      <name val="Calibri"/>
      <b val="1"/>
      <color rgb="00FFFFFF"/>
      <sz val="8"/>
    </font>
    <font>
      <name val="Calibri"/>
      <b val="1"/>
      <color rgb="000A4FA0"/>
      <sz val="10"/>
    </font>
    <font>
      <name val="Calibri"/>
      <b val="1"/>
      <color rgb="00FFFFFF"/>
      <sz val="8.5"/>
    </font>
    <font>
      <name val="Calibri"/>
      <color rgb="000A4FA0"/>
      <sz val="10"/>
    </font>
    <font>
      <name val="Calibri"/>
      <color rgb="000B1B2E"/>
      <sz val="10"/>
    </font>
    <font>
      <name val="Calibri"/>
      <color rgb="000563C1"/>
      <sz val="9.5"/>
      <u val="single"/>
    </font>
    <font>
      <name val="Calibri"/>
      <b val="1"/>
      <color rgb="00E2231A"/>
      <sz val="9"/>
    </font>
  </fonts>
  <fills count="9">
    <fill>
      <patternFill/>
    </fill>
    <fill>
      <patternFill patternType="gray125"/>
    </fill>
    <fill>
      <patternFill patternType="solid">
        <fgColor rgb="0008203F"/>
        <bgColor rgb="0008203F"/>
      </patternFill>
    </fill>
    <fill>
      <patternFill patternType="solid">
        <fgColor rgb="0000AEEF"/>
        <bgColor rgb="0000AEEF"/>
      </patternFill>
    </fill>
    <fill>
      <patternFill patternType="solid">
        <fgColor rgb="00EAF6FD"/>
        <bgColor rgb="00EAF6FD"/>
      </patternFill>
    </fill>
    <fill>
      <patternFill patternType="solid">
        <fgColor rgb="00DCE8F5"/>
        <bgColor rgb="00DCE8F5"/>
      </patternFill>
    </fill>
    <fill>
      <patternFill patternType="solid">
        <fgColor rgb="000A4FA0"/>
        <bgColor rgb="000A4FA0"/>
      </patternFill>
    </fill>
    <fill>
      <patternFill patternType="solid">
        <fgColor rgb="005B7390"/>
        <bgColor rgb="005B7390"/>
      </patternFill>
    </fill>
    <fill>
      <patternFill patternType="solid">
        <fgColor rgb="002E8B57"/>
        <bgColor rgb="002E8B57"/>
      </patternFill>
    </fill>
  </fills>
  <borders count="2">
    <border>
      <left/>
      <right/>
      <top/>
      <bottom/>
      <diagonal/>
    </border>
    <border>
      <left style="thin">
        <color rgb="00F0F3F7"/>
      </left>
      <right style="thin">
        <color rgb="00F0F3F7"/>
      </right>
      <bottom style="thin">
        <color rgb="00E6ECF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applyAlignment="1" pivotButton="0" quotePrefix="0" xfId="0">
      <alignment vertical="center"/>
    </xf>
    <xf numFmtId="0" fontId="0" fillId="3" borderId="0" pivotButton="0" quotePrefix="0" xfId="0"/>
    <xf numFmtId="0" fontId="3" fillId="4" borderId="0" applyAlignment="1" pivotButton="0" quotePrefix="0" xfId="0">
      <alignment vertical="bottom" wrapText="1" indent="1"/>
    </xf>
    <xf numFmtId="1" fontId="4" fillId="4" borderId="0" applyAlignment="1" pivotButton="0" quotePrefix="0" xfId="0">
      <alignment horizontal="left" vertical="center" indent="1"/>
    </xf>
    <xf numFmtId="9" fontId="4" fillId="4" borderId="0" applyAlignment="1" pivotButton="0" quotePrefix="0" xfId="0">
      <alignment horizontal="left" vertical="center" indent="1"/>
    </xf>
    <xf numFmtId="164" fontId="4" fillId="4" borderId="0" applyAlignment="1" pivotButton="0" quotePrefix="0" xfId="0">
      <alignment horizontal="left" vertical="center" indent="1"/>
    </xf>
    <xf numFmtId="0" fontId="5" fillId="0" borderId="0" pivotButton="0" quotePrefix="0" xfId="0"/>
    <xf numFmtId="0" fontId="6" fillId="5" borderId="0" applyAlignment="1" pivotButton="0" quotePrefix="0" xfId="0">
      <alignment vertical="center" wrapText="1" indent="1"/>
    </xf>
    <xf numFmtId="0" fontId="7" fillId="6" borderId="0" applyAlignment="1" pivotButton="0" quotePrefix="0" xfId="0">
      <alignment horizontal="center" vertical="center" wrapText="1"/>
    </xf>
    <xf numFmtId="9" fontId="8" fillId="4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165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indent="1"/>
    </xf>
    <xf numFmtId="0" fontId="10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indent="1"/>
    </xf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9">
    <dxf>
      <font>
        <name val="Calibri"/>
        <b val="1"/>
        <color rgb="004A5668"/>
      </font>
      <fill>
        <patternFill patternType="solid">
          <fgColor rgb="00E3E6EA"/>
          <bgColor rgb="00E3E6EA"/>
        </patternFill>
      </fill>
    </dxf>
    <dxf>
      <font>
        <name val="Calibri"/>
        <b val="1"/>
        <color rgb="000A4FA0"/>
      </font>
      <fill>
        <patternFill patternType="solid">
          <fgColor rgb="00B9D8F5"/>
          <bgColor rgb="00B9D8F5"/>
        </patternFill>
      </fill>
    </dxf>
    <dxf>
      <font>
        <name val="Calibri"/>
        <b val="1"/>
        <color rgb="004B2A7A"/>
      </font>
      <fill>
        <patternFill patternType="solid">
          <fgColor rgb="00E3D5F5"/>
          <bgColor rgb="00E3D5F5"/>
        </patternFill>
      </fill>
    </dxf>
    <dxf>
      <font>
        <name val="Calibri"/>
        <b val="1"/>
        <color rgb="007A5B00"/>
      </font>
      <fill>
        <patternFill patternType="solid">
          <fgColor rgb="00FFE9A8"/>
          <bgColor rgb="00FFE9A8"/>
        </patternFill>
      </fill>
    </dxf>
    <dxf>
      <font>
        <name val="Calibri"/>
        <b val="1"/>
        <color rgb="000B5A2A"/>
      </font>
      <fill>
        <patternFill patternType="solid">
          <fgColor rgb="009EDDB0"/>
          <bgColor rgb="009EDDB0"/>
        </patternFill>
      </fill>
    </dxf>
    <dxf>
      <font>
        <name val="Calibri"/>
        <b val="1"/>
        <color rgb="000B5A2A"/>
      </font>
      <fill>
        <patternFill patternType="solid">
          <fgColor rgb="00CFE9D6"/>
          <bgColor rgb="00CFE9D6"/>
        </patternFill>
      </fill>
    </dxf>
    <dxf>
      <font>
        <name val="Calibri"/>
        <b val="1"/>
        <color rgb="008A1710"/>
      </font>
      <fill>
        <patternFill patternType="solid">
          <fgColor rgb="00F6B3AE"/>
          <bgColor rgb="00F6B3AE"/>
        </patternFill>
      </fill>
    </dxf>
    <dxf>
      <font>
        <name val="Calibri"/>
        <b val="1"/>
        <color rgb="004A5668"/>
      </font>
      <fill>
        <patternFill patternType="solid">
          <fgColor rgb="00D5DBE3"/>
          <bgColor rgb="00D5DBE3"/>
        </patternFill>
      </fill>
    </dxf>
    <dxf>
      <font>
        <name val="Calibri"/>
        <b val="1"/>
        <color rgb="00E2231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4FA0"/>
    <outlinePr summaryBelow="1" summaryRight="1"/>
    <pageSetUpPr fitToPage="1"/>
  </sheetPr>
  <dimension ref="A1:U513"/>
  <sheetViews>
    <sheetView showGridLines="0"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.5" customWidth="1" min="2" max="2"/>
    <col width="10.5" customWidth="1" min="3" max="3"/>
    <col width="6" customWidth="1" min="4" max="4"/>
    <col width="26" customWidth="1" min="5" max="5"/>
    <col width="11" customWidth="1" min="6" max="6"/>
    <col width="20" customWidth="1" min="7" max="7"/>
    <col width="17" customWidth="1" min="8" max="8"/>
    <col width="11" customWidth="1" min="9" max="9"/>
    <col width="40" customWidth="1" min="10" max="10"/>
    <col width="8" customWidth="1" min="11" max="11"/>
    <col width="11" customWidth="1" min="12" max="12"/>
    <col width="13" customWidth="1" min="13" max="13"/>
    <col width="10.5" customWidth="1" min="14" max="14"/>
    <col width="11" customWidth="1" min="15" max="15"/>
    <col width="36" customWidth="1" min="16" max="16"/>
    <col width="8" customWidth="1" min="17" max="17"/>
    <col width="9" customWidth="1" min="18" max="18"/>
    <col width="7" customWidth="1" min="19" max="19"/>
    <col width="9" customWidth="1" min="20" max="20"/>
    <col width="9" customWidth="1" min="21" max="21"/>
  </cols>
  <sheetData>
    <row r="1" ht="32" customHeight="1">
      <c r="A1" s="1" t="inlineStr">
        <is>
          <t>FRANCE CHRONO 2027 · ENEDRIL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20" customHeight="1">
      <c r="A2" s="3" t="inlineStr">
        <is>
          <t>Un devis = une ligne. Écrire dans la première ligne vide du tableau (ne pas insérer de lignes : toutes les formules sont déjà en place).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 ht="5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</row>
    <row r="4" ht="30" customHeight="1">
      <c r="A4" s="5" t="inlineStr">
        <is>
          <t>Demandes</t>
        </is>
      </c>
      <c r="B4" s="5" t="inlineStr">
        <is>
          <t>Devis faits</t>
        </is>
      </c>
      <c r="C4" s="5" t="inlineStr">
        <is>
          <t>À faire / en validation</t>
        </is>
      </c>
      <c r="E4" s="5" t="inlineStr">
        <is>
          <t>En attente</t>
        </is>
      </c>
      <c r="F4" s="5" t="inlineStr">
        <is>
          <t>Gagnés</t>
        </is>
      </c>
      <c r="G4" s="5" t="inlineStr">
        <is>
          <t>Perdus / annulés</t>
        </is>
      </c>
      <c r="H4" s="5" t="inlineStr">
        <is>
          <t>Taux de transformation (gagnés ÷ gagnés + perdus)</t>
        </is>
      </c>
      <c r="I4" s="5" t="inlineStr">
        <is>
          <t>Durée moy. d'envoi (j)</t>
        </is>
      </c>
      <c r="J4" s="5" t="inlineStr">
        <is>
          <t>À relancer</t>
        </is>
      </c>
    </row>
    <row r="5" ht="26" customHeight="1">
      <c r="A5" s="6">
        <f>COUNTA($A$14:$A$513)</f>
        <v/>
      </c>
      <c r="B5" s="6">
        <f>COUNT($C$14:$C$513)</f>
        <v/>
      </c>
      <c r="C5" s="6">
        <f>COUNTIF($M$14:$M$513,"A faire")+COUNTIF($M$14:$M$513,"En validation")</f>
        <v/>
      </c>
      <c r="E5" s="6">
        <f>COUNTIF($M$14:$M$513,"Envoyé")+COUNTIF($M$14:$M$513,"En attente")</f>
        <v/>
      </c>
      <c r="F5" s="6">
        <f>COUNTIF($M$14:$M$513,"Gagné")+COUNTIF($M$14:$M$513,"Terminé")</f>
        <v/>
      </c>
      <c r="G5" s="6">
        <f>COUNTIF($M$14:$M$513,"Perdu")+COUNTIF($M$14:$M$513,"Annulé")</f>
        <v/>
      </c>
      <c r="H5" s="7">
        <f>IF((COUNTIF($M$14:$M$513,"Gagné")+COUNTIF($M$14:$M$513,"Terminé")+COUNTIF($M$14:$M$513,"Perdu"))=0,"",(COUNTIF($M$14:$M$513,"Gagné")+COUNTIF($M$14:$M$513,"Terminé"))/(COUNTIF($M$14:$M$513,"Gagné")+COUNTIF($M$14:$M$513,"Terminé")+COUNTIF($M$14:$M$513,"Perdu")))</f>
        <v/>
      </c>
      <c r="I5" s="8">
        <f>IFERROR(AVERAGE($D$14:$D$513),"")</f>
        <v/>
      </c>
      <c r="J5" s="6">
        <f>COUNTIF($O$14:$O$513,"⚠*")</f>
        <v/>
      </c>
    </row>
    <row r="6" ht="8" customHeight="1"/>
    <row r="7" ht="16" customHeight="1">
      <c r="A7" s="9" t="inlineStr">
        <is>
          <t>RÉPARTITION PAR TYPE DE JOB</t>
        </is>
      </c>
    </row>
    <row r="8" ht="36" customHeight="1">
      <c r="A8" s="10" t="inlineStr">
        <is>
          <t>Job</t>
        </is>
      </c>
      <c r="B8" s="11" t="inlineStr">
        <is>
          <t>Fishing</t>
        </is>
      </c>
      <c r="C8" s="11" t="inlineStr">
        <is>
          <t>Fishing + DD</t>
        </is>
      </c>
      <c r="D8" s="11" t="inlineStr">
        <is>
          <t>PDC</t>
        </is>
      </c>
      <c r="E8" s="11" t="inlineStr">
        <is>
          <t>Directional Drilling</t>
        </is>
      </c>
      <c r="F8" s="11" t="inlineStr">
        <is>
          <t>Whipstocks</t>
        </is>
      </c>
      <c r="G8" s="11" t="inlineStr">
        <is>
          <t>Drill Bit</t>
        </is>
      </c>
      <c r="H8" s="11" t="inlineStr">
        <is>
          <t>Opérateurs</t>
        </is>
      </c>
      <c r="I8" s="11" t="inlineStr">
        <is>
          <t>Serrage / desserrage</t>
        </is>
      </c>
      <c r="J8" s="11" t="inlineStr">
        <is>
          <t>Blocage / Déblocage</t>
        </is>
      </c>
      <c r="K8" s="11" t="inlineStr">
        <is>
          <t>Matériel atelier</t>
        </is>
      </c>
      <c r="L8" s="11" t="inlineStr">
        <is>
          <t>Machines</t>
        </is>
      </c>
      <c r="M8" s="11" t="inlineStr">
        <is>
          <t>Autres</t>
        </is>
      </c>
    </row>
    <row r="9" ht="18" customHeight="1">
      <c r="A9" s="10" t="inlineStr">
        <is>
          <t>% des devis</t>
        </is>
      </c>
      <c r="B9" s="12">
        <f>IF(COUNTA($H$14:$H$513)=0,"",COUNTIF($H$14:$H$513,B$8)/COUNTA($H$14:$H$513))</f>
        <v/>
      </c>
      <c r="C9" s="12">
        <f>IF(COUNTA($H$14:$H$513)=0,"",COUNTIF($H$14:$H$513,C$8)/COUNTA($H$14:$H$513))</f>
        <v/>
      </c>
      <c r="D9" s="12">
        <f>IF(COUNTA($H$14:$H$513)=0,"",COUNTIF($H$14:$H$513,D$8)/COUNTA($H$14:$H$513))</f>
        <v/>
      </c>
      <c r="E9" s="12">
        <f>IF(COUNTA($H$14:$H$513)=0,"",COUNTIF($H$14:$H$513,E$8)/COUNTA($H$14:$H$513))</f>
        <v/>
      </c>
      <c r="F9" s="12">
        <f>IF(COUNTA($H$14:$H$513)=0,"",COUNTIF($H$14:$H$513,F$8)/COUNTA($H$14:$H$513))</f>
        <v/>
      </c>
      <c r="G9" s="12">
        <f>IF(COUNTA($H$14:$H$513)=0,"",COUNTIF($H$14:$H$513,G$8)/COUNTA($H$14:$H$513))</f>
        <v/>
      </c>
      <c r="H9" s="12">
        <f>IF(COUNTA($H$14:$H$513)=0,"",COUNTIF($H$14:$H$513,H$8)/COUNTA($H$14:$H$513))</f>
        <v/>
      </c>
      <c r="I9" s="12">
        <f>IF(COUNTA($H$14:$H$513)=0,"",COUNTIF($H$14:$H$513,I$8)/COUNTA($H$14:$H$513))</f>
        <v/>
      </c>
      <c r="J9" s="12">
        <f>IF(COUNTA($H$14:$H$513)=0,"",COUNTIF($H$14:$H$513,J$8)/COUNTA($H$14:$H$513))</f>
        <v/>
      </c>
      <c r="K9" s="12">
        <f>IF(COUNTA($H$14:$H$513)=0,"",COUNTIF($H$14:$H$513,K$8)/COUNTA($H$14:$H$513))</f>
        <v/>
      </c>
      <c r="L9" s="12">
        <f>IF(COUNTA($H$14:$H$513)=0,"",COUNTIF($H$14:$H$513,L$8)/COUNTA($H$14:$H$513))</f>
        <v/>
      </c>
      <c r="M9" s="12">
        <f>IF(COUNTA($H$14:$H$513)=0,"",COUNTIF($H$14:$H$513,M$8)/COUNTA($H$14:$H$513))</f>
        <v/>
      </c>
    </row>
    <row r="10" ht="18" customHeight="1">
      <c r="A10" s="10" t="inlineStr">
        <is>
          <t>% des gagnés</t>
        </is>
      </c>
      <c r="B10" s="12">
        <f>IF((COUNTIFS($M$14:$M$513,"Gagné")+COUNTIFS($M$14:$M$513,"Terminé"))=0,"",(COUNTIFS($H$14:$H$513,B$8,$M$14:$M$513,"Gagné")+COUNTIFS($H$14:$H$513,B$8,$M$14:$M$513,"Terminé"))/(COUNTIFS($M$14:$M$513,"Gagné")+COUNTIFS($M$14:$M$513,"Terminé")))</f>
        <v/>
      </c>
      <c r="C10" s="12">
        <f>IF((COUNTIFS($M$14:$M$513,"Gagné")+COUNTIFS($M$14:$M$513,"Terminé"))=0,"",(COUNTIFS($H$14:$H$513,C$8,$M$14:$M$513,"Gagné")+COUNTIFS($H$14:$H$513,C$8,$M$14:$M$513,"Terminé"))/(COUNTIFS($M$14:$M$513,"Gagné")+COUNTIFS($M$14:$M$513,"Terminé")))</f>
        <v/>
      </c>
      <c r="D10" s="12">
        <f>IF((COUNTIFS($M$14:$M$513,"Gagné")+COUNTIFS($M$14:$M$513,"Terminé"))=0,"",(COUNTIFS($H$14:$H$513,D$8,$M$14:$M$513,"Gagné")+COUNTIFS($H$14:$H$513,D$8,$M$14:$M$513,"Terminé"))/(COUNTIFS($M$14:$M$513,"Gagné")+COUNTIFS($M$14:$M$513,"Terminé")))</f>
        <v/>
      </c>
      <c r="E10" s="12">
        <f>IF((COUNTIFS($M$14:$M$513,"Gagné")+COUNTIFS($M$14:$M$513,"Terminé"))=0,"",(COUNTIFS($H$14:$H$513,E$8,$M$14:$M$513,"Gagné")+COUNTIFS($H$14:$H$513,E$8,$M$14:$M$513,"Terminé"))/(COUNTIFS($M$14:$M$513,"Gagné")+COUNTIFS($M$14:$M$513,"Terminé")))</f>
        <v/>
      </c>
      <c r="F10" s="12">
        <f>IF((COUNTIFS($M$14:$M$513,"Gagné")+COUNTIFS($M$14:$M$513,"Terminé"))=0,"",(COUNTIFS($H$14:$H$513,F$8,$M$14:$M$513,"Gagné")+COUNTIFS($H$14:$H$513,F$8,$M$14:$M$513,"Terminé"))/(COUNTIFS($M$14:$M$513,"Gagné")+COUNTIFS($M$14:$M$513,"Terminé")))</f>
        <v/>
      </c>
      <c r="G10" s="12">
        <f>IF((COUNTIFS($M$14:$M$513,"Gagné")+COUNTIFS($M$14:$M$513,"Terminé"))=0,"",(COUNTIFS($H$14:$H$513,G$8,$M$14:$M$513,"Gagné")+COUNTIFS($H$14:$H$513,G$8,$M$14:$M$513,"Terminé"))/(COUNTIFS($M$14:$M$513,"Gagné")+COUNTIFS($M$14:$M$513,"Terminé")))</f>
        <v/>
      </c>
      <c r="H10" s="12">
        <f>IF((COUNTIFS($M$14:$M$513,"Gagné")+COUNTIFS($M$14:$M$513,"Terminé"))=0,"",(COUNTIFS($H$14:$H$513,H$8,$M$14:$M$513,"Gagné")+COUNTIFS($H$14:$H$513,H$8,$M$14:$M$513,"Terminé"))/(COUNTIFS($M$14:$M$513,"Gagné")+COUNTIFS($M$14:$M$513,"Terminé")))</f>
        <v/>
      </c>
      <c r="I10" s="12">
        <f>IF((COUNTIFS($M$14:$M$513,"Gagné")+COUNTIFS($M$14:$M$513,"Terminé"))=0,"",(COUNTIFS($H$14:$H$513,I$8,$M$14:$M$513,"Gagné")+COUNTIFS($H$14:$H$513,I$8,$M$14:$M$513,"Terminé"))/(COUNTIFS($M$14:$M$513,"Gagné")+COUNTIFS($M$14:$M$513,"Terminé")))</f>
        <v/>
      </c>
      <c r="J10" s="12">
        <f>IF((COUNTIFS($M$14:$M$513,"Gagné")+COUNTIFS($M$14:$M$513,"Terminé"))=0,"",(COUNTIFS($H$14:$H$513,J$8,$M$14:$M$513,"Gagné")+COUNTIFS($H$14:$H$513,J$8,$M$14:$M$513,"Terminé"))/(COUNTIFS($M$14:$M$513,"Gagné")+COUNTIFS($M$14:$M$513,"Terminé")))</f>
        <v/>
      </c>
      <c r="K10" s="12">
        <f>IF((COUNTIFS($M$14:$M$513,"Gagné")+COUNTIFS($M$14:$M$513,"Terminé"))=0,"",(COUNTIFS($H$14:$H$513,K$8,$M$14:$M$513,"Gagné")+COUNTIFS($H$14:$H$513,K$8,$M$14:$M$513,"Terminé"))/(COUNTIFS($M$14:$M$513,"Gagné")+COUNTIFS($M$14:$M$513,"Terminé")))</f>
        <v/>
      </c>
      <c r="L10" s="12">
        <f>IF((COUNTIFS($M$14:$M$513,"Gagné")+COUNTIFS($M$14:$M$513,"Terminé"))=0,"",(COUNTIFS($H$14:$H$513,L$8,$M$14:$M$513,"Gagné")+COUNTIFS($H$14:$H$513,L$8,$M$14:$M$513,"Terminé"))/(COUNTIFS($M$14:$M$513,"Gagné")+COUNTIFS($M$14:$M$513,"Terminé")))</f>
        <v/>
      </c>
      <c r="M10" s="12">
        <f>IF((COUNTIFS($M$14:$M$513,"Gagné")+COUNTIFS($M$14:$M$513,"Terminé"))=0,"",(COUNTIFS($H$14:$H$513,M$8,$M$14:$M$513,"Gagné")+COUNTIFS($H$14:$H$513,M$8,$M$14:$M$513,"Terminé"))/(COUNTIFS($M$14:$M$513,"Gagné")+COUNTIFS($M$14:$M$513,"Terminé")))</f>
        <v/>
      </c>
    </row>
    <row r="11" ht="18" customHeight="1">
      <c r="A11" s="10" t="inlineStr">
        <is>
          <t>Taux de transfo.</t>
        </is>
      </c>
      <c r="B11" s="12">
        <f>IF(COUNTIFS($H$14:$H$513,B$8,$M$14:$M$513,"Gagné")+COUNTIFS($H$14:$H$513,B$8,$M$14:$M$513,"Terminé")+COUNTIFS($H$14:$H$513,B$8,$M$14:$M$513,"Perdu")=0,"",(COUNTIFS($H$14:$H$513,B$8,$M$14:$M$513,"Gagné")+COUNTIFS($H$14:$H$513,B$8,$M$14:$M$513,"Terminé"))/(COUNTIFS($H$14:$H$513,B$8,$M$14:$M$513,"Gagné")+COUNTIFS($H$14:$H$513,B$8,$M$14:$M$513,"Terminé")+COUNTIFS($H$14:$H$513,B$8,$M$14:$M$513,"Perdu")))</f>
        <v/>
      </c>
      <c r="C11" s="12">
        <f>IF(COUNTIFS($H$14:$H$513,C$8,$M$14:$M$513,"Gagné")+COUNTIFS($H$14:$H$513,C$8,$M$14:$M$513,"Terminé")+COUNTIFS($H$14:$H$513,C$8,$M$14:$M$513,"Perdu")=0,"",(COUNTIFS($H$14:$H$513,C$8,$M$14:$M$513,"Gagné")+COUNTIFS($H$14:$H$513,C$8,$M$14:$M$513,"Terminé"))/(COUNTIFS($H$14:$H$513,C$8,$M$14:$M$513,"Gagné")+COUNTIFS($H$14:$H$513,C$8,$M$14:$M$513,"Terminé")+COUNTIFS($H$14:$H$513,C$8,$M$14:$M$513,"Perdu")))</f>
        <v/>
      </c>
      <c r="D11" s="12">
        <f>IF(COUNTIFS($H$14:$H$513,D$8,$M$14:$M$513,"Gagné")+COUNTIFS($H$14:$H$513,D$8,$M$14:$M$513,"Terminé")+COUNTIFS($H$14:$H$513,D$8,$M$14:$M$513,"Perdu")=0,"",(COUNTIFS($H$14:$H$513,D$8,$M$14:$M$513,"Gagné")+COUNTIFS($H$14:$H$513,D$8,$M$14:$M$513,"Terminé"))/(COUNTIFS($H$14:$H$513,D$8,$M$14:$M$513,"Gagné")+COUNTIFS($H$14:$H$513,D$8,$M$14:$M$513,"Terminé")+COUNTIFS($H$14:$H$513,D$8,$M$14:$M$513,"Perdu")))</f>
        <v/>
      </c>
      <c r="E11" s="12">
        <f>IF(COUNTIFS($H$14:$H$513,E$8,$M$14:$M$513,"Gagné")+COUNTIFS($H$14:$H$513,E$8,$M$14:$M$513,"Terminé")+COUNTIFS($H$14:$H$513,E$8,$M$14:$M$513,"Perdu")=0,"",(COUNTIFS($H$14:$H$513,E$8,$M$14:$M$513,"Gagné")+COUNTIFS($H$14:$H$513,E$8,$M$14:$M$513,"Terminé"))/(COUNTIFS($H$14:$H$513,E$8,$M$14:$M$513,"Gagné")+COUNTIFS($H$14:$H$513,E$8,$M$14:$M$513,"Terminé")+COUNTIFS($H$14:$H$513,E$8,$M$14:$M$513,"Perdu")))</f>
        <v/>
      </c>
      <c r="F11" s="12">
        <f>IF(COUNTIFS($H$14:$H$513,F$8,$M$14:$M$513,"Gagné")+COUNTIFS($H$14:$H$513,F$8,$M$14:$M$513,"Terminé")+COUNTIFS($H$14:$H$513,F$8,$M$14:$M$513,"Perdu")=0,"",(COUNTIFS($H$14:$H$513,F$8,$M$14:$M$513,"Gagné")+COUNTIFS($H$14:$H$513,F$8,$M$14:$M$513,"Terminé"))/(COUNTIFS($H$14:$H$513,F$8,$M$14:$M$513,"Gagné")+COUNTIFS($H$14:$H$513,F$8,$M$14:$M$513,"Terminé")+COUNTIFS($H$14:$H$513,F$8,$M$14:$M$513,"Perdu")))</f>
        <v/>
      </c>
      <c r="G11" s="12">
        <f>IF(COUNTIFS($H$14:$H$513,G$8,$M$14:$M$513,"Gagné")+COUNTIFS($H$14:$H$513,G$8,$M$14:$M$513,"Terminé")+COUNTIFS($H$14:$H$513,G$8,$M$14:$M$513,"Perdu")=0,"",(COUNTIFS($H$14:$H$513,G$8,$M$14:$M$513,"Gagné")+COUNTIFS($H$14:$H$513,G$8,$M$14:$M$513,"Terminé"))/(COUNTIFS($H$14:$H$513,G$8,$M$14:$M$513,"Gagné")+COUNTIFS($H$14:$H$513,G$8,$M$14:$M$513,"Terminé")+COUNTIFS($H$14:$H$513,G$8,$M$14:$M$513,"Perdu")))</f>
        <v/>
      </c>
      <c r="H11" s="12">
        <f>IF(COUNTIFS($H$14:$H$513,H$8,$M$14:$M$513,"Gagné")+COUNTIFS($H$14:$H$513,H$8,$M$14:$M$513,"Terminé")+COUNTIFS($H$14:$H$513,H$8,$M$14:$M$513,"Perdu")=0,"",(COUNTIFS($H$14:$H$513,H$8,$M$14:$M$513,"Gagné")+COUNTIFS($H$14:$H$513,H$8,$M$14:$M$513,"Terminé"))/(COUNTIFS($H$14:$H$513,H$8,$M$14:$M$513,"Gagné")+COUNTIFS($H$14:$H$513,H$8,$M$14:$M$513,"Terminé")+COUNTIFS($H$14:$H$513,H$8,$M$14:$M$513,"Perdu")))</f>
        <v/>
      </c>
      <c r="I11" s="12">
        <f>IF(COUNTIFS($H$14:$H$513,I$8,$M$14:$M$513,"Gagné")+COUNTIFS($H$14:$H$513,I$8,$M$14:$M$513,"Terminé")+COUNTIFS($H$14:$H$513,I$8,$M$14:$M$513,"Perdu")=0,"",(COUNTIFS($H$14:$H$513,I$8,$M$14:$M$513,"Gagné")+COUNTIFS($H$14:$H$513,I$8,$M$14:$M$513,"Terminé"))/(COUNTIFS($H$14:$H$513,I$8,$M$14:$M$513,"Gagné")+COUNTIFS($H$14:$H$513,I$8,$M$14:$M$513,"Terminé")+COUNTIFS($H$14:$H$513,I$8,$M$14:$M$513,"Perdu")))</f>
        <v/>
      </c>
      <c r="J11" s="12">
        <f>IF(COUNTIFS($H$14:$H$513,J$8,$M$14:$M$513,"Gagné")+COUNTIFS($H$14:$H$513,J$8,$M$14:$M$513,"Terminé")+COUNTIFS($H$14:$H$513,J$8,$M$14:$M$513,"Perdu")=0,"",(COUNTIFS($H$14:$H$513,J$8,$M$14:$M$513,"Gagné")+COUNTIFS($H$14:$H$513,J$8,$M$14:$M$513,"Terminé"))/(COUNTIFS($H$14:$H$513,J$8,$M$14:$M$513,"Gagné")+COUNTIFS($H$14:$H$513,J$8,$M$14:$M$513,"Terminé")+COUNTIFS($H$14:$H$513,J$8,$M$14:$M$513,"Perdu")))</f>
        <v/>
      </c>
      <c r="K11" s="12">
        <f>IF(COUNTIFS($H$14:$H$513,K$8,$M$14:$M$513,"Gagné")+COUNTIFS($H$14:$H$513,K$8,$M$14:$M$513,"Terminé")+COUNTIFS($H$14:$H$513,K$8,$M$14:$M$513,"Perdu")=0,"",(COUNTIFS($H$14:$H$513,K$8,$M$14:$M$513,"Gagné")+COUNTIFS($H$14:$H$513,K$8,$M$14:$M$513,"Terminé"))/(COUNTIFS($H$14:$H$513,K$8,$M$14:$M$513,"Gagné")+COUNTIFS($H$14:$H$513,K$8,$M$14:$M$513,"Terminé")+COUNTIFS($H$14:$H$513,K$8,$M$14:$M$513,"Perdu")))</f>
        <v/>
      </c>
      <c r="L11" s="12">
        <f>IF(COUNTIFS($H$14:$H$513,L$8,$M$14:$M$513,"Gagné")+COUNTIFS($H$14:$H$513,L$8,$M$14:$M$513,"Terminé")+COUNTIFS($H$14:$H$513,L$8,$M$14:$M$513,"Perdu")=0,"",(COUNTIFS($H$14:$H$513,L$8,$M$14:$M$513,"Gagné")+COUNTIFS($H$14:$H$513,L$8,$M$14:$M$513,"Terminé"))/(COUNTIFS($H$14:$H$513,L$8,$M$14:$M$513,"Gagné")+COUNTIFS($H$14:$H$513,L$8,$M$14:$M$513,"Terminé")+COUNTIFS($H$14:$H$513,L$8,$M$14:$M$513,"Perdu")))</f>
        <v/>
      </c>
      <c r="M11" s="12">
        <f>IF(COUNTIFS($H$14:$H$513,M$8,$M$14:$M$513,"Gagné")+COUNTIFS($H$14:$H$513,M$8,$M$14:$M$513,"Terminé")+COUNTIFS($H$14:$H$513,M$8,$M$14:$M$513,"Perdu")=0,"",(COUNTIFS($H$14:$H$513,M$8,$M$14:$M$513,"Gagné")+COUNTIFS($H$14:$H$513,M$8,$M$14:$M$513,"Terminé"))/(COUNTIFS($H$14:$H$513,M$8,$M$14:$M$513,"Gagné")+COUNTIFS($H$14:$H$513,M$8,$M$14:$M$513,"Terminé")+COUNTIFS($H$14:$H$513,M$8,$M$14:$M$513,"Perdu")))</f>
        <v/>
      </c>
    </row>
    <row r="12" ht="8" customHeight="1"/>
    <row r="13" ht="34" customHeight="1">
      <c r="A13" s="13" t="inlineStr">
        <is>
          <t>Réf</t>
        </is>
      </c>
      <c r="B13" s="13" t="inlineStr">
        <is>
          <t>Date
demande</t>
        </is>
      </c>
      <c r="C13" s="13" t="inlineStr">
        <is>
          <t>Date
envoi</t>
        </is>
      </c>
      <c r="D13" s="14" t="inlineStr">
        <is>
          <t>Délai
(j)</t>
        </is>
      </c>
      <c r="E13" s="13" t="inlineStr">
        <is>
          <t>Client</t>
        </is>
      </c>
      <c r="F13" s="13" t="inlineStr">
        <is>
          <t>Prospect /
client</t>
        </is>
      </c>
      <c r="G13" s="13" t="inlineStr">
        <is>
          <t>Contact</t>
        </is>
      </c>
      <c r="H13" s="13" t="inlineStr">
        <is>
          <t>Job</t>
        </is>
      </c>
      <c r="I13" s="13" t="inlineStr">
        <is>
          <t>Prestation</t>
        </is>
      </c>
      <c r="J13" s="13" t="inlineStr">
        <is>
          <t>Description</t>
        </is>
      </c>
      <c r="K13" s="13" t="inlineStr">
        <is>
          <t>Offre
par</t>
        </is>
      </c>
      <c r="L13" s="13" t="inlineStr">
        <is>
          <t>Incoterm</t>
        </is>
      </c>
      <c r="M13" s="13" t="inlineStr">
        <is>
          <t>Statut</t>
        </is>
      </c>
      <c r="N13" s="13" t="inlineStr">
        <is>
          <t>Date
relance</t>
        </is>
      </c>
      <c r="O13" s="14" t="inlineStr">
        <is>
          <t>À relancer</t>
        </is>
      </c>
      <c r="P13" s="13" t="inlineStr">
        <is>
          <t>Commentaires</t>
        </is>
      </c>
      <c r="Q13" s="15" t="inlineStr">
        <is>
          <t>Devis</t>
        </is>
      </c>
      <c r="R13" s="15" t="inlineStr">
        <is>
          <t>Tool list</t>
        </is>
      </c>
      <c r="S13" s="15" t="inlineStr">
        <is>
          <t>BL</t>
        </is>
      </c>
      <c r="T13" s="15" t="inlineStr">
        <is>
          <t>Service
ticket</t>
        </is>
      </c>
      <c r="U13" s="15" t="inlineStr">
        <is>
          <t>Dossier</t>
        </is>
      </c>
    </row>
    <row r="14" ht="18" customHeight="1">
      <c r="A14" s="16" t="inlineStr">
        <is>
          <t>27-001-FR</t>
        </is>
      </c>
      <c r="B14" s="17" t="n">
        <v>46392</v>
      </c>
      <c r="C14" s="17" t="n">
        <v>46394</v>
      </c>
      <c r="D14" s="18">
        <f>IF(AND(ISNUMBER($B14),ISNUMBER($C14)),$C14-$B14,"")</f>
        <v/>
      </c>
      <c r="E14" s="19" t="inlineStr">
        <is>
          <t>Client exemple A</t>
        </is>
      </c>
      <c r="F14" s="20" t="inlineStr">
        <is>
          <t>Client</t>
        </is>
      </c>
      <c r="G14" s="19" t="inlineStr">
        <is>
          <t>Contact A</t>
        </is>
      </c>
      <c r="H14" s="20" t="inlineStr">
        <is>
          <t>Fishing</t>
        </is>
      </c>
      <c r="I14" s="20" t="inlineStr">
        <is>
          <t>Rental</t>
        </is>
      </c>
      <c r="J14" s="19" t="inlineStr">
        <is>
          <t>Exemple · Stab 5-7/8 + XO</t>
        </is>
      </c>
      <c r="K14" s="16" t="inlineStr">
        <is>
          <t>PH</t>
        </is>
      </c>
      <c r="L14" s="20" t="inlineStr">
        <is>
          <t>EXW Lons</t>
        </is>
      </c>
      <c r="M14" s="20" t="inlineStr">
        <is>
          <t>Gagné</t>
        </is>
      </c>
      <c r="N14" s="17" t="n"/>
      <c r="O14" s="18">
        <f>IF(AND(OR($M14="Envoyé",$M14="En attente"),ISNUMBER($C14),NOT(ISNUMBER($N14))),IF(TODAY()-$C14&gt;=7,"⚠ relancer",""),"")</f>
        <v/>
      </c>
      <c r="P14" s="21" t="inlineStr">
        <is>
          <t>LIGNES D'EXEMPLE (fictives) : à effacer</t>
        </is>
      </c>
      <c r="Q14" s="22">
        <f>IF($A14="","",HYPERLINK("Z:\MUSTANG SERVICES\Affaires 2027\"&amp;$A14&amp;"\"&amp;$A14&amp;"_Devis.xlsx","Ouvrir"))</f>
        <v/>
      </c>
      <c r="R14" s="22">
        <f>IF($A14="","",HYPERLINK("Z:\MUSTANG SERVICES\Affaires 2027\"&amp;$A14&amp;"\"&amp;$A14&amp;"_ToolList.xlsx","Ouvrir"))</f>
        <v/>
      </c>
      <c r="S14" s="22">
        <f>IF($A14="","",HYPERLINK("Z:\MUSTANG SERVICES\Affaires 2027\"&amp;$A14&amp;"\"&amp;$A14&amp;"_BL.xlsx","Ouvrir"))</f>
        <v/>
      </c>
      <c r="T14" s="22">
        <f>IF($A14="","",HYPERLINK("Z:\MUSTANG SERVICES\Affaires 2027\"&amp;$A14&amp;"\"&amp;$A14&amp;"_ServiceTicket.xlsx","Ouvrir"))</f>
        <v/>
      </c>
      <c r="U14" s="22">
        <f>IF($A14="","",HYPERLINK("Z:\MUSTANG SERVICES\Affaires 2027\"&amp;$A14&amp;"\","Dossier"))</f>
        <v/>
      </c>
    </row>
    <row r="15" ht="18" customHeight="1">
      <c r="A15" s="16" t="inlineStr">
        <is>
          <t>27-002-CM</t>
        </is>
      </c>
      <c r="B15" s="17" t="n">
        <v>46395</v>
      </c>
      <c r="C15" s="17" t="n">
        <v>46395</v>
      </c>
      <c r="D15" s="18">
        <f>IF(AND(ISNUMBER($B15),ISNUMBER($C15)),$C15-$B15,"")</f>
        <v/>
      </c>
      <c r="E15" s="19" t="inlineStr">
        <is>
          <t>Client exemple B</t>
        </is>
      </c>
      <c r="F15" s="20" t="inlineStr">
        <is>
          <t>Prospect</t>
        </is>
      </c>
      <c r="G15" s="19" t="inlineStr">
        <is>
          <t>Contact B</t>
        </is>
      </c>
      <c r="H15" s="20" t="inlineStr">
        <is>
          <t>Whipstocks</t>
        </is>
      </c>
      <c r="I15" s="20" t="inlineStr">
        <is>
          <t>Sale</t>
        </is>
      </c>
      <c r="J15" s="19" t="inlineStr">
        <is>
          <t>Exemple · Whipstock 10-3/4"</t>
        </is>
      </c>
      <c r="K15" s="16" t="inlineStr">
        <is>
          <t>FJ/PH</t>
        </is>
      </c>
      <c r="L15" s="20" t="inlineStr">
        <is>
          <t>EXW Lons</t>
        </is>
      </c>
      <c r="M15" s="20" t="inlineStr">
        <is>
          <t>Envoyé</t>
        </is>
      </c>
      <c r="N15" s="17" t="n"/>
      <c r="O15" s="18">
        <f>IF(AND(OR($M15="Envoyé",$M15="En attente"),ISNUMBER($C15),NOT(ISNUMBER($N15))),IF(TODAY()-$C15&gt;=7,"⚠ relancer",""),"")</f>
        <v/>
      </c>
      <c r="P15" s="19" t="n"/>
      <c r="Q15" s="22">
        <f>IF($A15="","",HYPERLINK("Z:\MUSTANG SERVICES\Affaires 2027\"&amp;$A15&amp;"\"&amp;$A15&amp;"_Devis.xlsx","Ouvrir"))</f>
        <v/>
      </c>
      <c r="R15" s="22">
        <f>IF($A15="","",HYPERLINK("Z:\MUSTANG SERVICES\Affaires 2027\"&amp;$A15&amp;"\"&amp;$A15&amp;"_ToolList.xlsx","Ouvrir"))</f>
        <v/>
      </c>
      <c r="S15" s="22">
        <f>IF($A15="","",HYPERLINK("Z:\MUSTANG SERVICES\Affaires 2027\"&amp;$A15&amp;"\"&amp;$A15&amp;"_BL.xlsx","Ouvrir"))</f>
        <v/>
      </c>
      <c r="T15" s="22">
        <f>IF($A15="","",HYPERLINK("Z:\MUSTANG SERVICES\Affaires 2027\"&amp;$A15&amp;"\"&amp;$A15&amp;"_ServiceTicket.xlsx","Ouvrir"))</f>
        <v/>
      </c>
      <c r="U15" s="22">
        <f>IF($A15="","",HYPERLINK("Z:\MUSTANG SERVICES\Affaires 2027\"&amp;$A15&amp;"\","Dossier"))</f>
        <v/>
      </c>
    </row>
    <row r="16" ht="18" customHeight="1">
      <c r="A16" s="16" t="inlineStr">
        <is>
          <t>27-003-DE</t>
        </is>
      </c>
      <c r="B16" s="17" t="n">
        <v>46399</v>
      </c>
      <c r="C16" s="17" t="n"/>
      <c r="D16" s="18">
        <f>IF(AND(ISNUMBER($B16),ISNUMBER($C16)),$C16-$B16,"")</f>
        <v/>
      </c>
      <c r="E16" s="19" t="inlineStr">
        <is>
          <t>Client exemple C</t>
        </is>
      </c>
      <c r="F16" s="20" t="inlineStr">
        <is>
          <t>Client</t>
        </is>
      </c>
      <c r="G16" s="19" t="inlineStr">
        <is>
          <t>Contact C</t>
        </is>
      </c>
      <c r="H16" s="20" t="inlineStr">
        <is>
          <t>Fishing</t>
        </is>
      </c>
      <c r="I16" s="20" t="inlineStr">
        <is>
          <t>Rental</t>
        </is>
      </c>
      <c r="J16" s="19" t="inlineStr">
        <is>
          <t>Exemple · Casing scraper</t>
        </is>
      </c>
      <c r="K16" s="16" t="inlineStr">
        <is>
          <t>PH</t>
        </is>
      </c>
      <c r="L16" s="20" t="inlineStr">
        <is>
          <t>EXW Lons</t>
        </is>
      </c>
      <c r="M16" s="20" t="inlineStr">
        <is>
          <t>A faire</t>
        </is>
      </c>
      <c r="N16" s="17" t="n"/>
      <c r="O16" s="18">
        <f>IF(AND(OR($M16="Envoyé",$M16="En attente"),ISNUMBER($C16),NOT(ISNUMBER($N16))),IF(TODAY()-$C16&gt;=7,"⚠ relancer",""),"")</f>
        <v/>
      </c>
      <c r="P16" s="19" t="n"/>
      <c r="Q16" s="22">
        <f>IF($A16="","",HYPERLINK("Z:\MUSTANG SERVICES\Affaires 2027\"&amp;$A16&amp;"\"&amp;$A16&amp;"_Devis.xlsx","Ouvrir"))</f>
        <v/>
      </c>
      <c r="R16" s="22">
        <f>IF($A16="","",HYPERLINK("Z:\MUSTANG SERVICES\Affaires 2027\"&amp;$A16&amp;"\"&amp;$A16&amp;"_ToolList.xlsx","Ouvrir"))</f>
        <v/>
      </c>
      <c r="S16" s="22">
        <f>IF($A16="","",HYPERLINK("Z:\MUSTANG SERVICES\Affaires 2027\"&amp;$A16&amp;"\"&amp;$A16&amp;"_BL.xlsx","Ouvrir"))</f>
        <v/>
      </c>
      <c r="T16" s="22">
        <f>IF($A16="","",HYPERLINK("Z:\MUSTANG SERVICES\Affaires 2027\"&amp;$A16&amp;"\"&amp;$A16&amp;"_ServiceTicket.xlsx","Ouvrir"))</f>
        <v/>
      </c>
      <c r="U16" s="22">
        <f>IF($A16="","",HYPERLINK("Z:\MUSTANG SERVICES\Affaires 2027\"&amp;$A16&amp;"\","Dossier"))</f>
        <v/>
      </c>
    </row>
    <row r="17" ht="18" customHeight="1">
      <c r="A17" s="16" t="n"/>
      <c r="B17" s="17" t="n"/>
      <c r="C17" s="17" t="n"/>
      <c r="D17" s="18">
        <f>IF(AND(ISNUMBER($B17),ISNUMBER($C17)),$C17-$B17,"")</f>
        <v/>
      </c>
      <c r="E17" s="19" t="n"/>
      <c r="F17" s="20" t="n"/>
      <c r="G17" s="19" t="n"/>
      <c r="H17" s="20" t="n"/>
      <c r="I17" s="20" t="n"/>
      <c r="J17" s="19" t="n"/>
      <c r="K17" s="16" t="n"/>
      <c r="L17" s="20" t="n"/>
      <c r="M17" s="20" t="n"/>
      <c r="N17" s="17" t="n"/>
      <c r="O17" s="18">
        <f>IF(AND(OR($M17="Envoyé",$M17="En attente"),ISNUMBER($C17),NOT(ISNUMBER($N17))),IF(TODAY()-$C17&gt;=7,"⚠ relancer",""),"")</f>
        <v/>
      </c>
      <c r="P17" s="19" t="n"/>
      <c r="Q17" s="22">
        <f>IF($A17="","",HYPERLINK("Z:\MUSTANG SERVICES\Affaires 2027\"&amp;$A17&amp;"\"&amp;$A17&amp;"_Devis.xlsx","Ouvrir"))</f>
        <v/>
      </c>
      <c r="R17" s="22">
        <f>IF($A17="","",HYPERLINK("Z:\MUSTANG SERVICES\Affaires 2027\"&amp;$A17&amp;"\"&amp;$A17&amp;"_ToolList.xlsx","Ouvrir"))</f>
        <v/>
      </c>
      <c r="S17" s="22">
        <f>IF($A17="","",HYPERLINK("Z:\MUSTANG SERVICES\Affaires 2027\"&amp;$A17&amp;"\"&amp;$A17&amp;"_BL.xlsx","Ouvrir"))</f>
        <v/>
      </c>
      <c r="T17" s="22">
        <f>IF($A17="","",HYPERLINK("Z:\MUSTANG SERVICES\Affaires 2027\"&amp;$A17&amp;"\"&amp;$A17&amp;"_ServiceTicket.xlsx","Ouvrir"))</f>
        <v/>
      </c>
      <c r="U17" s="22">
        <f>IF($A17="","",HYPERLINK("Z:\MUSTANG SERVICES\Affaires 2027\"&amp;$A17&amp;"\","Dossier"))</f>
        <v/>
      </c>
    </row>
    <row r="18" ht="18" customHeight="1">
      <c r="A18" s="16" t="n"/>
      <c r="B18" s="17" t="n"/>
      <c r="C18" s="17" t="n"/>
      <c r="D18" s="18">
        <f>IF(AND(ISNUMBER($B18),ISNUMBER($C18)),$C18-$B18,"")</f>
        <v/>
      </c>
      <c r="E18" s="19" t="n"/>
      <c r="F18" s="20" t="n"/>
      <c r="G18" s="19" t="n"/>
      <c r="H18" s="20" t="n"/>
      <c r="I18" s="20" t="n"/>
      <c r="J18" s="19" t="n"/>
      <c r="K18" s="16" t="n"/>
      <c r="L18" s="20" t="n"/>
      <c r="M18" s="20" t="n"/>
      <c r="N18" s="17" t="n"/>
      <c r="O18" s="18">
        <f>IF(AND(OR($M18="Envoyé",$M18="En attente"),ISNUMBER($C18),NOT(ISNUMBER($N18))),IF(TODAY()-$C18&gt;=7,"⚠ relancer",""),"")</f>
        <v/>
      </c>
      <c r="P18" s="19" t="n"/>
      <c r="Q18" s="22">
        <f>IF($A18="","",HYPERLINK("Z:\MUSTANG SERVICES\Affaires 2027\"&amp;$A18&amp;"\"&amp;$A18&amp;"_Devis.xlsx","Ouvrir"))</f>
        <v/>
      </c>
      <c r="R18" s="22">
        <f>IF($A18="","",HYPERLINK("Z:\MUSTANG SERVICES\Affaires 2027\"&amp;$A18&amp;"\"&amp;$A18&amp;"_ToolList.xlsx","Ouvrir"))</f>
        <v/>
      </c>
      <c r="S18" s="22">
        <f>IF($A18="","",HYPERLINK("Z:\MUSTANG SERVICES\Affaires 2027\"&amp;$A18&amp;"\"&amp;$A18&amp;"_BL.xlsx","Ouvrir"))</f>
        <v/>
      </c>
      <c r="T18" s="22">
        <f>IF($A18="","",HYPERLINK("Z:\MUSTANG SERVICES\Affaires 2027\"&amp;$A18&amp;"\"&amp;$A18&amp;"_ServiceTicket.xlsx","Ouvrir"))</f>
        <v/>
      </c>
      <c r="U18" s="22">
        <f>IF($A18="","",HYPERLINK("Z:\MUSTANG SERVICES\Affaires 2027\"&amp;$A18&amp;"\","Dossier"))</f>
        <v/>
      </c>
    </row>
    <row r="19" ht="18" customHeight="1">
      <c r="A19" s="16" t="n"/>
      <c r="B19" s="17" t="n"/>
      <c r="C19" s="17" t="n"/>
      <c r="D19" s="18">
        <f>IF(AND(ISNUMBER($B19),ISNUMBER($C19)),$C19-$B19,"")</f>
        <v/>
      </c>
      <c r="E19" s="19" t="n"/>
      <c r="F19" s="20" t="n"/>
      <c r="G19" s="19" t="n"/>
      <c r="H19" s="20" t="n"/>
      <c r="I19" s="20" t="n"/>
      <c r="J19" s="19" t="n"/>
      <c r="K19" s="16" t="n"/>
      <c r="L19" s="20" t="n"/>
      <c r="M19" s="20" t="n"/>
      <c r="N19" s="17" t="n"/>
      <c r="O19" s="18">
        <f>IF(AND(OR($M19="Envoyé",$M19="En attente"),ISNUMBER($C19),NOT(ISNUMBER($N19))),IF(TODAY()-$C19&gt;=7,"⚠ relancer",""),"")</f>
        <v/>
      </c>
      <c r="P19" s="19" t="n"/>
      <c r="Q19" s="22">
        <f>IF($A19="","",HYPERLINK("Z:\MUSTANG SERVICES\Affaires 2027\"&amp;$A19&amp;"\"&amp;$A19&amp;"_Devis.xlsx","Ouvrir"))</f>
        <v/>
      </c>
      <c r="R19" s="22">
        <f>IF($A19="","",HYPERLINK("Z:\MUSTANG SERVICES\Affaires 2027\"&amp;$A19&amp;"\"&amp;$A19&amp;"_ToolList.xlsx","Ouvrir"))</f>
        <v/>
      </c>
      <c r="S19" s="22">
        <f>IF($A19="","",HYPERLINK("Z:\MUSTANG SERVICES\Affaires 2027\"&amp;$A19&amp;"\"&amp;$A19&amp;"_BL.xlsx","Ouvrir"))</f>
        <v/>
      </c>
      <c r="T19" s="22">
        <f>IF($A19="","",HYPERLINK("Z:\MUSTANG SERVICES\Affaires 2027\"&amp;$A19&amp;"\"&amp;$A19&amp;"_ServiceTicket.xlsx","Ouvrir"))</f>
        <v/>
      </c>
      <c r="U19" s="22">
        <f>IF($A19="","",HYPERLINK("Z:\MUSTANG SERVICES\Affaires 2027\"&amp;$A19&amp;"\","Dossier"))</f>
        <v/>
      </c>
    </row>
    <row r="20" ht="18" customHeight="1">
      <c r="A20" s="16" t="n"/>
      <c r="B20" s="17" t="n"/>
      <c r="C20" s="17" t="n"/>
      <c r="D20" s="18">
        <f>IF(AND(ISNUMBER($B20),ISNUMBER($C20)),$C20-$B20,"")</f>
        <v/>
      </c>
      <c r="E20" s="19" t="n"/>
      <c r="F20" s="20" t="n"/>
      <c r="G20" s="19" t="n"/>
      <c r="H20" s="20" t="n"/>
      <c r="I20" s="20" t="n"/>
      <c r="J20" s="19" t="n"/>
      <c r="K20" s="16" t="n"/>
      <c r="L20" s="20" t="n"/>
      <c r="M20" s="20" t="n"/>
      <c r="N20" s="17" t="n"/>
      <c r="O20" s="18">
        <f>IF(AND(OR($M20="Envoyé",$M20="En attente"),ISNUMBER($C20),NOT(ISNUMBER($N20))),IF(TODAY()-$C20&gt;=7,"⚠ relancer",""),"")</f>
        <v/>
      </c>
      <c r="P20" s="19" t="n"/>
      <c r="Q20" s="22">
        <f>IF($A20="","",HYPERLINK("Z:\MUSTANG SERVICES\Affaires 2027\"&amp;$A20&amp;"\"&amp;$A20&amp;"_Devis.xlsx","Ouvrir"))</f>
        <v/>
      </c>
      <c r="R20" s="22">
        <f>IF($A20="","",HYPERLINK("Z:\MUSTANG SERVICES\Affaires 2027\"&amp;$A20&amp;"\"&amp;$A20&amp;"_ToolList.xlsx","Ouvrir"))</f>
        <v/>
      </c>
      <c r="S20" s="22">
        <f>IF($A20="","",HYPERLINK("Z:\MUSTANG SERVICES\Affaires 2027\"&amp;$A20&amp;"\"&amp;$A20&amp;"_BL.xlsx","Ouvrir"))</f>
        <v/>
      </c>
      <c r="T20" s="22">
        <f>IF($A20="","",HYPERLINK("Z:\MUSTANG SERVICES\Affaires 2027\"&amp;$A20&amp;"\"&amp;$A20&amp;"_ServiceTicket.xlsx","Ouvrir"))</f>
        <v/>
      </c>
      <c r="U20" s="22">
        <f>IF($A20="","",HYPERLINK("Z:\MUSTANG SERVICES\Affaires 2027\"&amp;$A20&amp;"\","Dossier"))</f>
        <v/>
      </c>
    </row>
    <row r="21" ht="18" customHeight="1">
      <c r="A21" s="16" t="n"/>
      <c r="B21" s="17" t="n"/>
      <c r="C21" s="17" t="n"/>
      <c r="D21" s="18">
        <f>IF(AND(ISNUMBER($B21),ISNUMBER($C21)),$C21-$B21,"")</f>
        <v/>
      </c>
      <c r="E21" s="19" t="n"/>
      <c r="F21" s="20" t="n"/>
      <c r="G21" s="19" t="n"/>
      <c r="H21" s="20" t="n"/>
      <c r="I21" s="20" t="n"/>
      <c r="J21" s="19" t="n"/>
      <c r="K21" s="16" t="n"/>
      <c r="L21" s="20" t="n"/>
      <c r="M21" s="20" t="n"/>
      <c r="N21" s="17" t="n"/>
      <c r="O21" s="18">
        <f>IF(AND(OR($M21="Envoyé",$M21="En attente"),ISNUMBER($C21),NOT(ISNUMBER($N21))),IF(TODAY()-$C21&gt;=7,"⚠ relancer",""),"")</f>
        <v/>
      </c>
      <c r="P21" s="19" t="n"/>
      <c r="Q21" s="22">
        <f>IF($A21="","",HYPERLINK("Z:\MUSTANG SERVICES\Affaires 2027\"&amp;$A21&amp;"\"&amp;$A21&amp;"_Devis.xlsx","Ouvrir"))</f>
        <v/>
      </c>
      <c r="R21" s="22">
        <f>IF($A21="","",HYPERLINK("Z:\MUSTANG SERVICES\Affaires 2027\"&amp;$A21&amp;"\"&amp;$A21&amp;"_ToolList.xlsx","Ouvrir"))</f>
        <v/>
      </c>
      <c r="S21" s="22">
        <f>IF($A21="","",HYPERLINK("Z:\MUSTANG SERVICES\Affaires 2027\"&amp;$A21&amp;"\"&amp;$A21&amp;"_BL.xlsx","Ouvrir"))</f>
        <v/>
      </c>
      <c r="T21" s="22">
        <f>IF($A21="","",HYPERLINK("Z:\MUSTANG SERVICES\Affaires 2027\"&amp;$A21&amp;"\"&amp;$A21&amp;"_ServiceTicket.xlsx","Ouvrir"))</f>
        <v/>
      </c>
      <c r="U21" s="22">
        <f>IF($A21="","",HYPERLINK("Z:\MUSTANG SERVICES\Affaires 2027\"&amp;$A21&amp;"\","Dossier"))</f>
        <v/>
      </c>
    </row>
    <row r="22" ht="18" customHeight="1">
      <c r="A22" s="16" t="n"/>
      <c r="B22" s="17" t="n"/>
      <c r="C22" s="17" t="n"/>
      <c r="D22" s="18">
        <f>IF(AND(ISNUMBER($B22),ISNUMBER($C22)),$C22-$B22,"")</f>
        <v/>
      </c>
      <c r="E22" s="19" t="n"/>
      <c r="F22" s="20" t="n"/>
      <c r="G22" s="19" t="n"/>
      <c r="H22" s="20" t="n"/>
      <c r="I22" s="20" t="n"/>
      <c r="J22" s="19" t="n"/>
      <c r="K22" s="16" t="n"/>
      <c r="L22" s="20" t="n"/>
      <c r="M22" s="20" t="n"/>
      <c r="N22" s="17" t="n"/>
      <c r="O22" s="18">
        <f>IF(AND(OR($M22="Envoyé",$M22="En attente"),ISNUMBER($C22),NOT(ISNUMBER($N22))),IF(TODAY()-$C22&gt;=7,"⚠ relancer",""),"")</f>
        <v/>
      </c>
      <c r="P22" s="19" t="n"/>
      <c r="Q22" s="22">
        <f>IF($A22="","",HYPERLINK("Z:\MUSTANG SERVICES\Affaires 2027\"&amp;$A22&amp;"\"&amp;$A22&amp;"_Devis.xlsx","Ouvrir"))</f>
        <v/>
      </c>
      <c r="R22" s="22">
        <f>IF($A22="","",HYPERLINK("Z:\MUSTANG SERVICES\Affaires 2027\"&amp;$A22&amp;"\"&amp;$A22&amp;"_ToolList.xlsx","Ouvrir"))</f>
        <v/>
      </c>
      <c r="S22" s="22">
        <f>IF($A22="","",HYPERLINK("Z:\MUSTANG SERVICES\Affaires 2027\"&amp;$A22&amp;"\"&amp;$A22&amp;"_BL.xlsx","Ouvrir"))</f>
        <v/>
      </c>
      <c r="T22" s="22">
        <f>IF($A22="","",HYPERLINK("Z:\MUSTANG SERVICES\Affaires 2027\"&amp;$A22&amp;"\"&amp;$A22&amp;"_ServiceTicket.xlsx","Ouvrir"))</f>
        <v/>
      </c>
      <c r="U22" s="22">
        <f>IF($A22="","",HYPERLINK("Z:\MUSTANG SERVICES\Affaires 2027\"&amp;$A22&amp;"\","Dossier"))</f>
        <v/>
      </c>
    </row>
    <row r="23" ht="18" customHeight="1">
      <c r="A23" s="16" t="n"/>
      <c r="B23" s="17" t="n"/>
      <c r="C23" s="17" t="n"/>
      <c r="D23" s="18">
        <f>IF(AND(ISNUMBER($B23),ISNUMBER($C23)),$C23-$B23,"")</f>
        <v/>
      </c>
      <c r="E23" s="19" t="n"/>
      <c r="F23" s="20" t="n"/>
      <c r="G23" s="19" t="n"/>
      <c r="H23" s="20" t="n"/>
      <c r="I23" s="20" t="n"/>
      <c r="J23" s="19" t="n"/>
      <c r="K23" s="16" t="n"/>
      <c r="L23" s="20" t="n"/>
      <c r="M23" s="20" t="n"/>
      <c r="N23" s="17" t="n"/>
      <c r="O23" s="18">
        <f>IF(AND(OR($M23="Envoyé",$M23="En attente"),ISNUMBER($C23),NOT(ISNUMBER($N23))),IF(TODAY()-$C23&gt;=7,"⚠ relancer",""),"")</f>
        <v/>
      </c>
      <c r="P23" s="19" t="n"/>
      <c r="Q23" s="22">
        <f>IF($A23="","",HYPERLINK("Z:\MUSTANG SERVICES\Affaires 2027\"&amp;$A23&amp;"\"&amp;$A23&amp;"_Devis.xlsx","Ouvrir"))</f>
        <v/>
      </c>
      <c r="R23" s="22">
        <f>IF($A23="","",HYPERLINK("Z:\MUSTANG SERVICES\Affaires 2027\"&amp;$A23&amp;"\"&amp;$A23&amp;"_ToolList.xlsx","Ouvrir"))</f>
        <v/>
      </c>
      <c r="S23" s="22">
        <f>IF($A23="","",HYPERLINK("Z:\MUSTANG SERVICES\Affaires 2027\"&amp;$A23&amp;"\"&amp;$A23&amp;"_BL.xlsx","Ouvrir"))</f>
        <v/>
      </c>
      <c r="T23" s="22">
        <f>IF($A23="","",HYPERLINK("Z:\MUSTANG SERVICES\Affaires 2027\"&amp;$A23&amp;"\"&amp;$A23&amp;"_ServiceTicket.xlsx","Ouvrir"))</f>
        <v/>
      </c>
      <c r="U23" s="22">
        <f>IF($A23="","",HYPERLINK("Z:\MUSTANG SERVICES\Affaires 2027\"&amp;$A23&amp;"\","Dossier"))</f>
        <v/>
      </c>
    </row>
    <row r="24" ht="18" customHeight="1">
      <c r="A24" s="16" t="n"/>
      <c r="B24" s="17" t="n"/>
      <c r="C24" s="17" t="n"/>
      <c r="D24" s="18">
        <f>IF(AND(ISNUMBER($B24),ISNUMBER($C24)),$C24-$B24,"")</f>
        <v/>
      </c>
      <c r="E24" s="19" t="n"/>
      <c r="F24" s="20" t="n"/>
      <c r="G24" s="19" t="n"/>
      <c r="H24" s="20" t="n"/>
      <c r="I24" s="20" t="n"/>
      <c r="J24" s="19" t="n"/>
      <c r="K24" s="16" t="n"/>
      <c r="L24" s="20" t="n"/>
      <c r="M24" s="20" t="n"/>
      <c r="N24" s="17" t="n"/>
      <c r="O24" s="18">
        <f>IF(AND(OR($M24="Envoyé",$M24="En attente"),ISNUMBER($C24),NOT(ISNUMBER($N24))),IF(TODAY()-$C24&gt;=7,"⚠ relancer",""),"")</f>
        <v/>
      </c>
      <c r="P24" s="19" t="n"/>
      <c r="Q24" s="22">
        <f>IF($A24="","",HYPERLINK("Z:\MUSTANG SERVICES\Affaires 2027\"&amp;$A24&amp;"\"&amp;$A24&amp;"_Devis.xlsx","Ouvrir"))</f>
        <v/>
      </c>
      <c r="R24" s="22">
        <f>IF($A24="","",HYPERLINK("Z:\MUSTANG SERVICES\Affaires 2027\"&amp;$A24&amp;"\"&amp;$A24&amp;"_ToolList.xlsx","Ouvrir"))</f>
        <v/>
      </c>
      <c r="S24" s="22">
        <f>IF($A24="","",HYPERLINK("Z:\MUSTANG SERVICES\Affaires 2027\"&amp;$A24&amp;"\"&amp;$A24&amp;"_BL.xlsx","Ouvrir"))</f>
        <v/>
      </c>
      <c r="T24" s="22">
        <f>IF($A24="","",HYPERLINK("Z:\MUSTANG SERVICES\Affaires 2027\"&amp;$A24&amp;"\"&amp;$A24&amp;"_ServiceTicket.xlsx","Ouvrir"))</f>
        <v/>
      </c>
      <c r="U24" s="22">
        <f>IF($A24="","",HYPERLINK("Z:\MUSTANG SERVICES\Affaires 2027\"&amp;$A24&amp;"\","Dossier"))</f>
        <v/>
      </c>
    </row>
    <row r="25" ht="18" customHeight="1">
      <c r="A25" s="16" t="n"/>
      <c r="B25" s="17" t="n"/>
      <c r="C25" s="17" t="n"/>
      <c r="D25" s="18">
        <f>IF(AND(ISNUMBER($B25),ISNUMBER($C25)),$C25-$B25,"")</f>
        <v/>
      </c>
      <c r="E25" s="19" t="n"/>
      <c r="F25" s="20" t="n"/>
      <c r="G25" s="19" t="n"/>
      <c r="H25" s="20" t="n"/>
      <c r="I25" s="20" t="n"/>
      <c r="J25" s="19" t="n"/>
      <c r="K25" s="16" t="n"/>
      <c r="L25" s="20" t="n"/>
      <c r="M25" s="20" t="n"/>
      <c r="N25" s="17" t="n"/>
      <c r="O25" s="18">
        <f>IF(AND(OR($M25="Envoyé",$M25="En attente"),ISNUMBER($C25),NOT(ISNUMBER($N25))),IF(TODAY()-$C25&gt;=7,"⚠ relancer",""),"")</f>
        <v/>
      </c>
      <c r="P25" s="19" t="n"/>
      <c r="Q25" s="22">
        <f>IF($A25="","",HYPERLINK("Z:\MUSTANG SERVICES\Affaires 2027\"&amp;$A25&amp;"\"&amp;$A25&amp;"_Devis.xlsx","Ouvrir"))</f>
        <v/>
      </c>
      <c r="R25" s="22">
        <f>IF($A25="","",HYPERLINK("Z:\MUSTANG SERVICES\Affaires 2027\"&amp;$A25&amp;"\"&amp;$A25&amp;"_ToolList.xlsx","Ouvrir"))</f>
        <v/>
      </c>
      <c r="S25" s="22">
        <f>IF($A25="","",HYPERLINK("Z:\MUSTANG SERVICES\Affaires 2027\"&amp;$A25&amp;"\"&amp;$A25&amp;"_BL.xlsx","Ouvrir"))</f>
        <v/>
      </c>
      <c r="T25" s="22">
        <f>IF($A25="","",HYPERLINK("Z:\MUSTANG SERVICES\Affaires 2027\"&amp;$A25&amp;"\"&amp;$A25&amp;"_ServiceTicket.xlsx","Ouvrir"))</f>
        <v/>
      </c>
      <c r="U25" s="22">
        <f>IF($A25="","",HYPERLINK("Z:\MUSTANG SERVICES\Affaires 2027\"&amp;$A25&amp;"\","Dossier"))</f>
        <v/>
      </c>
    </row>
    <row r="26" ht="18" customHeight="1">
      <c r="A26" s="16" t="n"/>
      <c r="B26" s="17" t="n"/>
      <c r="C26" s="17" t="n"/>
      <c r="D26" s="18">
        <f>IF(AND(ISNUMBER($B26),ISNUMBER($C26)),$C26-$B26,"")</f>
        <v/>
      </c>
      <c r="E26" s="19" t="n"/>
      <c r="F26" s="20" t="n"/>
      <c r="G26" s="19" t="n"/>
      <c r="H26" s="20" t="n"/>
      <c r="I26" s="20" t="n"/>
      <c r="J26" s="19" t="n"/>
      <c r="K26" s="16" t="n"/>
      <c r="L26" s="20" t="n"/>
      <c r="M26" s="20" t="n"/>
      <c r="N26" s="17" t="n"/>
      <c r="O26" s="18">
        <f>IF(AND(OR($M26="Envoyé",$M26="En attente"),ISNUMBER($C26),NOT(ISNUMBER($N26))),IF(TODAY()-$C26&gt;=7,"⚠ relancer",""),"")</f>
        <v/>
      </c>
      <c r="P26" s="19" t="n"/>
      <c r="Q26" s="22">
        <f>IF($A26="","",HYPERLINK("Z:\MUSTANG SERVICES\Affaires 2027\"&amp;$A26&amp;"\"&amp;$A26&amp;"_Devis.xlsx","Ouvrir"))</f>
        <v/>
      </c>
      <c r="R26" s="22">
        <f>IF($A26="","",HYPERLINK("Z:\MUSTANG SERVICES\Affaires 2027\"&amp;$A26&amp;"\"&amp;$A26&amp;"_ToolList.xlsx","Ouvrir"))</f>
        <v/>
      </c>
      <c r="S26" s="22">
        <f>IF($A26="","",HYPERLINK("Z:\MUSTANG SERVICES\Affaires 2027\"&amp;$A26&amp;"\"&amp;$A26&amp;"_BL.xlsx","Ouvrir"))</f>
        <v/>
      </c>
      <c r="T26" s="22">
        <f>IF($A26="","",HYPERLINK("Z:\MUSTANG SERVICES\Affaires 2027\"&amp;$A26&amp;"\"&amp;$A26&amp;"_ServiceTicket.xlsx","Ouvrir"))</f>
        <v/>
      </c>
      <c r="U26" s="22">
        <f>IF($A26="","",HYPERLINK("Z:\MUSTANG SERVICES\Affaires 2027\"&amp;$A26&amp;"\","Dossier"))</f>
        <v/>
      </c>
    </row>
    <row r="27" ht="18" customHeight="1">
      <c r="A27" s="16" t="n"/>
      <c r="B27" s="17" t="n"/>
      <c r="C27" s="17" t="n"/>
      <c r="D27" s="18">
        <f>IF(AND(ISNUMBER($B27),ISNUMBER($C27)),$C27-$B27,"")</f>
        <v/>
      </c>
      <c r="E27" s="19" t="n"/>
      <c r="F27" s="20" t="n"/>
      <c r="G27" s="19" t="n"/>
      <c r="H27" s="20" t="n"/>
      <c r="I27" s="20" t="n"/>
      <c r="J27" s="19" t="n"/>
      <c r="K27" s="16" t="n"/>
      <c r="L27" s="20" t="n"/>
      <c r="M27" s="20" t="n"/>
      <c r="N27" s="17" t="n"/>
      <c r="O27" s="18">
        <f>IF(AND(OR($M27="Envoyé",$M27="En attente"),ISNUMBER($C27),NOT(ISNUMBER($N27))),IF(TODAY()-$C27&gt;=7,"⚠ relancer",""),"")</f>
        <v/>
      </c>
      <c r="P27" s="19" t="n"/>
      <c r="Q27" s="22">
        <f>IF($A27="","",HYPERLINK("Z:\MUSTANG SERVICES\Affaires 2027\"&amp;$A27&amp;"\"&amp;$A27&amp;"_Devis.xlsx","Ouvrir"))</f>
        <v/>
      </c>
      <c r="R27" s="22">
        <f>IF($A27="","",HYPERLINK("Z:\MUSTANG SERVICES\Affaires 2027\"&amp;$A27&amp;"\"&amp;$A27&amp;"_ToolList.xlsx","Ouvrir"))</f>
        <v/>
      </c>
      <c r="S27" s="22">
        <f>IF($A27="","",HYPERLINK("Z:\MUSTANG SERVICES\Affaires 2027\"&amp;$A27&amp;"\"&amp;$A27&amp;"_BL.xlsx","Ouvrir"))</f>
        <v/>
      </c>
      <c r="T27" s="22">
        <f>IF($A27="","",HYPERLINK("Z:\MUSTANG SERVICES\Affaires 2027\"&amp;$A27&amp;"\"&amp;$A27&amp;"_ServiceTicket.xlsx","Ouvrir"))</f>
        <v/>
      </c>
      <c r="U27" s="22">
        <f>IF($A27="","",HYPERLINK("Z:\MUSTANG SERVICES\Affaires 2027\"&amp;$A27&amp;"\","Dossier"))</f>
        <v/>
      </c>
    </row>
    <row r="28" ht="18" customHeight="1">
      <c r="A28" s="16" t="n"/>
      <c r="B28" s="17" t="n"/>
      <c r="C28" s="17" t="n"/>
      <c r="D28" s="18">
        <f>IF(AND(ISNUMBER($B28),ISNUMBER($C28)),$C28-$B28,"")</f>
        <v/>
      </c>
      <c r="E28" s="19" t="n"/>
      <c r="F28" s="20" t="n"/>
      <c r="G28" s="19" t="n"/>
      <c r="H28" s="20" t="n"/>
      <c r="I28" s="20" t="n"/>
      <c r="J28" s="19" t="n"/>
      <c r="K28" s="16" t="n"/>
      <c r="L28" s="20" t="n"/>
      <c r="M28" s="20" t="n"/>
      <c r="N28" s="17" t="n"/>
      <c r="O28" s="18">
        <f>IF(AND(OR($M28="Envoyé",$M28="En attente"),ISNUMBER($C28),NOT(ISNUMBER($N28))),IF(TODAY()-$C28&gt;=7,"⚠ relancer",""),"")</f>
        <v/>
      </c>
      <c r="P28" s="19" t="n"/>
      <c r="Q28" s="22">
        <f>IF($A28="","",HYPERLINK("Z:\MUSTANG SERVICES\Affaires 2027\"&amp;$A28&amp;"\"&amp;$A28&amp;"_Devis.xlsx","Ouvrir"))</f>
        <v/>
      </c>
      <c r="R28" s="22">
        <f>IF($A28="","",HYPERLINK("Z:\MUSTANG SERVICES\Affaires 2027\"&amp;$A28&amp;"\"&amp;$A28&amp;"_ToolList.xlsx","Ouvrir"))</f>
        <v/>
      </c>
      <c r="S28" s="22">
        <f>IF($A28="","",HYPERLINK("Z:\MUSTANG SERVICES\Affaires 2027\"&amp;$A28&amp;"\"&amp;$A28&amp;"_BL.xlsx","Ouvrir"))</f>
        <v/>
      </c>
      <c r="T28" s="22">
        <f>IF($A28="","",HYPERLINK("Z:\MUSTANG SERVICES\Affaires 2027\"&amp;$A28&amp;"\"&amp;$A28&amp;"_ServiceTicket.xlsx","Ouvrir"))</f>
        <v/>
      </c>
      <c r="U28" s="22">
        <f>IF($A28="","",HYPERLINK("Z:\MUSTANG SERVICES\Affaires 2027\"&amp;$A28&amp;"\","Dossier"))</f>
        <v/>
      </c>
    </row>
    <row r="29" ht="18" customHeight="1">
      <c r="A29" s="16" t="n"/>
      <c r="B29" s="17" t="n"/>
      <c r="C29" s="17" t="n"/>
      <c r="D29" s="18">
        <f>IF(AND(ISNUMBER($B29),ISNUMBER($C29)),$C29-$B29,"")</f>
        <v/>
      </c>
      <c r="E29" s="19" t="n"/>
      <c r="F29" s="20" t="n"/>
      <c r="G29" s="19" t="n"/>
      <c r="H29" s="20" t="n"/>
      <c r="I29" s="20" t="n"/>
      <c r="J29" s="19" t="n"/>
      <c r="K29" s="16" t="n"/>
      <c r="L29" s="20" t="n"/>
      <c r="M29" s="20" t="n"/>
      <c r="N29" s="17" t="n"/>
      <c r="O29" s="18">
        <f>IF(AND(OR($M29="Envoyé",$M29="En attente"),ISNUMBER($C29),NOT(ISNUMBER($N29))),IF(TODAY()-$C29&gt;=7,"⚠ relancer",""),"")</f>
        <v/>
      </c>
      <c r="P29" s="19" t="n"/>
      <c r="Q29" s="22">
        <f>IF($A29="","",HYPERLINK("Z:\MUSTANG SERVICES\Affaires 2027\"&amp;$A29&amp;"\"&amp;$A29&amp;"_Devis.xlsx","Ouvrir"))</f>
        <v/>
      </c>
      <c r="R29" s="22">
        <f>IF($A29="","",HYPERLINK("Z:\MUSTANG SERVICES\Affaires 2027\"&amp;$A29&amp;"\"&amp;$A29&amp;"_ToolList.xlsx","Ouvrir"))</f>
        <v/>
      </c>
      <c r="S29" s="22">
        <f>IF($A29="","",HYPERLINK("Z:\MUSTANG SERVICES\Affaires 2027\"&amp;$A29&amp;"\"&amp;$A29&amp;"_BL.xlsx","Ouvrir"))</f>
        <v/>
      </c>
      <c r="T29" s="22">
        <f>IF($A29="","",HYPERLINK("Z:\MUSTANG SERVICES\Affaires 2027\"&amp;$A29&amp;"\"&amp;$A29&amp;"_ServiceTicket.xlsx","Ouvrir"))</f>
        <v/>
      </c>
      <c r="U29" s="22">
        <f>IF($A29="","",HYPERLINK("Z:\MUSTANG SERVICES\Affaires 2027\"&amp;$A29&amp;"\","Dossier"))</f>
        <v/>
      </c>
    </row>
    <row r="30" ht="18" customHeight="1">
      <c r="A30" s="16" t="n"/>
      <c r="B30" s="17" t="n"/>
      <c r="C30" s="17" t="n"/>
      <c r="D30" s="18">
        <f>IF(AND(ISNUMBER($B30),ISNUMBER($C30)),$C30-$B30,"")</f>
        <v/>
      </c>
      <c r="E30" s="19" t="n"/>
      <c r="F30" s="20" t="n"/>
      <c r="G30" s="19" t="n"/>
      <c r="H30" s="20" t="n"/>
      <c r="I30" s="20" t="n"/>
      <c r="J30" s="19" t="n"/>
      <c r="K30" s="16" t="n"/>
      <c r="L30" s="20" t="n"/>
      <c r="M30" s="20" t="n"/>
      <c r="N30" s="17" t="n"/>
      <c r="O30" s="18">
        <f>IF(AND(OR($M30="Envoyé",$M30="En attente"),ISNUMBER($C30),NOT(ISNUMBER($N30))),IF(TODAY()-$C30&gt;=7,"⚠ relancer",""),"")</f>
        <v/>
      </c>
      <c r="P30" s="19" t="n"/>
      <c r="Q30" s="22">
        <f>IF($A30="","",HYPERLINK("Z:\MUSTANG SERVICES\Affaires 2027\"&amp;$A30&amp;"\"&amp;$A30&amp;"_Devis.xlsx","Ouvrir"))</f>
        <v/>
      </c>
      <c r="R30" s="22">
        <f>IF($A30="","",HYPERLINK("Z:\MUSTANG SERVICES\Affaires 2027\"&amp;$A30&amp;"\"&amp;$A30&amp;"_ToolList.xlsx","Ouvrir"))</f>
        <v/>
      </c>
      <c r="S30" s="22">
        <f>IF($A30="","",HYPERLINK("Z:\MUSTANG SERVICES\Affaires 2027\"&amp;$A30&amp;"\"&amp;$A30&amp;"_BL.xlsx","Ouvrir"))</f>
        <v/>
      </c>
      <c r="T30" s="22">
        <f>IF($A30="","",HYPERLINK("Z:\MUSTANG SERVICES\Affaires 2027\"&amp;$A30&amp;"\"&amp;$A30&amp;"_ServiceTicket.xlsx","Ouvrir"))</f>
        <v/>
      </c>
      <c r="U30" s="22">
        <f>IF($A30="","",HYPERLINK("Z:\MUSTANG SERVICES\Affaires 2027\"&amp;$A30&amp;"\","Dossier"))</f>
        <v/>
      </c>
    </row>
    <row r="31" ht="18" customHeight="1">
      <c r="A31" s="16" t="n"/>
      <c r="B31" s="17" t="n"/>
      <c r="C31" s="17" t="n"/>
      <c r="D31" s="18">
        <f>IF(AND(ISNUMBER($B31),ISNUMBER($C31)),$C31-$B31,"")</f>
        <v/>
      </c>
      <c r="E31" s="19" t="n"/>
      <c r="F31" s="20" t="n"/>
      <c r="G31" s="19" t="n"/>
      <c r="H31" s="20" t="n"/>
      <c r="I31" s="20" t="n"/>
      <c r="J31" s="19" t="n"/>
      <c r="K31" s="16" t="n"/>
      <c r="L31" s="20" t="n"/>
      <c r="M31" s="20" t="n"/>
      <c r="N31" s="17" t="n"/>
      <c r="O31" s="18">
        <f>IF(AND(OR($M31="Envoyé",$M31="En attente"),ISNUMBER($C31),NOT(ISNUMBER($N31))),IF(TODAY()-$C31&gt;=7,"⚠ relancer",""),"")</f>
        <v/>
      </c>
      <c r="P31" s="19" t="n"/>
      <c r="Q31" s="22">
        <f>IF($A31="","",HYPERLINK("Z:\MUSTANG SERVICES\Affaires 2027\"&amp;$A31&amp;"\"&amp;$A31&amp;"_Devis.xlsx","Ouvrir"))</f>
        <v/>
      </c>
      <c r="R31" s="22">
        <f>IF($A31="","",HYPERLINK("Z:\MUSTANG SERVICES\Affaires 2027\"&amp;$A31&amp;"\"&amp;$A31&amp;"_ToolList.xlsx","Ouvrir"))</f>
        <v/>
      </c>
      <c r="S31" s="22">
        <f>IF($A31="","",HYPERLINK("Z:\MUSTANG SERVICES\Affaires 2027\"&amp;$A31&amp;"\"&amp;$A31&amp;"_BL.xlsx","Ouvrir"))</f>
        <v/>
      </c>
      <c r="T31" s="22">
        <f>IF($A31="","",HYPERLINK("Z:\MUSTANG SERVICES\Affaires 2027\"&amp;$A31&amp;"\"&amp;$A31&amp;"_ServiceTicket.xlsx","Ouvrir"))</f>
        <v/>
      </c>
      <c r="U31" s="22">
        <f>IF($A31="","",HYPERLINK("Z:\MUSTANG SERVICES\Affaires 2027\"&amp;$A31&amp;"\","Dossier"))</f>
        <v/>
      </c>
    </row>
    <row r="32" ht="18" customHeight="1">
      <c r="A32" s="16" t="n"/>
      <c r="B32" s="17" t="n"/>
      <c r="C32" s="17" t="n"/>
      <c r="D32" s="18">
        <f>IF(AND(ISNUMBER($B32),ISNUMBER($C32)),$C32-$B32,"")</f>
        <v/>
      </c>
      <c r="E32" s="19" t="n"/>
      <c r="F32" s="20" t="n"/>
      <c r="G32" s="19" t="n"/>
      <c r="H32" s="20" t="n"/>
      <c r="I32" s="20" t="n"/>
      <c r="J32" s="19" t="n"/>
      <c r="K32" s="16" t="n"/>
      <c r="L32" s="20" t="n"/>
      <c r="M32" s="20" t="n"/>
      <c r="N32" s="17" t="n"/>
      <c r="O32" s="18">
        <f>IF(AND(OR($M32="Envoyé",$M32="En attente"),ISNUMBER($C32),NOT(ISNUMBER($N32))),IF(TODAY()-$C32&gt;=7,"⚠ relancer",""),"")</f>
        <v/>
      </c>
      <c r="P32" s="19" t="n"/>
      <c r="Q32" s="22">
        <f>IF($A32="","",HYPERLINK("Z:\MUSTANG SERVICES\Affaires 2027\"&amp;$A32&amp;"\"&amp;$A32&amp;"_Devis.xlsx","Ouvrir"))</f>
        <v/>
      </c>
      <c r="R32" s="22">
        <f>IF($A32="","",HYPERLINK("Z:\MUSTANG SERVICES\Affaires 2027\"&amp;$A32&amp;"\"&amp;$A32&amp;"_ToolList.xlsx","Ouvrir"))</f>
        <v/>
      </c>
      <c r="S32" s="22">
        <f>IF($A32="","",HYPERLINK("Z:\MUSTANG SERVICES\Affaires 2027\"&amp;$A32&amp;"\"&amp;$A32&amp;"_BL.xlsx","Ouvrir"))</f>
        <v/>
      </c>
      <c r="T32" s="22">
        <f>IF($A32="","",HYPERLINK("Z:\MUSTANG SERVICES\Affaires 2027\"&amp;$A32&amp;"\"&amp;$A32&amp;"_ServiceTicket.xlsx","Ouvrir"))</f>
        <v/>
      </c>
      <c r="U32" s="22">
        <f>IF($A32="","",HYPERLINK("Z:\MUSTANG SERVICES\Affaires 2027\"&amp;$A32&amp;"\","Dossier"))</f>
        <v/>
      </c>
    </row>
    <row r="33" ht="18" customHeight="1">
      <c r="A33" s="16" t="n"/>
      <c r="B33" s="17" t="n"/>
      <c r="C33" s="17" t="n"/>
      <c r="D33" s="18">
        <f>IF(AND(ISNUMBER($B33),ISNUMBER($C33)),$C33-$B33,"")</f>
        <v/>
      </c>
      <c r="E33" s="19" t="n"/>
      <c r="F33" s="20" t="n"/>
      <c r="G33" s="19" t="n"/>
      <c r="H33" s="20" t="n"/>
      <c r="I33" s="20" t="n"/>
      <c r="J33" s="19" t="n"/>
      <c r="K33" s="16" t="n"/>
      <c r="L33" s="20" t="n"/>
      <c r="M33" s="20" t="n"/>
      <c r="N33" s="17" t="n"/>
      <c r="O33" s="18">
        <f>IF(AND(OR($M33="Envoyé",$M33="En attente"),ISNUMBER($C33),NOT(ISNUMBER($N33))),IF(TODAY()-$C33&gt;=7,"⚠ relancer",""),"")</f>
        <v/>
      </c>
      <c r="P33" s="19" t="n"/>
      <c r="Q33" s="22">
        <f>IF($A33="","",HYPERLINK("Z:\MUSTANG SERVICES\Affaires 2027\"&amp;$A33&amp;"\"&amp;$A33&amp;"_Devis.xlsx","Ouvrir"))</f>
        <v/>
      </c>
      <c r="R33" s="22">
        <f>IF($A33="","",HYPERLINK("Z:\MUSTANG SERVICES\Affaires 2027\"&amp;$A33&amp;"\"&amp;$A33&amp;"_ToolList.xlsx","Ouvrir"))</f>
        <v/>
      </c>
      <c r="S33" s="22">
        <f>IF($A33="","",HYPERLINK("Z:\MUSTANG SERVICES\Affaires 2027\"&amp;$A33&amp;"\"&amp;$A33&amp;"_BL.xlsx","Ouvrir"))</f>
        <v/>
      </c>
      <c r="T33" s="22">
        <f>IF($A33="","",HYPERLINK("Z:\MUSTANG SERVICES\Affaires 2027\"&amp;$A33&amp;"\"&amp;$A33&amp;"_ServiceTicket.xlsx","Ouvrir"))</f>
        <v/>
      </c>
      <c r="U33" s="22">
        <f>IF($A33="","",HYPERLINK("Z:\MUSTANG SERVICES\Affaires 2027\"&amp;$A33&amp;"\","Dossier"))</f>
        <v/>
      </c>
    </row>
    <row r="34" ht="18" customHeight="1">
      <c r="A34" s="16" t="n"/>
      <c r="B34" s="17" t="n"/>
      <c r="C34" s="17" t="n"/>
      <c r="D34" s="18">
        <f>IF(AND(ISNUMBER($B34),ISNUMBER($C34)),$C34-$B34,"")</f>
        <v/>
      </c>
      <c r="E34" s="19" t="n"/>
      <c r="F34" s="20" t="n"/>
      <c r="G34" s="19" t="n"/>
      <c r="H34" s="20" t="n"/>
      <c r="I34" s="20" t="n"/>
      <c r="J34" s="19" t="n"/>
      <c r="K34" s="16" t="n"/>
      <c r="L34" s="20" t="n"/>
      <c r="M34" s="20" t="n"/>
      <c r="N34" s="17" t="n"/>
      <c r="O34" s="18">
        <f>IF(AND(OR($M34="Envoyé",$M34="En attente"),ISNUMBER($C34),NOT(ISNUMBER($N34))),IF(TODAY()-$C34&gt;=7,"⚠ relancer",""),"")</f>
        <v/>
      </c>
      <c r="P34" s="19" t="n"/>
      <c r="Q34" s="22">
        <f>IF($A34="","",HYPERLINK("Z:\MUSTANG SERVICES\Affaires 2027\"&amp;$A34&amp;"\"&amp;$A34&amp;"_Devis.xlsx","Ouvrir"))</f>
        <v/>
      </c>
      <c r="R34" s="22">
        <f>IF($A34="","",HYPERLINK("Z:\MUSTANG SERVICES\Affaires 2027\"&amp;$A34&amp;"\"&amp;$A34&amp;"_ToolList.xlsx","Ouvrir"))</f>
        <v/>
      </c>
      <c r="S34" s="22">
        <f>IF($A34="","",HYPERLINK("Z:\MUSTANG SERVICES\Affaires 2027\"&amp;$A34&amp;"\"&amp;$A34&amp;"_BL.xlsx","Ouvrir"))</f>
        <v/>
      </c>
      <c r="T34" s="22">
        <f>IF($A34="","",HYPERLINK("Z:\MUSTANG SERVICES\Affaires 2027\"&amp;$A34&amp;"\"&amp;$A34&amp;"_ServiceTicket.xlsx","Ouvrir"))</f>
        <v/>
      </c>
      <c r="U34" s="22">
        <f>IF($A34="","",HYPERLINK("Z:\MUSTANG SERVICES\Affaires 2027\"&amp;$A34&amp;"\","Dossier"))</f>
        <v/>
      </c>
    </row>
    <row r="35" ht="18" customHeight="1">
      <c r="A35" s="16" t="n"/>
      <c r="B35" s="17" t="n"/>
      <c r="C35" s="17" t="n"/>
      <c r="D35" s="18">
        <f>IF(AND(ISNUMBER($B35),ISNUMBER($C35)),$C35-$B35,"")</f>
        <v/>
      </c>
      <c r="E35" s="19" t="n"/>
      <c r="F35" s="20" t="n"/>
      <c r="G35" s="19" t="n"/>
      <c r="H35" s="20" t="n"/>
      <c r="I35" s="20" t="n"/>
      <c r="J35" s="19" t="n"/>
      <c r="K35" s="16" t="n"/>
      <c r="L35" s="20" t="n"/>
      <c r="M35" s="20" t="n"/>
      <c r="N35" s="17" t="n"/>
      <c r="O35" s="18">
        <f>IF(AND(OR($M35="Envoyé",$M35="En attente"),ISNUMBER($C35),NOT(ISNUMBER($N35))),IF(TODAY()-$C35&gt;=7,"⚠ relancer",""),"")</f>
        <v/>
      </c>
      <c r="P35" s="19" t="n"/>
      <c r="Q35" s="22">
        <f>IF($A35="","",HYPERLINK("Z:\MUSTANG SERVICES\Affaires 2027\"&amp;$A35&amp;"\"&amp;$A35&amp;"_Devis.xlsx","Ouvrir"))</f>
        <v/>
      </c>
      <c r="R35" s="22">
        <f>IF($A35="","",HYPERLINK("Z:\MUSTANG SERVICES\Affaires 2027\"&amp;$A35&amp;"\"&amp;$A35&amp;"_ToolList.xlsx","Ouvrir"))</f>
        <v/>
      </c>
      <c r="S35" s="22">
        <f>IF($A35="","",HYPERLINK("Z:\MUSTANG SERVICES\Affaires 2027\"&amp;$A35&amp;"\"&amp;$A35&amp;"_BL.xlsx","Ouvrir"))</f>
        <v/>
      </c>
      <c r="T35" s="22">
        <f>IF($A35="","",HYPERLINK("Z:\MUSTANG SERVICES\Affaires 2027\"&amp;$A35&amp;"\"&amp;$A35&amp;"_ServiceTicket.xlsx","Ouvrir"))</f>
        <v/>
      </c>
      <c r="U35" s="22">
        <f>IF($A35="","",HYPERLINK("Z:\MUSTANG SERVICES\Affaires 2027\"&amp;$A35&amp;"\","Dossier"))</f>
        <v/>
      </c>
    </row>
    <row r="36" ht="18" customHeight="1">
      <c r="A36" s="16" t="n"/>
      <c r="B36" s="17" t="n"/>
      <c r="C36" s="17" t="n"/>
      <c r="D36" s="18">
        <f>IF(AND(ISNUMBER($B36),ISNUMBER($C36)),$C36-$B36,"")</f>
        <v/>
      </c>
      <c r="E36" s="19" t="n"/>
      <c r="F36" s="20" t="n"/>
      <c r="G36" s="19" t="n"/>
      <c r="H36" s="20" t="n"/>
      <c r="I36" s="20" t="n"/>
      <c r="J36" s="19" t="n"/>
      <c r="K36" s="16" t="n"/>
      <c r="L36" s="20" t="n"/>
      <c r="M36" s="20" t="n"/>
      <c r="N36" s="17" t="n"/>
      <c r="O36" s="18">
        <f>IF(AND(OR($M36="Envoyé",$M36="En attente"),ISNUMBER($C36),NOT(ISNUMBER($N36))),IF(TODAY()-$C36&gt;=7,"⚠ relancer",""),"")</f>
        <v/>
      </c>
      <c r="P36" s="19" t="n"/>
      <c r="Q36" s="22">
        <f>IF($A36="","",HYPERLINK("Z:\MUSTANG SERVICES\Affaires 2027\"&amp;$A36&amp;"\"&amp;$A36&amp;"_Devis.xlsx","Ouvrir"))</f>
        <v/>
      </c>
      <c r="R36" s="22">
        <f>IF($A36="","",HYPERLINK("Z:\MUSTANG SERVICES\Affaires 2027\"&amp;$A36&amp;"\"&amp;$A36&amp;"_ToolList.xlsx","Ouvrir"))</f>
        <v/>
      </c>
      <c r="S36" s="22">
        <f>IF($A36="","",HYPERLINK("Z:\MUSTANG SERVICES\Affaires 2027\"&amp;$A36&amp;"\"&amp;$A36&amp;"_BL.xlsx","Ouvrir"))</f>
        <v/>
      </c>
      <c r="T36" s="22">
        <f>IF($A36="","",HYPERLINK("Z:\MUSTANG SERVICES\Affaires 2027\"&amp;$A36&amp;"\"&amp;$A36&amp;"_ServiceTicket.xlsx","Ouvrir"))</f>
        <v/>
      </c>
      <c r="U36" s="22">
        <f>IF($A36="","",HYPERLINK("Z:\MUSTANG SERVICES\Affaires 2027\"&amp;$A36&amp;"\","Dossier"))</f>
        <v/>
      </c>
    </row>
    <row r="37" ht="18" customHeight="1">
      <c r="A37" s="16" t="n"/>
      <c r="B37" s="17" t="n"/>
      <c r="C37" s="17" t="n"/>
      <c r="D37" s="18">
        <f>IF(AND(ISNUMBER($B37),ISNUMBER($C37)),$C37-$B37,"")</f>
        <v/>
      </c>
      <c r="E37" s="19" t="n"/>
      <c r="F37" s="20" t="n"/>
      <c r="G37" s="19" t="n"/>
      <c r="H37" s="20" t="n"/>
      <c r="I37" s="20" t="n"/>
      <c r="J37" s="19" t="n"/>
      <c r="K37" s="16" t="n"/>
      <c r="L37" s="20" t="n"/>
      <c r="M37" s="20" t="n"/>
      <c r="N37" s="17" t="n"/>
      <c r="O37" s="18">
        <f>IF(AND(OR($M37="Envoyé",$M37="En attente"),ISNUMBER($C37),NOT(ISNUMBER($N37))),IF(TODAY()-$C37&gt;=7,"⚠ relancer",""),"")</f>
        <v/>
      </c>
      <c r="P37" s="19" t="n"/>
      <c r="Q37" s="22">
        <f>IF($A37="","",HYPERLINK("Z:\MUSTANG SERVICES\Affaires 2027\"&amp;$A37&amp;"\"&amp;$A37&amp;"_Devis.xlsx","Ouvrir"))</f>
        <v/>
      </c>
      <c r="R37" s="22">
        <f>IF($A37="","",HYPERLINK("Z:\MUSTANG SERVICES\Affaires 2027\"&amp;$A37&amp;"\"&amp;$A37&amp;"_ToolList.xlsx","Ouvrir"))</f>
        <v/>
      </c>
      <c r="S37" s="22">
        <f>IF($A37="","",HYPERLINK("Z:\MUSTANG SERVICES\Affaires 2027\"&amp;$A37&amp;"\"&amp;$A37&amp;"_BL.xlsx","Ouvrir"))</f>
        <v/>
      </c>
      <c r="T37" s="22">
        <f>IF($A37="","",HYPERLINK("Z:\MUSTANG SERVICES\Affaires 2027\"&amp;$A37&amp;"\"&amp;$A37&amp;"_ServiceTicket.xlsx","Ouvrir"))</f>
        <v/>
      </c>
      <c r="U37" s="22">
        <f>IF($A37="","",HYPERLINK("Z:\MUSTANG SERVICES\Affaires 2027\"&amp;$A37&amp;"\","Dossier"))</f>
        <v/>
      </c>
    </row>
    <row r="38" ht="18" customHeight="1">
      <c r="A38" s="16" t="n"/>
      <c r="B38" s="17" t="n"/>
      <c r="C38" s="17" t="n"/>
      <c r="D38" s="18">
        <f>IF(AND(ISNUMBER($B38),ISNUMBER($C38)),$C38-$B38,"")</f>
        <v/>
      </c>
      <c r="E38" s="19" t="n"/>
      <c r="F38" s="20" t="n"/>
      <c r="G38" s="19" t="n"/>
      <c r="H38" s="20" t="n"/>
      <c r="I38" s="20" t="n"/>
      <c r="J38" s="19" t="n"/>
      <c r="K38" s="16" t="n"/>
      <c r="L38" s="20" t="n"/>
      <c r="M38" s="20" t="n"/>
      <c r="N38" s="17" t="n"/>
      <c r="O38" s="18">
        <f>IF(AND(OR($M38="Envoyé",$M38="En attente"),ISNUMBER($C38),NOT(ISNUMBER($N38))),IF(TODAY()-$C38&gt;=7,"⚠ relancer",""),"")</f>
        <v/>
      </c>
      <c r="P38" s="19" t="n"/>
      <c r="Q38" s="22">
        <f>IF($A38="","",HYPERLINK("Z:\MUSTANG SERVICES\Affaires 2027\"&amp;$A38&amp;"\"&amp;$A38&amp;"_Devis.xlsx","Ouvrir"))</f>
        <v/>
      </c>
      <c r="R38" s="22">
        <f>IF($A38="","",HYPERLINK("Z:\MUSTANG SERVICES\Affaires 2027\"&amp;$A38&amp;"\"&amp;$A38&amp;"_ToolList.xlsx","Ouvrir"))</f>
        <v/>
      </c>
      <c r="S38" s="22">
        <f>IF($A38="","",HYPERLINK("Z:\MUSTANG SERVICES\Affaires 2027\"&amp;$A38&amp;"\"&amp;$A38&amp;"_BL.xlsx","Ouvrir"))</f>
        <v/>
      </c>
      <c r="T38" s="22">
        <f>IF($A38="","",HYPERLINK("Z:\MUSTANG SERVICES\Affaires 2027\"&amp;$A38&amp;"\"&amp;$A38&amp;"_ServiceTicket.xlsx","Ouvrir"))</f>
        <v/>
      </c>
      <c r="U38" s="22">
        <f>IF($A38="","",HYPERLINK("Z:\MUSTANG SERVICES\Affaires 2027\"&amp;$A38&amp;"\","Dossier"))</f>
        <v/>
      </c>
    </row>
    <row r="39" ht="18" customHeight="1">
      <c r="A39" s="16" t="n"/>
      <c r="B39" s="17" t="n"/>
      <c r="C39" s="17" t="n"/>
      <c r="D39" s="18">
        <f>IF(AND(ISNUMBER($B39),ISNUMBER($C39)),$C39-$B39,"")</f>
        <v/>
      </c>
      <c r="E39" s="19" t="n"/>
      <c r="F39" s="20" t="n"/>
      <c r="G39" s="19" t="n"/>
      <c r="H39" s="20" t="n"/>
      <c r="I39" s="20" t="n"/>
      <c r="J39" s="19" t="n"/>
      <c r="K39" s="16" t="n"/>
      <c r="L39" s="20" t="n"/>
      <c r="M39" s="20" t="n"/>
      <c r="N39" s="17" t="n"/>
      <c r="O39" s="18">
        <f>IF(AND(OR($M39="Envoyé",$M39="En attente"),ISNUMBER($C39),NOT(ISNUMBER($N39))),IF(TODAY()-$C39&gt;=7,"⚠ relancer",""),"")</f>
        <v/>
      </c>
      <c r="P39" s="19" t="n"/>
      <c r="Q39" s="22">
        <f>IF($A39="","",HYPERLINK("Z:\MUSTANG SERVICES\Affaires 2027\"&amp;$A39&amp;"\"&amp;$A39&amp;"_Devis.xlsx","Ouvrir"))</f>
        <v/>
      </c>
      <c r="R39" s="22">
        <f>IF($A39="","",HYPERLINK("Z:\MUSTANG SERVICES\Affaires 2027\"&amp;$A39&amp;"\"&amp;$A39&amp;"_ToolList.xlsx","Ouvrir"))</f>
        <v/>
      </c>
      <c r="S39" s="22">
        <f>IF($A39="","",HYPERLINK("Z:\MUSTANG SERVICES\Affaires 2027\"&amp;$A39&amp;"\"&amp;$A39&amp;"_BL.xlsx","Ouvrir"))</f>
        <v/>
      </c>
      <c r="T39" s="22">
        <f>IF($A39="","",HYPERLINK("Z:\MUSTANG SERVICES\Affaires 2027\"&amp;$A39&amp;"\"&amp;$A39&amp;"_ServiceTicket.xlsx","Ouvrir"))</f>
        <v/>
      </c>
      <c r="U39" s="22">
        <f>IF($A39="","",HYPERLINK("Z:\MUSTANG SERVICES\Affaires 2027\"&amp;$A39&amp;"\","Dossier"))</f>
        <v/>
      </c>
    </row>
    <row r="40" ht="18" customHeight="1">
      <c r="A40" s="16" t="n"/>
      <c r="B40" s="17" t="n"/>
      <c r="C40" s="17" t="n"/>
      <c r="D40" s="18">
        <f>IF(AND(ISNUMBER($B40),ISNUMBER($C40)),$C40-$B40,"")</f>
        <v/>
      </c>
      <c r="E40" s="19" t="n"/>
      <c r="F40" s="20" t="n"/>
      <c r="G40" s="19" t="n"/>
      <c r="H40" s="20" t="n"/>
      <c r="I40" s="20" t="n"/>
      <c r="J40" s="19" t="n"/>
      <c r="K40" s="16" t="n"/>
      <c r="L40" s="20" t="n"/>
      <c r="M40" s="20" t="n"/>
      <c r="N40" s="17" t="n"/>
      <c r="O40" s="18">
        <f>IF(AND(OR($M40="Envoyé",$M40="En attente"),ISNUMBER($C40),NOT(ISNUMBER($N40))),IF(TODAY()-$C40&gt;=7,"⚠ relancer",""),"")</f>
        <v/>
      </c>
      <c r="P40" s="19" t="n"/>
      <c r="Q40" s="22">
        <f>IF($A40="","",HYPERLINK("Z:\MUSTANG SERVICES\Affaires 2027\"&amp;$A40&amp;"\"&amp;$A40&amp;"_Devis.xlsx","Ouvrir"))</f>
        <v/>
      </c>
      <c r="R40" s="22">
        <f>IF($A40="","",HYPERLINK("Z:\MUSTANG SERVICES\Affaires 2027\"&amp;$A40&amp;"\"&amp;$A40&amp;"_ToolList.xlsx","Ouvrir"))</f>
        <v/>
      </c>
      <c r="S40" s="22">
        <f>IF($A40="","",HYPERLINK("Z:\MUSTANG SERVICES\Affaires 2027\"&amp;$A40&amp;"\"&amp;$A40&amp;"_BL.xlsx","Ouvrir"))</f>
        <v/>
      </c>
      <c r="T40" s="22">
        <f>IF($A40="","",HYPERLINK("Z:\MUSTANG SERVICES\Affaires 2027\"&amp;$A40&amp;"\"&amp;$A40&amp;"_ServiceTicket.xlsx","Ouvrir"))</f>
        <v/>
      </c>
      <c r="U40" s="22">
        <f>IF($A40="","",HYPERLINK("Z:\MUSTANG SERVICES\Affaires 2027\"&amp;$A40&amp;"\","Dossier"))</f>
        <v/>
      </c>
    </row>
    <row r="41" ht="18" customHeight="1">
      <c r="A41" s="16" t="n"/>
      <c r="B41" s="17" t="n"/>
      <c r="C41" s="17" t="n"/>
      <c r="D41" s="18">
        <f>IF(AND(ISNUMBER($B41),ISNUMBER($C41)),$C41-$B41,"")</f>
        <v/>
      </c>
      <c r="E41" s="19" t="n"/>
      <c r="F41" s="20" t="n"/>
      <c r="G41" s="19" t="n"/>
      <c r="H41" s="20" t="n"/>
      <c r="I41" s="20" t="n"/>
      <c r="J41" s="19" t="n"/>
      <c r="K41" s="16" t="n"/>
      <c r="L41" s="20" t="n"/>
      <c r="M41" s="20" t="n"/>
      <c r="N41" s="17" t="n"/>
      <c r="O41" s="18">
        <f>IF(AND(OR($M41="Envoyé",$M41="En attente"),ISNUMBER($C41),NOT(ISNUMBER($N41))),IF(TODAY()-$C41&gt;=7,"⚠ relancer",""),"")</f>
        <v/>
      </c>
      <c r="P41" s="19" t="n"/>
      <c r="Q41" s="22">
        <f>IF($A41="","",HYPERLINK("Z:\MUSTANG SERVICES\Affaires 2027\"&amp;$A41&amp;"\"&amp;$A41&amp;"_Devis.xlsx","Ouvrir"))</f>
        <v/>
      </c>
      <c r="R41" s="22">
        <f>IF($A41="","",HYPERLINK("Z:\MUSTANG SERVICES\Affaires 2027\"&amp;$A41&amp;"\"&amp;$A41&amp;"_ToolList.xlsx","Ouvrir"))</f>
        <v/>
      </c>
      <c r="S41" s="22">
        <f>IF($A41="","",HYPERLINK("Z:\MUSTANG SERVICES\Affaires 2027\"&amp;$A41&amp;"\"&amp;$A41&amp;"_BL.xlsx","Ouvrir"))</f>
        <v/>
      </c>
      <c r="T41" s="22">
        <f>IF($A41="","",HYPERLINK("Z:\MUSTANG SERVICES\Affaires 2027\"&amp;$A41&amp;"\"&amp;$A41&amp;"_ServiceTicket.xlsx","Ouvrir"))</f>
        <v/>
      </c>
      <c r="U41" s="22">
        <f>IF($A41="","",HYPERLINK("Z:\MUSTANG SERVICES\Affaires 2027\"&amp;$A41&amp;"\","Dossier"))</f>
        <v/>
      </c>
    </row>
    <row r="42" ht="18" customHeight="1">
      <c r="A42" s="16" t="n"/>
      <c r="B42" s="17" t="n"/>
      <c r="C42" s="17" t="n"/>
      <c r="D42" s="18">
        <f>IF(AND(ISNUMBER($B42),ISNUMBER($C42)),$C42-$B42,"")</f>
        <v/>
      </c>
      <c r="E42" s="19" t="n"/>
      <c r="F42" s="20" t="n"/>
      <c r="G42" s="19" t="n"/>
      <c r="H42" s="20" t="n"/>
      <c r="I42" s="20" t="n"/>
      <c r="J42" s="19" t="n"/>
      <c r="K42" s="16" t="n"/>
      <c r="L42" s="20" t="n"/>
      <c r="M42" s="20" t="n"/>
      <c r="N42" s="17" t="n"/>
      <c r="O42" s="18">
        <f>IF(AND(OR($M42="Envoyé",$M42="En attente"),ISNUMBER($C42),NOT(ISNUMBER($N42))),IF(TODAY()-$C42&gt;=7,"⚠ relancer",""),"")</f>
        <v/>
      </c>
      <c r="P42" s="19" t="n"/>
      <c r="Q42" s="22">
        <f>IF($A42="","",HYPERLINK("Z:\MUSTANG SERVICES\Affaires 2027\"&amp;$A42&amp;"\"&amp;$A42&amp;"_Devis.xlsx","Ouvrir"))</f>
        <v/>
      </c>
      <c r="R42" s="22">
        <f>IF($A42="","",HYPERLINK("Z:\MUSTANG SERVICES\Affaires 2027\"&amp;$A42&amp;"\"&amp;$A42&amp;"_ToolList.xlsx","Ouvrir"))</f>
        <v/>
      </c>
      <c r="S42" s="22">
        <f>IF($A42="","",HYPERLINK("Z:\MUSTANG SERVICES\Affaires 2027\"&amp;$A42&amp;"\"&amp;$A42&amp;"_BL.xlsx","Ouvrir"))</f>
        <v/>
      </c>
      <c r="T42" s="22">
        <f>IF($A42="","",HYPERLINK("Z:\MUSTANG SERVICES\Affaires 2027\"&amp;$A42&amp;"\"&amp;$A42&amp;"_ServiceTicket.xlsx","Ouvrir"))</f>
        <v/>
      </c>
      <c r="U42" s="22">
        <f>IF($A42="","",HYPERLINK("Z:\MUSTANG SERVICES\Affaires 2027\"&amp;$A42&amp;"\","Dossier"))</f>
        <v/>
      </c>
    </row>
    <row r="43" ht="18" customHeight="1">
      <c r="A43" s="16" t="n"/>
      <c r="B43" s="17" t="n"/>
      <c r="C43" s="17" t="n"/>
      <c r="D43" s="18">
        <f>IF(AND(ISNUMBER($B43),ISNUMBER($C43)),$C43-$B43,"")</f>
        <v/>
      </c>
      <c r="E43" s="19" t="n"/>
      <c r="F43" s="20" t="n"/>
      <c r="G43" s="19" t="n"/>
      <c r="H43" s="20" t="n"/>
      <c r="I43" s="20" t="n"/>
      <c r="J43" s="19" t="n"/>
      <c r="K43" s="16" t="n"/>
      <c r="L43" s="20" t="n"/>
      <c r="M43" s="20" t="n"/>
      <c r="N43" s="17" t="n"/>
      <c r="O43" s="18">
        <f>IF(AND(OR($M43="Envoyé",$M43="En attente"),ISNUMBER($C43),NOT(ISNUMBER($N43))),IF(TODAY()-$C43&gt;=7,"⚠ relancer",""),"")</f>
        <v/>
      </c>
      <c r="P43" s="19" t="n"/>
      <c r="Q43" s="22">
        <f>IF($A43="","",HYPERLINK("Z:\MUSTANG SERVICES\Affaires 2027\"&amp;$A43&amp;"\"&amp;$A43&amp;"_Devis.xlsx","Ouvrir"))</f>
        <v/>
      </c>
      <c r="R43" s="22">
        <f>IF($A43="","",HYPERLINK("Z:\MUSTANG SERVICES\Affaires 2027\"&amp;$A43&amp;"\"&amp;$A43&amp;"_ToolList.xlsx","Ouvrir"))</f>
        <v/>
      </c>
      <c r="S43" s="22">
        <f>IF($A43="","",HYPERLINK("Z:\MUSTANG SERVICES\Affaires 2027\"&amp;$A43&amp;"\"&amp;$A43&amp;"_BL.xlsx","Ouvrir"))</f>
        <v/>
      </c>
      <c r="T43" s="22">
        <f>IF($A43="","",HYPERLINK("Z:\MUSTANG SERVICES\Affaires 2027\"&amp;$A43&amp;"\"&amp;$A43&amp;"_ServiceTicket.xlsx","Ouvrir"))</f>
        <v/>
      </c>
      <c r="U43" s="22">
        <f>IF($A43="","",HYPERLINK("Z:\MUSTANG SERVICES\Affaires 2027\"&amp;$A43&amp;"\","Dossier"))</f>
        <v/>
      </c>
    </row>
    <row r="44" ht="18" customHeight="1">
      <c r="A44" s="16" t="n"/>
      <c r="B44" s="17" t="n"/>
      <c r="C44" s="17" t="n"/>
      <c r="D44" s="18">
        <f>IF(AND(ISNUMBER($B44),ISNUMBER($C44)),$C44-$B44,"")</f>
        <v/>
      </c>
      <c r="E44" s="19" t="n"/>
      <c r="F44" s="20" t="n"/>
      <c r="G44" s="19" t="n"/>
      <c r="H44" s="20" t="n"/>
      <c r="I44" s="20" t="n"/>
      <c r="J44" s="19" t="n"/>
      <c r="K44" s="16" t="n"/>
      <c r="L44" s="20" t="n"/>
      <c r="M44" s="20" t="n"/>
      <c r="N44" s="17" t="n"/>
      <c r="O44" s="18">
        <f>IF(AND(OR($M44="Envoyé",$M44="En attente"),ISNUMBER($C44),NOT(ISNUMBER($N44))),IF(TODAY()-$C44&gt;=7,"⚠ relancer",""),"")</f>
        <v/>
      </c>
      <c r="P44" s="19" t="n"/>
      <c r="Q44" s="22">
        <f>IF($A44="","",HYPERLINK("Z:\MUSTANG SERVICES\Affaires 2027\"&amp;$A44&amp;"\"&amp;$A44&amp;"_Devis.xlsx","Ouvrir"))</f>
        <v/>
      </c>
      <c r="R44" s="22">
        <f>IF($A44="","",HYPERLINK("Z:\MUSTANG SERVICES\Affaires 2027\"&amp;$A44&amp;"\"&amp;$A44&amp;"_ToolList.xlsx","Ouvrir"))</f>
        <v/>
      </c>
      <c r="S44" s="22">
        <f>IF($A44="","",HYPERLINK("Z:\MUSTANG SERVICES\Affaires 2027\"&amp;$A44&amp;"\"&amp;$A44&amp;"_BL.xlsx","Ouvrir"))</f>
        <v/>
      </c>
      <c r="T44" s="22">
        <f>IF($A44="","",HYPERLINK("Z:\MUSTANG SERVICES\Affaires 2027\"&amp;$A44&amp;"\"&amp;$A44&amp;"_ServiceTicket.xlsx","Ouvrir"))</f>
        <v/>
      </c>
      <c r="U44" s="22">
        <f>IF($A44="","",HYPERLINK("Z:\MUSTANG SERVICES\Affaires 2027\"&amp;$A44&amp;"\","Dossier"))</f>
        <v/>
      </c>
    </row>
    <row r="45" ht="18" customHeight="1">
      <c r="A45" s="16" t="n"/>
      <c r="B45" s="17" t="n"/>
      <c r="C45" s="17" t="n"/>
      <c r="D45" s="18">
        <f>IF(AND(ISNUMBER($B45),ISNUMBER($C45)),$C45-$B45,"")</f>
        <v/>
      </c>
      <c r="E45" s="19" t="n"/>
      <c r="F45" s="20" t="n"/>
      <c r="G45" s="19" t="n"/>
      <c r="H45" s="20" t="n"/>
      <c r="I45" s="20" t="n"/>
      <c r="J45" s="19" t="n"/>
      <c r="K45" s="16" t="n"/>
      <c r="L45" s="20" t="n"/>
      <c r="M45" s="20" t="n"/>
      <c r="N45" s="17" t="n"/>
      <c r="O45" s="18">
        <f>IF(AND(OR($M45="Envoyé",$M45="En attente"),ISNUMBER($C45),NOT(ISNUMBER($N45))),IF(TODAY()-$C45&gt;=7,"⚠ relancer",""),"")</f>
        <v/>
      </c>
      <c r="P45" s="19" t="n"/>
      <c r="Q45" s="22">
        <f>IF($A45="","",HYPERLINK("Z:\MUSTANG SERVICES\Affaires 2027\"&amp;$A45&amp;"\"&amp;$A45&amp;"_Devis.xlsx","Ouvrir"))</f>
        <v/>
      </c>
      <c r="R45" s="22">
        <f>IF($A45="","",HYPERLINK("Z:\MUSTANG SERVICES\Affaires 2027\"&amp;$A45&amp;"\"&amp;$A45&amp;"_ToolList.xlsx","Ouvrir"))</f>
        <v/>
      </c>
      <c r="S45" s="22">
        <f>IF($A45="","",HYPERLINK("Z:\MUSTANG SERVICES\Affaires 2027\"&amp;$A45&amp;"\"&amp;$A45&amp;"_BL.xlsx","Ouvrir"))</f>
        <v/>
      </c>
      <c r="T45" s="22">
        <f>IF($A45="","",HYPERLINK("Z:\MUSTANG SERVICES\Affaires 2027\"&amp;$A45&amp;"\"&amp;$A45&amp;"_ServiceTicket.xlsx","Ouvrir"))</f>
        <v/>
      </c>
      <c r="U45" s="22">
        <f>IF($A45="","",HYPERLINK("Z:\MUSTANG SERVICES\Affaires 2027\"&amp;$A45&amp;"\","Dossier"))</f>
        <v/>
      </c>
    </row>
    <row r="46" ht="18" customHeight="1">
      <c r="A46" s="16" t="n"/>
      <c r="B46" s="17" t="n"/>
      <c r="C46" s="17" t="n"/>
      <c r="D46" s="18">
        <f>IF(AND(ISNUMBER($B46),ISNUMBER($C46)),$C46-$B46,"")</f>
        <v/>
      </c>
      <c r="E46" s="19" t="n"/>
      <c r="F46" s="20" t="n"/>
      <c r="G46" s="19" t="n"/>
      <c r="H46" s="20" t="n"/>
      <c r="I46" s="20" t="n"/>
      <c r="J46" s="19" t="n"/>
      <c r="K46" s="16" t="n"/>
      <c r="L46" s="20" t="n"/>
      <c r="M46" s="20" t="n"/>
      <c r="N46" s="17" t="n"/>
      <c r="O46" s="18">
        <f>IF(AND(OR($M46="Envoyé",$M46="En attente"),ISNUMBER($C46),NOT(ISNUMBER($N46))),IF(TODAY()-$C46&gt;=7,"⚠ relancer",""),"")</f>
        <v/>
      </c>
      <c r="P46" s="19" t="n"/>
      <c r="Q46" s="22">
        <f>IF($A46="","",HYPERLINK("Z:\MUSTANG SERVICES\Affaires 2027\"&amp;$A46&amp;"\"&amp;$A46&amp;"_Devis.xlsx","Ouvrir"))</f>
        <v/>
      </c>
      <c r="R46" s="22">
        <f>IF($A46="","",HYPERLINK("Z:\MUSTANG SERVICES\Affaires 2027\"&amp;$A46&amp;"\"&amp;$A46&amp;"_ToolList.xlsx","Ouvrir"))</f>
        <v/>
      </c>
      <c r="S46" s="22">
        <f>IF($A46="","",HYPERLINK("Z:\MUSTANG SERVICES\Affaires 2027\"&amp;$A46&amp;"\"&amp;$A46&amp;"_BL.xlsx","Ouvrir"))</f>
        <v/>
      </c>
      <c r="T46" s="22">
        <f>IF($A46="","",HYPERLINK("Z:\MUSTANG SERVICES\Affaires 2027\"&amp;$A46&amp;"\"&amp;$A46&amp;"_ServiceTicket.xlsx","Ouvrir"))</f>
        <v/>
      </c>
      <c r="U46" s="22">
        <f>IF($A46="","",HYPERLINK("Z:\MUSTANG SERVICES\Affaires 2027\"&amp;$A46&amp;"\","Dossier"))</f>
        <v/>
      </c>
    </row>
    <row r="47" ht="18" customHeight="1">
      <c r="A47" s="16" t="n"/>
      <c r="B47" s="17" t="n"/>
      <c r="C47" s="17" t="n"/>
      <c r="D47" s="18">
        <f>IF(AND(ISNUMBER($B47),ISNUMBER($C47)),$C47-$B47,"")</f>
        <v/>
      </c>
      <c r="E47" s="19" t="n"/>
      <c r="F47" s="20" t="n"/>
      <c r="G47" s="19" t="n"/>
      <c r="H47" s="20" t="n"/>
      <c r="I47" s="20" t="n"/>
      <c r="J47" s="19" t="n"/>
      <c r="K47" s="16" t="n"/>
      <c r="L47" s="20" t="n"/>
      <c r="M47" s="20" t="n"/>
      <c r="N47" s="17" t="n"/>
      <c r="O47" s="18">
        <f>IF(AND(OR($M47="Envoyé",$M47="En attente"),ISNUMBER($C47),NOT(ISNUMBER($N47))),IF(TODAY()-$C47&gt;=7,"⚠ relancer",""),"")</f>
        <v/>
      </c>
      <c r="P47" s="19" t="n"/>
      <c r="Q47" s="22">
        <f>IF($A47="","",HYPERLINK("Z:\MUSTANG SERVICES\Affaires 2027\"&amp;$A47&amp;"\"&amp;$A47&amp;"_Devis.xlsx","Ouvrir"))</f>
        <v/>
      </c>
      <c r="R47" s="22">
        <f>IF($A47="","",HYPERLINK("Z:\MUSTANG SERVICES\Affaires 2027\"&amp;$A47&amp;"\"&amp;$A47&amp;"_ToolList.xlsx","Ouvrir"))</f>
        <v/>
      </c>
      <c r="S47" s="22">
        <f>IF($A47="","",HYPERLINK("Z:\MUSTANG SERVICES\Affaires 2027\"&amp;$A47&amp;"\"&amp;$A47&amp;"_BL.xlsx","Ouvrir"))</f>
        <v/>
      </c>
      <c r="T47" s="22">
        <f>IF($A47="","",HYPERLINK("Z:\MUSTANG SERVICES\Affaires 2027\"&amp;$A47&amp;"\"&amp;$A47&amp;"_ServiceTicket.xlsx","Ouvrir"))</f>
        <v/>
      </c>
      <c r="U47" s="22">
        <f>IF($A47="","",HYPERLINK("Z:\MUSTANG SERVICES\Affaires 2027\"&amp;$A47&amp;"\","Dossier"))</f>
        <v/>
      </c>
    </row>
    <row r="48" ht="18" customHeight="1">
      <c r="A48" s="16" t="n"/>
      <c r="B48" s="17" t="n"/>
      <c r="C48" s="17" t="n"/>
      <c r="D48" s="18">
        <f>IF(AND(ISNUMBER($B48),ISNUMBER($C48)),$C48-$B48,"")</f>
        <v/>
      </c>
      <c r="E48" s="19" t="n"/>
      <c r="F48" s="20" t="n"/>
      <c r="G48" s="19" t="n"/>
      <c r="H48" s="20" t="n"/>
      <c r="I48" s="20" t="n"/>
      <c r="J48" s="19" t="n"/>
      <c r="K48" s="16" t="n"/>
      <c r="L48" s="20" t="n"/>
      <c r="M48" s="20" t="n"/>
      <c r="N48" s="17" t="n"/>
      <c r="O48" s="18">
        <f>IF(AND(OR($M48="Envoyé",$M48="En attente"),ISNUMBER($C48),NOT(ISNUMBER($N48))),IF(TODAY()-$C48&gt;=7,"⚠ relancer",""),"")</f>
        <v/>
      </c>
      <c r="P48" s="19" t="n"/>
      <c r="Q48" s="22">
        <f>IF($A48="","",HYPERLINK("Z:\MUSTANG SERVICES\Affaires 2027\"&amp;$A48&amp;"\"&amp;$A48&amp;"_Devis.xlsx","Ouvrir"))</f>
        <v/>
      </c>
      <c r="R48" s="22">
        <f>IF($A48="","",HYPERLINK("Z:\MUSTANG SERVICES\Affaires 2027\"&amp;$A48&amp;"\"&amp;$A48&amp;"_ToolList.xlsx","Ouvrir"))</f>
        <v/>
      </c>
      <c r="S48" s="22">
        <f>IF($A48="","",HYPERLINK("Z:\MUSTANG SERVICES\Affaires 2027\"&amp;$A48&amp;"\"&amp;$A48&amp;"_BL.xlsx","Ouvrir"))</f>
        <v/>
      </c>
      <c r="T48" s="22">
        <f>IF($A48="","",HYPERLINK("Z:\MUSTANG SERVICES\Affaires 2027\"&amp;$A48&amp;"\"&amp;$A48&amp;"_ServiceTicket.xlsx","Ouvrir"))</f>
        <v/>
      </c>
      <c r="U48" s="22">
        <f>IF($A48="","",HYPERLINK("Z:\MUSTANG SERVICES\Affaires 2027\"&amp;$A48&amp;"\","Dossier"))</f>
        <v/>
      </c>
    </row>
    <row r="49" ht="18" customHeight="1">
      <c r="A49" s="16" t="n"/>
      <c r="B49" s="17" t="n"/>
      <c r="C49" s="17" t="n"/>
      <c r="D49" s="18">
        <f>IF(AND(ISNUMBER($B49),ISNUMBER($C49)),$C49-$B49,"")</f>
        <v/>
      </c>
      <c r="E49" s="19" t="n"/>
      <c r="F49" s="20" t="n"/>
      <c r="G49" s="19" t="n"/>
      <c r="H49" s="20" t="n"/>
      <c r="I49" s="20" t="n"/>
      <c r="J49" s="19" t="n"/>
      <c r="K49" s="16" t="n"/>
      <c r="L49" s="20" t="n"/>
      <c r="M49" s="20" t="n"/>
      <c r="N49" s="17" t="n"/>
      <c r="O49" s="18">
        <f>IF(AND(OR($M49="Envoyé",$M49="En attente"),ISNUMBER($C49),NOT(ISNUMBER($N49))),IF(TODAY()-$C49&gt;=7,"⚠ relancer",""),"")</f>
        <v/>
      </c>
      <c r="P49" s="19" t="n"/>
      <c r="Q49" s="22">
        <f>IF($A49="","",HYPERLINK("Z:\MUSTANG SERVICES\Affaires 2027\"&amp;$A49&amp;"\"&amp;$A49&amp;"_Devis.xlsx","Ouvrir"))</f>
        <v/>
      </c>
      <c r="R49" s="22">
        <f>IF($A49="","",HYPERLINK("Z:\MUSTANG SERVICES\Affaires 2027\"&amp;$A49&amp;"\"&amp;$A49&amp;"_ToolList.xlsx","Ouvrir"))</f>
        <v/>
      </c>
      <c r="S49" s="22">
        <f>IF($A49="","",HYPERLINK("Z:\MUSTANG SERVICES\Affaires 2027\"&amp;$A49&amp;"\"&amp;$A49&amp;"_BL.xlsx","Ouvrir"))</f>
        <v/>
      </c>
      <c r="T49" s="22">
        <f>IF($A49="","",HYPERLINK("Z:\MUSTANG SERVICES\Affaires 2027\"&amp;$A49&amp;"\"&amp;$A49&amp;"_ServiceTicket.xlsx","Ouvrir"))</f>
        <v/>
      </c>
      <c r="U49" s="22">
        <f>IF($A49="","",HYPERLINK("Z:\MUSTANG SERVICES\Affaires 2027\"&amp;$A49&amp;"\","Dossier"))</f>
        <v/>
      </c>
    </row>
    <row r="50" ht="18" customHeight="1">
      <c r="A50" s="16" t="n"/>
      <c r="B50" s="17" t="n"/>
      <c r="C50" s="17" t="n"/>
      <c r="D50" s="18">
        <f>IF(AND(ISNUMBER($B50),ISNUMBER($C50)),$C50-$B50,"")</f>
        <v/>
      </c>
      <c r="E50" s="19" t="n"/>
      <c r="F50" s="20" t="n"/>
      <c r="G50" s="19" t="n"/>
      <c r="H50" s="20" t="n"/>
      <c r="I50" s="20" t="n"/>
      <c r="J50" s="19" t="n"/>
      <c r="K50" s="16" t="n"/>
      <c r="L50" s="20" t="n"/>
      <c r="M50" s="20" t="n"/>
      <c r="N50" s="17" t="n"/>
      <c r="O50" s="18">
        <f>IF(AND(OR($M50="Envoyé",$M50="En attente"),ISNUMBER($C50),NOT(ISNUMBER($N50))),IF(TODAY()-$C50&gt;=7,"⚠ relancer",""),"")</f>
        <v/>
      </c>
      <c r="P50" s="19" t="n"/>
      <c r="Q50" s="22">
        <f>IF($A50="","",HYPERLINK("Z:\MUSTANG SERVICES\Affaires 2027\"&amp;$A50&amp;"\"&amp;$A50&amp;"_Devis.xlsx","Ouvrir"))</f>
        <v/>
      </c>
      <c r="R50" s="22">
        <f>IF($A50="","",HYPERLINK("Z:\MUSTANG SERVICES\Affaires 2027\"&amp;$A50&amp;"\"&amp;$A50&amp;"_ToolList.xlsx","Ouvrir"))</f>
        <v/>
      </c>
      <c r="S50" s="22">
        <f>IF($A50="","",HYPERLINK("Z:\MUSTANG SERVICES\Affaires 2027\"&amp;$A50&amp;"\"&amp;$A50&amp;"_BL.xlsx","Ouvrir"))</f>
        <v/>
      </c>
      <c r="T50" s="22">
        <f>IF($A50="","",HYPERLINK("Z:\MUSTANG SERVICES\Affaires 2027\"&amp;$A50&amp;"\"&amp;$A50&amp;"_ServiceTicket.xlsx","Ouvrir"))</f>
        <v/>
      </c>
      <c r="U50" s="22">
        <f>IF($A50="","",HYPERLINK("Z:\MUSTANG SERVICES\Affaires 2027\"&amp;$A50&amp;"\","Dossier"))</f>
        <v/>
      </c>
    </row>
    <row r="51" ht="18" customHeight="1">
      <c r="A51" s="16" t="n"/>
      <c r="B51" s="17" t="n"/>
      <c r="C51" s="17" t="n"/>
      <c r="D51" s="18">
        <f>IF(AND(ISNUMBER($B51),ISNUMBER($C51)),$C51-$B51,"")</f>
        <v/>
      </c>
      <c r="E51" s="19" t="n"/>
      <c r="F51" s="20" t="n"/>
      <c r="G51" s="19" t="n"/>
      <c r="H51" s="20" t="n"/>
      <c r="I51" s="20" t="n"/>
      <c r="J51" s="19" t="n"/>
      <c r="K51" s="16" t="n"/>
      <c r="L51" s="20" t="n"/>
      <c r="M51" s="20" t="n"/>
      <c r="N51" s="17" t="n"/>
      <c r="O51" s="18">
        <f>IF(AND(OR($M51="Envoyé",$M51="En attente"),ISNUMBER($C51),NOT(ISNUMBER($N51))),IF(TODAY()-$C51&gt;=7,"⚠ relancer",""),"")</f>
        <v/>
      </c>
      <c r="P51" s="19" t="n"/>
      <c r="Q51" s="22">
        <f>IF($A51="","",HYPERLINK("Z:\MUSTANG SERVICES\Affaires 2027\"&amp;$A51&amp;"\"&amp;$A51&amp;"_Devis.xlsx","Ouvrir"))</f>
        <v/>
      </c>
      <c r="R51" s="22">
        <f>IF($A51="","",HYPERLINK("Z:\MUSTANG SERVICES\Affaires 2027\"&amp;$A51&amp;"\"&amp;$A51&amp;"_ToolList.xlsx","Ouvrir"))</f>
        <v/>
      </c>
      <c r="S51" s="22">
        <f>IF($A51="","",HYPERLINK("Z:\MUSTANG SERVICES\Affaires 2027\"&amp;$A51&amp;"\"&amp;$A51&amp;"_BL.xlsx","Ouvrir"))</f>
        <v/>
      </c>
      <c r="T51" s="22">
        <f>IF($A51="","",HYPERLINK("Z:\MUSTANG SERVICES\Affaires 2027\"&amp;$A51&amp;"\"&amp;$A51&amp;"_ServiceTicket.xlsx","Ouvrir"))</f>
        <v/>
      </c>
      <c r="U51" s="22">
        <f>IF($A51="","",HYPERLINK("Z:\MUSTANG SERVICES\Affaires 2027\"&amp;$A51&amp;"\","Dossier"))</f>
        <v/>
      </c>
    </row>
    <row r="52" ht="18" customHeight="1">
      <c r="A52" s="16" t="n"/>
      <c r="B52" s="17" t="n"/>
      <c r="C52" s="17" t="n"/>
      <c r="D52" s="18">
        <f>IF(AND(ISNUMBER($B52),ISNUMBER($C52)),$C52-$B52,"")</f>
        <v/>
      </c>
      <c r="E52" s="19" t="n"/>
      <c r="F52" s="20" t="n"/>
      <c r="G52" s="19" t="n"/>
      <c r="H52" s="20" t="n"/>
      <c r="I52" s="20" t="n"/>
      <c r="J52" s="19" t="n"/>
      <c r="K52" s="16" t="n"/>
      <c r="L52" s="20" t="n"/>
      <c r="M52" s="20" t="n"/>
      <c r="N52" s="17" t="n"/>
      <c r="O52" s="18">
        <f>IF(AND(OR($M52="Envoyé",$M52="En attente"),ISNUMBER($C52),NOT(ISNUMBER($N52))),IF(TODAY()-$C52&gt;=7,"⚠ relancer",""),"")</f>
        <v/>
      </c>
      <c r="P52" s="19" t="n"/>
      <c r="Q52" s="22">
        <f>IF($A52="","",HYPERLINK("Z:\MUSTANG SERVICES\Affaires 2027\"&amp;$A52&amp;"\"&amp;$A52&amp;"_Devis.xlsx","Ouvrir"))</f>
        <v/>
      </c>
      <c r="R52" s="22">
        <f>IF($A52="","",HYPERLINK("Z:\MUSTANG SERVICES\Affaires 2027\"&amp;$A52&amp;"\"&amp;$A52&amp;"_ToolList.xlsx","Ouvrir"))</f>
        <v/>
      </c>
      <c r="S52" s="22">
        <f>IF($A52="","",HYPERLINK("Z:\MUSTANG SERVICES\Affaires 2027\"&amp;$A52&amp;"\"&amp;$A52&amp;"_BL.xlsx","Ouvrir"))</f>
        <v/>
      </c>
      <c r="T52" s="22">
        <f>IF($A52="","",HYPERLINK("Z:\MUSTANG SERVICES\Affaires 2027\"&amp;$A52&amp;"\"&amp;$A52&amp;"_ServiceTicket.xlsx","Ouvrir"))</f>
        <v/>
      </c>
      <c r="U52" s="22">
        <f>IF($A52="","",HYPERLINK("Z:\MUSTANG SERVICES\Affaires 2027\"&amp;$A52&amp;"\","Dossier"))</f>
        <v/>
      </c>
    </row>
    <row r="53" ht="18" customHeight="1">
      <c r="A53" s="16" t="n"/>
      <c r="B53" s="17" t="n"/>
      <c r="C53" s="17" t="n"/>
      <c r="D53" s="18">
        <f>IF(AND(ISNUMBER($B53),ISNUMBER($C53)),$C53-$B53,"")</f>
        <v/>
      </c>
      <c r="E53" s="19" t="n"/>
      <c r="F53" s="20" t="n"/>
      <c r="G53" s="19" t="n"/>
      <c r="H53" s="20" t="n"/>
      <c r="I53" s="20" t="n"/>
      <c r="J53" s="19" t="n"/>
      <c r="K53" s="16" t="n"/>
      <c r="L53" s="20" t="n"/>
      <c r="M53" s="20" t="n"/>
      <c r="N53" s="17" t="n"/>
      <c r="O53" s="18">
        <f>IF(AND(OR($M53="Envoyé",$M53="En attente"),ISNUMBER($C53),NOT(ISNUMBER($N53))),IF(TODAY()-$C53&gt;=7,"⚠ relancer",""),"")</f>
        <v/>
      </c>
      <c r="P53" s="19" t="n"/>
      <c r="Q53" s="22">
        <f>IF($A53="","",HYPERLINK("Z:\MUSTANG SERVICES\Affaires 2027\"&amp;$A53&amp;"\"&amp;$A53&amp;"_Devis.xlsx","Ouvrir"))</f>
        <v/>
      </c>
      <c r="R53" s="22">
        <f>IF($A53="","",HYPERLINK("Z:\MUSTANG SERVICES\Affaires 2027\"&amp;$A53&amp;"\"&amp;$A53&amp;"_ToolList.xlsx","Ouvrir"))</f>
        <v/>
      </c>
      <c r="S53" s="22">
        <f>IF($A53="","",HYPERLINK("Z:\MUSTANG SERVICES\Affaires 2027\"&amp;$A53&amp;"\"&amp;$A53&amp;"_BL.xlsx","Ouvrir"))</f>
        <v/>
      </c>
      <c r="T53" s="22">
        <f>IF($A53="","",HYPERLINK("Z:\MUSTANG SERVICES\Affaires 2027\"&amp;$A53&amp;"\"&amp;$A53&amp;"_ServiceTicket.xlsx","Ouvrir"))</f>
        <v/>
      </c>
      <c r="U53" s="22">
        <f>IF($A53="","",HYPERLINK("Z:\MUSTANG SERVICES\Affaires 2027\"&amp;$A53&amp;"\","Dossier"))</f>
        <v/>
      </c>
    </row>
    <row r="54" ht="18" customHeight="1">
      <c r="A54" s="16" t="n"/>
      <c r="B54" s="17" t="n"/>
      <c r="C54" s="17" t="n"/>
      <c r="D54" s="18">
        <f>IF(AND(ISNUMBER($B54),ISNUMBER($C54)),$C54-$B54,"")</f>
        <v/>
      </c>
      <c r="E54" s="19" t="n"/>
      <c r="F54" s="20" t="n"/>
      <c r="G54" s="19" t="n"/>
      <c r="H54" s="20" t="n"/>
      <c r="I54" s="20" t="n"/>
      <c r="J54" s="19" t="n"/>
      <c r="K54" s="16" t="n"/>
      <c r="L54" s="20" t="n"/>
      <c r="M54" s="20" t="n"/>
      <c r="N54" s="17" t="n"/>
      <c r="O54" s="18">
        <f>IF(AND(OR($M54="Envoyé",$M54="En attente"),ISNUMBER($C54),NOT(ISNUMBER($N54))),IF(TODAY()-$C54&gt;=7,"⚠ relancer",""),"")</f>
        <v/>
      </c>
      <c r="P54" s="19" t="n"/>
      <c r="Q54" s="22">
        <f>IF($A54="","",HYPERLINK("Z:\MUSTANG SERVICES\Affaires 2027\"&amp;$A54&amp;"\"&amp;$A54&amp;"_Devis.xlsx","Ouvrir"))</f>
        <v/>
      </c>
      <c r="R54" s="22">
        <f>IF($A54="","",HYPERLINK("Z:\MUSTANG SERVICES\Affaires 2027\"&amp;$A54&amp;"\"&amp;$A54&amp;"_ToolList.xlsx","Ouvrir"))</f>
        <v/>
      </c>
      <c r="S54" s="22">
        <f>IF($A54="","",HYPERLINK("Z:\MUSTANG SERVICES\Affaires 2027\"&amp;$A54&amp;"\"&amp;$A54&amp;"_BL.xlsx","Ouvrir"))</f>
        <v/>
      </c>
      <c r="T54" s="22">
        <f>IF($A54="","",HYPERLINK("Z:\MUSTANG SERVICES\Affaires 2027\"&amp;$A54&amp;"\"&amp;$A54&amp;"_ServiceTicket.xlsx","Ouvrir"))</f>
        <v/>
      </c>
      <c r="U54" s="22">
        <f>IF($A54="","",HYPERLINK("Z:\MUSTANG SERVICES\Affaires 2027\"&amp;$A54&amp;"\","Dossier"))</f>
        <v/>
      </c>
    </row>
    <row r="55" ht="18" customHeight="1">
      <c r="A55" s="16" t="n"/>
      <c r="B55" s="17" t="n"/>
      <c r="C55" s="17" t="n"/>
      <c r="D55" s="18">
        <f>IF(AND(ISNUMBER($B55),ISNUMBER($C55)),$C55-$B55,"")</f>
        <v/>
      </c>
      <c r="E55" s="19" t="n"/>
      <c r="F55" s="20" t="n"/>
      <c r="G55" s="19" t="n"/>
      <c r="H55" s="20" t="n"/>
      <c r="I55" s="20" t="n"/>
      <c r="J55" s="19" t="n"/>
      <c r="K55" s="16" t="n"/>
      <c r="L55" s="20" t="n"/>
      <c r="M55" s="20" t="n"/>
      <c r="N55" s="17" t="n"/>
      <c r="O55" s="18">
        <f>IF(AND(OR($M55="Envoyé",$M55="En attente"),ISNUMBER($C55),NOT(ISNUMBER($N55))),IF(TODAY()-$C55&gt;=7,"⚠ relancer",""),"")</f>
        <v/>
      </c>
      <c r="P55" s="19" t="n"/>
      <c r="Q55" s="22">
        <f>IF($A55="","",HYPERLINK("Z:\MUSTANG SERVICES\Affaires 2027\"&amp;$A55&amp;"\"&amp;$A55&amp;"_Devis.xlsx","Ouvrir"))</f>
        <v/>
      </c>
      <c r="R55" s="22">
        <f>IF($A55="","",HYPERLINK("Z:\MUSTANG SERVICES\Affaires 2027\"&amp;$A55&amp;"\"&amp;$A55&amp;"_ToolList.xlsx","Ouvrir"))</f>
        <v/>
      </c>
      <c r="S55" s="22">
        <f>IF($A55="","",HYPERLINK("Z:\MUSTANG SERVICES\Affaires 2027\"&amp;$A55&amp;"\"&amp;$A55&amp;"_BL.xlsx","Ouvrir"))</f>
        <v/>
      </c>
      <c r="T55" s="22">
        <f>IF($A55="","",HYPERLINK("Z:\MUSTANG SERVICES\Affaires 2027\"&amp;$A55&amp;"\"&amp;$A55&amp;"_ServiceTicket.xlsx","Ouvrir"))</f>
        <v/>
      </c>
      <c r="U55" s="22">
        <f>IF($A55="","",HYPERLINK("Z:\MUSTANG SERVICES\Affaires 2027\"&amp;$A55&amp;"\","Dossier"))</f>
        <v/>
      </c>
    </row>
    <row r="56" ht="18" customHeight="1">
      <c r="A56" s="16" t="n"/>
      <c r="B56" s="17" t="n"/>
      <c r="C56" s="17" t="n"/>
      <c r="D56" s="18">
        <f>IF(AND(ISNUMBER($B56),ISNUMBER($C56)),$C56-$B56,"")</f>
        <v/>
      </c>
      <c r="E56" s="19" t="n"/>
      <c r="F56" s="20" t="n"/>
      <c r="G56" s="19" t="n"/>
      <c r="H56" s="20" t="n"/>
      <c r="I56" s="20" t="n"/>
      <c r="J56" s="19" t="n"/>
      <c r="K56" s="16" t="n"/>
      <c r="L56" s="20" t="n"/>
      <c r="M56" s="20" t="n"/>
      <c r="N56" s="17" t="n"/>
      <c r="O56" s="18">
        <f>IF(AND(OR($M56="Envoyé",$M56="En attente"),ISNUMBER($C56),NOT(ISNUMBER($N56))),IF(TODAY()-$C56&gt;=7,"⚠ relancer",""),"")</f>
        <v/>
      </c>
      <c r="P56" s="19" t="n"/>
      <c r="Q56" s="22">
        <f>IF($A56="","",HYPERLINK("Z:\MUSTANG SERVICES\Affaires 2027\"&amp;$A56&amp;"\"&amp;$A56&amp;"_Devis.xlsx","Ouvrir"))</f>
        <v/>
      </c>
      <c r="R56" s="22">
        <f>IF($A56="","",HYPERLINK("Z:\MUSTANG SERVICES\Affaires 2027\"&amp;$A56&amp;"\"&amp;$A56&amp;"_ToolList.xlsx","Ouvrir"))</f>
        <v/>
      </c>
      <c r="S56" s="22">
        <f>IF($A56="","",HYPERLINK("Z:\MUSTANG SERVICES\Affaires 2027\"&amp;$A56&amp;"\"&amp;$A56&amp;"_BL.xlsx","Ouvrir"))</f>
        <v/>
      </c>
      <c r="T56" s="22">
        <f>IF($A56="","",HYPERLINK("Z:\MUSTANG SERVICES\Affaires 2027\"&amp;$A56&amp;"\"&amp;$A56&amp;"_ServiceTicket.xlsx","Ouvrir"))</f>
        <v/>
      </c>
      <c r="U56" s="22">
        <f>IF($A56="","",HYPERLINK("Z:\MUSTANG SERVICES\Affaires 2027\"&amp;$A56&amp;"\","Dossier"))</f>
        <v/>
      </c>
    </row>
    <row r="57" ht="18" customHeight="1">
      <c r="A57" s="16" t="n"/>
      <c r="B57" s="17" t="n"/>
      <c r="C57" s="17" t="n"/>
      <c r="D57" s="18">
        <f>IF(AND(ISNUMBER($B57),ISNUMBER($C57)),$C57-$B57,"")</f>
        <v/>
      </c>
      <c r="E57" s="19" t="n"/>
      <c r="F57" s="20" t="n"/>
      <c r="G57" s="19" t="n"/>
      <c r="H57" s="20" t="n"/>
      <c r="I57" s="20" t="n"/>
      <c r="J57" s="19" t="n"/>
      <c r="K57" s="16" t="n"/>
      <c r="L57" s="20" t="n"/>
      <c r="M57" s="20" t="n"/>
      <c r="N57" s="17" t="n"/>
      <c r="O57" s="18">
        <f>IF(AND(OR($M57="Envoyé",$M57="En attente"),ISNUMBER($C57),NOT(ISNUMBER($N57))),IF(TODAY()-$C57&gt;=7,"⚠ relancer",""),"")</f>
        <v/>
      </c>
      <c r="P57" s="19" t="n"/>
      <c r="Q57" s="22">
        <f>IF($A57="","",HYPERLINK("Z:\MUSTANG SERVICES\Affaires 2027\"&amp;$A57&amp;"\"&amp;$A57&amp;"_Devis.xlsx","Ouvrir"))</f>
        <v/>
      </c>
      <c r="R57" s="22">
        <f>IF($A57="","",HYPERLINK("Z:\MUSTANG SERVICES\Affaires 2027\"&amp;$A57&amp;"\"&amp;$A57&amp;"_ToolList.xlsx","Ouvrir"))</f>
        <v/>
      </c>
      <c r="S57" s="22">
        <f>IF($A57="","",HYPERLINK("Z:\MUSTANG SERVICES\Affaires 2027\"&amp;$A57&amp;"\"&amp;$A57&amp;"_BL.xlsx","Ouvrir"))</f>
        <v/>
      </c>
      <c r="T57" s="22">
        <f>IF($A57="","",HYPERLINK("Z:\MUSTANG SERVICES\Affaires 2027\"&amp;$A57&amp;"\"&amp;$A57&amp;"_ServiceTicket.xlsx","Ouvrir"))</f>
        <v/>
      </c>
      <c r="U57" s="22">
        <f>IF($A57="","",HYPERLINK("Z:\MUSTANG SERVICES\Affaires 2027\"&amp;$A57&amp;"\","Dossier"))</f>
        <v/>
      </c>
    </row>
    <row r="58" ht="18" customHeight="1">
      <c r="A58" s="16" t="n"/>
      <c r="B58" s="17" t="n"/>
      <c r="C58" s="17" t="n"/>
      <c r="D58" s="18">
        <f>IF(AND(ISNUMBER($B58),ISNUMBER($C58)),$C58-$B58,"")</f>
        <v/>
      </c>
      <c r="E58" s="19" t="n"/>
      <c r="F58" s="20" t="n"/>
      <c r="G58" s="19" t="n"/>
      <c r="H58" s="20" t="n"/>
      <c r="I58" s="20" t="n"/>
      <c r="J58" s="19" t="n"/>
      <c r="K58" s="16" t="n"/>
      <c r="L58" s="20" t="n"/>
      <c r="M58" s="20" t="n"/>
      <c r="N58" s="17" t="n"/>
      <c r="O58" s="18">
        <f>IF(AND(OR($M58="Envoyé",$M58="En attente"),ISNUMBER($C58),NOT(ISNUMBER($N58))),IF(TODAY()-$C58&gt;=7,"⚠ relancer",""),"")</f>
        <v/>
      </c>
      <c r="P58" s="19" t="n"/>
      <c r="Q58" s="22">
        <f>IF($A58="","",HYPERLINK("Z:\MUSTANG SERVICES\Affaires 2027\"&amp;$A58&amp;"\"&amp;$A58&amp;"_Devis.xlsx","Ouvrir"))</f>
        <v/>
      </c>
      <c r="R58" s="22">
        <f>IF($A58="","",HYPERLINK("Z:\MUSTANG SERVICES\Affaires 2027\"&amp;$A58&amp;"\"&amp;$A58&amp;"_ToolList.xlsx","Ouvrir"))</f>
        <v/>
      </c>
      <c r="S58" s="22">
        <f>IF($A58="","",HYPERLINK("Z:\MUSTANG SERVICES\Affaires 2027\"&amp;$A58&amp;"\"&amp;$A58&amp;"_BL.xlsx","Ouvrir"))</f>
        <v/>
      </c>
      <c r="T58" s="22">
        <f>IF($A58="","",HYPERLINK("Z:\MUSTANG SERVICES\Affaires 2027\"&amp;$A58&amp;"\"&amp;$A58&amp;"_ServiceTicket.xlsx","Ouvrir"))</f>
        <v/>
      </c>
      <c r="U58" s="22">
        <f>IF($A58="","",HYPERLINK("Z:\MUSTANG SERVICES\Affaires 2027\"&amp;$A58&amp;"\","Dossier"))</f>
        <v/>
      </c>
    </row>
    <row r="59" ht="18" customHeight="1">
      <c r="A59" s="16" t="n"/>
      <c r="B59" s="17" t="n"/>
      <c r="C59" s="17" t="n"/>
      <c r="D59" s="18">
        <f>IF(AND(ISNUMBER($B59),ISNUMBER($C59)),$C59-$B59,"")</f>
        <v/>
      </c>
      <c r="E59" s="19" t="n"/>
      <c r="F59" s="20" t="n"/>
      <c r="G59" s="19" t="n"/>
      <c r="H59" s="20" t="n"/>
      <c r="I59" s="20" t="n"/>
      <c r="J59" s="19" t="n"/>
      <c r="K59" s="16" t="n"/>
      <c r="L59" s="20" t="n"/>
      <c r="M59" s="20" t="n"/>
      <c r="N59" s="17" t="n"/>
      <c r="O59" s="18">
        <f>IF(AND(OR($M59="Envoyé",$M59="En attente"),ISNUMBER($C59),NOT(ISNUMBER($N59))),IF(TODAY()-$C59&gt;=7,"⚠ relancer",""),"")</f>
        <v/>
      </c>
      <c r="P59" s="19" t="n"/>
      <c r="Q59" s="22">
        <f>IF($A59="","",HYPERLINK("Z:\MUSTANG SERVICES\Affaires 2027\"&amp;$A59&amp;"\"&amp;$A59&amp;"_Devis.xlsx","Ouvrir"))</f>
        <v/>
      </c>
      <c r="R59" s="22">
        <f>IF($A59="","",HYPERLINK("Z:\MUSTANG SERVICES\Affaires 2027\"&amp;$A59&amp;"\"&amp;$A59&amp;"_ToolList.xlsx","Ouvrir"))</f>
        <v/>
      </c>
      <c r="S59" s="22">
        <f>IF($A59="","",HYPERLINK("Z:\MUSTANG SERVICES\Affaires 2027\"&amp;$A59&amp;"\"&amp;$A59&amp;"_BL.xlsx","Ouvrir"))</f>
        <v/>
      </c>
      <c r="T59" s="22">
        <f>IF($A59="","",HYPERLINK("Z:\MUSTANG SERVICES\Affaires 2027\"&amp;$A59&amp;"\"&amp;$A59&amp;"_ServiceTicket.xlsx","Ouvrir"))</f>
        <v/>
      </c>
      <c r="U59" s="22">
        <f>IF($A59="","",HYPERLINK("Z:\MUSTANG SERVICES\Affaires 2027\"&amp;$A59&amp;"\","Dossier"))</f>
        <v/>
      </c>
    </row>
    <row r="60" ht="18" customHeight="1">
      <c r="A60" s="16" t="n"/>
      <c r="B60" s="17" t="n"/>
      <c r="C60" s="17" t="n"/>
      <c r="D60" s="18">
        <f>IF(AND(ISNUMBER($B60),ISNUMBER($C60)),$C60-$B60,"")</f>
        <v/>
      </c>
      <c r="E60" s="19" t="n"/>
      <c r="F60" s="20" t="n"/>
      <c r="G60" s="19" t="n"/>
      <c r="H60" s="20" t="n"/>
      <c r="I60" s="20" t="n"/>
      <c r="J60" s="19" t="n"/>
      <c r="K60" s="16" t="n"/>
      <c r="L60" s="20" t="n"/>
      <c r="M60" s="20" t="n"/>
      <c r="N60" s="17" t="n"/>
      <c r="O60" s="18">
        <f>IF(AND(OR($M60="Envoyé",$M60="En attente"),ISNUMBER($C60),NOT(ISNUMBER($N60))),IF(TODAY()-$C60&gt;=7,"⚠ relancer",""),"")</f>
        <v/>
      </c>
      <c r="P60" s="19" t="n"/>
      <c r="Q60" s="22">
        <f>IF($A60="","",HYPERLINK("Z:\MUSTANG SERVICES\Affaires 2027\"&amp;$A60&amp;"\"&amp;$A60&amp;"_Devis.xlsx","Ouvrir"))</f>
        <v/>
      </c>
      <c r="R60" s="22">
        <f>IF($A60="","",HYPERLINK("Z:\MUSTANG SERVICES\Affaires 2027\"&amp;$A60&amp;"\"&amp;$A60&amp;"_ToolList.xlsx","Ouvrir"))</f>
        <v/>
      </c>
      <c r="S60" s="22">
        <f>IF($A60="","",HYPERLINK("Z:\MUSTANG SERVICES\Affaires 2027\"&amp;$A60&amp;"\"&amp;$A60&amp;"_BL.xlsx","Ouvrir"))</f>
        <v/>
      </c>
      <c r="T60" s="22">
        <f>IF($A60="","",HYPERLINK("Z:\MUSTANG SERVICES\Affaires 2027\"&amp;$A60&amp;"\"&amp;$A60&amp;"_ServiceTicket.xlsx","Ouvrir"))</f>
        <v/>
      </c>
      <c r="U60" s="22">
        <f>IF($A60="","",HYPERLINK("Z:\MUSTANG SERVICES\Affaires 2027\"&amp;$A60&amp;"\","Dossier"))</f>
        <v/>
      </c>
    </row>
    <row r="61" ht="18" customHeight="1">
      <c r="A61" s="16" t="n"/>
      <c r="B61" s="17" t="n"/>
      <c r="C61" s="17" t="n"/>
      <c r="D61" s="18">
        <f>IF(AND(ISNUMBER($B61),ISNUMBER($C61)),$C61-$B61,"")</f>
        <v/>
      </c>
      <c r="E61" s="19" t="n"/>
      <c r="F61" s="20" t="n"/>
      <c r="G61" s="19" t="n"/>
      <c r="H61" s="20" t="n"/>
      <c r="I61" s="20" t="n"/>
      <c r="J61" s="19" t="n"/>
      <c r="K61" s="16" t="n"/>
      <c r="L61" s="20" t="n"/>
      <c r="M61" s="20" t="n"/>
      <c r="N61" s="17" t="n"/>
      <c r="O61" s="18">
        <f>IF(AND(OR($M61="Envoyé",$M61="En attente"),ISNUMBER($C61),NOT(ISNUMBER($N61))),IF(TODAY()-$C61&gt;=7,"⚠ relancer",""),"")</f>
        <v/>
      </c>
      <c r="P61" s="19" t="n"/>
      <c r="Q61" s="22">
        <f>IF($A61="","",HYPERLINK("Z:\MUSTANG SERVICES\Affaires 2027\"&amp;$A61&amp;"\"&amp;$A61&amp;"_Devis.xlsx","Ouvrir"))</f>
        <v/>
      </c>
      <c r="R61" s="22">
        <f>IF($A61="","",HYPERLINK("Z:\MUSTANG SERVICES\Affaires 2027\"&amp;$A61&amp;"\"&amp;$A61&amp;"_ToolList.xlsx","Ouvrir"))</f>
        <v/>
      </c>
      <c r="S61" s="22">
        <f>IF($A61="","",HYPERLINK("Z:\MUSTANG SERVICES\Affaires 2027\"&amp;$A61&amp;"\"&amp;$A61&amp;"_BL.xlsx","Ouvrir"))</f>
        <v/>
      </c>
      <c r="T61" s="22">
        <f>IF($A61="","",HYPERLINK("Z:\MUSTANG SERVICES\Affaires 2027\"&amp;$A61&amp;"\"&amp;$A61&amp;"_ServiceTicket.xlsx","Ouvrir"))</f>
        <v/>
      </c>
      <c r="U61" s="22">
        <f>IF($A61="","",HYPERLINK("Z:\MUSTANG SERVICES\Affaires 2027\"&amp;$A61&amp;"\","Dossier"))</f>
        <v/>
      </c>
    </row>
    <row r="62" ht="18" customHeight="1">
      <c r="A62" s="16" t="n"/>
      <c r="B62" s="17" t="n"/>
      <c r="C62" s="17" t="n"/>
      <c r="D62" s="18">
        <f>IF(AND(ISNUMBER($B62),ISNUMBER($C62)),$C62-$B62,"")</f>
        <v/>
      </c>
      <c r="E62" s="19" t="n"/>
      <c r="F62" s="20" t="n"/>
      <c r="G62" s="19" t="n"/>
      <c r="H62" s="20" t="n"/>
      <c r="I62" s="20" t="n"/>
      <c r="J62" s="19" t="n"/>
      <c r="K62" s="16" t="n"/>
      <c r="L62" s="20" t="n"/>
      <c r="M62" s="20" t="n"/>
      <c r="N62" s="17" t="n"/>
      <c r="O62" s="18">
        <f>IF(AND(OR($M62="Envoyé",$M62="En attente"),ISNUMBER($C62),NOT(ISNUMBER($N62))),IF(TODAY()-$C62&gt;=7,"⚠ relancer",""),"")</f>
        <v/>
      </c>
      <c r="P62" s="19" t="n"/>
      <c r="Q62" s="22">
        <f>IF($A62="","",HYPERLINK("Z:\MUSTANG SERVICES\Affaires 2027\"&amp;$A62&amp;"\"&amp;$A62&amp;"_Devis.xlsx","Ouvrir"))</f>
        <v/>
      </c>
      <c r="R62" s="22">
        <f>IF($A62="","",HYPERLINK("Z:\MUSTANG SERVICES\Affaires 2027\"&amp;$A62&amp;"\"&amp;$A62&amp;"_ToolList.xlsx","Ouvrir"))</f>
        <v/>
      </c>
      <c r="S62" s="22">
        <f>IF($A62="","",HYPERLINK("Z:\MUSTANG SERVICES\Affaires 2027\"&amp;$A62&amp;"\"&amp;$A62&amp;"_BL.xlsx","Ouvrir"))</f>
        <v/>
      </c>
      <c r="T62" s="22">
        <f>IF($A62="","",HYPERLINK("Z:\MUSTANG SERVICES\Affaires 2027\"&amp;$A62&amp;"\"&amp;$A62&amp;"_ServiceTicket.xlsx","Ouvrir"))</f>
        <v/>
      </c>
      <c r="U62" s="22">
        <f>IF($A62="","",HYPERLINK("Z:\MUSTANG SERVICES\Affaires 2027\"&amp;$A62&amp;"\","Dossier"))</f>
        <v/>
      </c>
    </row>
    <row r="63" ht="18" customHeight="1">
      <c r="A63" s="16" t="n"/>
      <c r="B63" s="17" t="n"/>
      <c r="C63" s="17" t="n"/>
      <c r="D63" s="18">
        <f>IF(AND(ISNUMBER($B63),ISNUMBER($C63)),$C63-$B63,"")</f>
        <v/>
      </c>
      <c r="E63" s="19" t="n"/>
      <c r="F63" s="20" t="n"/>
      <c r="G63" s="19" t="n"/>
      <c r="H63" s="20" t="n"/>
      <c r="I63" s="20" t="n"/>
      <c r="J63" s="19" t="n"/>
      <c r="K63" s="16" t="n"/>
      <c r="L63" s="20" t="n"/>
      <c r="M63" s="20" t="n"/>
      <c r="N63" s="17" t="n"/>
      <c r="O63" s="18">
        <f>IF(AND(OR($M63="Envoyé",$M63="En attente"),ISNUMBER($C63),NOT(ISNUMBER($N63))),IF(TODAY()-$C63&gt;=7,"⚠ relancer",""),"")</f>
        <v/>
      </c>
      <c r="P63" s="19" t="n"/>
      <c r="Q63" s="22">
        <f>IF($A63="","",HYPERLINK("Z:\MUSTANG SERVICES\Affaires 2027\"&amp;$A63&amp;"\"&amp;$A63&amp;"_Devis.xlsx","Ouvrir"))</f>
        <v/>
      </c>
      <c r="R63" s="22">
        <f>IF($A63="","",HYPERLINK("Z:\MUSTANG SERVICES\Affaires 2027\"&amp;$A63&amp;"\"&amp;$A63&amp;"_ToolList.xlsx","Ouvrir"))</f>
        <v/>
      </c>
      <c r="S63" s="22">
        <f>IF($A63="","",HYPERLINK("Z:\MUSTANG SERVICES\Affaires 2027\"&amp;$A63&amp;"\"&amp;$A63&amp;"_BL.xlsx","Ouvrir"))</f>
        <v/>
      </c>
      <c r="T63" s="22">
        <f>IF($A63="","",HYPERLINK("Z:\MUSTANG SERVICES\Affaires 2027\"&amp;$A63&amp;"\"&amp;$A63&amp;"_ServiceTicket.xlsx","Ouvrir"))</f>
        <v/>
      </c>
      <c r="U63" s="22">
        <f>IF($A63="","",HYPERLINK("Z:\MUSTANG SERVICES\Affaires 2027\"&amp;$A63&amp;"\","Dossier"))</f>
        <v/>
      </c>
    </row>
    <row r="64" ht="18" customHeight="1">
      <c r="A64" s="16" t="n"/>
      <c r="B64" s="17" t="n"/>
      <c r="C64" s="17" t="n"/>
      <c r="D64" s="18">
        <f>IF(AND(ISNUMBER($B64),ISNUMBER($C64)),$C64-$B64,"")</f>
        <v/>
      </c>
      <c r="E64" s="19" t="n"/>
      <c r="F64" s="20" t="n"/>
      <c r="G64" s="19" t="n"/>
      <c r="H64" s="20" t="n"/>
      <c r="I64" s="20" t="n"/>
      <c r="J64" s="19" t="n"/>
      <c r="K64" s="16" t="n"/>
      <c r="L64" s="20" t="n"/>
      <c r="M64" s="20" t="n"/>
      <c r="N64" s="17" t="n"/>
      <c r="O64" s="18">
        <f>IF(AND(OR($M64="Envoyé",$M64="En attente"),ISNUMBER($C64),NOT(ISNUMBER($N64))),IF(TODAY()-$C64&gt;=7,"⚠ relancer",""),"")</f>
        <v/>
      </c>
      <c r="P64" s="19" t="n"/>
      <c r="Q64" s="22">
        <f>IF($A64="","",HYPERLINK("Z:\MUSTANG SERVICES\Affaires 2027\"&amp;$A64&amp;"\"&amp;$A64&amp;"_Devis.xlsx","Ouvrir"))</f>
        <v/>
      </c>
      <c r="R64" s="22">
        <f>IF($A64="","",HYPERLINK("Z:\MUSTANG SERVICES\Affaires 2027\"&amp;$A64&amp;"\"&amp;$A64&amp;"_ToolList.xlsx","Ouvrir"))</f>
        <v/>
      </c>
      <c r="S64" s="22">
        <f>IF($A64="","",HYPERLINK("Z:\MUSTANG SERVICES\Affaires 2027\"&amp;$A64&amp;"\"&amp;$A64&amp;"_BL.xlsx","Ouvrir"))</f>
        <v/>
      </c>
      <c r="T64" s="22">
        <f>IF($A64="","",HYPERLINK("Z:\MUSTANG SERVICES\Affaires 2027\"&amp;$A64&amp;"\"&amp;$A64&amp;"_ServiceTicket.xlsx","Ouvrir"))</f>
        <v/>
      </c>
      <c r="U64" s="22">
        <f>IF($A64="","",HYPERLINK("Z:\MUSTANG SERVICES\Affaires 2027\"&amp;$A64&amp;"\","Dossier"))</f>
        <v/>
      </c>
    </row>
    <row r="65" ht="18" customHeight="1">
      <c r="A65" s="16" t="n"/>
      <c r="B65" s="17" t="n"/>
      <c r="C65" s="17" t="n"/>
      <c r="D65" s="18">
        <f>IF(AND(ISNUMBER($B65),ISNUMBER($C65)),$C65-$B65,"")</f>
        <v/>
      </c>
      <c r="E65" s="19" t="n"/>
      <c r="F65" s="20" t="n"/>
      <c r="G65" s="19" t="n"/>
      <c r="H65" s="20" t="n"/>
      <c r="I65" s="20" t="n"/>
      <c r="J65" s="19" t="n"/>
      <c r="K65" s="16" t="n"/>
      <c r="L65" s="20" t="n"/>
      <c r="M65" s="20" t="n"/>
      <c r="N65" s="17" t="n"/>
      <c r="O65" s="18">
        <f>IF(AND(OR($M65="Envoyé",$M65="En attente"),ISNUMBER($C65),NOT(ISNUMBER($N65))),IF(TODAY()-$C65&gt;=7,"⚠ relancer",""),"")</f>
        <v/>
      </c>
      <c r="P65" s="19" t="n"/>
      <c r="Q65" s="22">
        <f>IF($A65="","",HYPERLINK("Z:\MUSTANG SERVICES\Affaires 2027\"&amp;$A65&amp;"\"&amp;$A65&amp;"_Devis.xlsx","Ouvrir"))</f>
        <v/>
      </c>
      <c r="R65" s="22">
        <f>IF($A65="","",HYPERLINK("Z:\MUSTANG SERVICES\Affaires 2027\"&amp;$A65&amp;"\"&amp;$A65&amp;"_ToolList.xlsx","Ouvrir"))</f>
        <v/>
      </c>
      <c r="S65" s="22">
        <f>IF($A65="","",HYPERLINK("Z:\MUSTANG SERVICES\Affaires 2027\"&amp;$A65&amp;"\"&amp;$A65&amp;"_BL.xlsx","Ouvrir"))</f>
        <v/>
      </c>
      <c r="T65" s="22">
        <f>IF($A65="","",HYPERLINK("Z:\MUSTANG SERVICES\Affaires 2027\"&amp;$A65&amp;"\"&amp;$A65&amp;"_ServiceTicket.xlsx","Ouvrir"))</f>
        <v/>
      </c>
      <c r="U65" s="22">
        <f>IF($A65="","",HYPERLINK("Z:\MUSTANG SERVICES\Affaires 2027\"&amp;$A65&amp;"\","Dossier"))</f>
        <v/>
      </c>
    </row>
    <row r="66" ht="18" customHeight="1">
      <c r="A66" s="16" t="n"/>
      <c r="B66" s="17" t="n"/>
      <c r="C66" s="17" t="n"/>
      <c r="D66" s="18">
        <f>IF(AND(ISNUMBER($B66),ISNUMBER($C66)),$C66-$B66,"")</f>
        <v/>
      </c>
      <c r="E66" s="19" t="n"/>
      <c r="F66" s="20" t="n"/>
      <c r="G66" s="19" t="n"/>
      <c r="H66" s="20" t="n"/>
      <c r="I66" s="20" t="n"/>
      <c r="J66" s="19" t="n"/>
      <c r="K66" s="16" t="n"/>
      <c r="L66" s="20" t="n"/>
      <c r="M66" s="20" t="n"/>
      <c r="N66" s="17" t="n"/>
      <c r="O66" s="18">
        <f>IF(AND(OR($M66="Envoyé",$M66="En attente"),ISNUMBER($C66),NOT(ISNUMBER($N66))),IF(TODAY()-$C66&gt;=7,"⚠ relancer",""),"")</f>
        <v/>
      </c>
      <c r="P66" s="19" t="n"/>
      <c r="Q66" s="22">
        <f>IF($A66="","",HYPERLINK("Z:\MUSTANG SERVICES\Affaires 2027\"&amp;$A66&amp;"\"&amp;$A66&amp;"_Devis.xlsx","Ouvrir"))</f>
        <v/>
      </c>
      <c r="R66" s="22">
        <f>IF($A66="","",HYPERLINK("Z:\MUSTANG SERVICES\Affaires 2027\"&amp;$A66&amp;"\"&amp;$A66&amp;"_ToolList.xlsx","Ouvrir"))</f>
        <v/>
      </c>
      <c r="S66" s="22">
        <f>IF($A66="","",HYPERLINK("Z:\MUSTANG SERVICES\Affaires 2027\"&amp;$A66&amp;"\"&amp;$A66&amp;"_BL.xlsx","Ouvrir"))</f>
        <v/>
      </c>
      <c r="T66" s="22">
        <f>IF($A66="","",HYPERLINK("Z:\MUSTANG SERVICES\Affaires 2027\"&amp;$A66&amp;"\"&amp;$A66&amp;"_ServiceTicket.xlsx","Ouvrir"))</f>
        <v/>
      </c>
      <c r="U66" s="22">
        <f>IF($A66="","",HYPERLINK("Z:\MUSTANG SERVICES\Affaires 2027\"&amp;$A66&amp;"\","Dossier"))</f>
        <v/>
      </c>
    </row>
    <row r="67" ht="18" customHeight="1">
      <c r="A67" s="16" t="n"/>
      <c r="B67" s="17" t="n"/>
      <c r="C67" s="17" t="n"/>
      <c r="D67" s="18">
        <f>IF(AND(ISNUMBER($B67),ISNUMBER($C67)),$C67-$B67,"")</f>
        <v/>
      </c>
      <c r="E67" s="19" t="n"/>
      <c r="F67" s="20" t="n"/>
      <c r="G67" s="19" t="n"/>
      <c r="H67" s="20" t="n"/>
      <c r="I67" s="20" t="n"/>
      <c r="J67" s="19" t="n"/>
      <c r="K67" s="16" t="n"/>
      <c r="L67" s="20" t="n"/>
      <c r="M67" s="20" t="n"/>
      <c r="N67" s="17" t="n"/>
      <c r="O67" s="18">
        <f>IF(AND(OR($M67="Envoyé",$M67="En attente"),ISNUMBER($C67),NOT(ISNUMBER($N67))),IF(TODAY()-$C67&gt;=7,"⚠ relancer",""),"")</f>
        <v/>
      </c>
      <c r="P67" s="19" t="n"/>
      <c r="Q67" s="22">
        <f>IF($A67="","",HYPERLINK("Z:\MUSTANG SERVICES\Affaires 2027\"&amp;$A67&amp;"\"&amp;$A67&amp;"_Devis.xlsx","Ouvrir"))</f>
        <v/>
      </c>
      <c r="R67" s="22">
        <f>IF($A67="","",HYPERLINK("Z:\MUSTANG SERVICES\Affaires 2027\"&amp;$A67&amp;"\"&amp;$A67&amp;"_ToolList.xlsx","Ouvrir"))</f>
        <v/>
      </c>
      <c r="S67" s="22">
        <f>IF($A67="","",HYPERLINK("Z:\MUSTANG SERVICES\Affaires 2027\"&amp;$A67&amp;"\"&amp;$A67&amp;"_BL.xlsx","Ouvrir"))</f>
        <v/>
      </c>
      <c r="T67" s="22">
        <f>IF($A67="","",HYPERLINK("Z:\MUSTANG SERVICES\Affaires 2027\"&amp;$A67&amp;"\"&amp;$A67&amp;"_ServiceTicket.xlsx","Ouvrir"))</f>
        <v/>
      </c>
      <c r="U67" s="22">
        <f>IF($A67="","",HYPERLINK("Z:\MUSTANG SERVICES\Affaires 2027\"&amp;$A67&amp;"\","Dossier"))</f>
        <v/>
      </c>
    </row>
    <row r="68" ht="18" customHeight="1">
      <c r="A68" s="16" t="n"/>
      <c r="B68" s="17" t="n"/>
      <c r="C68" s="17" t="n"/>
      <c r="D68" s="18">
        <f>IF(AND(ISNUMBER($B68),ISNUMBER($C68)),$C68-$B68,"")</f>
        <v/>
      </c>
      <c r="E68" s="19" t="n"/>
      <c r="F68" s="20" t="n"/>
      <c r="G68" s="19" t="n"/>
      <c r="H68" s="20" t="n"/>
      <c r="I68" s="20" t="n"/>
      <c r="J68" s="19" t="n"/>
      <c r="K68" s="16" t="n"/>
      <c r="L68" s="20" t="n"/>
      <c r="M68" s="20" t="n"/>
      <c r="N68" s="17" t="n"/>
      <c r="O68" s="18">
        <f>IF(AND(OR($M68="Envoyé",$M68="En attente"),ISNUMBER($C68),NOT(ISNUMBER($N68))),IF(TODAY()-$C68&gt;=7,"⚠ relancer",""),"")</f>
        <v/>
      </c>
      <c r="P68" s="19" t="n"/>
      <c r="Q68" s="22">
        <f>IF($A68="","",HYPERLINK("Z:\MUSTANG SERVICES\Affaires 2027\"&amp;$A68&amp;"\"&amp;$A68&amp;"_Devis.xlsx","Ouvrir"))</f>
        <v/>
      </c>
      <c r="R68" s="22">
        <f>IF($A68="","",HYPERLINK("Z:\MUSTANG SERVICES\Affaires 2027\"&amp;$A68&amp;"\"&amp;$A68&amp;"_ToolList.xlsx","Ouvrir"))</f>
        <v/>
      </c>
      <c r="S68" s="22">
        <f>IF($A68="","",HYPERLINK("Z:\MUSTANG SERVICES\Affaires 2027\"&amp;$A68&amp;"\"&amp;$A68&amp;"_BL.xlsx","Ouvrir"))</f>
        <v/>
      </c>
      <c r="T68" s="22">
        <f>IF($A68="","",HYPERLINK("Z:\MUSTANG SERVICES\Affaires 2027\"&amp;$A68&amp;"\"&amp;$A68&amp;"_ServiceTicket.xlsx","Ouvrir"))</f>
        <v/>
      </c>
      <c r="U68" s="22">
        <f>IF($A68="","",HYPERLINK("Z:\MUSTANG SERVICES\Affaires 2027\"&amp;$A68&amp;"\","Dossier"))</f>
        <v/>
      </c>
    </row>
    <row r="69" ht="18" customHeight="1">
      <c r="A69" s="16" t="n"/>
      <c r="B69" s="17" t="n"/>
      <c r="C69" s="17" t="n"/>
      <c r="D69" s="18">
        <f>IF(AND(ISNUMBER($B69),ISNUMBER($C69)),$C69-$B69,"")</f>
        <v/>
      </c>
      <c r="E69" s="19" t="n"/>
      <c r="F69" s="20" t="n"/>
      <c r="G69" s="19" t="n"/>
      <c r="H69" s="20" t="n"/>
      <c r="I69" s="20" t="n"/>
      <c r="J69" s="19" t="n"/>
      <c r="K69" s="16" t="n"/>
      <c r="L69" s="20" t="n"/>
      <c r="M69" s="20" t="n"/>
      <c r="N69" s="17" t="n"/>
      <c r="O69" s="18">
        <f>IF(AND(OR($M69="Envoyé",$M69="En attente"),ISNUMBER($C69),NOT(ISNUMBER($N69))),IF(TODAY()-$C69&gt;=7,"⚠ relancer",""),"")</f>
        <v/>
      </c>
      <c r="P69" s="19" t="n"/>
      <c r="Q69" s="22">
        <f>IF($A69="","",HYPERLINK("Z:\MUSTANG SERVICES\Affaires 2027\"&amp;$A69&amp;"\"&amp;$A69&amp;"_Devis.xlsx","Ouvrir"))</f>
        <v/>
      </c>
      <c r="R69" s="22">
        <f>IF($A69="","",HYPERLINK("Z:\MUSTANG SERVICES\Affaires 2027\"&amp;$A69&amp;"\"&amp;$A69&amp;"_ToolList.xlsx","Ouvrir"))</f>
        <v/>
      </c>
      <c r="S69" s="22">
        <f>IF($A69="","",HYPERLINK("Z:\MUSTANG SERVICES\Affaires 2027\"&amp;$A69&amp;"\"&amp;$A69&amp;"_BL.xlsx","Ouvrir"))</f>
        <v/>
      </c>
      <c r="T69" s="22">
        <f>IF($A69="","",HYPERLINK("Z:\MUSTANG SERVICES\Affaires 2027\"&amp;$A69&amp;"\"&amp;$A69&amp;"_ServiceTicket.xlsx","Ouvrir"))</f>
        <v/>
      </c>
      <c r="U69" s="22">
        <f>IF($A69="","",HYPERLINK("Z:\MUSTANG SERVICES\Affaires 2027\"&amp;$A69&amp;"\","Dossier"))</f>
        <v/>
      </c>
    </row>
    <row r="70" ht="18" customHeight="1">
      <c r="A70" s="16" t="n"/>
      <c r="B70" s="17" t="n"/>
      <c r="C70" s="17" t="n"/>
      <c r="D70" s="18">
        <f>IF(AND(ISNUMBER($B70),ISNUMBER($C70)),$C70-$B70,"")</f>
        <v/>
      </c>
      <c r="E70" s="19" t="n"/>
      <c r="F70" s="20" t="n"/>
      <c r="G70" s="19" t="n"/>
      <c r="H70" s="20" t="n"/>
      <c r="I70" s="20" t="n"/>
      <c r="J70" s="19" t="n"/>
      <c r="K70" s="16" t="n"/>
      <c r="L70" s="20" t="n"/>
      <c r="M70" s="20" t="n"/>
      <c r="N70" s="17" t="n"/>
      <c r="O70" s="18">
        <f>IF(AND(OR($M70="Envoyé",$M70="En attente"),ISNUMBER($C70),NOT(ISNUMBER($N70))),IF(TODAY()-$C70&gt;=7,"⚠ relancer",""),"")</f>
        <v/>
      </c>
      <c r="P70" s="19" t="n"/>
      <c r="Q70" s="22">
        <f>IF($A70="","",HYPERLINK("Z:\MUSTANG SERVICES\Affaires 2027\"&amp;$A70&amp;"\"&amp;$A70&amp;"_Devis.xlsx","Ouvrir"))</f>
        <v/>
      </c>
      <c r="R70" s="22">
        <f>IF($A70="","",HYPERLINK("Z:\MUSTANG SERVICES\Affaires 2027\"&amp;$A70&amp;"\"&amp;$A70&amp;"_ToolList.xlsx","Ouvrir"))</f>
        <v/>
      </c>
      <c r="S70" s="22">
        <f>IF($A70="","",HYPERLINK("Z:\MUSTANG SERVICES\Affaires 2027\"&amp;$A70&amp;"\"&amp;$A70&amp;"_BL.xlsx","Ouvrir"))</f>
        <v/>
      </c>
      <c r="T70" s="22">
        <f>IF($A70="","",HYPERLINK("Z:\MUSTANG SERVICES\Affaires 2027\"&amp;$A70&amp;"\"&amp;$A70&amp;"_ServiceTicket.xlsx","Ouvrir"))</f>
        <v/>
      </c>
      <c r="U70" s="22">
        <f>IF($A70="","",HYPERLINK("Z:\MUSTANG SERVICES\Affaires 2027\"&amp;$A70&amp;"\","Dossier"))</f>
        <v/>
      </c>
    </row>
    <row r="71" ht="18" customHeight="1">
      <c r="A71" s="16" t="n"/>
      <c r="B71" s="17" t="n"/>
      <c r="C71" s="17" t="n"/>
      <c r="D71" s="18">
        <f>IF(AND(ISNUMBER($B71),ISNUMBER($C71)),$C71-$B71,"")</f>
        <v/>
      </c>
      <c r="E71" s="19" t="n"/>
      <c r="F71" s="20" t="n"/>
      <c r="G71" s="19" t="n"/>
      <c r="H71" s="20" t="n"/>
      <c r="I71" s="20" t="n"/>
      <c r="J71" s="19" t="n"/>
      <c r="K71" s="16" t="n"/>
      <c r="L71" s="20" t="n"/>
      <c r="M71" s="20" t="n"/>
      <c r="N71" s="17" t="n"/>
      <c r="O71" s="18">
        <f>IF(AND(OR($M71="Envoyé",$M71="En attente"),ISNUMBER($C71),NOT(ISNUMBER($N71))),IF(TODAY()-$C71&gt;=7,"⚠ relancer",""),"")</f>
        <v/>
      </c>
      <c r="P71" s="19" t="n"/>
      <c r="Q71" s="22">
        <f>IF($A71="","",HYPERLINK("Z:\MUSTANG SERVICES\Affaires 2027\"&amp;$A71&amp;"\"&amp;$A71&amp;"_Devis.xlsx","Ouvrir"))</f>
        <v/>
      </c>
      <c r="R71" s="22">
        <f>IF($A71="","",HYPERLINK("Z:\MUSTANG SERVICES\Affaires 2027\"&amp;$A71&amp;"\"&amp;$A71&amp;"_ToolList.xlsx","Ouvrir"))</f>
        <v/>
      </c>
      <c r="S71" s="22">
        <f>IF($A71="","",HYPERLINK("Z:\MUSTANG SERVICES\Affaires 2027\"&amp;$A71&amp;"\"&amp;$A71&amp;"_BL.xlsx","Ouvrir"))</f>
        <v/>
      </c>
      <c r="T71" s="22">
        <f>IF($A71="","",HYPERLINK("Z:\MUSTANG SERVICES\Affaires 2027\"&amp;$A71&amp;"\"&amp;$A71&amp;"_ServiceTicket.xlsx","Ouvrir"))</f>
        <v/>
      </c>
      <c r="U71" s="22">
        <f>IF($A71="","",HYPERLINK("Z:\MUSTANG SERVICES\Affaires 2027\"&amp;$A71&amp;"\","Dossier"))</f>
        <v/>
      </c>
    </row>
    <row r="72" ht="18" customHeight="1">
      <c r="A72" s="16" t="n"/>
      <c r="B72" s="17" t="n"/>
      <c r="C72" s="17" t="n"/>
      <c r="D72" s="18">
        <f>IF(AND(ISNUMBER($B72),ISNUMBER($C72)),$C72-$B72,"")</f>
        <v/>
      </c>
      <c r="E72" s="19" t="n"/>
      <c r="F72" s="20" t="n"/>
      <c r="G72" s="19" t="n"/>
      <c r="H72" s="20" t="n"/>
      <c r="I72" s="20" t="n"/>
      <c r="J72" s="19" t="n"/>
      <c r="K72" s="16" t="n"/>
      <c r="L72" s="20" t="n"/>
      <c r="M72" s="20" t="n"/>
      <c r="N72" s="17" t="n"/>
      <c r="O72" s="18">
        <f>IF(AND(OR($M72="Envoyé",$M72="En attente"),ISNUMBER($C72),NOT(ISNUMBER($N72))),IF(TODAY()-$C72&gt;=7,"⚠ relancer",""),"")</f>
        <v/>
      </c>
      <c r="P72" s="19" t="n"/>
      <c r="Q72" s="22">
        <f>IF($A72="","",HYPERLINK("Z:\MUSTANG SERVICES\Affaires 2027\"&amp;$A72&amp;"\"&amp;$A72&amp;"_Devis.xlsx","Ouvrir"))</f>
        <v/>
      </c>
      <c r="R72" s="22">
        <f>IF($A72="","",HYPERLINK("Z:\MUSTANG SERVICES\Affaires 2027\"&amp;$A72&amp;"\"&amp;$A72&amp;"_ToolList.xlsx","Ouvrir"))</f>
        <v/>
      </c>
      <c r="S72" s="22">
        <f>IF($A72="","",HYPERLINK("Z:\MUSTANG SERVICES\Affaires 2027\"&amp;$A72&amp;"\"&amp;$A72&amp;"_BL.xlsx","Ouvrir"))</f>
        <v/>
      </c>
      <c r="T72" s="22">
        <f>IF($A72="","",HYPERLINK("Z:\MUSTANG SERVICES\Affaires 2027\"&amp;$A72&amp;"\"&amp;$A72&amp;"_ServiceTicket.xlsx","Ouvrir"))</f>
        <v/>
      </c>
      <c r="U72" s="22">
        <f>IF($A72="","",HYPERLINK("Z:\MUSTANG SERVICES\Affaires 2027\"&amp;$A72&amp;"\","Dossier"))</f>
        <v/>
      </c>
    </row>
    <row r="73" ht="18" customHeight="1">
      <c r="A73" s="16" t="n"/>
      <c r="B73" s="17" t="n"/>
      <c r="C73" s="17" t="n"/>
      <c r="D73" s="18">
        <f>IF(AND(ISNUMBER($B73),ISNUMBER($C73)),$C73-$B73,"")</f>
        <v/>
      </c>
      <c r="E73" s="19" t="n"/>
      <c r="F73" s="20" t="n"/>
      <c r="G73" s="19" t="n"/>
      <c r="H73" s="20" t="n"/>
      <c r="I73" s="20" t="n"/>
      <c r="J73" s="19" t="n"/>
      <c r="K73" s="16" t="n"/>
      <c r="L73" s="20" t="n"/>
      <c r="M73" s="20" t="n"/>
      <c r="N73" s="17" t="n"/>
      <c r="O73" s="18">
        <f>IF(AND(OR($M73="Envoyé",$M73="En attente"),ISNUMBER($C73),NOT(ISNUMBER($N73))),IF(TODAY()-$C73&gt;=7,"⚠ relancer",""),"")</f>
        <v/>
      </c>
      <c r="P73" s="19" t="n"/>
      <c r="Q73" s="22">
        <f>IF($A73="","",HYPERLINK("Z:\MUSTANG SERVICES\Affaires 2027\"&amp;$A73&amp;"\"&amp;$A73&amp;"_Devis.xlsx","Ouvrir"))</f>
        <v/>
      </c>
      <c r="R73" s="22">
        <f>IF($A73="","",HYPERLINK("Z:\MUSTANG SERVICES\Affaires 2027\"&amp;$A73&amp;"\"&amp;$A73&amp;"_ToolList.xlsx","Ouvrir"))</f>
        <v/>
      </c>
      <c r="S73" s="22">
        <f>IF($A73="","",HYPERLINK("Z:\MUSTANG SERVICES\Affaires 2027\"&amp;$A73&amp;"\"&amp;$A73&amp;"_BL.xlsx","Ouvrir"))</f>
        <v/>
      </c>
      <c r="T73" s="22">
        <f>IF($A73="","",HYPERLINK("Z:\MUSTANG SERVICES\Affaires 2027\"&amp;$A73&amp;"\"&amp;$A73&amp;"_ServiceTicket.xlsx","Ouvrir"))</f>
        <v/>
      </c>
      <c r="U73" s="22">
        <f>IF($A73="","",HYPERLINK("Z:\MUSTANG SERVICES\Affaires 2027\"&amp;$A73&amp;"\","Dossier"))</f>
        <v/>
      </c>
    </row>
    <row r="74" ht="18" customHeight="1">
      <c r="A74" s="16" t="n"/>
      <c r="B74" s="17" t="n"/>
      <c r="C74" s="17" t="n"/>
      <c r="D74" s="18">
        <f>IF(AND(ISNUMBER($B74),ISNUMBER($C74)),$C74-$B74,"")</f>
        <v/>
      </c>
      <c r="E74" s="19" t="n"/>
      <c r="F74" s="20" t="n"/>
      <c r="G74" s="19" t="n"/>
      <c r="H74" s="20" t="n"/>
      <c r="I74" s="20" t="n"/>
      <c r="J74" s="19" t="n"/>
      <c r="K74" s="16" t="n"/>
      <c r="L74" s="20" t="n"/>
      <c r="M74" s="20" t="n"/>
      <c r="N74" s="17" t="n"/>
      <c r="O74" s="18">
        <f>IF(AND(OR($M74="Envoyé",$M74="En attente"),ISNUMBER($C74),NOT(ISNUMBER($N74))),IF(TODAY()-$C74&gt;=7,"⚠ relancer",""),"")</f>
        <v/>
      </c>
      <c r="P74" s="19" t="n"/>
      <c r="Q74" s="22">
        <f>IF($A74="","",HYPERLINK("Z:\MUSTANG SERVICES\Affaires 2027\"&amp;$A74&amp;"\"&amp;$A74&amp;"_Devis.xlsx","Ouvrir"))</f>
        <v/>
      </c>
      <c r="R74" s="22">
        <f>IF($A74="","",HYPERLINK("Z:\MUSTANG SERVICES\Affaires 2027\"&amp;$A74&amp;"\"&amp;$A74&amp;"_ToolList.xlsx","Ouvrir"))</f>
        <v/>
      </c>
      <c r="S74" s="22">
        <f>IF($A74="","",HYPERLINK("Z:\MUSTANG SERVICES\Affaires 2027\"&amp;$A74&amp;"\"&amp;$A74&amp;"_BL.xlsx","Ouvrir"))</f>
        <v/>
      </c>
      <c r="T74" s="22">
        <f>IF($A74="","",HYPERLINK("Z:\MUSTANG SERVICES\Affaires 2027\"&amp;$A74&amp;"\"&amp;$A74&amp;"_ServiceTicket.xlsx","Ouvrir"))</f>
        <v/>
      </c>
      <c r="U74" s="22">
        <f>IF($A74="","",HYPERLINK("Z:\MUSTANG SERVICES\Affaires 2027\"&amp;$A74&amp;"\","Dossier"))</f>
        <v/>
      </c>
    </row>
    <row r="75" ht="18" customHeight="1">
      <c r="A75" s="16" t="n"/>
      <c r="B75" s="17" t="n"/>
      <c r="C75" s="17" t="n"/>
      <c r="D75" s="18">
        <f>IF(AND(ISNUMBER($B75),ISNUMBER($C75)),$C75-$B75,"")</f>
        <v/>
      </c>
      <c r="E75" s="19" t="n"/>
      <c r="F75" s="20" t="n"/>
      <c r="G75" s="19" t="n"/>
      <c r="H75" s="20" t="n"/>
      <c r="I75" s="20" t="n"/>
      <c r="J75" s="19" t="n"/>
      <c r="K75" s="16" t="n"/>
      <c r="L75" s="20" t="n"/>
      <c r="M75" s="20" t="n"/>
      <c r="N75" s="17" t="n"/>
      <c r="O75" s="18">
        <f>IF(AND(OR($M75="Envoyé",$M75="En attente"),ISNUMBER($C75),NOT(ISNUMBER($N75))),IF(TODAY()-$C75&gt;=7,"⚠ relancer",""),"")</f>
        <v/>
      </c>
      <c r="P75" s="19" t="n"/>
      <c r="Q75" s="22">
        <f>IF($A75="","",HYPERLINK("Z:\MUSTANG SERVICES\Affaires 2027\"&amp;$A75&amp;"\"&amp;$A75&amp;"_Devis.xlsx","Ouvrir"))</f>
        <v/>
      </c>
      <c r="R75" s="22">
        <f>IF($A75="","",HYPERLINK("Z:\MUSTANG SERVICES\Affaires 2027\"&amp;$A75&amp;"\"&amp;$A75&amp;"_ToolList.xlsx","Ouvrir"))</f>
        <v/>
      </c>
      <c r="S75" s="22">
        <f>IF($A75="","",HYPERLINK("Z:\MUSTANG SERVICES\Affaires 2027\"&amp;$A75&amp;"\"&amp;$A75&amp;"_BL.xlsx","Ouvrir"))</f>
        <v/>
      </c>
      <c r="T75" s="22">
        <f>IF($A75="","",HYPERLINK("Z:\MUSTANG SERVICES\Affaires 2027\"&amp;$A75&amp;"\"&amp;$A75&amp;"_ServiceTicket.xlsx","Ouvrir"))</f>
        <v/>
      </c>
      <c r="U75" s="22">
        <f>IF($A75="","",HYPERLINK("Z:\MUSTANG SERVICES\Affaires 2027\"&amp;$A75&amp;"\","Dossier"))</f>
        <v/>
      </c>
    </row>
    <row r="76" ht="18" customHeight="1">
      <c r="A76" s="16" t="n"/>
      <c r="B76" s="17" t="n"/>
      <c r="C76" s="17" t="n"/>
      <c r="D76" s="18">
        <f>IF(AND(ISNUMBER($B76),ISNUMBER($C76)),$C76-$B76,"")</f>
        <v/>
      </c>
      <c r="E76" s="19" t="n"/>
      <c r="F76" s="20" t="n"/>
      <c r="G76" s="19" t="n"/>
      <c r="H76" s="20" t="n"/>
      <c r="I76" s="20" t="n"/>
      <c r="J76" s="19" t="n"/>
      <c r="K76" s="16" t="n"/>
      <c r="L76" s="20" t="n"/>
      <c r="M76" s="20" t="n"/>
      <c r="N76" s="17" t="n"/>
      <c r="O76" s="18">
        <f>IF(AND(OR($M76="Envoyé",$M76="En attente"),ISNUMBER($C76),NOT(ISNUMBER($N76))),IF(TODAY()-$C76&gt;=7,"⚠ relancer",""),"")</f>
        <v/>
      </c>
      <c r="P76" s="19" t="n"/>
      <c r="Q76" s="22">
        <f>IF($A76="","",HYPERLINK("Z:\MUSTANG SERVICES\Affaires 2027\"&amp;$A76&amp;"\"&amp;$A76&amp;"_Devis.xlsx","Ouvrir"))</f>
        <v/>
      </c>
      <c r="R76" s="22">
        <f>IF($A76="","",HYPERLINK("Z:\MUSTANG SERVICES\Affaires 2027\"&amp;$A76&amp;"\"&amp;$A76&amp;"_ToolList.xlsx","Ouvrir"))</f>
        <v/>
      </c>
      <c r="S76" s="22">
        <f>IF($A76="","",HYPERLINK("Z:\MUSTANG SERVICES\Affaires 2027\"&amp;$A76&amp;"\"&amp;$A76&amp;"_BL.xlsx","Ouvrir"))</f>
        <v/>
      </c>
      <c r="T76" s="22">
        <f>IF($A76="","",HYPERLINK("Z:\MUSTANG SERVICES\Affaires 2027\"&amp;$A76&amp;"\"&amp;$A76&amp;"_ServiceTicket.xlsx","Ouvrir"))</f>
        <v/>
      </c>
      <c r="U76" s="22">
        <f>IF($A76="","",HYPERLINK("Z:\MUSTANG SERVICES\Affaires 2027\"&amp;$A76&amp;"\","Dossier"))</f>
        <v/>
      </c>
    </row>
    <row r="77" ht="18" customHeight="1">
      <c r="A77" s="16" t="n"/>
      <c r="B77" s="17" t="n"/>
      <c r="C77" s="17" t="n"/>
      <c r="D77" s="18">
        <f>IF(AND(ISNUMBER($B77),ISNUMBER($C77)),$C77-$B77,"")</f>
        <v/>
      </c>
      <c r="E77" s="19" t="n"/>
      <c r="F77" s="20" t="n"/>
      <c r="G77" s="19" t="n"/>
      <c r="H77" s="20" t="n"/>
      <c r="I77" s="20" t="n"/>
      <c r="J77" s="19" t="n"/>
      <c r="K77" s="16" t="n"/>
      <c r="L77" s="20" t="n"/>
      <c r="M77" s="20" t="n"/>
      <c r="N77" s="17" t="n"/>
      <c r="O77" s="18">
        <f>IF(AND(OR($M77="Envoyé",$M77="En attente"),ISNUMBER($C77),NOT(ISNUMBER($N77))),IF(TODAY()-$C77&gt;=7,"⚠ relancer",""),"")</f>
        <v/>
      </c>
      <c r="P77" s="19" t="n"/>
      <c r="Q77" s="22">
        <f>IF($A77="","",HYPERLINK("Z:\MUSTANG SERVICES\Affaires 2027\"&amp;$A77&amp;"\"&amp;$A77&amp;"_Devis.xlsx","Ouvrir"))</f>
        <v/>
      </c>
      <c r="R77" s="22">
        <f>IF($A77="","",HYPERLINK("Z:\MUSTANG SERVICES\Affaires 2027\"&amp;$A77&amp;"\"&amp;$A77&amp;"_ToolList.xlsx","Ouvrir"))</f>
        <v/>
      </c>
      <c r="S77" s="22">
        <f>IF($A77="","",HYPERLINK("Z:\MUSTANG SERVICES\Affaires 2027\"&amp;$A77&amp;"\"&amp;$A77&amp;"_BL.xlsx","Ouvrir"))</f>
        <v/>
      </c>
      <c r="T77" s="22">
        <f>IF($A77="","",HYPERLINK("Z:\MUSTANG SERVICES\Affaires 2027\"&amp;$A77&amp;"\"&amp;$A77&amp;"_ServiceTicket.xlsx","Ouvrir"))</f>
        <v/>
      </c>
      <c r="U77" s="22">
        <f>IF($A77="","",HYPERLINK("Z:\MUSTANG SERVICES\Affaires 2027\"&amp;$A77&amp;"\","Dossier"))</f>
        <v/>
      </c>
    </row>
    <row r="78" ht="18" customHeight="1">
      <c r="A78" s="16" t="n"/>
      <c r="B78" s="17" t="n"/>
      <c r="C78" s="17" t="n"/>
      <c r="D78" s="18">
        <f>IF(AND(ISNUMBER($B78),ISNUMBER($C78)),$C78-$B78,"")</f>
        <v/>
      </c>
      <c r="E78" s="19" t="n"/>
      <c r="F78" s="20" t="n"/>
      <c r="G78" s="19" t="n"/>
      <c r="H78" s="20" t="n"/>
      <c r="I78" s="20" t="n"/>
      <c r="J78" s="19" t="n"/>
      <c r="K78" s="16" t="n"/>
      <c r="L78" s="20" t="n"/>
      <c r="M78" s="20" t="n"/>
      <c r="N78" s="17" t="n"/>
      <c r="O78" s="18">
        <f>IF(AND(OR($M78="Envoyé",$M78="En attente"),ISNUMBER($C78),NOT(ISNUMBER($N78))),IF(TODAY()-$C78&gt;=7,"⚠ relancer",""),"")</f>
        <v/>
      </c>
      <c r="P78" s="19" t="n"/>
      <c r="Q78" s="22">
        <f>IF($A78="","",HYPERLINK("Z:\MUSTANG SERVICES\Affaires 2027\"&amp;$A78&amp;"\"&amp;$A78&amp;"_Devis.xlsx","Ouvrir"))</f>
        <v/>
      </c>
      <c r="R78" s="22">
        <f>IF($A78="","",HYPERLINK("Z:\MUSTANG SERVICES\Affaires 2027\"&amp;$A78&amp;"\"&amp;$A78&amp;"_ToolList.xlsx","Ouvrir"))</f>
        <v/>
      </c>
      <c r="S78" s="22">
        <f>IF($A78="","",HYPERLINK("Z:\MUSTANG SERVICES\Affaires 2027\"&amp;$A78&amp;"\"&amp;$A78&amp;"_BL.xlsx","Ouvrir"))</f>
        <v/>
      </c>
      <c r="T78" s="22">
        <f>IF($A78="","",HYPERLINK("Z:\MUSTANG SERVICES\Affaires 2027\"&amp;$A78&amp;"\"&amp;$A78&amp;"_ServiceTicket.xlsx","Ouvrir"))</f>
        <v/>
      </c>
      <c r="U78" s="22">
        <f>IF($A78="","",HYPERLINK("Z:\MUSTANG SERVICES\Affaires 2027\"&amp;$A78&amp;"\","Dossier"))</f>
        <v/>
      </c>
    </row>
    <row r="79" ht="18" customHeight="1">
      <c r="A79" s="16" t="n"/>
      <c r="B79" s="17" t="n"/>
      <c r="C79" s="17" t="n"/>
      <c r="D79" s="18">
        <f>IF(AND(ISNUMBER($B79),ISNUMBER($C79)),$C79-$B79,"")</f>
        <v/>
      </c>
      <c r="E79" s="19" t="n"/>
      <c r="F79" s="20" t="n"/>
      <c r="G79" s="19" t="n"/>
      <c r="H79" s="20" t="n"/>
      <c r="I79" s="20" t="n"/>
      <c r="J79" s="19" t="n"/>
      <c r="K79" s="16" t="n"/>
      <c r="L79" s="20" t="n"/>
      <c r="M79" s="20" t="n"/>
      <c r="N79" s="17" t="n"/>
      <c r="O79" s="18">
        <f>IF(AND(OR($M79="Envoyé",$M79="En attente"),ISNUMBER($C79),NOT(ISNUMBER($N79))),IF(TODAY()-$C79&gt;=7,"⚠ relancer",""),"")</f>
        <v/>
      </c>
      <c r="P79" s="19" t="n"/>
      <c r="Q79" s="22">
        <f>IF($A79="","",HYPERLINK("Z:\MUSTANG SERVICES\Affaires 2027\"&amp;$A79&amp;"\"&amp;$A79&amp;"_Devis.xlsx","Ouvrir"))</f>
        <v/>
      </c>
      <c r="R79" s="22">
        <f>IF($A79="","",HYPERLINK("Z:\MUSTANG SERVICES\Affaires 2027\"&amp;$A79&amp;"\"&amp;$A79&amp;"_ToolList.xlsx","Ouvrir"))</f>
        <v/>
      </c>
      <c r="S79" s="22">
        <f>IF($A79="","",HYPERLINK("Z:\MUSTANG SERVICES\Affaires 2027\"&amp;$A79&amp;"\"&amp;$A79&amp;"_BL.xlsx","Ouvrir"))</f>
        <v/>
      </c>
      <c r="T79" s="22">
        <f>IF($A79="","",HYPERLINK("Z:\MUSTANG SERVICES\Affaires 2027\"&amp;$A79&amp;"\"&amp;$A79&amp;"_ServiceTicket.xlsx","Ouvrir"))</f>
        <v/>
      </c>
      <c r="U79" s="22">
        <f>IF($A79="","",HYPERLINK("Z:\MUSTANG SERVICES\Affaires 2027\"&amp;$A79&amp;"\","Dossier"))</f>
        <v/>
      </c>
    </row>
    <row r="80" ht="18" customHeight="1">
      <c r="A80" s="16" t="n"/>
      <c r="B80" s="17" t="n"/>
      <c r="C80" s="17" t="n"/>
      <c r="D80" s="18">
        <f>IF(AND(ISNUMBER($B80),ISNUMBER($C80)),$C80-$B80,"")</f>
        <v/>
      </c>
      <c r="E80" s="19" t="n"/>
      <c r="F80" s="20" t="n"/>
      <c r="G80" s="19" t="n"/>
      <c r="H80" s="20" t="n"/>
      <c r="I80" s="20" t="n"/>
      <c r="J80" s="19" t="n"/>
      <c r="K80" s="16" t="n"/>
      <c r="L80" s="20" t="n"/>
      <c r="M80" s="20" t="n"/>
      <c r="N80" s="17" t="n"/>
      <c r="O80" s="18">
        <f>IF(AND(OR($M80="Envoyé",$M80="En attente"),ISNUMBER($C80),NOT(ISNUMBER($N80))),IF(TODAY()-$C80&gt;=7,"⚠ relancer",""),"")</f>
        <v/>
      </c>
      <c r="P80" s="19" t="n"/>
      <c r="Q80" s="22">
        <f>IF($A80="","",HYPERLINK("Z:\MUSTANG SERVICES\Affaires 2027\"&amp;$A80&amp;"\"&amp;$A80&amp;"_Devis.xlsx","Ouvrir"))</f>
        <v/>
      </c>
      <c r="R80" s="22">
        <f>IF($A80="","",HYPERLINK("Z:\MUSTANG SERVICES\Affaires 2027\"&amp;$A80&amp;"\"&amp;$A80&amp;"_ToolList.xlsx","Ouvrir"))</f>
        <v/>
      </c>
      <c r="S80" s="22">
        <f>IF($A80="","",HYPERLINK("Z:\MUSTANG SERVICES\Affaires 2027\"&amp;$A80&amp;"\"&amp;$A80&amp;"_BL.xlsx","Ouvrir"))</f>
        <v/>
      </c>
      <c r="T80" s="22">
        <f>IF($A80="","",HYPERLINK("Z:\MUSTANG SERVICES\Affaires 2027\"&amp;$A80&amp;"\"&amp;$A80&amp;"_ServiceTicket.xlsx","Ouvrir"))</f>
        <v/>
      </c>
      <c r="U80" s="22">
        <f>IF($A80="","",HYPERLINK("Z:\MUSTANG SERVICES\Affaires 2027\"&amp;$A80&amp;"\","Dossier"))</f>
        <v/>
      </c>
    </row>
    <row r="81" ht="18" customHeight="1">
      <c r="A81" s="16" t="n"/>
      <c r="B81" s="17" t="n"/>
      <c r="C81" s="17" t="n"/>
      <c r="D81" s="18">
        <f>IF(AND(ISNUMBER($B81),ISNUMBER($C81)),$C81-$B81,"")</f>
        <v/>
      </c>
      <c r="E81" s="19" t="n"/>
      <c r="F81" s="20" t="n"/>
      <c r="G81" s="19" t="n"/>
      <c r="H81" s="20" t="n"/>
      <c r="I81" s="20" t="n"/>
      <c r="J81" s="19" t="n"/>
      <c r="K81" s="16" t="n"/>
      <c r="L81" s="20" t="n"/>
      <c r="M81" s="20" t="n"/>
      <c r="N81" s="17" t="n"/>
      <c r="O81" s="18">
        <f>IF(AND(OR($M81="Envoyé",$M81="En attente"),ISNUMBER($C81),NOT(ISNUMBER($N81))),IF(TODAY()-$C81&gt;=7,"⚠ relancer",""),"")</f>
        <v/>
      </c>
      <c r="P81" s="19" t="n"/>
      <c r="Q81" s="22">
        <f>IF($A81="","",HYPERLINK("Z:\MUSTANG SERVICES\Affaires 2027\"&amp;$A81&amp;"\"&amp;$A81&amp;"_Devis.xlsx","Ouvrir"))</f>
        <v/>
      </c>
      <c r="R81" s="22">
        <f>IF($A81="","",HYPERLINK("Z:\MUSTANG SERVICES\Affaires 2027\"&amp;$A81&amp;"\"&amp;$A81&amp;"_ToolList.xlsx","Ouvrir"))</f>
        <v/>
      </c>
      <c r="S81" s="22">
        <f>IF($A81="","",HYPERLINK("Z:\MUSTANG SERVICES\Affaires 2027\"&amp;$A81&amp;"\"&amp;$A81&amp;"_BL.xlsx","Ouvrir"))</f>
        <v/>
      </c>
      <c r="T81" s="22">
        <f>IF($A81="","",HYPERLINK("Z:\MUSTANG SERVICES\Affaires 2027\"&amp;$A81&amp;"\"&amp;$A81&amp;"_ServiceTicket.xlsx","Ouvrir"))</f>
        <v/>
      </c>
      <c r="U81" s="22">
        <f>IF($A81="","",HYPERLINK("Z:\MUSTANG SERVICES\Affaires 2027\"&amp;$A81&amp;"\","Dossier"))</f>
        <v/>
      </c>
    </row>
    <row r="82" ht="18" customHeight="1">
      <c r="A82" s="16" t="n"/>
      <c r="B82" s="17" t="n"/>
      <c r="C82" s="17" t="n"/>
      <c r="D82" s="18">
        <f>IF(AND(ISNUMBER($B82),ISNUMBER($C82)),$C82-$B82,"")</f>
        <v/>
      </c>
      <c r="E82" s="19" t="n"/>
      <c r="F82" s="20" t="n"/>
      <c r="G82" s="19" t="n"/>
      <c r="H82" s="20" t="n"/>
      <c r="I82" s="20" t="n"/>
      <c r="J82" s="19" t="n"/>
      <c r="K82" s="16" t="n"/>
      <c r="L82" s="20" t="n"/>
      <c r="M82" s="20" t="n"/>
      <c r="N82" s="17" t="n"/>
      <c r="O82" s="18">
        <f>IF(AND(OR($M82="Envoyé",$M82="En attente"),ISNUMBER($C82),NOT(ISNUMBER($N82))),IF(TODAY()-$C82&gt;=7,"⚠ relancer",""),"")</f>
        <v/>
      </c>
      <c r="P82" s="19" t="n"/>
      <c r="Q82" s="22">
        <f>IF($A82="","",HYPERLINK("Z:\MUSTANG SERVICES\Affaires 2027\"&amp;$A82&amp;"\"&amp;$A82&amp;"_Devis.xlsx","Ouvrir"))</f>
        <v/>
      </c>
      <c r="R82" s="22">
        <f>IF($A82="","",HYPERLINK("Z:\MUSTANG SERVICES\Affaires 2027\"&amp;$A82&amp;"\"&amp;$A82&amp;"_ToolList.xlsx","Ouvrir"))</f>
        <v/>
      </c>
      <c r="S82" s="22">
        <f>IF($A82="","",HYPERLINK("Z:\MUSTANG SERVICES\Affaires 2027\"&amp;$A82&amp;"\"&amp;$A82&amp;"_BL.xlsx","Ouvrir"))</f>
        <v/>
      </c>
      <c r="T82" s="22">
        <f>IF($A82="","",HYPERLINK("Z:\MUSTANG SERVICES\Affaires 2027\"&amp;$A82&amp;"\"&amp;$A82&amp;"_ServiceTicket.xlsx","Ouvrir"))</f>
        <v/>
      </c>
      <c r="U82" s="22">
        <f>IF($A82="","",HYPERLINK("Z:\MUSTANG SERVICES\Affaires 2027\"&amp;$A82&amp;"\","Dossier"))</f>
        <v/>
      </c>
    </row>
    <row r="83" ht="18" customHeight="1">
      <c r="A83" s="16" t="n"/>
      <c r="B83" s="17" t="n"/>
      <c r="C83" s="17" t="n"/>
      <c r="D83" s="18">
        <f>IF(AND(ISNUMBER($B83),ISNUMBER($C83)),$C83-$B83,"")</f>
        <v/>
      </c>
      <c r="E83" s="19" t="n"/>
      <c r="F83" s="20" t="n"/>
      <c r="G83" s="19" t="n"/>
      <c r="H83" s="20" t="n"/>
      <c r="I83" s="20" t="n"/>
      <c r="J83" s="19" t="n"/>
      <c r="K83" s="16" t="n"/>
      <c r="L83" s="20" t="n"/>
      <c r="M83" s="20" t="n"/>
      <c r="N83" s="17" t="n"/>
      <c r="O83" s="18">
        <f>IF(AND(OR($M83="Envoyé",$M83="En attente"),ISNUMBER($C83),NOT(ISNUMBER($N83))),IF(TODAY()-$C83&gt;=7,"⚠ relancer",""),"")</f>
        <v/>
      </c>
      <c r="P83" s="19" t="n"/>
      <c r="Q83" s="22">
        <f>IF($A83="","",HYPERLINK("Z:\MUSTANG SERVICES\Affaires 2027\"&amp;$A83&amp;"\"&amp;$A83&amp;"_Devis.xlsx","Ouvrir"))</f>
        <v/>
      </c>
      <c r="R83" s="22">
        <f>IF($A83="","",HYPERLINK("Z:\MUSTANG SERVICES\Affaires 2027\"&amp;$A83&amp;"\"&amp;$A83&amp;"_ToolList.xlsx","Ouvrir"))</f>
        <v/>
      </c>
      <c r="S83" s="22">
        <f>IF($A83="","",HYPERLINK("Z:\MUSTANG SERVICES\Affaires 2027\"&amp;$A83&amp;"\"&amp;$A83&amp;"_BL.xlsx","Ouvrir"))</f>
        <v/>
      </c>
      <c r="T83" s="22">
        <f>IF($A83="","",HYPERLINK("Z:\MUSTANG SERVICES\Affaires 2027\"&amp;$A83&amp;"\"&amp;$A83&amp;"_ServiceTicket.xlsx","Ouvrir"))</f>
        <v/>
      </c>
      <c r="U83" s="22">
        <f>IF($A83="","",HYPERLINK("Z:\MUSTANG SERVICES\Affaires 2027\"&amp;$A83&amp;"\","Dossier"))</f>
        <v/>
      </c>
    </row>
    <row r="84" ht="18" customHeight="1">
      <c r="A84" s="16" t="n"/>
      <c r="B84" s="17" t="n"/>
      <c r="C84" s="17" t="n"/>
      <c r="D84" s="18">
        <f>IF(AND(ISNUMBER($B84),ISNUMBER($C84)),$C84-$B84,"")</f>
        <v/>
      </c>
      <c r="E84" s="19" t="n"/>
      <c r="F84" s="20" t="n"/>
      <c r="G84" s="19" t="n"/>
      <c r="H84" s="20" t="n"/>
      <c r="I84" s="20" t="n"/>
      <c r="J84" s="19" t="n"/>
      <c r="K84" s="16" t="n"/>
      <c r="L84" s="20" t="n"/>
      <c r="M84" s="20" t="n"/>
      <c r="N84" s="17" t="n"/>
      <c r="O84" s="18">
        <f>IF(AND(OR($M84="Envoyé",$M84="En attente"),ISNUMBER($C84),NOT(ISNUMBER($N84))),IF(TODAY()-$C84&gt;=7,"⚠ relancer",""),"")</f>
        <v/>
      </c>
      <c r="P84" s="19" t="n"/>
      <c r="Q84" s="22">
        <f>IF($A84="","",HYPERLINK("Z:\MUSTANG SERVICES\Affaires 2027\"&amp;$A84&amp;"\"&amp;$A84&amp;"_Devis.xlsx","Ouvrir"))</f>
        <v/>
      </c>
      <c r="R84" s="22">
        <f>IF($A84="","",HYPERLINK("Z:\MUSTANG SERVICES\Affaires 2027\"&amp;$A84&amp;"\"&amp;$A84&amp;"_ToolList.xlsx","Ouvrir"))</f>
        <v/>
      </c>
      <c r="S84" s="22">
        <f>IF($A84="","",HYPERLINK("Z:\MUSTANG SERVICES\Affaires 2027\"&amp;$A84&amp;"\"&amp;$A84&amp;"_BL.xlsx","Ouvrir"))</f>
        <v/>
      </c>
      <c r="T84" s="22">
        <f>IF($A84="","",HYPERLINK("Z:\MUSTANG SERVICES\Affaires 2027\"&amp;$A84&amp;"\"&amp;$A84&amp;"_ServiceTicket.xlsx","Ouvrir"))</f>
        <v/>
      </c>
      <c r="U84" s="22">
        <f>IF($A84="","",HYPERLINK("Z:\MUSTANG SERVICES\Affaires 2027\"&amp;$A84&amp;"\","Dossier"))</f>
        <v/>
      </c>
    </row>
    <row r="85" ht="18" customHeight="1">
      <c r="A85" s="16" t="n"/>
      <c r="B85" s="17" t="n"/>
      <c r="C85" s="17" t="n"/>
      <c r="D85" s="18">
        <f>IF(AND(ISNUMBER($B85),ISNUMBER($C85)),$C85-$B85,"")</f>
        <v/>
      </c>
      <c r="E85" s="19" t="n"/>
      <c r="F85" s="20" t="n"/>
      <c r="G85" s="19" t="n"/>
      <c r="H85" s="20" t="n"/>
      <c r="I85" s="20" t="n"/>
      <c r="J85" s="19" t="n"/>
      <c r="K85" s="16" t="n"/>
      <c r="L85" s="20" t="n"/>
      <c r="M85" s="20" t="n"/>
      <c r="N85" s="17" t="n"/>
      <c r="O85" s="18">
        <f>IF(AND(OR($M85="Envoyé",$M85="En attente"),ISNUMBER($C85),NOT(ISNUMBER($N85))),IF(TODAY()-$C85&gt;=7,"⚠ relancer",""),"")</f>
        <v/>
      </c>
      <c r="P85" s="19" t="n"/>
      <c r="Q85" s="22">
        <f>IF($A85="","",HYPERLINK("Z:\MUSTANG SERVICES\Affaires 2027\"&amp;$A85&amp;"\"&amp;$A85&amp;"_Devis.xlsx","Ouvrir"))</f>
        <v/>
      </c>
      <c r="R85" s="22">
        <f>IF($A85="","",HYPERLINK("Z:\MUSTANG SERVICES\Affaires 2027\"&amp;$A85&amp;"\"&amp;$A85&amp;"_ToolList.xlsx","Ouvrir"))</f>
        <v/>
      </c>
      <c r="S85" s="22">
        <f>IF($A85="","",HYPERLINK("Z:\MUSTANG SERVICES\Affaires 2027\"&amp;$A85&amp;"\"&amp;$A85&amp;"_BL.xlsx","Ouvrir"))</f>
        <v/>
      </c>
      <c r="T85" s="22">
        <f>IF($A85="","",HYPERLINK("Z:\MUSTANG SERVICES\Affaires 2027\"&amp;$A85&amp;"\"&amp;$A85&amp;"_ServiceTicket.xlsx","Ouvrir"))</f>
        <v/>
      </c>
      <c r="U85" s="22">
        <f>IF($A85="","",HYPERLINK("Z:\MUSTANG SERVICES\Affaires 2027\"&amp;$A85&amp;"\","Dossier"))</f>
        <v/>
      </c>
    </row>
    <row r="86" ht="18" customHeight="1">
      <c r="A86" s="16" t="n"/>
      <c r="B86" s="17" t="n"/>
      <c r="C86" s="17" t="n"/>
      <c r="D86" s="18">
        <f>IF(AND(ISNUMBER($B86),ISNUMBER($C86)),$C86-$B86,"")</f>
        <v/>
      </c>
      <c r="E86" s="19" t="n"/>
      <c r="F86" s="20" t="n"/>
      <c r="G86" s="19" t="n"/>
      <c r="H86" s="20" t="n"/>
      <c r="I86" s="20" t="n"/>
      <c r="J86" s="19" t="n"/>
      <c r="K86" s="16" t="n"/>
      <c r="L86" s="20" t="n"/>
      <c r="M86" s="20" t="n"/>
      <c r="N86" s="17" t="n"/>
      <c r="O86" s="18">
        <f>IF(AND(OR($M86="Envoyé",$M86="En attente"),ISNUMBER($C86),NOT(ISNUMBER($N86))),IF(TODAY()-$C86&gt;=7,"⚠ relancer",""),"")</f>
        <v/>
      </c>
      <c r="P86" s="19" t="n"/>
      <c r="Q86" s="22">
        <f>IF($A86="","",HYPERLINK("Z:\MUSTANG SERVICES\Affaires 2027\"&amp;$A86&amp;"\"&amp;$A86&amp;"_Devis.xlsx","Ouvrir"))</f>
        <v/>
      </c>
      <c r="R86" s="22">
        <f>IF($A86="","",HYPERLINK("Z:\MUSTANG SERVICES\Affaires 2027\"&amp;$A86&amp;"\"&amp;$A86&amp;"_ToolList.xlsx","Ouvrir"))</f>
        <v/>
      </c>
      <c r="S86" s="22">
        <f>IF($A86="","",HYPERLINK("Z:\MUSTANG SERVICES\Affaires 2027\"&amp;$A86&amp;"\"&amp;$A86&amp;"_BL.xlsx","Ouvrir"))</f>
        <v/>
      </c>
      <c r="T86" s="22">
        <f>IF($A86="","",HYPERLINK("Z:\MUSTANG SERVICES\Affaires 2027\"&amp;$A86&amp;"\"&amp;$A86&amp;"_ServiceTicket.xlsx","Ouvrir"))</f>
        <v/>
      </c>
      <c r="U86" s="22">
        <f>IF($A86="","",HYPERLINK("Z:\MUSTANG SERVICES\Affaires 2027\"&amp;$A86&amp;"\","Dossier"))</f>
        <v/>
      </c>
    </row>
    <row r="87" ht="18" customHeight="1">
      <c r="A87" s="16" t="n"/>
      <c r="B87" s="17" t="n"/>
      <c r="C87" s="17" t="n"/>
      <c r="D87" s="18">
        <f>IF(AND(ISNUMBER($B87),ISNUMBER($C87)),$C87-$B87,"")</f>
        <v/>
      </c>
      <c r="E87" s="19" t="n"/>
      <c r="F87" s="20" t="n"/>
      <c r="G87" s="19" t="n"/>
      <c r="H87" s="20" t="n"/>
      <c r="I87" s="20" t="n"/>
      <c r="J87" s="19" t="n"/>
      <c r="K87" s="16" t="n"/>
      <c r="L87" s="20" t="n"/>
      <c r="M87" s="20" t="n"/>
      <c r="N87" s="17" t="n"/>
      <c r="O87" s="18">
        <f>IF(AND(OR($M87="Envoyé",$M87="En attente"),ISNUMBER($C87),NOT(ISNUMBER($N87))),IF(TODAY()-$C87&gt;=7,"⚠ relancer",""),"")</f>
        <v/>
      </c>
      <c r="P87" s="19" t="n"/>
      <c r="Q87" s="22">
        <f>IF($A87="","",HYPERLINK("Z:\MUSTANG SERVICES\Affaires 2027\"&amp;$A87&amp;"\"&amp;$A87&amp;"_Devis.xlsx","Ouvrir"))</f>
        <v/>
      </c>
      <c r="R87" s="22">
        <f>IF($A87="","",HYPERLINK("Z:\MUSTANG SERVICES\Affaires 2027\"&amp;$A87&amp;"\"&amp;$A87&amp;"_ToolList.xlsx","Ouvrir"))</f>
        <v/>
      </c>
      <c r="S87" s="22">
        <f>IF($A87="","",HYPERLINK("Z:\MUSTANG SERVICES\Affaires 2027\"&amp;$A87&amp;"\"&amp;$A87&amp;"_BL.xlsx","Ouvrir"))</f>
        <v/>
      </c>
      <c r="T87" s="22">
        <f>IF($A87="","",HYPERLINK("Z:\MUSTANG SERVICES\Affaires 2027\"&amp;$A87&amp;"\"&amp;$A87&amp;"_ServiceTicket.xlsx","Ouvrir"))</f>
        <v/>
      </c>
      <c r="U87" s="22">
        <f>IF($A87="","",HYPERLINK("Z:\MUSTANG SERVICES\Affaires 2027\"&amp;$A87&amp;"\","Dossier"))</f>
        <v/>
      </c>
    </row>
    <row r="88" ht="18" customHeight="1">
      <c r="A88" s="16" t="n"/>
      <c r="B88" s="17" t="n"/>
      <c r="C88" s="17" t="n"/>
      <c r="D88" s="18">
        <f>IF(AND(ISNUMBER($B88),ISNUMBER($C88)),$C88-$B88,"")</f>
        <v/>
      </c>
      <c r="E88" s="19" t="n"/>
      <c r="F88" s="20" t="n"/>
      <c r="G88" s="19" t="n"/>
      <c r="H88" s="20" t="n"/>
      <c r="I88" s="20" t="n"/>
      <c r="J88" s="19" t="n"/>
      <c r="K88" s="16" t="n"/>
      <c r="L88" s="20" t="n"/>
      <c r="M88" s="20" t="n"/>
      <c r="N88" s="17" t="n"/>
      <c r="O88" s="18">
        <f>IF(AND(OR($M88="Envoyé",$M88="En attente"),ISNUMBER($C88),NOT(ISNUMBER($N88))),IF(TODAY()-$C88&gt;=7,"⚠ relancer",""),"")</f>
        <v/>
      </c>
      <c r="P88" s="19" t="n"/>
      <c r="Q88" s="22">
        <f>IF($A88="","",HYPERLINK("Z:\MUSTANG SERVICES\Affaires 2027\"&amp;$A88&amp;"\"&amp;$A88&amp;"_Devis.xlsx","Ouvrir"))</f>
        <v/>
      </c>
      <c r="R88" s="22">
        <f>IF($A88="","",HYPERLINK("Z:\MUSTANG SERVICES\Affaires 2027\"&amp;$A88&amp;"\"&amp;$A88&amp;"_ToolList.xlsx","Ouvrir"))</f>
        <v/>
      </c>
      <c r="S88" s="22">
        <f>IF($A88="","",HYPERLINK("Z:\MUSTANG SERVICES\Affaires 2027\"&amp;$A88&amp;"\"&amp;$A88&amp;"_BL.xlsx","Ouvrir"))</f>
        <v/>
      </c>
      <c r="T88" s="22">
        <f>IF($A88="","",HYPERLINK("Z:\MUSTANG SERVICES\Affaires 2027\"&amp;$A88&amp;"\"&amp;$A88&amp;"_ServiceTicket.xlsx","Ouvrir"))</f>
        <v/>
      </c>
      <c r="U88" s="22">
        <f>IF($A88="","",HYPERLINK("Z:\MUSTANG SERVICES\Affaires 2027\"&amp;$A88&amp;"\","Dossier"))</f>
        <v/>
      </c>
    </row>
    <row r="89" ht="18" customHeight="1">
      <c r="A89" s="16" t="n"/>
      <c r="B89" s="17" t="n"/>
      <c r="C89" s="17" t="n"/>
      <c r="D89" s="18">
        <f>IF(AND(ISNUMBER($B89),ISNUMBER($C89)),$C89-$B89,"")</f>
        <v/>
      </c>
      <c r="E89" s="19" t="n"/>
      <c r="F89" s="20" t="n"/>
      <c r="G89" s="19" t="n"/>
      <c r="H89" s="20" t="n"/>
      <c r="I89" s="20" t="n"/>
      <c r="J89" s="19" t="n"/>
      <c r="K89" s="16" t="n"/>
      <c r="L89" s="20" t="n"/>
      <c r="M89" s="20" t="n"/>
      <c r="N89" s="17" t="n"/>
      <c r="O89" s="18">
        <f>IF(AND(OR($M89="Envoyé",$M89="En attente"),ISNUMBER($C89),NOT(ISNUMBER($N89))),IF(TODAY()-$C89&gt;=7,"⚠ relancer",""),"")</f>
        <v/>
      </c>
      <c r="P89" s="19" t="n"/>
      <c r="Q89" s="22">
        <f>IF($A89="","",HYPERLINK("Z:\MUSTANG SERVICES\Affaires 2027\"&amp;$A89&amp;"\"&amp;$A89&amp;"_Devis.xlsx","Ouvrir"))</f>
        <v/>
      </c>
      <c r="R89" s="22">
        <f>IF($A89="","",HYPERLINK("Z:\MUSTANG SERVICES\Affaires 2027\"&amp;$A89&amp;"\"&amp;$A89&amp;"_ToolList.xlsx","Ouvrir"))</f>
        <v/>
      </c>
      <c r="S89" s="22">
        <f>IF($A89="","",HYPERLINK("Z:\MUSTANG SERVICES\Affaires 2027\"&amp;$A89&amp;"\"&amp;$A89&amp;"_BL.xlsx","Ouvrir"))</f>
        <v/>
      </c>
      <c r="T89" s="22">
        <f>IF($A89="","",HYPERLINK("Z:\MUSTANG SERVICES\Affaires 2027\"&amp;$A89&amp;"\"&amp;$A89&amp;"_ServiceTicket.xlsx","Ouvrir"))</f>
        <v/>
      </c>
      <c r="U89" s="22">
        <f>IF($A89="","",HYPERLINK("Z:\MUSTANG SERVICES\Affaires 2027\"&amp;$A89&amp;"\","Dossier"))</f>
        <v/>
      </c>
    </row>
    <row r="90" ht="18" customHeight="1">
      <c r="A90" s="16" t="n"/>
      <c r="B90" s="17" t="n"/>
      <c r="C90" s="17" t="n"/>
      <c r="D90" s="18">
        <f>IF(AND(ISNUMBER($B90),ISNUMBER($C90)),$C90-$B90,"")</f>
        <v/>
      </c>
      <c r="E90" s="19" t="n"/>
      <c r="F90" s="20" t="n"/>
      <c r="G90" s="19" t="n"/>
      <c r="H90" s="20" t="n"/>
      <c r="I90" s="20" t="n"/>
      <c r="J90" s="19" t="n"/>
      <c r="K90" s="16" t="n"/>
      <c r="L90" s="20" t="n"/>
      <c r="M90" s="20" t="n"/>
      <c r="N90" s="17" t="n"/>
      <c r="O90" s="18">
        <f>IF(AND(OR($M90="Envoyé",$M90="En attente"),ISNUMBER($C90),NOT(ISNUMBER($N90))),IF(TODAY()-$C90&gt;=7,"⚠ relancer",""),"")</f>
        <v/>
      </c>
      <c r="P90" s="19" t="n"/>
      <c r="Q90" s="22">
        <f>IF($A90="","",HYPERLINK("Z:\MUSTANG SERVICES\Affaires 2027\"&amp;$A90&amp;"\"&amp;$A90&amp;"_Devis.xlsx","Ouvrir"))</f>
        <v/>
      </c>
      <c r="R90" s="22">
        <f>IF($A90="","",HYPERLINK("Z:\MUSTANG SERVICES\Affaires 2027\"&amp;$A90&amp;"\"&amp;$A90&amp;"_ToolList.xlsx","Ouvrir"))</f>
        <v/>
      </c>
      <c r="S90" s="22">
        <f>IF($A90="","",HYPERLINK("Z:\MUSTANG SERVICES\Affaires 2027\"&amp;$A90&amp;"\"&amp;$A90&amp;"_BL.xlsx","Ouvrir"))</f>
        <v/>
      </c>
      <c r="T90" s="22">
        <f>IF($A90="","",HYPERLINK("Z:\MUSTANG SERVICES\Affaires 2027\"&amp;$A90&amp;"\"&amp;$A90&amp;"_ServiceTicket.xlsx","Ouvrir"))</f>
        <v/>
      </c>
      <c r="U90" s="22">
        <f>IF($A90="","",HYPERLINK("Z:\MUSTANG SERVICES\Affaires 2027\"&amp;$A90&amp;"\","Dossier"))</f>
        <v/>
      </c>
    </row>
    <row r="91" ht="18" customHeight="1">
      <c r="A91" s="16" t="n"/>
      <c r="B91" s="17" t="n"/>
      <c r="C91" s="17" t="n"/>
      <c r="D91" s="18">
        <f>IF(AND(ISNUMBER($B91),ISNUMBER($C91)),$C91-$B91,"")</f>
        <v/>
      </c>
      <c r="E91" s="19" t="n"/>
      <c r="F91" s="20" t="n"/>
      <c r="G91" s="19" t="n"/>
      <c r="H91" s="20" t="n"/>
      <c r="I91" s="20" t="n"/>
      <c r="J91" s="19" t="n"/>
      <c r="K91" s="16" t="n"/>
      <c r="L91" s="20" t="n"/>
      <c r="M91" s="20" t="n"/>
      <c r="N91" s="17" t="n"/>
      <c r="O91" s="18">
        <f>IF(AND(OR($M91="Envoyé",$M91="En attente"),ISNUMBER($C91),NOT(ISNUMBER($N91))),IF(TODAY()-$C91&gt;=7,"⚠ relancer",""),"")</f>
        <v/>
      </c>
      <c r="P91" s="19" t="n"/>
      <c r="Q91" s="22">
        <f>IF($A91="","",HYPERLINK("Z:\MUSTANG SERVICES\Affaires 2027\"&amp;$A91&amp;"\"&amp;$A91&amp;"_Devis.xlsx","Ouvrir"))</f>
        <v/>
      </c>
      <c r="R91" s="22">
        <f>IF($A91="","",HYPERLINK("Z:\MUSTANG SERVICES\Affaires 2027\"&amp;$A91&amp;"\"&amp;$A91&amp;"_ToolList.xlsx","Ouvrir"))</f>
        <v/>
      </c>
      <c r="S91" s="22">
        <f>IF($A91="","",HYPERLINK("Z:\MUSTANG SERVICES\Affaires 2027\"&amp;$A91&amp;"\"&amp;$A91&amp;"_BL.xlsx","Ouvrir"))</f>
        <v/>
      </c>
      <c r="T91" s="22">
        <f>IF($A91="","",HYPERLINK("Z:\MUSTANG SERVICES\Affaires 2027\"&amp;$A91&amp;"\"&amp;$A91&amp;"_ServiceTicket.xlsx","Ouvrir"))</f>
        <v/>
      </c>
      <c r="U91" s="22">
        <f>IF($A91="","",HYPERLINK("Z:\MUSTANG SERVICES\Affaires 2027\"&amp;$A91&amp;"\","Dossier"))</f>
        <v/>
      </c>
    </row>
    <row r="92" ht="18" customHeight="1">
      <c r="A92" s="16" t="n"/>
      <c r="B92" s="17" t="n"/>
      <c r="C92" s="17" t="n"/>
      <c r="D92" s="18">
        <f>IF(AND(ISNUMBER($B92),ISNUMBER($C92)),$C92-$B92,"")</f>
        <v/>
      </c>
      <c r="E92" s="19" t="n"/>
      <c r="F92" s="20" t="n"/>
      <c r="G92" s="19" t="n"/>
      <c r="H92" s="20" t="n"/>
      <c r="I92" s="20" t="n"/>
      <c r="J92" s="19" t="n"/>
      <c r="K92" s="16" t="n"/>
      <c r="L92" s="20" t="n"/>
      <c r="M92" s="20" t="n"/>
      <c r="N92" s="17" t="n"/>
      <c r="O92" s="18">
        <f>IF(AND(OR($M92="Envoyé",$M92="En attente"),ISNUMBER($C92),NOT(ISNUMBER($N92))),IF(TODAY()-$C92&gt;=7,"⚠ relancer",""),"")</f>
        <v/>
      </c>
      <c r="P92" s="19" t="n"/>
      <c r="Q92" s="22">
        <f>IF($A92="","",HYPERLINK("Z:\MUSTANG SERVICES\Affaires 2027\"&amp;$A92&amp;"\"&amp;$A92&amp;"_Devis.xlsx","Ouvrir"))</f>
        <v/>
      </c>
      <c r="R92" s="22">
        <f>IF($A92="","",HYPERLINK("Z:\MUSTANG SERVICES\Affaires 2027\"&amp;$A92&amp;"\"&amp;$A92&amp;"_ToolList.xlsx","Ouvrir"))</f>
        <v/>
      </c>
      <c r="S92" s="22">
        <f>IF($A92="","",HYPERLINK("Z:\MUSTANG SERVICES\Affaires 2027\"&amp;$A92&amp;"\"&amp;$A92&amp;"_BL.xlsx","Ouvrir"))</f>
        <v/>
      </c>
      <c r="T92" s="22">
        <f>IF($A92="","",HYPERLINK("Z:\MUSTANG SERVICES\Affaires 2027\"&amp;$A92&amp;"\"&amp;$A92&amp;"_ServiceTicket.xlsx","Ouvrir"))</f>
        <v/>
      </c>
      <c r="U92" s="22">
        <f>IF($A92="","",HYPERLINK("Z:\MUSTANG SERVICES\Affaires 2027\"&amp;$A92&amp;"\","Dossier"))</f>
        <v/>
      </c>
    </row>
    <row r="93" ht="18" customHeight="1">
      <c r="A93" s="16" t="n"/>
      <c r="B93" s="17" t="n"/>
      <c r="C93" s="17" t="n"/>
      <c r="D93" s="18">
        <f>IF(AND(ISNUMBER($B93),ISNUMBER($C93)),$C93-$B93,"")</f>
        <v/>
      </c>
      <c r="E93" s="19" t="n"/>
      <c r="F93" s="20" t="n"/>
      <c r="G93" s="19" t="n"/>
      <c r="H93" s="20" t="n"/>
      <c r="I93" s="20" t="n"/>
      <c r="J93" s="19" t="n"/>
      <c r="K93" s="16" t="n"/>
      <c r="L93" s="20" t="n"/>
      <c r="M93" s="20" t="n"/>
      <c r="N93" s="17" t="n"/>
      <c r="O93" s="18">
        <f>IF(AND(OR($M93="Envoyé",$M93="En attente"),ISNUMBER($C93),NOT(ISNUMBER($N93))),IF(TODAY()-$C93&gt;=7,"⚠ relancer",""),"")</f>
        <v/>
      </c>
      <c r="P93" s="19" t="n"/>
      <c r="Q93" s="22">
        <f>IF($A93="","",HYPERLINK("Z:\MUSTANG SERVICES\Affaires 2027\"&amp;$A93&amp;"\"&amp;$A93&amp;"_Devis.xlsx","Ouvrir"))</f>
        <v/>
      </c>
      <c r="R93" s="22">
        <f>IF($A93="","",HYPERLINK("Z:\MUSTANG SERVICES\Affaires 2027\"&amp;$A93&amp;"\"&amp;$A93&amp;"_ToolList.xlsx","Ouvrir"))</f>
        <v/>
      </c>
      <c r="S93" s="22">
        <f>IF($A93="","",HYPERLINK("Z:\MUSTANG SERVICES\Affaires 2027\"&amp;$A93&amp;"\"&amp;$A93&amp;"_BL.xlsx","Ouvrir"))</f>
        <v/>
      </c>
      <c r="T93" s="22">
        <f>IF($A93="","",HYPERLINK("Z:\MUSTANG SERVICES\Affaires 2027\"&amp;$A93&amp;"\"&amp;$A93&amp;"_ServiceTicket.xlsx","Ouvrir"))</f>
        <v/>
      </c>
      <c r="U93" s="22">
        <f>IF($A93="","",HYPERLINK("Z:\MUSTANG SERVICES\Affaires 2027\"&amp;$A93&amp;"\","Dossier"))</f>
        <v/>
      </c>
    </row>
    <row r="94" ht="18" customHeight="1">
      <c r="A94" s="16" t="n"/>
      <c r="B94" s="17" t="n"/>
      <c r="C94" s="17" t="n"/>
      <c r="D94" s="18">
        <f>IF(AND(ISNUMBER($B94),ISNUMBER($C94)),$C94-$B94,"")</f>
        <v/>
      </c>
      <c r="E94" s="19" t="n"/>
      <c r="F94" s="20" t="n"/>
      <c r="G94" s="19" t="n"/>
      <c r="H94" s="20" t="n"/>
      <c r="I94" s="20" t="n"/>
      <c r="J94" s="19" t="n"/>
      <c r="K94" s="16" t="n"/>
      <c r="L94" s="20" t="n"/>
      <c r="M94" s="20" t="n"/>
      <c r="N94" s="17" t="n"/>
      <c r="O94" s="18">
        <f>IF(AND(OR($M94="Envoyé",$M94="En attente"),ISNUMBER($C94),NOT(ISNUMBER($N94))),IF(TODAY()-$C94&gt;=7,"⚠ relancer",""),"")</f>
        <v/>
      </c>
      <c r="P94" s="19" t="n"/>
      <c r="Q94" s="22">
        <f>IF($A94="","",HYPERLINK("Z:\MUSTANG SERVICES\Affaires 2027\"&amp;$A94&amp;"\"&amp;$A94&amp;"_Devis.xlsx","Ouvrir"))</f>
        <v/>
      </c>
      <c r="R94" s="22">
        <f>IF($A94="","",HYPERLINK("Z:\MUSTANG SERVICES\Affaires 2027\"&amp;$A94&amp;"\"&amp;$A94&amp;"_ToolList.xlsx","Ouvrir"))</f>
        <v/>
      </c>
      <c r="S94" s="22">
        <f>IF($A94="","",HYPERLINK("Z:\MUSTANG SERVICES\Affaires 2027\"&amp;$A94&amp;"\"&amp;$A94&amp;"_BL.xlsx","Ouvrir"))</f>
        <v/>
      </c>
      <c r="T94" s="22">
        <f>IF($A94="","",HYPERLINK("Z:\MUSTANG SERVICES\Affaires 2027\"&amp;$A94&amp;"\"&amp;$A94&amp;"_ServiceTicket.xlsx","Ouvrir"))</f>
        <v/>
      </c>
      <c r="U94" s="22">
        <f>IF($A94="","",HYPERLINK("Z:\MUSTANG SERVICES\Affaires 2027\"&amp;$A94&amp;"\","Dossier"))</f>
        <v/>
      </c>
    </row>
    <row r="95" ht="18" customHeight="1">
      <c r="A95" s="16" t="n"/>
      <c r="B95" s="17" t="n"/>
      <c r="C95" s="17" t="n"/>
      <c r="D95" s="18">
        <f>IF(AND(ISNUMBER($B95),ISNUMBER($C95)),$C95-$B95,"")</f>
        <v/>
      </c>
      <c r="E95" s="19" t="n"/>
      <c r="F95" s="20" t="n"/>
      <c r="G95" s="19" t="n"/>
      <c r="H95" s="20" t="n"/>
      <c r="I95" s="20" t="n"/>
      <c r="J95" s="19" t="n"/>
      <c r="K95" s="16" t="n"/>
      <c r="L95" s="20" t="n"/>
      <c r="M95" s="20" t="n"/>
      <c r="N95" s="17" t="n"/>
      <c r="O95" s="18">
        <f>IF(AND(OR($M95="Envoyé",$M95="En attente"),ISNUMBER($C95),NOT(ISNUMBER($N95))),IF(TODAY()-$C95&gt;=7,"⚠ relancer",""),"")</f>
        <v/>
      </c>
      <c r="P95" s="19" t="n"/>
      <c r="Q95" s="22">
        <f>IF($A95="","",HYPERLINK("Z:\MUSTANG SERVICES\Affaires 2027\"&amp;$A95&amp;"\"&amp;$A95&amp;"_Devis.xlsx","Ouvrir"))</f>
        <v/>
      </c>
      <c r="R95" s="22">
        <f>IF($A95="","",HYPERLINK("Z:\MUSTANG SERVICES\Affaires 2027\"&amp;$A95&amp;"\"&amp;$A95&amp;"_ToolList.xlsx","Ouvrir"))</f>
        <v/>
      </c>
      <c r="S95" s="22">
        <f>IF($A95="","",HYPERLINK("Z:\MUSTANG SERVICES\Affaires 2027\"&amp;$A95&amp;"\"&amp;$A95&amp;"_BL.xlsx","Ouvrir"))</f>
        <v/>
      </c>
      <c r="T95" s="22">
        <f>IF($A95="","",HYPERLINK("Z:\MUSTANG SERVICES\Affaires 2027\"&amp;$A95&amp;"\"&amp;$A95&amp;"_ServiceTicket.xlsx","Ouvrir"))</f>
        <v/>
      </c>
      <c r="U95" s="22">
        <f>IF($A95="","",HYPERLINK("Z:\MUSTANG SERVICES\Affaires 2027\"&amp;$A95&amp;"\","Dossier"))</f>
        <v/>
      </c>
    </row>
    <row r="96" ht="18" customHeight="1">
      <c r="A96" s="16" t="n"/>
      <c r="B96" s="17" t="n"/>
      <c r="C96" s="17" t="n"/>
      <c r="D96" s="18">
        <f>IF(AND(ISNUMBER($B96),ISNUMBER($C96)),$C96-$B96,"")</f>
        <v/>
      </c>
      <c r="E96" s="19" t="n"/>
      <c r="F96" s="20" t="n"/>
      <c r="G96" s="19" t="n"/>
      <c r="H96" s="20" t="n"/>
      <c r="I96" s="20" t="n"/>
      <c r="J96" s="19" t="n"/>
      <c r="K96" s="16" t="n"/>
      <c r="L96" s="20" t="n"/>
      <c r="M96" s="20" t="n"/>
      <c r="N96" s="17" t="n"/>
      <c r="O96" s="18">
        <f>IF(AND(OR($M96="Envoyé",$M96="En attente"),ISNUMBER($C96),NOT(ISNUMBER($N96))),IF(TODAY()-$C96&gt;=7,"⚠ relancer",""),"")</f>
        <v/>
      </c>
      <c r="P96" s="19" t="n"/>
      <c r="Q96" s="22">
        <f>IF($A96="","",HYPERLINK("Z:\MUSTANG SERVICES\Affaires 2027\"&amp;$A96&amp;"\"&amp;$A96&amp;"_Devis.xlsx","Ouvrir"))</f>
        <v/>
      </c>
      <c r="R96" s="22">
        <f>IF($A96="","",HYPERLINK("Z:\MUSTANG SERVICES\Affaires 2027\"&amp;$A96&amp;"\"&amp;$A96&amp;"_ToolList.xlsx","Ouvrir"))</f>
        <v/>
      </c>
      <c r="S96" s="22">
        <f>IF($A96="","",HYPERLINK("Z:\MUSTANG SERVICES\Affaires 2027\"&amp;$A96&amp;"\"&amp;$A96&amp;"_BL.xlsx","Ouvrir"))</f>
        <v/>
      </c>
      <c r="T96" s="22">
        <f>IF($A96="","",HYPERLINK("Z:\MUSTANG SERVICES\Affaires 2027\"&amp;$A96&amp;"\"&amp;$A96&amp;"_ServiceTicket.xlsx","Ouvrir"))</f>
        <v/>
      </c>
      <c r="U96" s="22">
        <f>IF($A96="","",HYPERLINK("Z:\MUSTANG SERVICES\Affaires 2027\"&amp;$A96&amp;"\","Dossier"))</f>
        <v/>
      </c>
    </row>
    <row r="97" ht="18" customHeight="1">
      <c r="A97" s="16" t="n"/>
      <c r="B97" s="17" t="n"/>
      <c r="C97" s="17" t="n"/>
      <c r="D97" s="18">
        <f>IF(AND(ISNUMBER($B97),ISNUMBER($C97)),$C97-$B97,"")</f>
        <v/>
      </c>
      <c r="E97" s="19" t="n"/>
      <c r="F97" s="20" t="n"/>
      <c r="G97" s="19" t="n"/>
      <c r="H97" s="20" t="n"/>
      <c r="I97" s="20" t="n"/>
      <c r="J97" s="19" t="n"/>
      <c r="K97" s="16" t="n"/>
      <c r="L97" s="20" t="n"/>
      <c r="M97" s="20" t="n"/>
      <c r="N97" s="17" t="n"/>
      <c r="O97" s="18">
        <f>IF(AND(OR($M97="Envoyé",$M97="En attente"),ISNUMBER($C97),NOT(ISNUMBER($N97))),IF(TODAY()-$C97&gt;=7,"⚠ relancer",""),"")</f>
        <v/>
      </c>
      <c r="P97" s="19" t="n"/>
      <c r="Q97" s="22">
        <f>IF($A97="","",HYPERLINK("Z:\MUSTANG SERVICES\Affaires 2027\"&amp;$A97&amp;"\"&amp;$A97&amp;"_Devis.xlsx","Ouvrir"))</f>
        <v/>
      </c>
      <c r="R97" s="22">
        <f>IF($A97="","",HYPERLINK("Z:\MUSTANG SERVICES\Affaires 2027\"&amp;$A97&amp;"\"&amp;$A97&amp;"_ToolList.xlsx","Ouvrir"))</f>
        <v/>
      </c>
      <c r="S97" s="22">
        <f>IF($A97="","",HYPERLINK("Z:\MUSTANG SERVICES\Affaires 2027\"&amp;$A97&amp;"\"&amp;$A97&amp;"_BL.xlsx","Ouvrir"))</f>
        <v/>
      </c>
      <c r="T97" s="22">
        <f>IF($A97="","",HYPERLINK("Z:\MUSTANG SERVICES\Affaires 2027\"&amp;$A97&amp;"\"&amp;$A97&amp;"_ServiceTicket.xlsx","Ouvrir"))</f>
        <v/>
      </c>
      <c r="U97" s="22">
        <f>IF($A97="","",HYPERLINK("Z:\MUSTANG SERVICES\Affaires 2027\"&amp;$A97&amp;"\","Dossier"))</f>
        <v/>
      </c>
    </row>
    <row r="98" ht="18" customHeight="1">
      <c r="A98" s="16" t="n"/>
      <c r="B98" s="17" t="n"/>
      <c r="C98" s="17" t="n"/>
      <c r="D98" s="18">
        <f>IF(AND(ISNUMBER($B98),ISNUMBER($C98)),$C98-$B98,"")</f>
        <v/>
      </c>
      <c r="E98" s="19" t="n"/>
      <c r="F98" s="20" t="n"/>
      <c r="G98" s="19" t="n"/>
      <c r="H98" s="20" t="n"/>
      <c r="I98" s="20" t="n"/>
      <c r="J98" s="19" t="n"/>
      <c r="K98" s="16" t="n"/>
      <c r="L98" s="20" t="n"/>
      <c r="M98" s="20" t="n"/>
      <c r="N98" s="17" t="n"/>
      <c r="O98" s="18">
        <f>IF(AND(OR($M98="Envoyé",$M98="En attente"),ISNUMBER($C98),NOT(ISNUMBER($N98))),IF(TODAY()-$C98&gt;=7,"⚠ relancer",""),"")</f>
        <v/>
      </c>
      <c r="P98" s="19" t="n"/>
      <c r="Q98" s="22">
        <f>IF($A98="","",HYPERLINK("Z:\MUSTANG SERVICES\Affaires 2027\"&amp;$A98&amp;"\"&amp;$A98&amp;"_Devis.xlsx","Ouvrir"))</f>
        <v/>
      </c>
      <c r="R98" s="22">
        <f>IF($A98="","",HYPERLINK("Z:\MUSTANG SERVICES\Affaires 2027\"&amp;$A98&amp;"\"&amp;$A98&amp;"_ToolList.xlsx","Ouvrir"))</f>
        <v/>
      </c>
      <c r="S98" s="22">
        <f>IF($A98="","",HYPERLINK("Z:\MUSTANG SERVICES\Affaires 2027\"&amp;$A98&amp;"\"&amp;$A98&amp;"_BL.xlsx","Ouvrir"))</f>
        <v/>
      </c>
      <c r="T98" s="22">
        <f>IF($A98="","",HYPERLINK("Z:\MUSTANG SERVICES\Affaires 2027\"&amp;$A98&amp;"\"&amp;$A98&amp;"_ServiceTicket.xlsx","Ouvrir"))</f>
        <v/>
      </c>
      <c r="U98" s="22">
        <f>IF($A98="","",HYPERLINK("Z:\MUSTANG SERVICES\Affaires 2027\"&amp;$A98&amp;"\","Dossier"))</f>
        <v/>
      </c>
    </row>
    <row r="99" ht="18" customHeight="1">
      <c r="A99" s="16" t="n"/>
      <c r="B99" s="17" t="n"/>
      <c r="C99" s="17" t="n"/>
      <c r="D99" s="18">
        <f>IF(AND(ISNUMBER($B99),ISNUMBER($C99)),$C99-$B99,"")</f>
        <v/>
      </c>
      <c r="E99" s="19" t="n"/>
      <c r="F99" s="20" t="n"/>
      <c r="G99" s="19" t="n"/>
      <c r="H99" s="20" t="n"/>
      <c r="I99" s="20" t="n"/>
      <c r="J99" s="19" t="n"/>
      <c r="K99" s="16" t="n"/>
      <c r="L99" s="20" t="n"/>
      <c r="M99" s="20" t="n"/>
      <c r="N99" s="17" t="n"/>
      <c r="O99" s="18">
        <f>IF(AND(OR($M99="Envoyé",$M99="En attente"),ISNUMBER($C99),NOT(ISNUMBER($N99))),IF(TODAY()-$C99&gt;=7,"⚠ relancer",""),"")</f>
        <v/>
      </c>
      <c r="P99" s="19" t="n"/>
      <c r="Q99" s="22">
        <f>IF($A99="","",HYPERLINK("Z:\MUSTANG SERVICES\Affaires 2027\"&amp;$A99&amp;"\"&amp;$A99&amp;"_Devis.xlsx","Ouvrir"))</f>
        <v/>
      </c>
      <c r="R99" s="22">
        <f>IF($A99="","",HYPERLINK("Z:\MUSTANG SERVICES\Affaires 2027\"&amp;$A99&amp;"\"&amp;$A99&amp;"_ToolList.xlsx","Ouvrir"))</f>
        <v/>
      </c>
      <c r="S99" s="22">
        <f>IF($A99="","",HYPERLINK("Z:\MUSTANG SERVICES\Affaires 2027\"&amp;$A99&amp;"\"&amp;$A99&amp;"_BL.xlsx","Ouvrir"))</f>
        <v/>
      </c>
      <c r="T99" s="22">
        <f>IF($A99="","",HYPERLINK("Z:\MUSTANG SERVICES\Affaires 2027\"&amp;$A99&amp;"\"&amp;$A99&amp;"_ServiceTicket.xlsx","Ouvrir"))</f>
        <v/>
      </c>
      <c r="U99" s="22">
        <f>IF($A99="","",HYPERLINK("Z:\MUSTANG SERVICES\Affaires 2027\"&amp;$A99&amp;"\","Dossier"))</f>
        <v/>
      </c>
    </row>
    <row r="100" ht="18" customHeight="1">
      <c r="A100" s="16" t="n"/>
      <c r="B100" s="17" t="n"/>
      <c r="C100" s="17" t="n"/>
      <c r="D100" s="18">
        <f>IF(AND(ISNUMBER($B100),ISNUMBER($C100)),$C100-$B100,"")</f>
        <v/>
      </c>
      <c r="E100" s="19" t="n"/>
      <c r="F100" s="20" t="n"/>
      <c r="G100" s="19" t="n"/>
      <c r="H100" s="20" t="n"/>
      <c r="I100" s="20" t="n"/>
      <c r="J100" s="19" t="n"/>
      <c r="K100" s="16" t="n"/>
      <c r="L100" s="20" t="n"/>
      <c r="M100" s="20" t="n"/>
      <c r="N100" s="17" t="n"/>
      <c r="O100" s="18">
        <f>IF(AND(OR($M100="Envoyé",$M100="En attente"),ISNUMBER($C100),NOT(ISNUMBER($N100))),IF(TODAY()-$C100&gt;=7,"⚠ relancer",""),"")</f>
        <v/>
      </c>
      <c r="P100" s="19" t="n"/>
      <c r="Q100" s="22">
        <f>IF($A100="","",HYPERLINK("Z:\MUSTANG SERVICES\Affaires 2027\"&amp;$A100&amp;"\"&amp;$A100&amp;"_Devis.xlsx","Ouvrir"))</f>
        <v/>
      </c>
      <c r="R100" s="22">
        <f>IF($A100="","",HYPERLINK("Z:\MUSTANG SERVICES\Affaires 2027\"&amp;$A100&amp;"\"&amp;$A100&amp;"_ToolList.xlsx","Ouvrir"))</f>
        <v/>
      </c>
      <c r="S100" s="22">
        <f>IF($A100="","",HYPERLINK("Z:\MUSTANG SERVICES\Affaires 2027\"&amp;$A100&amp;"\"&amp;$A100&amp;"_BL.xlsx","Ouvrir"))</f>
        <v/>
      </c>
      <c r="T100" s="22">
        <f>IF($A100="","",HYPERLINK("Z:\MUSTANG SERVICES\Affaires 2027\"&amp;$A100&amp;"\"&amp;$A100&amp;"_ServiceTicket.xlsx","Ouvrir"))</f>
        <v/>
      </c>
      <c r="U100" s="22">
        <f>IF($A100="","",HYPERLINK("Z:\MUSTANG SERVICES\Affaires 2027\"&amp;$A100&amp;"\","Dossier"))</f>
        <v/>
      </c>
    </row>
    <row r="101" ht="18" customHeight="1">
      <c r="A101" s="16" t="n"/>
      <c r="B101" s="17" t="n"/>
      <c r="C101" s="17" t="n"/>
      <c r="D101" s="18">
        <f>IF(AND(ISNUMBER($B101),ISNUMBER($C101)),$C101-$B101,"")</f>
        <v/>
      </c>
      <c r="E101" s="19" t="n"/>
      <c r="F101" s="20" t="n"/>
      <c r="G101" s="19" t="n"/>
      <c r="H101" s="20" t="n"/>
      <c r="I101" s="20" t="n"/>
      <c r="J101" s="19" t="n"/>
      <c r="K101" s="16" t="n"/>
      <c r="L101" s="20" t="n"/>
      <c r="M101" s="20" t="n"/>
      <c r="N101" s="17" t="n"/>
      <c r="O101" s="18">
        <f>IF(AND(OR($M101="Envoyé",$M101="En attente"),ISNUMBER($C101),NOT(ISNUMBER($N101))),IF(TODAY()-$C101&gt;=7,"⚠ relancer",""),"")</f>
        <v/>
      </c>
      <c r="P101" s="19" t="n"/>
      <c r="Q101" s="22">
        <f>IF($A101="","",HYPERLINK("Z:\MUSTANG SERVICES\Affaires 2027\"&amp;$A101&amp;"\"&amp;$A101&amp;"_Devis.xlsx","Ouvrir"))</f>
        <v/>
      </c>
      <c r="R101" s="22">
        <f>IF($A101="","",HYPERLINK("Z:\MUSTANG SERVICES\Affaires 2027\"&amp;$A101&amp;"\"&amp;$A101&amp;"_ToolList.xlsx","Ouvrir"))</f>
        <v/>
      </c>
      <c r="S101" s="22">
        <f>IF($A101="","",HYPERLINK("Z:\MUSTANG SERVICES\Affaires 2027\"&amp;$A101&amp;"\"&amp;$A101&amp;"_BL.xlsx","Ouvrir"))</f>
        <v/>
      </c>
      <c r="T101" s="22">
        <f>IF($A101="","",HYPERLINK("Z:\MUSTANG SERVICES\Affaires 2027\"&amp;$A101&amp;"\"&amp;$A101&amp;"_ServiceTicket.xlsx","Ouvrir"))</f>
        <v/>
      </c>
      <c r="U101" s="22">
        <f>IF($A101="","",HYPERLINK("Z:\MUSTANG SERVICES\Affaires 2027\"&amp;$A101&amp;"\","Dossier"))</f>
        <v/>
      </c>
    </row>
    <row r="102" ht="18" customHeight="1">
      <c r="A102" s="16" t="n"/>
      <c r="B102" s="17" t="n"/>
      <c r="C102" s="17" t="n"/>
      <c r="D102" s="18">
        <f>IF(AND(ISNUMBER($B102),ISNUMBER($C102)),$C102-$B102,"")</f>
        <v/>
      </c>
      <c r="E102" s="19" t="n"/>
      <c r="F102" s="20" t="n"/>
      <c r="G102" s="19" t="n"/>
      <c r="H102" s="20" t="n"/>
      <c r="I102" s="20" t="n"/>
      <c r="J102" s="19" t="n"/>
      <c r="K102" s="16" t="n"/>
      <c r="L102" s="20" t="n"/>
      <c r="M102" s="20" t="n"/>
      <c r="N102" s="17" t="n"/>
      <c r="O102" s="18">
        <f>IF(AND(OR($M102="Envoyé",$M102="En attente"),ISNUMBER($C102),NOT(ISNUMBER($N102))),IF(TODAY()-$C102&gt;=7,"⚠ relancer",""),"")</f>
        <v/>
      </c>
      <c r="P102" s="19" t="n"/>
      <c r="Q102" s="22">
        <f>IF($A102="","",HYPERLINK("Z:\MUSTANG SERVICES\Affaires 2027\"&amp;$A102&amp;"\"&amp;$A102&amp;"_Devis.xlsx","Ouvrir"))</f>
        <v/>
      </c>
      <c r="R102" s="22">
        <f>IF($A102="","",HYPERLINK("Z:\MUSTANG SERVICES\Affaires 2027\"&amp;$A102&amp;"\"&amp;$A102&amp;"_ToolList.xlsx","Ouvrir"))</f>
        <v/>
      </c>
      <c r="S102" s="22">
        <f>IF($A102="","",HYPERLINK("Z:\MUSTANG SERVICES\Affaires 2027\"&amp;$A102&amp;"\"&amp;$A102&amp;"_BL.xlsx","Ouvrir"))</f>
        <v/>
      </c>
      <c r="T102" s="22">
        <f>IF($A102="","",HYPERLINK("Z:\MUSTANG SERVICES\Affaires 2027\"&amp;$A102&amp;"\"&amp;$A102&amp;"_ServiceTicket.xlsx","Ouvrir"))</f>
        <v/>
      </c>
      <c r="U102" s="22">
        <f>IF($A102="","",HYPERLINK("Z:\MUSTANG SERVICES\Affaires 2027\"&amp;$A102&amp;"\","Dossier"))</f>
        <v/>
      </c>
    </row>
    <row r="103" ht="18" customHeight="1">
      <c r="A103" s="16" t="n"/>
      <c r="B103" s="17" t="n"/>
      <c r="C103" s="17" t="n"/>
      <c r="D103" s="18">
        <f>IF(AND(ISNUMBER($B103),ISNUMBER($C103)),$C103-$B103,"")</f>
        <v/>
      </c>
      <c r="E103" s="19" t="n"/>
      <c r="F103" s="20" t="n"/>
      <c r="G103" s="19" t="n"/>
      <c r="H103" s="20" t="n"/>
      <c r="I103" s="20" t="n"/>
      <c r="J103" s="19" t="n"/>
      <c r="K103" s="16" t="n"/>
      <c r="L103" s="20" t="n"/>
      <c r="M103" s="20" t="n"/>
      <c r="N103" s="17" t="n"/>
      <c r="O103" s="18">
        <f>IF(AND(OR($M103="Envoyé",$M103="En attente"),ISNUMBER($C103),NOT(ISNUMBER($N103))),IF(TODAY()-$C103&gt;=7,"⚠ relancer",""),"")</f>
        <v/>
      </c>
      <c r="P103" s="19" t="n"/>
      <c r="Q103" s="22">
        <f>IF($A103="","",HYPERLINK("Z:\MUSTANG SERVICES\Affaires 2027\"&amp;$A103&amp;"\"&amp;$A103&amp;"_Devis.xlsx","Ouvrir"))</f>
        <v/>
      </c>
      <c r="R103" s="22">
        <f>IF($A103="","",HYPERLINK("Z:\MUSTANG SERVICES\Affaires 2027\"&amp;$A103&amp;"\"&amp;$A103&amp;"_ToolList.xlsx","Ouvrir"))</f>
        <v/>
      </c>
      <c r="S103" s="22">
        <f>IF($A103="","",HYPERLINK("Z:\MUSTANG SERVICES\Affaires 2027\"&amp;$A103&amp;"\"&amp;$A103&amp;"_BL.xlsx","Ouvrir"))</f>
        <v/>
      </c>
      <c r="T103" s="22">
        <f>IF($A103="","",HYPERLINK("Z:\MUSTANG SERVICES\Affaires 2027\"&amp;$A103&amp;"\"&amp;$A103&amp;"_ServiceTicket.xlsx","Ouvrir"))</f>
        <v/>
      </c>
      <c r="U103" s="22">
        <f>IF($A103="","",HYPERLINK("Z:\MUSTANG SERVICES\Affaires 2027\"&amp;$A103&amp;"\","Dossier"))</f>
        <v/>
      </c>
    </row>
    <row r="104" ht="18" customHeight="1">
      <c r="A104" s="16" t="n"/>
      <c r="B104" s="17" t="n"/>
      <c r="C104" s="17" t="n"/>
      <c r="D104" s="18">
        <f>IF(AND(ISNUMBER($B104),ISNUMBER($C104)),$C104-$B104,"")</f>
        <v/>
      </c>
      <c r="E104" s="19" t="n"/>
      <c r="F104" s="20" t="n"/>
      <c r="G104" s="19" t="n"/>
      <c r="H104" s="20" t="n"/>
      <c r="I104" s="20" t="n"/>
      <c r="J104" s="19" t="n"/>
      <c r="K104" s="16" t="n"/>
      <c r="L104" s="20" t="n"/>
      <c r="M104" s="20" t="n"/>
      <c r="N104" s="17" t="n"/>
      <c r="O104" s="18">
        <f>IF(AND(OR($M104="Envoyé",$M104="En attente"),ISNUMBER($C104),NOT(ISNUMBER($N104))),IF(TODAY()-$C104&gt;=7,"⚠ relancer",""),"")</f>
        <v/>
      </c>
      <c r="P104" s="19" t="n"/>
      <c r="Q104" s="22">
        <f>IF($A104="","",HYPERLINK("Z:\MUSTANG SERVICES\Affaires 2027\"&amp;$A104&amp;"\"&amp;$A104&amp;"_Devis.xlsx","Ouvrir"))</f>
        <v/>
      </c>
      <c r="R104" s="22">
        <f>IF($A104="","",HYPERLINK("Z:\MUSTANG SERVICES\Affaires 2027\"&amp;$A104&amp;"\"&amp;$A104&amp;"_ToolList.xlsx","Ouvrir"))</f>
        <v/>
      </c>
      <c r="S104" s="22">
        <f>IF($A104="","",HYPERLINK("Z:\MUSTANG SERVICES\Affaires 2027\"&amp;$A104&amp;"\"&amp;$A104&amp;"_BL.xlsx","Ouvrir"))</f>
        <v/>
      </c>
      <c r="T104" s="22">
        <f>IF($A104="","",HYPERLINK("Z:\MUSTANG SERVICES\Affaires 2027\"&amp;$A104&amp;"\"&amp;$A104&amp;"_ServiceTicket.xlsx","Ouvrir"))</f>
        <v/>
      </c>
      <c r="U104" s="22">
        <f>IF($A104="","",HYPERLINK("Z:\MUSTANG SERVICES\Affaires 2027\"&amp;$A104&amp;"\","Dossier"))</f>
        <v/>
      </c>
    </row>
    <row r="105" ht="18" customHeight="1">
      <c r="A105" s="16" t="n"/>
      <c r="B105" s="17" t="n"/>
      <c r="C105" s="17" t="n"/>
      <c r="D105" s="18">
        <f>IF(AND(ISNUMBER($B105),ISNUMBER($C105)),$C105-$B105,"")</f>
        <v/>
      </c>
      <c r="E105" s="19" t="n"/>
      <c r="F105" s="20" t="n"/>
      <c r="G105" s="19" t="n"/>
      <c r="H105" s="20" t="n"/>
      <c r="I105" s="20" t="n"/>
      <c r="J105" s="19" t="n"/>
      <c r="K105" s="16" t="n"/>
      <c r="L105" s="20" t="n"/>
      <c r="M105" s="20" t="n"/>
      <c r="N105" s="17" t="n"/>
      <c r="O105" s="18">
        <f>IF(AND(OR($M105="Envoyé",$M105="En attente"),ISNUMBER($C105),NOT(ISNUMBER($N105))),IF(TODAY()-$C105&gt;=7,"⚠ relancer",""),"")</f>
        <v/>
      </c>
      <c r="P105" s="19" t="n"/>
      <c r="Q105" s="22">
        <f>IF($A105="","",HYPERLINK("Z:\MUSTANG SERVICES\Affaires 2027\"&amp;$A105&amp;"\"&amp;$A105&amp;"_Devis.xlsx","Ouvrir"))</f>
        <v/>
      </c>
      <c r="R105" s="22">
        <f>IF($A105="","",HYPERLINK("Z:\MUSTANG SERVICES\Affaires 2027\"&amp;$A105&amp;"\"&amp;$A105&amp;"_ToolList.xlsx","Ouvrir"))</f>
        <v/>
      </c>
      <c r="S105" s="22">
        <f>IF($A105="","",HYPERLINK("Z:\MUSTANG SERVICES\Affaires 2027\"&amp;$A105&amp;"\"&amp;$A105&amp;"_BL.xlsx","Ouvrir"))</f>
        <v/>
      </c>
      <c r="T105" s="22">
        <f>IF($A105="","",HYPERLINK("Z:\MUSTANG SERVICES\Affaires 2027\"&amp;$A105&amp;"\"&amp;$A105&amp;"_ServiceTicket.xlsx","Ouvrir"))</f>
        <v/>
      </c>
      <c r="U105" s="22">
        <f>IF($A105="","",HYPERLINK("Z:\MUSTANG SERVICES\Affaires 2027\"&amp;$A105&amp;"\","Dossier"))</f>
        <v/>
      </c>
    </row>
    <row r="106" ht="18" customHeight="1">
      <c r="A106" s="16" t="n"/>
      <c r="B106" s="17" t="n"/>
      <c r="C106" s="17" t="n"/>
      <c r="D106" s="18">
        <f>IF(AND(ISNUMBER($B106),ISNUMBER($C106)),$C106-$B106,"")</f>
        <v/>
      </c>
      <c r="E106" s="19" t="n"/>
      <c r="F106" s="20" t="n"/>
      <c r="G106" s="19" t="n"/>
      <c r="H106" s="20" t="n"/>
      <c r="I106" s="20" t="n"/>
      <c r="J106" s="19" t="n"/>
      <c r="K106" s="16" t="n"/>
      <c r="L106" s="20" t="n"/>
      <c r="M106" s="20" t="n"/>
      <c r="N106" s="17" t="n"/>
      <c r="O106" s="18">
        <f>IF(AND(OR($M106="Envoyé",$M106="En attente"),ISNUMBER($C106),NOT(ISNUMBER($N106))),IF(TODAY()-$C106&gt;=7,"⚠ relancer",""),"")</f>
        <v/>
      </c>
      <c r="P106" s="19" t="n"/>
      <c r="Q106" s="22">
        <f>IF($A106="","",HYPERLINK("Z:\MUSTANG SERVICES\Affaires 2027\"&amp;$A106&amp;"\"&amp;$A106&amp;"_Devis.xlsx","Ouvrir"))</f>
        <v/>
      </c>
      <c r="R106" s="22">
        <f>IF($A106="","",HYPERLINK("Z:\MUSTANG SERVICES\Affaires 2027\"&amp;$A106&amp;"\"&amp;$A106&amp;"_ToolList.xlsx","Ouvrir"))</f>
        <v/>
      </c>
      <c r="S106" s="22">
        <f>IF($A106="","",HYPERLINK("Z:\MUSTANG SERVICES\Affaires 2027\"&amp;$A106&amp;"\"&amp;$A106&amp;"_BL.xlsx","Ouvrir"))</f>
        <v/>
      </c>
      <c r="T106" s="22">
        <f>IF($A106="","",HYPERLINK("Z:\MUSTANG SERVICES\Affaires 2027\"&amp;$A106&amp;"\"&amp;$A106&amp;"_ServiceTicket.xlsx","Ouvrir"))</f>
        <v/>
      </c>
      <c r="U106" s="22">
        <f>IF($A106="","",HYPERLINK("Z:\MUSTANG SERVICES\Affaires 2027\"&amp;$A106&amp;"\","Dossier"))</f>
        <v/>
      </c>
    </row>
    <row r="107" ht="18" customHeight="1">
      <c r="A107" s="16" t="n"/>
      <c r="B107" s="17" t="n"/>
      <c r="C107" s="17" t="n"/>
      <c r="D107" s="18">
        <f>IF(AND(ISNUMBER($B107),ISNUMBER($C107)),$C107-$B107,"")</f>
        <v/>
      </c>
      <c r="E107" s="19" t="n"/>
      <c r="F107" s="20" t="n"/>
      <c r="G107" s="19" t="n"/>
      <c r="H107" s="20" t="n"/>
      <c r="I107" s="20" t="n"/>
      <c r="J107" s="19" t="n"/>
      <c r="K107" s="16" t="n"/>
      <c r="L107" s="20" t="n"/>
      <c r="M107" s="20" t="n"/>
      <c r="N107" s="17" t="n"/>
      <c r="O107" s="18">
        <f>IF(AND(OR($M107="Envoyé",$M107="En attente"),ISNUMBER($C107),NOT(ISNUMBER($N107))),IF(TODAY()-$C107&gt;=7,"⚠ relancer",""),"")</f>
        <v/>
      </c>
      <c r="P107" s="19" t="n"/>
      <c r="Q107" s="22">
        <f>IF($A107="","",HYPERLINK("Z:\MUSTANG SERVICES\Affaires 2027\"&amp;$A107&amp;"\"&amp;$A107&amp;"_Devis.xlsx","Ouvrir"))</f>
        <v/>
      </c>
      <c r="R107" s="22">
        <f>IF($A107="","",HYPERLINK("Z:\MUSTANG SERVICES\Affaires 2027\"&amp;$A107&amp;"\"&amp;$A107&amp;"_ToolList.xlsx","Ouvrir"))</f>
        <v/>
      </c>
      <c r="S107" s="22">
        <f>IF($A107="","",HYPERLINK("Z:\MUSTANG SERVICES\Affaires 2027\"&amp;$A107&amp;"\"&amp;$A107&amp;"_BL.xlsx","Ouvrir"))</f>
        <v/>
      </c>
      <c r="T107" s="22">
        <f>IF($A107="","",HYPERLINK("Z:\MUSTANG SERVICES\Affaires 2027\"&amp;$A107&amp;"\"&amp;$A107&amp;"_ServiceTicket.xlsx","Ouvrir"))</f>
        <v/>
      </c>
      <c r="U107" s="22">
        <f>IF($A107="","",HYPERLINK("Z:\MUSTANG SERVICES\Affaires 2027\"&amp;$A107&amp;"\","Dossier"))</f>
        <v/>
      </c>
    </row>
    <row r="108" ht="18" customHeight="1">
      <c r="A108" s="16" t="n"/>
      <c r="B108" s="17" t="n"/>
      <c r="C108" s="17" t="n"/>
      <c r="D108" s="18">
        <f>IF(AND(ISNUMBER($B108),ISNUMBER($C108)),$C108-$B108,"")</f>
        <v/>
      </c>
      <c r="E108" s="19" t="n"/>
      <c r="F108" s="20" t="n"/>
      <c r="G108" s="19" t="n"/>
      <c r="H108" s="20" t="n"/>
      <c r="I108" s="20" t="n"/>
      <c r="J108" s="19" t="n"/>
      <c r="K108" s="16" t="n"/>
      <c r="L108" s="20" t="n"/>
      <c r="M108" s="20" t="n"/>
      <c r="N108" s="17" t="n"/>
      <c r="O108" s="18">
        <f>IF(AND(OR($M108="Envoyé",$M108="En attente"),ISNUMBER($C108),NOT(ISNUMBER($N108))),IF(TODAY()-$C108&gt;=7,"⚠ relancer",""),"")</f>
        <v/>
      </c>
      <c r="P108" s="19" t="n"/>
      <c r="Q108" s="22">
        <f>IF($A108="","",HYPERLINK("Z:\MUSTANG SERVICES\Affaires 2027\"&amp;$A108&amp;"\"&amp;$A108&amp;"_Devis.xlsx","Ouvrir"))</f>
        <v/>
      </c>
      <c r="R108" s="22">
        <f>IF($A108="","",HYPERLINK("Z:\MUSTANG SERVICES\Affaires 2027\"&amp;$A108&amp;"\"&amp;$A108&amp;"_ToolList.xlsx","Ouvrir"))</f>
        <v/>
      </c>
      <c r="S108" s="22">
        <f>IF($A108="","",HYPERLINK("Z:\MUSTANG SERVICES\Affaires 2027\"&amp;$A108&amp;"\"&amp;$A108&amp;"_BL.xlsx","Ouvrir"))</f>
        <v/>
      </c>
      <c r="T108" s="22">
        <f>IF($A108="","",HYPERLINK("Z:\MUSTANG SERVICES\Affaires 2027\"&amp;$A108&amp;"\"&amp;$A108&amp;"_ServiceTicket.xlsx","Ouvrir"))</f>
        <v/>
      </c>
      <c r="U108" s="22">
        <f>IF($A108="","",HYPERLINK("Z:\MUSTANG SERVICES\Affaires 2027\"&amp;$A108&amp;"\","Dossier"))</f>
        <v/>
      </c>
    </row>
    <row r="109" ht="18" customHeight="1">
      <c r="A109" s="16" t="n"/>
      <c r="B109" s="17" t="n"/>
      <c r="C109" s="17" t="n"/>
      <c r="D109" s="18">
        <f>IF(AND(ISNUMBER($B109),ISNUMBER($C109)),$C109-$B109,"")</f>
        <v/>
      </c>
      <c r="E109" s="19" t="n"/>
      <c r="F109" s="20" t="n"/>
      <c r="G109" s="19" t="n"/>
      <c r="H109" s="20" t="n"/>
      <c r="I109" s="20" t="n"/>
      <c r="J109" s="19" t="n"/>
      <c r="K109" s="16" t="n"/>
      <c r="L109" s="20" t="n"/>
      <c r="M109" s="20" t="n"/>
      <c r="N109" s="17" t="n"/>
      <c r="O109" s="18">
        <f>IF(AND(OR($M109="Envoyé",$M109="En attente"),ISNUMBER($C109),NOT(ISNUMBER($N109))),IF(TODAY()-$C109&gt;=7,"⚠ relancer",""),"")</f>
        <v/>
      </c>
      <c r="P109" s="19" t="n"/>
      <c r="Q109" s="22">
        <f>IF($A109="","",HYPERLINK("Z:\MUSTANG SERVICES\Affaires 2027\"&amp;$A109&amp;"\"&amp;$A109&amp;"_Devis.xlsx","Ouvrir"))</f>
        <v/>
      </c>
      <c r="R109" s="22">
        <f>IF($A109="","",HYPERLINK("Z:\MUSTANG SERVICES\Affaires 2027\"&amp;$A109&amp;"\"&amp;$A109&amp;"_ToolList.xlsx","Ouvrir"))</f>
        <v/>
      </c>
      <c r="S109" s="22">
        <f>IF($A109="","",HYPERLINK("Z:\MUSTANG SERVICES\Affaires 2027\"&amp;$A109&amp;"\"&amp;$A109&amp;"_BL.xlsx","Ouvrir"))</f>
        <v/>
      </c>
      <c r="T109" s="22">
        <f>IF($A109="","",HYPERLINK("Z:\MUSTANG SERVICES\Affaires 2027\"&amp;$A109&amp;"\"&amp;$A109&amp;"_ServiceTicket.xlsx","Ouvrir"))</f>
        <v/>
      </c>
      <c r="U109" s="22">
        <f>IF($A109="","",HYPERLINK("Z:\MUSTANG SERVICES\Affaires 2027\"&amp;$A109&amp;"\","Dossier"))</f>
        <v/>
      </c>
    </row>
    <row r="110" ht="18" customHeight="1">
      <c r="A110" s="16" t="n"/>
      <c r="B110" s="17" t="n"/>
      <c r="C110" s="17" t="n"/>
      <c r="D110" s="18">
        <f>IF(AND(ISNUMBER($B110),ISNUMBER($C110)),$C110-$B110,"")</f>
        <v/>
      </c>
      <c r="E110" s="19" t="n"/>
      <c r="F110" s="20" t="n"/>
      <c r="G110" s="19" t="n"/>
      <c r="H110" s="20" t="n"/>
      <c r="I110" s="20" t="n"/>
      <c r="J110" s="19" t="n"/>
      <c r="K110" s="16" t="n"/>
      <c r="L110" s="20" t="n"/>
      <c r="M110" s="20" t="n"/>
      <c r="N110" s="17" t="n"/>
      <c r="O110" s="18">
        <f>IF(AND(OR($M110="Envoyé",$M110="En attente"),ISNUMBER($C110),NOT(ISNUMBER($N110))),IF(TODAY()-$C110&gt;=7,"⚠ relancer",""),"")</f>
        <v/>
      </c>
      <c r="P110" s="19" t="n"/>
      <c r="Q110" s="22">
        <f>IF($A110="","",HYPERLINK("Z:\MUSTANG SERVICES\Affaires 2027\"&amp;$A110&amp;"\"&amp;$A110&amp;"_Devis.xlsx","Ouvrir"))</f>
        <v/>
      </c>
      <c r="R110" s="22">
        <f>IF($A110="","",HYPERLINK("Z:\MUSTANG SERVICES\Affaires 2027\"&amp;$A110&amp;"\"&amp;$A110&amp;"_ToolList.xlsx","Ouvrir"))</f>
        <v/>
      </c>
      <c r="S110" s="22">
        <f>IF($A110="","",HYPERLINK("Z:\MUSTANG SERVICES\Affaires 2027\"&amp;$A110&amp;"\"&amp;$A110&amp;"_BL.xlsx","Ouvrir"))</f>
        <v/>
      </c>
      <c r="T110" s="22">
        <f>IF($A110="","",HYPERLINK("Z:\MUSTANG SERVICES\Affaires 2027\"&amp;$A110&amp;"\"&amp;$A110&amp;"_ServiceTicket.xlsx","Ouvrir"))</f>
        <v/>
      </c>
      <c r="U110" s="22">
        <f>IF($A110="","",HYPERLINK("Z:\MUSTANG SERVICES\Affaires 2027\"&amp;$A110&amp;"\","Dossier"))</f>
        <v/>
      </c>
    </row>
    <row r="111" ht="18" customHeight="1">
      <c r="A111" s="16" t="n"/>
      <c r="B111" s="17" t="n"/>
      <c r="C111" s="17" t="n"/>
      <c r="D111" s="18">
        <f>IF(AND(ISNUMBER($B111),ISNUMBER($C111)),$C111-$B111,"")</f>
        <v/>
      </c>
      <c r="E111" s="19" t="n"/>
      <c r="F111" s="20" t="n"/>
      <c r="G111" s="19" t="n"/>
      <c r="H111" s="20" t="n"/>
      <c r="I111" s="20" t="n"/>
      <c r="J111" s="19" t="n"/>
      <c r="K111" s="16" t="n"/>
      <c r="L111" s="20" t="n"/>
      <c r="M111" s="20" t="n"/>
      <c r="N111" s="17" t="n"/>
      <c r="O111" s="18">
        <f>IF(AND(OR($M111="Envoyé",$M111="En attente"),ISNUMBER($C111),NOT(ISNUMBER($N111))),IF(TODAY()-$C111&gt;=7,"⚠ relancer",""),"")</f>
        <v/>
      </c>
      <c r="P111" s="19" t="n"/>
      <c r="Q111" s="22">
        <f>IF($A111="","",HYPERLINK("Z:\MUSTANG SERVICES\Affaires 2027\"&amp;$A111&amp;"\"&amp;$A111&amp;"_Devis.xlsx","Ouvrir"))</f>
        <v/>
      </c>
      <c r="R111" s="22">
        <f>IF($A111="","",HYPERLINK("Z:\MUSTANG SERVICES\Affaires 2027\"&amp;$A111&amp;"\"&amp;$A111&amp;"_ToolList.xlsx","Ouvrir"))</f>
        <v/>
      </c>
      <c r="S111" s="22">
        <f>IF($A111="","",HYPERLINK("Z:\MUSTANG SERVICES\Affaires 2027\"&amp;$A111&amp;"\"&amp;$A111&amp;"_BL.xlsx","Ouvrir"))</f>
        <v/>
      </c>
      <c r="T111" s="22">
        <f>IF($A111="","",HYPERLINK("Z:\MUSTANG SERVICES\Affaires 2027\"&amp;$A111&amp;"\"&amp;$A111&amp;"_ServiceTicket.xlsx","Ouvrir"))</f>
        <v/>
      </c>
      <c r="U111" s="22">
        <f>IF($A111="","",HYPERLINK("Z:\MUSTANG SERVICES\Affaires 2027\"&amp;$A111&amp;"\","Dossier"))</f>
        <v/>
      </c>
    </row>
    <row r="112" ht="18" customHeight="1">
      <c r="A112" s="16" t="n"/>
      <c r="B112" s="17" t="n"/>
      <c r="C112" s="17" t="n"/>
      <c r="D112" s="18">
        <f>IF(AND(ISNUMBER($B112),ISNUMBER($C112)),$C112-$B112,"")</f>
        <v/>
      </c>
      <c r="E112" s="19" t="n"/>
      <c r="F112" s="20" t="n"/>
      <c r="G112" s="19" t="n"/>
      <c r="H112" s="20" t="n"/>
      <c r="I112" s="20" t="n"/>
      <c r="J112" s="19" t="n"/>
      <c r="K112" s="16" t="n"/>
      <c r="L112" s="20" t="n"/>
      <c r="M112" s="20" t="n"/>
      <c r="N112" s="17" t="n"/>
      <c r="O112" s="18">
        <f>IF(AND(OR($M112="Envoyé",$M112="En attente"),ISNUMBER($C112),NOT(ISNUMBER($N112))),IF(TODAY()-$C112&gt;=7,"⚠ relancer",""),"")</f>
        <v/>
      </c>
      <c r="P112" s="19" t="n"/>
      <c r="Q112" s="22">
        <f>IF($A112="","",HYPERLINK("Z:\MUSTANG SERVICES\Affaires 2027\"&amp;$A112&amp;"\"&amp;$A112&amp;"_Devis.xlsx","Ouvrir"))</f>
        <v/>
      </c>
      <c r="R112" s="22">
        <f>IF($A112="","",HYPERLINK("Z:\MUSTANG SERVICES\Affaires 2027\"&amp;$A112&amp;"\"&amp;$A112&amp;"_ToolList.xlsx","Ouvrir"))</f>
        <v/>
      </c>
      <c r="S112" s="22">
        <f>IF($A112="","",HYPERLINK("Z:\MUSTANG SERVICES\Affaires 2027\"&amp;$A112&amp;"\"&amp;$A112&amp;"_BL.xlsx","Ouvrir"))</f>
        <v/>
      </c>
      <c r="T112" s="22">
        <f>IF($A112="","",HYPERLINK("Z:\MUSTANG SERVICES\Affaires 2027\"&amp;$A112&amp;"\"&amp;$A112&amp;"_ServiceTicket.xlsx","Ouvrir"))</f>
        <v/>
      </c>
      <c r="U112" s="22">
        <f>IF($A112="","",HYPERLINK("Z:\MUSTANG SERVICES\Affaires 2027\"&amp;$A112&amp;"\","Dossier"))</f>
        <v/>
      </c>
    </row>
    <row r="113" ht="18" customHeight="1">
      <c r="A113" s="16" t="n"/>
      <c r="B113" s="17" t="n"/>
      <c r="C113" s="17" t="n"/>
      <c r="D113" s="18">
        <f>IF(AND(ISNUMBER($B113),ISNUMBER($C113)),$C113-$B113,"")</f>
        <v/>
      </c>
      <c r="E113" s="19" t="n"/>
      <c r="F113" s="20" t="n"/>
      <c r="G113" s="19" t="n"/>
      <c r="H113" s="20" t="n"/>
      <c r="I113" s="20" t="n"/>
      <c r="J113" s="19" t="n"/>
      <c r="K113" s="16" t="n"/>
      <c r="L113" s="20" t="n"/>
      <c r="M113" s="20" t="n"/>
      <c r="N113" s="17" t="n"/>
      <c r="O113" s="18">
        <f>IF(AND(OR($M113="Envoyé",$M113="En attente"),ISNUMBER($C113),NOT(ISNUMBER($N113))),IF(TODAY()-$C113&gt;=7,"⚠ relancer",""),"")</f>
        <v/>
      </c>
      <c r="P113" s="19" t="n"/>
      <c r="Q113" s="22">
        <f>IF($A113="","",HYPERLINK("Z:\MUSTANG SERVICES\Affaires 2027\"&amp;$A113&amp;"\"&amp;$A113&amp;"_Devis.xlsx","Ouvrir"))</f>
        <v/>
      </c>
      <c r="R113" s="22">
        <f>IF($A113="","",HYPERLINK("Z:\MUSTANG SERVICES\Affaires 2027\"&amp;$A113&amp;"\"&amp;$A113&amp;"_ToolList.xlsx","Ouvrir"))</f>
        <v/>
      </c>
      <c r="S113" s="22">
        <f>IF($A113="","",HYPERLINK("Z:\MUSTANG SERVICES\Affaires 2027\"&amp;$A113&amp;"\"&amp;$A113&amp;"_BL.xlsx","Ouvrir"))</f>
        <v/>
      </c>
      <c r="T113" s="22">
        <f>IF($A113="","",HYPERLINK("Z:\MUSTANG SERVICES\Affaires 2027\"&amp;$A113&amp;"\"&amp;$A113&amp;"_ServiceTicket.xlsx","Ouvrir"))</f>
        <v/>
      </c>
      <c r="U113" s="22">
        <f>IF($A113="","",HYPERLINK("Z:\MUSTANG SERVICES\Affaires 2027\"&amp;$A113&amp;"\","Dossier"))</f>
        <v/>
      </c>
    </row>
    <row r="114" ht="18" customHeight="1">
      <c r="A114" s="16" t="n"/>
      <c r="B114" s="17" t="n"/>
      <c r="C114" s="17" t="n"/>
      <c r="D114" s="18">
        <f>IF(AND(ISNUMBER($B114),ISNUMBER($C114)),$C114-$B114,"")</f>
        <v/>
      </c>
      <c r="E114" s="19" t="n"/>
      <c r="F114" s="20" t="n"/>
      <c r="G114" s="19" t="n"/>
      <c r="H114" s="20" t="n"/>
      <c r="I114" s="20" t="n"/>
      <c r="J114" s="19" t="n"/>
      <c r="K114" s="16" t="n"/>
      <c r="L114" s="20" t="n"/>
      <c r="M114" s="20" t="n"/>
      <c r="N114" s="17" t="n"/>
      <c r="O114" s="18">
        <f>IF(AND(OR($M114="Envoyé",$M114="En attente"),ISNUMBER($C114),NOT(ISNUMBER($N114))),IF(TODAY()-$C114&gt;=7,"⚠ relancer",""),"")</f>
        <v/>
      </c>
      <c r="P114" s="19" t="n"/>
      <c r="Q114" s="22">
        <f>IF($A114="","",HYPERLINK("Z:\MUSTANG SERVICES\Affaires 2027\"&amp;$A114&amp;"\"&amp;$A114&amp;"_Devis.xlsx","Ouvrir"))</f>
        <v/>
      </c>
      <c r="R114" s="22">
        <f>IF($A114="","",HYPERLINK("Z:\MUSTANG SERVICES\Affaires 2027\"&amp;$A114&amp;"\"&amp;$A114&amp;"_ToolList.xlsx","Ouvrir"))</f>
        <v/>
      </c>
      <c r="S114" s="22">
        <f>IF($A114="","",HYPERLINK("Z:\MUSTANG SERVICES\Affaires 2027\"&amp;$A114&amp;"\"&amp;$A114&amp;"_BL.xlsx","Ouvrir"))</f>
        <v/>
      </c>
      <c r="T114" s="22">
        <f>IF($A114="","",HYPERLINK("Z:\MUSTANG SERVICES\Affaires 2027\"&amp;$A114&amp;"\"&amp;$A114&amp;"_ServiceTicket.xlsx","Ouvrir"))</f>
        <v/>
      </c>
      <c r="U114" s="22">
        <f>IF($A114="","",HYPERLINK("Z:\MUSTANG SERVICES\Affaires 2027\"&amp;$A114&amp;"\","Dossier"))</f>
        <v/>
      </c>
    </row>
    <row r="115" ht="18" customHeight="1">
      <c r="A115" s="16" t="n"/>
      <c r="B115" s="17" t="n"/>
      <c r="C115" s="17" t="n"/>
      <c r="D115" s="18">
        <f>IF(AND(ISNUMBER($B115),ISNUMBER($C115)),$C115-$B115,"")</f>
        <v/>
      </c>
      <c r="E115" s="19" t="n"/>
      <c r="F115" s="20" t="n"/>
      <c r="G115" s="19" t="n"/>
      <c r="H115" s="20" t="n"/>
      <c r="I115" s="20" t="n"/>
      <c r="J115" s="19" t="n"/>
      <c r="K115" s="16" t="n"/>
      <c r="L115" s="20" t="n"/>
      <c r="M115" s="20" t="n"/>
      <c r="N115" s="17" t="n"/>
      <c r="O115" s="18">
        <f>IF(AND(OR($M115="Envoyé",$M115="En attente"),ISNUMBER($C115),NOT(ISNUMBER($N115))),IF(TODAY()-$C115&gt;=7,"⚠ relancer",""),"")</f>
        <v/>
      </c>
      <c r="P115" s="19" t="n"/>
      <c r="Q115" s="22">
        <f>IF($A115="","",HYPERLINK("Z:\MUSTANG SERVICES\Affaires 2027\"&amp;$A115&amp;"\"&amp;$A115&amp;"_Devis.xlsx","Ouvrir"))</f>
        <v/>
      </c>
      <c r="R115" s="22">
        <f>IF($A115="","",HYPERLINK("Z:\MUSTANG SERVICES\Affaires 2027\"&amp;$A115&amp;"\"&amp;$A115&amp;"_ToolList.xlsx","Ouvrir"))</f>
        <v/>
      </c>
      <c r="S115" s="22">
        <f>IF($A115="","",HYPERLINK("Z:\MUSTANG SERVICES\Affaires 2027\"&amp;$A115&amp;"\"&amp;$A115&amp;"_BL.xlsx","Ouvrir"))</f>
        <v/>
      </c>
      <c r="T115" s="22">
        <f>IF($A115="","",HYPERLINK("Z:\MUSTANG SERVICES\Affaires 2027\"&amp;$A115&amp;"\"&amp;$A115&amp;"_ServiceTicket.xlsx","Ouvrir"))</f>
        <v/>
      </c>
      <c r="U115" s="22">
        <f>IF($A115="","",HYPERLINK("Z:\MUSTANG SERVICES\Affaires 2027\"&amp;$A115&amp;"\","Dossier"))</f>
        <v/>
      </c>
    </row>
    <row r="116" ht="18" customHeight="1">
      <c r="A116" s="16" t="n"/>
      <c r="B116" s="17" t="n"/>
      <c r="C116" s="17" t="n"/>
      <c r="D116" s="18">
        <f>IF(AND(ISNUMBER($B116),ISNUMBER($C116)),$C116-$B116,"")</f>
        <v/>
      </c>
      <c r="E116" s="19" t="n"/>
      <c r="F116" s="20" t="n"/>
      <c r="G116" s="19" t="n"/>
      <c r="H116" s="20" t="n"/>
      <c r="I116" s="20" t="n"/>
      <c r="J116" s="19" t="n"/>
      <c r="K116" s="16" t="n"/>
      <c r="L116" s="20" t="n"/>
      <c r="M116" s="20" t="n"/>
      <c r="N116" s="17" t="n"/>
      <c r="O116" s="18">
        <f>IF(AND(OR($M116="Envoyé",$M116="En attente"),ISNUMBER($C116),NOT(ISNUMBER($N116))),IF(TODAY()-$C116&gt;=7,"⚠ relancer",""),"")</f>
        <v/>
      </c>
      <c r="P116" s="19" t="n"/>
      <c r="Q116" s="22">
        <f>IF($A116="","",HYPERLINK("Z:\MUSTANG SERVICES\Affaires 2027\"&amp;$A116&amp;"\"&amp;$A116&amp;"_Devis.xlsx","Ouvrir"))</f>
        <v/>
      </c>
      <c r="R116" s="22">
        <f>IF($A116="","",HYPERLINK("Z:\MUSTANG SERVICES\Affaires 2027\"&amp;$A116&amp;"\"&amp;$A116&amp;"_ToolList.xlsx","Ouvrir"))</f>
        <v/>
      </c>
      <c r="S116" s="22">
        <f>IF($A116="","",HYPERLINK("Z:\MUSTANG SERVICES\Affaires 2027\"&amp;$A116&amp;"\"&amp;$A116&amp;"_BL.xlsx","Ouvrir"))</f>
        <v/>
      </c>
      <c r="T116" s="22">
        <f>IF($A116="","",HYPERLINK("Z:\MUSTANG SERVICES\Affaires 2027\"&amp;$A116&amp;"\"&amp;$A116&amp;"_ServiceTicket.xlsx","Ouvrir"))</f>
        <v/>
      </c>
      <c r="U116" s="22">
        <f>IF($A116="","",HYPERLINK("Z:\MUSTANG SERVICES\Affaires 2027\"&amp;$A116&amp;"\","Dossier"))</f>
        <v/>
      </c>
    </row>
    <row r="117" ht="18" customHeight="1">
      <c r="A117" s="16" t="n"/>
      <c r="B117" s="17" t="n"/>
      <c r="C117" s="17" t="n"/>
      <c r="D117" s="18">
        <f>IF(AND(ISNUMBER($B117),ISNUMBER($C117)),$C117-$B117,"")</f>
        <v/>
      </c>
      <c r="E117" s="19" t="n"/>
      <c r="F117" s="20" t="n"/>
      <c r="G117" s="19" t="n"/>
      <c r="H117" s="20" t="n"/>
      <c r="I117" s="20" t="n"/>
      <c r="J117" s="19" t="n"/>
      <c r="K117" s="16" t="n"/>
      <c r="L117" s="20" t="n"/>
      <c r="M117" s="20" t="n"/>
      <c r="N117" s="17" t="n"/>
      <c r="O117" s="18">
        <f>IF(AND(OR($M117="Envoyé",$M117="En attente"),ISNUMBER($C117),NOT(ISNUMBER($N117))),IF(TODAY()-$C117&gt;=7,"⚠ relancer",""),"")</f>
        <v/>
      </c>
      <c r="P117" s="19" t="n"/>
      <c r="Q117" s="22">
        <f>IF($A117="","",HYPERLINK("Z:\MUSTANG SERVICES\Affaires 2027\"&amp;$A117&amp;"\"&amp;$A117&amp;"_Devis.xlsx","Ouvrir"))</f>
        <v/>
      </c>
      <c r="R117" s="22">
        <f>IF($A117="","",HYPERLINK("Z:\MUSTANG SERVICES\Affaires 2027\"&amp;$A117&amp;"\"&amp;$A117&amp;"_ToolList.xlsx","Ouvrir"))</f>
        <v/>
      </c>
      <c r="S117" s="22">
        <f>IF($A117="","",HYPERLINK("Z:\MUSTANG SERVICES\Affaires 2027\"&amp;$A117&amp;"\"&amp;$A117&amp;"_BL.xlsx","Ouvrir"))</f>
        <v/>
      </c>
      <c r="T117" s="22">
        <f>IF($A117="","",HYPERLINK("Z:\MUSTANG SERVICES\Affaires 2027\"&amp;$A117&amp;"\"&amp;$A117&amp;"_ServiceTicket.xlsx","Ouvrir"))</f>
        <v/>
      </c>
      <c r="U117" s="22">
        <f>IF($A117="","",HYPERLINK("Z:\MUSTANG SERVICES\Affaires 2027\"&amp;$A117&amp;"\","Dossier"))</f>
        <v/>
      </c>
    </row>
    <row r="118" ht="18" customHeight="1">
      <c r="A118" s="16" t="n"/>
      <c r="B118" s="17" t="n"/>
      <c r="C118" s="17" t="n"/>
      <c r="D118" s="18">
        <f>IF(AND(ISNUMBER($B118),ISNUMBER($C118)),$C118-$B118,"")</f>
        <v/>
      </c>
      <c r="E118" s="19" t="n"/>
      <c r="F118" s="20" t="n"/>
      <c r="G118" s="19" t="n"/>
      <c r="H118" s="20" t="n"/>
      <c r="I118" s="20" t="n"/>
      <c r="J118" s="19" t="n"/>
      <c r="K118" s="16" t="n"/>
      <c r="L118" s="20" t="n"/>
      <c r="M118" s="20" t="n"/>
      <c r="N118" s="17" t="n"/>
      <c r="O118" s="18">
        <f>IF(AND(OR($M118="Envoyé",$M118="En attente"),ISNUMBER($C118),NOT(ISNUMBER($N118))),IF(TODAY()-$C118&gt;=7,"⚠ relancer",""),"")</f>
        <v/>
      </c>
      <c r="P118" s="19" t="n"/>
      <c r="Q118" s="22">
        <f>IF($A118="","",HYPERLINK("Z:\MUSTANG SERVICES\Affaires 2027\"&amp;$A118&amp;"\"&amp;$A118&amp;"_Devis.xlsx","Ouvrir"))</f>
        <v/>
      </c>
      <c r="R118" s="22">
        <f>IF($A118="","",HYPERLINK("Z:\MUSTANG SERVICES\Affaires 2027\"&amp;$A118&amp;"\"&amp;$A118&amp;"_ToolList.xlsx","Ouvrir"))</f>
        <v/>
      </c>
      <c r="S118" s="22">
        <f>IF($A118="","",HYPERLINK("Z:\MUSTANG SERVICES\Affaires 2027\"&amp;$A118&amp;"\"&amp;$A118&amp;"_BL.xlsx","Ouvrir"))</f>
        <v/>
      </c>
      <c r="T118" s="22">
        <f>IF($A118="","",HYPERLINK("Z:\MUSTANG SERVICES\Affaires 2027\"&amp;$A118&amp;"\"&amp;$A118&amp;"_ServiceTicket.xlsx","Ouvrir"))</f>
        <v/>
      </c>
      <c r="U118" s="22">
        <f>IF($A118="","",HYPERLINK("Z:\MUSTANG SERVICES\Affaires 2027\"&amp;$A118&amp;"\","Dossier"))</f>
        <v/>
      </c>
    </row>
    <row r="119" ht="18" customHeight="1">
      <c r="A119" s="16" t="n"/>
      <c r="B119" s="17" t="n"/>
      <c r="C119" s="17" t="n"/>
      <c r="D119" s="18">
        <f>IF(AND(ISNUMBER($B119),ISNUMBER($C119)),$C119-$B119,"")</f>
        <v/>
      </c>
      <c r="E119" s="19" t="n"/>
      <c r="F119" s="20" t="n"/>
      <c r="G119" s="19" t="n"/>
      <c r="H119" s="20" t="n"/>
      <c r="I119" s="20" t="n"/>
      <c r="J119" s="19" t="n"/>
      <c r="K119" s="16" t="n"/>
      <c r="L119" s="20" t="n"/>
      <c r="M119" s="20" t="n"/>
      <c r="N119" s="17" t="n"/>
      <c r="O119" s="18">
        <f>IF(AND(OR($M119="Envoyé",$M119="En attente"),ISNUMBER($C119),NOT(ISNUMBER($N119))),IF(TODAY()-$C119&gt;=7,"⚠ relancer",""),"")</f>
        <v/>
      </c>
      <c r="P119" s="19" t="n"/>
      <c r="Q119" s="22">
        <f>IF($A119="","",HYPERLINK("Z:\MUSTANG SERVICES\Affaires 2027\"&amp;$A119&amp;"\"&amp;$A119&amp;"_Devis.xlsx","Ouvrir"))</f>
        <v/>
      </c>
      <c r="R119" s="22">
        <f>IF($A119="","",HYPERLINK("Z:\MUSTANG SERVICES\Affaires 2027\"&amp;$A119&amp;"\"&amp;$A119&amp;"_ToolList.xlsx","Ouvrir"))</f>
        <v/>
      </c>
      <c r="S119" s="22">
        <f>IF($A119="","",HYPERLINK("Z:\MUSTANG SERVICES\Affaires 2027\"&amp;$A119&amp;"\"&amp;$A119&amp;"_BL.xlsx","Ouvrir"))</f>
        <v/>
      </c>
      <c r="T119" s="22">
        <f>IF($A119="","",HYPERLINK("Z:\MUSTANG SERVICES\Affaires 2027\"&amp;$A119&amp;"\"&amp;$A119&amp;"_ServiceTicket.xlsx","Ouvrir"))</f>
        <v/>
      </c>
      <c r="U119" s="22">
        <f>IF($A119="","",HYPERLINK("Z:\MUSTANG SERVICES\Affaires 2027\"&amp;$A119&amp;"\","Dossier"))</f>
        <v/>
      </c>
    </row>
    <row r="120" ht="18" customHeight="1">
      <c r="A120" s="16" t="n"/>
      <c r="B120" s="17" t="n"/>
      <c r="C120" s="17" t="n"/>
      <c r="D120" s="18">
        <f>IF(AND(ISNUMBER($B120),ISNUMBER($C120)),$C120-$B120,"")</f>
        <v/>
      </c>
      <c r="E120" s="19" t="n"/>
      <c r="F120" s="20" t="n"/>
      <c r="G120" s="19" t="n"/>
      <c r="H120" s="20" t="n"/>
      <c r="I120" s="20" t="n"/>
      <c r="J120" s="19" t="n"/>
      <c r="K120" s="16" t="n"/>
      <c r="L120" s="20" t="n"/>
      <c r="M120" s="20" t="n"/>
      <c r="N120" s="17" t="n"/>
      <c r="O120" s="18">
        <f>IF(AND(OR($M120="Envoyé",$M120="En attente"),ISNUMBER($C120),NOT(ISNUMBER($N120))),IF(TODAY()-$C120&gt;=7,"⚠ relancer",""),"")</f>
        <v/>
      </c>
      <c r="P120" s="19" t="n"/>
      <c r="Q120" s="22">
        <f>IF($A120="","",HYPERLINK("Z:\MUSTANG SERVICES\Affaires 2027\"&amp;$A120&amp;"\"&amp;$A120&amp;"_Devis.xlsx","Ouvrir"))</f>
        <v/>
      </c>
      <c r="R120" s="22">
        <f>IF($A120="","",HYPERLINK("Z:\MUSTANG SERVICES\Affaires 2027\"&amp;$A120&amp;"\"&amp;$A120&amp;"_ToolList.xlsx","Ouvrir"))</f>
        <v/>
      </c>
      <c r="S120" s="22">
        <f>IF($A120="","",HYPERLINK("Z:\MUSTANG SERVICES\Affaires 2027\"&amp;$A120&amp;"\"&amp;$A120&amp;"_BL.xlsx","Ouvrir"))</f>
        <v/>
      </c>
      <c r="T120" s="22">
        <f>IF($A120="","",HYPERLINK("Z:\MUSTANG SERVICES\Affaires 2027\"&amp;$A120&amp;"\"&amp;$A120&amp;"_ServiceTicket.xlsx","Ouvrir"))</f>
        <v/>
      </c>
      <c r="U120" s="22">
        <f>IF($A120="","",HYPERLINK("Z:\MUSTANG SERVICES\Affaires 2027\"&amp;$A120&amp;"\","Dossier"))</f>
        <v/>
      </c>
    </row>
    <row r="121" ht="18" customHeight="1">
      <c r="A121" s="16" t="n"/>
      <c r="B121" s="17" t="n"/>
      <c r="C121" s="17" t="n"/>
      <c r="D121" s="18">
        <f>IF(AND(ISNUMBER($B121),ISNUMBER($C121)),$C121-$B121,"")</f>
        <v/>
      </c>
      <c r="E121" s="19" t="n"/>
      <c r="F121" s="20" t="n"/>
      <c r="G121" s="19" t="n"/>
      <c r="H121" s="20" t="n"/>
      <c r="I121" s="20" t="n"/>
      <c r="J121" s="19" t="n"/>
      <c r="K121" s="16" t="n"/>
      <c r="L121" s="20" t="n"/>
      <c r="M121" s="20" t="n"/>
      <c r="N121" s="17" t="n"/>
      <c r="O121" s="18">
        <f>IF(AND(OR($M121="Envoyé",$M121="En attente"),ISNUMBER($C121),NOT(ISNUMBER($N121))),IF(TODAY()-$C121&gt;=7,"⚠ relancer",""),"")</f>
        <v/>
      </c>
      <c r="P121" s="19" t="n"/>
      <c r="Q121" s="22">
        <f>IF($A121="","",HYPERLINK("Z:\MUSTANG SERVICES\Affaires 2027\"&amp;$A121&amp;"\"&amp;$A121&amp;"_Devis.xlsx","Ouvrir"))</f>
        <v/>
      </c>
      <c r="R121" s="22">
        <f>IF($A121="","",HYPERLINK("Z:\MUSTANG SERVICES\Affaires 2027\"&amp;$A121&amp;"\"&amp;$A121&amp;"_ToolList.xlsx","Ouvrir"))</f>
        <v/>
      </c>
      <c r="S121" s="22">
        <f>IF($A121="","",HYPERLINK("Z:\MUSTANG SERVICES\Affaires 2027\"&amp;$A121&amp;"\"&amp;$A121&amp;"_BL.xlsx","Ouvrir"))</f>
        <v/>
      </c>
      <c r="T121" s="22">
        <f>IF($A121="","",HYPERLINK("Z:\MUSTANG SERVICES\Affaires 2027\"&amp;$A121&amp;"\"&amp;$A121&amp;"_ServiceTicket.xlsx","Ouvrir"))</f>
        <v/>
      </c>
      <c r="U121" s="22">
        <f>IF($A121="","",HYPERLINK("Z:\MUSTANG SERVICES\Affaires 2027\"&amp;$A121&amp;"\","Dossier"))</f>
        <v/>
      </c>
    </row>
    <row r="122" ht="18" customHeight="1">
      <c r="A122" s="16" t="n"/>
      <c r="B122" s="17" t="n"/>
      <c r="C122" s="17" t="n"/>
      <c r="D122" s="18">
        <f>IF(AND(ISNUMBER($B122),ISNUMBER($C122)),$C122-$B122,"")</f>
        <v/>
      </c>
      <c r="E122" s="19" t="n"/>
      <c r="F122" s="20" t="n"/>
      <c r="G122" s="19" t="n"/>
      <c r="H122" s="20" t="n"/>
      <c r="I122" s="20" t="n"/>
      <c r="J122" s="19" t="n"/>
      <c r="K122" s="16" t="n"/>
      <c r="L122" s="20" t="n"/>
      <c r="M122" s="20" t="n"/>
      <c r="N122" s="17" t="n"/>
      <c r="O122" s="18">
        <f>IF(AND(OR($M122="Envoyé",$M122="En attente"),ISNUMBER($C122),NOT(ISNUMBER($N122))),IF(TODAY()-$C122&gt;=7,"⚠ relancer",""),"")</f>
        <v/>
      </c>
      <c r="P122" s="19" t="n"/>
      <c r="Q122" s="22">
        <f>IF($A122="","",HYPERLINK("Z:\MUSTANG SERVICES\Affaires 2027\"&amp;$A122&amp;"\"&amp;$A122&amp;"_Devis.xlsx","Ouvrir"))</f>
        <v/>
      </c>
      <c r="R122" s="22">
        <f>IF($A122="","",HYPERLINK("Z:\MUSTANG SERVICES\Affaires 2027\"&amp;$A122&amp;"\"&amp;$A122&amp;"_ToolList.xlsx","Ouvrir"))</f>
        <v/>
      </c>
      <c r="S122" s="22">
        <f>IF($A122="","",HYPERLINK("Z:\MUSTANG SERVICES\Affaires 2027\"&amp;$A122&amp;"\"&amp;$A122&amp;"_BL.xlsx","Ouvrir"))</f>
        <v/>
      </c>
      <c r="T122" s="22">
        <f>IF($A122="","",HYPERLINK("Z:\MUSTANG SERVICES\Affaires 2027\"&amp;$A122&amp;"\"&amp;$A122&amp;"_ServiceTicket.xlsx","Ouvrir"))</f>
        <v/>
      </c>
      <c r="U122" s="22">
        <f>IF($A122="","",HYPERLINK("Z:\MUSTANG SERVICES\Affaires 2027\"&amp;$A122&amp;"\","Dossier"))</f>
        <v/>
      </c>
    </row>
    <row r="123" ht="18" customHeight="1">
      <c r="A123" s="16" t="n"/>
      <c r="B123" s="17" t="n"/>
      <c r="C123" s="17" t="n"/>
      <c r="D123" s="18">
        <f>IF(AND(ISNUMBER($B123),ISNUMBER($C123)),$C123-$B123,"")</f>
        <v/>
      </c>
      <c r="E123" s="19" t="n"/>
      <c r="F123" s="20" t="n"/>
      <c r="G123" s="19" t="n"/>
      <c r="H123" s="20" t="n"/>
      <c r="I123" s="20" t="n"/>
      <c r="J123" s="19" t="n"/>
      <c r="K123" s="16" t="n"/>
      <c r="L123" s="20" t="n"/>
      <c r="M123" s="20" t="n"/>
      <c r="N123" s="17" t="n"/>
      <c r="O123" s="18">
        <f>IF(AND(OR($M123="Envoyé",$M123="En attente"),ISNUMBER($C123),NOT(ISNUMBER($N123))),IF(TODAY()-$C123&gt;=7,"⚠ relancer",""),"")</f>
        <v/>
      </c>
      <c r="P123" s="19" t="n"/>
      <c r="Q123" s="22">
        <f>IF($A123="","",HYPERLINK("Z:\MUSTANG SERVICES\Affaires 2027\"&amp;$A123&amp;"\"&amp;$A123&amp;"_Devis.xlsx","Ouvrir"))</f>
        <v/>
      </c>
      <c r="R123" s="22">
        <f>IF($A123="","",HYPERLINK("Z:\MUSTANG SERVICES\Affaires 2027\"&amp;$A123&amp;"\"&amp;$A123&amp;"_ToolList.xlsx","Ouvrir"))</f>
        <v/>
      </c>
      <c r="S123" s="22">
        <f>IF($A123="","",HYPERLINK("Z:\MUSTANG SERVICES\Affaires 2027\"&amp;$A123&amp;"\"&amp;$A123&amp;"_BL.xlsx","Ouvrir"))</f>
        <v/>
      </c>
      <c r="T123" s="22">
        <f>IF($A123="","",HYPERLINK("Z:\MUSTANG SERVICES\Affaires 2027\"&amp;$A123&amp;"\"&amp;$A123&amp;"_ServiceTicket.xlsx","Ouvrir"))</f>
        <v/>
      </c>
      <c r="U123" s="22">
        <f>IF($A123="","",HYPERLINK("Z:\MUSTANG SERVICES\Affaires 2027\"&amp;$A123&amp;"\","Dossier"))</f>
        <v/>
      </c>
    </row>
    <row r="124" ht="18" customHeight="1">
      <c r="A124" s="16" t="n"/>
      <c r="B124" s="17" t="n"/>
      <c r="C124" s="17" t="n"/>
      <c r="D124" s="18">
        <f>IF(AND(ISNUMBER($B124),ISNUMBER($C124)),$C124-$B124,"")</f>
        <v/>
      </c>
      <c r="E124" s="19" t="n"/>
      <c r="F124" s="20" t="n"/>
      <c r="G124" s="19" t="n"/>
      <c r="H124" s="20" t="n"/>
      <c r="I124" s="20" t="n"/>
      <c r="J124" s="19" t="n"/>
      <c r="K124" s="16" t="n"/>
      <c r="L124" s="20" t="n"/>
      <c r="M124" s="20" t="n"/>
      <c r="N124" s="17" t="n"/>
      <c r="O124" s="18">
        <f>IF(AND(OR($M124="Envoyé",$M124="En attente"),ISNUMBER($C124),NOT(ISNUMBER($N124))),IF(TODAY()-$C124&gt;=7,"⚠ relancer",""),"")</f>
        <v/>
      </c>
      <c r="P124" s="19" t="n"/>
      <c r="Q124" s="22">
        <f>IF($A124="","",HYPERLINK("Z:\MUSTANG SERVICES\Affaires 2027\"&amp;$A124&amp;"\"&amp;$A124&amp;"_Devis.xlsx","Ouvrir"))</f>
        <v/>
      </c>
      <c r="R124" s="22">
        <f>IF($A124="","",HYPERLINK("Z:\MUSTANG SERVICES\Affaires 2027\"&amp;$A124&amp;"\"&amp;$A124&amp;"_ToolList.xlsx","Ouvrir"))</f>
        <v/>
      </c>
      <c r="S124" s="22">
        <f>IF($A124="","",HYPERLINK("Z:\MUSTANG SERVICES\Affaires 2027\"&amp;$A124&amp;"\"&amp;$A124&amp;"_BL.xlsx","Ouvrir"))</f>
        <v/>
      </c>
      <c r="T124" s="22">
        <f>IF($A124="","",HYPERLINK("Z:\MUSTANG SERVICES\Affaires 2027\"&amp;$A124&amp;"\"&amp;$A124&amp;"_ServiceTicket.xlsx","Ouvrir"))</f>
        <v/>
      </c>
      <c r="U124" s="22">
        <f>IF($A124="","",HYPERLINK("Z:\MUSTANG SERVICES\Affaires 2027\"&amp;$A124&amp;"\","Dossier"))</f>
        <v/>
      </c>
    </row>
    <row r="125" ht="18" customHeight="1">
      <c r="A125" s="16" t="n"/>
      <c r="B125" s="17" t="n"/>
      <c r="C125" s="17" t="n"/>
      <c r="D125" s="18">
        <f>IF(AND(ISNUMBER($B125),ISNUMBER($C125)),$C125-$B125,"")</f>
        <v/>
      </c>
      <c r="E125" s="19" t="n"/>
      <c r="F125" s="20" t="n"/>
      <c r="G125" s="19" t="n"/>
      <c r="H125" s="20" t="n"/>
      <c r="I125" s="20" t="n"/>
      <c r="J125" s="19" t="n"/>
      <c r="K125" s="16" t="n"/>
      <c r="L125" s="20" t="n"/>
      <c r="M125" s="20" t="n"/>
      <c r="N125" s="17" t="n"/>
      <c r="O125" s="18">
        <f>IF(AND(OR($M125="Envoyé",$M125="En attente"),ISNUMBER($C125),NOT(ISNUMBER($N125))),IF(TODAY()-$C125&gt;=7,"⚠ relancer",""),"")</f>
        <v/>
      </c>
      <c r="P125" s="19" t="n"/>
      <c r="Q125" s="22">
        <f>IF($A125="","",HYPERLINK("Z:\MUSTANG SERVICES\Affaires 2027\"&amp;$A125&amp;"\"&amp;$A125&amp;"_Devis.xlsx","Ouvrir"))</f>
        <v/>
      </c>
      <c r="R125" s="22">
        <f>IF($A125="","",HYPERLINK("Z:\MUSTANG SERVICES\Affaires 2027\"&amp;$A125&amp;"\"&amp;$A125&amp;"_ToolList.xlsx","Ouvrir"))</f>
        <v/>
      </c>
      <c r="S125" s="22">
        <f>IF($A125="","",HYPERLINK("Z:\MUSTANG SERVICES\Affaires 2027\"&amp;$A125&amp;"\"&amp;$A125&amp;"_BL.xlsx","Ouvrir"))</f>
        <v/>
      </c>
      <c r="T125" s="22">
        <f>IF($A125="","",HYPERLINK("Z:\MUSTANG SERVICES\Affaires 2027\"&amp;$A125&amp;"\"&amp;$A125&amp;"_ServiceTicket.xlsx","Ouvrir"))</f>
        <v/>
      </c>
      <c r="U125" s="22">
        <f>IF($A125="","",HYPERLINK("Z:\MUSTANG SERVICES\Affaires 2027\"&amp;$A125&amp;"\","Dossier"))</f>
        <v/>
      </c>
    </row>
    <row r="126" ht="18" customHeight="1">
      <c r="A126" s="16" t="n"/>
      <c r="B126" s="17" t="n"/>
      <c r="C126" s="17" t="n"/>
      <c r="D126" s="18">
        <f>IF(AND(ISNUMBER($B126),ISNUMBER($C126)),$C126-$B126,"")</f>
        <v/>
      </c>
      <c r="E126" s="19" t="n"/>
      <c r="F126" s="20" t="n"/>
      <c r="G126" s="19" t="n"/>
      <c r="H126" s="20" t="n"/>
      <c r="I126" s="20" t="n"/>
      <c r="J126" s="19" t="n"/>
      <c r="K126" s="16" t="n"/>
      <c r="L126" s="20" t="n"/>
      <c r="M126" s="20" t="n"/>
      <c r="N126" s="17" t="n"/>
      <c r="O126" s="18">
        <f>IF(AND(OR($M126="Envoyé",$M126="En attente"),ISNUMBER($C126),NOT(ISNUMBER($N126))),IF(TODAY()-$C126&gt;=7,"⚠ relancer",""),"")</f>
        <v/>
      </c>
      <c r="P126" s="19" t="n"/>
      <c r="Q126" s="22">
        <f>IF($A126="","",HYPERLINK("Z:\MUSTANG SERVICES\Affaires 2027\"&amp;$A126&amp;"\"&amp;$A126&amp;"_Devis.xlsx","Ouvrir"))</f>
        <v/>
      </c>
      <c r="R126" s="22">
        <f>IF($A126="","",HYPERLINK("Z:\MUSTANG SERVICES\Affaires 2027\"&amp;$A126&amp;"\"&amp;$A126&amp;"_ToolList.xlsx","Ouvrir"))</f>
        <v/>
      </c>
      <c r="S126" s="22">
        <f>IF($A126="","",HYPERLINK("Z:\MUSTANG SERVICES\Affaires 2027\"&amp;$A126&amp;"\"&amp;$A126&amp;"_BL.xlsx","Ouvrir"))</f>
        <v/>
      </c>
      <c r="T126" s="22">
        <f>IF($A126="","",HYPERLINK("Z:\MUSTANG SERVICES\Affaires 2027\"&amp;$A126&amp;"\"&amp;$A126&amp;"_ServiceTicket.xlsx","Ouvrir"))</f>
        <v/>
      </c>
      <c r="U126" s="22">
        <f>IF($A126="","",HYPERLINK("Z:\MUSTANG SERVICES\Affaires 2027\"&amp;$A126&amp;"\","Dossier"))</f>
        <v/>
      </c>
    </row>
    <row r="127" ht="18" customHeight="1">
      <c r="A127" s="16" t="n"/>
      <c r="B127" s="17" t="n"/>
      <c r="C127" s="17" t="n"/>
      <c r="D127" s="18">
        <f>IF(AND(ISNUMBER($B127),ISNUMBER($C127)),$C127-$B127,"")</f>
        <v/>
      </c>
      <c r="E127" s="19" t="n"/>
      <c r="F127" s="20" t="n"/>
      <c r="G127" s="19" t="n"/>
      <c r="H127" s="20" t="n"/>
      <c r="I127" s="20" t="n"/>
      <c r="J127" s="19" t="n"/>
      <c r="K127" s="16" t="n"/>
      <c r="L127" s="20" t="n"/>
      <c r="M127" s="20" t="n"/>
      <c r="N127" s="17" t="n"/>
      <c r="O127" s="18">
        <f>IF(AND(OR($M127="Envoyé",$M127="En attente"),ISNUMBER($C127),NOT(ISNUMBER($N127))),IF(TODAY()-$C127&gt;=7,"⚠ relancer",""),"")</f>
        <v/>
      </c>
      <c r="P127" s="19" t="n"/>
      <c r="Q127" s="22">
        <f>IF($A127="","",HYPERLINK("Z:\MUSTANG SERVICES\Affaires 2027\"&amp;$A127&amp;"\"&amp;$A127&amp;"_Devis.xlsx","Ouvrir"))</f>
        <v/>
      </c>
      <c r="R127" s="22">
        <f>IF($A127="","",HYPERLINK("Z:\MUSTANG SERVICES\Affaires 2027\"&amp;$A127&amp;"\"&amp;$A127&amp;"_ToolList.xlsx","Ouvrir"))</f>
        <v/>
      </c>
      <c r="S127" s="22">
        <f>IF($A127="","",HYPERLINK("Z:\MUSTANG SERVICES\Affaires 2027\"&amp;$A127&amp;"\"&amp;$A127&amp;"_BL.xlsx","Ouvrir"))</f>
        <v/>
      </c>
      <c r="T127" s="22">
        <f>IF($A127="","",HYPERLINK("Z:\MUSTANG SERVICES\Affaires 2027\"&amp;$A127&amp;"\"&amp;$A127&amp;"_ServiceTicket.xlsx","Ouvrir"))</f>
        <v/>
      </c>
      <c r="U127" s="22">
        <f>IF($A127="","",HYPERLINK("Z:\MUSTANG SERVICES\Affaires 2027\"&amp;$A127&amp;"\","Dossier"))</f>
        <v/>
      </c>
    </row>
    <row r="128" ht="18" customHeight="1">
      <c r="A128" s="16" t="n"/>
      <c r="B128" s="17" t="n"/>
      <c r="C128" s="17" t="n"/>
      <c r="D128" s="18">
        <f>IF(AND(ISNUMBER($B128),ISNUMBER($C128)),$C128-$B128,"")</f>
        <v/>
      </c>
      <c r="E128" s="19" t="n"/>
      <c r="F128" s="20" t="n"/>
      <c r="G128" s="19" t="n"/>
      <c r="H128" s="20" t="n"/>
      <c r="I128" s="20" t="n"/>
      <c r="J128" s="19" t="n"/>
      <c r="K128" s="16" t="n"/>
      <c r="L128" s="20" t="n"/>
      <c r="M128" s="20" t="n"/>
      <c r="N128" s="17" t="n"/>
      <c r="O128" s="18">
        <f>IF(AND(OR($M128="Envoyé",$M128="En attente"),ISNUMBER($C128),NOT(ISNUMBER($N128))),IF(TODAY()-$C128&gt;=7,"⚠ relancer",""),"")</f>
        <v/>
      </c>
      <c r="P128" s="19" t="n"/>
      <c r="Q128" s="22">
        <f>IF($A128="","",HYPERLINK("Z:\MUSTANG SERVICES\Affaires 2027\"&amp;$A128&amp;"\"&amp;$A128&amp;"_Devis.xlsx","Ouvrir"))</f>
        <v/>
      </c>
      <c r="R128" s="22">
        <f>IF($A128="","",HYPERLINK("Z:\MUSTANG SERVICES\Affaires 2027\"&amp;$A128&amp;"\"&amp;$A128&amp;"_ToolList.xlsx","Ouvrir"))</f>
        <v/>
      </c>
      <c r="S128" s="22">
        <f>IF($A128="","",HYPERLINK("Z:\MUSTANG SERVICES\Affaires 2027\"&amp;$A128&amp;"\"&amp;$A128&amp;"_BL.xlsx","Ouvrir"))</f>
        <v/>
      </c>
      <c r="T128" s="22">
        <f>IF($A128="","",HYPERLINK("Z:\MUSTANG SERVICES\Affaires 2027\"&amp;$A128&amp;"\"&amp;$A128&amp;"_ServiceTicket.xlsx","Ouvrir"))</f>
        <v/>
      </c>
      <c r="U128" s="22">
        <f>IF($A128="","",HYPERLINK("Z:\MUSTANG SERVICES\Affaires 2027\"&amp;$A128&amp;"\","Dossier"))</f>
        <v/>
      </c>
    </row>
    <row r="129" ht="18" customHeight="1">
      <c r="A129" s="16" t="n"/>
      <c r="B129" s="17" t="n"/>
      <c r="C129" s="17" t="n"/>
      <c r="D129" s="18">
        <f>IF(AND(ISNUMBER($B129),ISNUMBER($C129)),$C129-$B129,"")</f>
        <v/>
      </c>
      <c r="E129" s="19" t="n"/>
      <c r="F129" s="20" t="n"/>
      <c r="G129" s="19" t="n"/>
      <c r="H129" s="20" t="n"/>
      <c r="I129" s="20" t="n"/>
      <c r="J129" s="19" t="n"/>
      <c r="K129" s="16" t="n"/>
      <c r="L129" s="20" t="n"/>
      <c r="M129" s="20" t="n"/>
      <c r="N129" s="17" t="n"/>
      <c r="O129" s="18">
        <f>IF(AND(OR($M129="Envoyé",$M129="En attente"),ISNUMBER($C129),NOT(ISNUMBER($N129))),IF(TODAY()-$C129&gt;=7,"⚠ relancer",""),"")</f>
        <v/>
      </c>
      <c r="P129" s="19" t="n"/>
      <c r="Q129" s="22">
        <f>IF($A129="","",HYPERLINK("Z:\MUSTANG SERVICES\Affaires 2027\"&amp;$A129&amp;"\"&amp;$A129&amp;"_Devis.xlsx","Ouvrir"))</f>
        <v/>
      </c>
      <c r="R129" s="22">
        <f>IF($A129="","",HYPERLINK("Z:\MUSTANG SERVICES\Affaires 2027\"&amp;$A129&amp;"\"&amp;$A129&amp;"_ToolList.xlsx","Ouvrir"))</f>
        <v/>
      </c>
      <c r="S129" s="22">
        <f>IF($A129="","",HYPERLINK("Z:\MUSTANG SERVICES\Affaires 2027\"&amp;$A129&amp;"\"&amp;$A129&amp;"_BL.xlsx","Ouvrir"))</f>
        <v/>
      </c>
      <c r="T129" s="22">
        <f>IF($A129="","",HYPERLINK("Z:\MUSTANG SERVICES\Affaires 2027\"&amp;$A129&amp;"\"&amp;$A129&amp;"_ServiceTicket.xlsx","Ouvrir"))</f>
        <v/>
      </c>
      <c r="U129" s="22">
        <f>IF($A129="","",HYPERLINK("Z:\MUSTANG SERVICES\Affaires 2027\"&amp;$A129&amp;"\","Dossier"))</f>
        <v/>
      </c>
    </row>
    <row r="130" ht="18" customHeight="1">
      <c r="A130" s="16" t="n"/>
      <c r="B130" s="17" t="n"/>
      <c r="C130" s="17" t="n"/>
      <c r="D130" s="18">
        <f>IF(AND(ISNUMBER($B130),ISNUMBER($C130)),$C130-$B130,"")</f>
        <v/>
      </c>
      <c r="E130" s="19" t="n"/>
      <c r="F130" s="20" t="n"/>
      <c r="G130" s="19" t="n"/>
      <c r="H130" s="20" t="n"/>
      <c r="I130" s="20" t="n"/>
      <c r="J130" s="19" t="n"/>
      <c r="K130" s="16" t="n"/>
      <c r="L130" s="20" t="n"/>
      <c r="M130" s="20" t="n"/>
      <c r="N130" s="17" t="n"/>
      <c r="O130" s="18">
        <f>IF(AND(OR($M130="Envoyé",$M130="En attente"),ISNUMBER($C130),NOT(ISNUMBER($N130))),IF(TODAY()-$C130&gt;=7,"⚠ relancer",""),"")</f>
        <v/>
      </c>
      <c r="P130" s="19" t="n"/>
      <c r="Q130" s="22">
        <f>IF($A130="","",HYPERLINK("Z:\MUSTANG SERVICES\Affaires 2027\"&amp;$A130&amp;"\"&amp;$A130&amp;"_Devis.xlsx","Ouvrir"))</f>
        <v/>
      </c>
      <c r="R130" s="22">
        <f>IF($A130="","",HYPERLINK("Z:\MUSTANG SERVICES\Affaires 2027\"&amp;$A130&amp;"\"&amp;$A130&amp;"_ToolList.xlsx","Ouvrir"))</f>
        <v/>
      </c>
      <c r="S130" s="22">
        <f>IF($A130="","",HYPERLINK("Z:\MUSTANG SERVICES\Affaires 2027\"&amp;$A130&amp;"\"&amp;$A130&amp;"_BL.xlsx","Ouvrir"))</f>
        <v/>
      </c>
      <c r="T130" s="22">
        <f>IF($A130="","",HYPERLINK("Z:\MUSTANG SERVICES\Affaires 2027\"&amp;$A130&amp;"\"&amp;$A130&amp;"_ServiceTicket.xlsx","Ouvrir"))</f>
        <v/>
      </c>
      <c r="U130" s="22">
        <f>IF($A130="","",HYPERLINK("Z:\MUSTANG SERVICES\Affaires 2027\"&amp;$A130&amp;"\","Dossier"))</f>
        <v/>
      </c>
    </row>
    <row r="131" ht="18" customHeight="1">
      <c r="A131" s="16" t="n"/>
      <c r="B131" s="17" t="n"/>
      <c r="C131" s="17" t="n"/>
      <c r="D131" s="18">
        <f>IF(AND(ISNUMBER($B131),ISNUMBER($C131)),$C131-$B131,"")</f>
        <v/>
      </c>
      <c r="E131" s="19" t="n"/>
      <c r="F131" s="20" t="n"/>
      <c r="G131" s="19" t="n"/>
      <c r="H131" s="20" t="n"/>
      <c r="I131" s="20" t="n"/>
      <c r="J131" s="19" t="n"/>
      <c r="K131" s="16" t="n"/>
      <c r="L131" s="20" t="n"/>
      <c r="M131" s="20" t="n"/>
      <c r="N131" s="17" t="n"/>
      <c r="O131" s="18">
        <f>IF(AND(OR($M131="Envoyé",$M131="En attente"),ISNUMBER($C131),NOT(ISNUMBER($N131))),IF(TODAY()-$C131&gt;=7,"⚠ relancer",""),"")</f>
        <v/>
      </c>
      <c r="P131" s="19" t="n"/>
      <c r="Q131" s="22">
        <f>IF($A131="","",HYPERLINK("Z:\MUSTANG SERVICES\Affaires 2027\"&amp;$A131&amp;"\"&amp;$A131&amp;"_Devis.xlsx","Ouvrir"))</f>
        <v/>
      </c>
      <c r="R131" s="22">
        <f>IF($A131="","",HYPERLINK("Z:\MUSTANG SERVICES\Affaires 2027\"&amp;$A131&amp;"\"&amp;$A131&amp;"_ToolList.xlsx","Ouvrir"))</f>
        <v/>
      </c>
      <c r="S131" s="22">
        <f>IF($A131="","",HYPERLINK("Z:\MUSTANG SERVICES\Affaires 2027\"&amp;$A131&amp;"\"&amp;$A131&amp;"_BL.xlsx","Ouvrir"))</f>
        <v/>
      </c>
      <c r="T131" s="22">
        <f>IF($A131="","",HYPERLINK("Z:\MUSTANG SERVICES\Affaires 2027\"&amp;$A131&amp;"\"&amp;$A131&amp;"_ServiceTicket.xlsx","Ouvrir"))</f>
        <v/>
      </c>
      <c r="U131" s="22">
        <f>IF($A131="","",HYPERLINK("Z:\MUSTANG SERVICES\Affaires 2027\"&amp;$A131&amp;"\","Dossier"))</f>
        <v/>
      </c>
    </row>
    <row r="132" ht="18" customHeight="1">
      <c r="A132" s="16" t="n"/>
      <c r="B132" s="17" t="n"/>
      <c r="C132" s="17" t="n"/>
      <c r="D132" s="18">
        <f>IF(AND(ISNUMBER($B132),ISNUMBER($C132)),$C132-$B132,"")</f>
        <v/>
      </c>
      <c r="E132" s="19" t="n"/>
      <c r="F132" s="20" t="n"/>
      <c r="G132" s="19" t="n"/>
      <c r="H132" s="20" t="n"/>
      <c r="I132" s="20" t="n"/>
      <c r="J132" s="19" t="n"/>
      <c r="K132" s="16" t="n"/>
      <c r="L132" s="20" t="n"/>
      <c r="M132" s="20" t="n"/>
      <c r="N132" s="17" t="n"/>
      <c r="O132" s="18">
        <f>IF(AND(OR($M132="Envoyé",$M132="En attente"),ISNUMBER($C132),NOT(ISNUMBER($N132))),IF(TODAY()-$C132&gt;=7,"⚠ relancer",""),"")</f>
        <v/>
      </c>
      <c r="P132" s="19" t="n"/>
      <c r="Q132" s="22">
        <f>IF($A132="","",HYPERLINK("Z:\MUSTANG SERVICES\Affaires 2027\"&amp;$A132&amp;"\"&amp;$A132&amp;"_Devis.xlsx","Ouvrir"))</f>
        <v/>
      </c>
      <c r="R132" s="22">
        <f>IF($A132="","",HYPERLINK("Z:\MUSTANG SERVICES\Affaires 2027\"&amp;$A132&amp;"\"&amp;$A132&amp;"_ToolList.xlsx","Ouvrir"))</f>
        <v/>
      </c>
      <c r="S132" s="22">
        <f>IF($A132="","",HYPERLINK("Z:\MUSTANG SERVICES\Affaires 2027\"&amp;$A132&amp;"\"&amp;$A132&amp;"_BL.xlsx","Ouvrir"))</f>
        <v/>
      </c>
      <c r="T132" s="22">
        <f>IF($A132="","",HYPERLINK("Z:\MUSTANG SERVICES\Affaires 2027\"&amp;$A132&amp;"\"&amp;$A132&amp;"_ServiceTicket.xlsx","Ouvrir"))</f>
        <v/>
      </c>
      <c r="U132" s="22">
        <f>IF($A132="","",HYPERLINK("Z:\MUSTANG SERVICES\Affaires 2027\"&amp;$A132&amp;"\","Dossier"))</f>
        <v/>
      </c>
    </row>
    <row r="133" ht="18" customHeight="1">
      <c r="A133" s="16" t="n"/>
      <c r="B133" s="17" t="n"/>
      <c r="C133" s="17" t="n"/>
      <c r="D133" s="18">
        <f>IF(AND(ISNUMBER($B133),ISNUMBER($C133)),$C133-$B133,"")</f>
        <v/>
      </c>
      <c r="E133" s="19" t="n"/>
      <c r="F133" s="20" t="n"/>
      <c r="G133" s="19" t="n"/>
      <c r="H133" s="20" t="n"/>
      <c r="I133" s="20" t="n"/>
      <c r="J133" s="19" t="n"/>
      <c r="K133" s="16" t="n"/>
      <c r="L133" s="20" t="n"/>
      <c r="M133" s="20" t="n"/>
      <c r="N133" s="17" t="n"/>
      <c r="O133" s="18">
        <f>IF(AND(OR($M133="Envoyé",$M133="En attente"),ISNUMBER($C133),NOT(ISNUMBER($N133))),IF(TODAY()-$C133&gt;=7,"⚠ relancer",""),"")</f>
        <v/>
      </c>
      <c r="P133" s="19" t="n"/>
      <c r="Q133" s="22">
        <f>IF($A133="","",HYPERLINK("Z:\MUSTANG SERVICES\Affaires 2027\"&amp;$A133&amp;"\"&amp;$A133&amp;"_Devis.xlsx","Ouvrir"))</f>
        <v/>
      </c>
      <c r="R133" s="22">
        <f>IF($A133="","",HYPERLINK("Z:\MUSTANG SERVICES\Affaires 2027\"&amp;$A133&amp;"\"&amp;$A133&amp;"_ToolList.xlsx","Ouvrir"))</f>
        <v/>
      </c>
      <c r="S133" s="22">
        <f>IF($A133="","",HYPERLINK("Z:\MUSTANG SERVICES\Affaires 2027\"&amp;$A133&amp;"\"&amp;$A133&amp;"_BL.xlsx","Ouvrir"))</f>
        <v/>
      </c>
      <c r="T133" s="22">
        <f>IF($A133="","",HYPERLINK("Z:\MUSTANG SERVICES\Affaires 2027\"&amp;$A133&amp;"\"&amp;$A133&amp;"_ServiceTicket.xlsx","Ouvrir"))</f>
        <v/>
      </c>
      <c r="U133" s="22">
        <f>IF($A133="","",HYPERLINK("Z:\MUSTANG SERVICES\Affaires 2027\"&amp;$A133&amp;"\","Dossier"))</f>
        <v/>
      </c>
    </row>
    <row r="134" ht="18" customHeight="1">
      <c r="A134" s="16" t="n"/>
      <c r="B134" s="17" t="n"/>
      <c r="C134" s="17" t="n"/>
      <c r="D134" s="18">
        <f>IF(AND(ISNUMBER($B134),ISNUMBER($C134)),$C134-$B134,"")</f>
        <v/>
      </c>
      <c r="E134" s="19" t="n"/>
      <c r="F134" s="20" t="n"/>
      <c r="G134" s="19" t="n"/>
      <c r="H134" s="20" t="n"/>
      <c r="I134" s="20" t="n"/>
      <c r="J134" s="19" t="n"/>
      <c r="K134" s="16" t="n"/>
      <c r="L134" s="20" t="n"/>
      <c r="M134" s="20" t="n"/>
      <c r="N134" s="17" t="n"/>
      <c r="O134" s="18">
        <f>IF(AND(OR($M134="Envoyé",$M134="En attente"),ISNUMBER($C134),NOT(ISNUMBER($N134))),IF(TODAY()-$C134&gt;=7,"⚠ relancer",""),"")</f>
        <v/>
      </c>
      <c r="P134" s="19" t="n"/>
      <c r="Q134" s="22">
        <f>IF($A134="","",HYPERLINK("Z:\MUSTANG SERVICES\Affaires 2027\"&amp;$A134&amp;"\"&amp;$A134&amp;"_Devis.xlsx","Ouvrir"))</f>
        <v/>
      </c>
      <c r="R134" s="22">
        <f>IF($A134="","",HYPERLINK("Z:\MUSTANG SERVICES\Affaires 2027\"&amp;$A134&amp;"\"&amp;$A134&amp;"_ToolList.xlsx","Ouvrir"))</f>
        <v/>
      </c>
      <c r="S134" s="22">
        <f>IF($A134="","",HYPERLINK("Z:\MUSTANG SERVICES\Affaires 2027\"&amp;$A134&amp;"\"&amp;$A134&amp;"_BL.xlsx","Ouvrir"))</f>
        <v/>
      </c>
      <c r="T134" s="22">
        <f>IF($A134="","",HYPERLINK("Z:\MUSTANG SERVICES\Affaires 2027\"&amp;$A134&amp;"\"&amp;$A134&amp;"_ServiceTicket.xlsx","Ouvrir"))</f>
        <v/>
      </c>
      <c r="U134" s="22">
        <f>IF($A134="","",HYPERLINK("Z:\MUSTANG SERVICES\Affaires 2027\"&amp;$A134&amp;"\","Dossier"))</f>
        <v/>
      </c>
    </row>
    <row r="135" ht="18" customHeight="1">
      <c r="A135" s="16" t="n"/>
      <c r="B135" s="17" t="n"/>
      <c r="C135" s="17" t="n"/>
      <c r="D135" s="18">
        <f>IF(AND(ISNUMBER($B135),ISNUMBER($C135)),$C135-$B135,"")</f>
        <v/>
      </c>
      <c r="E135" s="19" t="n"/>
      <c r="F135" s="20" t="n"/>
      <c r="G135" s="19" t="n"/>
      <c r="H135" s="20" t="n"/>
      <c r="I135" s="20" t="n"/>
      <c r="J135" s="19" t="n"/>
      <c r="K135" s="16" t="n"/>
      <c r="L135" s="20" t="n"/>
      <c r="M135" s="20" t="n"/>
      <c r="N135" s="17" t="n"/>
      <c r="O135" s="18">
        <f>IF(AND(OR($M135="Envoyé",$M135="En attente"),ISNUMBER($C135),NOT(ISNUMBER($N135))),IF(TODAY()-$C135&gt;=7,"⚠ relancer",""),"")</f>
        <v/>
      </c>
      <c r="P135" s="19" t="n"/>
      <c r="Q135" s="22">
        <f>IF($A135="","",HYPERLINK("Z:\MUSTANG SERVICES\Affaires 2027\"&amp;$A135&amp;"\"&amp;$A135&amp;"_Devis.xlsx","Ouvrir"))</f>
        <v/>
      </c>
      <c r="R135" s="22">
        <f>IF($A135="","",HYPERLINK("Z:\MUSTANG SERVICES\Affaires 2027\"&amp;$A135&amp;"\"&amp;$A135&amp;"_ToolList.xlsx","Ouvrir"))</f>
        <v/>
      </c>
      <c r="S135" s="22">
        <f>IF($A135="","",HYPERLINK("Z:\MUSTANG SERVICES\Affaires 2027\"&amp;$A135&amp;"\"&amp;$A135&amp;"_BL.xlsx","Ouvrir"))</f>
        <v/>
      </c>
      <c r="T135" s="22">
        <f>IF($A135="","",HYPERLINK("Z:\MUSTANG SERVICES\Affaires 2027\"&amp;$A135&amp;"\"&amp;$A135&amp;"_ServiceTicket.xlsx","Ouvrir"))</f>
        <v/>
      </c>
      <c r="U135" s="22">
        <f>IF($A135="","",HYPERLINK("Z:\MUSTANG SERVICES\Affaires 2027\"&amp;$A135&amp;"\","Dossier"))</f>
        <v/>
      </c>
    </row>
    <row r="136" ht="18" customHeight="1">
      <c r="A136" s="16" t="n"/>
      <c r="B136" s="17" t="n"/>
      <c r="C136" s="17" t="n"/>
      <c r="D136" s="18">
        <f>IF(AND(ISNUMBER($B136),ISNUMBER($C136)),$C136-$B136,"")</f>
        <v/>
      </c>
      <c r="E136" s="19" t="n"/>
      <c r="F136" s="20" t="n"/>
      <c r="G136" s="19" t="n"/>
      <c r="H136" s="20" t="n"/>
      <c r="I136" s="20" t="n"/>
      <c r="J136" s="19" t="n"/>
      <c r="K136" s="16" t="n"/>
      <c r="L136" s="20" t="n"/>
      <c r="M136" s="20" t="n"/>
      <c r="N136" s="17" t="n"/>
      <c r="O136" s="18">
        <f>IF(AND(OR($M136="Envoyé",$M136="En attente"),ISNUMBER($C136),NOT(ISNUMBER($N136))),IF(TODAY()-$C136&gt;=7,"⚠ relancer",""),"")</f>
        <v/>
      </c>
      <c r="P136" s="19" t="n"/>
      <c r="Q136" s="22">
        <f>IF($A136="","",HYPERLINK("Z:\MUSTANG SERVICES\Affaires 2027\"&amp;$A136&amp;"\"&amp;$A136&amp;"_Devis.xlsx","Ouvrir"))</f>
        <v/>
      </c>
      <c r="R136" s="22">
        <f>IF($A136="","",HYPERLINK("Z:\MUSTANG SERVICES\Affaires 2027\"&amp;$A136&amp;"\"&amp;$A136&amp;"_ToolList.xlsx","Ouvrir"))</f>
        <v/>
      </c>
      <c r="S136" s="22">
        <f>IF($A136="","",HYPERLINK("Z:\MUSTANG SERVICES\Affaires 2027\"&amp;$A136&amp;"\"&amp;$A136&amp;"_BL.xlsx","Ouvrir"))</f>
        <v/>
      </c>
      <c r="T136" s="22">
        <f>IF($A136="","",HYPERLINK("Z:\MUSTANG SERVICES\Affaires 2027\"&amp;$A136&amp;"\"&amp;$A136&amp;"_ServiceTicket.xlsx","Ouvrir"))</f>
        <v/>
      </c>
      <c r="U136" s="22">
        <f>IF($A136="","",HYPERLINK("Z:\MUSTANG SERVICES\Affaires 2027\"&amp;$A136&amp;"\","Dossier"))</f>
        <v/>
      </c>
    </row>
    <row r="137" ht="18" customHeight="1">
      <c r="A137" s="16" t="n"/>
      <c r="B137" s="17" t="n"/>
      <c r="C137" s="17" t="n"/>
      <c r="D137" s="18">
        <f>IF(AND(ISNUMBER($B137),ISNUMBER($C137)),$C137-$B137,"")</f>
        <v/>
      </c>
      <c r="E137" s="19" t="n"/>
      <c r="F137" s="20" t="n"/>
      <c r="G137" s="19" t="n"/>
      <c r="H137" s="20" t="n"/>
      <c r="I137" s="20" t="n"/>
      <c r="J137" s="19" t="n"/>
      <c r="K137" s="16" t="n"/>
      <c r="L137" s="20" t="n"/>
      <c r="M137" s="20" t="n"/>
      <c r="N137" s="17" t="n"/>
      <c r="O137" s="18">
        <f>IF(AND(OR($M137="Envoyé",$M137="En attente"),ISNUMBER($C137),NOT(ISNUMBER($N137))),IF(TODAY()-$C137&gt;=7,"⚠ relancer",""),"")</f>
        <v/>
      </c>
      <c r="P137" s="19" t="n"/>
      <c r="Q137" s="22">
        <f>IF($A137="","",HYPERLINK("Z:\MUSTANG SERVICES\Affaires 2027\"&amp;$A137&amp;"\"&amp;$A137&amp;"_Devis.xlsx","Ouvrir"))</f>
        <v/>
      </c>
      <c r="R137" s="22">
        <f>IF($A137="","",HYPERLINK("Z:\MUSTANG SERVICES\Affaires 2027\"&amp;$A137&amp;"\"&amp;$A137&amp;"_ToolList.xlsx","Ouvrir"))</f>
        <v/>
      </c>
      <c r="S137" s="22">
        <f>IF($A137="","",HYPERLINK("Z:\MUSTANG SERVICES\Affaires 2027\"&amp;$A137&amp;"\"&amp;$A137&amp;"_BL.xlsx","Ouvrir"))</f>
        <v/>
      </c>
      <c r="T137" s="22">
        <f>IF($A137="","",HYPERLINK("Z:\MUSTANG SERVICES\Affaires 2027\"&amp;$A137&amp;"\"&amp;$A137&amp;"_ServiceTicket.xlsx","Ouvrir"))</f>
        <v/>
      </c>
      <c r="U137" s="22">
        <f>IF($A137="","",HYPERLINK("Z:\MUSTANG SERVICES\Affaires 2027\"&amp;$A137&amp;"\","Dossier"))</f>
        <v/>
      </c>
    </row>
    <row r="138" ht="18" customHeight="1">
      <c r="A138" s="16" t="n"/>
      <c r="B138" s="17" t="n"/>
      <c r="C138" s="17" t="n"/>
      <c r="D138" s="18">
        <f>IF(AND(ISNUMBER($B138),ISNUMBER($C138)),$C138-$B138,"")</f>
        <v/>
      </c>
      <c r="E138" s="19" t="n"/>
      <c r="F138" s="20" t="n"/>
      <c r="G138" s="19" t="n"/>
      <c r="H138" s="20" t="n"/>
      <c r="I138" s="20" t="n"/>
      <c r="J138" s="19" t="n"/>
      <c r="K138" s="16" t="n"/>
      <c r="L138" s="20" t="n"/>
      <c r="M138" s="20" t="n"/>
      <c r="N138" s="17" t="n"/>
      <c r="O138" s="18">
        <f>IF(AND(OR($M138="Envoyé",$M138="En attente"),ISNUMBER($C138),NOT(ISNUMBER($N138))),IF(TODAY()-$C138&gt;=7,"⚠ relancer",""),"")</f>
        <v/>
      </c>
      <c r="P138" s="19" t="n"/>
      <c r="Q138" s="22">
        <f>IF($A138="","",HYPERLINK("Z:\MUSTANG SERVICES\Affaires 2027\"&amp;$A138&amp;"\"&amp;$A138&amp;"_Devis.xlsx","Ouvrir"))</f>
        <v/>
      </c>
      <c r="R138" s="22">
        <f>IF($A138="","",HYPERLINK("Z:\MUSTANG SERVICES\Affaires 2027\"&amp;$A138&amp;"\"&amp;$A138&amp;"_ToolList.xlsx","Ouvrir"))</f>
        <v/>
      </c>
      <c r="S138" s="22">
        <f>IF($A138="","",HYPERLINK("Z:\MUSTANG SERVICES\Affaires 2027\"&amp;$A138&amp;"\"&amp;$A138&amp;"_BL.xlsx","Ouvrir"))</f>
        <v/>
      </c>
      <c r="T138" s="22">
        <f>IF($A138="","",HYPERLINK("Z:\MUSTANG SERVICES\Affaires 2027\"&amp;$A138&amp;"\"&amp;$A138&amp;"_ServiceTicket.xlsx","Ouvrir"))</f>
        <v/>
      </c>
      <c r="U138" s="22">
        <f>IF($A138="","",HYPERLINK("Z:\MUSTANG SERVICES\Affaires 2027\"&amp;$A138&amp;"\","Dossier"))</f>
        <v/>
      </c>
    </row>
    <row r="139" ht="18" customHeight="1">
      <c r="A139" s="16" t="n"/>
      <c r="B139" s="17" t="n"/>
      <c r="C139" s="17" t="n"/>
      <c r="D139" s="18">
        <f>IF(AND(ISNUMBER($B139),ISNUMBER($C139)),$C139-$B139,"")</f>
        <v/>
      </c>
      <c r="E139" s="19" t="n"/>
      <c r="F139" s="20" t="n"/>
      <c r="G139" s="19" t="n"/>
      <c r="H139" s="20" t="n"/>
      <c r="I139" s="20" t="n"/>
      <c r="J139" s="19" t="n"/>
      <c r="K139" s="16" t="n"/>
      <c r="L139" s="20" t="n"/>
      <c r="M139" s="20" t="n"/>
      <c r="N139" s="17" t="n"/>
      <c r="O139" s="18">
        <f>IF(AND(OR($M139="Envoyé",$M139="En attente"),ISNUMBER($C139),NOT(ISNUMBER($N139))),IF(TODAY()-$C139&gt;=7,"⚠ relancer",""),"")</f>
        <v/>
      </c>
      <c r="P139" s="19" t="n"/>
      <c r="Q139" s="22">
        <f>IF($A139="","",HYPERLINK("Z:\MUSTANG SERVICES\Affaires 2027\"&amp;$A139&amp;"\"&amp;$A139&amp;"_Devis.xlsx","Ouvrir"))</f>
        <v/>
      </c>
      <c r="R139" s="22">
        <f>IF($A139="","",HYPERLINK("Z:\MUSTANG SERVICES\Affaires 2027\"&amp;$A139&amp;"\"&amp;$A139&amp;"_ToolList.xlsx","Ouvrir"))</f>
        <v/>
      </c>
      <c r="S139" s="22">
        <f>IF($A139="","",HYPERLINK("Z:\MUSTANG SERVICES\Affaires 2027\"&amp;$A139&amp;"\"&amp;$A139&amp;"_BL.xlsx","Ouvrir"))</f>
        <v/>
      </c>
      <c r="T139" s="22">
        <f>IF($A139="","",HYPERLINK("Z:\MUSTANG SERVICES\Affaires 2027\"&amp;$A139&amp;"\"&amp;$A139&amp;"_ServiceTicket.xlsx","Ouvrir"))</f>
        <v/>
      </c>
      <c r="U139" s="22">
        <f>IF($A139="","",HYPERLINK("Z:\MUSTANG SERVICES\Affaires 2027\"&amp;$A139&amp;"\","Dossier"))</f>
        <v/>
      </c>
    </row>
    <row r="140" ht="18" customHeight="1">
      <c r="A140" s="16" t="n"/>
      <c r="B140" s="17" t="n"/>
      <c r="C140" s="17" t="n"/>
      <c r="D140" s="18">
        <f>IF(AND(ISNUMBER($B140),ISNUMBER($C140)),$C140-$B140,"")</f>
        <v/>
      </c>
      <c r="E140" s="19" t="n"/>
      <c r="F140" s="20" t="n"/>
      <c r="G140" s="19" t="n"/>
      <c r="H140" s="20" t="n"/>
      <c r="I140" s="20" t="n"/>
      <c r="J140" s="19" t="n"/>
      <c r="K140" s="16" t="n"/>
      <c r="L140" s="20" t="n"/>
      <c r="M140" s="20" t="n"/>
      <c r="N140" s="17" t="n"/>
      <c r="O140" s="18">
        <f>IF(AND(OR($M140="Envoyé",$M140="En attente"),ISNUMBER($C140),NOT(ISNUMBER($N140))),IF(TODAY()-$C140&gt;=7,"⚠ relancer",""),"")</f>
        <v/>
      </c>
      <c r="P140" s="19" t="n"/>
      <c r="Q140" s="22">
        <f>IF($A140="","",HYPERLINK("Z:\MUSTANG SERVICES\Affaires 2027\"&amp;$A140&amp;"\"&amp;$A140&amp;"_Devis.xlsx","Ouvrir"))</f>
        <v/>
      </c>
      <c r="R140" s="22">
        <f>IF($A140="","",HYPERLINK("Z:\MUSTANG SERVICES\Affaires 2027\"&amp;$A140&amp;"\"&amp;$A140&amp;"_ToolList.xlsx","Ouvrir"))</f>
        <v/>
      </c>
      <c r="S140" s="22">
        <f>IF($A140="","",HYPERLINK("Z:\MUSTANG SERVICES\Affaires 2027\"&amp;$A140&amp;"\"&amp;$A140&amp;"_BL.xlsx","Ouvrir"))</f>
        <v/>
      </c>
      <c r="T140" s="22">
        <f>IF($A140="","",HYPERLINK("Z:\MUSTANG SERVICES\Affaires 2027\"&amp;$A140&amp;"\"&amp;$A140&amp;"_ServiceTicket.xlsx","Ouvrir"))</f>
        <v/>
      </c>
      <c r="U140" s="22">
        <f>IF($A140="","",HYPERLINK("Z:\MUSTANG SERVICES\Affaires 2027\"&amp;$A140&amp;"\","Dossier"))</f>
        <v/>
      </c>
    </row>
    <row r="141" ht="18" customHeight="1">
      <c r="A141" s="16" t="n"/>
      <c r="B141" s="17" t="n"/>
      <c r="C141" s="17" t="n"/>
      <c r="D141" s="18">
        <f>IF(AND(ISNUMBER($B141),ISNUMBER($C141)),$C141-$B141,"")</f>
        <v/>
      </c>
      <c r="E141" s="19" t="n"/>
      <c r="F141" s="20" t="n"/>
      <c r="G141" s="19" t="n"/>
      <c r="H141" s="20" t="n"/>
      <c r="I141" s="20" t="n"/>
      <c r="J141" s="19" t="n"/>
      <c r="K141" s="16" t="n"/>
      <c r="L141" s="20" t="n"/>
      <c r="M141" s="20" t="n"/>
      <c r="N141" s="17" t="n"/>
      <c r="O141" s="18">
        <f>IF(AND(OR($M141="Envoyé",$M141="En attente"),ISNUMBER($C141),NOT(ISNUMBER($N141))),IF(TODAY()-$C141&gt;=7,"⚠ relancer",""),"")</f>
        <v/>
      </c>
      <c r="P141" s="19" t="n"/>
      <c r="Q141" s="22">
        <f>IF($A141="","",HYPERLINK("Z:\MUSTANG SERVICES\Affaires 2027\"&amp;$A141&amp;"\"&amp;$A141&amp;"_Devis.xlsx","Ouvrir"))</f>
        <v/>
      </c>
      <c r="R141" s="22">
        <f>IF($A141="","",HYPERLINK("Z:\MUSTANG SERVICES\Affaires 2027\"&amp;$A141&amp;"\"&amp;$A141&amp;"_ToolList.xlsx","Ouvrir"))</f>
        <v/>
      </c>
      <c r="S141" s="22">
        <f>IF($A141="","",HYPERLINK("Z:\MUSTANG SERVICES\Affaires 2027\"&amp;$A141&amp;"\"&amp;$A141&amp;"_BL.xlsx","Ouvrir"))</f>
        <v/>
      </c>
      <c r="T141" s="22">
        <f>IF($A141="","",HYPERLINK("Z:\MUSTANG SERVICES\Affaires 2027\"&amp;$A141&amp;"\"&amp;$A141&amp;"_ServiceTicket.xlsx","Ouvrir"))</f>
        <v/>
      </c>
      <c r="U141" s="22">
        <f>IF($A141="","",HYPERLINK("Z:\MUSTANG SERVICES\Affaires 2027\"&amp;$A141&amp;"\","Dossier"))</f>
        <v/>
      </c>
    </row>
    <row r="142" ht="18" customHeight="1">
      <c r="A142" s="16" t="n"/>
      <c r="B142" s="17" t="n"/>
      <c r="C142" s="17" t="n"/>
      <c r="D142" s="18">
        <f>IF(AND(ISNUMBER($B142),ISNUMBER($C142)),$C142-$B142,"")</f>
        <v/>
      </c>
      <c r="E142" s="19" t="n"/>
      <c r="F142" s="20" t="n"/>
      <c r="G142" s="19" t="n"/>
      <c r="H142" s="20" t="n"/>
      <c r="I142" s="20" t="n"/>
      <c r="J142" s="19" t="n"/>
      <c r="K142" s="16" t="n"/>
      <c r="L142" s="20" t="n"/>
      <c r="M142" s="20" t="n"/>
      <c r="N142" s="17" t="n"/>
      <c r="O142" s="18">
        <f>IF(AND(OR($M142="Envoyé",$M142="En attente"),ISNUMBER($C142),NOT(ISNUMBER($N142))),IF(TODAY()-$C142&gt;=7,"⚠ relancer",""),"")</f>
        <v/>
      </c>
      <c r="P142" s="19" t="n"/>
      <c r="Q142" s="22">
        <f>IF($A142="","",HYPERLINK("Z:\MUSTANG SERVICES\Affaires 2027\"&amp;$A142&amp;"\"&amp;$A142&amp;"_Devis.xlsx","Ouvrir"))</f>
        <v/>
      </c>
      <c r="R142" s="22">
        <f>IF($A142="","",HYPERLINK("Z:\MUSTANG SERVICES\Affaires 2027\"&amp;$A142&amp;"\"&amp;$A142&amp;"_ToolList.xlsx","Ouvrir"))</f>
        <v/>
      </c>
      <c r="S142" s="22">
        <f>IF($A142="","",HYPERLINK("Z:\MUSTANG SERVICES\Affaires 2027\"&amp;$A142&amp;"\"&amp;$A142&amp;"_BL.xlsx","Ouvrir"))</f>
        <v/>
      </c>
      <c r="T142" s="22">
        <f>IF($A142="","",HYPERLINK("Z:\MUSTANG SERVICES\Affaires 2027\"&amp;$A142&amp;"\"&amp;$A142&amp;"_ServiceTicket.xlsx","Ouvrir"))</f>
        <v/>
      </c>
      <c r="U142" s="22">
        <f>IF($A142="","",HYPERLINK("Z:\MUSTANG SERVICES\Affaires 2027\"&amp;$A142&amp;"\","Dossier"))</f>
        <v/>
      </c>
    </row>
    <row r="143" ht="18" customHeight="1">
      <c r="A143" s="16" t="n"/>
      <c r="B143" s="17" t="n"/>
      <c r="C143" s="17" t="n"/>
      <c r="D143" s="18">
        <f>IF(AND(ISNUMBER($B143),ISNUMBER($C143)),$C143-$B143,"")</f>
        <v/>
      </c>
      <c r="E143" s="19" t="n"/>
      <c r="F143" s="20" t="n"/>
      <c r="G143" s="19" t="n"/>
      <c r="H143" s="20" t="n"/>
      <c r="I143" s="20" t="n"/>
      <c r="J143" s="19" t="n"/>
      <c r="K143" s="16" t="n"/>
      <c r="L143" s="20" t="n"/>
      <c r="M143" s="20" t="n"/>
      <c r="N143" s="17" t="n"/>
      <c r="O143" s="18">
        <f>IF(AND(OR($M143="Envoyé",$M143="En attente"),ISNUMBER($C143),NOT(ISNUMBER($N143))),IF(TODAY()-$C143&gt;=7,"⚠ relancer",""),"")</f>
        <v/>
      </c>
      <c r="P143" s="19" t="n"/>
      <c r="Q143" s="22">
        <f>IF($A143="","",HYPERLINK("Z:\MUSTANG SERVICES\Affaires 2027\"&amp;$A143&amp;"\"&amp;$A143&amp;"_Devis.xlsx","Ouvrir"))</f>
        <v/>
      </c>
      <c r="R143" s="22">
        <f>IF($A143="","",HYPERLINK("Z:\MUSTANG SERVICES\Affaires 2027\"&amp;$A143&amp;"\"&amp;$A143&amp;"_ToolList.xlsx","Ouvrir"))</f>
        <v/>
      </c>
      <c r="S143" s="22">
        <f>IF($A143="","",HYPERLINK("Z:\MUSTANG SERVICES\Affaires 2027\"&amp;$A143&amp;"\"&amp;$A143&amp;"_BL.xlsx","Ouvrir"))</f>
        <v/>
      </c>
      <c r="T143" s="22">
        <f>IF($A143="","",HYPERLINK("Z:\MUSTANG SERVICES\Affaires 2027\"&amp;$A143&amp;"\"&amp;$A143&amp;"_ServiceTicket.xlsx","Ouvrir"))</f>
        <v/>
      </c>
      <c r="U143" s="22">
        <f>IF($A143="","",HYPERLINK("Z:\MUSTANG SERVICES\Affaires 2027\"&amp;$A143&amp;"\","Dossier"))</f>
        <v/>
      </c>
    </row>
    <row r="144" ht="18" customHeight="1">
      <c r="A144" s="16" t="n"/>
      <c r="B144" s="17" t="n"/>
      <c r="C144" s="17" t="n"/>
      <c r="D144" s="18">
        <f>IF(AND(ISNUMBER($B144),ISNUMBER($C144)),$C144-$B144,"")</f>
        <v/>
      </c>
      <c r="E144" s="19" t="n"/>
      <c r="F144" s="20" t="n"/>
      <c r="G144" s="19" t="n"/>
      <c r="H144" s="20" t="n"/>
      <c r="I144" s="20" t="n"/>
      <c r="J144" s="19" t="n"/>
      <c r="K144" s="16" t="n"/>
      <c r="L144" s="20" t="n"/>
      <c r="M144" s="20" t="n"/>
      <c r="N144" s="17" t="n"/>
      <c r="O144" s="18">
        <f>IF(AND(OR($M144="Envoyé",$M144="En attente"),ISNUMBER($C144),NOT(ISNUMBER($N144))),IF(TODAY()-$C144&gt;=7,"⚠ relancer",""),"")</f>
        <v/>
      </c>
      <c r="P144" s="19" t="n"/>
      <c r="Q144" s="22">
        <f>IF($A144="","",HYPERLINK("Z:\MUSTANG SERVICES\Affaires 2027\"&amp;$A144&amp;"\"&amp;$A144&amp;"_Devis.xlsx","Ouvrir"))</f>
        <v/>
      </c>
      <c r="R144" s="22">
        <f>IF($A144="","",HYPERLINK("Z:\MUSTANG SERVICES\Affaires 2027\"&amp;$A144&amp;"\"&amp;$A144&amp;"_ToolList.xlsx","Ouvrir"))</f>
        <v/>
      </c>
      <c r="S144" s="22">
        <f>IF($A144="","",HYPERLINK("Z:\MUSTANG SERVICES\Affaires 2027\"&amp;$A144&amp;"\"&amp;$A144&amp;"_BL.xlsx","Ouvrir"))</f>
        <v/>
      </c>
      <c r="T144" s="22">
        <f>IF($A144="","",HYPERLINK("Z:\MUSTANG SERVICES\Affaires 2027\"&amp;$A144&amp;"\"&amp;$A144&amp;"_ServiceTicket.xlsx","Ouvrir"))</f>
        <v/>
      </c>
      <c r="U144" s="22">
        <f>IF($A144="","",HYPERLINK("Z:\MUSTANG SERVICES\Affaires 2027\"&amp;$A144&amp;"\","Dossier"))</f>
        <v/>
      </c>
    </row>
    <row r="145" ht="18" customHeight="1">
      <c r="A145" s="16" t="n"/>
      <c r="B145" s="17" t="n"/>
      <c r="C145" s="17" t="n"/>
      <c r="D145" s="18">
        <f>IF(AND(ISNUMBER($B145),ISNUMBER($C145)),$C145-$B145,"")</f>
        <v/>
      </c>
      <c r="E145" s="19" t="n"/>
      <c r="F145" s="20" t="n"/>
      <c r="G145" s="19" t="n"/>
      <c r="H145" s="20" t="n"/>
      <c r="I145" s="20" t="n"/>
      <c r="J145" s="19" t="n"/>
      <c r="K145" s="16" t="n"/>
      <c r="L145" s="20" t="n"/>
      <c r="M145" s="20" t="n"/>
      <c r="N145" s="17" t="n"/>
      <c r="O145" s="18">
        <f>IF(AND(OR($M145="Envoyé",$M145="En attente"),ISNUMBER($C145),NOT(ISNUMBER($N145))),IF(TODAY()-$C145&gt;=7,"⚠ relancer",""),"")</f>
        <v/>
      </c>
      <c r="P145" s="19" t="n"/>
      <c r="Q145" s="22">
        <f>IF($A145="","",HYPERLINK("Z:\MUSTANG SERVICES\Affaires 2027\"&amp;$A145&amp;"\"&amp;$A145&amp;"_Devis.xlsx","Ouvrir"))</f>
        <v/>
      </c>
      <c r="R145" s="22">
        <f>IF($A145="","",HYPERLINK("Z:\MUSTANG SERVICES\Affaires 2027\"&amp;$A145&amp;"\"&amp;$A145&amp;"_ToolList.xlsx","Ouvrir"))</f>
        <v/>
      </c>
      <c r="S145" s="22">
        <f>IF($A145="","",HYPERLINK("Z:\MUSTANG SERVICES\Affaires 2027\"&amp;$A145&amp;"\"&amp;$A145&amp;"_BL.xlsx","Ouvrir"))</f>
        <v/>
      </c>
      <c r="T145" s="22">
        <f>IF($A145="","",HYPERLINK("Z:\MUSTANG SERVICES\Affaires 2027\"&amp;$A145&amp;"\"&amp;$A145&amp;"_ServiceTicket.xlsx","Ouvrir"))</f>
        <v/>
      </c>
      <c r="U145" s="22">
        <f>IF($A145="","",HYPERLINK("Z:\MUSTANG SERVICES\Affaires 2027\"&amp;$A145&amp;"\","Dossier"))</f>
        <v/>
      </c>
    </row>
    <row r="146" ht="18" customHeight="1">
      <c r="A146" s="16" t="n"/>
      <c r="B146" s="17" t="n"/>
      <c r="C146" s="17" t="n"/>
      <c r="D146" s="18">
        <f>IF(AND(ISNUMBER($B146),ISNUMBER($C146)),$C146-$B146,"")</f>
        <v/>
      </c>
      <c r="E146" s="19" t="n"/>
      <c r="F146" s="20" t="n"/>
      <c r="G146" s="19" t="n"/>
      <c r="H146" s="20" t="n"/>
      <c r="I146" s="20" t="n"/>
      <c r="J146" s="19" t="n"/>
      <c r="K146" s="16" t="n"/>
      <c r="L146" s="20" t="n"/>
      <c r="M146" s="20" t="n"/>
      <c r="N146" s="17" t="n"/>
      <c r="O146" s="18">
        <f>IF(AND(OR($M146="Envoyé",$M146="En attente"),ISNUMBER($C146),NOT(ISNUMBER($N146))),IF(TODAY()-$C146&gt;=7,"⚠ relancer",""),"")</f>
        <v/>
      </c>
      <c r="P146" s="19" t="n"/>
      <c r="Q146" s="22">
        <f>IF($A146="","",HYPERLINK("Z:\MUSTANG SERVICES\Affaires 2027\"&amp;$A146&amp;"\"&amp;$A146&amp;"_Devis.xlsx","Ouvrir"))</f>
        <v/>
      </c>
      <c r="R146" s="22">
        <f>IF($A146="","",HYPERLINK("Z:\MUSTANG SERVICES\Affaires 2027\"&amp;$A146&amp;"\"&amp;$A146&amp;"_ToolList.xlsx","Ouvrir"))</f>
        <v/>
      </c>
      <c r="S146" s="22">
        <f>IF($A146="","",HYPERLINK("Z:\MUSTANG SERVICES\Affaires 2027\"&amp;$A146&amp;"\"&amp;$A146&amp;"_BL.xlsx","Ouvrir"))</f>
        <v/>
      </c>
      <c r="T146" s="22">
        <f>IF($A146="","",HYPERLINK("Z:\MUSTANG SERVICES\Affaires 2027\"&amp;$A146&amp;"\"&amp;$A146&amp;"_ServiceTicket.xlsx","Ouvrir"))</f>
        <v/>
      </c>
      <c r="U146" s="22">
        <f>IF($A146="","",HYPERLINK("Z:\MUSTANG SERVICES\Affaires 2027\"&amp;$A146&amp;"\","Dossier"))</f>
        <v/>
      </c>
    </row>
    <row r="147" ht="18" customHeight="1">
      <c r="A147" s="16" t="n"/>
      <c r="B147" s="17" t="n"/>
      <c r="C147" s="17" t="n"/>
      <c r="D147" s="18">
        <f>IF(AND(ISNUMBER($B147),ISNUMBER($C147)),$C147-$B147,"")</f>
        <v/>
      </c>
      <c r="E147" s="19" t="n"/>
      <c r="F147" s="20" t="n"/>
      <c r="G147" s="19" t="n"/>
      <c r="H147" s="20" t="n"/>
      <c r="I147" s="20" t="n"/>
      <c r="J147" s="19" t="n"/>
      <c r="K147" s="16" t="n"/>
      <c r="L147" s="20" t="n"/>
      <c r="M147" s="20" t="n"/>
      <c r="N147" s="17" t="n"/>
      <c r="O147" s="18">
        <f>IF(AND(OR($M147="Envoyé",$M147="En attente"),ISNUMBER($C147),NOT(ISNUMBER($N147))),IF(TODAY()-$C147&gt;=7,"⚠ relancer",""),"")</f>
        <v/>
      </c>
      <c r="P147" s="19" t="n"/>
      <c r="Q147" s="22">
        <f>IF($A147="","",HYPERLINK("Z:\MUSTANG SERVICES\Affaires 2027\"&amp;$A147&amp;"\"&amp;$A147&amp;"_Devis.xlsx","Ouvrir"))</f>
        <v/>
      </c>
      <c r="R147" s="22">
        <f>IF($A147="","",HYPERLINK("Z:\MUSTANG SERVICES\Affaires 2027\"&amp;$A147&amp;"\"&amp;$A147&amp;"_ToolList.xlsx","Ouvrir"))</f>
        <v/>
      </c>
      <c r="S147" s="22">
        <f>IF($A147="","",HYPERLINK("Z:\MUSTANG SERVICES\Affaires 2027\"&amp;$A147&amp;"\"&amp;$A147&amp;"_BL.xlsx","Ouvrir"))</f>
        <v/>
      </c>
      <c r="T147" s="22">
        <f>IF($A147="","",HYPERLINK("Z:\MUSTANG SERVICES\Affaires 2027\"&amp;$A147&amp;"\"&amp;$A147&amp;"_ServiceTicket.xlsx","Ouvrir"))</f>
        <v/>
      </c>
      <c r="U147" s="22">
        <f>IF($A147="","",HYPERLINK("Z:\MUSTANG SERVICES\Affaires 2027\"&amp;$A147&amp;"\","Dossier"))</f>
        <v/>
      </c>
    </row>
    <row r="148" ht="18" customHeight="1">
      <c r="A148" s="16" t="n"/>
      <c r="B148" s="17" t="n"/>
      <c r="C148" s="17" t="n"/>
      <c r="D148" s="18">
        <f>IF(AND(ISNUMBER($B148),ISNUMBER($C148)),$C148-$B148,"")</f>
        <v/>
      </c>
      <c r="E148" s="19" t="n"/>
      <c r="F148" s="20" t="n"/>
      <c r="G148" s="19" t="n"/>
      <c r="H148" s="20" t="n"/>
      <c r="I148" s="20" t="n"/>
      <c r="J148" s="19" t="n"/>
      <c r="K148" s="16" t="n"/>
      <c r="L148" s="20" t="n"/>
      <c r="M148" s="20" t="n"/>
      <c r="N148" s="17" t="n"/>
      <c r="O148" s="18">
        <f>IF(AND(OR($M148="Envoyé",$M148="En attente"),ISNUMBER($C148),NOT(ISNUMBER($N148))),IF(TODAY()-$C148&gt;=7,"⚠ relancer",""),"")</f>
        <v/>
      </c>
      <c r="P148" s="19" t="n"/>
      <c r="Q148" s="22">
        <f>IF($A148="","",HYPERLINK("Z:\MUSTANG SERVICES\Affaires 2027\"&amp;$A148&amp;"\"&amp;$A148&amp;"_Devis.xlsx","Ouvrir"))</f>
        <v/>
      </c>
      <c r="R148" s="22">
        <f>IF($A148="","",HYPERLINK("Z:\MUSTANG SERVICES\Affaires 2027\"&amp;$A148&amp;"\"&amp;$A148&amp;"_ToolList.xlsx","Ouvrir"))</f>
        <v/>
      </c>
      <c r="S148" s="22">
        <f>IF($A148="","",HYPERLINK("Z:\MUSTANG SERVICES\Affaires 2027\"&amp;$A148&amp;"\"&amp;$A148&amp;"_BL.xlsx","Ouvrir"))</f>
        <v/>
      </c>
      <c r="T148" s="22">
        <f>IF($A148="","",HYPERLINK("Z:\MUSTANG SERVICES\Affaires 2027\"&amp;$A148&amp;"\"&amp;$A148&amp;"_ServiceTicket.xlsx","Ouvrir"))</f>
        <v/>
      </c>
      <c r="U148" s="22">
        <f>IF($A148="","",HYPERLINK("Z:\MUSTANG SERVICES\Affaires 2027\"&amp;$A148&amp;"\","Dossier"))</f>
        <v/>
      </c>
    </row>
    <row r="149" ht="18" customHeight="1">
      <c r="A149" s="16" t="n"/>
      <c r="B149" s="17" t="n"/>
      <c r="C149" s="17" t="n"/>
      <c r="D149" s="18">
        <f>IF(AND(ISNUMBER($B149),ISNUMBER($C149)),$C149-$B149,"")</f>
        <v/>
      </c>
      <c r="E149" s="19" t="n"/>
      <c r="F149" s="20" t="n"/>
      <c r="G149" s="19" t="n"/>
      <c r="H149" s="20" t="n"/>
      <c r="I149" s="20" t="n"/>
      <c r="J149" s="19" t="n"/>
      <c r="K149" s="16" t="n"/>
      <c r="L149" s="20" t="n"/>
      <c r="M149" s="20" t="n"/>
      <c r="N149" s="17" t="n"/>
      <c r="O149" s="18">
        <f>IF(AND(OR($M149="Envoyé",$M149="En attente"),ISNUMBER($C149),NOT(ISNUMBER($N149))),IF(TODAY()-$C149&gt;=7,"⚠ relancer",""),"")</f>
        <v/>
      </c>
      <c r="P149" s="19" t="n"/>
      <c r="Q149" s="22">
        <f>IF($A149="","",HYPERLINK("Z:\MUSTANG SERVICES\Affaires 2027\"&amp;$A149&amp;"\"&amp;$A149&amp;"_Devis.xlsx","Ouvrir"))</f>
        <v/>
      </c>
      <c r="R149" s="22">
        <f>IF($A149="","",HYPERLINK("Z:\MUSTANG SERVICES\Affaires 2027\"&amp;$A149&amp;"\"&amp;$A149&amp;"_ToolList.xlsx","Ouvrir"))</f>
        <v/>
      </c>
      <c r="S149" s="22">
        <f>IF($A149="","",HYPERLINK("Z:\MUSTANG SERVICES\Affaires 2027\"&amp;$A149&amp;"\"&amp;$A149&amp;"_BL.xlsx","Ouvrir"))</f>
        <v/>
      </c>
      <c r="T149" s="22">
        <f>IF($A149="","",HYPERLINK("Z:\MUSTANG SERVICES\Affaires 2027\"&amp;$A149&amp;"\"&amp;$A149&amp;"_ServiceTicket.xlsx","Ouvrir"))</f>
        <v/>
      </c>
      <c r="U149" s="22">
        <f>IF($A149="","",HYPERLINK("Z:\MUSTANG SERVICES\Affaires 2027\"&amp;$A149&amp;"\","Dossier"))</f>
        <v/>
      </c>
    </row>
    <row r="150" ht="18" customHeight="1">
      <c r="A150" s="16" t="n"/>
      <c r="B150" s="17" t="n"/>
      <c r="C150" s="17" t="n"/>
      <c r="D150" s="18">
        <f>IF(AND(ISNUMBER($B150),ISNUMBER($C150)),$C150-$B150,"")</f>
        <v/>
      </c>
      <c r="E150" s="19" t="n"/>
      <c r="F150" s="20" t="n"/>
      <c r="G150" s="19" t="n"/>
      <c r="H150" s="20" t="n"/>
      <c r="I150" s="20" t="n"/>
      <c r="J150" s="19" t="n"/>
      <c r="K150" s="16" t="n"/>
      <c r="L150" s="20" t="n"/>
      <c r="M150" s="20" t="n"/>
      <c r="N150" s="17" t="n"/>
      <c r="O150" s="18">
        <f>IF(AND(OR($M150="Envoyé",$M150="En attente"),ISNUMBER($C150),NOT(ISNUMBER($N150))),IF(TODAY()-$C150&gt;=7,"⚠ relancer",""),"")</f>
        <v/>
      </c>
      <c r="P150" s="19" t="n"/>
      <c r="Q150" s="22">
        <f>IF($A150="","",HYPERLINK("Z:\MUSTANG SERVICES\Affaires 2027\"&amp;$A150&amp;"\"&amp;$A150&amp;"_Devis.xlsx","Ouvrir"))</f>
        <v/>
      </c>
      <c r="R150" s="22">
        <f>IF($A150="","",HYPERLINK("Z:\MUSTANG SERVICES\Affaires 2027\"&amp;$A150&amp;"\"&amp;$A150&amp;"_ToolList.xlsx","Ouvrir"))</f>
        <v/>
      </c>
      <c r="S150" s="22">
        <f>IF($A150="","",HYPERLINK("Z:\MUSTANG SERVICES\Affaires 2027\"&amp;$A150&amp;"\"&amp;$A150&amp;"_BL.xlsx","Ouvrir"))</f>
        <v/>
      </c>
      <c r="T150" s="22">
        <f>IF($A150="","",HYPERLINK("Z:\MUSTANG SERVICES\Affaires 2027\"&amp;$A150&amp;"\"&amp;$A150&amp;"_ServiceTicket.xlsx","Ouvrir"))</f>
        <v/>
      </c>
      <c r="U150" s="22">
        <f>IF($A150="","",HYPERLINK("Z:\MUSTANG SERVICES\Affaires 2027\"&amp;$A150&amp;"\","Dossier"))</f>
        <v/>
      </c>
    </row>
    <row r="151" ht="18" customHeight="1">
      <c r="A151" s="16" t="n"/>
      <c r="B151" s="17" t="n"/>
      <c r="C151" s="17" t="n"/>
      <c r="D151" s="18">
        <f>IF(AND(ISNUMBER($B151),ISNUMBER($C151)),$C151-$B151,"")</f>
        <v/>
      </c>
      <c r="E151" s="19" t="n"/>
      <c r="F151" s="20" t="n"/>
      <c r="G151" s="19" t="n"/>
      <c r="H151" s="20" t="n"/>
      <c r="I151" s="20" t="n"/>
      <c r="J151" s="19" t="n"/>
      <c r="K151" s="16" t="n"/>
      <c r="L151" s="20" t="n"/>
      <c r="M151" s="20" t="n"/>
      <c r="N151" s="17" t="n"/>
      <c r="O151" s="18">
        <f>IF(AND(OR($M151="Envoyé",$M151="En attente"),ISNUMBER($C151),NOT(ISNUMBER($N151))),IF(TODAY()-$C151&gt;=7,"⚠ relancer",""),"")</f>
        <v/>
      </c>
      <c r="P151" s="19" t="n"/>
      <c r="Q151" s="22">
        <f>IF($A151="","",HYPERLINK("Z:\MUSTANG SERVICES\Affaires 2027\"&amp;$A151&amp;"\"&amp;$A151&amp;"_Devis.xlsx","Ouvrir"))</f>
        <v/>
      </c>
      <c r="R151" s="22">
        <f>IF($A151="","",HYPERLINK("Z:\MUSTANG SERVICES\Affaires 2027\"&amp;$A151&amp;"\"&amp;$A151&amp;"_ToolList.xlsx","Ouvrir"))</f>
        <v/>
      </c>
      <c r="S151" s="22">
        <f>IF($A151="","",HYPERLINK("Z:\MUSTANG SERVICES\Affaires 2027\"&amp;$A151&amp;"\"&amp;$A151&amp;"_BL.xlsx","Ouvrir"))</f>
        <v/>
      </c>
      <c r="T151" s="22">
        <f>IF($A151="","",HYPERLINK("Z:\MUSTANG SERVICES\Affaires 2027\"&amp;$A151&amp;"\"&amp;$A151&amp;"_ServiceTicket.xlsx","Ouvrir"))</f>
        <v/>
      </c>
      <c r="U151" s="22">
        <f>IF($A151="","",HYPERLINK("Z:\MUSTANG SERVICES\Affaires 2027\"&amp;$A151&amp;"\","Dossier"))</f>
        <v/>
      </c>
    </row>
    <row r="152" ht="18" customHeight="1">
      <c r="A152" s="16" t="n"/>
      <c r="B152" s="17" t="n"/>
      <c r="C152" s="17" t="n"/>
      <c r="D152" s="18">
        <f>IF(AND(ISNUMBER($B152),ISNUMBER($C152)),$C152-$B152,"")</f>
        <v/>
      </c>
      <c r="E152" s="19" t="n"/>
      <c r="F152" s="20" t="n"/>
      <c r="G152" s="19" t="n"/>
      <c r="H152" s="20" t="n"/>
      <c r="I152" s="20" t="n"/>
      <c r="J152" s="19" t="n"/>
      <c r="K152" s="16" t="n"/>
      <c r="L152" s="20" t="n"/>
      <c r="M152" s="20" t="n"/>
      <c r="N152" s="17" t="n"/>
      <c r="O152" s="18">
        <f>IF(AND(OR($M152="Envoyé",$M152="En attente"),ISNUMBER($C152),NOT(ISNUMBER($N152))),IF(TODAY()-$C152&gt;=7,"⚠ relancer",""),"")</f>
        <v/>
      </c>
      <c r="P152" s="19" t="n"/>
      <c r="Q152" s="22">
        <f>IF($A152="","",HYPERLINK("Z:\MUSTANG SERVICES\Affaires 2027\"&amp;$A152&amp;"\"&amp;$A152&amp;"_Devis.xlsx","Ouvrir"))</f>
        <v/>
      </c>
      <c r="R152" s="22">
        <f>IF($A152="","",HYPERLINK("Z:\MUSTANG SERVICES\Affaires 2027\"&amp;$A152&amp;"\"&amp;$A152&amp;"_ToolList.xlsx","Ouvrir"))</f>
        <v/>
      </c>
      <c r="S152" s="22">
        <f>IF($A152="","",HYPERLINK("Z:\MUSTANG SERVICES\Affaires 2027\"&amp;$A152&amp;"\"&amp;$A152&amp;"_BL.xlsx","Ouvrir"))</f>
        <v/>
      </c>
      <c r="T152" s="22">
        <f>IF($A152="","",HYPERLINK("Z:\MUSTANG SERVICES\Affaires 2027\"&amp;$A152&amp;"\"&amp;$A152&amp;"_ServiceTicket.xlsx","Ouvrir"))</f>
        <v/>
      </c>
      <c r="U152" s="22">
        <f>IF($A152="","",HYPERLINK("Z:\MUSTANG SERVICES\Affaires 2027\"&amp;$A152&amp;"\","Dossier"))</f>
        <v/>
      </c>
    </row>
    <row r="153" ht="18" customHeight="1">
      <c r="A153" s="16" t="n"/>
      <c r="B153" s="17" t="n"/>
      <c r="C153" s="17" t="n"/>
      <c r="D153" s="18">
        <f>IF(AND(ISNUMBER($B153),ISNUMBER($C153)),$C153-$B153,"")</f>
        <v/>
      </c>
      <c r="E153" s="19" t="n"/>
      <c r="F153" s="20" t="n"/>
      <c r="G153" s="19" t="n"/>
      <c r="H153" s="20" t="n"/>
      <c r="I153" s="20" t="n"/>
      <c r="J153" s="19" t="n"/>
      <c r="K153" s="16" t="n"/>
      <c r="L153" s="20" t="n"/>
      <c r="M153" s="20" t="n"/>
      <c r="N153" s="17" t="n"/>
      <c r="O153" s="18">
        <f>IF(AND(OR($M153="Envoyé",$M153="En attente"),ISNUMBER($C153),NOT(ISNUMBER($N153))),IF(TODAY()-$C153&gt;=7,"⚠ relancer",""),"")</f>
        <v/>
      </c>
      <c r="P153" s="19" t="n"/>
      <c r="Q153" s="22">
        <f>IF($A153="","",HYPERLINK("Z:\MUSTANG SERVICES\Affaires 2027\"&amp;$A153&amp;"\"&amp;$A153&amp;"_Devis.xlsx","Ouvrir"))</f>
        <v/>
      </c>
      <c r="R153" s="22">
        <f>IF($A153="","",HYPERLINK("Z:\MUSTANG SERVICES\Affaires 2027\"&amp;$A153&amp;"\"&amp;$A153&amp;"_ToolList.xlsx","Ouvrir"))</f>
        <v/>
      </c>
      <c r="S153" s="22">
        <f>IF($A153="","",HYPERLINK("Z:\MUSTANG SERVICES\Affaires 2027\"&amp;$A153&amp;"\"&amp;$A153&amp;"_BL.xlsx","Ouvrir"))</f>
        <v/>
      </c>
      <c r="T153" s="22">
        <f>IF($A153="","",HYPERLINK("Z:\MUSTANG SERVICES\Affaires 2027\"&amp;$A153&amp;"\"&amp;$A153&amp;"_ServiceTicket.xlsx","Ouvrir"))</f>
        <v/>
      </c>
      <c r="U153" s="22">
        <f>IF($A153="","",HYPERLINK("Z:\MUSTANG SERVICES\Affaires 2027\"&amp;$A153&amp;"\","Dossier"))</f>
        <v/>
      </c>
    </row>
    <row r="154" ht="18" customHeight="1">
      <c r="A154" s="16" t="n"/>
      <c r="B154" s="17" t="n"/>
      <c r="C154" s="17" t="n"/>
      <c r="D154" s="18">
        <f>IF(AND(ISNUMBER($B154),ISNUMBER($C154)),$C154-$B154,"")</f>
        <v/>
      </c>
      <c r="E154" s="19" t="n"/>
      <c r="F154" s="20" t="n"/>
      <c r="G154" s="19" t="n"/>
      <c r="H154" s="20" t="n"/>
      <c r="I154" s="20" t="n"/>
      <c r="J154" s="19" t="n"/>
      <c r="K154" s="16" t="n"/>
      <c r="L154" s="20" t="n"/>
      <c r="M154" s="20" t="n"/>
      <c r="N154" s="17" t="n"/>
      <c r="O154" s="18">
        <f>IF(AND(OR($M154="Envoyé",$M154="En attente"),ISNUMBER($C154),NOT(ISNUMBER($N154))),IF(TODAY()-$C154&gt;=7,"⚠ relancer",""),"")</f>
        <v/>
      </c>
      <c r="P154" s="19" t="n"/>
      <c r="Q154" s="22">
        <f>IF($A154="","",HYPERLINK("Z:\MUSTANG SERVICES\Affaires 2027\"&amp;$A154&amp;"\"&amp;$A154&amp;"_Devis.xlsx","Ouvrir"))</f>
        <v/>
      </c>
      <c r="R154" s="22">
        <f>IF($A154="","",HYPERLINK("Z:\MUSTANG SERVICES\Affaires 2027\"&amp;$A154&amp;"\"&amp;$A154&amp;"_ToolList.xlsx","Ouvrir"))</f>
        <v/>
      </c>
      <c r="S154" s="22">
        <f>IF($A154="","",HYPERLINK("Z:\MUSTANG SERVICES\Affaires 2027\"&amp;$A154&amp;"\"&amp;$A154&amp;"_BL.xlsx","Ouvrir"))</f>
        <v/>
      </c>
      <c r="T154" s="22">
        <f>IF($A154="","",HYPERLINK("Z:\MUSTANG SERVICES\Affaires 2027\"&amp;$A154&amp;"\"&amp;$A154&amp;"_ServiceTicket.xlsx","Ouvrir"))</f>
        <v/>
      </c>
      <c r="U154" s="22">
        <f>IF($A154="","",HYPERLINK("Z:\MUSTANG SERVICES\Affaires 2027\"&amp;$A154&amp;"\","Dossier"))</f>
        <v/>
      </c>
    </row>
    <row r="155" ht="18" customHeight="1">
      <c r="A155" s="16" t="n"/>
      <c r="B155" s="17" t="n"/>
      <c r="C155" s="17" t="n"/>
      <c r="D155" s="18">
        <f>IF(AND(ISNUMBER($B155),ISNUMBER($C155)),$C155-$B155,"")</f>
        <v/>
      </c>
      <c r="E155" s="19" t="n"/>
      <c r="F155" s="20" t="n"/>
      <c r="G155" s="19" t="n"/>
      <c r="H155" s="20" t="n"/>
      <c r="I155" s="20" t="n"/>
      <c r="J155" s="19" t="n"/>
      <c r="K155" s="16" t="n"/>
      <c r="L155" s="20" t="n"/>
      <c r="M155" s="20" t="n"/>
      <c r="N155" s="17" t="n"/>
      <c r="O155" s="18">
        <f>IF(AND(OR($M155="Envoyé",$M155="En attente"),ISNUMBER($C155),NOT(ISNUMBER($N155))),IF(TODAY()-$C155&gt;=7,"⚠ relancer",""),"")</f>
        <v/>
      </c>
      <c r="P155" s="19" t="n"/>
      <c r="Q155" s="22">
        <f>IF($A155="","",HYPERLINK("Z:\MUSTANG SERVICES\Affaires 2027\"&amp;$A155&amp;"\"&amp;$A155&amp;"_Devis.xlsx","Ouvrir"))</f>
        <v/>
      </c>
      <c r="R155" s="22">
        <f>IF($A155="","",HYPERLINK("Z:\MUSTANG SERVICES\Affaires 2027\"&amp;$A155&amp;"\"&amp;$A155&amp;"_ToolList.xlsx","Ouvrir"))</f>
        <v/>
      </c>
      <c r="S155" s="22">
        <f>IF($A155="","",HYPERLINK("Z:\MUSTANG SERVICES\Affaires 2027\"&amp;$A155&amp;"\"&amp;$A155&amp;"_BL.xlsx","Ouvrir"))</f>
        <v/>
      </c>
      <c r="T155" s="22">
        <f>IF($A155="","",HYPERLINK("Z:\MUSTANG SERVICES\Affaires 2027\"&amp;$A155&amp;"\"&amp;$A155&amp;"_ServiceTicket.xlsx","Ouvrir"))</f>
        <v/>
      </c>
      <c r="U155" s="22">
        <f>IF($A155="","",HYPERLINK("Z:\MUSTANG SERVICES\Affaires 2027\"&amp;$A155&amp;"\","Dossier"))</f>
        <v/>
      </c>
    </row>
    <row r="156" ht="18" customHeight="1">
      <c r="A156" s="16" t="n"/>
      <c r="B156" s="17" t="n"/>
      <c r="C156" s="17" t="n"/>
      <c r="D156" s="18">
        <f>IF(AND(ISNUMBER($B156),ISNUMBER($C156)),$C156-$B156,"")</f>
        <v/>
      </c>
      <c r="E156" s="19" t="n"/>
      <c r="F156" s="20" t="n"/>
      <c r="G156" s="19" t="n"/>
      <c r="H156" s="20" t="n"/>
      <c r="I156" s="20" t="n"/>
      <c r="J156" s="19" t="n"/>
      <c r="K156" s="16" t="n"/>
      <c r="L156" s="20" t="n"/>
      <c r="M156" s="20" t="n"/>
      <c r="N156" s="17" t="n"/>
      <c r="O156" s="18">
        <f>IF(AND(OR($M156="Envoyé",$M156="En attente"),ISNUMBER($C156),NOT(ISNUMBER($N156))),IF(TODAY()-$C156&gt;=7,"⚠ relancer",""),"")</f>
        <v/>
      </c>
      <c r="P156" s="19" t="n"/>
      <c r="Q156" s="22">
        <f>IF($A156="","",HYPERLINK("Z:\MUSTANG SERVICES\Affaires 2027\"&amp;$A156&amp;"\"&amp;$A156&amp;"_Devis.xlsx","Ouvrir"))</f>
        <v/>
      </c>
      <c r="R156" s="22">
        <f>IF($A156="","",HYPERLINK("Z:\MUSTANG SERVICES\Affaires 2027\"&amp;$A156&amp;"\"&amp;$A156&amp;"_ToolList.xlsx","Ouvrir"))</f>
        <v/>
      </c>
      <c r="S156" s="22">
        <f>IF($A156="","",HYPERLINK("Z:\MUSTANG SERVICES\Affaires 2027\"&amp;$A156&amp;"\"&amp;$A156&amp;"_BL.xlsx","Ouvrir"))</f>
        <v/>
      </c>
      <c r="T156" s="22">
        <f>IF($A156="","",HYPERLINK("Z:\MUSTANG SERVICES\Affaires 2027\"&amp;$A156&amp;"\"&amp;$A156&amp;"_ServiceTicket.xlsx","Ouvrir"))</f>
        <v/>
      </c>
      <c r="U156" s="22">
        <f>IF($A156="","",HYPERLINK("Z:\MUSTANG SERVICES\Affaires 2027\"&amp;$A156&amp;"\","Dossier"))</f>
        <v/>
      </c>
    </row>
    <row r="157" ht="18" customHeight="1">
      <c r="A157" s="16" t="n"/>
      <c r="B157" s="17" t="n"/>
      <c r="C157" s="17" t="n"/>
      <c r="D157" s="18">
        <f>IF(AND(ISNUMBER($B157),ISNUMBER($C157)),$C157-$B157,"")</f>
        <v/>
      </c>
      <c r="E157" s="19" t="n"/>
      <c r="F157" s="20" t="n"/>
      <c r="G157" s="19" t="n"/>
      <c r="H157" s="20" t="n"/>
      <c r="I157" s="20" t="n"/>
      <c r="J157" s="19" t="n"/>
      <c r="K157" s="16" t="n"/>
      <c r="L157" s="20" t="n"/>
      <c r="M157" s="20" t="n"/>
      <c r="N157" s="17" t="n"/>
      <c r="O157" s="18">
        <f>IF(AND(OR($M157="Envoyé",$M157="En attente"),ISNUMBER($C157),NOT(ISNUMBER($N157))),IF(TODAY()-$C157&gt;=7,"⚠ relancer",""),"")</f>
        <v/>
      </c>
      <c r="P157" s="19" t="n"/>
      <c r="Q157" s="22">
        <f>IF($A157="","",HYPERLINK("Z:\MUSTANG SERVICES\Affaires 2027\"&amp;$A157&amp;"\"&amp;$A157&amp;"_Devis.xlsx","Ouvrir"))</f>
        <v/>
      </c>
      <c r="R157" s="22">
        <f>IF($A157="","",HYPERLINK("Z:\MUSTANG SERVICES\Affaires 2027\"&amp;$A157&amp;"\"&amp;$A157&amp;"_ToolList.xlsx","Ouvrir"))</f>
        <v/>
      </c>
      <c r="S157" s="22">
        <f>IF($A157="","",HYPERLINK("Z:\MUSTANG SERVICES\Affaires 2027\"&amp;$A157&amp;"\"&amp;$A157&amp;"_BL.xlsx","Ouvrir"))</f>
        <v/>
      </c>
      <c r="T157" s="22">
        <f>IF($A157="","",HYPERLINK("Z:\MUSTANG SERVICES\Affaires 2027\"&amp;$A157&amp;"\"&amp;$A157&amp;"_ServiceTicket.xlsx","Ouvrir"))</f>
        <v/>
      </c>
      <c r="U157" s="22">
        <f>IF($A157="","",HYPERLINK("Z:\MUSTANG SERVICES\Affaires 2027\"&amp;$A157&amp;"\","Dossier"))</f>
        <v/>
      </c>
    </row>
    <row r="158" ht="18" customHeight="1">
      <c r="A158" s="16" t="n"/>
      <c r="B158" s="17" t="n"/>
      <c r="C158" s="17" t="n"/>
      <c r="D158" s="18">
        <f>IF(AND(ISNUMBER($B158),ISNUMBER($C158)),$C158-$B158,"")</f>
        <v/>
      </c>
      <c r="E158" s="19" t="n"/>
      <c r="F158" s="20" t="n"/>
      <c r="G158" s="19" t="n"/>
      <c r="H158" s="20" t="n"/>
      <c r="I158" s="20" t="n"/>
      <c r="J158" s="19" t="n"/>
      <c r="K158" s="16" t="n"/>
      <c r="L158" s="20" t="n"/>
      <c r="M158" s="20" t="n"/>
      <c r="N158" s="17" t="n"/>
      <c r="O158" s="18">
        <f>IF(AND(OR($M158="Envoyé",$M158="En attente"),ISNUMBER($C158),NOT(ISNUMBER($N158))),IF(TODAY()-$C158&gt;=7,"⚠ relancer",""),"")</f>
        <v/>
      </c>
      <c r="P158" s="19" t="n"/>
      <c r="Q158" s="22">
        <f>IF($A158="","",HYPERLINK("Z:\MUSTANG SERVICES\Affaires 2027\"&amp;$A158&amp;"\"&amp;$A158&amp;"_Devis.xlsx","Ouvrir"))</f>
        <v/>
      </c>
      <c r="R158" s="22">
        <f>IF($A158="","",HYPERLINK("Z:\MUSTANG SERVICES\Affaires 2027\"&amp;$A158&amp;"\"&amp;$A158&amp;"_ToolList.xlsx","Ouvrir"))</f>
        <v/>
      </c>
      <c r="S158" s="22">
        <f>IF($A158="","",HYPERLINK("Z:\MUSTANG SERVICES\Affaires 2027\"&amp;$A158&amp;"\"&amp;$A158&amp;"_BL.xlsx","Ouvrir"))</f>
        <v/>
      </c>
      <c r="T158" s="22">
        <f>IF($A158="","",HYPERLINK("Z:\MUSTANG SERVICES\Affaires 2027\"&amp;$A158&amp;"\"&amp;$A158&amp;"_ServiceTicket.xlsx","Ouvrir"))</f>
        <v/>
      </c>
      <c r="U158" s="22">
        <f>IF($A158="","",HYPERLINK("Z:\MUSTANG SERVICES\Affaires 2027\"&amp;$A158&amp;"\","Dossier"))</f>
        <v/>
      </c>
    </row>
    <row r="159" ht="18" customHeight="1">
      <c r="A159" s="16" t="n"/>
      <c r="B159" s="17" t="n"/>
      <c r="C159" s="17" t="n"/>
      <c r="D159" s="18">
        <f>IF(AND(ISNUMBER($B159),ISNUMBER($C159)),$C159-$B159,"")</f>
        <v/>
      </c>
      <c r="E159" s="19" t="n"/>
      <c r="F159" s="20" t="n"/>
      <c r="G159" s="19" t="n"/>
      <c r="H159" s="20" t="n"/>
      <c r="I159" s="20" t="n"/>
      <c r="J159" s="19" t="n"/>
      <c r="K159" s="16" t="n"/>
      <c r="L159" s="20" t="n"/>
      <c r="M159" s="20" t="n"/>
      <c r="N159" s="17" t="n"/>
      <c r="O159" s="18">
        <f>IF(AND(OR($M159="Envoyé",$M159="En attente"),ISNUMBER($C159),NOT(ISNUMBER($N159))),IF(TODAY()-$C159&gt;=7,"⚠ relancer",""),"")</f>
        <v/>
      </c>
      <c r="P159" s="19" t="n"/>
      <c r="Q159" s="22">
        <f>IF($A159="","",HYPERLINK("Z:\MUSTANG SERVICES\Affaires 2027\"&amp;$A159&amp;"\"&amp;$A159&amp;"_Devis.xlsx","Ouvrir"))</f>
        <v/>
      </c>
      <c r="R159" s="22">
        <f>IF($A159="","",HYPERLINK("Z:\MUSTANG SERVICES\Affaires 2027\"&amp;$A159&amp;"\"&amp;$A159&amp;"_ToolList.xlsx","Ouvrir"))</f>
        <v/>
      </c>
      <c r="S159" s="22">
        <f>IF($A159="","",HYPERLINK("Z:\MUSTANG SERVICES\Affaires 2027\"&amp;$A159&amp;"\"&amp;$A159&amp;"_BL.xlsx","Ouvrir"))</f>
        <v/>
      </c>
      <c r="T159" s="22">
        <f>IF($A159="","",HYPERLINK("Z:\MUSTANG SERVICES\Affaires 2027\"&amp;$A159&amp;"\"&amp;$A159&amp;"_ServiceTicket.xlsx","Ouvrir"))</f>
        <v/>
      </c>
      <c r="U159" s="22">
        <f>IF($A159="","",HYPERLINK("Z:\MUSTANG SERVICES\Affaires 2027\"&amp;$A159&amp;"\","Dossier"))</f>
        <v/>
      </c>
    </row>
    <row r="160" ht="18" customHeight="1">
      <c r="A160" s="16" t="n"/>
      <c r="B160" s="17" t="n"/>
      <c r="C160" s="17" t="n"/>
      <c r="D160" s="18">
        <f>IF(AND(ISNUMBER($B160),ISNUMBER($C160)),$C160-$B160,"")</f>
        <v/>
      </c>
      <c r="E160" s="19" t="n"/>
      <c r="F160" s="20" t="n"/>
      <c r="G160" s="19" t="n"/>
      <c r="H160" s="20" t="n"/>
      <c r="I160" s="20" t="n"/>
      <c r="J160" s="19" t="n"/>
      <c r="K160" s="16" t="n"/>
      <c r="L160" s="20" t="n"/>
      <c r="M160" s="20" t="n"/>
      <c r="N160" s="17" t="n"/>
      <c r="O160" s="18">
        <f>IF(AND(OR($M160="Envoyé",$M160="En attente"),ISNUMBER($C160),NOT(ISNUMBER($N160))),IF(TODAY()-$C160&gt;=7,"⚠ relancer",""),"")</f>
        <v/>
      </c>
      <c r="P160" s="19" t="n"/>
      <c r="Q160" s="22">
        <f>IF($A160="","",HYPERLINK("Z:\MUSTANG SERVICES\Affaires 2027\"&amp;$A160&amp;"\"&amp;$A160&amp;"_Devis.xlsx","Ouvrir"))</f>
        <v/>
      </c>
      <c r="R160" s="22">
        <f>IF($A160="","",HYPERLINK("Z:\MUSTANG SERVICES\Affaires 2027\"&amp;$A160&amp;"\"&amp;$A160&amp;"_ToolList.xlsx","Ouvrir"))</f>
        <v/>
      </c>
      <c r="S160" s="22">
        <f>IF($A160="","",HYPERLINK("Z:\MUSTANG SERVICES\Affaires 2027\"&amp;$A160&amp;"\"&amp;$A160&amp;"_BL.xlsx","Ouvrir"))</f>
        <v/>
      </c>
      <c r="T160" s="22">
        <f>IF($A160="","",HYPERLINK("Z:\MUSTANG SERVICES\Affaires 2027\"&amp;$A160&amp;"\"&amp;$A160&amp;"_ServiceTicket.xlsx","Ouvrir"))</f>
        <v/>
      </c>
      <c r="U160" s="22">
        <f>IF($A160="","",HYPERLINK("Z:\MUSTANG SERVICES\Affaires 2027\"&amp;$A160&amp;"\","Dossier"))</f>
        <v/>
      </c>
    </row>
    <row r="161" ht="18" customHeight="1">
      <c r="A161" s="16" t="n"/>
      <c r="B161" s="17" t="n"/>
      <c r="C161" s="17" t="n"/>
      <c r="D161" s="18">
        <f>IF(AND(ISNUMBER($B161),ISNUMBER($C161)),$C161-$B161,"")</f>
        <v/>
      </c>
      <c r="E161" s="19" t="n"/>
      <c r="F161" s="20" t="n"/>
      <c r="G161" s="19" t="n"/>
      <c r="H161" s="20" t="n"/>
      <c r="I161" s="20" t="n"/>
      <c r="J161" s="19" t="n"/>
      <c r="K161" s="16" t="n"/>
      <c r="L161" s="20" t="n"/>
      <c r="M161" s="20" t="n"/>
      <c r="N161" s="17" t="n"/>
      <c r="O161" s="18">
        <f>IF(AND(OR($M161="Envoyé",$M161="En attente"),ISNUMBER($C161),NOT(ISNUMBER($N161))),IF(TODAY()-$C161&gt;=7,"⚠ relancer",""),"")</f>
        <v/>
      </c>
      <c r="P161" s="19" t="n"/>
      <c r="Q161" s="22">
        <f>IF($A161="","",HYPERLINK("Z:\MUSTANG SERVICES\Affaires 2027\"&amp;$A161&amp;"\"&amp;$A161&amp;"_Devis.xlsx","Ouvrir"))</f>
        <v/>
      </c>
      <c r="R161" s="22">
        <f>IF($A161="","",HYPERLINK("Z:\MUSTANG SERVICES\Affaires 2027\"&amp;$A161&amp;"\"&amp;$A161&amp;"_ToolList.xlsx","Ouvrir"))</f>
        <v/>
      </c>
      <c r="S161" s="22">
        <f>IF($A161="","",HYPERLINK("Z:\MUSTANG SERVICES\Affaires 2027\"&amp;$A161&amp;"\"&amp;$A161&amp;"_BL.xlsx","Ouvrir"))</f>
        <v/>
      </c>
      <c r="T161" s="22">
        <f>IF($A161="","",HYPERLINK("Z:\MUSTANG SERVICES\Affaires 2027\"&amp;$A161&amp;"\"&amp;$A161&amp;"_ServiceTicket.xlsx","Ouvrir"))</f>
        <v/>
      </c>
      <c r="U161" s="22">
        <f>IF($A161="","",HYPERLINK("Z:\MUSTANG SERVICES\Affaires 2027\"&amp;$A161&amp;"\","Dossier"))</f>
        <v/>
      </c>
    </row>
    <row r="162" ht="18" customHeight="1">
      <c r="A162" s="16" t="n"/>
      <c r="B162" s="17" t="n"/>
      <c r="C162" s="17" t="n"/>
      <c r="D162" s="18">
        <f>IF(AND(ISNUMBER($B162),ISNUMBER($C162)),$C162-$B162,"")</f>
        <v/>
      </c>
      <c r="E162" s="19" t="n"/>
      <c r="F162" s="20" t="n"/>
      <c r="G162" s="19" t="n"/>
      <c r="H162" s="20" t="n"/>
      <c r="I162" s="20" t="n"/>
      <c r="J162" s="19" t="n"/>
      <c r="K162" s="16" t="n"/>
      <c r="L162" s="20" t="n"/>
      <c r="M162" s="20" t="n"/>
      <c r="N162" s="17" t="n"/>
      <c r="O162" s="18">
        <f>IF(AND(OR($M162="Envoyé",$M162="En attente"),ISNUMBER($C162),NOT(ISNUMBER($N162))),IF(TODAY()-$C162&gt;=7,"⚠ relancer",""),"")</f>
        <v/>
      </c>
      <c r="P162" s="19" t="n"/>
      <c r="Q162" s="22">
        <f>IF($A162="","",HYPERLINK("Z:\MUSTANG SERVICES\Affaires 2027\"&amp;$A162&amp;"\"&amp;$A162&amp;"_Devis.xlsx","Ouvrir"))</f>
        <v/>
      </c>
      <c r="R162" s="22">
        <f>IF($A162="","",HYPERLINK("Z:\MUSTANG SERVICES\Affaires 2027\"&amp;$A162&amp;"\"&amp;$A162&amp;"_ToolList.xlsx","Ouvrir"))</f>
        <v/>
      </c>
      <c r="S162" s="22">
        <f>IF($A162="","",HYPERLINK("Z:\MUSTANG SERVICES\Affaires 2027\"&amp;$A162&amp;"\"&amp;$A162&amp;"_BL.xlsx","Ouvrir"))</f>
        <v/>
      </c>
      <c r="T162" s="22">
        <f>IF($A162="","",HYPERLINK("Z:\MUSTANG SERVICES\Affaires 2027\"&amp;$A162&amp;"\"&amp;$A162&amp;"_ServiceTicket.xlsx","Ouvrir"))</f>
        <v/>
      </c>
      <c r="U162" s="22">
        <f>IF($A162="","",HYPERLINK("Z:\MUSTANG SERVICES\Affaires 2027\"&amp;$A162&amp;"\","Dossier"))</f>
        <v/>
      </c>
    </row>
    <row r="163" ht="18" customHeight="1">
      <c r="A163" s="16" t="n"/>
      <c r="B163" s="17" t="n"/>
      <c r="C163" s="17" t="n"/>
      <c r="D163" s="18">
        <f>IF(AND(ISNUMBER($B163),ISNUMBER($C163)),$C163-$B163,"")</f>
        <v/>
      </c>
      <c r="E163" s="19" t="n"/>
      <c r="F163" s="20" t="n"/>
      <c r="G163" s="19" t="n"/>
      <c r="H163" s="20" t="n"/>
      <c r="I163" s="20" t="n"/>
      <c r="J163" s="19" t="n"/>
      <c r="K163" s="16" t="n"/>
      <c r="L163" s="20" t="n"/>
      <c r="M163" s="20" t="n"/>
      <c r="N163" s="17" t="n"/>
      <c r="O163" s="18">
        <f>IF(AND(OR($M163="Envoyé",$M163="En attente"),ISNUMBER($C163),NOT(ISNUMBER($N163))),IF(TODAY()-$C163&gt;=7,"⚠ relancer",""),"")</f>
        <v/>
      </c>
      <c r="P163" s="19" t="n"/>
      <c r="Q163" s="22">
        <f>IF($A163="","",HYPERLINK("Z:\MUSTANG SERVICES\Affaires 2027\"&amp;$A163&amp;"\"&amp;$A163&amp;"_Devis.xlsx","Ouvrir"))</f>
        <v/>
      </c>
      <c r="R163" s="22">
        <f>IF($A163="","",HYPERLINK("Z:\MUSTANG SERVICES\Affaires 2027\"&amp;$A163&amp;"\"&amp;$A163&amp;"_ToolList.xlsx","Ouvrir"))</f>
        <v/>
      </c>
      <c r="S163" s="22">
        <f>IF($A163="","",HYPERLINK("Z:\MUSTANG SERVICES\Affaires 2027\"&amp;$A163&amp;"\"&amp;$A163&amp;"_BL.xlsx","Ouvrir"))</f>
        <v/>
      </c>
      <c r="T163" s="22">
        <f>IF($A163="","",HYPERLINK("Z:\MUSTANG SERVICES\Affaires 2027\"&amp;$A163&amp;"\"&amp;$A163&amp;"_ServiceTicket.xlsx","Ouvrir"))</f>
        <v/>
      </c>
      <c r="U163" s="22">
        <f>IF($A163="","",HYPERLINK("Z:\MUSTANG SERVICES\Affaires 2027\"&amp;$A163&amp;"\","Dossier"))</f>
        <v/>
      </c>
    </row>
    <row r="164" ht="18" customHeight="1">
      <c r="A164" s="16" t="n"/>
      <c r="B164" s="17" t="n"/>
      <c r="C164" s="17" t="n"/>
      <c r="D164" s="18">
        <f>IF(AND(ISNUMBER($B164),ISNUMBER($C164)),$C164-$B164,"")</f>
        <v/>
      </c>
      <c r="E164" s="19" t="n"/>
      <c r="F164" s="20" t="n"/>
      <c r="G164" s="19" t="n"/>
      <c r="H164" s="20" t="n"/>
      <c r="I164" s="20" t="n"/>
      <c r="J164" s="19" t="n"/>
      <c r="K164" s="16" t="n"/>
      <c r="L164" s="20" t="n"/>
      <c r="M164" s="20" t="n"/>
      <c r="N164" s="17" t="n"/>
      <c r="O164" s="18">
        <f>IF(AND(OR($M164="Envoyé",$M164="En attente"),ISNUMBER($C164),NOT(ISNUMBER($N164))),IF(TODAY()-$C164&gt;=7,"⚠ relancer",""),"")</f>
        <v/>
      </c>
      <c r="P164" s="19" t="n"/>
      <c r="Q164" s="22">
        <f>IF($A164="","",HYPERLINK("Z:\MUSTANG SERVICES\Affaires 2027\"&amp;$A164&amp;"\"&amp;$A164&amp;"_Devis.xlsx","Ouvrir"))</f>
        <v/>
      </c>
      <c r="R164" s="22">
        <f>IF($A164="","",HYPERLINK("Z:\MUSTANG SERVICES\Affaires 2027\"&amp;$A164&amp;"\"&amp;$A164&amp;"_ToolList.xlsx","Ouvrir"))</f>
        <v/>
      </c>
      <c r="S164" s="22">
        <f>IF($A164="","",HYPERLINK("Z:\MUSTANG SERVICES\Affaires 2027\"&amp;$A164&amp;"\"&amp;$A164&amp;"_BL.xlsx","Ouvrir"))</f>
        <v/>
      </c>
      <c r="T164" s="22">
        <f>IF($A164="","",HYPERLINK("Z:\MUSTANG SERVICES\Affaires 2027\"&amp;$A164&amp;"\"&amp;$A164&amp;"_ServiceTicket.xlsx","Ouvrir"))</f>
        <v/>
      </c>
      <c r="U164" s="22">
        <f>IF($A164="","",HYPERLINK("Z:\MUSTANG SERVICES\Affaires 2027\"&amp;$A164&amp;"\","Dossier"))</f>
        <v/>
      </c>
    </row>
    <row r="165" ht="18" customHeight="1">
      <c r="A165" s="16" t="n"/>
      <c r="B165" s="17" t="n"/>
      <c r="C165" s="17" t="n"/>
      <c r="D165" s="18">
        <f>IF(AND(ISNUMBER($B165),ISNUMBER($C165)),$C165-$B165,"")</f>
        <v/>
      </c>
      <c r="E165" s="19" t="n"/>
      <c r="F165" s="20" t="n"/>
      <c r="G165" s="19" t="n"/>
      <c r="H165" s="20" t="n"/>
      <c r="I165" s="20" t="n"/>
      <c r="J165" s="19" t="n"/>
      <c r="K165" s="16" t="n"/>
      <c r="L165" s="20" t="n"/>
      <c r="M165" s="20" t="n"/>
      <c r="N165" s="17" t="n"/>
      <c r="O165" s="18">
        <f>IF(AND(OR($M165="Envoyé",$M165="En attente"),ISNUMBER($C165),NOT(ISNUMBER($N165))),IF(TODAY()-$C165&gt;=7,"⚠ relancer",""),"")</f>
        <v/>
      </c>
      <c r="P165" s="19" t="n"/>
      <c r="Q165" s="22">
        <f>IF($A165="","",HYPERLINK("Z:\MUSTANG SERVICES\Affaires 2027\"&amp;$A165&amp;"\"&amp;$A165&amp;"_Devis.xlsx","Ouvrir"))</f>
        <v/>
      </c>
      <c r="R165" s="22">
        <f>IF($A165="","",HYPERLINK("Z:\MUSTANG SERVICES\Affaires 2027\"&amp;$A165&amp;"\"&amp;$A165&amp;"_ToolList.xlsx","Ouvrir"))</f>
        <v/>
      </c>
      <c r="S165" s="22">
        <f>IF($A165="","",HYPERLINK("Z:\MUSTANG SERVICES\Affaires 2027\"&amp;$A165&amp;"\"&amp;$A165&amp;"_BL.xlsx","Ouvrir"))</f>
        <v/>
      </c>
      <c r="T165" s="22">
        <f>IF($A165="","",HYPERLINK("Z:\MUSTANG SERVICES\Affaires 2027\"&amp;$A165&amp;"\"&amp;$A165&amp;"_ServiceTicket.xlsx","Ouvrir"))</f>
        <v/>
      </c>
      <c r="U165" s="22">
        <f>IF($A165="","",HYPERLINK("Z:\MUSTANG SERVICES\Affaires 2027\"&amp;$A165&amp;"\","Dossier"))</f>
        <v/>
      </c>
    </row>
    <row r="166" ht="18" customHeight="1">
      <c r="A166" s="16" t="n"/>
      <c r="B166" s="17" t="n"/>
      <c r="C166" s="17" t="n"/>
      <c r="D166" s="18">
        <f>IF(AND(ISNUMBER($B166),ISNUMBER($C166)),$C166-$B166,"")</f>
        <v/>
      </c>
      <c r="E166" s="19" t="n"/>
      <c r="F166" s="20" t="n"/>
      <c r="G166" s="19" t="n"/>
      <c r="H166" s="20" t="n"/>
      <c r="I166" s="20" t="n"/>
      <c r="J166" s="19" t="n"/>
      <c r="K166" s="16" t="n"/>
      <c r="L166" s="20" t="n"/>
      <c r="M166" s="20" t="n"/>
      <c r="N166" s="17" t="n"/>
      <c r="O166" s="18">
        <f>IF(AND(OR($M166="Envoyé",$M166="En attente"),ISNUMBER($C166),NOT(ISNUMBER($N166))),IF(TODAY()-$C166&gt;=7,"⚠ relancer",""),"")</f>
        <v/>
      </c>
      <c r="P166" s="19" t="n"/>
      <c r="Q166" s="22">
        <f>IF($A166="","",HYPERLINK("Z:\MUSTANG SERVICES\Affaires 2027\"&amp;$A166&amp;"\"&amp;$A166&amp;"_Devis.xlsx","Ouvrir"))</f>
        <v/>
      </c>
      <c r="R166" s="22">
        <f>IF($A166="","",HYPERLINK("Z:\MUSTANG SERVICES\Affaires 2027\"&amp;$A166&amp;"\"&amp;$A166&amp;"_ToolList.xlsx","Ouvrir"))</f>
        <v/>
      </c>
      <c r="S166" s="22">
        <f>IF($A166="","",HYPERLINK("Z:\MUSTANG SERVICES\Affaires 2027\"&amp;$A166&amp;"\"&amp;$A166&amp;"_BL.xlsx","Ouvrir"))</f>
        <v/>
      </c>
      <c r="T166" s="22">
        <f>IF($A166="","",HYPERLINK("Z:\MUSTANG SERVICES\Affaires 2027\"&amp;$A166&amp;"\"&amp;$A166&amp;"_ServiceTicket.xlsx","Ouvrir"))</f>
        <v/>
      </c>
      <c r="U166" s="22">
        <f>IF($A166="","",HYPERLINK("Z:\MUSTANG SERVICES\Affaires 2027\"&amp;$A166&amp;"\","Dossier"))</f>
        <v/>
      </c>
    </row>
    <row r="167" ht="18" customHeight="1">
      <c r="A167" s="16" t="n"/>
      <c r="B167" s="17" t="n"/>
      <c r="C167" s="17" t="n"/>
      <c r="D167" s="18">
        <f>IF(AND(ISNUMBER($B167),ISNUMBER($C167)),$C167-$B167,"")</f>
        <v/>
      </c>
      <c r="E167" s="19" t="n"/>
      <c r="F167" s="20" t="n"/>
      <c r="G167" s="19" t="n"/>
      <c r="H167" s="20" t="n"/>
      <c r="I167" s="20" t="n"/>
      <c r="J167" s="19" t="n"/>
      <c r="K167" s="16" t="n"/>
      <c r="L167" s="20" t="n"/>
      <c r="M167" s="20" t="n"/>
      <c r="N167" s="17" t="n"/>
      <c r="O167" s="18">
        <f>IF(AND(OR($M167="Envoyé",$M167="En attente"),ISNUMBER($C167),NOT(ISNUMBER($N167))),IF(TODAY()-$C167&gt;=7,"⚠ relancer",""),"")</f>
        <v/>
      </c>
      <c r="P167" s="19" t="n"/>
      <c r="Q167" s="22">
        <f>IF($A167="","",HYPERLINK("Z:\MUSTANG SERVICES\Affaires 2027\"&amp;$A167&amp;"\"&amp;$A167&amp;"_Devis.xlsx","Ouvrir"))</f>
        <v/>
      </c>
      <c r="R167" s="22">
        <f>IF($A167="","",HYPERLINK("Z:\MUSTANG SERVICES\Affaires 2027\"&amp;$A167&amp;"\"&amp;$A167&amp;"_ToolList.xlsx","Ouvrir"))</f>
        <v/>
      </c>
      <c r="S167" s="22">
        <f>IF($A167="","",HYPERLINK("Z:\MUSTANG SERVICES\Affaires 2027\"&amp;$A167&amp;"\"&amp;$A167&amp;"_BL.xlsx","Ouvrir"))</f>
        <v/>
      </c>
      <c r="T167" s="22">
        <f>IF($A167="","",HYPERLINK("Z:\MUSTANG SERVICES\Affaires 2027\"&amp;$A167&amp;"\"&amp;$A167&amp;"_ServiceTicket.xlsx","Ouvrir"))</f>
        <v/>
      </c>
      <c r="U167" s="22">
        <f>IF($A167="","",HYPERLINK("Z:\MUSTANG SERVICES\Affaires 2027\"&amp;$A167&amp;"\","Dossier"))</f>
        <v/>
      </c>
    </row>
    <row r="168" ht="18" customHeight="1">
      <c r="A168" s="16" t="n"/>
      <c r="B168" s="17" t="n"/>
      <c r="C168" s="17" t="n"/>
      <c r="D168" s="18">
        <f>IF(AND(ISNUMBER($B168),ISNUMBER($C168)),$C168-$B168,"")</f>
        <v/>
      </c>
      <c r="E168" s="19" t="n"/>
      <c r="F168" s="20" t="n"/>
      <c r="G168" s="19" t="n"/>
      <c r="H168" s="20" t="n"/>
      <c r="I168" s="20" t="n"/>
      <c r="J168" s="19" t="n"/>
      <c r="K168" s="16" t="n"/>
      <c r="L168" s="20" t="n"/>
      <c r="M168" s="20" t="n"/>
      <c r="N168" s="17" t="n"/>
      <c r="O168" s="18">
        <f>IF(AND(OR($M168="Envoyé",$M168="En attente"),ISNUMBER($C168),NOT(ISNUMBER($N168))),IF(TODAY()-$C168&gt;=7,"⚠ relancer",""),"")</f>
        <v/>
      </c>
      <c r="P168" s="19" t="n"/>
      <c r="Q168" s="22">
        <f>IF($A168="","",HYPERLINK("Z:\MUSTANG SERVICES\Affaires 2027\"&amp;$A168&amp;"\"&amp;$A168&amp;"_Devis.xlsx","Ouvrir"))</f>
        <v/>
      </c>
      <c r="R168" s="22">
        <f>IF($A168="","",HYPERLINK("Z:\MUSTANG SERVICES\Affaires 2027\"&amp;$A168&amp;"\"&amp;$A168&amp;"_ToolList.xlsx","Ouvrir"))</f>
        <v/>
      </c>
      <c r="S168" s="22">
        <f>IF($A168="","",HYPERLINK("Z:\MUSTANG SERVICES\Affaires 2027\"&amp;$A168&amp;"\"&amp;$A168&amp;"_BL.xlsx","Ouvrir"))</f>
        <v/>
      </c>
      <c r="T168" s="22">
        <f>IF($A168="","",HYPERLINK("Z:\MUSTANG SERVICES\Affaires 2027\"&amp;$A168&amp;"\"&amp;$A168&amp;"_ServiceTicket.xlsx","Ouvrir"))</f>
        <v/>
      </c>
      <c r="U168" s="22">
        <f>IF($A168="","",HYPERLINK("Z:\MUSTANG SERVICES\Affaires 2027\"&amp;$A168&amp;"\","Dossier"))</f>
        <v/>
      </c>
    </row>
    <row r="169" ht="18" customHeight="1">
      <c r="A169" s="16" t="n"/>
      <c r="B169" s="17" t="n"/>
      <c r="C169" s="17" t="n"/>
      <c r="D169" s="18">
        <f>IF(AND(ISNUMBER($B169),ISNUMBER($C169)),$C169-$B169,"")</f>
        <v/>
      </c>
      <c r="E169" s="19" t="n"/>
      <c r="F169" s="20" t="n"/>
      <c r="G169" s="19" t="n"/>
      <c r="H169" s="20" t="n"/>
      <c r="I169" s="20" t="n"/>
      <c r="J169" s="19" t="n"/>
      <c r="K169" s="16" t="n"/>
      <c r="L169" s="20" t="n"/>
      <c r="M169" s="20" t="n"/>
      <c r="N169" s="17" t="n"/>
      <c r="O169" s="18">
        <f>IF(AND(OR($M169="Envoyé",$M169="En attente"),ISNUMBER($C169),NOT(ISNUMBER($N169))),IF(TODAY()-$C169&gt;=7,"⚠ relancer",""),"")</f>
        <v/>
      </c>
      <c r="P169" s="19" t="n"/>
      <c r="Q169" s="22">
        <f>IF($A169="","",HYPERLINK("Z:\MUSTANG SERVICES\Affaires 2027\"&amp;$A169&amp;"\"&amp;$A169&amp;"_Devis.xlsx","Ouvrir"))</f>
        <v/>
      </c>
      <c r="R169" s="22">
        <f>IF($A169="","",HYPERLINK("Z:\MUSTANG SERVICES\Affaires 2027\"&amp;$A169&amp;"\"&amp;$A169&amp;"_ToolList.xlsx","Ouvrir"))</f>
        <v/>
      </c>
      <c r="S169" s="22">
        <f>IF($A169="","",HYPERLINK("Z:\MUSTANG SERVICES\Affaires 2027\"&amp;$A169&amp;"\"&amp;$A169&amp;"_BL.xlsx","Ouvrir"))</f>
        <v/>
      </c>
      <c r="T169" s="22">
        <f>IF($A169="","",HYPERLINK("Z:\MUSTANG SERVICES\Affaires 2027\"&amp;$A169&amp;"\"&amp;$A169&amp;"_ServiceTicket.xlsx","Ouvrir"))</f>
        <v/>
      </c>
      <c r="U169" s="22">
        <f>IF($A169="","",HYPERLINK("Z:\MUSTANG SERVICES\Affaires 2027\"&amp;$A169&amp;"\","Dossier"))</f>
        <v/>
      </c>
    </row>
    <row r="170" ht="18" customHeight="1">
      <c r="A170" s="16" t="n"/>
      <c r="B170" s="17" t="n"/>
      <c r="C170" s="17" t="n"/>
      <c r="D170" s="18">
        <f>IF(AND(ISNUMBER($B170),ISNUMBER($C170)),$C170-$B170,"")</f>
        <v/>
      </c>
      <c r="E170" s="19" t="n"/>
      <c r="F170" s="20" t="n"/>
      <c r="G170" s="19" t="n"/>
      <c r="H170" s="20" t="n"/>
      <c r="I170" s="20" t="n"/>
      <c r="J170" s="19" t="n"/>
      <c r="K170" s="16" t="n"/>
      <c r="L170" s="20" t="n"/>
      <c r="M170" s="20" t="n"/>
      <c r="N170" s="17" t="n"/>
      <c r="O170" s="18">
        <f>IF(AND(OR($M170="Envoyé",$M170="En attente"),ISNUMBER($C170),NOT(ISNUMBER($N170))),IF(TODAY()-$C170&gt;=7,"⚠ relancer",""),"")</f>
        <v/>
      </c>
      <c r="P170" s="19" t="n"/>
      <c r="Q170" s="22">
        <f>IF($A170="","",HYPERLINK("Z:\MUSTANG SERVICES\Affaires 2027\"&amp;$A170&amp;"\"&amp;$A170&amp;"_Devis.xlsx","Ouvrir"))</f>
        <v/>
      </c>
      <c r="R170" s="22">
        <f>IF($A170="","",HYPERLINK("Z:\MUSTANG SERVICES\Affaires 2027\"&amp;$A170&amp;"\"&amp;$A170&amp;"_ToolList.xlsx","Ouvrir"))</f>
        <v/>
      </c>
      <c r="S170" s="22">
        <f>IF($A170="","",HYPERLINK("Z:\MUSTANG SERVICES\Affaires 2027\"&amp;$A170&amp;"\"&amp;$A170&amp;"_BL.xlsx","Ouvrir"))</f>
        <v/>
      </c>
      <c r="T170" s="22">
        <f>IF($A170="","",HYPERLINK("Z:\MUSTANG SERVICES\Affaires 2027\"&amp;$A170&amp;"\"&amp;$A170&amp;"_ServiceTicket.xlsx","Ouvrir"))</f>
        <v/>
      </c>
      <c r="U170" s="22">
        <f>IF($A170="","",HYPERLINK("Z:\MUSTANG SERVICES\Affaires 2027\"&amp;$A170&amp;"\","Dossier"))</f>
        <v/>
      </c>
    </row>
    <row r="171" ht="18" customHeight="1">
      <c r="A171" s="16" t="n"/>
      <c r="B171" s="17" t="n"/>
      <c r="C171" s="17" t="n"/>
      <c r="D171" s="18">
        <f>IF(AND(ISNUMBER($B171),ISNUMBER($C171)),$C171-$B171,"")</f>
        <v/>
      </c>
      <c r="E171" s="19" t="n"/>
      <c r="F171" s="20" t="n"/>
      <c r="G171" s="19" t="n"/>
      <c r="H171" s="20" t="n"/>
      <c r="I171" s="20" t="n"/>
      <c r="J171" s="19" t="n"/>
      <c r="K171" s="16" t="n"/>
      <c r="L171" s="20" t="n"/>
      <c r="M171" s="20" t="n"/>
      <c r="N171" s="17" t="n"/>
      <c r="O171" s="18">
        <f>IF(AND(OR($M171="Envoyé",$M171="En attente"),ISNUMBER($C171),NOT(ISNUMBER($N171))),IF(TODAY()-$C171&gt;=7,"⚠ relancer",""),"")</f>
        <v/>
      </c>
      <c r="P171" s="19" t="n"/>
      <c r="Q171" s="22">
        <f>IF($A171="","",HYPERLINK("Z:\MUSTANG SERVICES\Affaires 2027\"&amp;$A171&amp;"\"&amp;$A171&amp;"_Devis.xlsx","Ouvrir"))</f>
        <v/>
      </c>
      <c r="R171" s="22">
        <f>IF($A171="","",HYPERLINK("Z:\MUSTANG SERVICES\Affaires 2027\"&amp;$A171&amp;"\"&amp;$A171&amp;"_ToolList.xlsx","Ouvrir"))</f>
        <v/>
      </c>
      <c r="S171" s="22">
        <f>IF($A171="","",HYPERLINK("Z:\MUSTANG SERVICES\Affaires 2027\"&amp;$A171&amp;"\"&amp;$A171&amp;"_BL.xlsx","Ouvrir"))</f>
        <v/>
      </c>
      <c r="T171" s="22">
        <f>IF($A171="","",HYPERLINK("Z:\MUSTANG SERVICES\Affaires 2027\"&amp;$A171&amp;"\"&amp;$A171&amp;"_ServiceTicket.xlsx","Ouvrir"))</f>
        <v/>
      </c>
      <c r="U171" s="22">
        <f>IF($A171="","",HYPERLINK("Z:\MUSTANG SERVICES\Affaires 2027\"&amp;$A171&amp;"\","Dossier"))</f>
        <v/>
      </c>
    </row>
    <row r="172" ht="18" customHeight="1">
      <c r="A172" s="16" t="n"/>
      <c r="B172" s="17" t="n"/>
      <c r="C172" s="17" t="n"/>
      <c r="D172" s="18">
        <f>IF(AND(ISNUMBER($B172),ISNUMBER($C172)),$C172-$B172,"")</f>
        <v/>
      </c>
      <c r="E172" s="19" t="n"/>
      <c r="F172" s="20" t="n"/>
      <c r="G172" s="19" t="n"/>
      <c r="H172" s="20" t="n"/>
      <c r="I172" s="20" t="n"/>
      <c r="J172" s="19" t="n"/>
      <c r="K172" s="16" t="n"/>
      <c r="L172" s="20" t="n"/>
      <c r="M172" s="20" t="n"/>
      <c r="N172" s="17" t="n"/>
      <c r="O172" s="18">
        <f>IF(AND(OR($M172="Envoyé",$M172="En attente"),ISNUMBER($C172),NOT(ISNUMBER($N172))),IF(TODAY()-$C172&gt;=7,"⚠ relancer",""),"")</f>
        <v/>
      </c>
      <c r="P172" s="19" t="n"/>
      <c r="Q172" s="22">
        <f>IF($A172="","",HYPERLINK("Z:\MUSTANG SERVICES\Affaires 2027\"&amp;$A172&amp;"\"&amp;$A172&amp;"_Devis.xlsx","Ouvrir"))</f>
        <v/>
      </c>
      <c r="R172" s="22">
        <f>IF($A172="","",HYPERLINK("Z:\MUSTANG SERVICES\Affaires 2027\"&amp;$A172&amp;"\"&amp;$A172&amp;"_ToolList.xlsx","Ouvrir"))</f>
        <v/>
      </c>
      <c r="S172" s="22">
        <f>IF($A172="","",HYPERLINK("Z:\MUSTANG SERVICES\Affaires 2027\"&amp;$A172&amp;"\"&amp;$A172&amp;"_BL.xlsx","Ouvrir"))</f>
        <v/>
      </c>
      <c r="T172" s="22">
        <f>IF($A172="","",HYPERLINK("Z:\MUSTANG SERVICES\Affaires 2027\"&amp;$A172&amp;"\"&amp;$A172&amp;"_ServiceTicket.xlsx","Ouvrir"))</f>
        <v/>
      </c>
      <c r="U172" s="22">
        <f>IF($A172="","",HYPERLINK("Z:\MUSTANG SERVICES\Affaires 2027\"&amp;$A172&amp;"\","Dossier"))</f>
        <v/>
      </c>
    </row>
    <row r="173" ht="18" customHeight="1">
      <c r="A173" s="16" t="n"/>
      <c r="B173" s="17" t="n"/>
      <c r="C173" s="17" t="n"/>
      <c r="D173" s="18">
        <f>IF(AND(ISNUMBER($B173),ISNUMBER($C173)),$C173-$B173,"")</f>
        <v/>
      </c>
      <c r="E173" s="19" t="n"/>
      <c r="F173" s="20" t="n"/>
      <c r="G173" s="19" t="n"/>
      <c r="H173" s="20" t="n"/>
      <c r="I173" s="20" t="n"/>
      <c r="J173" s="19" t="n"/>
      <c r="K173" s="16" t="n"/>
      <c r="L173" s="20" t="n"/>
      <c r="M173" s="20" t="n"/>
      <c r="N173" s="17" t="n"/>
      <c r="O173" s="18">
        <f>IF(AND(OR($M173="Envoyé",$M173="En attente"),ISNUMBER($C173),NOT(ISNUMBER($N173))),IF(TODAY()-$C173&gt;=7,"⚠ relancer",""),"")</f>
        <v/>
      </c>
      <c r="P173" s="19" t="n"/>
      <c r="Q173" s="22">
        <f>IF($A173="","",HYPERLINK("Z:\MUSTANG SERVICES\Affaires 2027\"&amp;$A173&amp;"\"&amp;$A173&amp;"_Devis.xlsx","Ouvrir"))</f>
        <v/>
      </c>
      <c r="R173" s="22">
        <f>IF($A173="","",HYPERLINK("Z:\MUSTANG SERVICES\Affaires 2027\"&amp;$A173&amp;"\"&amp;$A173&amp;"_ToolList.xlsx","Ouvrir"))</f>
        <v/>
      </c>
      <c r="S173" s="22">
        <f>IF($A173="","",HYPERLINK("Z:\MUSTANG SERVICES\Affaires 2027\"&amp;$A173&amp;"\"&amp;$A173&amp;"_BL.xlsx","Ouvrir"))</f>
        <v/>
      </c>
      <c r="T173" s="22">
        <f>IF($A173="","",HYPERLINK("Z:\MUSTANG SERVICES\Affaires 2027\"&amp;$A173&amp;"\"&amp;$A173&amp;"_ServiceTicket.xlsx","Ouvrir"))</f>
        <v/>
      </c>
      <c r="U173" s="22">
        <f>IF($A173="","",HYPERLINK("Z:\MUSTANG SERVICES\Affaires 2027\"&amp;$A173&amp;"\","Dossier"))</f>
        <v/>
      </c>
    </row>
    <row r="174" ht="18" customHeight="1">
      <c r="A174" s="16" t="n"/>
      <c r="B174" s="17" t="n"/>
      <c r="C174" s="17" t="n"/>
      <c r="D174" s="18">
        <f>IF(AND(ISNUMBER($B174),ISNUMBER($C174)),$C174-$B174,"")</f>
        <v/>
      </c>
      <c r="E174" s="19" t="n"/>
      <c r="F174" s="20" t="n"/>
      <c r="G174" s="19" t="n"/>
      <c r="H174" s="20" t="n"/>
      <c r="I174" s="20" t="n"/>
      <c r="J174" s="19" t="n"/>
      <c r="K174" s="16" t="n"/>
      <c r="L174" s="20" t="n"/>
      <c r="M174" s="20" t="n"/>
      <c r="N174" s="17" t="n"/>
      <c r="O174" s="18">
        <f>IF(AND(OR($M174="Envoyé",$M174="En attente"),ISNUMBER($C174),NOT(ISNUMBER($N174))),IF(TODAY()-$C174&gt;=7,"⚠ relancer",""),"")</f>
        <v/>
      </c>
      <c r="P174" s="19" t="n"/>
      <c r="Q174" s="22">
        <f>IF($A174="","",HYPERLINK("Z:\MUSTANG SERVICES\Affaires 2027\"&amp;$A174&amp;"\"&amp;$A174&amp;"_Devis.xlsx","Ouvrir"))</f>
        <v/>
      </c>
      <c r="R174" s="22">
        <f>IF($A174="","",HYPERLINK("Z:\MUSTANG SERVICES\Affaires 2027\"&amp;$A174&amp;"\"&amp;$A174&amp;"_ToolList.xlsx","Ouvrir"))</f>
        <v/>
      </c>
      <c r="S174" s="22">
        <f>IF($A174="","",HYPERLINK("Z:\MUSTANG SERVICES\Affaires 2027\"&amp;$A174&amp;"\"&amp;$A174&amp;"_BL.xlsx","Ouvrir"))</f>
        <v/>
      </c>
      <c r="T174" s="22">
        <f>IF($A174="","",HYPERLINK("Z:\MUSTANG SERVICES\Affaires 2027\"&amp;$A174&amp;"\"&amp;$A174&amp;"_ServiceTicket.xlsx","Ouvrir"))</f>
        <v/>
      </c>
      <c r="U174" s="22">
        <f>IF($A174="","",HYPERLINK("Z:\MUSTANG SERVICES\Affaires 2027\"&amp;$A174&amp;"\","Dossier"))</f>
        <v/>
      </c>
    </row>
    <row r="175" ht="18" customHeight="1">
      <c r="A175" s="16" t="n"/>
      <c r="B175" s="17" t="n"/>
      <c r="C175" s="17" t="n"/>
      <c r="D175" s="18">
        <f>IF(AND(ISNUMBER($B175),ISNUMBER($C175)),$C175-$B175,"")</f>
        <v/>
      </c>
      <c r="E175" s="19" t="n"/>
      <c r="F175" s="20" t="n"/>
      <c r="G175" s="19" t="n"/>
      <c r="H175" s="20" t="n"/>
      <c r="I175" s="20" t="n"/>
      <c r="J175" s="19" t="n"/>
      <c r="K175" s="16" t="n"/>
      <c r="L175" s="20" t="n"/>
      <c r="M175" s="20" t="n"/>
      <c r="N175" s="17" t="n"/>
      <c r="O175" s="18">
        <f>IF(AND(OR($M175="Envoyé",$M175="En attente"),ISNUMBER($C175),NOT(ISNUMBER($N175))),IF(TODAY()-$C175&gt;=7,"⚠ relancer",""),"")</f>
        <v/>
      </c>
      <c r="P175" s="19" t="n"/>
      <c r="Q175" s="22">
        <f>IF($A175="","",HYPERLINK("Z:\MUSTANG SERVICES\Affaires 2027\"&amp;$A175&amp;"\"&amp;$A175&amp;"_Devis.xlsx","Ouvrir"))</f>
        <v/>
      </c>
      <c r="R175" s="22">
        <f>IF($A175="","",HYPERLINK("Z:\MUSTANG SERVICES\Affaires 2027\"&amp;$A175&amp;"\"&amp;$A175&amp;"_ToolList.xlsx","Ouvrir"))</f>
        <v/>
      </c>
      <c r="S175" s="22">
        <f>IF($A175="","",HYPERLINK("Z:\MUSTANG SERVICES\Affaires 2027\"&amp;$A175&amp;"\"&amp;$A175&amp;"_BL.xlsx","Ouvrir"))</f>
        <v/>
      </c>
      <c r="T175" s="22">
        <f>IF($A175="","",HYPERLINK("Z:\MUSTANG SERVICES\Affaires 2027\"&amp;$A175&amp;"\"&amp;$A175&amp;"_ServiceTicket.xlsx","Ouvrir"))</f>
        <v/>
      </c>
      <c r="U175" s="22">
        <f>IF($A175="","",HYPERLINK("Z:\MUSTANG SERVICES\Affaires 2027\"&amp;$A175&amp;"\","Dossier"))</f>
        <v/>
      </c>
    </row>
    <row r="176" ht="18" customHeight="1">
      <c r="A176" s="16" t="n"/>
      <c r="B176" s="17" t="n"/>
      <c r="C176" s="17" t="n"/>
      <c r="D176" s="18">
        <f>IF(AND(ISNUMBER($B176),ISNUMBER($C176)),$C176-$B176,"")</f>
        <v/>
      </c>
      <c r="E176" s="19" t="n"/>
      <c r="F176" s="20" t="n"/>
      <c r="G176" s="19" t="n"/>
      <c r="H176" s="20" t="n"/>
      <c r="I176" s="20" t="n"/>
      <c r="J176" s="19" t="n"/>
      <c r="K176" s="16" t="n"/>
      <c r="L176" s="20" t="n"/>
      <c r="M176" s="20" t="n"/>
      <c r="N176" s="17" t="n"/>
      <c r="O176" s="18">
        <f>IF(AND(OR($M176="Envoyé",$M176="En attente"),ISNUMBER($C176),NOT(ISNUMBER($N176))),IF(TODAY()-$C176&gt;=7,"⚠ relancer",""),"")</f>
        <v/>
      </c>
      <c r="P176" s="19" t="n"/>
      <c r="Q176" s="22">
        <f>IF($A176="","",HYPERLINK("Z:\MUSTANG SERVICES\Affaires 2027\"&amp;$A176&amp;"\"&amp;$A176&amp;"_Devis.xlsx","Ouvrir"))</f>
        <v/>
      </c>
      <c r="R176" s="22">
        <f>IF($A176="","",HYPERLINK("Z:\MUSTANG SERVICES\Affaires 2027\"&amp;$A176&amp;"\"&amp;$A176&amp;"_ToolList.xlsx","Ouvrir"))</f>
        <v/>
      </c>
      <c r="S176" s="22">
        <f>IF($A176="","",HYPERLINK("Z:\MUSTANG SERVICES\Affaires 2027\"&amp;$A176&amp;"\"&amp;$A176&amp;"_BL.xlsx","Ouvrir"))</f>
        <v/>
      </c>
      <c r="T176" s="22">
        <f>IF($A176="","",HYPERLINK("Z:\MUSTANG SERVICES\Affaires 2027\"&amp;$A176&amp;"\"&amp;$A176&amp;"_ServiceTicket.xlsx","Ouvrir"))</f>
        <v/>
      </c>
      <c r="U176" s="22">
        <f>IF($A176="","",HYPERLINK("Z:\MUSTANG SERVICES\Affaires 2027\"&amp;$A176&amp;"\","Dossier"))</f>
        <v/>
      </c>
    </row>
    <row r="177" ht="18" customHeight="1">
      <c r="A177" s="16" t="n"/>
      <c r="B177" s="17" t="n"/>
      <c r="C177" s="17" t="n"/>
      <c r="D177" s="18">
        <f>IF(AND(ISNUMBER($B177),ISNUMBER($C177)),$C177-$B177,"")</f>
        <v/>
      </c>
      <c r="E177" s="19" t="n"/>
      <c r="F177" s="20" t="n"/>
      <c r="G177" s="19" t="n"/>
      <c r="H177" s="20" t="n"/>
      <c r="I177" s="20" t="n"/>
      <c r="J177" s="19" t="n"/>
      <c r="K177" s="16" t="n"/>
      <c r="L177" s="20" t="n"/>
      <c r="M177" s="20" t="n"/>
      <c r="N177" s="17" t="n"/>
      <c r="O177" s="18">
        <f>IF(AND(OR($M177="Envoyé",$M177="En attente"),ISNUMBER($C177),NOT(ISNUMBER($N177))),IF(TODAY()-$C177&gt;=7,"⚠ relancer",""),"")</f>
        <v/>
      </c>
      <c r="P177" s="19" t="n"/>
      <c r="Q177" s="22">
        <f>IF($A177="","",HYPERLINK("Z:\MUSTANG SERVICES\Affaires 2027\"&amp;$A177&amp;"\"&amp;$A177&amp;"_Devis.xlsx","Ouvrir"))</f>
        <v/>
      </c>
      <c r="R177" s="22">
        <f>IF($A177="","",HYPERLINK("Z:\MUSTANG SERVICES\Affaires 2027\"&amp;$A177&amp;"\"&amp;$A177&amp;"_ToolList.xlsx","Ouvrir"))</f>
        <v/>
      </c>
      <c r="S177" s="22">
        <f>IF($A177="","",HYPERLINK("Z:\MUSTANG SERVICES\Affaires 2027\"&amp;$A177&amp;"\"&amp;$A177&amp;"_BL.xlsx","Ouvrir"))</f>
        <v/>
      </c>
      <c r="T177" s="22">
        <f>IF($A177="","",HYPERLINK("Z:\MUSTANG SERVICES\Affaires 2027\"&amp;$A177&amp;"\"&amp;$A177&amp;"_ServiceTicket.xlsx","Ouvrir"))</f>
        <v/>
      </c>
      <c r="U177" s="22">
        <f>IF($A177="","",HYPERLINK("Z:\MUSTANG SERVICES\Affaires 2027\"&amp;$A177&amp;"\","Dossier"))</f>
        <v/>
      </c>
    </row>
    <row r="178" ht="18" customHeight="1">
      <c r="A178" s="16" t="n"/>
      <c r="B178" s="17" t="n"/>
      <c r="C178" s="17" t="n"/>
      <c r="D178" s="18">
        <f>IF(AND(ISNUMBER($B178),ISNUMBER($C178)),$C178-$B178,"")</f>
        <v/>
      </c>
      <c r="E178" s="19" t="n"/>
      <c r="F178" s="20" t="n"/>
      <c r="G178" s="19" t="n"/>
      <c r="H178" s="20" t="n"/>
      <c r="I178" s="20" t="n"/>
      <c r="J178" s="19" t="n"/>
      <c r="K178" s="16" t="n"/>
      <c r="L178" s="20" t="n"/>
      <c r="M178" s="20" t="n"/>
      <c r="N178" s="17" t="n"/>
      <c r="O178" s="18">
        <f>IF(AND(OR($M178="Envoyé",$M178="En attente"),ISNUMBER($C178),NOT(ISNUMBER($N178))),IF(TODAY()-$C178&gt;=7,"⚠ relancer",""),"")</f>
        <v/>
      </c>
      <c r="P178" s="19" t="n"/>
      <c r="Q178" s="22">
        <f>IF($A178="","",HYPERLINK("Z:\MUSTANG SERVICES\Affaires 2027\"&amp;$A178&amp;"\"&amp;$A178&amp;"_Devis.xlsx","Ouvrir"))</f>
        <v/>
      </c>
      <c r="R178" s="22">
        <f>IF($A178="","",HYPERLINK("Z:\MUSTANG SERVICES\Affaires 2027\"&amp;$A178&amp;"\"&amp;$A178&amp;"_ToolList.xlsx","Ouvrir"))</f>
        <v/>
      </c>
      <c r="S178" s="22">
        <f>IF($A178="","",HYPERLINK("Z:\MUSTANG SERVICES\Affaires 2027\"&amp;$A178&amp;"\"&amp;$A178&amp;"_BL.xlsx","Ouvrir"))</f>
        <v/>
      </c>
      <c r="T178" s="22">
        <f>IF($A178="","",HYPERLINK("Z:\MUSTANG SERVICES\Affaires 2027\"&amp;$A178&amp;"\"&amp;$A178&amp;"_ServiceTicket.xlsx","Ouvrir"))</f>
        <v/>
      </c>
      <c r="U178" s="22">
        <f>IF($A178="","",HYPERLINK("Z:\MUSTANG SERVICES\Affaires 2027\"&amp;$A178&amp;"\","Dossier"))</f>
        <v/>
      </c>
    </row>
    <row r="179" ht="18" customHeight="1">
      <c r="A179" s="16" t="n"/>
      <c r="B179" s="17" t="n"/>
      <c r="C179" s="17" t="n"/>
      <c r="D179" s="18">
        <f>IF(AND(ISNUMBER($B179),ISNUMBER($C179)),$C179-$B179,"")</f>
        <v/>
      </c>
      <c r="E179" s="19" t="n"/>
      <c r="F179" s="20" t="n"/>
      <c r="G179" s="19" t="n"/>
      <c r="H179" s="20" t="n"/>
      <c r="I179" s="20" t="n"/>
      <c r="J179" s="19" t="n"/>
      <c r="K179" s="16" t="n"/>
      <c r="L179" s="20" t="n"/>
      <c r="M179" s="20" t="n"/>
      <c r="N179" s="17" t="n"/>
      <c r="O179" s="18">
        <f>IF(AND(OR($M179="Envoyé",$M179="En attente"),ISNUMBER($C179),NOT(ISNUMBER($N179))),IF(TODAY()-$C179&gt;=7,"⚠ relancer",""),"")</f>
        <v/>
      </c>
      <c r="P179" s="19" t="n"/>
      <c r="Q179" s="22">
        <f>IF($A179="","",HYPERLINK("Z:\MUSTANG SERVICES\Affaires 2027\"&amp;$A179&amp;"\"&amp;$A179&amp;"_Devis.xlsx","Ouvrir"))</f>
        <v/>
      </c>
      <c r="R179" s="22">
        <f>IF($A179="","",HYPERLINK("Z:\MUSTANG SERVICES\Affaires 2027\"&amp;$A179&amp;"\"&amp;$A179&amp;"_ToolList.xlsx","Ouvrir"))</f>
        <v/>
      </c>
      <c r="S179" s="22">
        <f>IF($A179="","",HYPERLINK("Z:\MUSTANG SERVICES\Affaires 2027\"&amp;$A179&amp;"\"&amp;$A179&amp;"_BL.xlsx","Ouvrir"))</f>
        <v/>
      </c>
      <c r="T179" s="22">
        <f>IF($A179="","",HYPERLINK("Z:\MUSTANG SERVICES\Affaires 2027\"&amp;$A179&amp;"\"&amp;$A179&amp;"_ServiceTicket.xlsx","Ouvrir"))</f>
        <v/>
      </c>
      <c r="U179" s="22">
        <f>IF($A179="","",HYPERLINK("Z:\MUSTANG SERVICES\Affaires 2027\"&amp;$A179&amp;"\","Dossier"))</f>
        <v/>
      </c>
    </row>
    <row r="180" ht="18" customHeight="1">
      <c r="A180" s="16" t="n"/>
      <c r="B180" s="17" t="n"/>
      <c r="C180" s="17" t="n"/>
      <c r="D180" s="18">
        <f>IF(AND(ISNUMBER($B180),ISNUMBER($C180)),$C180-$B180,"")</f>
        <v/>
      </c>
      <c r="E180" s="19" t="n"/>
      <c r="F180" s="20" t="n"/>
      <c r="G180" s="19" t="n"/>
      <c r="H180" s="20" t="n"/>
      <c r="I180" s="20" t="n"/>
      <c r="J180" s="19" t="n"/>
      <c r="K180" s="16" t="n"/>
      <c r="L180" s="20" t="n"/>
      <c r="M180" s="20" t="n"/>
      <c r="N180" s="17" t="n"/>
      <c r="O180" s="18">
        <f>IF(AND(OR($M180="Envoyé",$M180="En attente"),ISNUMBER($C180),NOT(ISNUMBER($N180))),IF(TODAY()-$C180&gt;=7,"⚠ relancer",""),"")</f>
        <v/>
      </c>
      <c r="P180" s="19" t="n"/>
      <c r="Q180" s="22">
        <f>IF($A180="","",HYPERLINK("Z:\MUSTANG SERVICES\Affaires 2027\"&amp;$A180&amp;"\"&amp;$A180&amp;"_Devis.xlsx","Ouvrir"))</f>
        <v/>
      </c>
      <c r="R180" s="22">
        <f>IF($A180="","",HYPERLINK("Z:\MUSTANG SERVICES\Affaires 2027\"&amp;$A180&amp;"\"&amp;$A180&amp;"_ToolList.xlsx","Ouvrir"))</f>
        <v/>
      </c>
      <c r="S180" s="22">
        <f>IF($A180="","",HYPERLINK("Z:\MUSTANG SERVICES\Affaires 2027\"&amp;$A180&amp;"\"&amp;$A180&amp;"_BL.xlsx","Ouvrir"))</f>
        <v/>
      </c>
      <c r="T180" s="22">
        <f>IF($A180="","",HYPERLINK("Z:\MUSTANG SERVICES\Affaires 2027\"&amp;$A180&amp;"\"&amp;$A180&amp;"_ServiceTicket.xlsx","Ouvrir"))</f>
        <v/>
      </c>
      <c r="U180" s="22">
        <f>IF($A180="","",HYPERLINK("Z:\MUSTANG SERVICES\Affaires 2027\"&amp;$A180&amp;"\","Dossier"))</f>
        <v/>
      </c>
    </row>
    <row r="181" ht="18" customHeight="1">
      <c r="A181" s="16" t="n"/>
      <c r="B181" s="17" t="n"/>
      <c r="C181" s="17" t="n"/>
      <c r="D181" s="18">
        <f>IF(AND(ISNUMBER($B181),ISNUMBER($C181)),$C181-$B181,"")</f>
        <v/>
      </c>
      <c r="E181" s="19" t="n"/>
      <c r="F181" s="20" t="n"/>
      <c r="G181" s="19" t="n"/>
      <c r="H181" s="20" t="n"/>
      <c r="I181" s="20" t="n"/>
      <c r="J181" s="19" t="n"/>
      <c r="K181" s="16" t="n"/>
      <c r="L181" s="20" t="n"/>
      <c r="M181" s="20" t="n"/>
      <c r="N181" s="17" t="n"/>
      <c r="O181" s="18">
        <f>IF(AND(OR($M181="Envoyé",$M181="En attente"),ISNUMBER($C181),NOT(ISNUMBER($N181))),IF(TODAY()-$C181&gt;=7,"⚠ relancer",""),"")</f>
        <v/>
      </c>
      <c r="P181" s="19" t="n"/>
      <c r="Q181" s="22">
        <f>IF($A181="","",HYPERLINK("Z:\MUSTANG SERVICES\Affaires 2027\"&amp;$A181&amp;"\"&amp;$A181&amp;"_Devis.xlsx","Ouvrir"))</f>
        <v/>
      </c>
      <c r="R181" s="22">
        <f>IF($A181="","",HYPERLINK("Z:\MUSTANG SERVICES\Affaires 2027\"&amp;$A181&amp;"\"&amp;$A181&amp;"_ToolList.xlsx","Ouvrir"))</f>
        <v/>
      </c>
      <c r="S181" s="22">
        <f>IF($A181="","",HYPERLINK("Z:\MUSTANG SERVICES\Affaires 2027\"&amp;$A181&amp;"\"&amp;$A181&amp;"_BL.xlsx","Ouvrir"))</f>
        <v/>
      </c>
      <c r="T181" s="22">
        <f>IF($A181="","",HYPERLINK("Z:\MUSTANG SERVICES\Affaires 2027\"&amp;$A181&amp;"\"&amp;$A181&amp;"_ServiceTicket.xlsx","Ouvrir"))</f>
        <v/>
      </c>
      <c r="U181" s="22">
        <f>IF($A181="","",HYPERLINK("Z:\MUSTANG SERVICES\Affaires 2027\"&amp;$A181&amp;"\","Dossier"))</f>
        <v/>
      </c>
    </row>
    <row r="182" ht="18" customHeight="1">
      <c r="A182" s="16" t="n"/>
      <c r="B182" s="17" t="n"/>
      <c r="C182" s="17" t="n"/>
      <c r="D182" s="18">
        <f>IF(AND(ISNUMBER($B182),ISNUMBER($C182)),$C182-$B182,"")</f>
        <v/>
      </c>
      <c r="E182" s="19" t="n"/>
      <c r="F182" s="20" t="n"/>
      <c r="G182" s="19" t="n"/>
      <c r="H182" s="20" t="n"/>
      <c r="I182" s="20" t="n"/>
      <c r="J182" s="19" t="n"/>
      <c r="K182" s="16" t="n"/>
      <c r="L182" s="20" t="n"/>
      <c r="M182" s="20" t="n"/>
      <c r="N182" s="17" t="n"/>
      <c r="O182" s="18">
        <f>IF(AND(OR($M182="Envoyé",$M182="En attente"),ISNUMBER($C182),NOT(ISNUMBER($N182))),IF(TODAY()-$C182&gt;=7,"⚠ relancer",""),"")</f>
        <v/>
      </c>
      <c r="P182" s="19" t="n"/>
      <c r="Q182" s="22">
        <f>IF($A182="","",HYPERLINK("Z:\MUSTANG SERVICES\Affaires 2027\"&amp;$A182&amp;"\"&amp;$A182&amp;"_Devis.xlsx","Ouvrir"))</f>
        <v/>
      </c>
      <c r="R182" s="22">
        <f>IF($A182="","",HYPERLINK("Z:\MUSTANG SERVICES\Affaires 2027\"&amp;$A182&amp;"\"&amp;$A182&amp;"_ToolList.xlsx","Ouvrir"))</f>
        <v/>
      </c>
      <c r="S182" s="22">
        <f>IF($A182="","",HYPERLINK("Z:\MUSTANG SERVICES\Affaires 2027\"&amp;$A182&amp;"\"&amp;$A182&amp;"_BL.xlsx","Ouvrir"))</f>
        <v/>
      </c>
      <c r="T182" s="22">
        <f>IF($A182="","",HYPERLINK("Z:\MUSTANG SERVICES\Affaires 2027\"&amp;$A182&amp;"\"&amp;$A182&amp;"_ServiceTicket.xlsx","Ouvrir"))</f>
        <v/>
      </c>
      <c r="U182" s="22">
        <f>IF($A182="","",HYPERLINK("Z:\MUSTANG SERVICES\Affaires 2027\"&amp;$A182&amp;"\","Dossier"))</f>
        <v/>
      </c>
    </row>
    <row r="183" ht="18" customHeight="1">
      <c r="A183" s="16" t="n"/>
      <c r="B183" s="17" t="n"/>
      <c r="C183" s="17" t="n"/>
      <c r="D183" s="18">
        <f>IF(AND(ISNUMBER($B183),ISNUMBER($C183)),$C183-$B183,"")</f>
        <v/>
      </c>
      <c r="E183" s="19" t="n"/>
      <c r="F183" s="20" t="n"/>
      <c r="G183" s="19" t="n"/>
      <c r="H183" s="20" t="n"/>
      <c r="I183" s="20" t="n"/>
      <c r="J183" s="19" t="n"/>
      <c r="K183" s="16" t="n"/>
      <c r="L183" s="20" t="n"/>
      <c r="M183" s="20" t="n"/>
      <c r="N183" s="17" t="n"/>
      <c r="O183" s="18">
        <f>IF(AND(OR($M183="Envoyé",$M183="En attente"),ISNUMBER($C183),NOT(ISNUMBER($N183))),IF(TODAY()-$C183&gt;=7,"⚠ relancer",""),"")</f>
        <v/>
      </c>
      <c r="P183" s="19" t="n"/>
      <c r="Q183" s="22">
        <f>IF($A183="","",HYPERLINK("Z:\MUSTANG SERVICES\Affaires 2027\"&amp;$A183&amp;"\"&amp;$A183&amp;"_Devis.xlsx","Ouvrir"))</f>
        <v/>
      </c>
      <c r="R183" s="22">
        <f>IF($A183="","",HYPERLINK("Z:\MUSTANG SERVICES\Affaires 2027\"&amp;$A183&amp;"\"&amp;$A183&amp;"_ToolList.xlsx","Ouvrir"))</f>
        <v/>
      </c>
      <c r="S183" s="22">
        <f>IF($A183="","",HYPERLINK("Z:\MUSTANG SERVICES\Affaires 2027\"&amp;$A183&amp;"\"&amp;$A183&amp;"_BL.xlsx","Ouvrir"))</f>
        <v/>
      </c>
      <c r="T183" s="22">
        <f>IF($A183="","",HYPERLINK("Z:\MUSTANG SERVICES\Affaires 2027\"&amp;$A183&amp;"\"&amp;$A183&amp;"_ServiceTicket.xlsx","Ouvrir"))</f>
        <v/>
      </c>
      <c r="U183" s="22">
        <f>IF($A183="","",HYPERLINK("Z:\MUSTANG SERVICES\Affaires 2027\"&amp;$A183&amp;"\","Dossier"))</f>
        <v/>
      </c>
    </row>
    <row r="184" ht="18" customHeight="1">
      <c r="A184" s="16" t="n"/>
      <c r="B184" s="17" t="n"/>
      <c r="C184" s="17" t="n"/>
      <c r="D184" s="18">
        <f>IF(AND(ISNUMBER($B184),ISNUMBER($C184)),$C184-$B184,"")</f>
        <v/>
      </c>
      <c r="E184" s="19" t="n"/>
      <c r="F184" s="20" t="n"/>
      <c r="G184" s="19" t="n"/>
      <c r="H184" s="20" t="n"/>
      <c r="I184" s="20" t="n"/>
      <c r="J184" s="19" t="n"/>
      <c r="K184" s="16" t="n"/>
      <c r="L184" s="20" t="n"/>
      <c r="M184" s="20" t="n"/>
      <c r="N184" s="17" t="n"/>
      <c r="O184" s="18">
        <f>IF(AND(OR($M184="Envoyé",$M184="En attente"),ISNUMBER($C184),NOT(ISNUMBER($N184))),IF(TODAY()-$C184&gt;=7,"⚠ relancer",""),"")</f>
        <v/>
      </c>
      <c r="P184" s="19" t="n"/>
      <c r="Q184" s="22">
        <f>IF($A184="","",HYPERLINK("Z:\MUSTANG SERVICES\Affaires 2027\"&amp;$A184&amp;"\"&amp;$A184&amp;"_Devis.xlsx","Ouvrir"))</f>
        <v/>
      </c>
      <c r="R184" s="22">
        <f>IF($A184="","",HYPERLINK("Z:\MUSTANG SERVICES\Affaires 2027\"&amp;$A184&amp;"\"&amp;$A184&amp;"_ToolList.xlsx","Ouvrir"))</f>
        <v/>
      </c>
      <c r="S184" s="22">
        <f>IF($A184="","",HYPERLINK("Z:\MUSTANG SERVICES\Affaires 2027\"&amp;$A184&amp;"\"&amp;$A184&amp;"_BL.xlsx","Ouvrir"))</f>
        <v/>
      </c>
      <c r="T184" s="22">
        <f>IF($A184="","",HYPERLINK("Z:\MUSTANG SERVICES\Affaires 2027\"&amp;$A184&amp;"\"&amp;$A184&amp;"_ServiceTicket.xlsx","Ouvrir"))</f>
        <v/>
      </c>
      <c r="U184" s="22">
        <f>IF($A184="","",HYPERLINK("Z:\MUSTANG SERVICES\Affaires 2027\"&amp;$A184&amp;"\","Dossier"))</f>
        <v/>
      </c>
    </row>
    <row r="185" ht="18" customHeight="1">
      <c r="A185" s="16" t="n"/>
      <c r="B185" s="17" t="n"/>
      <c r="C185" s="17" t="n"/>
      <c r="D185" s="18">
        <f>IF(AND(ISNUMBER($B185),ISNUMBER($C185)),$C185-$B185,"")</f>
        <v/>
      </c>
      <c r="E185" s="19" t="n"/>
      <c r="F185" s="20" t="n"/>
      <c r="G185" s="19" t="n"/>
      <c r="H185" s="20" t="n"/>
      <c r="I185" s="20" t="n"/>
      <c r="J185" s="19" t="n"/>
      <c r="K185" s="16" t="n"/>
      <c r="L185" s="20" t="n"/>
      <c r="M185" s="20" t="n"/>
      <c r="N185" s="17" t="n"/>
      <c r="O185" s="18">
        <f>IF(AND(OR($M185="Envoyé",$M185="En attente"),ISNUMBER($C185),NOT(ISNUMBER($N185))),IF(TODAY()-$C185&gt;=7,"⚠ relancer",""),"")</f>
        <v/>
      </c>
      <c r="P185" s="19" t="n"/>
      <c r="Q185" s="22">
        <f>IF($A185="","",HYPERLINK("Z:\MUSTANG SERVICES\Affaires 2027\"&amp;$A185&amp;"\"&amp;$A185&amp;"_Devis.xlsx","Ouvrir"))</f>
        <v/>
      </c>
      <c r="R185" s="22">
        <f>IF($A185="","",HYPERLINK("Z:\MUSTANG SERVICES\Affaires 2027\"&amp;$A185&amp;"\"&amp;$A185&amp;"_ToolList.xlsx","Ouvrir"))</f>
        <v/>
      </c>
      <c r="S185" s="22">
        <f>IF($A185="","",HYPERLINK("Z:\MUSTANG SERVICES\Affaires 2027\"&amp;$A185&amp;"\"&amp;$A185&amp;"_BL.xlsx","Ouvrir"))</f>
        <v/>
      </c>
      <c r="T185" s="22">
        <f>IF($A185="","",HYPERLINK("Z:\MUSTANG SERVICES\Affaires 2027\"&amp;$A185&amp;"\"&amp;$A185&amp;"_ServiceTicket.xlsx","Ouvrir"))</f>
        <v/>
      </c>
      <c r="U185" s="22">
        <f>IF($A185="","",HYPERLINK("Z:\MUSTANG SERVICES\Affaires 2027\"&amp;$A185&amp;"\","Dossier"))</f>
        <v/>
      </c>
    </row>
    <row r="186" ht="18" customHeight="1">
      <c r="A186" s="16" t="n"/>
      <c r="B186" s="17" t="n"/>
      <c r="C186" s="17" t="n"/>
      <c r="D186" s="18">
        <f>IF(AND(ISNUMBER($B186),ISNUMBER($C186)),$C186-$B186,"")</f>
        <v/>
      </c>
      <c r="E186" s="19" t="n"/>
      <c r="F186" s="20" t="n"/>
      <c r="G186" s="19" t="n"/>
      <c r="H186" s="20" t="n"/>
      <c r="I186" s="20" t="n"/>
      <c r="J186" s="19" t="n"/>
      <c r="K186" s="16" t="n"/>
      <c r="L186" s="20" t="n"/>
      <c r="M186" s="20" t="n"/>
      <c r="N186" s="17" t="n"/>
      <c r="O186" s="18">
        <f>IF(AND(OR($M186="Envoyé",$M186="En attente"),ISNUMBER($C186),NOT(ISNUMBER($N186))),IF(TODAY()-$C186&gt;=7,"⚠ relancer",""),"")</f>
        <v/>
      </c>
      <c r="P186" s="19" t="n"/>
      <c r="Q186" s="22">
        <f>IF($A186="","",HYPERLINK("Z:\MUSTANG SERVICES\Affaires 2027\"&amp;$A186&amp;"\"&amp;$A186&amp;"_Devis.xlsx","Ouvrir"))</f>
        <v/>
      </c>
      <c r="R186" s="22">
        <f>IF($A186="","",HYPERLINK("Z:\MUSTANG SERVICES\Affaires 2027\"&amp;$A186&amp;"\"&amp;$A186&amp;"_ToolList.xlsx","Ouvrir"))</f>
        <v/>
      </c>
      <c r="S186" s="22">
        <f>IF($A186="","",HYPERLINK("Z:\MUSTANG SERVICES\Affaires 2027\"&amp;$A186&amp;"\"&amp;$A186&amp;"_BL.xlsx","Ouvrir"))</f>
        <v/>
      </c>
      <c r="T186" s="22">
        <f>IF($A186="","",HYPERLINK("Z:\MUSTANG SERVICES\Affaires 2027\"&amp;$A186&amp;"\"&amp;$A186&amp;"_ServiceTicket.xlsx","Ouvrir"))</f>
        <v/>
      </c>
      <c r="U186" s="22">
        <f>IF($A186="","",HYPERLINK("Z:\MUSTANG SERVICES\Affaires 2027\"&amp;$A186&amp;"\","Dossier"))</f>
        <v/>
      </c>
    </row>
    <row r="187" ht="18" customHeight="1">
      <c r="A187" s="16" t="n"/>
      <c r="B187" s="17" t="n"/>
      <c r="C187" s="17" t="n"/>
      <c r="D187" s="18">
        <f>IF(AND(ISNUMBER($B187),ISNUMBER($C187)),$C187-$B187,"")</f>
        <v/>
      </c>
      <c r="E187" s="19" t="n"/>
      <c r="F187" s="20" t="n"/>
      <c r="G187" s="19" t="n"/>
      <c r="H187" s="20" t="n"/>
      <c r="I187" s="20" t="n"/>
      <c r="J187" s="19" t="n"/>
      <c r="K187" s="16" t="n"/>
      <c r="L187" s="20" t="n"/>
      <c r="M187" s="20" t="n"/>
      <c r="N187" s="17" t="n"/>
      <c r="O187" s="18">
        <f>IF(AND(OR($M187="Envoyé",$M187="En attente"),ISNUMBER($C187),NOT(ISNUMBER($N187))),IF(TODAY()-$C187&gt;=7,"⚠ relancer",""),"")</f>
        <v/>
      </c>
      <c r="P187" s="19" t="n"/>
      <c r="Q187" s="22">
        <f>IF($A187="","",HYPERLINK("Z:\MUSTANG SERVICES\Affaires 2027\"&amp;$A187&amp;"\"&amp;$A187&amp;"_Devis.xlsx","Ouvrir"))</f>
        <v/>
      </c>
      <c r="R187" s="22">
        <f>IF($A187="","",HYPERLINK("Z:\MUSTANG SERVICES\Affaires 2027\"&amp;$A187&amp;"\"&amp;$A187&amp;"_ToolList.xlsx","Ouvrir"))</f>
        <v/>
      </c>
      <c r="S187" s="22">
        <f>IF($A187="","",HYPERLINK("Z:\MUSTANG SERVICES\Affaires 2027\"&amp;$A187&amp;"\"&amp;$A187&amp;"_BL.xlsx","Ouvrir"))</f>
        <v/>
      </c>
      <c r="T187" s="22">
        <f>IF($A187="","",HYPERLINK("Z:\MUSTANG SERVICES\Affaires 2027\"&amp;$A187&amp;"\"&amp;$A187&amp;"_ServiceTicket.xlsx","Ouvrir"))</f>
        <v/>
      </c>
      <c r="U187" s="22">
        <f>IF($A187="","",HYPERLINK("Z:\MUSTANG SERVICES\Affaires 2027\"&amp;$A187&amp;"\","Dossier"))</f>
        <v/>
      </c>
    </row>
    <row r="188" ht="18" customHeight="1">
      <c r="A188" s="16" t="n"/>
      <c r="B188" s="17" t="n"/>
      <c r="C188" s="17" t="n"/>
      <c r="D188" s="18">
        <f>IF(AND(ISNUMBER($B188),ISNUMBER($C188)),$C188-$B188,"")</f>
        <v/>
      </c>
      <c r="E188" s="19" t="n"/>
      <c r="F188" s="20" t="n"/>
      <c r="G188" s="19" t="n"/>
      <c r="H188" s="20" t="n"/>
      <c r="I188" s="20" t="n"/>
      <c r="J188" s="19" t="n"/>
      <c r="K188" s="16" t="n"/>
      <c r="L188" s="20" t="n"/>
      <c r="M188" s="20" t="n"/>
      <c r="N188" s="17" t="n"/>
      <c r="O188" s="18">
        <f>IF(AND(OR($M188="Envoyé",$M188="En attente"),ISNUMBER($C188),NOT(ISNUMBER($N188))),IF(TODAY()-$C188&gt;=7,"⚠ relancer",""),"")</f>
        <v/>
      </c>
      <c r="P188" s="19" t="n"/>
      <c r="Q188" s="22">
        <f>IF($A188="","",HYPERLINK("Z:\MUSTANG SERVICES\Affaires 2027\"&amp;$A188&amp;"\"&amp;$A188&amp;"_Devis.xlsx","Ouvrir"))</f>
        <v/>
      </c>
      <c r="R188" s="22">
        <f>IF($A188="","",HYPERLINK("Z:\MUSTANG SERVICES\Affaires 2027\"&amp;$A188&amp;"\"&amp;$A188&amp;"_ToolList.xlsx","Ouvrir"))</f>
        <v/>
      </c>
      <c r="S188" s="22">
        <f>IF($A188="","",HYPERLINK("Z:\MUSTANG SERVICES\Affaires 2027\"&amp;$A188&amp;"\"&amp;$A188&amp;"_BL.xlsx","Ouvrir"))</f>
        <v/>
      </c>
      <c r="T188" s="22">
        <f>IF($A188="","",HYPERLINK("Z:\MUSTANG SERVICES\Affaires 2027\"&amp;$A188&amp;"\"&amp;$A188&amp;"_ServiceTicket.xlsx","Ouvrir"))</f>
        <v/>
      </c>
      <c r="U188" s="22">
        <f>IF($A188="","",HYPERLINK("Z:\MUSTANG SERVICES\Affaires 2027\"&amp;$A188&amp;"\","Dossier"))</f>
        <v/>
      </c>
    </row>
    <row r="189" ht="18" customHeight="1">
      <c r="A189" s="16" t="n"/>
      <c r="B189" s="17" t="n"/>
      <c r="C189" s="17" t="n"/>
      <c r="D189" s="18">
        <f>IF(AND(ISNUMBER($B189),ISNUMBER($C189)),$C189-$B189,"")</f>
        <v/>
      </c>
      <c r="E189" s="19" t="n"/>
      <c r="F189" s="20" t="n"/>
      <c r="G189" s="19" t="n"/>
      <c r="H189" s="20" t="n"/>
      <c r="I189" s="20" t="n"/>
      <c r="J189" s="19" t="n"/>
      <c r="K189" s="16" t="n"/>
      <c r="L189" s="20" t="n"/>
      <c r="M189" s="20" t="n"/>
      <c r="N189" s="17" t="n"/>
      <c r="O189" s="18">
        <f>IF(AND(OR($M189="Envoyé",$M189="En attente"),ISNUMBER($C189),NOT(ISNUMBER($N189))),IF(TODAY()-$C189&gt;=7,"⚠ relancer",""),"")</f>
        <v/>
      </c>
      <c r="P189" s="19" t="n"/>
      <c r="Q189" s="22">
        <f>IF($A189="","",HYPERLINK("Z:\MUSTANG SERVICES\Affaires 2027\"&amp;$A189&amp;"\"&amp;$A189&amp;"_Devis.xlsx","Ouvrir"))</f>
        <v/>
      </c>
      <c r="R189" s="22">
        <f>IF($A189="","",HYPERLINK("Z:\MUSTANG SERVICES\Affaires 2027\"&amp;$A189&amp;"\"&amp;$A189&amp;"_ToolList.xlsx","Ouvrir"))</f>
        <v/>
      </c>
      <c r="S189" s="22">
        <f>IF($A189="","",HYPERLINK("Z:\MUSTANG SERVICES\Affaires 2027\"&amp;$A189&amp;"\"&amp;$A189&amp;"_BL.xlsx","Ouvrir"))</f>
        <v/>
      </c>
      <c r="T189" s="22">
        <f>IF($A189="","",HYPERLINK("Z:\MUSTANG SERVICES\Affaires 2027\"&amp;$A189&amp;"\"&amp;$A189&amp;"_ServiceTicket.xlsx","Ouvrir"))</f>
        <v/>
      </c>
      <c r="U189" s="22">
        <f>IF($A189="","",HYPERLINK("Z:\MUSTANG SERVICES\Affaires 2027\"&amp;$A189&amp;"\","Dossier"))</f>
        <v/>
      </c>
    </row>
    <row r="190" ht="18" customHeight="1">
      <c r="A190" s="16" t="n"/>
      <c r="B190" s="17" t="n"/>
      <c r="C190" s="17" t="n"/>
      <c r="D190" s="18">
        <f>IF(AND(ISNUMBER($B190),ISNUMBER($C190)),$C190-$B190,"")</f>
        <v/>
      </c>
      <c r="E190" s="19" t="n"/>
      <c r="F190" s="20" t="n"/>
      <c r="G190" s="19" t="n"/>
      <c r="H190" s="20" t="n"/>
      <c r="I190" s="20" t="n"/>
      <c r="J190" s="19" t="n"/>
      <c r="K190" s="16" t="n"/>
      <c r="L190" s="20" t="n"/>
      <c r="M190" s="20" t="n"/>
      <c r="N190" s="17" t="n"/>
      <c r="O190" s="18">
        <f>IF(AND(OR($M190="Envoyé",$M190="En attente"),ISNUMBER($C190),NOT(ISNUMBER($N190))),IF(TODAY()-$C190&gt;=7,"⚠ relancer",""),"")</f>
        <v/>
      </c>
      <c r="P190" s="19" t="n"/>
      <c r="Q190" s="22">
        <f>IF($A190="","",HYPERLINK("Z:\MUSTANG SERVICES\Affaires 2027\"&amp;$A190&amp;"\"&amp;$A190&amp;"_Devis.xlsx","Ouvrir"))</f>
        <v/>
      </c>
      <c r="R190" s="22">
        <f>IF($A190="","",HYPERLINK("Z:\MUSTANG SERVICES\Affaires 2027\"&amp;$A190&amp;"\"&amp;$A190&amp;"_ToolList.xlsx","Ouvrir"))</f>
        <v/>
      </c>
      <c r="S190" s="22">
        <f>IF($A190="","",HYPERLINK("Z:\MUSTANG SERVICES\Affaires 2027\"&amp;$A190&amp;"\"&amp;$A190&amp;"_BL.xlsx","Ouvrir"))</f>
        <v/>
      </c>
      <c r="T190" s="22">
        <f>IF($A190="","",HYPERLINK("Z:\MUSTANG SERVICES\Affaires 2027\"&amp;$A190&amp;"\"&amp;$A190&amp;"_ServiceTicket.xlsx","Ouvrir"))</f>
        <v/>
      </c>
      <c r="U190" s="22">
        <f>IF($A190="","",HYPERLINK("Z:\MUSTANG SERVICES\Affaires 2027\"&amp;$A190&amp;"\","Dossier"))</f>
        <v/>
      </c>
    </row>
    <row r="191" ht="18" customHeight="1">
      <c r="A191" s="16" t="n"/>
      <c r="B191" s="17" t="n"/>
      <c r="C191" s="17" t="n"/>
      <c r="D191" s="18">
        <f>IF(AND(ISNUMBER($B191),ISNUMBER($C191)),$C191-$B191,"")</f>
        <v/>
      </c>
      <c r="E191" s="19" t="n"/>
      <c r="F191" s="20" t="n"/>
      <c r="G191" s="19" t="n"/>
      <c r="H191" s="20" t="n"/>
      <c r="I191" s="20" t="n"/>
      <c r="J191" s="19" t="n"/>
      <c r="K191" s="16" t="n"/>
      <c r="L191" s="20" t="n"/>
      <c r="M191" s="20" t="n"/>
      <c r="N191" s="17" t="n"/>
      <c r="O191" s="18">
        <f>IF(AND(OR($M191="Envoyé",$M191="En attente"),ISNUMBER($C191),NOT(ISNUMBER($N191))),IF(TODAY()-$C191&gt;=7,"⚠ relancer",""),"")</f>
        <v/>
      </c>
      <c r="P191" s="19" t="n"/>
      <c r="Q191" s="22">
        <f>IF($A191="","",HYPERLINK("Z:\MUSTANG SERVICES\Affaires 2027\"&amp;$A191&amp;"\"&amp;$A191&amp;"_Devis.xlsx","Ouvrir"))</f>
        <v/>
      </c>
      <c r="R191" s="22">
        <f>IF($A191="","",HYPERLINK("Z:\MUSTANG SERVICES\Affaires 2027\"&amp;$A191&amp;"\"&amp;$A191&amp;"_ToolList.xlsx","Ouvrir"))</f>
        <v/>
      </c>
      <c r="S191" s="22">
        <f>IF($A191="","",HYPERLINK("Z:\MUSTANG SERVICES\Affaires 2027\"&amp;$A191&amp;"\"&amp;$A191&amp;"_BL.xlsx","Ouvrir"))</f>
        <v/>
      </c>
      <c r="T191" s="22">
        <f>IF($A191="","",HYPERLINK("Z:\MUSTANG SERVICES\Affaires 2027\"&amp;$A191&amp;"\"&amp;$A191&amp;"_ServiceTicket.xlsx","Ouvrir"))</f>
        <v/>
      </c>
      <c r="U191" s="22">
        <f>IF($A191="","",HYPERLINK("Z:\MUSTANG SERVICES\Affaires 2027\"&amp;$A191&amp;"\","Dossier"))</f>
        <v/>
      </c>
    </row>
    <row r="192" ht="18" customHeight="1">
      <c r="A192" s="16" t="n"/>
      <c r="B192" s="17" t="n"/>
      <c r="C192" s="17" t="n"/>
      <c r="D192" s="18">
        <f>IF(AND(ISNUMBER($B192),ISNUMBER($C192)),$C192-$B192,"")</f>
        <v/>
      </c>
      <c r="E192" s="19" t="n"/>
      <c r="F192" s="20" t="n"/>
      <c r="G192" s="19" t="n"/>
      <c r="H192" s="20" t="n"/>
      <c r="I192" s="20" t="n"/>
      <c r="J192" s="19" t="n"/>
      <c r="K192" s="16" t="n"/>
      <c r="L192" s="20" t="n"/>
      <c r="M192" s="20" t="n"/>
      <c r="N192" s="17" t="n"/>
      <c r="O192" s="18">
        <f>IF(AND(OR($M192="Envoyé",$M192="En attente"),ISNUMBER($C192),NOT(ISNUMBER($N192))),IF(TODAY()-$C192&gt;=7,"⚠ relancer",""),"")</f>
        <v/>
      </c>
      <c r="P192" s="19" t="n"/>
      <c r="Q192" s="22">
        <f>IF($A192="","",HYPERLINK("Z:\MUSTANG SERVICES\Affaires 2027\"&amp;$A192&amp;"\"&amp;$A192&amp;"_Devis.xlsx","Ouvrir"))</f>
        <v/>
      </c>
      <c r="R192" s="22">
        <f>IF($A192="","",HYPERLINK("Z:\MUSTANG SERVICES\Affaires 2027\"&amp;$A192&amp;"\"&amp;$A192&amp;"_ToolList.xlsx","Ouvrir"))</f>
        <v/>
      </c>
      <c r="S192" s="22">
        <f>IF($A192="","",HYPERLINK("Z:\MUSTANG SERVICES\Affaires 2027\"&amp;$A192&amp;"\"&amp;$A192&amp;"_BL.xlsx","Ouvrir"))</f>
        <v/>
      </c>
      <c r="T192" s="22">
        <f>IF($A192="","",HYPERLINK("Z:\MUSTANG SERVICES\Affaires 2027\"&amp;$A192&amp;"\"&amp;$A192&amp;"_ServiceTicket.xlsx","Ouvrir"))</f>
        <v/>
      </c>
      <c r="U192" s="22">
        <f>IF($A192="","",HYPERLINK("Z:\MUSTANG SERVICES\Affaires 2027\"&amp;$A192&amp;"\","Dossier"))</f>
        <v/>
      </c>
    </row>
    <row r="193" ht="18" customHeight="1">
      <c r="A193" s="16" t="n"/>
      <c r="B193" s="17" t="n"/>
      <c r="C193" s="17" t="n"/>
      <c r="D193" s="18">
        <f>IF(AND(ISNUMBER($B193),ISNUMBER($C193)),$C193-$B193,"")</f>
        <v/>
      </c>
      <c r="E193" s="19" t="n"/>
      <c r="F193" s="20" t="n"/>
      <c r="G193" s="19" t="n"/>
      <c r="H193" s="20" t="n"/>
      <c r="I193" s="20" t="n"/>
      <c r="J193" s="19" t="n"/>
      <c r="K193" s="16" t="n"/>
      <c r="L193" s="20" t="n"/>
      <c r="M193" s="20" t="n"/>
      <c r="N193" s="17" t="n"/>
      <c r="O193" s="18">
        <f>IF(AND(OR($M193="Envoyé",$M193="En attente"),ISNUMBER($C193),NOT(ISNUMBER($N193))),IF(TODAY()-$C193&gt;=7,"⚠ relancer",""),"")</f>
        <v/>
      </c>
      <c r="P193" s="19" t="n"/>
      <c r="Q193" s="22">
        <f>IF($A193="","",HYPERLINK("Z:\MUSTANG SERVICES\Affaires 2027\"&amp;$A193&amp;"\"&amp;$A193&amp;"_Devis.xlsx","Ouvrir"))</f>
        <v/>
      </c>
      <c r="R193" s="22">
        <f>IF($A193="","",HYPERLINK("Z:\MUSTANG SERVICES\Affaires 2027\"&amp;$A193&amp;"\"&amp;$A193&amp;"_ToolList.xlsx","Ouvrir"))</f>
        <v/>
      </c>
      <c r="S193" s="22">
        <f>IF($A193="","",HYPERLINK("Z:\MUSTANG SERVICES\Affaires 2027\"&amp;$A193&amp;"\"&amp;$A193&amp;"_BL.xlsx","Ouvrir"))</f>
        <v/>
      </c>
      <c r="T193" s="22">
        <f>IF($A193="","",HYPERLINK("Z:\MUSTANG SERVICES\Affaires 2027\"&amp;$A193&amp;"\"&amp;$A193&amp;"_ServiceTicket.xlsx","Ouvrir"))</f>
        <v/>
      </c>
      <c r="U193" s="22">
        <f>IF($A193="","",HYPERLINK("Z:\MUSTANG SERVICES\Affaires 2027\"&amp;$A193&amp;"\","Dossier"))</f>
        <v/>
      </c>
    </row>
    <row r="194" ht="18" customHeight="1">
      <c r="A194" s="16" t="n"/>
      <c r="B194" s="17" t="n"/>
      <c r="C194" s="17" t="n"/>
      <c r="D194" s="18">
        <f>IF(AND(ISNUMBER($B194),ISNUMBER($C194)),$C194-$B194,"")</f>
        <v/>
      </c>
      <c r="E194" s="19" t="n"/>
      <c r="F194" s="20" t="n"/>
      <c r="G194" s="19" t="n"/>
      <c r="H194" s="20" t="n"/>
      <c r="I194" s="20" t="n"/>
      <c r="J194" s="19" t="n"/>
      <c r="K194" s="16" t="n"/>
      <c r="L194" s="20" t="n"/>
      <c r="M194" s="20" t="n"/>
      <c r="N194" s="17" t="n"/>
      <c r="O194" s="18">
        <f>IF(AND(OR($M194="Envoyé",$M194="En attente"),ISNUMBER($C194),NOT(ISNUMBER($N194))),IF(TODAY()-$C194&gt;=7,"⚠ relancer",""),"")</f>
        <v/>
      </c>
      <c r="P194" s="19" t="n"/>
      <c r="Q194" s="22">
        <f>IF($A194="","",HYPERLINK("Z:\MUSTANG SERVICES\Affaires 2027\"&amp;$A194&amp;"\"&amp;$A194&amp;"_Devis.xlsx","Ouvrir"))</f>
        <v/>
      </c>
      <c r="R194" s="22">
        <f>IF($A194="","",HYPERLINK("Z:\MUSTANG SERVICES\Affaires 2027\"&amp;$A194&amp;"\"&amp;$A194&amp;"_ToolList.xlsx","Ouvrir"))</f>
        <v/>
      </c>
      <c r="S194" s="22">
        <f>IF($A194="","",HYPERLINK("Z:\MUSTANG SERVICES\Affaires 2027\"&amp;$A194&amp;"\"&amp;$A194&amp;"_BL.xlsx","Ouvrir"))</f>
        <v/>
      </c>
      <c r="T194" s="22">
        <f>IF($A194="","",HYPERLINK("Z:\MUSTANG SERVICES\Affaires 2027\"&amp;$A194&amp;"\"&amp;$A194&amp;"_ServiceTicket.xlsx","Ouvrir"))</f>
        <v/>
      </c>
      <c r="U194" s="22">
        <f>IF($A194="","",HYPERLINK("Z:\MUSTANG SERVICES\Affaires 2027\"&amp;$A194&amp;"\","Dossier"))</f>
        <v/>
      </c>
    </row>
    <row r="195" ht="18" customHeight="1">
      <c r="A195" s="16" t="n"/>
      <c r="B195" s="17" t="n"/>
      <c r="C195" s="17" t="n"/>
      <c r="D195" s="18">
        <f>IF(AND(ISNUMBER($B195),ISNUMBER($C195)),$C195-$B195,"")</f>
        <v/>
      </c>
      <c r="E195" s="19" t="n"/>
      <c r="F195" s="20" t="n"/>
      <c r="G195" s="19" t="n"/>
      <c r="H195" s="20" t="n"/>
      <c r="I195" s="20" t="n"/>
      <c r="J195" s="19" t="n"/>
      <c r="K195" s="16" t="n"/>
      <c r="L195" s="20" t="n"/>
      <c r="M195" s="20" t="n"/>
      <c r="N195" s="17" t="n"/>
      <c r="O195" s="18">
        <f>IF(AND(OR($M195="Envoyé",$M195="En attente"),ISNUMBER($C195),NOT(ISNUMBER($N195))),IF(TODAY()-$C195&gt;=7,"⚠ relancer",""),"")</f>
        <v/>
      </c>
      <c r="P195" s="19" t="n"/>
      <c r="Q195" s="22">
        <f>IF($A195="","",HYPERLINK("Z:\MUSTANG SERVICES\Affaires 2027\"&amp;$A195&amp;"\"&amp;$A195&amp;"_Devis.xlsx","Ouvrir"))</f>
        <v/>
      </c>
      <c r="R195" s="22">
        <f>IF($A195="","",HYPERLINK("Z:\MUSTANG SERVICES\Affaires 2027\"&amp;$A195&amp;"\"&amp;$A195&amp;"_ToolList.xlsx","Ouvrir"))</f>
        <v/>
      </c>
      <c r="S195" s="22">
        <f>IF($A195="","",HYPERLINK("Z:\MUSTANG SERVICES\Affaires 2027\"&amp;$A195&amp;"\"&amp;$A195&amp;"_BL.xlsx","Ouvrir"))</f>
        <v/>
      </c>
      <c r="T195" s="22">
        <f>IF($A195="","",HYPERLINK("Z:\MUSTANG SERVICES\Affaires 2027\"&amp;$A195&amp;"\"&amp;$A195&amp;"_ServiceTicket.xlsx","Ouvrir"))</f>
        <v/>
      </c>
      <c r="U195" s="22">
        <f>IF($A195="","",HYPERLINK("Z:\MUSTANG SERVICES\Affaires 2027\"&amp;$A195&amp;"\","Dossier"))</f>
        <v/>
      </c>
    </row>
    <row r="196" ht="18" customHeight="1">
      <c r="A196" s="16" t="n"/>
      <c r="B196" s="17" t="n"/>
      <c r="C196" s="17" t="n"/>
      <c r="D196" s="18">
        <f>IF(AND(ISNUMBER($B196),ISNUMBER($C196)),$C196-$B196,"")</f>
        <v/>
      </c>
      <c r="E196" s="19" t="n"/>
      <c r="F196" s="20" t="n"/>
      <c r="G196" s="19" t="n"/>
      <c r="H196" s="20" t="n"/>
      <c r="I196" s="20" t="n"/>
      <c r="J196" s="19" t="n"/>
      <c r="K196" s="16" t="n"/>
      <c r="L196" s="20" t="n"/>
      <c r="M196" s="20" t="n"/>
      <c r="N196" s="17" t="n"/>
      <c r="O196" s="18">
        <f>IF(AND(OR($M196="Envoyé",$M196="En attente"),ISNUMBER($C196),NOT(ISNUMBER($N196))),IF(TODAY()-$C196&gt;=7,"⚠ relancer",""),"")</f>
        <v/>
      </c>
      <c r="P196" s="19" t="n"/>
      <c r="Q196" s="22">
        <f>IF($A196="","",HYPERLINK("Z:\MUSTANG SERVICES\Affaires 2027\"&amp;$A196&amp;"\"&amp;$A196&amp;"_Devis.xlsx","Ouvrir"))</f>
        <v/>
      </c>
      <c r="R196" s="22">
        <f>IF($A196="","",HYPERLINK("Z:\MUSTANG SERVICES\Affaires 2027\"&amp;$A196&amp;"\"&amp;$A196&amp;"_ToolList.xlsx","Ouvrir"))</f>
        <v/>
      </c>
      <c r="S196" s="22">
        <f>IF($A196="","",HYPERLINK("Z:\MUSTANG SERVICES\Affaires 2027\"&amp;$A196&amp;"\"&amp;$A196&amp;"_BL.xlsx","Ouvrir"))</f>
        <v/>
      </c>
      <c r="T196" s="22">
        <f>IF($A196="","",HYPERLINK("Z:\MUSTANG SERVICES\Affaires 2027\"&amp;$A196&amp;"\"&amp;$A196&amp;"_ServiceTicket.xlsx","Ouvrir"))</f>
        <v/>
      </c>
      <c r="U196" s="22">
        <f>IF($A196="","",HYPERLINK("Z:\MUSTANG SERVICES\Affaires 2027\"&amp;$A196&amp;"\","Dossier"))</f>
        <v/>
      </c>
    </row>
    <row r="197" ht="18" customHeight="1">
      <c r="A197" s="16" t="n"/>
      <c r="B197" s="17" t="n"/>
      <c r="C197" s="17" t="n"/>
      <c r="D197" s="18">
        <f>IF(AND(ISNUMBER($B197),ISNUMBER($C197)),$C197-$B197,"")</f>
        <v/>
      </c>
      <c r="E197" s="19" t="n"/>
      <c r="F197" s="20" t="n"/>
      <c r="G197" s="19" t="n"/>
      <c r="H197" s="20" t="n"/>
      <c r="I197" s="20" t="n"/>
      <c r="J197" s="19" t="n"/>
      <c r="K197" s="16" t="n"/>
      <c r="L197" s="20" t="n"/>
      <c r="M197" s="20" t="n"/>
      <c r="N197" s="17" t="n"/>
      <c r="O197" s="18">
        <f>IF(AND(OR($M197="Envoyé",$M197="En attente"),ISNUMBER($C197),NOT(ISNUMBER($N197))),IF(TODAY()-$C197&gt;=7,"⚠ relancer",""),"")</f>
        <v/>
      </c>
      <c r="P197" s="19" t="n"/>
      <c r="Q197" s="22">
        <f>IF($A197="","",HYPERLINK("Z:\MUSTANG SERVICES\Affaires 2027\"&amp;$A197&amp;"\"&amp;$A197&amp;"_Devis.xlsx","Ouvrir"))</f>
        <v/>
      </c>
      <c r="R197" s="22">
        <f>IF($A197="","",HYPERLINK("Z:\MUSTANG SERVICES\Affaires 2027\"&amp;$A197&amp;"\"&amp;$A197&amp;"_ToolList.xlsx","Ouvrir"))</f>
        <v/>
      </c>
      <c r="S197" s="22">
        <f>IF($A197="","",HYPERLINK("Z:\MUSTANG SERVICES\Affaires 2027\"&amp;$A197&amp;"\"&amp;$A197&amp;"_BL.xlsx","Ouvrir"))</f>
        <v/>
      </c>
      <c r="T197" s="22">
        <f>IF($A197="","",HYPERLINK("Z:\MUSTANG SERVICES\Affaires 2027\"&amp;$A197&amp;"\"&amp;$A197&amp;"_ServiceTicket.xlsx","Ouvrir"))</f>
        <v/>
      </c>
      <c r="U197" s="22">
        <f>IF($A197="","",HYPERLINK("Z:\MUSTANG SERVICES\Affaires 2027\"&amp;$A197&amp;"\","Dossier"))</f>
        <v/>
      </c>
    </row>
    <row r="198" ht="18" customHeight="1">
      <c r="A198" s="16" t="n"/>
      <c r="B198" s="17" t="n"/>
      <c r="C198" s="17" t="n"/>
      <c r="D198" s="18">
        <f>IF(AND(ISNUMBER($B198),ISNUMBER($C198)),$C198-$B198,"")</f>
        <v/>
      </c>
      <c r="E198" s="19" t="n"/>
      <c r="F198" s="20" t="n"/>
      <c r="G198" s="19" t="n"/>
      <c r="H198" s="20" t="n"/>
      <c r="I198" s="20" t="n"/>
      <c r="J198" s="19" t="n"/>
      <c r="K198" s="16" t="n"/>
      <c r="L198" s="20" t="n"/>
      <c r="M198" s="20" t="n"/>
      <c r="N198" s="17" t="n"/>
      <c r="O198" s="18">
        <f>IF(AND(OR($M198="Envoyé",$M198="En attente"),ISNUMBER($C198),NOT(ISNUMBER($N198))),IF(TODAY()-$C198&gt;=7,"⚠ relancer",""),"")</f>
        <v/>
      </c>
      <c r="P198" s="19" t="n"/>
      <c r="Q198" s="22">
        <f>IF($A198="","",HYPERLINK("Z:\MUSTANG SERVICES\Affaires 2027\"&amp;$A198&amp;"\"&amp;$A198&amp;"_Devis.xlsx","Ouvrir"))</f>
        <v/>
      </c>
      <c r="R198" s="22">
        <f>IF($A198="","",HYPERLINK("Z:\MUSTANG SERVICES\Affaires 2027\"&amp;$A198&amp;"\"&amp;$A198&amp;"_ToolList.xlsx","Ouvrir"))</f>
        <v/>
      </c>
      <c r="S198" s="22">
        <f>IF($A198="","",HYPERLINK("Z:\MUSTANG SERVICES\Affaires 2027\"&amp;$A198&amp;"\"&amp;$A198&amp;"_BL.xlsx","Ouvrir"))</f>
        <v/>
      </c>
      <c r="T198" s="22">
        <f>IF($A198="","",HYPERLINK("Z:\MUSTANG SERVICES\Affaires 2027\"&amp;$A198&amp;"\"&amp;$A198&amp;"_ServiceTicket.xlsx","Ouvrir"))</f>
        <v/>
      </c>
      <c r="U198" s="22">
        <f>IF($A198="","",HYPERLINK("Z:\MUSTANG SERVICES\Affaires 2027\"&amp;$A198&amp;"\","Dossier"))</f>
        <v/>
      </c>
    </row>
    <row r="199" ht="18" customHeight="1">
      <c r="A199" s="16" t="n"/>
      <c r="B199" s="17" t="n"/>
      <c r="C199" s="17" t="n"/>
      <c r="D199" s="18">
        <f>IF(AND(ISNUMBER($B199),ISNUMBER($C199)),$C199-$B199,"")</f>
        <v/>
      </c>
      <c r="E199" s="19" t="n"/>
      <c r="F199" s="20" t="n"/>
      <c r="G199" s="19" t="n"/>
      <c r="H199" s="20" t="n"/>
      <c r="I199" s="20" t="n"/>
      <c r="J199" s="19" t="n"/>
      <c r="K199" s="16" t="n"/>
      <c r="L199" s="20" t="n"/>
      <c r="M199" s="20" t="n"/>
      <c r="N199" s="17" t="n"/>
      <c r="O199" s="18">
        <f>IF(AND(OR($M199="Envoyé",$M199="En attente"),ISNUMBER($C199),NOT(ISNUMBER($N199))),IF(TODAY()-$C199&gt;=7,"⚠ relancer",""),"")</f>
        <v/>
      </c>
      <c r="P199" s="19" t="n"/>
      <c r="Q199" s="22">
        <f>IF($A199="","",HYPERLINK("Z:\MUSTANG SERVICES\Affaires 2027\"&amp;$A199&amp;"\"&amp;$A199&amp;"_Devis.xlsx","Ouvrir"))</f>
        <v/>
      </c>
      <c r="R199" s="22">
        <f>IF($A199="","",HYPERLINK("Z:\MUSTANG SERVICES\Affaires 2027\"&amp;$A199&amp;"\"&amp;$A199&amp;"_ToolList.xlsx","Ouvrir"))</f>
        <v/>
      </c>
      <c r="S199" s="22">
        <f>IF($A199="","",HYPERLINK("Z:\MUSTANG SERVICES\Affaires 2027\"&amp;$A199&amp;"\"&amp;$A199&amp;"_BL.xlsx","Ouvrir"))</f>
        <v/>
      </c>
      <c r="T199" s="22">
        <f>IF($A199="","",HYPERLINK("Z:\MUSTANG SERVICES\Affaires 2027\"&amp;$A199&amp;"\"&amp;$A199&amp;"_ServiceTicket.xlsx","Ouvrir"))</f>
        <v/>
      </c>
      <c r="U199" s="22">
        <f>IF($A199="","",HYPERLINK("Z:\MUSTANG SERVICES\Affaires 2027\"&amp;$A199&amp;"\","Dossier"))</f>
        <v/>
      </c>
    </row>
    <row r="200" ht="18" customHeight="1">
      <c r="A200" s="16" t="n"/>
      <c r="B200" s="17" t="n"/>
      <c r="C200" s="17" t="n"/>
      <c r="D200" s="18">
        <f>IF(AND(ISNUMBER($B200),ISNUMBER($C200)),$C200-$B200,"")</f>
        <v/>
      </c>
      <c r="E200" s="19" t="n"/>
      <c r="F200" s="20" t="n"/>
      <c r="G200" s="19" t="n"/>
      <c r="H200" s="20" t="n"/>
      <c r="I200" s="20" t="n"/>
      <c r="J200" s="19" t="n"/>
      <c r="K200" s="16" t="n"/>
      <c r="L200" s="20" t="n"/>
      <c r="M200" s="20" t="n"/>
      <c r="N200" s="17" t="n"/>
      <c r="O200" s="18">
        <f>IF(AND(OR($M200="Envoyé",$M200="En attente"),ISNUMBER($C200),NOT(ISNUMBER($N200))),IF(TODAY()-$C200&gt;=7,"⚠ relancer",""),"")</f>
        <v/>
      </c>
      <c r="P200" s="19" t="n"/>
      <c r="Q200" s="22">
        <f>IF($A200="","",HYPERLINK("Z:\MUSTANG SERVICES\Affaires 2027\"&amp;$A200&amp;"\"&amp;$A200&amp;"_Devis.xlsx","Ouvrir"))</f>
        <v/>
      </c>
      <c r="R200" s="22">
        <f>IF($A200="","",HYPERLINK("Z:\MUSTANG SERVICES\Affaires 2027\"&amp;$A200&amp;"\"&amp;$A200&amp;"_ToolList.xlsx","Ouvrir"))</f>
        <v/>
      </c>
      <c r="S200" s="22">
        <f>IF($A200="","",HYPERLINK("Z:\MUSTANG SERVICES\Affaires 2027\"&amp;$A200&amp;"\"&amp;$A200&amp;"_BL.xlsx","Ouvrir"))</f>
        <v/>
      </c>
      <c r="T200" s="22">
        <f>IF($A200="","",HYPERLINK("Z:\MUSTANG SERVICES\Affaires 2027\"&amp;$A200&amp;"\"&amp;$A200&amp;"_ServiceTicket.xlsx","Ouvrir"))</f>
        <v/>
      </c>
      <c r="U200" s="22">
        <f>IF($A200="","",HYPERLINK("Z:\MUSTANG SERVICES\Affaires 2027\"&amp;$A200&amp;"\","Dossier"))</f>
        <v/>
      </c>
    </row>
    <row r="201" ht="18" customHeight="1">
      <c r="A201" s="16" t="n"/>
      <c r="B201" s="17" t="n"/>
      <c r="C201" s="17" t="n"/>
      <c r="D201" s="18">
        <f>IF(AND(ISNUMBER($B201),ISNUMBER($C201)),$C201-$B201,"")</f>
        <v/>
      </c>
      <c r="E201" s="19" t="n"/>
      <c r="F201" s="20" t="n"/>
      <c r="G201" s="19" t="n"/>
      <c r="H201" s="20" t="n"/>
      <c r="I201" s="20" t="n"/>
      <c r="J201" s="19" t="n"/>
      <c r="K201" s="16" t="n"/>
      <c r="L201" s="20" t="n"/>
      <c r="M201" s="20" t="n"/>
      <c r="N201" s="17" t="n"/>
      <c r="O201" s="18">
        <f>IF(AND(OR($M201="Envoyé",$M201="En attente"),ISNUMBER($C201),NOT(ISNUMBER($N201))),IF(TODAY()-$C201&gt;=7,"⚠ relancer",""),"")</f>
        <v/>
      </c>
      <c r="P201" s="19" t="n"/>
      <c r="Q201" s="22">
        <f>IF($A201="","",HYPERLINK("Z:\MUSTANG SERVICES\Affaires 2027\"&amp;$A201&amp;"\"&amp;$A201&amp;"_Devis.xlsx","Ouvrir"))</f>
        <v/>
      </c>
      <c r="R201" s="22">
        <f>IF($A201="","",HYPERLINK("Z:\MUSTANG SERVICES\Affaires 2027\"&amp;$A201&amp;"\"&amp;$A201&amp;"_ToolList.xlsx","Ouvrir"))</f>
        <v/>
      </c>
      <c r="S201" s="22">
        <f>IF($A201="","",HYPERLINK("Z:\MUSTANG SERVICES\Affaires 2027\"&amp;$A201&amp;"\"&amp;$A201&amp;"_BL.xlsx","Ouvrir"))</f>
        <v/>
      </c>
      <c r="T201" s="22">
        <f>IF($A201="","",HYPERLINK("Z:\MUSTANG SERVICES\Affaires 2027\"&amp;$A201&amp;"\"&amp;$A201&amp;"_ServiceTicket.xlsx","Ouvrir"))</f>
        <v/>
      </c>
      <c r="U201" s="22">
        <f>IF($A201="","",HYPERLINK("Z:\MUSTANG SERVICES\Affaires 2027\"&amp;$A201&amp;"\","Dossier"))</f>
        <v/>
      </c>
    </row>
    <row r="202" ht="18" customHeight="1">
      <c r="A202" s="16" t="n"/>
      <c r="B202" s="17" t="n"/>
      <c r="C202" s="17" t="n"/>
      <c r="D202" s="18">
        <f>IF(AND(ISNUMBER($B202),ISNUMBER($C202)),$C202-$B202,"")</f>
        <v/>
      </c>
      <c r="E202" s="19" t="n"/>
      <c r="F202" s="20" t="n"/>
      <c r="G202" s="19" t="n"/>
      <c r="H202" s="20" t="n"/>
      <c r="I202" s="20" t="n"/>
      <c r="J202" s="19" t="n"/>
      <c r="K202" s="16" t="n"/>
      <c r="L202" s="20" t="n"/>
      <c r="M202" s="20" t="n"/>
      <c r="N202" s="17" t="n"/>
      <c r="O202" s="18">
        <f>IF(AND(OR($M202="Envoyé",$M202="En attente"),ISNUMBER($C202),NOT(ISNUMBER($N202))),IF(TODAY()-$C202&gt;=7,"⚠ relancer",""),"")</f>
        <v/>
      </c>
      <c r="P202" s="19" t="n"/>
      <c r="Q202" s="22">
        <f>IF($A202="","",HYPERLINK("Z:\MUSTANG SERVICES\Affaires 2027\"&amp;$A202&amp;"\"&amp;$A202&amp;"_Devis.xlsx","Ouvrir"))</f>
        <v/>
      </c>
      <c r="R202" s="22">
        <f>IF($A202="","",HYPERLINK("Z:\MUSTANG SERVICES\Affaires 2027\"&amp;$A202&amp;"\"&amp;$A202&amp;"_ToolList.xlsx","Ouvrir"))</f>
        <v/>
      </c>
      <c r="S202" s="22">
        <f>IF($A202="","",HYPERLINK("Z:\MUSTANG SERVICES\Affaires 2027\"&amp;$A202&amp;"\"&amp;$A202&amp;"_BL.xlsx","Ouvrir"))</f>
        <v/>
      </c>
      <c r="T202" s="22">
        <f>IF($A202="","",HYPERLINK("Z:\MUSTANG SERVICES\Affaires 2027\"&amp;$A202&amp;"\"&amp;$A202&amp;"_ServiceTicket.xlsx","Ouvrir"))</f>
        <v/>
      </c>
      <c r="U202" s="22">
        <f>IF($A202="","",HYPERLINK("Z:\MUSTANG SERVICES\Affaires 2027\"&amp;$A202&amp;"\","Dossier"))</f>
        <v/>
      </c>
    </row>
    <row r="203" ht="18" customHeight="1">
      <c r="A203" s="16" t="n"/>
      <c r="B203" s="17" t="n"/>
      <c r="C203" s="17" t="n"/>
      <c r="D203" s="18">
        <f>IF(AND(ISNUMBER($B203),ISNUMBER($C203)),$C203-$B203,"")</f>
        <v/>
      </c>
      <c r="E203" s="19" t="n"/>
      <c r="F203" s="20" t="n"/>
      <c r="G203" s="19" t="n"/>
      <c r="H203" s="20" t="n"/>
      <c r="I203" s="20" t="n"/>
      <c r="J203" s="19" t="n"/>
      <c r="K203" s="16" t="n"/>
      <c r="L203" s="20" t="n"/>
      <c r="M203" s="20" t="n"/>
      <c r="N203" s="17" t="n"/>
      <c r="O203" s="18">
        <f>IF(AND(OR($M203="Envoyé",$M203="En attente"),ISNUMBER($C203),NOT(ISNUMBER($N203))),IF(TODAY()-$C203&gt;=7,"⚠ relancer",""),"")</f>
        <v/>
      </c>
      <c r="P203" s="19" t="n"/>
      <c r="Q203" s="22">
        <f>IF($A203="","",HYPERLINK("Z:\MUSTANG SERVICES\Affaires 2027\"&amp;$A203&amp;"\"&amp;$A203&amp;"_Devis.xlsx","Ouvrir"))</f>
        <v/>
      </c>
      <c r="R203" s="22">
        <f>IF($A203="","",HYPERLINK("Z:\MUSTANG SERVICES\Affaires 2027\"&amp;$A203&amp;"\"&amp;$A203&amp;"_ToolList.xlsx","Ouvrir"))</f>
        <v/>
      </c>
      <c r="S203" s="22">
        <f>IF($A203="","",HYPERLINK("Z:\MUSTANG SERVICES\Affaires 2027\"&amp;$A203&amp;"\"&amp;$A203&amp;"_BL.xlsx","Ouvrir"))</f>
        <v/>
      </c>
      <c r="T203" s="22">
        <f>IF($A203="","",HYPERLINK("Z:\MUSTANG SERVICES\Affaires 2027\"&amp;$A203&amp;"\"&amp;$A203&amp;"_ServiceTicket.xlsx","Ouvrir"))</f>
        <v/>
      </c>
      <c r="U203" s="22">
        <f>IF($A203="","",HYPERLINK("Z:\MUSTANG SERVICES\Affaires 2027\"&amp;$A203&amp;"\","Dossier"))</f>
        <v/>
      </c>
    </row>
    <row r="204" ht="18" customHeight="1">
      <c r="A204" s="16" t="n"/>
      <c r="B204" s="17" t="n"/>
      <c r="C204" s="17" t="n"/>
      <c r="D204" s="18">
        <f>IF(AND(ISNUMBER($B204),ISNUMBER($C204)),$C204-$B204,"")</f>
        <v/>
      </c>
      <c r="E204" s="19" t="n"/>
      <c r="F204" s="20" t="n"/>
      <c r="G204" s="19" t="n"/>
      <c r="H204" s="20" t="n"/>
      <c r="I204" s="20" t="n"/>
      <c r="J204" s="19" t="n"/>
      <c r="K204" s="16" t="n"/>
      <c r="L204" s="20" t="n"/>
      <c r="M204" s="20" t="n"/>
      <c r="N204" s="17" t="n"/>
      <c r="O204" s="18">
        <f>IF(AND(OR($M204="Envoyé",$M204="En attente"),ISNUMBER($C204),NOT(ISNUMBER($N204))),IF(TODAY()-$C204&gt;=7,"⚠ relancer",""),"")</f>
        <v/>
      </c>
      <c r="P204" s="19" t="n"/>
      <c r="Q204" s="22">
        <f>IF($A204="","",HYPERLINK("Z:\MUSTANG SERVICES\Affaires 2027\"&amp;$A204&amp;"\"&amp;$A204&amp;"_Devis.xlsx","Ouvrir"))</f>
        <v/>
      </c>
      <c r="R204" s="22">
        <f>IF($A204="","",HYPERLINK("Z:\MUSTANG SERVICES\Affaires 2027\"&amp;$A204&amp;"\"&amp;$A204&amp;"_ToolList.xlsx","Ouvrir"))</f>
        <v/>
      </c>
      <c r="S204" s="22">
        <f>IF($A204="","",HYPERLINK("Z:\MUSTANG SERVICES\Affaires 2027\"&amp;$A204&amp;"\"&amp;$A204&amp;"_BL.xlsx","Ouvrir"))</f>
        <v/>
      </c>
      <c r="T204" s="22">
        <f>IF($A204="","",HYPERLINK("Z:\MUSTANG SERVICES\Affaires 2027\"&amp;$A204&amp;"\"&amp;$A204&amp;"_ServiceTicket.xlsx","Ouvrir"))</f>
        <v/>
      </c>
      <c r="U204" s="22">
        <f>IF($A204="","",HYPERLINK("Z:\MUSTANG SERVICES\Affaires 2027\"&amp;$A204&amp;"\","Dossier"))</f>
        <v/>
      </c>
    </row>
    <row r="205" ht="18" customHeight="1">
      <c r="A205" s="16" t="n"/>
      <c r="B205" s="17" t="n"/>
      <c r="C205" s="17" t="n"/>
      <c r="D205" s="18">
        <f>IF(AND(ISNUMBER($B205),ISNUMBER($C205)),$C205-$B205,"")</f>
        <v/>
      </c>
      <c r="E205" s="19" t="n"/>
      <c r="F205" s="20" t="n"/>
      <c r="G205" s="19" t="n"/>
      <c r="H205" s="20" t="n"/>
      <c r="I205" s="20" t="n"/>
      <c r="J205" s="19" t="n"/>
      <c r="K205" s="16" t="n"/>
      <c r="L205" s="20" t="n"/>
      <c r="M205" s="20" t="n"/>
      <c r="N205" s="17" t="n"/>
      <c r="O205" s="18">
        <f>IF(AND(OR($M205="Envoyé",$M205="En attente"),ISNUMBER($C205),NOT(ISNUMBER($N205))),IF(TODAY()-$C205&gt;=7,"⚠ relancer",""),"")</f>
        <v/>
      </c>
      <c r="P205" s="19" t="n"/>
      <c r="Q205" s="22">
        <f>IF($A205="","",HYPERLINK("Z:\MUSTANG SERVICES\Affaires 2027\"&amp;$A205&amp;"\"&amp;$A205&amp;"_Devis.xlsx","Ouvrir"))</f>
        <v/>
      </c>
      <c r="R205" s="22">
        <f>IF($A205="","",HYPERLINK("Z:\MUSTANG SERVICES\Affaires 2027\"&amp;$A205&amp;"\"&amp;$A205&amp;"_ToolList.xlsx","Ouvrir"))</f>
        <v/>
      </c>
      <c r="S205" s="22">
        <f>IF($A205="","",HYPERLINK("Z:\MUSTANG SERVICES\Affaires 2027\"&amp;$A205&amp;"\"&amp;$A205&amp;"_BL.xlsx","Ouvrir"))</f>
        <v/>
      </c>
      <c r="T205" s="22">
        <f>IF($A205="","",HYPERLINK("Z:\MUSTANG SERVICES\Affaires 2027\"&amp;$A205&amp;"\"&amp;$A205&amp;"_ServiceTicket.xlsx","Ouvrir"))</f>
        <v/>
      </c>
      <c r="U205" s="22">
        <f>IF($A205="","",HYPERLINK("Z:\MUSTANG SERVICES\Affaires 2027\"&amp;$A205&amp;"\","Dossier"))</f>
        <v/>
      </c>
    </row>
    <row r="206" ht="18" customHeight="1">
      <c r="A206" s="16" t="n"/>
      <c r="B206" s="17" t="n"/>
      <c r="C206" s="17" t="n"/>
      <c r="D206" s="18">
        <f>IF(AND(ISNUMBER($B206),ISNUMBER($C206)),$C206-$B206,"")</f>
        <v/>
      </c>
      <c r="E206" s="19" t="n"/>
      <c r="F206" s="20" t="n"/>
      <c r="G206" s="19" t="n"/>
      <c r="H206" s="20" t="n"/>
      <c r="I206" s="20" t="n"/>
      <c r="J206" s="19" t="n"/>
      <c r="K206" s="16" t="n"/>
      <c r="L206" s="20" t="n"/>
      <c r="M206" s="20" t="n"/>
      <c r="N206" s="17" t="n"/>
      <c r="O206" s="18">
        <f>IF(AND(OR($M206="Envoyé",$M206="En attente"),ISNUMBER($C206),NOT(ISNUMBER($N206))),IF(TODAY()-$C206&gt;=7,"⚠ relancer",""),"")</f>
        <v/>
      </c>
      <c r="P206" s="19" t="n"/>
      <c r="Q206" s="22">
        <f>IF($A206="","",HYPERLINK("Z:\MUSTANG SERVICES\Affaires 2027\"&amp;$A206&amp;"\"&amp;$A206&amp;"_Devis.xlsx","Ouvrir"))</f>
        <v/>
      </c>
      <c r="R206" s="22">
        <f>IF($A206="","",HYPERLINK("Z:\MUSTANG SERVICES\Affaires 2027\"&amp;$A206&amp;"\"&amp;$A206&amp;"_ToolList.xlsx","Ouvrir"))</f>
        <v/>
      </c>
      <c r="S206" s="22">
        <f>IF($A206="","",HYPERLINK("Z:\MUSTANG SERVICES\Affaires 2027\"&amp;$A206&amp;"\"&amp;$A206&amp;"_BL.xlsx","Ouvrir"))</f>
        <v/>
      </c>
      <c r="T206" s="22">
        <f>IF($A206="","",HYPERLINK("Z:\MUSTANG SERVICES\Affaires 2027\"&amp;$A206&amp;"\"&amp;$A206&amp;"_ServiceTicket.xlsx","Ouvrir"))</f>
        <v/>
      </c>
      <c r="U206" s="22">
        <f>IF($A206="","",HYPERLINK("Z:\MUSTANG SERVICES\Affaires 2027\"&amp;$A206&amp;"\","Dossier"))</f>
        <v/>
      </c>
    </row>
    <row r="207" ht="18" customHeight="1">
      <c r="A207" s="16" t="n"/>
      <c r="B207" s="17" t="n"/>
      <c r="C207" s="17" t="n"/>
      <c r="D207" s="18">
        <f>IF(AND(ISNUMBER($B207),ISNUMBER($C207)),$C207-$B207,"")</f>
        <v/>
      </c>
      <c r="E207" s="19" t="n"/>
      <c r="F207" s="20" t="n"/>
      <c r="G207" s="19" t="n"/>
      <c r="H207" s="20" t="n"/>
      <c r="I207" s="20" t="n"/>
      <c r="J207" s="19" t="n"/>
      <c r="K207" s="16" t="n"/>
      <c r="L207" s="20" t="n"/>
      <c r="M207" s="20" t="n"/>
      <c r="N207" s="17" t="n"/>
      <c r="O207" s="18">
        <f>IF(AND(OR($M207="Envoyé",$M207="En attente"),ISNUMBER($C207),NOT(ISNUMBER($N207))),IF(TODAY()-$C207&gt;=7,"⚠ relancer",""),"")</f>
        <v/>
      </c>
      <c r="P207" s="19" t="n"/>
      <c r="Q207" s="22">
        <f>IF($A207="","",HYPERLINK("Z:\MUSTANG SERVICES\Affaires 2027\"&amp;$A207&amp;"\"&amp;$A207&amp;"_Devis.xlsx","Ouvrir"))</f>
        <v/>
      </c>
      <c r="R207" s="22">
        <f>IF($A207="","",HYPERLINK("Z:\MUSTANG SERVICES\Affaires 2027\"&amp;$A207&amp;"\"&amp;$A207&amp;"_ToolList.xlsx","Ouvrir"))</f>
        <v/>
      </c>
      <c r="S207" s="22">
        <f>IF($A207="","",HYPERLINK("Z:\MUSTANG SERVICES\Affaires 2027\"&amp;$A207&amp;"\"&amp;$A207&amp;"_BL.xlsx","Ouvrir"))</f>
        <v/>
      </c>
      <c r="T207" s="22">
        <f>IF($A207="","",HYPERLINK("Z:\MUSTANG SERVICES\Affaires 2027\"&amp;$A207&amp;"\"&amp;$A207&amp;"_ServiceTicket.xlsx","Ouvrir"))</f>
        <v/>
      </c>
      <c r="U207" s="22">
        <f>IF($A207="","",HYPERLINK("Z:\MUSTANG SERVICES\Affaires 2027\"&amp;$A207&amp;"\","Dossier"))</f>
        <v/>
      </c>
    </row>
    <row r="208" ht="18" customHeight="1">
      <c r="A208" s="16" t="n"/>
      <c r="B208" s="17" t="n"/>
      <c r="C208" s="17" t="n"/>
      <c r="D208" s="18">
        <f>IF(AND(ISNUMBER($B208),ISNUMBER($C208)),$C208-$B208,"")</f>
        <v/>
      </c>
      <c r="E208" s="19" t="n"/>
      <c r="F208" s="20" t="n"/>
      <c r="G208" s="19" t="n"/>
      <c r="H208" s="20" t="n"/>
      <c r="I208" s="20" t="n"/>
      <c r="J208" s="19" t="n"/>
      <c r="K208" s="16" t="n"/>
      <c r="L208" s="20" t="n"/>
      <c r="M208" s="20" t="n"/>
      <c r="N208" s="17" t="n"/>
      <c r="O208" s="18">
        <f>IF(AND(OR($M208="Envoyé",$M208="En attente"),ISNUMBER($C208),NOT(ISNUMBER($N208))),IF(TODAY()-$C208&gt;=7,"⚠ relancer",""),"")</f>
        <v/>
      </c>
      <c r="P208" s="19" t="n"/>
      <c r="Q208" s="22">
        <f>IF($A208="","",HYPERLINK("Z:\MUSTANG SERVICES\Affaires 2027\"&amp;$A208&amp;"\"&amp;$A208&amp;"_Devis.xlsx","Ouvrir"))</f>
        <v/>
      </c>
      <c r="R208" s="22">
        <f>IF($A208="","",HYPERLINK("Z:\MUSTANG SERVICES\Affaires 2027\"&amp;$A208&amp;"\"&amp;$A208&amp;"_ToolList.xlsx","Ouvrir"))</f>
        <v/>
      </c>
      <c r="S208" s="22">
        <f>IF($A208="","",HYPERLINK("Z:\MUSTANG SERVICES\Affaires 2027\"&amp;$A208&amp;"\"&amp;$A208&amp;"_BL.xlsx","Ouvrir"))</f>
        <v/>
      </c>
      <c r="T208" s="22">
        <f>IF($A208="","",HYPERLINK("Z:\MUSTANG SERVICES\Affaires 2027\"&amp;$A208&amp;"\"&amp;$A208&amp;"_ServiceTicket.xlsx","Ouvrir"))</f>
        <v/>
      </c>
      <c r="U208" s="22">
        <f>IF($A208="","",HYPERLINK("Z:\MUSTANG SERVICES\Affaires 2027\"&amp;$A208&amp;"\","Dossier"))</f>
        <v/>
      </c>
    </row>
    <row r="209" ht="18" customHeight="1">
      <c r="A209" s="16" t="n"/>
      <c r="B209" s="17" t="n"/>
      <c r="C209" s="17" t="n"/>
      <c r="D209" s="18">
        <f>IF(AND(ISNUMBER($B209),ISNUMBER($C209)),$C209-$B209,"")</f>
        <v/>
      </c>
      <c r="E209" s="19" t="n"/>
      <c r="F209" s="20" t="n"/>
      <c r="G209" s="19" t="n"/>
      <c r="H209" s="20" t="n"/>
      <c r="I209" s="20" t="n"/>
      <c r="J209" s="19" t="n"/>
      <c r="K209" s="16" t="n"/>
      <c r="L209" s="20" t="n"/>
      <c r="M209" s="20" t="n"/>
      <c r="N209" s="17" t="n"/>
      <c r="O209" s="18">
        <f>IF(AND(OR($M209="Envoyé",$M209="En attente"),ISNUMBER($C209),NOT(ISNUMBER($N209))),IF(TODAY()-$C209&gt;=7,"⚠ relancer",""),"")</f>
        <v/>
      </c>
      <c r="P209" s="19" t="n"/>
      <c r="Q209" s="22">
        <f>IF($A209="","",HYPERLINK("Z:\MUSTANG SERVICES\Affaires 2027\"&amp;$A209&amp;"\"&amp;$A209&amp;"_Devis.xlsx","Ouvrir"))</f>
        <v/>
      </c>
      <c r="R209" s="22">
        <f>IF($A209="","",HYPERLINK("Z:\MUSTANG SERVICES\Affaires 2027\"&amp;$A209&amp;"\"&amp;$A209&amp;"_ToolList.xlsx","Ouvrir"))</f>
        <v/>
      </c>
      <c r="S209" s="22">
        <f>IF($A209="","",HYPERLINK("Z:\MUSTANG SERVICES\Affaires 2027\"&amp;$A209&amp;"\"&amp;$A209&amp;"_BL.xlsx","Ouvrir"))</f>
        <v/>
      </c>
      <c r="T209" s="22">
        <f>IF($A209="","",HYPERLINK("Z:\MUSTANG SERVICES\Affaires 2027\"&amp;$A209&amp;"\"&amp;$A209&amp;"_ServiceTicket.xlsx","Ouvrir"))</f>
        <v/>
      </c>
      <c r="U209" s="22">
        <f>IF($A209="","",HYPERLINK("Z:\MUSTANG SERVICES\Affaires 2027\"&amp;$A209&amp;"\","Dossier"))</f>
        <v/>
      </c>
    </row>
    <row r="210" ht="18" customHeight="1">
      <c r="A210" s="16" t="n"/>
      <c r="B210" s="17" t="n"/>
      <c r="C210" s="17" t="n"/>
      <c r="D210" s="18">
        <f>IF(AND(ISNUMBER($B210),ISNUMBER($C210)),$C210-$B210,"")</f>
        <v/>
      </c>
      <c r="E210" s="19" t="n"/>
      <c r="F210" s="20" t="n"/>
      <c r="G210" s="19" t="n"/>
      <c r="H210" s="20" t="n"/>
      <c r="I210" s="20" t="n"/>
      <c r="J210" s="19" t="n"/>
      <c r="K210" s="16" t="n"/>
      <c r="L210" s="20" t="n"/>
      <c r="M210" s="20" t="n"/>
      <c r="N210" s="17" t="n"/>
      <c r="O210" s="18">
        <f>IF(AND(OR($M210="Envoyé",$M210="En attente"),ISNUMBER($C210),NOT(ISNUMBER($N210))),IF(TODAY()-$C210&gt;=7,"⚠ relancer",""),"")</f>
        <v/>
      </c>
      <c r="P210" s="19" t="n"/>
      <c r="Q210" s="22">
        <f>IF($A210="","",HYPERLINK("Z:\MUSTANG SERVICES\Affaires 2027\"&amp;$A210&amp;"\"&amp;$A210&amp;"_Devis.xlsx","Ouvrir"))</f>
        <v/>
      </c>
      <c r="R210" s="22">
        <f>IF($A210="","",HYPERLINK("Z:\MUSTANG SERVICES\Affaires 2027\"&amp;$A210&amp;"\"&amp;$A210&amp;"_ToolList.xlsx","Ouvrir"))</f>
        <v/>
      </c>
      <c r="S210" s="22">
        <f>IF($A210="","",HYPERLINK("Z:\MUSTANG SERVICES\Affaires 2027\"&amp;$A210&amp;"\"&amp;$A210&amp;"_BL.xlsx","Ouvrir"))</f>
        <v/>
      </c>
      <c r="T210" s="22">
        <f>IF($A210="","",HYPERLINK("Z:\MUSTANG SERVICES\Affaires 2027\"&amp;$A210&amp;"\"&amp;$A210&amp;"_ServiceTicket.xlsx","Ouvrir"))</f>
        <v/>
      </c>
      <c r="U210" s="22">
        <f>IF($A210="","",HYPERLINK("Z:\MUSTANG SERVICES\Affaires 2027\"&amp;$A210&amp;"\","Dossier"))</f>
        <v/>
      </c>
    </row>
    <row r="211" ht="18" customHeight="1">
      <c r="A211" s="16" t="n"/>
      <c r="B211" s="17" t="n"/>
      <c r="C211" s="17" t="n"/>
      <c r="D211" s="18">
        <f>IF(AND(ISNUMBER($B211),ISNUMBER($C211)),$C211-$B211,"")</f>
        <v/>
      </c>
      <c r="E211" s="19" t="n"/>
      <c r="F211" s="20" t="n"/>
      <c r="G211" s="19" t="n"/>
      <c r="H211" s="20" t="n"/>
      <c r="I211" s="20" t="n"/>
      <c r="J211" s="19" t="n"/>
      <c r="K211" s="16" t="n"/>
      <c r="L211" s="20" t="n"/>
      <c r="M211" s="20" t="n"/>
      <c r="N211" s="17" t="n"/>
      <c r="O211" s="18">
        <f>IF(AND(OR($M211="Envoyé",$M211="En attente"),ISNUMBER($C211),NOT(ISNUMBER($N211))),IF(TODAY()-$C211&gt;=7,"⚠ relancer",""),"")</f>
        <v/>
      </c>
      <c r="P211" s="19" t="n"/>
      <c r="Q211" s="22">
        <f>IF($A211="","",HYPERLINK("Z:\MUSTANG SERVICES\Affaires 2027\"&amp;$A211&amp;"\"&amp;$A211&amp;"_Devis.xlsx","Ouvrir"))</f>
        <v/>
      </c>
      <c r="R211" s="22">
        <f>IF($A211="","",HYPERLINK("Z:\MUSTANG SERVICES\Affaires 2027\"&amp;$A211&amp;"\"&amp;$A211&amp;"_ToolList.xlsx","Ouvrir"))</f>
        <v/>
      </c>
      <c r="S211" s="22">
        <f>IF($A211="","",HYPERLINK("Z:\MUSTANG SERVICES\Affaires 2027\"&amp;$A211&amp;"\"&amp;$A211&amp;"_BL.xlsx","Ouvrir"))</f>
        <v/>
      </c>
      <c r="T211" s="22">
        <f>IF($A211="","",HYPERLINK("Z:\MUSTANG SERVICES\Affaires 2027\"&amp;$A211&amp;"\"&amp;$A211&amp;"_ServiceTicket.xlsx","Ouvrir"))</f>
        <v/>
      </c>
      <c r="U211" s="22">
        <f>IF($A211="","",HYPERLINK("Z:\MUSTANG SERVICES\Affaires 2027\"&amp;$A211&amp;"\","Dossier"))</f>
        <v/>
      </c>
    </row>
    <row r="212" ht="18" customHeight="1">
      <c r="A212" s="16" t="n"/>
      <c r="B212" s="17" t="n"/>
      <c r="C212" s="17" t="n"/>
      <c r="D212" s="18">
        <f>IF(AND(ISNUMBER($B212),ISNUMBER($C212)),$C212-$B212,"")</f>
        <v/>
      </c>
      <c r="E212" s="19" t="n"/>
      <c r="F212" s="20" t="n"/>
      <c r="G212" s="19" t="n"/>
      <c r="H212" s="20" t="n"/>
      <c r="I212" s="20" t="n"/>
      <c r="J212" s="19" t="n"/>
      <c r="K212" s="16" t="n"/>
      <c r="L212" s="20" t="n"/>
      <c r="M212" s="20" t="n"/>
      <c r="N212" s="17" t="n"/>
      <c r="O212" s="18">
        <f>IF(AND(OR($M212="Envoyé",$M212="En attente"),ISNUMBER($C212),NOT(ISNUMBER($N212))),IF(TODAY()-$C212&gt;=7,"⚠ relancer",""),"")</f>
        <v/>
      </c>
      <c r="P212" s="19" t="n"/>
      <c r="Q212" s="22">
        <f>IF($A212="","",HYPERLINK("Z:\MUSTANG SERVICES\Affaires 2027\"&amp;$A212&amp;"\"&amp;$A212&amp;"_Devis.xlsx","Ouvrir"))</f>
        <v/>
      </c>
      <c r="R212" s="22">
        <f>IF($A212="","",HYPERLINK("Z:\MUSTANG SERVICES\Affaires 2027\"&amp;$A212&amp;"\"&amp;$A212&amp;"_ToolList.xlsx","Ouvrir"))</f>
        <v/>
      </c>
      <c r="S212" s="22">
        <f>IF($A212="","",HYPERLINK("Z:\MUSTANG SERVICES\Affaires 2027\"&amp;$A212&amp;"\"&amp;$A212&amp;"_BL.xlsx","Ouvrir"))</f>
        <v/>
      </c>
      <c r="T212" s="22">
        <f>IF($A212="","",HYPERLINK("Z:\MUSTANG SERVICES\Affaires 2027\"&amp;$A212&amp;"\"&amp;$A212&amp;"_ServiceTicket.xlsx","Ouvrir"))</f>
        <v/>
      </c>
      <c r="U212" s="22">
        <f>IF($A212="","",HYPERLINK("Z:\MUSTANG SERVICES\Affaires 2027\"&amp;$A212&amp;"\","Dossier"))</f>
        <v/>
      </c>
    </row>
    <row r="213" ht="18" customHeight="1">
      <c r="A213" s="16" t="n"/>
      <c r="B213" s="17" t="n"/>
      <c r="C213" s="17" t="n"/>
      <c r="D213" s="18">
        <f>IF(AND(ISNUMBER($B213),ISNUMBER($C213)),$C213-$B213,"")</f>
        <v/>
      </c>
      <c r="E213" s="19" t="n"/>
      <c r="F213" s="20" t="n"/>
      <c r="G213" s="19" t="n"/>
      <c r="H213" s="20" t="n"/>
      <c r="I213" s="20" t="n"/>
      <c r="J213" s="19" t="n"/>
      <c r="K213" s="16" t="n"/>
      <c r="L213" s="20" t="n"/>
      <c r="M213" s="20" t="n"/>
      <c r="N213" s="17" t="n"/>
      <c r="O213" s="18">
        <f>IF(AND(OR($M213="Envoyé",$M213="En attente"),ISNUMBER($C213),NOT(ISNUMBER($N213))),IF(TODAY()-$C213&gt;=7,"⚠ relancer",""),"")</f>
        <v/>
      </c>
      <c r="P213" s="19" t="n"/>
      <c r="Q213" s="22">
        <f>IF($A213="","",HYPERLINK("Z:\MUSTANG SERVICES\Affaires 2027\"&amp;$A213&amp;"\"&amp;$A213&amp;"_Devis.xlsx","Ouvrir"))</f>
        <v/>
      </c>
      <c r="R213" s="22">
        <f>IF($A213="","",HYPERLINK("Z:\MUSTANG SERVICES\Affaires 2027\"&amp;$A213&amp;"\"&amp;$A213&amp;"_ToolList.xlsx","Ouvrir"))</f>
        <v/>
      </c>
      <c r="S213" s="22">
        <f>IF($A213="","",HYPERLINK("Z:\MUSTANG SERVICES\Affaires 2027\"&amp;$A213&amp;"\"&amp;$A213&amp;"_BL.xlsx","Ouvrir"))</f>
        <v/>
      </c>
      <c r="T213" s="22">
        <f>IF($A213="","",HYPERLINK("Z:\MUSTANG SERVICES\Affaires 2027\"&amp;$A213&amp;"\"&amp;$A213&amp;"_ServiceTicket.xlsx","Ouvrir"))</f>
        <v/>
      </c>
      <c r="U213" s="22">
        <f>IF($A213="","",HYPERLINK("Z:\MUSTANG SERVICES\Affaires 2027\"&amp;$A213&amp;"\","Dossier"))</f>
        <v/>
      </c>
    </row>
    <row r="214" ht="18" customHeight="1">
      <c r="A214" s="16" t="n"/>
      <c r="B214" s="17" t="n"/>
      <c r="C214" s="17" t="n"/>
      <c r="D214" s="18">
        <f>IF(AND(ISNUMBER($B214),ISNUMBER($C214)),$C214-$B214,"")</f>
        <v/>
      </c>
      <c r="E214" s="19" t="n"/>
      <c r="F214" s="20" t="n"/>
      <c r="G214" s="19" t="n"/>
      <c r="H214" s="20" t="n"/>
      <c r="I214" s="20" t="n"/>
      <c r="J214" s="19" t="n"/>
      <c r="K214" s="16" t="n"/>
      <c r="L214" s="20" t="n"/>
      <c r="M214" s="20" t="n"/>
      <c r="N214" s="17" t="n"/>
      <c r="O214" s="18">
        <f>IF(AND(OR($M214="Envoyé",$M214="En attente"),ISNUMBER($C214),NOT(ISNUMBER($N214))),IF(TODAY()-$C214&gt;=7,"⚠ relancer",""),"")</f>
        <v/>
      </c>
      <c r="P214" s="19" t="n"/>
      <c r="Q214" s="22">
        <f>IF($A214="","",HYPERLINK("Z:\MUSTANG SERVICES\Affaires 2027\"&amp;$A214&amp;"\"&amp;$A214&amp;"_Devis.xlsx","Ouvrir"))</f>
        <v/>
      </c>
      <c r="R214" s="22">
        <f>IF($A214="","",HYPERLINK("Z:\MUSTANG SERVICES\Affaires 2027\"&amp;$A214&amp;"\"&amp;$A214&amp;"_ToolList.xlsx","Ouvrir"))</f>
        <v/>
      </c>
      <c r="S214" s="22">
        <f>IF($A214="","",HYPERLINK("Z:\MUSTANG SERVICES\Affaires 2027\"&amp;$A214&amp;"\"&amp;$A214&amp;"_BL.xlsx","Ouvrir"))</f>
        <v/>
      </c>
      <c r="T214" s="22">
        <f>IF($A214="","",HYPERLINK("Z:\MUSTANG SERVICES\Affaires 2027\"&amp;$A214&amp;"\"&amp;$A214&amp;"_ServiceTicket.xlsx","Ouvrir"))</f>
        <v/>
      </c>
      <c r="U214" s="22">
        <f>IF($A214="","",HYPERLINK("Z:\MUSTANG SERVICES\Affaires 2027\"&amp;$A214&amp;"\","Dossier"))</f>
        <v/>
      </c>
    </row>
    <row r="215" ht="18" customHeight="1">
      <c r="A215" s="16" t="n"/>
      <c r="B215" s="17" t="n"/>
      <c r="C215" s="17" t="n"/>
      <c r="D215" s="18">
        <f>IF(AND(ISNUMBER($B215),ISNUMBER($C215)),$C215-$B215,"")</f>
        <v/>
      </c>
      <c r="E215" s="19" t="n"/>
      <c r="F215" s="20" t="n"/>
      <c r="G215" s="19" t="n"/>
      <c r="H215" s="20" t="n"/>
      <c r="I215" s="20" t="n"/>
      <c r="J215" s="19" t="n"/>
      <c r="K215" s="16" t="n"/>
      <c r="L215" s="20" t="n"/>
      <c r="M215" s="20" t="n"/>
      <c r="N215" s="17" t="n"/>
      <c r="O215" s="18">
        <f>IF(AND(OR($M215="Envoyé",$M215="En attente"),ISNUMBER($C215),NOT(ISNUMBER($N215))),IF(TODAY()-$C215&gt;=7,"⚠ relancer",""),"")</f>
        <v/>
      </c>
      <c r="P215" s="19" t="n"/>
      <c r="Q215" s="22">
        <f>IF($A215="","",HYPERLINK("Z:\MUSTANG SERVICES\Affaires 2027\"&amp;$A215&amp;"\"&amp;$A215&amp;"_Devis.xlsx","Ouvrir"))</f>
        <v/>
      </c>
      <c r="R215" s="22">
        <f>IF($A215="","",HYPERLINK("Z:\MUSTANG SERVICES\Affaires 2027\"&amp;$A215&amp;"\"&amp;$A215&amp;"_ToolList.xlsx","Ouvrir"))</f>
        <v/>
      </c>
      <c r="S215" s="22">
        <f>IF($A215="","",HYPERLINK("Z:\MUSTANG SERVICES\Affaires 2027\"&amp;$A215&amp;"\"&amp;$A215&amp;"_BL.xlsx","Ouvrir"))</f>
        <v/>
      </c>
      <c r="T215" s="22">
        <f>IF($A215="","",HYPERLINK("Z:\MUSTANG SERVICES\Affaires 2027\"&amp;$A215&amp;"\"&amp;$A215&amp;"_ServiceTicket.xlsx","Ouvrir"))</f>
        <v/>
      </c>
      <c r="U215" s="22">
        <f>IF($A215="","",HYPERLINK("Z:\MUSTANG SERVICES\Affaires 2027\"&amp;$A215&amp;"\","Dossier"))</f>
        <v/>
      </c>
    </row>
    <row r="216" ht="18" customHeight="1">
      <c r="A216" s="16" t="n"/>
      <c r="B216" s="17" t="n"/>
      <c r="C216" s="17" t="n"/>
      <c r="D216" s="18">
        <f>IF(AND(ISNUMBER($B216),ISNUMBER($C216)),$C216-$B216,"")</f>
        <v/>
      </c>
      <c r="E216" s="19" t="n"/>
      <c r="F216" s="20" t="n"/>
      <c r="G216" s="19" t="n"/>
      <c r="H216" s="20" t="n"/>
      <c r="I216" s="20" t="n"/>
      <c r="J216" s="19" t="n"/>
      <c r="K216" s="16" t="n"/>
      <c r="L216" s="20" t="n"/>
      <c r="M216" s="20" t="n"/>
      <c r="N216" s="17" t="n"/>
      <c r="O216" s="18">
        <f>IF(AND(OR($M216="Envoyé",$M216="En attente"),ISNUMBER($C216),NOT(ISNUMBER($N216))),IF(TODAY()-$C216&gt;=7,"⚠ relancer",""),"")</f>
        <v/>
      </c>
      <c r="P216" s="19" t="n"/>
      <c r="Q216" s="22">
        <f>IF($A216="","",HYPERLINK("Z:\MUSTANG SERVICES\Affaires 2027\"&amp;$A216&amp;"\"&amp;$A216&amp;"_Devis.xlsx","Ouvrir"))</f>
        <v/>
      </c>
      <c r="R216" s="22">
        <f>IF($A216="","",HYPERLINK("Z:\MUSTANG SERVICES\Affaires 2027\"&amp;$A216&amp;"\"&amp;$A216&amp;"_ToolList.xlsx","Ouvrir"))</f>
        <v/>
      </c>
      <c r="S216" s="22">
        <f>IF($A216="","",HYPERLINK("Z:\MUSTANG SERVICES\Affaires 2027\"&amp;$A216&amp;"\"&amp;$A216&amp;"_BL.xlsx","Ouvrir"))</f>
        <v/>
      </c>
      <c r="T216" s="22">
        <f>IF($A216="","",HYPERLINK("Z:\MUSTANG SERVICES\Affaires 2027\"&amp;$A216&amp;"\"&amp;$A216&amp;"_ServiceTicket.xlsx","Ouvrir"))</f>
        <v/>
      </c>
      <c r="U216" s="22">
        <f>IF($A216="","",HYPERLINK("Z:\MUSTANG SERVICES\Affaires 2027\"&amp;$A216&amp;"\","Dossier"))</f>
        <v/>
      </c>
    </row>
    <row r="217" ht="18" customHeight="1">
      <c r="A217" s="16" t="n"/>
      <c r="B217" s="17" t="n"/>
      <c r="C217" s="17" t="n"/>
      <c r="D217" s="18">
        <f>IF(AND(ISNUMBER($B217),ISNUMBER($C217)),$C217-$B217,"")</f>
        <v/>
      </c>
      <c r="E217" s="19" t="n"/>
      <c r="F217" s="20" t="n"/>
      <c r="G217" s="19" t="n"/>
      <c r="H217" s="20" t="n"/>
      <c r="I217" s="20" t="n"/>
      <c r="J217" s="19" t="n"/>
      <c r="K217" s="16" t="n"/>
      <c r="L217" s="20" t="n"/>
      <c r="M217" s="20" t="n"/>
      <c r="N217" s="17" t="n"/>
      <c r="O217" s="18">
        <f>IF(AND(OR($M217="Envoyé",$M217="En attente"),ISNUMBER($C217),NOT(ISNUMBER($N217))),IF(TODAY()-$C217&gt;=7,"⚠ relancer",""),"")</f>
        <v/>
      </c>
      <c r="P217" s="19" t="n"/>
      <c r="Q217" s="22">
        <f>IF($A217="","",HYPERLINK("Z:\MUSTANG SERVICES\Affaires 2027\"&amp;$A217&amp;"\"&amp;$A217&amp;"_Devis.xlsx","Ouvrir"))</f>
        <v/>
      </c>
      <c r="R217" s="22">
        <f>IF($A217="","",HYPERLINK("Z:\MUSTANG SERVICES\Affaires 2027\"&amp;$A217&amp;"\"&amp;$A217&amp;"_ToolList.xlsx","Ouvrir"))</f>
        <v/>
      </c>
      <c r="S217" s="22">
        <f>IF($A217="","",HYPERLINK("Z:\MUSTANG SERVICES\Affaires 2027\"&amp;$A217&amp;"\"&amp;$A217&amp;"_BL.xlsx","Ouvrir"))</f>
        <v/>
      </c>
      <c r="T217" s="22">
        <f>IF($A217="","",HYPERLINK("Z:\MUSTANG SERVICES\Affaires 2027\"&amp;$A217&amp;"\"&amp;$A217&amp;"_ServiceTicket.xlsx","Ouvrir"))</f>
        <v/>
      </c>
      <c r="U217" s="22">
        <f>IF($A217="","",HYPERLINK("Z:\MUSTANG SERVICES\Affaires 2027\"&amp;$A217&amp;"\","Dossier"))</f>
        <v/>
      </c>
    </row>
    <row r="218" ht="18" customHeight="1">
      <c r="A218" s="16" t="n"/>
      <c r="B218" s="17" t="n"/>
      <c r="C218" s="17" t="n"/>
      <c r="D218" s="18">
        <f>IF(AND(ISNUMBER($B218),ISNUMBER($C218)),$C218-$B218,"")</f>
        <v/>
      </c>
      <c r="E218" s="19" t="n"/>
      <c r="F218" s="20" t="n"/>
      <c r="G218" s="19" t="n"/>
      <c r="H218" s="20" t="n"/>
      <c r="I218" s="20" t="n"/>
      <c r="J218" s="19" t="n"/>
      <c r="K218" s="16" t="n"/>
      <c r="L218" s="20" t="n"/>
      <c r="M218" s="20" t="n"/>
      <c r="N218" s="17" t="n"/>
      <c r="O218" s="18">
        <f>IF(AND(OR($M218="Envoyé",$M218="En attente"),ISNUMBER($C218),NOT(ISNUMBER($N218))),IF(TODAY()-$C218&gt;=7,"⚠ relancer",""),"")</f>
        <v/>
      </c>
      <c r="P218" s="19" t="n"/>
      <c r="Q218" s="22">
        <f>IF($A218="","",HYPERLINK("Z:\MUSTANG SERVICES\Affaires 2027\"&amp;$A218&amp;"\"&amp;$A218&amp;"_Devis.xlsx","Ouvrir"))</f>
        <v/>
      </c>
      <c r="R218" s="22">
        <f>IF($A218="","",HYPERLINK("Z:\MUSTANG SERVICES\Affaires 2027\"&amp;$A218&amp;"\"&amp;$A218&amp;"_ToolList.xlsx","Ouvrir"))</f>
        <v/>
      </c>
      <c r="S218" s="22">
        <f>IF($A218="","",HYPERLINK("Z:\MUSTANG SERVICES\Affaires 2027\"&amp;$A218&amp;"\"&amp;$A218&amp;"_BL.xlsx","Ouvrir"))</f>
        <v/>
      </c>
      <c r="T218" s="22">
        <f>IF($A218="","",HYPERLINK("Z:\MUSTANG SERVICES\Affaires 2027\"&amp;$A218&amp;"\"&amp;$A218&amp;"_ServiceTicket.xlsx","Ouvrir"))</f>
        <v/>
      </c>
      <c r="U218" s="22">
        <f>IF($A218="","",HYPERLINK("Z:\MUSTANG SERVICES\Affaires 2027\"&amp;$A218&amp;"\","Dossier"))</f>
        <v/>
      </c>
    </row>
    <row r="219" ht="18" customHeight="1">
      <c r="A219" s="16" t="n"/>
      <c r="B219" s="17" t="n"/>
      <c r="C219" s="17" t="n"/>
      <c r="D219" s="18">
        <f>IF(AND(ISNUMBER($B219),ISNUMBER($C219)),$C219-$B219,"")</f>
        <v/>
      </c>
      <c r="E219" s="19" t="n"/>
      <c r="F219" s="20" t="n"/>
      <c r="G219" s="19" t="n"/>
      <c r="H219" s="20" t="n"/>
      <c r="I219" s="20" t="n"/>
      <c r="J219" s="19" t="n"/>
      <c r="K219" s="16" t="n"/>
      <c r="L219" s="20" t="n"/>
      <c r="M219" s="20" t="n"/>
      <c r="N219" s="17" t="n"/>
      <c r="O219" s="18">
        <f>IF(AND(OR($M219="Envoyé",$M219="En attente"),ISNUMBER($C219),NOT(ISNUMBER($N219))),IF(TODAY()-$C219&gt;=7,"⚠ relancer",""),"")</f>
        <v/>
      </c>
      <c r="P219" s="19" t="n"/>
      <c r="Q219" s="22">
        <f>IF($A219="","",HYPERLINK("Z:\MUSTANG SERVICES\Affaires 2027\"&amp;$A219&amp;"\"&amp;$A219&amp;"_Devis.xlsx","Ouvrir"))</f>
        <v/>
      </c>
      <c r="R219" s="22">
        <f>IF($A219="","",HYPERLINK("Z:\MUSTANG SERVICES\Affaires 2027\"&amp;$A219&amp;"\"&amp;$A219&amp;"_ToolList.xlsx","Ouvrir"))</f>
        <v/>
      </c>
      <c r="S219" s="22">
        <f>IF($A219="","",HYPERLINK("Z:\MUSTANG SERVICES\Affaires 2027\"&amp;$A219&amp;"\"&amp;$A219&amp;"_BL.xlsx","Ouvrir"))</f>
        <v/>
      </c>
      <c r="T219" s="22">
        <f>IF($A219="","",HYPERLINK("Z:\MUSTANG SERVICES\Affaires 2027\"&amp;$A219&amp;"\"&amp;$A219&amp;"_ServiceTicket.xlsx","Ouvrir"))</f>
        <v/>
      </c>
      <c r="U219" s="22">
        <f>IF($A219="","",HYPERLINK("Z:\MUSTANG SERVICES\Affaires 2027\"&amp;$A219&amp;"\","Dossier"))</f>
        <v/>
      </c>
    </row>
    <row r="220" ht="18" customHeight="1">
      <c r="A220" s="16" t="n"/>
      <c r="B220" s="17" t="n"/>
      <c r="C220" s="17" t="n"/>
      <c r="D220" s="18">
        <f>IF(AND(ISNUMBER($B220),ISNUMBER($C220)),$C220-$B220,"")</f>
        <v/>
      </c>
      <c r="E220" s="19" t="n"/>
      <c r="F220" s="20" t="n"/>
      <c r="G220" s="19" t="n"/>
      <c r="H220" s="20" t="n"/>
      <c r="I220" s="20" t="n"/>
      <c r="J220" s="19" t="n"/>
      <c r="K220" s="16" t="n"/>
      <c r="L220" s="20" t="n"/>
      <c r="M220" s="20" t="n"/>
      <c r="N220" s="17" t="n"/>
      <c r="O220" s="18">
        <f>IF(AND(OR($M220="Envoyé",$M220="En attente"),ISNUMBER($C220),NOT(ISNUMBER($N220))),IF(TODAY()-$C220&gt;=7,"⚠ relancer",""),"")</f>
        <v/>
      </c>
      <c r="P220" s="19" t="n"/>
      <c r="Q220" s="22">
        <f>IF($A220="","",HYPERLINK("Z:\MUSTANG SERVICES\Affaires 2027\"&amp;$A220&amp;"\"&amp;$A220&amp;"_Devis.xlsx","Ouvrir"))</f>
        <v/>
      </c>
      <c r="R220" s="22">
        <f>IF($A220="","",HYPERLINK("Z:\MUSTANG SERVICES\Affaires 2027\"&amp;$A220&amp;"\"&amp;$A220&amp;"_ToolList.xlsx","Ouvrir"))</f>
        <v/>
      </c>
      <c r="S220" s="22">
        <f>IF($A220="","",HYPERLINK("Z:\MUSTANG SERVICES\Affaires 2027\"&amp;$A220&amp;"\"&amp;$A220&amp;"_BL.xlsx","Ouvrir"))</f>
        <v/>
      </c>
      <c r="T220" s="22">
        <f>IF($A220="","",HYPERLINK("Z:\MUSTANG SERVICES\Affaires 2027\"&amp;$A220&amp;"\"&amp;$A220&amp;"_ServiceTicket.xlsx","Ouvrir"))</f>
        <v/>
      </c>
      <c r="U220" s="22">
        <f>IF($A220="","",HYPERLINK("Z:\MUSTANG SERVICES\Affaires 2027\"&amp;$A220&amp;"\","Dossier"))</f>
        <v/>
      </c>
    </row>
    <row r="221" ht="18" customHeight="1">
      <c r="A221" s="16" t="n"/>
      <c r="B221" s="17" t="n"/>
      <c r="C221" s="17" t="n"/>
      <c r="D221" s="18">
        <f>IF(AND(ISNUMBER($B221),ISNUMBER($C221)),$C221-$B221,"")</f>
        <v/>
      </c>
      <c r="E221" s="19" t="n"/>
      <c r="F221" s="20" t="n"/>
      <c r="G221" s="19" t="n"/>
      <c r="H221" s="20" t="n"/>
      <c r="I221" s="20" t="n"/>
      <c r="J221" s="19" t="n"/>
      <c r="K221" s="16" t="n"/>
      <c r="L221" s="20" t="n"/>
      <c r="M221" s="20" t="n"/>
      <c r="N221" s="17" t="n"/>
      <c r="O221" s="18">
        <f>IF(AND(OR($M221="Envoyé",$M221="En attente"),ISNUMBER($C221),NOT(ISNUMBER($N221))),IF(TODAY()-$C221&gt;=7,"⚠ relancer",""),"")</f>
        <v/>
      </c>
      <c r="P221" s="19" t="n"/>
      <c r="Q221" s="22">
        <f>IF($A221="","",HYPERLINK("Z:\MUSTANG SERVICES\Affaires 2027\"&amp;$A221&amp;"\"&amp;$A221&amp;"_Devis.xlsx","Ouvrir"))</f>
        <v/>
      </c>
      <c r="R221" s="22">
        <f>IF($A221="","",HYPERLINK("Z:\MUSTANG SERVICES\Affaires 2027\"&amp;$A221&amp;"\"&amp;$A221&amp;"_ToolList.xlsx","Ouvrir"))</f>
        <v/>
      </c>
      <c r="S221" s="22">
        <f>IF($A221="","",HYPERLINK("Z:\MUSTANG SERVICES\Affaires 2027\"&amp;$A221&amp;"\"&amp;$A221&amp;"_BL.xlsx","Ouvrir"))</f>
        <v/>
      </c>
      <c r="T221" s="22">
        <f>IF($A221="","",HYPERLINK("Z:\MUSTANG SERVICES\Affaires 2027\"&amp;$A221&amp;"\"&amp;$A221&amp;"_ServiceTicket.xlsx","Ouvrir"))</f>
        <v/>
      </c>
      <c r="U221" s="22">
        <f>IF($A221="","",HYPERLINK("Z:\MUSTANG SERVICES\Affaires 2027\"&amp;$A221&amp;"\","Dossier"))</f>
        <v/>
      </c>
    </row>
    <row r="222" ht="18" customHeight="1">
      <c r="A222" s="16" t="n"/>
      <c r="B222" s="17" t="n"/>
      <c r="C222" s="17" t="n"/>
      <c r="D222" s="18">
        <f>IF(AND(ISNUMBER($B222),ISNUMBER($C222)),$C222-$B222,"")</f>
        <v/>
      </c>
      <c r="E222" s="19" t="n"/>
      <c r="F222" s="20" t="n"/>
      <c r="G222" s="19" t="n"/>
      <c r="H222" s="20" t="n"/>
      <c r="I222" s="20" t="n"/>
      <c r="J222" s="19" t="n"/>
      <c r="K222" s="16" t="n"/>
      <c r="L222" s="20" t="n"/>
      <c r="M222" s="20" t="n"/>
      <c r="N222" s="17" t="n"/>
      <c r="O222" s="18">
        <f>IF(AND(OR($M222="Envoyé",$M222="En attente"),ISNUMBER($C222),NOT(ISNUMBER($N222))),IF(TODAY()-$C222&gt;=7,"⚠ relancer",""),"")</f>
        <v/>
      </c>
      <c r="P222" s="19" t="n"/>
      <c r="Q222" s="22">
        <f>IF($A222="","",HYPERLINK("Z:\MUSTANG SERVICES\Affaires 2027\"&amp;$A222&amp;"\"&amp;$A222&amp;"_Devis.xlsx","Ouvrir"))</f>
        <v/>
      </c>
      <c r="R222" s="22">
        <f>IF($A222="","",HYPERLINK("Z:\MUSTANG SERVICES\Affaires 2027\"&amp;$A222&amp;"\"&amp;$A222&amp;"_ToolList.xlsx","Ouvrir"))</f>
        <v/>
      </c>
      <c r="S222" s="22">
        <f>IF($A222="","",HYPERLINK("Z:\MUSTANG SERVICES\Affaires 2027\"&amp;$A222&amp;"\"&amp;$A222&amp;"_BL.xlsx","Ouvrir"))</f>
        <v/>
      </c>
      <c r="T222" s="22">
        <f>IF($A222="","",HYPERLINK("Z:\MUSTANG SERVICES\Affaires 2027\"&amp;$A222&amp;"\"&amp;$A222&amp;"_ServiceTicket.xlsx","Ouvrir"))</f>
        <v/>
      </c>
      <c r="U222" s="22">
        <f>IF($A222="","",HYPERLINK("Z:\MUSTANG SERVICES\Affaires 2027\"&amp;$A222&amp;"\","Dossier"))</f>
        <v/>
      </c>
    </row>
    <row r="223" ht="18" customHeight="1">
      <c r="A223" s="16" t="n"/>
      <c r="B223" s="17" t="n"/>
      <c r="C223" s="17" t="n"/>
      <c r="D223" s="18">
        <f>IF(AND(ISNUMBER($B223),ISNUMBER($C223)),$C223-$B223,"")</f>
        <v/>
      </c>
      <c r="E223" s="19" t="n"/>
      <c r="F223" s="20" t="n"/>
      <c r="G223" s="19" t="n"/>
      <c r="H223" s="20" t="n"/>
      <c r="I223" s="20" t="n"/>
      <c r="J223" s="19" t="n"/>
      <c r="K223" s="16" t="n"/>
      <c r="L223" s="20" t="n"/>
      <c r="M223" s="20" t="n"/>
      <c r="N223" s="17" t="n"/>
      <c r="O223" s="18">
        <f>IF(AND(OR($M223="Envoyé",$M223="En attente"),ISNUMBER($C223),NOT(ISNUMBER($N223))),IF(TODAY()-$C223&gt;=7,"⚠ relancer",""),"")</f>
        <v/>
      </c>
      <c r="P223" s="19" t="n"/>
      <c r="Q223" s="22">
        <f>IF($A223="","",HYPERLINK("Z:\MUSTANG SERVICES\Affaires 2027\"&amp;$A223&amp;"\"&amp;$A223&amp;"_Devis.xlsx","Ouvrir"))</f>
        <v/>
      </c>
      <c r="R223" s="22">
        <f>IF($A223="","",HYPERLINK("Z:\MUSTANG SERVICES\Affaires 2027\"&amp;$A223&amp;"\"&amp;$A223&amp;"_ToolList.xlsx","Ouvrir"))</f>
        <v/>
      </c>
      <c r="S223" s="22">
        <f>IF($A223="","",HYPERLINK("Z:\MUSTANG SERVICES\Affaires 2027\"&amp;$A223&amp;"\"&amp;$A223&amp;"_BL.xlsx","Ouvrir"))</f>
        <v/>
      </c>
      <c r="T223" s="22">
        <f>IF($A223="","",HYPERLINK("Z:\MUSTANG SERVICES\Affaires 2027\"&amp;$A223&amp;"\"&amp;$A223&amp;"_ServiceTicket.xlsx","Ouvrir"))</f>
        <v/>
      </c>
      <c r="U223" s="22">
        <f>IF($A223="","",HYPERLINK("Z:\MUSTANG SERVICES\Affaires 2027\"&amp;$A223&amp;"\","Dossier"))</f>
        <v/>
      </c>
    </row>
    <row r="224" ht="18" customHeight="1">
      <c r="A224" s="16" t="n"/>
      <c r="B224" s="17" t="n"/>
      <c r="C224" s="17" t="n"/>
      <c r="D224" s="18">
        <f>IF(AND(ISNUMBER($B224),ISNUMBER($C224)),$C224-$B224,"")</f>
        <v/>
      </c>
      <c r="E224" s="19" t="n"/>
      <c r="F224" s="20" t="n"/>
      <c r="G224" s="19" t="n"/>
      <c r="H224" s="20" t="n"/>
      <c r="I224" s="20" t="n"/>
      <c r="J224" s="19" t="n"/>
      <c r="K224" s="16" t="n"/>
      <c r="L224" s="20" t="n"/>
      <c r="M224" s="20" t="n"/>
      <c r="N224" s="17" t="n"/>
      <c r="O224" s="18">
        <f>IF(AND(OR($M224="Envoyé",$M224="En attente"),ISNUMBER($C224),NOT(ISNUMBER($N224))),IF(TODAY()-$C224&gt;=7,"⚠ relancer",""),"")</f>
        <v/>
      </c>
      <c r="P224" s="19" t="n"/>
      <c r="Q224" s="22">
        <f>IF($A224="","",HYPERLINK("Z:\MUSTANG SERVICES\Affaires 2027\"&amp;$A224&amp;"\"&amp;$A224&amp;"_Devis.xlsx","Ouvrir"))</f>
        <v/>
      </c>
      <c r="R224" s="22">
        <f>IF($A224="","",HYPERLINK("Z:\MUSTANG SERVICES\Affaires 2027\"&amp;$A224&amp;"\"&amp;$A224&amp;"_ToolList.xlsx","Ouvrir"))</f>
        <v/>
      </c>
      <c r="S224" s="22">
        <f>IF($A224="","",HYPERLINK("Z:\MUSTANG SERVICES\Affaires 2027\"&amp;$A224&amp;"\"&amp;$A224&amp;"_BL.xlsx","Ouvrir"))</f>
        <v/>
      </c>
      <c r="T224" s="22">
        <f>IF($A224="","",HYPERLINK("Z:\MUSTANG SERVICES\Affaires 2027\"&amp;$A224&amp;"\"&amp;$A224&amp;"_ServiceTicket.xlsx","Ouvrir"))</f>
        <v/>
      </c>
      <c r="U224" s="22">
        <f>IF($A224="","",HYPERLINK("Z:\MUSTANG SERVICES\Affaires 2027\"&amp;$A224&amp;"\","Dossier"))</f>
        <v/>
      </c>
    </row>
    <row r="225" ht="18" customHeight="1">
      <c r="A225" s="16" t="n"/>
      <c r="B225" s="17" t="n"/>
      <c r="C225" s="17" t="n"/>
      <c r="D225" s="18">
        <f>IF(AND(ISNUMBER($B225),ISNUMBER($C225)),$C225-$B225,"")</f>
        <v/>
      </c>
      <c r="E225" s="19" t="n"/>
      <c r="F225" s="20" t="n"/>
      <c r="G225" s="19" t="n"/>
      <c r="H225" s="20" t="n"/>
      <c r="I225" s="20" t="n"/>
      <c r="J225" s="19" t="n"/>
      <c r="K225" s="16" t="n"/>
      <c r="L225" s="20" t="n"/>
      <c r="M225" s="20" t="n"/>
      <c r="N225" s="17" t="n"/>
      <c r="O225" s="18">
        <f>IF(AND(OR($M225="Envoyé",$M225="En attente"),ISNUMBER($C225),NOT(ISNUMBER($N225))),IF(TODAY()-$C225&gt;=7,"⚠ relancer",""),"")</f>
        <v/>
      </c>
      <c r="P225" s="19" t="n"/>
      <c r="Q225" s="22">
        <f>IF($A225="","",HYPERLINK("Z:\MUSTANG SERVICES\Affaires 2027\"&amp;$A225&amp;"\"&amp;$A225&amp;"_Devis.xlsx","Ouvrir"))</f>
        <v/>
      </c>
      <c r="R225" s="22">
        <f>IF($A225="","",HYPERLINK("Z:\MUSTANG SERVICES\Affaires 2027\"&amp;$A225&amp;"\"&amp;$A225&amp;"_ToolList.xlsx","Ouvrir"))</f>
        <v/>
      </c>
      <c r="S225" s="22">
        <f>IF($A225="","",HYPERLINK("Z:\MUSTANG SERVICES\Affaires 2027\"&amp;$A225&amp;"\"&amp;$A225&amp;"_BL.xlsx","Ouvrir"))</f>
        <v/>
      </c>
      <c r="T225" s="22">
        <f>IF($A225="","",HYPERLINK("Z:\MUSTANG SERVICES\Affaires 2027\"&amp;$A225&amp;"\"&amp;$A225&amp;"_ServiceTicket.xlsx","Ouvrir"))</f>
        <v/>
      </c>
      <c r="U225" s="22">
        <f>IF($A225="","",HYPERLINK("Z:\MUSTANG SERVICES\Affaires 2027\"&amp;$A225&amp;"\","Dossier"))</f>
        <v/>
      </c>
    </row>
    <row r="226" ht="18" customHeight="1">
      <c r="A226" s="16" t="n"/>
      <c r="B226" s="17" t="n"/>
      <c r="C226" s="17" t="n"/>
      <c r="D226" s="18">
        <f>IF(AND(ISNUMBER($B226),ISNUMBER($C226)),$C226-$B226,"")</f>
        <v/>
      </c>
      <c r="E226" s="19" t="n"/>
      <c r="F226" s="20" t="n"/>
      <c r="G226" s="19" t="n"/>
      <c r="H226" s="20" t="n"/>
      <c r="I226" s="20" t="n"/>
      <c r="J226" s="19" t="n"/>
      <c r="K226" s="16" t="n"/>
      <c r="L226" s="20" t="n"/>
      <c r="M226" s="20" t="n"/>
      <c r="N226" s="17" t="n"/>
      <c r="O226" s="18">
        <f>IF(AND(OR($M226="Envoyé",$M226="En attente"),ISNUMBER($C226),NOT(ISNUMBER($N226))),IF(TODAY()-$C226&gt;=7,"⚠ relancer",""),"")</f>
        <v/>
      </c>
      <c r="P226" s="19" t="n"/>
      <c r="Q226" s="22">
        <f>IF($A226="","",HYPERLINK("Z:\MUSTANG SERVICES\Affaires 2027\"&amp;$A226&amp;"\"&amp;$A226&amp;"_Devis.xlsx","Ouvrir"))</f>
        <v/>
      </c>
      <c r="R226" s="22">
        <f>IF($A226="","",HYPERLINK("Z:\MUSTANG SERVICES\Affaires 2027\"&amp;$A226&amp;"\"&amp;$A226&amp;"_ToolList.xlsx","Ouvrir"))</f>
        <v/>
      </c>
      <c r="S226" s="22">
        <f>IF($A226="","",HYPERLINK("Z:\MUSTANG SERVICES\Affaires 2027\"&amp;$A226&amp;"\"&amp;$A226&amp;"_BL.xlsx","Ouvrir"))</f>
        <v/>
      </c>
      <c r="T226" s="22">
        <f>IF($A226="","",HYPERLINK("Z:\MUSTANG SERVICES\Affaires 2027\"&amp;$A226&amp;"\"&amp;$A226&amp;"_ServiceTicket.xlsx","Ouvrir"))</f>
        <v/>
      </c>
      <c r="U226" s="22">
        <f>IF($A226="","",HYPERLINK("Z:\MUSTANG SERVICES\Affaires 2027\"&amp;$A226&amp;"\","Dossier"))</f>
        <v/>
      </c>
    </row>
    <row r="227" ht="18" customHeight="1">
      <c r="A227" s="16" t="n"/>
      <c r="B227" s="17" t="n"/>
      <c r="C227" s="17" t="n"/>
      <c r="D227" s="18">
        <f>IF(AND(ISNUMBER($B227),ISNUMBER($C227)),$C227-$B227,"")</f>
        <v/>
      </c>
      <c r="E227" s="19" t="n"/>
      <c r="F227" s="20" t="n"/>
      <c r="G227" s="19" t="n"/>
      <c r="H227" s="20" t="n"/>
      <c r="I227" s="20" t="n"/>
      <c r="J227" s="19" t="n"/>
      <c r="K227" s="16" t="n"/>
      <c r="L227" s="20" t="n"/>
      <c r="M227" s="20" t="n"/>
      <c r="N227" s="17" t="n"/>
      <c r="O227" s="18">
        <f>IF(AND(OR($M227="Envoyé",$M227="En attente"),ISNUMBER($C227),NOT(ISNUMBER($N227))),IF(TODAY()-$C227&gt;=7,"⚠ relancer",""),"")</f>
        <v/>
      </c>
      <c r="P227" s="19" t="n"/>
      <c r="Q227" s="22">
        <f>IF($A227="","",HYPERLINK("Z:\MUSTANG SERVICES\Affaires 2027\"&amp;$A227&amp;"\"&amp;$A227&amp;"_Devis.xlsx","Ouvrir"))</f>
        <v/>
      </c>
      <c r="R227" s="22">
        <f>IF($A227="","",HYPERLINK("Z:\MUSTANG SERVICES\Affaires 2027\"&amp;$A227&amp;"\"&amp;$A227&amp;"_ToolList.xlsx","Ouvrir"))</f>
        <v/>
      </c>
      <c r="S227" s="22">
        <f>IF($A227="","",HYPERLINK("Z:\MUSTANG SERVICES\Affaires 2027\"&amp;$A227&amp;"\"&amp;$A227&amp;"_BL.xlsx","Ouvrir"))</f>
        <v/>
      </c>
      <c r="T227" s="22">
        <f>IF($A227="","",HYPERLINK("Z:\MUSTANG SERVICES\Affaires 2027\"&amp;$A227&amp;"\"&amp;$A227&amp;"_ServiceTicket.xlsx","Ouvrir"))</f>
        <v/>
      </c>
      <c r="U227" s="22">
        <f>IF($A227="","",HYPERLINK("Z:\MUSTANG SERVICES\Affaires 2027\"&amp;$A227&amp;"\","Dossier"))</f>
        <v/>
      </c>
    </row>
    <row r="228" ht="18" customHeight="1">
      <c r="A228" s="16" t="n"/>
      <c r="B228" s="17" t="n"/>
      <c r="C228" s="17" t="n"/>
      <c r="D228" s="18">
        <f>IF(AND(ISNUMBER($B228),ISNUMBER($C228)),$C228-$B228,"")</f>
        <v/>
      </c>
      <c r="E228" s="19" t="n"/>
      <c r="F228" s="20" t="n"/>
      <c r="G228" s="19" t="n"/>
      <c r="H228" s="20" t="n"/>
      <c r="I228" s="20" t="n"/>
      <c r="J228" s="19" t="n"/>
      <c r="K228" s="16" t="n"/>
      <c r="L228" s="20" t="n"/>
      <c r="M228" s="20" t="n"/>
      <c r="N228" s="17" t="n"/>
      <c r="O228" s="18">
        <f>IF(AND(OR($M228="Envoyé",$M228="En attente"),ISNUMBER($C228),NOT(ISNUMBER($N228))),IF(TODAY()-$C228&gt;=7,"⚠ relancer",""),"")</f>
        <v/>
      </c>
      <c r="P228" s="19" t="n"/>
      <c r="Q228" s="22">
        <f>IF($A228="","",HYPERLINK("Z:\MUSTANG SERVICES\Affaires 2027\"&amp;$A228&amp;"\"&amp;$A228&amp;"_Devis.xlsx","Ouvrir"))</f>
        <v/>
      </c>
      <c r="R228" s="22">
        <f>IF($A228="","",HYPERLINK("Z:\MUSTANG SERVICES\Affaires 2027\"&amp;$A228&amp;"\"&amp;$A228&amp;"_ToolList.xlsx","Ouvrir"))</f>
        <v/>
      </c>
      <c r="S228" s="22">
        <f>IF($A228="","",HYPERLINK("Z:\MUSTANG SERVICES\Affaires 2027\"&amp;$A228&amp;"\"&amp;$A228&amp;"_BL.xlsx","Ouvrir"))</f>
        <v/>
      </c>
      <c r="T228" s="22">
        <f>IF($A228="","",HYPERLINK("Z:\MUSTANG SERVICES\Affaires 2027\"&amp;$A228&amp;"\"&amp;$A228&amp;"_ServiceTicket.xlsx","Ouvrir"))</f>
        <v/>
      </c>
      <c r="U228" s="22">
        <f>IF($A228="","",HYPERLINK("Z:\MUSTANG SERVICES\Affaires 2027\"&amp;$A228&amp;"\","Dossier"))</f>
        <v/>
      </c>
    </row>
    <row r="229" ht="18" customHeight="1">
      <c r="A229" s="16" t="n"/>
      <c r="B229" s="17" t="n"/>
      <c r="C229" s="17" t="n"/>
      <c r="D229" s="18">
        <f>IF(AND(ISNUMBER($B229),ISNUMBER($C229)),$C229-$B229,"")</f>
        <v/>
      </c>
      <c r="E229" s="19" t="n"/>
      <c r="F229" s="20" t="n"/>
      <c r="G229" s="19" t="n"/>
      <c r="H229" s="20" t="n"/>
      <c r="I229" s="20" t="n"/>
      <c r="J229" s="19" t="n"/>
      <c r="K229" s="16" t="n"/>
      <c r="L229" s="20" t="n"/>
      <c r="M229" s="20" t="n"/>
      <c r="N229" s="17" t="n"/>
      <c r="O229" s="18">
        <f>IF(AND(OR($M229="Envoyé",$M229="En attente"),ISNUMBER($C229),NOT(ISNUMBER($N229))),IF(TODAY()-$C229&gt;=7,"⚠ relancer",""),"")</f>
        <v/>
      </c>
      <c r="P229" s="19" t="n"/>
      <c r="Q229" s="22">
        <f>IF($A229="","",HYPERLINK("Z:\MUSTANG SERVICES\Affaires 2027\"&amp;$A229&amp;"\"&amp;$A229&amp;"_Devis.xlsx","Ouvrir"))</f>
        <v/>
      </c>
      <c r="R229" s="22">
        <f>IF($A229="","",HYPERLINK("Z:\MUSTANG SERVICES\Affaires 2027\"&amp;$A229&amp;"\"&amp;$A229&amp;"_ToolList.xlsx","Ouvrir"))</f>
        <v/>
      </c>
      <c r="S229" s="22">
        <f>IF($A229="","",HYPERLINK("Z:\MUSTANG SERVICES\Affaires 2027\"&amp;$A229&amp;"\"&amp;$A229&amp;"_BL.xlsx","Ouvrir"))</f>
        <v/>
      </c>
      <c r="T229" s="22">
        <f>IF($A229="","",HYPERLINK("Z:\MUSTANG SERVICES\Affaires 2027\"&amp;$A229&amp;"\"&amp;$A229&amp;"_ServiceTicket.xlsx","Ouvrir"))</f>
        <v/>
      </c>
      <c r="U229" s="22">
        <f>IF($A229="","",HYPERLINK("Z:\MUSTANG SERVICES\Affaires 2027\"&amp;$A229&amp;"\","Dossier"))</f>
        <v/>
      </c>
    </row>
    <row r="230" ht="18" customHeight="1">
      <c r="A230" s="16" t="n"/>
      <c r="B230" s="17" t="n"/>
      <c r="C230" s="17" t="n"/>
      <c r="D230" s="18">
        <f>IF(AND(ISNUMBER($B230),ISNUMBER($C230)),$C230-$B230,"")</f>
        <v/>
      </c>
      <c r="E230" s="19" t="n"/>
      <c r="F230" s="20" t="n"/>
      <c r="G230" s="19" t="n"/>
      <c r="H230" s="20" t="n"/>
      <c r="I230" s="20" t="n"/>
      <c r="J230" s="19" t="n"/>
      <c r="K230" s="16" t="n"/>
      <c r="L230" s="20" t="n"/>
      <c r="M230" s="20" t="n"/>
      <c r="N230" s="17" t="n"/>
      <c r="O230" s="18">
        <f>IF(AND(OR($M230="Envoyé",$M230="En attente"),ISNUMBER($C230),NOT(ISNUMBER($N230))),IF(TODAY()-$C230&gt;=7,"⚠ relancer",""),"")</f>
        <v/>
      </c>
      <c r="P230" s="19" t="n"/>
      <c r="Q230" s="22">
        <f>IF($A230="","",HYPERLINK("Z:\MUSTANG SERVICES\Affaires 2027\"&amp;$A230&amp;"\"&amp;$A230&amp;"_Devis.xlsx","Ouvrir"))</f>
        <v/>
      </c>
      <c r="R230" s="22">
        <f>IF($A230="","",HYPERLINK("Z:\MUSTANG SERVICES\Affaires 2027\"&amp;$A230&amp;"\"&amp;$A230&amp;"_ToolList.xlsx","Ouvrir"))</f>
        <v/>
      </c>
      <c r="S230" s="22">
        <f>IF($A230="","",HYPERLINK("Z:\MUSTANG SERVICES\Affaires 2027\"&amp;$A230&amp;"\"&amp;$A230&amp;"_BL.xlsx","Ouvrir"))</f>
        <v/>
      </c>
      <c r="T230" s="22">
        <f>IF($A230="","",HYPERLINK("Z:\MUSTANG SERVICES\Affaires 2027\"&amp;$A230&amp;"\"&amp;$A230&amp;"_ServiceTicket.xlsx","Ouvrir"))</f>
        <v/>
      </c>
      <c r="U230" s="22">
        <f>IF($A230="","",HYPERLINK("Z:\MUSTANG SERVICES\Affaires 2027\"&amp;$A230&amp;"\","Dossier"))</f>
        <v/>
      </c>
    </row>
    <row r="231" ht="18" customHeight="1">
      <c r="A231" s="16" t="n"/>
      <c r="B231" s="17" t="n"/>
      <c r="C231" s="17" t="n"/>
      <c r="D231" s="18">
        <f>IF(AND(ISNUMBER($B231),ISNUMBER($C231)),$C231-$B231,"")</f>
        <v/>
      </c>
      <c r="E231" s="19" t="n"/>
      <c r="F231" s="20" t="n"/>
      <c r="G231" s="19" t="n"/>
      <c r="H231" s="20" t="n"/>
      <c r="I231" s="20" t="n"/>
      <c r="J231" s="19" t="n"/>
      <c r="K231" s="16" t="n"/>
      <c r="L231" s="20" t="n"/>
      <c r="M231" s="20" t="n"/>
      <c r="N231" s="17" t="n"/>
      <c r="O231" s="18">
        <f>IF(AND(OR($M231="Envoyé",$M231="En attente"),ISNUMBER($C231),NOT(ISNUMBER($N231))),IF(TODAY()-$C231&gt;=7,"⚠ relancer",""),"")</f>
        <v/>
      </c>
      <c r="P231" s="19" t="n"/>
      <c r="Q231" s="22">
        <f>IF($A231="","",HYPERLINK("Z:\MUSTANG SERVICES\Affaires 2027\"&amp;$A231&amp;"\"&amp;$A231&amp;"_Devis.xlsx","Ouvrir"))</f>
        <v/>
      </c>
      <c r="R231" s="22">
        <f>IF($A231="","",HYPERLINK("Z:\MUSTANG SERVICES\Affaires 2027\"&amp;$A231&amp;"\"&amp;$A231&amp;"_ToolList.xlsx","Ouvrir"))</f>
        <v/>
      </c>
      <c r="S231" s="22">
        <f>IF($A231="","",HYPERLINK("Z:\MUSTANG SERVICES\Affaires 2027\"&amp;$A231&amp;"\"&amp;$A231&amp;"_BL.xlsx","Ouvrir"))</f>
        <v/>
      </c>
      <c r="T231" s="22">
        <f>IF($A231="","",HYPERLINK("Z:\MUSTANG SERVICES\Affaires 2027\"&amp;$A231&amp;"\"&amp;$A231&amp;"_ServiceTicket.xlsx","Ouvrir"))</f>
        <v/>
      </c>
      <c r="U231" s="22">
        <f>IF($A231="","",HYPERLINK("Z:\MUSTANG SERVICES\Affaires 2027\"&amp;$A231&amp;"\","Dossier"))</f>
        <v/>
      </c>
    </row>
    <row r="232" ht="18" customHeight="1">
      <c r="A232" s="16" t="n"/>
      <c r="B232" s="17" t="n"/>
      <c r="C232" s="17" t="n"/>
      <c r="D232" s="18">
        <f>IF(AND(ISNUMBER($B232),ISNUMBER($C232)),$C232-$B232,"")</f>
        <v/>
      </c>
      <c r="E232" s="19" t="n"/>
      <c r="F232" s="20" t="n"/>
      <c r="G232" s="19" t="n"/>
      <c r="H232" s="20" t="n"/>
      <c r="I232" s="20" t="n"/>
      <c r="J232" s="19" t="n"/>
      <c r="K232" s="16" t="n"/>
      <c r="L232" s="20" t="n"/>
      <c r="M232" s="20" t="n"/>
      <c r="N232" s="17" t="n"/>
      <c r="O232" s="18">
        <f>IF(AND(OR($M232="Envoyé",$M232="En attente"),ISNUMBER($C232),NOT(ISNUMBER($N232))),IF(TODAY()-$C232&gt;=7,"⚠ relancer",""),"")</f>
        <v/>
      </c>
      <c r="P232" s="19" t="n"/>
      <c r="Q232" s="22">
        <f>IF($A232="","",HYPERLINK("Z:\MUSTANG SERVICES\Affaires 2027\"&amp;$A232&amp;"\"&amp;$A232&amp;"_Devis.xlsx","Ouvrir"))</f>
        <v/>
      </c>
      <c r="R232" s="22">
        <f>IF($A232="","",HYPERLINK("Z:\MUSTANG SERVICES\Affaires 2027\"&amp;$A232&amp;"\"&amp;$A232&amp;"_ToolList.xlsx","Ouvrir"))</f>
        <v/>
      </c>
      <c r="S232" s="22">
        <f>IF($A232="","",HYPERLINK("Z:\MUSTANG SERVICES\Affaires 2027\"&amp;$A232&amp;"\"&amp;$A232&amp;"_BL.xlsx","Ouvrir"))</f>
        <v/>
      </c>
      <c r="T232" s="22">
        <f>IF($A232="","",HYPERLINK("Z:\MUSTANG SERVICES\Affaires 2027\"&amp;$A232&amp;"\"&amp;$A232&amp;"_ServiceTicket.xlsx","Ouvrir"))</f>
        <v/>
      </c>
      <c r="U232" s="22">
        <f>IF($A232="","",HYPERLINK("Z:\MUSTANG SERVICES\Affaires 2027\"&amp;$A232&amp;"\","Dossier"))</f>
        <v/>
      </c>
    </row>
    <row r="233" ht="18" customHeight="1">
      <c r="A233" s="16" t="n"/>
      <c r="B233" s="17" t="n"/>
      <c r="C233" s="17" t="n"/>
      <c r="D233" s="18">
        <f>IF(AND(ISNUMBER($B233),ISNUMBER($C233)),$C233-$B233,"")</f>
        <v/>
      </c>
      <c r="E233" s="19" t="n"/>
      <c r="F233" s="20" t="n"/>
      <c r="G233" s="19" t="n"/>
      <c r="H233" s="20" t="n"/>
      <c r="I233" s="20" t="n"/>
      <c r="J233" s="19" t="n"/>
      <c r="K233" s="16" t="n"/>
      <c r="L233" s="20" t="n"/>
      <c r="M233" s="20" t="n"/>
      <c r="N233" s="17" t="n"/>
      <c r="O233" s="18">
        <f>IF(AND(OR($M233="Envoyé",$M233="En attente"),ISNUMBER($C233),NOT(ISNUMBER($N233))),IF(TODAY()-$C233&gt;=7,"⚠ relancer",""),"")</f>
        <v/>
      </c>
      <c r="P233" s="19" t="n"/>
      <c r="Q233" s="22">
        <f>IF($A233="","",HYPERLINK("Z:\MUSTANG SERVICES\Affaires 2027\"&amp;$A233&amp;"\"&amp;$A233&amp;"_Devis.xlsx","Ouvrir"))</f>
        <v/>
      </c>
      <c r="R233" s="22">
        <f>IF($A233="","",HYPERLINK("Z:\MUSTANG SERVICES\Affaires 2027\"&amp;$A233&amp;"\"&amp;$A233&amp;"_ToolList.xlsx","Ouvrir"))</f>
        <v/>
      </c>
      <c r="S233" s="22">
        <f>IF($A233="","",HYPERLINK("Z:\MUSTANG SERVICES\Affaires 2027\"&amp;$A233&amp;"\"&amp;$A233&amp;"_BL.xlsx","Ouvrir"))</f>
        <v/>
      </c>
      <c r="T233" s="22">
        <f>IF($A233="","",HYPERLINK("Z:\MUSTANG SERVICES\Affaires 2027\"&amp;$A233&amp;"\"&amp;$A233&amp;"_ServiceTicket.xlsx","Ouvrir"))</f>
        <v/>
      </c>
      <c r="U233" s="22">
        <f>IF($A233="","",HYPERLINK("Z:\MUSTANG SERVICES\Affaires 2027\"&amp;$A233&amp;"\","Dossier"))</f>
        <v/>
      </c>
    </row>
    <row r="234" ht="18" customHeight="1">
      <c r="A234" s="16" t="n"/>
      <c r="B234" s="17" t="n"/>
      <c r="C234" s="17" t="n"/>
      <c r="D234" s="18">
        <f>IF(AND(ISNUMBER($B234),ISNUMBER($C234)),$C234-$B234,"")</f>
        <v/>
      </c>
      <c r="E234" s="19" t="n"/>
      <c r="F234" s="20" t="n"/>
      <c r="G234" s="19" t="n"/>
      <c r="H234" s="20" t="n"/>
      <c r="I234" s="20" t="n"/>
      <c r="J234" s="19" t="n"/>
      <c r="K234" s="16" t="n"/>
      <c r="L234" s="20" t="n"/>
      <c r="M234" s="20" t="n"/>
      <c r="N234" s="17" t="n"/>
      <c r="O234" s="18">
        <f>IF(AND(OR($M234="Envoyé",$M234="En attente"),ISNUMBER($C234),NOT(ISNUMBER($N234))),IF(TODAY()-$C234&gt;=7,"⚠ relancer",""),"")</f>
        <v/>
      </c>
      <c r="P234" s="19" t="n"/>
      <c r="Q234" s="22">
        <f>IF($A234="","",HYPERLINK("Z:\MUSTANG SERVICES\Affaires 2027\"&amp;$A234&amp;"\"&amp;$A234&amp;"_Devis.xlsx","Ouvrir"))</f>
        <v/>
      </c>
      <c r="R234" s="22">
        <f>IF($A234="","",HYPERLINK("Z:\MUSTANG SERVICES\Affaires 2027\"&amp;$A234&amp;"\"&amp;$A234&amp;"_ToolList.xlsx","Ouvrir"))</f>
        <v/>
      </c>
      <c r="S234" s="22">
        <f>IF($A234="","",HYPERLINK("Z:\MUSTANG SERVICES\Affaires 2027\"&amp;$A234&amp;"\"&amp;$A234&amp;"_BL.xlsx","Ouvrir"))</f>
        <v/>
      </c>
      <c r="T234" s="22">
        <f>IF($A234="","",HYPERLINK("Z:\MUSTANG SERVICES\Affaires 2027\"&amp;$A234&amp;"\"&amp;$A234&amp;"_ServiceTicket.xlsx","Ouvrir"))</f>
        <v/>
      </c>
      <c r="U234" s="22">
        <f>IF($A234="","",HYPERLINK("Z:\MUSTANG SERVICES\Affaires 2027\"&amp;$A234&amp;"\","Dossier"))</f>
        <v/>
      </c>
    </row>
    <row r="235" ht="18" customHeight="1">
      <c r="A235" s="16" t="n"/>
      <c r="B235" s="17" t="n"/>
      <c r="C235" s="17" t="n"/>
      <c r="D235" s="18">
        <f>IF(AND(ISNUMBER($B235),ISNUMBER($C235)),$C235-$B235,"")</f>
        <v/>
      </c>
      <c r="E235" s="19" t="n"/>
      <c r="F235" s="20" t="n"/>
      <c r="G235" s="19" t="n"/>
      <c r="H235" s="20" t="n"/>
      <c r="I235" s="20" t="n"/>
      <c r="J235" s="19" t="n"/>
      <c r="K235" s="16" t="n"/>
      <c r="L235" s="20" t="n"/>
      <c r="M235" s="20" t="n"/>
      <c r="N235" s="17" t="n"/>
      <c r="O235" s="18">
        <f>IF(AND(OR($M235="Envoyé",$M235="En attente"),ISNUMBER($C235),NOT(ISNUMBER($N235))),IF(TODAY()-$C235&gt;=7,"⚠ relancer",""),"")</f>
        <v/>
      </c>
      <c r="P235" s="19" t="n"/>
      <c r="Q235" s="22">
        <f>IF($A235="","",HYPERLINK("Z:\MUSTANG SERVICES\Affaires 2027\"&amp;$A235&amp;"\"&amp;$A235&amp;"_Devis.xlsx","Ouvrir"))</f>
        <v/>
      </c>
      <c r="R235" s="22">
        <f>IF($A235="","",HYPERLINK("Z:\MUSTANG SERVICES\Affaires 2027\"&amp;$A235&amp;"\"&amp;$A235&amp;"_ToolList.xlsx","Ouvrir"))</f>
        <v/>
      </c>
      <c r="S235" s="22">
        <f>IF($A235="","",HYPERLINK("Z:\MUSTANG SERVICES\Affaires 2027\"&amp;$A235&amp;"\"&amp;$A235&amp;"_BL.xlsx","Ouvrir"))</f>
        <v/>
      </c>
      <c r="T235" s="22">
        <f>IF($A235="","",HYPERLINK("Z:\MUSTANG SERVICES\Affaires 2027\"&amp;$A235&amp;"\"&amp;$A235&amp;"_ServiceTicket.xlsx","Ouvrir"))</f>
        <v/>
      </c>
      <c r="U235" s="22">
        <f>IF($A235="","",HYPERLINK("Z:\MUSTANG SERVICES\Affaires 2027\"&amp;$A235&amp;"\","Dossier"))</f>
        <v/>
      </c>
    </row>
    <row r="236" ht="18" customHeight="1">
      <c r="A236" s="16" t="n"/>
      <c r="B236" s="17" t="n"/>
      <c r="C236" s="17" t="n"/>
      <c r="D236" s="18">
        <f>IF(AND(ISNUMBER($B236),ISNUMBER($C236)),$C236-$B236,"")</f>
        <v/>
      </c>
      <c r="E236" s="19" t="n"/>
      <c r="F236" s="20" t="n"/>
      <c r="G236" s="19" t="n"/>
      <c r="H236" s="20" t="n"/>
      <c r="I236" s="20" t="n"/>
      <c r="J236" s="19" t="n"/>
      <c r="K236" s="16" t="n"/>
      <c r="L236" s="20" t="n"/>
      <c r="M236" s="20" t="n"/>
      <c r="N236" s="17" t="n"/>
      <c r="O236" s="18">
        <f>IF(AND(OR($M236="Envoyé",$M236="En attente"),ISNUMBER($C236),NOT(ISNUMBER($N236))),IF(TODAY()-$C236&gt;=7,"⚠ relancer",""),"")</f>
        <v/>
      </c>
      <c r="P236" s="19" t="n"/>
      <c r="Q236" s="22">
        <f>IF($A236="","",HYPERLINK("Z:\MUSTANG SERVICES\Affaires 2027\"&amp;$A236&amp;"\"&amp;$A236&amp;"_Devis.xlsx","Ouvrir"))</f>
        <v/>
      </c>
      <c r="R236" s="22">
        <f>IF($A236="","",HYPERLINK("Z:\MUSTANG SERVICES\Affaires 2027\"&amp;$A236&amp;"\"&amp;$A236&amp;"_ToolList.xlsx","Ouvrir"))</f>
        <v/>
      </c>
      <c r="S236" s="22">
        <f>IF($A236="","",HYPERLINK("Z:\MUSTANG SERVICES\Affaires 2027\"&amp;$A236&amp;"\"&amp;$A236&amp;"_BL.xlsx","Ouvrir"))</f>
        <v/>
      </c>
      <c r="T236" s="22">
        <f>IF($A236="","",HYPERLINK("Z:\MUSTANG SERVICES\Affaires 2027\"&amp;$A236&amp;"\"&amp;$A236&amp;"_ServiceTicket.xlsx","Ouvrir"))</f>
        <v/>
      </c>
      <c r="U236" s="22">
        <f>IF($A236="","",HYPERLINK("Z:\MUSTANG SERVICES\Affaires 2027\"&amp;$A236&amp;"\","Dossier"))</f>
        <v/>
      </c>
    </row>
    <row r="237" ht="18" customHeight="1">
      <c r="A237" s="16" t="n"/>
      <c r="B237" s="17" t="n"/>
      <c r="C237" s="17" t="n"/>
      <c r="D237" s="18">
        <f>IF(AND(ISNUMBER($B237),ISNUMBER($C237)),$C237-$B237,"")</f>
        <v/>
      </c>
      <c r="E237" s="19" t="n"/>
      <c r="F237" s="20" t="n"/>
      <c r="G237" s="19" t="n"/>
      <c r="H237" s="20" t="n"/>
      <c r="I237" s="20" t="n"/>
      <c r="J237" s="19" t="n"/>
      <c r="K237" s="16" t="n"/>
      <c r="L237" s="20" t="n"/>
      <c r="M237" s="20" t="n"/>
      <c r="N237" s="17" t="n"/>
      <c r="O237" s="18">
        <f>IF(AND(OR($M237="Envoyé",$M237="En attente"),ISNUMBER($C237),NOT(ISNUMBER($N237))),IF(TODAY()-$C237&gt;=7,"⚠ relancer",""),"")</f>
        <v/>
      </c>
      <c r="P237" s="19" t="n"/>
      <c r="Q237" s="22">
        <f>IF($A237="","",HYPERLINK("Z:\MUSTANG SERVICES\Affaires 2027\"&amp;$A237&amp;"\"&amp;$A237&amp;"_Devis.xlsx","Ouvrir"))</f>
        <v/>
      </c>
      <c r="R237" s="22">
        <f>IF($A237="","",HYPERLINK("Z:\MUSTANG SERVICES\Affaires 2027\"&amp;$A237&amp;"\"&amp;$A237&amp;"_ToolList.xlsx","Ouvrir"))</f>
        <v/>
      </c>
      <c r="S237" s="22">
        <f>IF($A237="","",HYPERLINK("Z:\MUSTANG SERVICES\Affaires 2027\"&amp;$A237&amp;"\"&amp;$A237&amp;"_BL.xlsx","Ouvrir"))</f>
        <v/>
      </c>
      <c r="T237" s="22">
        <f>IF($A237="","",HYPERLINK("Z:\MUSTANG SERVICES\Affaires 2027\"&amp;$A237&amp;"\"&amp;$A237&amp;"_ServiceTicket.xlsx","Ouvrir"))</f>
        <v/>
      </c>
      <c r="U237" s="22">
        <f>IF($A237="","",HYPERLINK("Z:\MUSTANG SERVICES\Affaires 2027\"&amp;$A237&amp;"\","Dossier"))</f>
        <v/>
      </c>
    </row>
    <row r="238" ht="18" customHeight="1">
      <c r="A238" s="16" t="n"/>
      <c r="B238" s="17" t="n"/>
      <c r="C238" s="17" t="n"/>
      <c r="D238" s="18">
        <f>IF(AND(ISNUMBER($B238),ISNUMBER($C238)),$C238-$B238,"")</f>
        <v/>
      </c>
      <c r="E238" s="19" t="n"/>
      <c r="F238" s="20" t="n"/>
      <c r="G238" s="19" t="n"/>
      <c r="H238" s="20" t="n"/>
      <c r="I238" s="20" t="n"/>
      <c r="J238" s="19" t="n"/>
      <c r="K238" s="16" t="n"/>
      <c r="L238" s="20" t="n"/>
      <c r="M238" s="20" t="n"/>
      <c r="N238" s="17" t="n"/>
      <c r="O238" s="18">
        <f>IF(AND(OR($M238="Envoyé",$M238="En attente"),ISNUMBER($C238),NOT(ISNUMBER($N238))),IF(TODAY()-$C238&gt;=7,"⚠ relancer",""),"")</f>
        <v/>
      </c>
      <c r="P238" s="19" t="n"/>
      <c r="Q238" s="22">
        <f>IF($A238="","",HYPERLINK("Z:\MUSTANG SERVICES\Affaires 2027\"&amp;$A238&amp;"\"&amp;$A238&amp;"_Devis.xlsx","Ouvrir"))</f>
        <v/>
      </c>
      <c r="R238" s="22">
        <f>IF($A238="","",HYPERLINK("Z:\MUSTANG SERVICES\Affaires 2027\"&amp;$A238&amp;"\"&amp;$A238&amp;"_ToolList.xlsx","Ouvrir"))</f>
        <v/>
      </c>
      <c r="S238" s="22">
        <f>IF($A238="","",HYPERLINK("Z:\MUSTANG SERVICES\Affaires 2027\"&amp;$A238&amp;"\"&amp;$A238&amp;"_BL.xlsx","Ouvrir"))</f>
        <v/>
      </c>
      <c r="T238" s="22">
        <f>IF($A238="","",HYPERLINK("Z:\MUSTANG SERVICES\Affaires 2027\"&amp;$A238&amp;"\"&amp;$A238&amp;"_ServiceTicket.xlsx","Ouvrir"))</f>
        <v/>
      </c>
      <c r="U238" s="22">
        <f>IF($A238="","",HYPERLINK("Z:\MUSTANG SERVICES\Affaires 2027\"&amp;$A238&amp;"\","Dossier"))</f>
        <v/>
      </c>
    </row>
    <row r="239" ht="18" customHeight="1">
      <c r="A239" s="16" t="n"/>
      <c r="B239" s="17" t="n"/>
      <c r="C239" s="17" t="n"/>
      <c r="D239" s="18">
        <f>IF(AND(ISNUMBER($B239),ISNUMBER($C239)),$C239-$B239,"")</f>
        <v/>
      </c>
      <c r="E239" s="19" t="n"/>
      <c r="F239" s="20" t="n"/>
      <c r="G239" s="19" t="n"/>
      <c r="H239" s="20" t="n"/>
      <c r="I239" s="20" t="n"/>
      <c r="J239" s="19" t="n"/>
      <c r="K239" s="16" t="n"/>
      <c r="L239" s="20" t="n"/>
      <c r="M239" s="20" t="n"/>
      <c r="N239" s="17" t="n"/>
      <c r="O239" s="18">
        <f>IF(AND(OR($M239="Envoyé",$M239="En attente"),ISNUMBER($C239),NOT(ISNUMBER($N239))),IF(TODAY()-$C239&gt;=7,"⚠ relancer",""),"")</f>
        <v/>
      </c>
      <c r="P239" s="19" t="n"/>
      <c r="Q239" s="22">
        <f>IF($A239="","",HYPERLINK("Z:\MUSTANG SERVICES\Affaires 2027\"&amp;$A239&amp;"\"&amp;$A239&amp;"_Devis.xlsx","Ouvrir"))</f>
        <v/>
      </c>
      <c r="R239" s="22">
        <f>IF($A239="","",HYPERLINK("Z:\MUSTANG SERVICES\Affaires 2027\"&amp;$A239&amp;"\"&amp;$A239&amp;"_ToolList.xlsx","Ouvrir"))</f>
        <v/>
      </c>
      <c r="S239" s="22">
        <f>IF($A239="","",HYPERLINK("Z:\MUSTANG SERVICES\Affaires 2027\"&amp;$A239&amp;"\"&amp;$A239&amp;"_BL.xlsx","Ouvrir"))</f>
        <v/>
      </c>
      <c r="T239" s="22">
        <f>IF($A239="","",HYPERLINK("Z:\MUSTANG SERVICES\Affaires 2027\"&amp;$A239&amp;"\"&amp;$A239&amp;"_ServiceTicket.xlsx","Ouvrir"))</f>
        <v/>
      </c>
      <c r="U239" s="22">
        <f>IF($A239="","",HYPERLINK("Z:\MUSTANG SERVICES\Affaires 2027\"&amp;$A239&amp;"\","Dossier"))</f>
        <v/>
      </c>
    </row>
    <row r="240" ht="18" customHeight="1">
      <c r="A240" s="16" t="n"/>
      <c r="B240" s="17" t="n"/>
      <c r="C240" s="17" t="n"/>
      <c r="D240" s="18">
        <f>IF(AND(ISNUMBER($B240),ISNUMBER($C240)),$C240-$B240,"")</f>
        <v/>
      </c>
      <c r="E240" s="19" t="n"/>
      <c r="F240" s="20" t="n"/>
      <c r="G240" s="19" t="n"/>
      <c r="H240" s="20" t="n"/>
      <c r="I240" s="20" t="n"/>
      <c r="J240" s="19" t="n"/>
      <c r="K240" s="16" t="n"/>
      <c r="L240" s="20" t="n"/>
      <c r="M240" s="20" t="n"/>
      <c r="N240" s="17" t="n"/>
      <c r="O240" s="18">
        <f>IF(AND(OR($M240="Envoyé",$M240="En attente"),ISNUMBER($C240),NOT(ISNUMBER($N240))),IF(TODAY()-$C240&gt;=7,"⚠ relancer",""),"")</f>
        <v/>
      </c>
      <c r="P240" s="19" t="n"/>
      <c r="Q240" s="22">
        <f>IF($A240="","",HYPERLINK("Z:\MUSTANG SERVICES\Affaires 2027\"&amp;$A240&amp;"\"&amp;$A240&amp;"_Devis.xlsx","Ouvrir"))</f>
        <v/>
      </c>
      <c r="R240" s="22">
        <f>IF($A240="","",HYPERLINK("Z:\MUSTANG SERVICES\Affaires 2027\"&amp;$A240&amp;"\"&amp;$A240&amp;"_ToolList.xlsx","Ouvrir"))</f>
        <v/>
      </c>
      <c r="S240" s="22">
        <f>IF($A240="","",HYPERLINK("Z:\MUSTANG SERVICES\Affaires 2027\"&amp;$A240&amp;"\"&amp;$A240&amp;"_BL.xlsx","Ouvrir"))</f>
        <v/>
      </c>
      <c r="T240" s="22">
        <f>IF($A240="","",HYPERLINK("Z:\MUSTANG SERVICES\Affaires 2027\"&amp;$A240&amp;"\"&amp;$A240&amp;"_ServiceTicket.xlsx","Ouvrir"))</f>
        <v/>
      </c>
      <c r="U240" s="22">
        <f>IF($A240="","",HYPERLINK("Z:\MUSTANG SERVICES\Affaires 2027\"&amp;$A240&amp;"\","Dossier"))</f>
        <v/>
      </c>
    </row>
    <row r="241" ht="18" customHeight="1">
      <c r="A241" s="16" t="n"/>
      <c r="B241" s="17" t="n"/>
      <c r="C241" s="17" t="n"/>
      <c r="D241" s="18">
        <f>IF(AND(ISNUMBER($B241),ISNUMBER($C241)),$C241-$B241,"")</f>
        <v/>
      </c>
      <c r="E241" s="19" t="n"/>
      <c r="F241" s="20" t="n"/>
      <c r="G241" s="19" t="n"/>
      <c r="H241" s="20" t="n"/>
      <c r="I241" s="20" t="n"/>
      <c r="J241" s="19" t="n"/>
      <c r="K241" s="16" t="n"/>
      <c r="L241" s="20" t="n"/>
      <c r="M241" s="20" t="n"/>
      <c r="N241" s="17" t="n"/>
      <c r="O241" s="18">
        <f>IF(AND(OR($M241="Envoyé",$M241="En attente"),ISNUMBER($C241),NOT(ISNUMBER($N241))),IF(TODAY()-$C241&gt;=7,"⚠ relancer",""),"")</f>
        <v/>
      </c>
      <c r="P241" s="19" t="n"/>
      <c r="Q241" s="22">
        <f>IF($A241="","",HYPERLINK("Z:\MUSTANG SERVICES\Affaires 2027\"&amp;$A241&amp;"\"&amp;$A241&amp;"_Devis.xlsx","Ouvrir"))</f>
        <v/>
      </c>
      <c r="R241" s="22">
        <f>IF($A241="","",HYPERLINK("Z:\MUSTANG SERVICES\Affaires 2027\"&amp;$A241&amp;"\"&amp;$A241&amp;"_ToolList.xlsx","Ouvrir"))</f>
        <v/>
      </c>
      <c r="S241" s="22">
        <f>IF($A241="","",HYPERLINK("Z:\MUSTANG SERVICES\Affaires 2027\"&amp;$A241&amp;"\"&amp;$A241&amp;"_BL.xlsx","Ouvrir"))</f>
        <v/>
      </c>
      <c r="T241" s="22">
        <f>IF($A241="","",HYPERLINK("Z:\MUSTANG SERVICES\Affaires 2027\"&amp;$A241&amp;"\"&amp;$A241&amp;"_ServiceTicket.xlsx","Ouvrir"))</f>
        <v/>
      </c>
      <c r="U241" s="22">
        <f>IF($A241="","",HYPERLINK("Z:\MUSTANG SERVICES\Affaires 2027\"&amp;$A241&amp;"\","Dossier"))</f>
        <v/>
      </c>
    </row>
    <row r="242" ht="18" customHeight="1">
      <c r="A242" s="16" t="n"/>
      <c r="B242" s="17" t="n"/>
      <c r="C242" s="17" t="n"/>
      <c r="D242" s="18">
        <f>IF(AND(ISNUMBER($B242),ISNUMBER($C242)),$C242-$B242,"")</f>
        <v/>
      </c>
      <c r="E242" s="19" t="n"/>
      <c r="F242" s="20" t="n"/>
      <c r="G242" s="19" t="n"/>
      <c r="H242" s="20" t="n"/>
      <c r="I242" s="20" t="n"/>
      <c r="J242" s="19" t="n"/>
      <c r="K242" s="16" t="n"/>
      <c r="L242" s="20" t="n"/>
      <c r="M242" s="20" t="n"/>
      <c r="N242" s="17" t="n"/>
      <c r="O242" s="18">
        <f>IF(AND(OR($M242="Envoyé",$M242="En attente"),ISNUMBER($C242),NOT(ISNUMBER($N242))),IF(TODAY()-$C242&gt;=7,"⚠ relancer",""),"")</f>
        <v/>
      </c>
      <c r="P242" s="19" t="n"/>
      <c r="Q242" s="22">
        <f>IF($A242="","",HYPERLINK("Z:\MUSTANG SERVICES\Affaires 2027\"&amp;$A242&amp;"\"&amp;$A242&amp;"_Devis.xlsx","Ouvrir"))</f>
        <v/>
      </c>
      <c r="R242" s="22">
        <f>IF($A242="","",HYPERLINK("Z:\MUSTANG SERVICES\Affaires 2027\"&amp;$A242&amp;"\"&amp;$A242&amp;"_ToolList.xlsx","Ouvrir"))</f>
        <v/>
      </c>
      <c r="S242" s="22">
        <f>IF($A242="","",HYPERLINK("Z:\MUSTANG SERVICES\Affaires 2027\"&amp;$A242&amp;"\"&amp;$A242&amp;"_BL.xlsx","Ouvrir"))</f>
        <v/>
      </c>
      <c r="T242" s="22">
        <f>IF($A242="","",HYPERLINK("Z:\MUSTANG SERVICES\Affaires 2027\"&amp;$A242&amp;"\"&amp;$A242&amp;"_ServiceTicket.xlsx","Ouvrir"))</f>
        <v/>
      </c>
      <c r="U242" s="22">
        <f>IF($A242="","",HYPERLINK("Z:\MUSTANG SERVICES\Affaires 2027\"&amp;$A242&amp;"\","Dossier"))</f>
        <v/>
      </c>
    </row>
    <row r="243" ht="18" customHeight="1">
      <c r="A243" s="16" t="n"/>
      <c r="B243" s="17" t="n"/>
      <c r="C243" s="17" t="n"/>
      <c r="D243" s="18">
        <f>IF(AND(ISNUMBER($B243),ISNUMBER($C243)),$C243-$B243,"")</f>
        <v/>
      </c>
      <c r="E243" s="19" t="n"/>
      <c r="F243" s="20" t="n"/>
      <c r="G243" s="19" t="n"/>
      <c r="H243" s="20" t="n"/>
      <c r="I243" s="20" t="n"/>
      <c r="J243" s="19" t="n"/>
      <c r="K243" s="16" t="n"/>
      <c r="L243" s="20" t="n"/>
      <c r="M243" s="20" t="n"/>
      <c r="N243" s="17" t="n"/>
      <c r="O243" s="18">
        <f>IF(AND(OR($M243="Envoyé",$M243="En attente"),ISNUMBER($C243),NOT(ISNUMBER($N243))),IF(TODAY()-$C243&gt;=7,"⚠ relancer",""),"")</f>
        <v/>
      </c>
      <c r="P243" s="19" t="n"/>
      <c r="Q243" s="22">
        <f>IF($A243="","",HYPERLINK("Z:\MUSTANG SERVICES\Affaires 2027\"&amp;$A243&amp;"\"&amp;$A243&amp;"_Devis.xlsx","Ouvrir"))</f>
        <v/>
      </c>
      <c r="R243" s="22">
        <f>IF($A243="","",HYPERLINK("Z:\MUSTANG SERVICES\Affaires 2027\"&amp;$A243&amp;"\"&amp;$A243&amp;"_ToolList.xlsx","Ouvrir"))</f>
        <v/>
      </c>
      <c r="S243" s="22">
        <f>IF($A243="","",HYPERLINK("Z:\MUSTANG SERVICES\Affaires 2027\"&amp;$A243&amp;"\"&amp;$A243&amp;"_BL.xlsx","Ouvrir"))</f>
        <v/>
      </c>
      <c r="T243" s="22">
        <f>IF($A243="","",HYPERLINK("Z:\MUSTANG SERVICES\Affaires 2027\"&amp;$A243&amp;"\"&amp;$A243&amp;"_ServiceTicket.xlsx","Ouvrir"))</f>
        <v/>
      </c>
      <c r="U243" s="22">
        <f>IF($A243="","",HYPERLINK("Z:\MUSTANG SERVICES\Affaires 2027\"&amp;$A243&amp;"\","Dossier"))</f>
        <v/>
      </c>
    </row>
    <row r="244" ht="18" customHeight="1">
      <c r="A244" s="16" t="n"/>
      <c r="B244" s="17" t="n"/>
      <c r="C244" s="17" t="n"/>
      <c r="D244" s="18">
        <f>IF(AND(ISNUMBER($B244),ISNUMBER($C244)),$C244-$B244,"")</f>
        <v/>
      </c>
      <c r="E244" s="19" t="n"/>
      <c r="F244" s="20" t="n"/>
      <c r="G244" s="19" t="n"/>
      <c r="H244" s="20" t="n"/>
      <c r="I244" s="20" t="n"/>
      <c r="J244" s="19" t="n"/>
      <c r="K244" s="16" t="n"/>
      <c r="L244" s="20" t="n"/>
      <c r="M244" s="20" t="n"/>
      <c r="N244" s="17" t="n"/>
      <c r="O244" s="18">
        <f>IF(AND(OR($M244="Envoyé",$M244="En attente"),ISNUMBER($C244),NOT(ISNUMBER($N244))),IF(TODAY()-$C244&gt;=7,"⚠ relancer",""),"")</f>
        <v/>
      </c>
      <c r="P244" s="19" t="n"/>
      <c r="Q244" s="22">
        <f>IF($A244="","",HYPERLINK("Z:\MUSTANG SERVICES\Affaires 2027\"&amp;$A244&amp;"\"&amp;$A244&amp;"_Devis.xlsx","Ouvrir"))</f>
        <v/>
      </c>
      <c r="R244" s="22">
        <f>IF($A244="","",HYPERLINK("Z:\MUSTANG SERVICES\Affaires 2027\"&amp;$A244&amp;"\"&amp;$A244&amp;"_ToolList.xlsx","Ouvrir"))</f>
        <v/>
      </c>
      <c r="S244" s="22">
        <f>IF($A244="","",HYPERLINK("Z:\MUSTANG SERVICES\Affaires 2027\"&amp;$A244&amp;"\"&amp;$A244&amp;"_BL.xlsx","Ouvrir"))</f>
        <v/>
      </c>
      <c r="T244" s="22">
        <f>IF($A244="","",HYPERLINK("Z:\MUSTANG SERVICES\Affaires 2027\"&amp;$A244&amp;"\"&amp;$A244&amp;"_ServiceTicket.xlsx","Ouvrir"))</f>
        <v/>
      </c>
      <c r="U244" s="22">
        <f>IF($A244="","",HYPERLINK("Z:\MUSTANG SERVICES\Affaires 2027\"&amp;$A244&amp;"\","Dossier"))</f>
        <v/>
      </c>
    </row>
    <row r="245" ht="18" customHeight="1">
      <c r="A245" s="16" t="n"/>
      <c r="B245" s="17" t="n"/>
      <c r="C245" s="17" t="n"/>
      <c r="D245" s="18">
        <f>IF(AND(ISNUMBER($B245),ISNUMBER($C245)),$C245-$B245,"")</f>
        <v/>
      </c>
      <c r="E245" s="19" t="n"/>
      <c r="F245" s="20" t="n"/>
      <c r="G245" s="19" t="n"/>
      <c r="H245" s="20" t="n"/>
      <c r="I245" s="20" t="n"/>
      <c r="J245" s="19" t="n"/>
      <c r="K245" s="16" t="n"/>
      <c r="L245" s="20" t="n"/>
      <c r="M245" s="20" t="n"/>
      <c r="N245" s="17" t="n"/>
      <c r="O245" s="18">
        <f>IF(AND(OR($M245="Envoyé",$M245="En attente"),ISNUMBER($C245),NOT(ISNUMBER($N245))),IF(TODAY()-$C245&gt;=7,"⚠ relancer",""),"")</f>
        <v/>
      </c>
      <c r="P245" s="19" t="n"/>
      <c r="Q245" s="22">
        <f>IF($A245="","",HYPERLINK("Z:\MUSTANG SERVICES\Affaires 2027\"&amp;$A245&amp;"\"&amp;$A245&amp;"_Devis.xlsx","Ouvrir"))</f>
        <v/>
      </c>
      <c r="R245" s="22">
        <f>IF($A245="","",HYPERLINK("Z:\MUSTANG SERVICES\Affaires 2027\"&amp;$A245&amp;"\"&amp;$A245&amp;"_ToolList.xlsx","Ouvrir"))</f>
        <v/>
      </c>
      <c r="S245" s="22">
        <f>IF($A245="","",HYPERLINK("Z:\MUSTANG SERVICES\Affaires 2027\"&amp;$A245&amp;"\"&amp;$A245&amp;"_BL.xlsx","Ouvrir"))</f>
        <v/>
      </c>
      <c r="T245" s="22">
        <f>IF($A245="","",HYPERLINK("Z:\MUSTANG SERVICES\Affaires 2027\"&amp;$A245&amp;"\"&amp;$A245&amp;"_ServiceTicket.xlsx","Ouvrir"))</f>
        <v/>
      </c>
      <c r="U245" s="22">
        <f>IF($A245="","",HYPERLINK("Z:\MUSTANG SERVICES\Affaires 2027\"&amp;$A245&amp;"\","Dossier"))</f>
        <v/>
      </c>
    </row>
    <row r="246" ht="18" customHeight="1">
      <c r="A246" s="16" t="n"/>
      <c r="B246" s="17" t="n"/>
      <c r="C246" s="17" t="n"/>
      <c r="D246" s="18">
        <f>IF(AND(ISNUMBER($B246),ISNUMBER($C246)),$C246-$B246,"")</f>
        <v/>
      </c>
      <c r="E246" s="19" t="n"/>
      <c r="F246" s="20" t="n"/>
      <c r="G246" s="19" t="n"/>
      <c r="H246" s="20" t="n"/>
      <c r="I246" s="20" t="n"/>
      <c r="J246" s="19" t="n"/>
      <c r="K246" s="16" t="n"/>
      <c r="L246" s="20" t="n"/>
      <c r="M246" s="20" t="n"/>
      <c r="N246" s="17" t="n"/>
      <c r="O246" s="18">
        <f>IF(AND(OR($M246="Envoyé",$M246="En attente"),ISNUMBER($C246),NOT(ISNUMBER($N246))),IF(TODAY()-$C246&gt;=7,"⚠ relancer",""),"")</f>
        <v/>
      </c>
      <c r="P246" s="19" t="n"/>
      <c r="Q246" s="22">
        <f>IF($A246="","",HYPERLINK("Z:\MUSTANG SERVICES\Affaires 2027\"&amp;$A246&amp;"\"&amp;$A246&amp;"_Devis.xlsx","Ouvrir"))</f>
        <v/>
      </c>
      <c r="R246" s="22">
        <f>IF($A246="","",HYPERLINK("Z:\MUSTANG SERVICES\Affaires 2027\"&amp;$A246&amp;"\"&amp;$A246&amp;"_ToolList.xlsx","Ouvrir"))</f>
        <v/>
      </c>
      <c r="S246" s="22">
        <f>IF($A246="","",HYPERLINK("Z:\MUSTANG SERVICES\Affaires 2027\"&amp;$A246&amp;"\"&amp;$A246&amp;"_BL.xlsx","Ouvrir"))</f>
        <v/>
      </c>
      <c r="T246" s="22">
        <f>IF($A246="","",HYPERLINK("Z:\MUSTANG SERVICES\Affaires 2027\"&amp;$A246&amp;"\"&amp;$A246&amp;"_ServiceTicket.xlsx","Ouvrir"))</f>
        <v/>
      </c>
      <c r="U246" s="22">
        <f>IF($A246="","",HYPERLINK("Z:\MUSTANG SERVICES\Affaires 2027\"&amp;$A246&amp;"\","Dossier"))</f>
        <v/>
      </c>
    </row>
    <row r="247" ht="18" customHeight="1">
      <c r="A247" s="16" t="n"/>
      <c r="B247" s="17" t="n"/>
      <c r="C247" s="17" t="n"/>
      <c r="D247" s="18">
        <f>IF(AND(ISNUMBER($B247),ISNUMBER($C247)),$C247-$B247,"")</f>
        <v/>
      </c>
      <c r="E247" s="19" t="n"/>
      <c r="F247" s="20" t="n"/>
      <c r="G247" s="19" t="n"/>
      <c r="H247" s="20" t="n"/>
      <c r="I247" s="20" t="n"/>
      <c r="J247" s="19" t="n"/>
      <c r="K247" s="16" t="n"/>
      <c r="L247" s="20" t="n"/>
      <c r="M247" s="20" t="n"/>
      <c r="N247" s="17" t="n"/>
      <c r="O247" s="18">
        <f>IF(AND(OR($M247="Envoyé",$M247="En attente"),ISNUMBER($C247),NOT(ISNUMBER($N247))),IF(TODAY()-$C247&gt;=7,"⚠ relancer",""),"")</f>
        <v/>
      </c>
      <c r="P247" s="19" t="n"/>
      <c r="Q247" s="22">
        <f>IF($A247="","",HYPERLINK("Z:\MUSTANG SERVICES\Affaires 2027\"&amp;$A247&amp;"\"&amp;$A247&amp;"_Devis.xlsx","Ouvrir"))</f>
        <v/>
      </c>
      <c r="R247" s="22">
        <f>IF($A247="","",HYPERLINK("Z:\MUSTANG SERVICES\Affaires 2027\"&amp;$A247&amp;"\"&amp;$A247&amp;"_ToolList.xlsx","Ouvrir"))</f>
        <v/>
      </c>
      <c r="S247" s="22">
        <f>IF($A247="","",HYPERLINK("Z:\MUSTANG SERVICES\Affaires 2027\"&amp;$A247&amp;"\"&amp;$A247&amp;"_BL.xlsx","Ouvrir"))</f>
        <v/>
      </c>
      <c r="T247" s="22">
        <f>IF($A247="","",HYPERLINK("Z:\MUSTANG SERVICES\Affaires 2027\"&amp;$A247&amp;"\"&amp;$A247&amp;"_ServiceTicket.xlsx","Ouvrir"))</f>
        <v/>
      </c>
      <c r="U247" s="22">
        <f>IF($A247="","",HYPERLINK("Z:\MUSTANG SERVICES\Affaires 2027\"&amp;$A247&amp;"\","Dossier"))</f>
        <v/>
      </c>
    </row>
    <row r="248" ht="18" customHeight="1">
      <c r="A248" s="16" t="n"/>
      <c r="B248" s="17" t="n"/>
      <c r="C248" s="17" t="n"/>
      <c r="D248" s="18">
        <f>IF(AND(ISNUMBER($B248),ISNUMBER($C248)),$C248-$B248,"")</f>
        <v/>
      </c>
      <c r="E248" s="19" t="n"/>
      <c r="F248" s="20" t="n"/>
      <c r="G248" s="19" t="n"/>
      <c r="H248" s="20" t="n"/>
      <c r="I248" s="20" t="n"/>
      <c r="J248" s="19" t="n"/>
      <c r="K248" s="16" t="n"/>
      <c r="L248" s="20" t="n"/>
      <c r="M248" s="20" t="n"/>
      <c r="N248" s="17" t="n"/>
      <c r="O248" s="18">
        <f>IF(AND(OR($M248="Envoyé",$M248="En attente"),ISNUMBER($C248),NOT(ISNUMBER($N248))),IF(TODAY()-$C248&gt;=7,"⚠ relancer",""),"")</f>
        <v/>
      </c>
      <c r="P248" s="19" t="n"/>
      <c r="Q248" s="22">
        <f>IF($A248="","",HYPERLINK("Z:\MUSTANG SERVICES\Affaires 2027\"&amp;$A248&amp;"\"&amp;$A248&amp;"_Devis.xlsx","Ouvrir"))</f>
        <v/>
      </c>
      <c r="R248" s="22">
        <f>IF($A248="","",HYPERLINK("Z:\MUSTANG SERVICES\Affaires 2027\"&amp;$A248&amp;"\"&amp;$A248&amp;"_ToolList.xlsx","Ouvrir"))</f>
        <v/>
      </c>
      <c r="S248" s="22">
        <f>IF($A248="","",HYPERLINK("Z:\MUSTANG SERVICES\Affaires 2027\"&amp;$A248&amp;"\"&amp;$A248&amp;"_BL.xlsx","Ouvrir"))</f>
        <v/>
      </c>
      <c r="T248" s="22">
        <f>IF($A248="","",HYPERLINK("Z:\MUSTANG SERVICES\Affaires 2027\"&amp;$A248&amp;"\"&amp;$A248&amp;"_ServiceTicket.xlsx","Ouvrir"))</f>
        <v/>
      </c>
      <c r="U248" s="22">
        <f>IF($A248="","",HYPERLINK("Z:\MUSTANG SERVICES\Affaires 2027\"&amp;$A248&amp;"\","Dossier"))</f>
        <v/>
      </c>
    </row>
    <row r="249" ht="18" customHeight="1">
      <c r="A249" s="16" t="n"/>
      <c r="B249" s="17" t="n"/>
      <c r="C249" s="17" t="n"/>
      <c r="D249" s="18">
        <f>IF(AND(ISNUMBER($B249),ISNUMBER($C249)),$C249-$B249,"")</f>
        <v/>
      </c>
      <c r="E249" s="19" t="n"/>
      <c r="F249" s="20" t="n"/>
      <c r="G249" s="19" t="n"/>
      <c r="H249" s="20" t="n"/>
      <c r="I249" s="20" t="n"/>
      <c r="J249" s="19" t="n"/>
      <c r="K249" s="16" t="n"/>
      <c r="L249" s="20" t="n"/>
      <c r="M249" s="20" t="n"/>
      <c r="N249" s="17" t="n"/>
      <c r="O249" s="18">
        <f>IF(AND(OR($M249="Envoyé",$M249="En attente"),ISNUMBER($C249),NOT(ISNUMBER($N249))),IF(TODAY()-$C249&gt;=7,"⚠ relancer",""),"")</f>
        <v/>
      </c>
      <c r="P249" s="19" t="n"/>
      <c r="Q249" s="22">
        <f>IF($A249="","",HYPERLINK("Z:\MUSTANG SERVICES\Affaires 2027\"&amp;$A249&amp;"\"&amp;$A249&amp;"_Devis.xlsx","Ouvrir"))</f>
        <v/>
      </c>
      <c r="R249" s="22">
        <f>IF($A249="","",HYPERLINK("Z:\MUSTANG SERVICES\Affaires 2027\"&amp;$A249&amp;"\"&amp;$A249&amp;"_ToolList.xlsx","Ouvrir"))</f>
        <v/>
      </c>
      <c r="S249" s="22">
        <f>IF($A249="","",HYPERLINK("Z:\MUSTANG SERVICES\Affaires 2027\"&amp;$A249&amp;"\"&amp;$A249&amp;"_BL.xlsx","Ouvrir"))</f>
        <v/>
      </c>
      <c r="T249" s="22">
        <f>IF($A249="","",HYPERLINK("Z:\MUSTANG SERVICES\Affaires 2027\"&amp;$A249&amp;"\"&amp;$A249&amp;"_ServiceTicket.xlsx","Ouvrir"))</f>
        <v/>
      </c>
      <c r="U249" s="22">
        <f>IF($A249="","",HYPERLINK("Z:\MUSTANG SERVICES\Affaires 2027\"&amp;$A249&amp;"\","Dossier"))</f>
        <v/>
      </c>
    </row>
    <row r="250" ht="18" customHeight="1">
      <c r="A250" s="16" t="n"/>
      <c r="B250" s="17" t="n"/>
      <c r="C250" s="17" t="n"/>
      <c r="D250" s="18">
        <f>IF(AND(ISNUMBER($B250),ISNUMBER($C250)),$C250-$B250,"")</f>
        <v/>
      </c>
      <c r="E250" s="19" t="n"/>
      <c r="F250" s="20" t="n"/>
      <c r="G250" s="19" t="n"/>
      <c r="H250" s="20" t="n"/>
      <c r="I250" s="20" t="n"/>
      <c r="J250" s="19" t="n"/>
      <c r="K250" s="16" t="n"/>
      <c r="L250" s="20" t="n"/>
      <c r="M250" s="20" t="n"/>
      <c r="N250" s="17" t="n"/>
      <c r="O250" s="18">
        <f>IF(AND(OR($M250="Envoyé",$M250="En attente"),ISNUMBER($C250),NOT(ISNUMBER($N250))),IF(TODAY()-$C250&gt;=7,"⚠ relancer",""),"")</f>
        <v/>
      </c>
      <c r="P250" s="19" t="n"/>
      <c r="Q250" s="22">
        <f>IF($A250="","",HYPERLINK("Z:\MUSTANG SERVICES\Affaires 2027\"&amp;$A250&amp;"\"&amp;$A250&amp;"_Devis.xlsx","Ouvrir"))</f>
        <v/>
      </c>
      <c r="R250" s="22">
        <f>IF($A250="","",HYPERLINK("Z:\MUSTANG SERVICES\Affaires 2027\"&amp;$A250&amp;"\"&amp;$A250&amp;"_ToolList.xlsx","Ouvrir"))</f>
        <v/>
      </c>
      <c r="S250" s="22">
        <f>IF($A250="","",HYPERLINK("Z:\MUSTANG SERVICES\Affaires 2027\"&amp;$A250&amp;"\"&amp;$A250&amp;"_BL.xlsx","Ouvrir"))</f>
        <v/>
      </c>
      <c r="T250" s="22">
        <f>IF($A250="","",HYPERLINK("Z:\MUSTANG SERVICES\Affaires 2027\"&amp;$A250&amp;"\"&amp;$A250&amp;"_ServiceTicket.xlsx","Ouvrir"))</f>
        <v/>
      </c>
      <c r="U250" s="22">
        <f>IF($A250="","",HYPERLINK("Z:\MUSTANG SERVICES\Affaires 2027\"&amp;$A250&amp;"\","Dossier"))</f>
        <v/>
      </c>
    </row>
    <row r="251" ht="18" customHeight="1">
      <c r="A251" s="16" t="n"/>
      <c r="B251" s="17" t="n"/>
      <c r="C251" s="17" t="n"/>
      <c r="D251" s="18">
        <f>IF(AND(ISNUMBER($B251),ISNUMBER($C251)),$C251-$B251,"")</f>
        <v/>
      </c>
      <c r="E251" s="19" t="n"/>
      <c r="F251" s="20" t="n"/>
      <c r="G251" s="19" t="n"/>
      <c r="H251" s="20" t="n"/>
      <c r="I251" s="20" t="n"/>
      <c r="J251" s="19" t="n"/>
      <c r="K251" s="16" t="n"/>
      <c r="L251" s="20" t="n"/>
      <c r="M251" s="20" t="n"/>
      <c r="N251" s="17" t="n"/>
      <c r="O251" s="18">
        <f>IF(AND(OR($M251="Envoyé",$M251="En attente"),ISNUMBER($C251),NOT(ISNUMBER($N251))),IF(TODAY()-$C251&gt;=7,"⚠ relancer",""),"")</f>
        <v/>
      </c>
      <c r="P251" s="19" t="n"/>
      <c r="Q251" s="22">
        <f>IF($A251="","",HYPERLINK("Z:\MUSTANG SERVICES\Affaires 2027\"&amp;$A251&amp;"\"&amp;$A251&amp;"_Devis.xlsx","Ouvrir"))</f>
        <v/>
      </c>
      <c r="R251" s="22">
        <f>IF($A251="","",HYPERLINK("Z:\MUSTANG SERVICES\Affaires 2027\"&amp;$A251&amp;"\"&amp;$A251&amp;"_ToolList.xlsx","Ouvrir"))</f>
        <v/>
      </c>
      <c r="S251" s="22">
        <f>IF($A251="","",HYPERLINK("Z:\MUSTANG SERVICES\Affaires 2027\"&amp;$A251&amp;"\"&amp;$A251&amp;"_BL.xlsx","Ouvrir"))</f>
        <v/>
      </c>
      <c r="T251" s="22">
        <f>IF($A251="","",HYPERLINK("Z:\MUSTANG SERVICES\Affaires 2027\"&amp;$A251&amp;"\"&amp;$A251&amp;"_ServiceTicket.xlsx","Ouvrir"))</f>
        <v/>
      </c>
      <c r="U251" s="22">
        <f>IF($A251="","",HYPERLINK("Z:\MUSTANG SERVICES\Affaires 2027\"&amp;$A251&amp;"\","Dossier"))</f>
        <v/>
      </c>
    </row>
    <row r="252" ht="18" customHeight="1">
      <c r="A252" s="16" t="n"/>
      <c r="B252" s="17" t="n"/>
      <c r="C252" s="17" t="n"/>
      <c r="D252" s="18">
        <f>IF(AND(ISNUMBER($B252),ISNUMBER($C252)),$C252-$B252,"")</f>
        <v/>
      </c>
      <c r="E252" s="19" t="n"/>
      <c r="F252" s="20" t="n"/>
      <c r="G252" s="19" t="n"/>
      <c r="H252" s="20" t="n"/>
      <c r="I252" s="20" t="n"/>
      <c r="J252" s="19" t="n"/>
      <c r="K252" s="16" t="n"/>
      <c r="L252" s="20" t="n"/>
      <c r="M252" s="20" t="n"/>
      <c r="N252" s="17" t="n"/>
      <c r="O252" s="18">
        <f>IF(AND(OR($M252="Envoyé",$M252="En attente"),ISNUMBER($C252),NOT(ISNUMBER($N252))),IF(TODAY()-$C252&gt;=7,"⚠ relancer",""),"")</f>
        <v/>
      </c>
      <c r="P252" s="19" t="n"/>
      <c r="Q252" s="22">
        <f>IF($A252="","",HYPERLINK("Z:\MUSTANG SERVICES\Affaires 2027\"&amp;$A252&amp;"\"&amp;$A252&amp;"_Devis.xlsx","Ouvrir"))</f>
        <v/>
      </c>
      <c r="R252" s="22">
        <f>IF($A252="","",HYPERLINK("Z:\MUSTANG SERVICES\Affaires 2027\"&amp;$A252&amp;"\"&amp;$A252&amp;"_ToolList.xlsx","Ouvrir"))</f>
        <v/>
      </c>
      <c r="S252" s="22">
        <f>IF($A252="","",HYPERLINK("Z:\MUSTANG SERVICES\Affaires 2027\"&amp;$A252&amp;"\"&amp;$A252&amp;"_BL.xlsx","Ouvrir"))</f>
        <v/>
      </c>
      <c r="T252" s="22">
        <f>IF($A252="","",HYPERLINK("Z:\MUSTANG SERVICES\Affaires 2027\"&amp;$A252&amp;"\"&amp;$A252&amp;"_ServiceTicket.xlsx","Ouvrir"))</f>
        <v/>
      </c>
      <c r="U252" s="22">
        <f>IF($A252="","",HYPERLINK("Z:\MUSTANG SERVICES\Affaires 2027\"&amp;$A252&amp;"\","Dossier"))</f>
        <v/>
      </c>
    </row>
    <row r="253" ht="18" customHeight="1">
      <c r="A253" s="16" t="n"/>
      <c r="B253" s="17" t="n"/>
      <c r="C253" s="17" t="n"/>
      <c r="D253" s="18">
        <f>IF(AND(ISNUMBER($B253),ISNUMBER($C253)),$C253-$B253,"")</f>
        <v/>
      </c>
      <c r="E253" s="19" t="n"/>
      <c r="F253" s="20" t="n"/>
      <c r="G253" s="19" t="n"/>
      <c r="H253" s="20" t="n"/>
      <c r="I253" s="20" t="n"/>
      <c r="J253" s="19" t="n"/>
      <c r="K253" s="16" t="n"/>
      <c r="L253" s="20" t="n"/>
      <c r="M253" s="20" t="n"/>
      <c r="N253" s="17" t="n"/>
      <c r="O253" s="18">
        <f>IF(AND(OR($M253="Envoyé",$M253="En attente"),ISNUMBER($C253),NOT(ISNUMBER($N253))),IF(TODAY()-$C253&gt;=7,"⚠ relancer",""),"")</f>
        <v/>
      </c>
      <c r="P253" s="19" t="n"/>
      <c r="Q253" s="22">
        <f>IF($A253="","",HYPERLINK("Z:\MUSTANG SERVICES\Affaires 2027\"&amp;$A253&amp;"\"&amp;$A253&amp;"_Devis.xlsx","Ouvrir"))</f>
        <v/>
      </c>
      <c r="R253" s="22">
        <f>IF($A253="","",HYPERLINK("Z:\MUSTANG SERVICES\Affaires 2027\"&amp;$A253&amp;"\"&amp;$A253&amp;"_ToolList.xlsx","Ouvrir"))</f>
        <v/>
      </c>
      <c r="S253" s="22">
        <f>IF($A253="","",HYPERLINK("Z:\MUSTANG SERVICES\Affaires 2027\"&amp;$A253&amp;"\"&amp;$A253&amp;"_BL.xlsx","Ouvrir"))</f>
        <v/>
      </c>
      <c r="T253" s="22">
        <f>IF($A253="","",HYPERLINK("Z:\MUSTANG SERVICES\Affaires 2027\"&amp;$A253&amp;"\"&amp;$A253&amp;"_ServiceTicket.xlsx","Ouvrir"))</f>
        <v/>
      </c>
      <c r="U253" s="22">
        <f>IF($A253="","",HYPERLINK("Z:\MUSTANG SERVICES\Affaires 2027\"&amp;$A253&amp;"\","Dossier"))</f>
        <v/>
      </c>
    </row>
    <row r="254" ht="18" customHeight="1">
      <c r="A254" s="16" t="n"/>
      <c r="B254" s="17" t="n"/>
      <c r="C254" s="17" t="n"/>
      <c r="D254" s="18">
        <f>IF(AND(ISNUMBER($B254),ISNUMBER($C254)),$C254-$B254,"")</f>
        <v/>
      </c>
      <c r="E254" s="19" t="n"/>
      <c r="F254" s="20" t="n"/>
      <c r="G254" s="19" t="n"/>
      <c r="H254" s="20" t="n"/>
      <c r="I254" s="20" t="n"/>
      <c r="J254" s="19" t="n"/>
      <c r="K254" s="16" t="n"/>
      <c r="L254" s="20" t="n"/>
      <c r="M254" s="20" t="n"/>
      <c r="N254" s="17" t="n"/>
      <c r="O254" s="18">
        <f>IF(AND(OR($M254="Envoyé",$M254="En attente"),ISNUMBER($C254),NOT(ISNUMBER($N254))),IF(TODAY()-$C254&gt;=7,"⚠ relancer",""),"")</f>
        <v/>
      </c>
      <c r="P254" s="19" t="n"/>
      <c r="Q254" s="22">
        <f>IF($A254="","",HYPERLINK("Z:\MUSTANG SERVICES\Affaires 2027\"&amp;$A254&amp;"\"&amp;$A254&amp;"_Devis.xlsx","Ouvrir"))</f>
        <v/>
      </c>
      <c r="R254" s="22">
        <f>IF($A254="","",HYPERLINK("Z:\MUSTANG SERVICES\Affaires 2027\"&amp;$A254&amp;"\"&amp;$A254&amp;"_ToolList.xlsx","Ouvrir"))</f>
        <v/>
      </c>
      <c r="S254" s="22">
        <f>IF($A254="","",HYPERLINK("Z:\MUSTANG SERVICES\Affaires 2027\"&amp;$A254&amp;"\"&amp;$A254&amp;"_BL.xlsx","Ouvrir"))</f>
        <v/>
      </c>
      <c r="T254" s="22">
        <f>IF($A254="","",HYPERLINK("Z:\MUSTANG SERVICES\Affaires 2027\"&amp;$A254&amp;"\"&amp;$A254&amp;"_ServiceTicket.xlsx","Ouvrir"))</f>
        <v/>
      </c>
      <c r="U254" s="22">
        <f>IF($A254="","",HYPERLINK("Z:\MUSTANG SERVICES\Affaires 2027\"&amp;$A254&amp;"\","Dossier"))</f>
        <v/>
      </c>
    </row>
    <row r="255" ht="18" customHeight="1">
      <c r="A255" s="16" t="n"/>
      <c r="B255" s="17" t="n"/>
      <c r="C255" s="17" t="n"/>
      <c r="D255" s="18">
        <f>IF(AND(ISNUMBER($B255),ISNUMBER($C255)),$C255-$B255,"")</f>
        <v/>
      </c>
      <c r="E255" s="19" t="n"/>
      <c r="F255" s="20" t="n"/>
      <c r="G255" s="19" t="n"/>
      <c r="H255" s="20" t="n"/>
      <c r="I255" s="20" t="n"/>
      <c r="J255" s="19" t="n"/>
      <c r="K255" s="16" t="n"/>
      <c r="L255" s="20" t="n"/>
      <c r="M255" s="20" t="n"/>
      <c r="N255" s="17" t="n"/>
      <c r="O255" s="18">
        <f>IF(AND(OR($M255="Envoyé",$M255="En attente"),ISNUMBER($C255),NOT(ISNUMBER($N255))),IF(TODAY()-$C255&gt;=7,"⚠ relancer",""),"")</f>
        <v/>
      </c>
      <c r="P255" s="19" t="n"/>
      <c r="Q255" s="22">
        <f>IF($A255="","",HYPERLINK("Z:\MUSTANG SERVICES\Affaires 2027\"&amp;$A255&amp;"\"&amp;$A255&amp;"_Devis.xlsx","Ouvrir"))</f>
        <v/>
      </c>
      <c r="R255" s="22">
        <f>IF($A255="","",HYPERLINK("Z:\MUSTANG SERVICES\Affaires 2027\"&amp;$A255&amp;"\"&amp;$A255&amp;"_ToolList.xlsx","Ouvrir"))</f>
        <v/>
      </c>
      <c r="S255" s="22">
        <f>IF($A255="","",HYPERLINK("Z:\MUSTANG SERVICES\Affaires 2027\"&amp;$A255&amp;"\"&amp;$A255&amp;"_BL.xlsx","Ouvrir"))</f>
        <v/>
      </c>
      <c r="T255" s="22">
        <f>IF($A255="","",HYPERLINK("Z:\MUSTANG SERVICES\Affaires 2027\"&amp;$A255&amp;"\"&amp;$A255&amp;"_ServiceTicket.xlsx","Ouvrir"))</f>
        <v/>
      </c>
      <c r="U255" s="22">
        <f>IF($A255="","",HYPERLINK("Z:\MUSTANG SERVICES\Affaires 2027\"&amp;$A255&amp;"\","Dossier"))</f>
        <v/>
      </c>
    </row>
    <row r="256" ht="18" customHeight="1">
      <c r="A256" s="16" t="n"/>
      <c r="B256" s="17" t="n"/>
      <c r="C256" s="17" t="n"/>
      <c r="D256" s="18">
        <f>IF(AND(ISNUMBER($B256),ISNUMBER($C256)),$C256-$B256,"")</f>
        <v/>
      </c>
      <c r="E256" s="19" t="n"/>
      <c r="F256" s="20" t="n"/>
      <c r="G256" s="19" t="n"/>
      <c r="H256" s="20" t="n"/>
      <c r="I256" s="20" t="n"/>
      <c r="J256" s="19" t="n"/>
      <c r="K256" s="16" t="n"/>
      <c r="L256" s="20" t="n"/>
      <c r="M256" s="20" t="n"/>
      <c r="N256" s="17" t="n"/>
      <c r="O256" s="18">
        <f>IF(AND(OR($M256="Envoyé",$M256="En attente"),ISNUMBER($C256),NOT(ISNUMBER($N256))),IF(TODAY()-$C256&gt;=7,"⚠ relancer",""),"")</f>
        <v/>
      </c>
      <c r="P256" s="19" t="n"/>
      <c r="Q256" s="22">
        <f>IF($A256="","",HYPERLINK("Z:\MUSTANG SERVICES\Affaires 2027\"&amp;$A256&amp;"\"&amp;$A256&amp;"_Devis.xlsx","Ouvrir"))</f>
        <v/>
      </c>
      <c r="R256" s="22">
        <f>IF($A256="","",HYPERLINK("Z:\MUSTANG SERVICES\Affaires 2027\"&amp;$A256&amp;"\"&amp;$A256&amp;"_ToolList.xlsx","Ouvrir"))</f>
        <v/>
      </c>
      <c r="S256" s="22">
        <f>IF($A256="","",HYPERLINK("Z:\MUSTANG SERVICES\Affaires 2027\"&amp;$A256&amp;"\"&amp;$A256&amp;"_BL.xlsx","Ouvrir"))</f>
        <v/>
      </c>
      <c r="T256" s="22">
        <f>IF($A256="","",HYPERLINK("Z:\MUSTANG SERVICES\Affaires 2027\"&amp;$A256&amp;"\"&amp;$A256&amp;"_ServiceTicket.xlsx","Ouvrir"))</f>
        <v/>
      </c>
      <c r="U256" s="22">
        <f>IF($A256="","",HYPERLINK("Z:\MUSTANG SERVICES\Affaires 2027\"&amp;$A256&amp;"\","Dossier"))</f>
        <v/>
      </c>
    </row>
    <row r="257" ht="18" customHeight="1">
      <c r="A257" s="16" t="n"/>
      <c r="B257" s="17" t="n"/>
      <c r="C257" s="17" t="n"/>
      <c r="D257" s="18">
        <f>IF(AND(ISNUMBER($B257),ISNUMBER($C257)),$C257-$B257,"")</f>
        <v/>
      </c>
      <c r="E257" s="19" t="n"/>
      <c r="F257" s="20" t="n"/>
      <c r="G257" s="19" t="n"/>
      <c r="H257" s="20" t="n"/>
      <c r="I257" s="20" t="n"/>
      <c r="J257" s="19" t="n"/>
      <c r="K257" s="16" t="n"/>
      <c r="L257" s="20" t="n"/>
      <c r="M257" s="20" t="n"/>
      <c r="N257" s="17" t="n"/>
      <c r="O257" s="18">
        <f>IF(AND(OR($M257="Envoyé",$M257="En attente"),ISNUMBER($C257),NOT(ISNUMBER($N257))),IF(TODAY()-$C257&gt;=7,"⚠ relancer",""),"")</f>
        <v/>
      </c>
      <c r="P257" s="19" t="n"/>
      <c r="Q257" s="22">
        <f>IF($A257="","",HYPERLINK("Z:\MUSTANG SERVICES\Affaires 2027\"&amp;$A257&amp;"\"&amp;$A257&amp;"_Devis.xlsx","Ouvrir"))</f>
        <v/>
      </c>
      <c r="R257" s="22">
        <f>IF($A257="","",HYPERLINK("Z:\MUSTANG SERVICES\Affaires 2027\"&amp;$A257&amp;"\"&amp;$A257&amp;"_ToolList.xlsx","Ouvrir"))</f>
        <v/>
      </c>
      <c r="S257" s="22">
        <f>IF($A257="","",HYPERLINK("Z:\MUSTANG SERVICES\Affaires 2027\"&amp;$A257&amp;"\"&amp;$A257&amp;"_BL.xlsx","Ouvrir"))</f>
        <v/>
      </c>
      <c r="T257" s="22">
        <f>IF($A257="","",HYPERLINK("Z:\MUSTANG SERVICES\Affaires 2027\"&amp;$A257&amp;"\"&amp;$A257&amp;"_ServiceTicket.xlsx","Ouvrir"))</f>
        <v/>
      </c>
      <c r="U257" s="22">
        <f>IF($A257="","",HYPERLINK("Z:\MUSTANG SERVICES\Affaires 2027\"&amp;$A257&amp;"\","Dossier"))</f>
        <v/>
      </c>
    </row>
    <row r="258" ht="18" customHeight="1">
      <c r="A258" s="16" t="n"/>
      <c r="B258" s="17" t="n"/>
      <c r="C258" s="17" t="n"/>
      <c r="D258" s="18">
        <f>IF(AND(ISNUMBER($B258),ISNUMBER($C258)),$C258-$B258,"")</f>
        <v/>
      </c>
      <c r="E258" s="19" t="n"/>
      <c r="F258" s="20" t="n"/>
      <c r="G258" s="19" t="n"/>
      <c r="H258" s="20" t="n"/>
      <c r="I258" s="20" t="n"/>
      <c r="J258" s="19" t="n"/>
      <c r="K258" s="16" t="n"/>
      <c r="L258" s="20" t="n"/>
      <c r="M258" s="20" t="n"/>
      <c r="N258" s="17" t="n"/>
      <c r="O258" s="18">
        <f>IF(AND(OR($M258="Envoyé",$M258="En attente"),ISNUMBER($C258),NOT(ISNUMBER($N258))),IF(TODAY()-$C258&gt;=7,"⚠ relancer",""),"")</f>
        <v/>
      </c>
      <c r="P258" s="19" t="n"/>
      <c r="Q258" s="22">
        <f>IF($A258="","",HYPERLINK("Z:\MUSTANG SERVICES\Affaires 2027\"&amp;$A258&amp;"\"&amp;$A258&amp;"_Devis.xlsx","Ouvrir"))</f>
        <v/>
      </c>
      <c r="R258" s="22">
        <f>IF($A258="","",HYPERLINK("Z:\MUSTANG SERVICES\Affaires 2027\"&amp;$A258&amp;"\"&amp;$A258&amp;"_ToolList.xlsx","Ouvrir"))</f>
        <v/>
      </c>
      <c r="S258" s="22">
        <f>IF($A258="","",HYPERLINK("Z:\MUSTANG SERVICES\Affaires 2027\"&amp;$A258&amp;"\"&amp;$A258&amp;"_BL.xlsx","Ouvrir"))</f>
        <v/>
      </c>
      <c r="T258" s="22">
        <f>IF($A258="","",HYPERLINK("Z:\MUSTANG SERVICES\Affaires 2027\"&amp;$A258&amp;"\"&amp;$A258&amp;"_ServiceTicket.xlsx","Ouvrir"))</f>
        <v/>
      </c>
      <c r="U258" s="22">
        <f>IF($A258="","",HYPERLINK("Z:\MUSTANG SERVICES\Affaires 2027\"&amp;$A258&amp;"\","Dossier"))</f>
        <v/>
      </c>
    </row>
    <row r="259" ht="18" customHeight="1">
      <c r="A259" s="16" t="n"/>
      <c r="B259" s="17" t="n"/>
      <c r="C259" s="17" t="n"/>
      <c r="D259" s="18">
        <f>IF(AND(ISNUMBER($B259),ISNUMBER($C259)),$C259-$B259,"")</f>
        <v/>
      </c>
      <c r="E259" s="19" t="n"/>
      <c r="F259" s="20" t="n"/>
      <c r="G259" s="19" t="n"/>
      <c r="H259" s="20" t="n"/>
      <c r="I259" s="20" t="n"/>
      <c r="J259" s="19" t="n"/>
      <c r="K259" s="16" t="n"/>
      <c r="L259" s="20" t="n"/>
      <c r="M259" s="20" t="n"/>
      <c r="N259" s="17" t="n"/>
      <c r="O259" s="18">
        <f>IF(AND(OR($M259="Envoyé",$M259="En attente"),ISNUMBER($C259),NOT(ISNUMBER($N259))),IF(TODAY()-$C259&gt;=7,"⚠ relancer",""),"")</f>
        <v/>
      </c>
      <c r="P259" s="19" t="n"/>
      <c r="Q259" s="22">
        <f>IF($A259="","",HYPERLINK("Z:\MUSTANG SERVICES\Affaires 2027\"&amp;$A259&amp;"\"&amp;$A259&amp;"_Devis.xlsx","Ouvrir"))</f>
        <v/>
      </c>
      <c r="R259" s="22">
        <f>IF($A259="","",HYPERLINK("Z:\MUSTANG SERVICES\Affaires 2027\"&amp;$A259&amp;"\"&amp;$A259&amp;"_ToolList.xlsx","Ouvrir"))</f>
        <v/>
      </c>
      <c r="S259" s="22">
        <f>IF($A259="","",HYPERLINK("Z:\MUSTANG SERVICES\Affaires 2027\"&amp;$A259&amp;"\"&amp;$A259&amp;"_BL.xlsx","Ouvrir"))</f>
        <v/>
      </c>
      <c r="T259" s="22">
        <f>IF($A259="","",HYPERLINK("Z:\MUSTANG SERVICES\Affaires 2027\"&amp;$A259&amp;"\"&amp;$A259&amp;"_ServiceTicket.xlsx","Ouvrir"))</f>
        <v/>
      </c>
      <c r="U259" s="22">
        <f>IF($A259="","",HYPERLINK("Z:\MUSTANG SERVICES\Affaires 2027\"&amp;$A259&amp;"\","Dossier"))</f>
        <v/>
      </c>
    </row>
    <row r="260" ht="18" customHeight="1">
      <c r="A260" s="16" t="n"/>
      <c r="B260" s="17" t="n"/>
      <c r="C260" s="17" t="n"/>
      <c r="D260" s="18">
        <f>IF(AND(ISNUMBER($B260),ISNUMBER($C260)),$C260-$B260,"")</f>
        <v/>
      </c>
      <c r="E260" s="19" t="n"/>
      <c r="F260" s="20" t="n"/>
      <c r="G260" s="19" t="n"/>
      <c r="H260" s="20" t="n"/>
      <c r="I260" s="20" t="n"/>
      <c r="J260" s="19" t="n"/>
      <c r="K260" s="16" t="n"/>
      <c r="L260" s="20" t="n"/>
      <c r="M260" s="20" t="n"/>
      <c r="N260" s="17" t="n"/>
      <c r="O260" s="18">
        <f>IF(AND(OR($M260="Envoyé",$M260="En attente"),ISNUMBER($C260),NOT(ISNUMBER($N260))),IF(TODAY()-$C260&gt;=7,"⚠ relancer",""),"")</f>
        <v/>
      </c>
      <c r="P260" s="19" t="n"/>
      <c r="Q260" s="22">
        <f>IF($A260="","",HYPERLINK("Z:\MUSTANG SERVICES\Affaires 2027\"&amp;$A260&amp;"\"&amp;$A260&amp;"_Devis.xlsx","Ouvrir"))</f>
        <v/>
      </c>
      <c r="R260" s="22">
        <f>IF($A260="","",HYPERLINK("Z:\MUSTANG SERVICES\Affaires 2027\"&amp;$A260&amp;"\"&amp;$A260&amp;"_ToolList.xlsx","Ouvrir"))</f>
        <v/>
      </c>
      <c r="S260" s="22">
        <f>IF($A260="","",HYPERLINK("Z:\MUSTANG SERVICES\Affaires 2027\"&amp;$A260&amp;"\"&amp;$A260&amp;"_BL.xlsx","Ouvrir"))</f>
        <v/>
      </c>
      <c r="T260" s="22">
        <f>IF($A260="","",HYPERLINK("Z:\MUSTANG SERVICES\Affaires 2027\"&amp;$A260&amp;"\"&amp;$A260&amp;"_ServiceTicket.xlsx","Ouvrir"))</f>
        <v/>
      </c>
      <c r="U260" s="22">
        <f>IF($A260="","",HYPERLINK("Z:\MUSTANG SERVICES\Affaires 2027\"&amp;$A260&amp;"\","Dossier"))</f>
        <v/>
      </c>
    </row>
    <row r="261" ht="18" customHeight="1">
      <c r="A261" s="16" t="n"/>
      <c r="B261" s="17" t="n"/>
      <c r="C261" s="17" t="n"/>
      <c r="D261" s="18">
        <f>IF(AND(ISNUMBER($B261),ISNUMBER($C261)),$C261-$B261,"")</f>
        <v/>
      </c>
      <c r="E261" s="19" t="n"/>
      <c r="F261" s="20" t="n"/>
      <c r="G261" s="19" t="n"/>
      <c r="H261" s="20" t="n"/>
      <c r="I261" s="20" t="n"/>
      <c r="J261" s="19" t="n"/>
      <c r="K261" s="16" t="n"/>
      <c r="L261" s="20" t="n"/>
      <c r="M261" s="20" t="n"/>
      <c r="N261" s="17" t="n"/>
      <c r="O261" s="18">
        <f>IF(AND(OR($M261="Envoyé",$M261="En attente"),ISNUMBER($C261),NOT(ISNUMBER($N261))),IF(TODAY()-$C261&gt;=7,"⚠ relancer",""),"")</f>
        <v/>
      </c>
      <c r="P261" s="19" t="n"/>
      <c r="Q261" s="22">
        <f>IF($A261="","",HYPERLINK("Z:\MUSTANG SERVICES\Affaires 2027\"&amp;$A261&amp;"\"&amp;$A261&amp;"_Devis.xlsx","Ouvrir"))</f>
        <v/>
      </c>
      <c r="R261" s="22">
        <f>IF($A261="","",HYPERLINK("Z:\MUSTANG SERVICES\Affaires 2027\"&amp;$A261&amp;"\"&amp;$A261&amp;"_ToolList.xlsx","Ouvrir"))</f>
        <v/>
      </c>
      <c r="S261" s="22">
        <f>IF($A261="","",HYPERLINK("Z:\MUSTANG SERVICES\Affaires 2027\"&amp;$A261&amp;"\"&amp;$A261&amp;"_BL.xlsx","Ouvrir"))</f>
        <v/>
      </c>
      <c r="T261" s="22">
        <f>IF($A261="","",HYPERLINK("Z:\MUSTANG SERVICES\Affaires 2027\"&amp;$A261&amp;"\"&amp;$A261&amp;"_ServiceTicket.xlsx","Ouvrir"))</f>
        <v/>
      </c>
      <c r="U261" s="22">
        <f>IF($A261="","",HYPERLINK("Z:\MUSTANG SERVICES\Affaires 2027\"&amp;$A261&amp;"\","Dossier"))</f>
        <v/>
      </c>
    </row>
    <row r="262" ht="18" customHeight="1">
      <c r="A262" s="16" t="n"/>
      <c r="B262" s="17" t="n"/>
      <c r="C262" s="17" t="n"/>
      <c r="D262" s="18">
        <f>IF(AND(ISNUMBER($B262),ISNUMBER($C262)),$C262-$B262,"")</f>
        <v/>
      </c>
      <c r="E262" s="19" t="n"/>
      <c r="F262" s="20" t="n"/>
      <c r="G262" s="19" t="n"/>
      <c r="H262" s="20" t="n"/>
      <c r="I262" s="20" t="n"/>
      <c r="J262" s="19" t="n"/>
      <c r="K262" s="16" t="n"/>
      <c r="L262" s="20" t="n"/>
      <c r="M262" s="20" t="n"/>
      <c r="N262" s="17" t="n"/>
      <c r="O262" s="18">
        <f>IF(AND(OR($M262="Envoyé",$M262="En attente"),ISNUMBER($C262),NOT(ISNUMBER($N262))),IF(TODAY()-$C262&gt;=7,"⚠ relancer",""),"")</f>
        <v/>
      </c>
      <c r="P262" s="19" t="n"/>
      <c r="Q262" s="22">
        <f>IF($A262="","",HYPERLINK("Z:\MUSTANG SERVICES\Affaires 2027\"&amp;$A262&amp;"\"&amp;$A262&amp;"_Devis.xlsx","Ouvrir"))</f>
        <v/>
      </c>
      <c r="R262" s="22">
        <f>IF($A262="","",HYPERLINK("Z:\MUSTANG SERVICES\Affaires 2027\"&amp;$A262&amp;"\"&amp;$A262&amp;"_ToolList.xlsx","Ouvrir"))</f>
        <v/>
      </c>
      <c r="S262" s="22">
        <f>IF($A262="","",HYPERLINK("Z:\MUSTANG SERVICES\Affaires 2027\"&amp;$A262&amp;"\"&amp;$A262&amp;"_BL.xlsx","Ouvrir"))</f>
        <v/>
      </c>
      <c r="T262" s="22">
        <f>IF($A262="","",HYPERLINK("Z:\MUSTANG SERVICES\Affaires 2027\"&amp;$A262&amp;"\"&amp;$A262&amp;"_ServiceTicket.xlsx","Ouvrir"))</f>
        <v/>
      </c>
      <c r="U262" s="22">
        <f>IF($A262="","",HYPERLINK("Z:\MUSTANG SERVICES\Affaires 2027\"&amp;$A262&amp;"\","Dossier"))</f>
        <v/>
      </c>
    </row>
    <row r="263" ht="18" customHeight="1">
      <c r="A263" s="16" t="n"/>
      <c r="B263" s="17" t="n"/>
      <c r="C263" s="17" t="n"/>
      <c r="D263" s="18">
        <f>IF(AND(ISNUMBER($B263),ISNUMBER($C263)),$C263-$B263,"")</f>
        <v/>
      </c>
      <c r="E263" s="19" t="n"/>
      <c r="F263" s="20" t="n"/>
      <c r="G263" s="19" t="n"/>
      <c r="H263" s="20" t="n"/>
      <c r="I263" s="20" t="n"/>
      <c r="J263" s="19" t="n"/>
      <c r="K263" s="16" t="n"/>
      <c r="L263" s="20" t="n"/>
      <c r="M263" s="20" t="n"/>
      <c r="N263" s="17" t="n"/>
      <c r="O263" s="18">
        <f>IF(AND(OR($M263="Envoyé",$M263="En attente"),ISNUMBER($C263),NOT(ISNUMBER($N263))),IF(TODAY()-$C263&gt;=7,"⚠ relancer",""),"")</f>
        <v/>
      </c>
      <c r="P263" s="19" t="n"/>
      <c r="Q263" s="22">
        <f>IF($A263="","",HYPERLINK("Z:\MUSTANG SERVICES\Affaires 2027\"&amp;$A263&amp;"\"&amp;$A263&amp;"_Devis.xlsx","Ouvrir"))</f>
        <v/>
      </c>
      <c r="R263" s="22">
        <f>IF($A263="","",HYPERLINK("Z:\MUSTANG SERVICES\Affaires 2027\"&amp;$A263&amp;"\"&amp;$A263&amp;"_ToolList.xlsx","Ouvrir"))</f>
        <v/>
      </c>
      <c r="S263" s="22">
        <f>IF($A263="","",HYPERLINK("Z:\MUSTANG SERVICES\Affaires 2027\"&amp;$A263&amp;"\"&amp;$A263&amp;"_BL.xlsx","Ouvrir"))</f>
        <v/>
      </c>
      <c r="T263" s="22">
        <f>IF($A263="","",HYPERLINK("Z:\MUSTANG SERVICES\Affaires 2027\"&amp;$A263&amp;"\"&amp;$A263&amp;"_ServiceTicket.xlsx","Ouvrir"))</f>
        <v/>
      </c>
      <c r="U263" s="22">
        <f>IF($A263="","",HYPERLINK("Z:\MUSTANG SERVICES\Affaires 2027\"&amp;$A263&amp;"\","Dossier"))</f>
        <v/>
      </c>
    </row>
    <row r="264" ht="18" customHeight="1">
      <c r="A264" s="16" t="n"/>
      <c r="B264" s="17" t="n"/>
      <c r="C264" s="17" t="n"/>
      <c r="D264" s="18">
        <f>IF(AND(ISNUMBER($B264),ISNUMBER($C264)),$C264-$B264,"")</f>
        <v/>
      </c>
      <c r="E264" s="19" t="n"/>
      <c r="F264" s="20" t="n"/>
      <c r="G264" s="19" t="n"/>
      <c r="H264" s="20" t="n"/>
      <c r="I264" s="20" t="n"/>
      <c r="J264" s="19" t="n"/>
      <c r="K264" s="16" t="n"/>
      <c r="L264" s="20" t="n"/>
      <c r="M264" s="20" t="n"/>
      <c r="N264" s="17" t="n"/>
      <c r="O264" s="18">
        <f>IF(AND(OR($M264="Envoyé",$M264="En attente"),ISNUMBER($C264),NOT(ISNUMBER($N264))),IF(TODAY()-$C264&gt;=7,"⚠ relancer",""),"")</f>
        <v/>
      </c>
      <c r="P264" s="19" t="n"/>
      <c r="Q264" s="22">
        <f>IF($A264="","",HYPERLINK("Z:\MUSTANG SERVICES\Affaires 2027\"&amp;$A264&amp;"\"&amp;$A264&amp;"_Devis.xlsx","Ouvrir"))</f>
        <v/>
      </c>
      <c r="R264" s="22">
        <f>IF($A264="","",HYPERLINK("Z:\MUSTANG SERVICES\Affaires 2027\"&amp;$A264&amp;"\"&amp;$A264&amp;"_ToolList.xlsx","Ouvrir"))</f>
        <v/>
      </c>
      <c r="S264" s="22">
        <f>IF($A264="","",HYPERLINK("Z:\MUSTANG SERVICES\Affaires 2027\"&amp;$A264&amp;"\"&amp;$A264&amp;"_BL.xlsx","Ouvrir"))</f>
        <v/>
      </c>
      <c r="T264" s="22">
        <f>IF($A264="","",HYPERLINK("Z:\MUSTANG SERVICES\Affaires 2027\"&amp;$A264&amp;"\"&amp;$A264&amp;"_ServiceTicket.xlsx","Ouvrir"))</f>
        <v/>
      </c>
      <c r="U264" s="22">
        <f>IF($A264="","",HYPERLINK("Z:\MUSTANG SERVICES\Affaires 2027\"&amp;$A264&amp;"\","Dossier"))</f>
        <v/>
      </c>
    </row>
    <row r="265" ht="18" customHeight="1">
      <c r="A265" s="16" t="n"/>
      <c r="B265" s="17" t="n"/>
      <c r="C265" s="17" t="n"/>
      <c r="D265" s="18">
        <f>IF(AND(ISNUMBER($B265),ISNUMBER($C265)),$C265-$B265,"")</f>
        <v/>
      </c>
      <c r="E265" s="19" t="n"/>
      <c r="F265" s="20" t="n"/>
      <c r="G265" s="19" t="n"/>
      <c r="H265" s="20" t="n"/>
      <c r="I265" s="20" t="n"/>
      <c r="J265" s="19" t="n"/>
      <c r="K265" s="16" t="n"/>
      <c r="L265" s="20" t="n"/>
      <c r="M265" s="20" t="n"/>
      <c r="N265" s="17" t="n"/>
      <c r="O265" s="18">
        <f>IF(AND(OR($M265="Envoyé",$M265="En attente"),ISNUMBER($C265),NOT(ISNUMBER($N265))),IF(TODAY()-$C265&gt;=7,"⚠ relancer",""),"")</f>
        <v/>
      </c>
      <c r="P265" s="19" t="n"/>
      <c r="Q265" s="22">
        <f>IF($A265="","",HYPERLINK("Z:\MUSTANG SERVICES\Affaires 2027\"&amp;$A265&amp;"\"&amp;$A265&amp;"_Devis.xlsx","Ouvrir"))</f>
        <v/>
      </c>
      <c r="R265" s="22">
        <f>IF($A265="","",HYPERLINK("Z:\MUSTANG SERVICES\Affaires 2027\"&amp;$A265&amp;"\"&amp;$A265&amp;"_ToolList.xlsx","Ouvrir"))</f>
        <v/>
      </c>
      <c r="S265" s="22">
        <f>IF($A265="","",HYPERLINK("Z:\MUSTANG SERVICES\Affaires 2027\"&amp;$A265&amp;"\"&amp;$A265&amp;"_BL.xlsx","Ouvrir"))</f>
        <v/>
      </c>
      <c r="T265" s="22">
        <f>IF($A265="","",HYPERLINK("Z:\MUSTANG SERVICES\Affaires 2027\"&amp;$A265&amp;"\"&amp;$A265&amp;"_ServiceTicket.xlsx","Ouvrir"))</f>
        <v/>
      </c>
      <c r="U265" s="22">
        <f>IF($A265="","",HYPERLINK("Z:\MUSTANG SERVICES\Affaires 2027\"&amp;$A265&amp;"\","Dossier"))</f>
        <v/>
      </c>
    </row>
    <row r="266" ht="18" customHeight="1">
      <c r="A266" s="16" t="n"/>
      <c r="B266" s="17" t="n"/>
      <c r="C266" s="17" t="n"/>
      <c r="D266" s="18">
        <f>IF(AND(ISNUMBER($B266),ISNUMBER($C266)),$C266-$B266,"")</f>
        <v/>
      </c>
      <c r="E266" s="19" t="n"/>
      <c r="F266" s="20" t="n"/>
      <c r="G266" s="19" t="n"/>
      <c r="H266" s="20" t="n"/>
      <c r="I266" s="20" t="n"/>
      <c r="J266" s="19" t="n"/>
      <c r="K266" s="16" t="n"/>
      <c r="L266" s="20" t="n"/>
      <c r="M266" s="20" t="n"/>
      <c r="N266" s="17" t="n"/>
      <c r="O266" s="18">
        <f>IF(AND(OR($M266="Envoyé",$M266="En attente"),ISNUMBER($C266),NOT(ISNUMBER($N266))),IF(TODAY()-$C266&gt;=7,"⚠ relancer",""),"")</f>
        <v/>
      </c>
      <c r="P266" s="19" t="n"/>
      <c r="Q266" s="22">
        <f>IF($A266="","",HYPERLINK("Z:\MUSTANG SERVICES\Affaires 2027\"&amp;$A266&amp;"\"&amp;$A266&amp;"_Devis.xlsx","Ouvrir"))</f>
        <v/>
      </c>
      <c r="R266" s="22">
        <f>IF($A266="","",HYPERLINK("Z:\MUSTANG SERVICES\Affaires 2027\"&amp;$A266&amp;"\"&amp;$A266&amp;"_ToolList.xlsx","Ouvrir"))</f>
        <v/>
      </c>
      <c r="S266" s="22">
        <f>IF($A266="","",HYPERLINK("Z:\MUSTANG SERVICES\Affaires 2027\"&amp;$A266&amp;"\"&amp;$A266&amp;"_BL.xlsx","Ouvrir"))</f>
        <v/>
      </c>
      <c r="T266" s="22">
        <f>IF($A266="","",HYPERLINK("Z:\MUSTANG SERVICES\Affaires 2027\"&amp;$A266&amp;"\"&amp;$A266&amp;"_ServiceTicket.xlsx","Ouvrir"))</f>
        <v/>
      </c>
      <c r="U266" s="22">
        <f>IF($A266="","",HYPERLINK("Z:\MUSTANG SERVICES\Affaires 2027\"&amp;$A266&amp;"\","Dossier"))</f>
        <v/>
      </c>
    </row>
    <row r="267" ht="18" customHeight="1">
      <c r="A267" s="16" t="n"/>
      <c r="B267" s="17" t="n"/>
      <c r="C267" s="17" t="n"/>
      <c r="D267" s="18">
        <f>IF(AND(ISNUMBER($B267),ISNUMBER($C267)),$C267-$B267,"")</f>
        <v/>
      </c>
      <c r="E267" s="19" t="n"/>
      <c r="F267" s="20" t="n"/>
      <c r="G267" s="19" t="n"/>
      <c r="H267" s="20" t="n"/>
      <c r="I267" s="20" t="n"/>
      <c r="J267" s="19" t="n"/>
      <c r="K267" s="16" t="n"/>
      <c r="L267" s="20" t="n"/>
      <c r="M267" s="20" t="n"/>
      <c r="N267" s="17" t="n"/>
      <c r="O267" s="18">
        <f>IF(AND(OR($M267="Envoyé",$M267="En attente"),ISNUMBER($C267),NOT(ISNUMBER($N267))),IF(TODAY()-$C267&gt;=7,"⚠ relancer",""),"")</f>
        <v/>
      </c>
      <c r="P267" s="19" t="n"/>
      <c r="Q267" s="22">
        <f>IF($A267="","",HYPERLINK("Z:\MUSTANG SERVICES\Affaires 2027\"&amp;$A267&amp;"\"&amp;$A267&amp;"_Devis.xlsx","Ouvrir"))</f>
        <v/>
      </c>
      <c r="R267" s="22">
        <f>IF($A267="","",HYPERLINK("Z:\MUSTANG SERVICES\Affaires 2027\"&amp;$A267&amp;"\"&amp;$A267&amp;"_ToolList.xlsx","Ouvrir"))</f>
        <v/>
      </c>
      <c r="S267" s="22">
        <f>IF($A267="","",HYPERLINK("Z:\MUSTANG SERVICES\Affaires 2027\"&amp;$A267&amp;"\"&amp;$A267&amp;"_BL.xlsx","Ouvrir"))</f>
        <v/>
      </c>
      <c r="T267" s="22">
        <f>IF($A267="","",HYPERLINK("Z:\MUSTANG SERVICES\Affaires 2027\"&amp;$A267&amp;"\"&amp;$A267&amp;"_ServiceTicket.xlsx","Ouvrir"))</f>
        <v/>
      </c>
      <c r="U267" s="22">
        <f>IF($A267="","",HYPERLINK("Z:\MUSTANG SERVICES\Affaires 2027\"&amp;$A267&amp;"\","Dossier"))</f>
        <v/>
      </c>
    </row>
    <row r="268" ht="18" customHeight="1">
      <c r="A268" s="16" t="n"/>
      <c r="B268" s="17" t="n"/>
      <c r="C268" s="17" t="n"/>
      <c r="D268" s="18">
        <f>IF(AND(ISNUMBER($B268),ISNUMBER($C268)),$C268-$B268,"")</f>
        <v/>
      </c>
      <c r="E268" s="19" t="n"/>
      <c r="F268" s="20" t="n"/>
      <c r="G268" s="19" t="n"/>
      <c r="H268" s="20" t="n"/>
      <c r="I268" s="20" t="n"/>
      <c r="J268" s="19" t="n"/>
      <c r="K268" s="16" t="n"/>
      <c r="L268" s="20" t="n"/>
      <c r="M268" s="20" t="n"/>
      <c r="N268" s="17" t="n"/>
      <c r="O268" s="18">
        <f>IF(AND(OR($M268="Envoyé",$M268="En attente"),ISNUMBER($C268),NOT(ISNUMBER($N268))),IF(TODAY()-$C268&gt;=7,"⚠ relancer",""),"")</f>
        <v/>
      </c>
      <c r="P268" s="19" t="n"/>
      <c r="Q268" s="22">
        <f>IF($A268="","",HYPERLINK("Z:\MUSTANG SERVICES\Affaires 2027\"&amp;$A268&amp;"\"&amp;$A268&amp;"_Devis.xlsx","Ouvrir"))</f>
        <v/>
      </c>
      <c r="R268" s="22">
        <f>IF($A268="","",HYPERLINK("Z:\MUSTANG SERVICES\Affaires 2027\"&amp;$A268&amp;"\"&amp;$A268&amp;"_ToolList.xlsx","Ouvrir"))</f>
        <v/>
      </c>
      <c r="S268" s="22">
        <f>IF($A268="","",HYPERLINK("Z:\MUSTANG SERVICES\Affaires 2027\"&amp;$A268&amp;"\"&amp;$A268&amp;"_BL.xlsx","Ouvrir"))</f>
        <v/>
      </c>
      <c r="T268" s="22">
        <f>IF($A268="","",HYPERLINK("Z:\MUSTANG SERVICES\Affaires 2027\"&amp;$A268&amp;"\"&amp;$A268&amp;"_ServiceTicket.xlsx","Ouvrir"))</f>
        <v/>
      </c>
      <c r="U268" s="22">
        <f>IF($A268="","",HYPERLINK("Z:\MUSTANG SERVICES\Affaires 2027\"&amp;$A268&amp;"\","Dossier"))</f>
        <v/>
      </c>
    </row>
    <row r="269" ht="18" customHeight="1">
      <c r="A269" s="16" t="n"/>
      <c r="B269" s="17" t="n"/>
      <c r="C269" s="17" t="n"/>
      <c r="D269" s="18">
        <f>IF(AND(ISNUMBER($B269),ISNUMBER($C269)),$C269-$B269,"")</f>
        <v/>
      </c>
      <c r="E269" s="19" t="n"/>
      <c r="F269" s="20" t="n"/>
      <c r="G269" s="19" t="n"/>
      <c r="H269" s="20" t="n"/>
      <c r="I269" s="20" t="n"/>
      <c r="J269" s="19" t="n"/>
      <c r="K269" s="16" t="n"/>
      <c r="L269" s="20" t="n"/>
      <c r="M269" s="20" t="n"/>
      <c r="N269" s="17" t="n"/>
      <c r="O269" s="18">
        <f>IF(AND(OR($M269="Envoyé",$M269="En attente"),ISNUMBER($C269),NOT(ISNUMBER($N269))),IF(TODAY()-$C269&gt;=7,"⚠ relancer",""),"")</f>
        <v/>
      </c>
      <c r="P269" s="19" t="n"/>
      <c r="Q269" s="22">
        <f>IF($A269="","",HYPERLINK("Z:\MUSTANG SERVICES\Affaires 2027\"&amp;$A269&amp;"\"&amp;$A269&amp;"_Devis.xlsx","Ouvrir"))</f>
        <v/>
      </c>
      <c r="R269" s="22">
        <f>IF($A269="","",HYPERLINK("Z:\MUSTANG SERVICES\Affaires 2027\"&amp;$A269&amp;"\"&amp;$A269&amp;"_ToolList.xlsx","Ouvrir"))</f>
        <v/>
      </c>
      <c r="S269" s="22">
        <f>IF($A269="","",HYPERLINK("Z:\MUSTANG SERVICES\Affaires 2027\"&amp;$A269&amp;"\"&amp;$A269&amp;"_BL.xlsx","Ouvrir"))</f>
        <v/>
      </c>
      <c r="T269" s="22">
        <f>IF($A269="","",HYPERLINK("Z:\MUSTANG SERVICES\Affaires 2027\"&amp;$A269&amp;"\"&amp;$A269&amp;"_ServiceTicket.xlsx","Ouvrir"))</f>
        <v/>
      </c>
      <c r="U269" s="22">
        <f>IF($A269="","",HYPERLINK("Z:\MUSTANG SERVICES\Affaires 2027\"&amp;$A269&amp;"\","Dossier"))</f>
        <v/>
      </c>
    </row>
    <row r="270" ht="18" customHeight="1">
      <c r="A270" s="16" t="n"/>
      <c r="B270" s="17" t="n"/>
      <c r="C270" s="17" t="n"/>
      <c r="D270" s="18">
        <f>IF(AND(ISNUMBER($B270),ISNUMBER($C270)),$C270-$B270,"")</f>
        <v/>
      </c>
      <c r="E270" s="19" t="n"/>
      <c r="F270" s="20" t="n"/>
      <c r="G270" s="19" t="n"/>
      <c r="H270" s="20" t="n"/>
      <c r="I270" s="20" t="n"/>
      <c r="J270" s="19" t="n"/>
      <c r="K270" s="16" t="n"/>
      <c r="L270" s="20" t="n"/>
      <c r="M270" s="20" t="n"/>
      <c r="N270" s="17" t="n"/>
      <c r="O270" s="18">
        <f>IF(AND(OR($M270="Envoyé",$M270="En attente"),ISNUMBER($C270),NOT(ISNUMBER($N270))),IF(TODAY()-$C270&gt;=7,"⚠ relancer",""),"")</f>
        <v/>
      </c>
      <c r="P270" s="19" t="n"/>
      <c r="Q270" s="22">
        <f>IF($A270="","",HYPERLINK("Z:\MUSTANG SERVICES\Affaires 2027\"&amp;$A270&amp;"\"&amp;$A270&amp;"_Devis.xlsx","Ouvrir"))</f>
        <v/>
      </c>
      <c r="R270" s="22">
        <f>IF($A270="","",HYPERLINK("Z:\MUSTANG SERVICES\Affaires 2027\"&amp;$A270&amp;"\"&amp;$A270&amp;"_ToolList.xlsx","Ouvrir"))</f>
        <v/>
      </c>
      <c r="S270" s="22">
        <f>IF($A270="","",HYPERLINK("Z:\MUSTANG SERVICES\Affaires 2027\"&amp;$A270&amp;"\"&amp;$A270&amp;"_BL.xlsx","Ouvrir"))</f>
        <v/>
      </c>
      <c r="T270" s="22">
        <f>IF($A270="","",HYPERLINK("Z:\MUSTANG SERVICES\Affaires 2027\"&amp;$A270&amp;"\"&amp;$A270&amp;"_ServiceTicket.xlsx","Ouvrir"))</f>
        <v/>
      </c>
      <c r="U270" s="22">
        <f>IF($A270="","",HYPERLINK("Z:\MUSTANG SERVICES\Affaires 2027\"&amp;$A270&amp;"\","Dossier"))</f>
        <v/>
      </c>
    </row>
    <row r="271" ht="18" customHeight="1">
      <c r="A271" s="16" t="n"/>
      <c r="B271" s="17" t="n"/>
      <c r="C271" s="17" t="n"/>
      <c r="D271" s="18">
        <f>IF(AND(ISNUMBER($B271),ISNUMBER($C271)),$C271-$B271,"")</f>
        <v/>
      </c>
      <c r="E271" s="19" t="n"/>
      <c r="F271" s="20" t="n"/>
      <c r="G271" s="19" t="n"/>
      <c r="H271" s="20" t="n"/>
      <c r="I271" s="20" t="n"/>
      <c r="J271" s="19" t="n"/>
      <c r="K271" s="16" t="n"/>
      <c r="L271" s="20" t="n"/>
      <c r="M271" s="20" t="n"/>
      <c r="N271" s="17" t="n"/>
      <c r="O271" s="18">
        <f>IF(AND(OR($M271="Envoyé",$M271="En attente"),ISNUMBER($C271),NOT(ISNUMBER($N271))),IF(TODAY()-$C271&gt;=7,"⚠ relancer",""),"")</f>
        <v/>
      </c>
      <c r="P271" s="19" t="n"/>
      <c r="Q271" s="22">
        <f>IF($A271="","",HYPERLINK("Z:\MUSTANG SERVICES\Affaires 2027\"&amp;$A271&amp;"\"&amp;$A271&amp;"_Devis.xlsx","Ouvrir"))</f>
        <v/>
      </c>
      <c r="R271" s="22">
        <f>IF($A271="","",HYPERLINK("Z:\MUSTANG SERVICES\Affaires 2027\"&amp;$A271&amp;"\"&amp;$A271&amp;"_ToolList.xlsx","Ouvrir"))</f>
        <v/>
      </c>
      <c r="S271" s="22">
        <f>IF($A271="","",HYPERLINK("Z:\MUSTANG SERVICES\Affaires 2027\"&amp;$A271&amp;"\"&amp;$A271&amp;"_BL.xlsx","Ouvrir"))</f>
        <v/>
      </c>
      <c r="T271" s="22">
        <f>IF($A271="","",HYPERLINK("Z:\MUSTANG SERVICES\Affaires 2027\"&amp;$A271&amp;"\"&amp;$A271&amp;"_ServiceTicket.xlsx","Ouvrir"))</f>
        <v/>
      </c>
      <c r="U271" s="22">
        <f>IF($A271="","",HYPERLINK("Z:\MUSTANG SERVICES\Affaires 2027\"&amp;$A271&amp;"\","Dossier"))</f>
        <v/>
      </c>
    </row>
    <row r="272" ht="18" customHeight="1">
      <c r="A272" s="16" t="n"/>
      <c r="B272" s="17" t="n"/>
      <c r="C272" s="17" t="n"/>
      <c r="D272" s="18">
        <f>IF(AND(ISNUMBER($B272),ISNUMBER($C272)),$C272-$B272,"")</f>
        <v/>
      </c>
      <c r="E272" s="19" t="n"/>
      <c r="F272" s="20" t="n"/>
      <c r="G272" s="19" t="n"/>
      <c r="H272" s="20" t="n"/>
      <c r="I272" s="20" t="n"/>
      <c r="J272" s="19" t="n"/>
      <c r="K272" s="16" t="n"/>
      <c r="L272" s="20" t="n"/>
      <c r="M272" s="20" t="n"/>
      <c r="N272" s="17" t="n"/>
      <c r="O272" s="18">
        <f>IF(AND(OR($M272="Envoyé",$M272="En attente"),ISNUMBER($C272),NOT(ISNUMBER($N272))),IF(TODAY()-$C272&gt;=7,"⚠ relancer",""),"")</f>
        <v/>
      </c>
      <c r="P272" s="19" t="n"/>
      <c r="Q272" s="22">
        <f>IF($A272="","",HYPERLINK("Z:\MUSTANG SERVICES\Affaires 2027\"&amp;$A272&amp;"\"&amp;$A272&amp;"_Devis.xlsx","Ouvrir"))</f>
        <v/>
      </c>
      <c r="R272" s="22">
        <f>IF($A272="","",HYPERLINK("Z:\MUSTANG SERVICES\Affaires 2027\"&amp;$A272&amp;"\"&amp;$A272&amp;"_ToolList.xlsx","Ouvrir"))</f>
        <v/>
      </c>
      <c r="S272" s="22">
        <f>IF($A272="","",HYPERLINK("Z:\MUSTANG SERVICES\Affaires 2027\"&amp;$A272&amp;"\"&amp;$A272&amp;"_BL.xlsx","Ouvrir"))</f>
        <v/>
      </c>
      <c r="T272" s="22">
        <f>IF($A272="","",HYPERLINK("Z:\MUSTANG SERVICES\Affaires 2027\"&amp;$A272&amp;"\"&amp;$A272&amp;"_ServiceTicket.xlsx","Ouvrir"))</f>
        <v/>
      </c>
      <c r="U272" s="22">
        <f>IF($A272="","",HYPERLINK("Z:\MUSTANG SERVICES\Affaires 2027\"&amp;$A272&amp;"\","Dossier"))</f>
        <v/>
      </c>
    </row>
    <row r="273" ht="18" customHeight="1">
      <c r="A273" s="16" t="n"/>
      <c r="B273" s="17" t="n"/>
      <c r="C273" s="17" t="n"/>
      <c r="D273" s="18">
        <f>IF(AND(ISNUMBER($B273),ISNUMBER($C273)),$C273-$B273,"")</f>
        <v/>
      </c>
      <c r="E273" s="19" t="n"/>
      <c r="F273" s="20" t="n"/>
      <c r="G273" s="19" t="n"/>
      <c r="H273" s="20" t="n"/>
      <c r="I273" s="20" t="n"/>
      <c r="J273" s="19" t="n"/>
      <c r="K273" s="16" t="n"/>
      <c r="L273" s="20" t="n"/>
      <c r="M273" s="20" t="n"/>
      <c r="N273" s="17" t="n"/>
      <c r="O273" s="18">
        <f>IF(AND(OR($M273="Envoyé",$M273="En attente"),ISNUMBER($C273),NOT(ISNUMBER($N273))),IF(TODAY()-$C273&gt;=7,"⚠ relancer",""),"")</f>
        <v/>
      </c>
      <c r="P273" s="19" t="n"/>
      <c r="Q273" s="22">
        <f>IF($A273="","",HYPERLINK("Z:\MUSTANG SERVICES\Affaires 2027\"&amp;$A273&amp;"\"&amp;$A273&amp;"_Devis.xlsx","Ouvrir"))</f>
        <v/>
      </c>
      <c r="R273" s="22">
        <f>IF($A273="","",HYPERLINK("Z:\MUSTANG SERVICES\Affaires 2027\"&amp;$A273&amp;"\"&amp;$A273&amp;"_ToolList.xlsx","Ouvrir"))</f>
        <v/>
      </c>
      <c r="S273" s="22">
        <f>IF($A273="","",HYPERLINK("Z:\MUSTANG SERVICES\Affaires 2027\"&amp;$A273&amp;"\"&amp;$A273&amp;"_BL.xlsx","Ouvrir"))</f>
        <v/>
      </c>
      <c r="T273" s="22">
        <f>IF($A273="","",HYPERLINK("Z:\MUSTANG SERVICES\Affaires 2027\"&amp;$A273&amp;"\"&amp;$A273&amp;"_ServiceTicket.xlsx","Ouvrir"))</f>
        <v/>
      </c>
      <c r="U273" s="22">
        <f>IF($A273="","",HYPERLINK("Z:\MUSTANG SERVICES\Affaires 2027\"&amp;$A273&amp;"\","Dossier"))</f>
        <v/>
      </c>
    </row>
    <row r="274" ht="18" customHeight="1">
      <c r="A274" s="16" t="n"/>
      <c r="B274" s="17" t="n"/>
      <c r="C274" s="17" t="n"/>
      <c r="D274" s="18">
        <f>IF(AND(ISNUMBER($B274),ISNUMBER($C274)),$C274-$B274,"")</f>
        <v/>
      </c>
      <c r="E274" s="19" t="n"/>
      <c r="F274" s="20" t="n"/>
      <c r="G274" s="19" t="n"/>
      <c r="H274" s="20" t="n"/>
      <c r="I274" s="20" t="n"/>
      <c r="J274" s="19" t="n"/>
      <c r="K274" s="16" t="n"/>
      <c r="L274" s="20" t="n"/>
      <c r="M274" s="20" t="n"/>
      <c r="N274" s="17" t="n"/>
      <c r="O274" s="18">
        <f>IF(AND(OR($M274="Envoyé",$M274="En attente"),ISNUMBER($C274),NOT(ISNUMBER($N274))),IF(TODAY()-$C274&gt;=7,"⚠ relancer",""),"")</f>
        <v/>
      </c>
      <c r="P274" s="19" t="n"/>
      <c r="Q274" s="22">
        <f>IF($A274="","",HYPERLINK("Z:\MUSTANG SERVICES\Affaires 2027\"&amp;$A274&amp;"\"&amp;$A274&amp;"_Devis.xlsx","Ouvrir"))</f>
        <v/>
      </c>
      <c r="R274" s="22">
        <f>IF($A274="","",HYPERLINK("Z:\MUSTANG SERVICES\Affaires 2027\"&amp;$A274&amp;"\"&amp;$A274&amp;"_ToolList.xlsx","Ouvrir"))</f>
        <v/>
      </c>
      <c r="S274" s="22">
        <f>IF($A274="","",HYPERLINK("Z:\MUSTANG SERVICES\Affaires 2027\"&amp;$A274&amp;"\"&amp;$A274&amp;"_BL.xlsx","Ouvrir"))</f>
        <v/>
      </c>
      <c r="T274" s="22">
        <f>IF($A274="","",HYPERLINK("Z:\MUSTANG SERVICES\Affaires 2027\"&amp;$A274&amp;"\"&amp;$A274&amp;"_ServiceTicket.xlsx","Ouvrir"))</f>
        <v/>
      </c>
      <c r="U274" s="22">
        <f>IF($A274="","",HYPERLINK("Z:\MUSTANG SERVICES\Affaires 2027\"&amp;$A274&amp;"\","Dossier"))</f>
        <v/>
      </c>
    </row>
    <row r="275" ht="18" customHeight="1">
      <c r="A275" s="16" t="n"/>
      <c r="B275" s="17" t="n"/>
      <c r="C275" s="17" t="n"/>
      <c r="D275" s="18">
        <f>IF(AND(ISNUMBER($B275),ISNUMBER($C275)),$C275-$B275,"")</f>
        <v/>
      </c>
      <c r="E275" s="19" t="n"/>
      <c r="F275" s="20" t="n"/>
      <c r="G275" s="19" t="n"/>
      <c r="H275" s="20" t="n"/>
      <c r="I275" s="20" t="n"/>
      <c r="J275" s="19" t="n"/>
      <c r="K275" s="16" t="n"/>
      <c r="L275" s="20" t="n"/>
      <c r="M275" s="20" t="n"/>
      <c r="N275" s="17" t="n"/>
      <c r="O275" s="18">
        <f>IF(AND(OR($M275="Envoyé",$M275="En attente"),ISNUMBER($C275),NOT(ISNUMBER($N275))),IF(TODAY()-$C275&gt;=7,"⚠ relancer",""),"")</f>
        <v/>
      </c>
      <c r="P275" s="19" t="n"/>
      <c r="Q275" s="22">
        <f>IF($A275="","",HYPERLINK("Z:\MUSTANG SERVICES\Affaires 2027\"&amp;$A275&amp;"\"&amp;$A275&amp;"_Devis.xlsx","Ouvrir"))</f>
        <v/>
      </c>
      <c r="R275" s="22">
        <f>IF($A275="","",HYPERLINK("Z:\MUSTANG SERVICES\Affaires 2027\"&amp;$A275&amp;"\"&amp;$A275&amp;"_ToolList.xlsx","Ouvrir"))</f>
        <v/>
      </c>
      <c r="S275" s="22">
        <f>IF($A275="","",HYPERLINK("Z:\MUSTANG SERVICES\Affaires 2027\"&amp;$A275&amp;"\"&amp;$A275&amp;"_BL.xlsx","Ouvrir"))</f>
        <v/>
      </c>
      <c r="T275" s="22">
        <f>IF($A275="","",HYPERLINK("Z:\MUSTANG SERVICES\Affaires 2027\"&amp;$A275&amp;"\"&amp;$A275&amp;"_ServiceTicket.xlsx","Ouvrir"))</f>
        <v/>
      </c>
      <c r="U275" s="22">
        <f>IF($A275="","",HYPERLINK("Z:\MUSTANG SERVICES\Affaires 2027\"&amp;$A275&amp;"\","Dossier"))</f>
        <v/>
      </c>
    </row>
    <row r="276" ht="18" customHeight="1">
      <c r="A276" s="16" t="n"/>
      <c r="B276" s="17" t="n"/>
      <c r="C276" s="17" t="n"/>
      <c r="D276" s="18">
        <f>IF(AND(ISNUMBER($B276),ISNUMBER($C276)),$C276-$B276,"")</f>
        <v/>
      </c>
      <c r="E276" s="19" t="n"/>
      <c r="F276" s="20" t="n"/>
      <c r="G276" s="19" t="n"/>
      <c r="H276" s="20" t="n"/>
      <c r="I276" s="20" t="n"/>
      <c r="J276" s="19" t="n"/>
      <c r="K276" s="16" t="n"/>
      <c r="L276" s="20" t="n"/>
      <c r="M276" s="20" t="n"/>
      <c r="N276" s="17" t="n"/>
      <c r="O276" s="18">
        <f>IF(AND(OR($M276="Envoyé",$M276="En attente"),ISNUMBER($C276),NOT(ISNUMBER($N276))),IF(TODAY()-$C276&gt;=7,"⚠ relancer",""),"")</f>
        <v/>
      </c>
      <c r="P276" s="19" t="n"/>
      <c r="Q276" s="22">
        <f>IF($A276="","",HYPERLINK("Z:\MUSTANG SERVICES\Affaires 2027\"&amp;$A276&amp;"\"&amp;$A276&amp;"_Devis.xlsx","Ouvrir"))</f>
        <v/>
      </c>
      <c r="R276" s="22">
        <f>IF($A276="","",HYPERLINK("Z:\MUSTANG SERVICES\Affaires 2027\"&amp;$A276&amp;"\"&amp;$A276&amp;"_ToolList.xlsx","Ouvrir"))</f>
        <v/>
      </c>
      <c r="S276" s="22">
        <f>IF($A276="","",HYPERLINK("Z:\MUSTANG SERVICES\Affaires 2027\"&amp;$A276&amp;"\"&amp;$A276&amp;"_BL.xlsx","Ouvrir"))</f>
        <v/>
      </c>
      <c r="T276" s="22">
        <f>IF($A276="","",HYPERLINK("Z:\MUSTANG SERVICES\Affaires 2027\"&amp;$A276&amp;"\"&amp;$A276&amp;"_ServiceTicket.xlsx","Ouvrir"))</f>
        <v/>
      </c>
      <c r="U276" s="22">
        <f>IF($A276="","",HYPERLINK("Z:\MUSTANG SERVICES\Affaires 2027\"&amp;$A276&amp;"\","Dossier"))</f>
        <v/>
      </c>
    </row>
    <row r="277" ht="18" customHeight="1">
      <c r="A277" s="16" t="n"/>
      <c r="B277" s="17" t="n"/>
      <c r="C277" s="17" t="n"/>
      <c r="D277" s="18">
        <f>IF(AND(ISNUMBER($B277),ISNUMBER($C277)),$C277-$B277,"")</f>
        <v/>
      </c>
      <c r="E277" s="19" t="n"/>
      <c r="F277" s="20" t="n"/>
      <c r="G277" s="19" t="n"/>
      <c r="H277" s="20" t="n"/>
      <c r="I277" s="20" t="n"/>
      <c r="J277" s="19" t="n"/>
      <c r="K277" s="16" t="n"/>
      <c r="L277" s="20" t="n"/>
      <c r="M277" s="20" t="n"/>
      <c r="N277" s="17" t="n"/>
      <c r="O277" s="18">
        <f>IF(AND(OR($M277="Envoyé",$M277="En attente"),ISNUMBER($C277),NOT(ISNUMBER($N277))),IF(TODAY()-$C277&gt;=7,"⚠ relancer",""),"")</f>
        <v/>
      </c>
      <c r="P277" s="19" t="n"/>
      <c r="Q277" s="22">
        <f>IF($A277="","",HYPERLINK("Z:\MUSTANG SERVICES\Affaires 2027\"&amp;$A277&amp;"\"&amp;$A277&amp;"_Devis.xlsx","Ouvrir"))</f>
        <v/>
      </c>
      <c r="R277" s="22">
        <f>IF($A277="","",HYPERLINK("Z:\MUSTANG SERVICES\Affaires 2027\"&amp;$A277&amp;"\"&amp;$A277&amp;"_ToolList.xlsx","Ouvrir"))</f>
        <v/>
      </c>
      <c r="S277" s="22">
        <f>IF($A277="","",HYPERLINK("Z:\MUSTANG SERVICES\Affaires 2027\"&amp;$A277&amp;"\"&amp;$A277&amp;"_BL.xlsx","Ouvrir"))</f>
        <v/>
      </c>
      <c r="T277" s="22">
        <f>IF($A277="","",HYPERLINK("Z:\MUSTANG SERVICES\Affaires 2027\"&amp;$A277&amp;"\"&amp;$A277&amp;"_ServiceTicket.xlsx","Ouvrir"))</f>
        <v/>
      </c>
      <c r="U277" s="22">
        <f>IF($A277="","",HYPERLINK("Z:\MUSTANG SERVICES\Affaires 2027\"&amp;$A277&amp;"\","Dossier"))</f>
        <v/>
      </c>
    </row>
    <row r="278" ht="18" customHeight="1">
      <c r="A278" s="16" t="n"/>
      <c r="B278" s="17" t="n"/>
      <c r="C278" s="17" t="n"/>
      <c r="D278" s="18">
        <f>IF(AND(ISNUMBER($B278),ISNUMBER($C278)),$C278-$B278,"")</f>
        <v/>
      </c>
      <c r="E278" s="19" t="n"/>
      <c r="F278" s="20" t="n"/>
      <c r="G278" s="19" t="n"/>
      <c r="H278" s="20" t="n"/>
      <c r="I278" s="20" t="n"/>
      <c r="J278" s="19" t="n"/>
      <c r="K278" s="16" t="n"/>
      <c r="L278" s="20" t="n"/>
      <c r="M278" s="20" t="n"/>
      <c r="N278" s="17" t="n"/>
      <c r="O278" s="18">
        <f>IF(AND(OR($M278="Envoyé",$M278="En attente"),ISNUMBER($C278),NOT(ISNUMBER($N278))),IF(TODAY()-$C278&gt;=7,"⚠ relancer",""),"")</f>
        <v/>
      </c>
      <c r="P278" s="19" t="n"/>
      <c r="Q278" s="22">
        <f>IF($A278="","",HYPERLINK("Z:\MUSTANG SERVICES\Affaires 2027\"&amp;$A278&amp;"\"&amp;$A278&amp;"_Devis.xlsx","Ouvrir"))</f>
        <v/>
      </c>
      <c r="R278" s="22">
        <f>IF($A278="","",HYPERLINK("Z:\MUSTANG SERVICES\Affaires 2027\"&amp;$A278&amp;"\"&amp;$A278&amp;"_ToolList.xlsx","Ouvrir"))</f>
        <v/>
      </c>
      <c r="S278" s="22">
        <f>IF($A278="","",HYPERLINK("Z:\MUSTANG SERVICES\Affaires 2027\"&amp;$A278&amp;"\"&amp;$A278&amp;"_BL.xlsx","Ouvrir"))</f>
        <v/>
      </c>
      <c r="T278" s="22">
        <f>IF($A278="","",HYPERLINK("Z:\MUSTANG SERVICES\Affaires 2027\"&amp;$A278&amp;"\"&amp;$A278&amp;"_ServiceTicket.xlsx","Ouvrir"))</f>
        <v/>
      </c>
      <c r="U278" s="22">
        <f>IF($A278="","",HYPERLINK("Z:\MUSTANG SERVICES\Affaires 2027\"&amp;$A278&amp;"\","Dossier"))</f>
        <v/>
      </c>
    </row>
    <row r="279" ht="18" customHeight="1">
      <c r="A279" s="16" t="n"/>
      <c r="B279" s="17" t="n"/>
      <c r="C279" s="17" t="n"/>
      <c r="D279" s="18">
        <f>IF(AND(ISNUMBER($B279),ISNUMBER($C279)),$C279-$B279,"")</f>
        <v/>
      </c>
      <c r="E279" s="19" t="n"/>
      <c r="F279" s="20" t="n"/>
      <c r="G279" s="19" t="n"/>
      <c r="H279" s="20" t="n"/>
      <c r="I279" s="20" t="n"/>
      <c r="J279" s="19" t="n"/>
      <c r="K279" s="16" t="n"/>
      <c r="L279" s="20" t="n"/>
      <c r="M279" s="20" t="n"/>
      <c r="N279" s="17" t="n"/>
      <c r="O279" s="18">
        <f>IF(AND(OR($M279="Envoyé",$M279="En attente"),ISNUMBER($C279),NOT(ISNUMBER($N279))),IF(TODAY()-$C279&gt;=7,"⚠ relancer",""),"")</f>
        <v/>
      </c>
      <c r="P279" s="19" t="n"/>
      <c r="Q279" s="22">
        <f>IF($A279="","",HYPERLINK("Z:\MUSTANG SERVICES\Affaires 2027\"&amp;$A279&amp;"\"&amp;$A279&amp;"_Devis.xlsx","Ouvrir"))</f>
        <v/>
      </c>
      <c r="R279" s="22">
        <f>IF($A279="","",HYPERLINK("Z:\MUSTANG SERVICES\Affaires 2027\"&amp;$A279&amp;"\"&amp;$A279&amp;"_ToolList.xlsx","Ouvrir"))</f>
        <v/>
      </c>
      <c r="S279" s="22">
        <f>IF($A279="","",HYPERLINK("Z:\MUSTANG SERVICES\Affaires 2027\"&amp;$A279&amp;"\"&amp;$A279&amp;"_BL.xlsx","Ouvrir"))</f>
        <v/>
      </c>
      <c r="T279" s="22">
        <f>IF($A279="","",HYPERLINK("Z:\MUSTANG SERVICES\Affaires 2027\"&amp;$A279&amp;"\"&amp;$A279&amp;"_ServiceTicket.xlsx","Ouvrir"))</f>
        <v/>
      </c>
      <c r="U279" s="22">
        <f>IF($A279="","",HYPERLINK("Z:\MUSTANG SERVICES\Affaires 2027\"&amp;$A279&amp;"\","Dossier"))</f>
        <v/>
      </c>
    </row>
    <row r="280" ht="18" customHeight="1">
      <c r="A280" s="16" t="n"/>
      <c r="B280" s="17" t="n"/>
      <c r="C280" s="17" t="n"/>
      <c r="D280" s="18">
        <f>IF(AND(ISNUMBER($B280),ISNUMBER($C280)),$C280-$B280,"")</f>
        <v/>
      </c>
      <c r="E280" s="19" t="n"/>
      <c r="F280" s="20" t="n"/>
      <c r="G280" s="19" t="n"/>
      <c r="H280" s="20" t="n"/>
      <c r="I280" s="20" t="n"/>
      <c r="J280" s="19" t="n"/>
      <c r="K280" s="16" t="n"/>
      <c r="L280" s="20" t="n"/>
      <c r="M280" s="20" t="n"/>
      <c r="N280" s="17" t="n"/>
      <c r="O280" s="18">
        <f>IF(AND(OR($M280="Envoyé",$M280="En attente"),ISNUMBER($C280),NOT(ISNUMBER($N280))),IF(TODAY()-$C280&gt;=7,"⚠ relancer",""),"")</f>
        <v/>
      </c>
      <c r="P280" s="19" t="n"/>
      <c r="Q280" s="22">
        <f>IF($A280="","",HYPERLINK("Z:\MUSTANG SERVICES\Affaires 2027\"&amp;$A280&amp;"\"&amp;$A280&amp;"_Devis.xlsx","Ouvrir"))</f>
        <v/>
      </c>
      <c r="R280" s="22">
        <f>IF($A280="","",HYPERLINK("Z:\MUSTANG SERVICES\Affaires 2027\"&amp;$A280&amp;"\"&amp;$A280&amp;"_ToolList.xlsx","Ouvrir"))</f>
        <v/>
      </c>
      <c r="S280" s="22">
        <f>IF($A280="","",HYPERLINK("Z:\MUSTANG SERVICES\Affaires 2027\"&amp;$A280&amp;"\"&amp;$A280&amp;"_BL.xlsx","Ouvrir"))</f>
        <v/>
      </c>
      <c r="T280" s="22">
        <f>IF($A280="","",HYPERLINK("Z:\MUSTANG SERVICES\Affaires 2027\"&amp;$A280&amp;"\"&amp;$A280&amp;"_ServiceTicket.xlsx","Ouvrir"))</f>
        <v/>
      </c>
      <c r="U280" s="22">
        <f>IF($A280="","",HYPERLINK("Z:\MUSTANG SERVICES\Affaires 2027\"&amp;$A280&amp;"\","Dossier"))</f>
        <v/>
      </c>
    </row>
    <row r="281" ht="18" customHeight="1">
      <c r="A281" s="16" t="n"/>
      <c r="B281" s="17" t="n"/>
      <c r="C281" s="17" t="n"/>
      <c r="D281" s="18">
        <f>IF(AND(ISNUMBER($B281),ISNUMBER($C281)),$C281-$B281,"")</f>
        <v/>
      </c>
      <c r="E281" s="19" t="n"/>
      <c r="F281" s="20" t="n"/>
      <c r="G281" s="19" t="n"/>
      <c r="H281" s="20" t="n"/>
      <c r="I281" s="20" t="n"/>
      <c r="J281" s="19" t="n"/>
      <c r="K281" s="16" t="n"/>
      <c r="L281" s="20" t="n"/>
      <c r="M281" s="20" t="n"/>
      <c r="N281" s="17" t="n"/>
      <c r="O281" s="18">
        <f>IF(AND(OR($M281="Envoyé",$M281="En attente"),ISNUMBER($C281),NOT(ISNUMBER($N281))),IF(TODAY()-$C281&gt;=7,"⚠ relancer",""),"")</f>
        <v/>
      </c>
      <c r="P281" s="19" t="n"/>
      <c r="Q281" s="22">
        <f>IF($A281="","",HYPERLINK("Z:\MUSTANG SERVICES\Affaires 2027\"&amp;$A281&amp;"\"&amp;$A281&amp;"_Devis.xlsx","Ouvrir"))</f>
        <v/>
      </c>
      <c r="R281" s="22">
        <f>IF($A281="","",HYPERLINK("Z:\MUSTANG SERVICES\Affaires 2027\"&amp;$A281&amp;"\"&amp;$A281&amp;"_ToolList.xlsx","Ouvrir"))</f>
        <v/>
      </c>
      <c r="S281" s="22">
        <f>IF($A281="","",HYPERLINK("Z:\MUSTANG SERVICES\Affaires 2027\"&amp;$A281&amp;"\"&amp;$A281&amp;"_BL.xlsx","Ouvrir"))</f>
        <v/>
      </c>
      <c r="T281" s="22">
        <f>IF($A281="","",HYPERLINK("Z:\MUSTANG SERVICES\Affaires 2027\"&amp;$A281&amp;"\"&amp;$A281&amp;"_ServiceTicket.xlsx","Ouvrir"))</f>
        <v/>
      </c>
      <c r="U281" s="22">
        <f>IF($A281="","",HYPERLINK("Z:\MUSTANG SERVICES\Affaires 2027\"&amp;$A281&amp;"\","Dossier"))</f>
        <v/>
      </c>
    </row>
    <row r="282" ht="18" customHeight="1">
      <c r="A282" s="16" t="n"/>
      <c r="B282" s="17" t="n"/>
      <c r="C282" s="17" t="n"/>
      <c r="D282" s="18">
        <f>IF(AND(ISNUMBER($B282),ISNUMBER($C282)),$C282-$B282,"")</f>
        <v/>
      </c>
      <c r="E282" s="19" t="n"/>
      <c r="F282" s="20" t="n"/>
      <c r="G282" s="19" t="n"/>
      <c r="H282" s="20" t="n"/>
      <c r="I282" s="20" t="n"/>
      <c r="J282" s="19" t="n"/>
      <c r="K282" s="16" t="n"/>
      <c r="L282" s="20" t="n"/>
      <c r="M282" s="20" t="n"/>
      <c r="N282" s="17" t="n"/>
      <c r="O282" s="18">
        <f>IF(AND(OR($M282="Envoyé",$M282="En attente"),ISNUMBER($C282),NOT(ISNUMBER($N282))),IF(TODAY()-$C282&gt;=7,"⚠ relancer",""),"")</f>
        <v/>
      </c>
      <c r="P282" s="19" t="n"/>
      <c r="Q282" s="22">
        <f>IF($A282="","",HYPERLINK("Z:\MUSTANG SERVICES\Affaires 2027\"&amp;$A282&amp;"\"&amp;$A282&amp;"_Devis.xlsx","Ouvrir"))</f>
        <v/>
      </c>
      <c r="R282" s="22">
        <f>IF($A282="","",HYPERLINK("Z:\MUSTANG SERVICES\Affaires 2027\"&amp;$A282&amp;"\"&amp;$A282&amp;"_ToolList.xlsx","Ouvrir"))</f>
        <v/>
      </c>
      <c r="S282" s="22">
        <f>IF($A282="","",HYPERLINK("Z:\MUSTANG SERVICES\Affaires 2027\"&amp;$A282&amp;"\"&amp;$A282&amp;"_BL.xlsx","Ouvrir"))</f>
        <v/>
      </c>
      <c r="T282" s="22">
        <f>IF($A282="","",HYPERLINK("Z:\MUSTANG SERVICES\Affaires 2027\"&amp;$A282&amp;"\"&amp;$A282&amp;"_ServiceTicket.xlsx","Ouvrir"))</f>
        <v/>
      </c>
      <c r="U282" s="22">
        <f>IF($A282="","",HYPERLINK("Z:\MUSTANG SERVICES\Affaires 2027\"&amp;$A282&amp;"\","Dossier"))</f>
        <v/>
      </c>
    </row>
    <row r="283" ht="18" customHeight="1">
      <c r="A283" s="16" t="n"/>
      <c r="B283" s="17" t="n"/>
      <c r="C283" s="17" t="n"/>
      <c r="D283" s="18">
        <f>IF(AND(ISNUMBER($B283),ISNUMBER($C283)),$C283-$B283,"")</f>
        <v/>
      </c>
      <c r="E283" s="19" t="n"/>
      <c r="F283" s="20" t="n"/>
      <c r="G283" s="19" t="n"/>
      <c r="H283" s="20" t="n"/>
      <c r="I283" s="20" t="n"/>
      <c r="J283" s="19" t="n"/>
      <c r="K283" s="16" t="n"/>
      <c r="L283" s="20" t="n"/>
      <c r="M283" s="20" t="n"/>
      <c r="N283" s="17" t="n"/>
      <c r="O283" s="18">
        <f>IF(AND(OR($M283="Envoyé",$M283="En attente"),ISNUMBER($C283),NOT(ISNUMBER($N283))),IF(TODAY()-$C283&gt;=7,"⚠ relancer",""),"")</f>
        <v/>
      </c>
      <c r="P283" s="19" t="n"/>
      <c r="Q283" s="22">
        <f>IF($A283="","",HYPERLINK("Z:\MUSTANG SERVICES\Affaires 2027\"&amp;$A283&amp;"\"&amp;$A283&amp;"_Devis.xlsx","Ouvrir"))</f>
        <v/>
      </c>
      <c r="R283" s="22">
        <f>IF($A283="","",HYPERLINK("Z:\MUSTANG SERVICES\Affaires 2027\"&amp;$A283&amp;"\"&amp;$A283&amp;"_ToolList.xlsx","Ouvrir"))</f>
        <v/>
      </c>
      <c r="S283" s="22">
        <f>IF($A283="","",HYPERLINK("Z:\MUSTANG SERVICES\Affaires 2027\"&amp;$A283&amp;"\"&amp;$A283&amp;"_BL.xlsx","Ouvrir"))</f>
        <v/>
      </c>
      <c r="T283" s="22">
        <f>IF($A283="","",HYPERLINK("Z:\MUSTANG SERVICES\Affaires 2027\"&amp;$A283&amp;"\"&amp;$A283&amp;"_ServiceTicket.xlsx","Ouvrir"))</f>
        <v/>
      </c>
      <c r="U283" s="22">
        <f>IF($A283="","",HYPERLINK("Z:\MUSTANG SERVICES\Affaires 2027\"&amp;$A283&amp;"\","Dossier"))</f>
        <v/>
      </c>
    </row>
    <row r="284" ht="18" customHeight="1">
      <c r="A284" s="16" t="n"/>
      <c r="B284" s="17" t="n"/>
      <c r="C284" s="17" t="n"/>
      <c r="D284" s="18">
        <f>IF(AND(ISNUMBER($B284),ISNUMBER($C284)),$C284-$B284,"")</f>
        <v/>
      </c>
      <c r="E284" s="19" t="n"/>
      <c r="F284" s="20" t="n"/>
      <c r="G284" s="19" t="n"/>
      <c r="H284" s="20" t="n"/>
      <c r="I284" s="20" t="n"/>
      <c r="J284" s="19" t="n"/>
      <c r="K284" s="16" t="n"/>
      <c r="L284" s="20" t="n"/>
      <c r="M284" s="20" t="n"/>
      <c r="N284" s="17" t="n"/>
      <c r="O284" s="18">
        <f>IF(AND(OR($M284="Envoyé",$M284="En attente"),ISNUMBER($C284),NOT(ISNUMBER($N284))),IF(TODAY()-$C284&gt;=7,"⚠ relancer",""),"")</f>
        <v/>
      </c>
      <c r="P284" s="19" t="n"/>
      <c r="Q284" s="22">
        <f>IF($A284="","",HYPERLINK("Z:\MUSTANG SERVICES\Affaires 2027\"&amp;$A284&amp;"\"&amp;$A284&amp;"_Devis.xlsx","Ouvrir"))</f>
        <v/>
      </c>
      <c r="R284" s="22">
        <f>IF($A284="","",HYPERLINK("Z:\MUSTANG SERVICES\Affaires 2027\"&amp;$A284&amp;"\"&amp;$A284&amp;"_ToolList.xlsx","Ouvrir"))</f>
        <v/>
      </c>
      <c r="S284" s="22">
        <f>IF($A284="","",HYPERLINK("Z:\MUSTANG SERVICES\Affaires 2027\"&amp;$A284&amp;"\"&amp;$A284&amp;"_BL.xlsx","Ouvrir"))</f>
        <v/>
      </c>
      <c r="T284" s="22">
        <f>IF($A284="","",HYPERLINK("Z:\MUSTANG SERVICES\Affaires 2027\"&amp;$A284&amp;"\"&amp;$A284&amp;"_ServiceTicket.xlsx","Ouvrir"))</f>
        <v/>
      </c>
      <c r="U284" s="22">
        <f>IF($A284="","",HYPERLINK("Z:\MUSTANG SERVICES\Affaires 2027\"&amp;$A284&amp;"\","Dossier"))</f>
        <v/>
      </c>
    </row>
    <row r="285" ht="18" customHeight="1">
      <c r="A285" s="16" t="n"/>
      <c r="B285" s="17" t="n"/>
      <c r="C285" s="17" t="n"/>
      <c r="D285" s="18">
        <f>IF(AND(ISNUMBER($B285),ISNUMBER($C285)),$C285-$B285,"")</f>
        <v/>
      </c>
      <c r="E285" s="19" t="n"/>
      <c r="F285" s="20" t="n"/>
      <c r="G285" s="19" t="n"/>
      <c r="H285" s="20" t="n"/>
      <c r="I285" s="20" t="n"/>
      <c r="J285" s="19" t="n"/>
      <c r="K285" s="16" t="n"/>
      <c r="L285" s="20" t="n"/>
      <c r="M285" s="20" t="n"/>
      <c r="N285" s="17" t="n"/>
      <c r="O285" s="18">
        <f>IF(AND(OR($M285="Envoyé",$M285="En attente"),ISNUMBER($C285),NOT(ISNUMBER($N285))),IF(TODAY()-$C285&gt;=7,"⚠ relancer",""),"")</f>
        <v/>
      </c>
      <c r="P285" s="19" t="n"/>
      <c r="Q285" s="22">
        <f>IF($A285="","",HYPERLINK("Z:\MUSTANG SERVICES\Affaires 2027\"&amp;$A285&amp;"\"&amp;$A285&amp;"_Devis.xlsx","Ouvrir"))</f>
        <v/>
      </c>
      <c r="R285" s="22">
        <f>IF($A285="","",HYPERLINK("Z:\MUSTANG SERVICES\Affaires 2027\"&amp;$A285&amp;"\"&amp;$A285&amp;"_ToolList.xlsx","Ouvrir"))</f>
        <v/>
      </c>
      <c r="S285" s="22">
        <f>IF($A285="","",HYPERLINK("Z:\MUSTANG SERVICES\Affaires 2027\"&amp;$A285&amp;"\"&amp;$A285&amp;"_BL.xlsx","Ouvrir"))</f>
        <v/>
      </c>
      <c r="T285" s="22">
        <f>IF($A285="","",HYPERLINK("Z:\MUSTANG SERVICES\Affaires 2027\"&amp;$A285&amp;"\"&amp;$A285&amp;"_ServiceTicket.xlsx","Ouvrir"))</f>
        <v/>
      </c>
      <c r="U285" s="22">
        <f>IF($A285="","",HYPERLINK("Z:\MUSTANG SERVICES\Affaires 2027\"&amp;$A285&amp;"\","Dossier"))</f>
        <v/>
      </c>
    </row>
    <row r="286" ht="18" customHeight="1">
      <c r="A286" s="16" t="n"/>
      <c r="B286" s="17" t="n"/>
      <c r="C286" s="17" t="n"/>
      <c r="D286" s="18">
        <f>IF(AND(ISNUMBER($B286),ISNUMBER($C286)),$C286-$B286,"")</f>
        <v/>
      </c>
      <c r="E286" s="19" t="n"/>
      <c r="F286" s="20" t="n"/>
      <c r="G286" s="19" t="n"/>
      <c r="H286" s="20" t="n"/>
      <c r="I286" s="20" t="n"/>
      <c r="J286" s="19" t="n"/>
      <c r="K286" s="16" t="n"/>
      <c r="L286" s="20" t="n"/>
      <c r="M286" s="20" t="n"/>
      <c r="N286" s="17" t="n"/>
      <c r="O286" s="18">
        <f>IF(AND(OR($M286="Envoyé",$M286="En attente"),ISNUMBER($C286),NOT(ISNUMBER($N286))),IF(TODAY()-$C286&gt;=7,"⚠ relancer",""),"")</f>
        <v/>
      </c>
      <c r="P286" s="19" t="n"/>
      <c r="Q286" s="22">
        <f>IF($A286="","",HYPERLINK("Z:\MUSTANG SERVICES\Affaires 2027\"&amp;$A286&amp;"\"&amp;$A286&amp;"_Devis.xlsx","Ouvrir"))</f>
        <v/>
      </c>
      <c r="R286" s="22">
        <f>IF($A286="","",HYPERLINK("Z:\MUSTANG SERVICES\Affaires 2027\"&amp;$A286&amp;"\"&amp;$A286&amp;"_ToolList.xlsx","Ouvrir"))</f>
        <v/>
      </c>
      <c r="S286" s="22">
        <f>IF($A286="","",HYPERLINK("Z:\MUSTANG SERVICES\Affaires 2027\"&amp;$A286&amp;"\"&amp;$A286&amp;"_BL.xlsx","Ouvrir"))</f>
        <v/>
      </c>
      <c r="T286" s="22">
        <f>IF($A286="","",HYPERLINK("Z:\MUSTANG SERVICES\Affaires 2027\"&amp;$A286&amp;"\"&amp;$A286&amp;"_ServiceTicket.xlsx","Ouvrir"))</f>
        <v/>
      </c>
      <c r="U286" s="22">
        <f>IF($A286="","",HYPERLINK("Z:\MUSTANG SERVICES\Affaires 2027\"&amp;$A286&amp;"\","Dossier"))</f>
        <v/>
      </c>
    </row>
    <row r="287" ht="18" customHeight="1">
      <c r="A287" s="16" t="n"/>
      <c r="B287" s="17" t="n"/>
      <c r="C287" s="17" t="n"/>
      <c r="D287" s="18">
        <f>IF(AND(ISNUMBER($B287),ISNUMBER($C287)),$C287-$B287,"")</f>
        <v/>
      </c>
      <c r="E287" s="19" t="n"/>
      <c r="F287" s="20" t="n"/>
      <c r="G287" s="19" t="n"/>
      <c r="H287" s="20" t="n"/>
      <c r="I287" s="20" t="n"/>
      <c r="J287" s="19" t="n"/>
      <c r="K287" s="16" t="n"/>
      <c r="L287" s="20" t="n"/>
      <c r="M287" s="20" t="n"/>
      <c r="N287" s="17" t="n"/>
      <c r="O287" s="18">
        <f>IF(AND(OR($M287="Envoyé",$M287="En attente"),ISNUMBER($C287),NOT(ISNUMBER($N287))),IF(TODAY()-$C287&gt;=7,"⚠ relancer",""),"")</f>
        <v/>
      </c>
      <c r="P287" s="19" t="n"/>
      <c r="Q287" s="22">
        <f>IF($A287="","",HYPERLINK("Z:\MUSTANG SERVICES\Affaires 2027\"&amp;$A287&amp;"\"&amp;$A287&amp;"_Devis.xlsx","Ouvrir"))</f>
        <v/>
      </c>
      <c r="R287" s="22">
        <f>IF($A287="","",HYPERLINK("Z:\MUSTANG SERVICES\Affaires 2027\"&amp;$A287&amp;"\"&amp;$A287&amp;"_ToolList.xlsx","Ouvrir"))</f>
        <v/>
      </c>
      <c r="S287" s="22">
        <f>IF($A287="","",HYPERLINK("Z:\MUSTANG SERVICES\Affaires 2027\"&amp;$A287&amp;"\"&amp;$A287&amp;"_BL.xlsx","Ouvrir"))</f>
        <v/>
      </c>
      <c r="T287" s="22">
        <f>IF($A287="","",HYPERLINK("Z:\MUSTANG SERVICES\Affaires 2027\"&amp;$A287&amp;"\"&amp;$A287&amp;"_ServiceTicket.xlsx","Ouvrir"))</f>
        <v/>
      </c>
      <c r="U287" s="22">
        <f>IF($A287="","",HYPERLINK("Z:\MUSTANG SERVICES\Affaires 2027\"&amp;$A287&amp;"\","Dossier"))</f>
        <v/>
      </c>
    </row>
    <row r="288" ht="18" customHeight="1">
      <c r="A288" s="16" t="n"/>
      <c r="B288" s="17" t="n"/>
      <c r="C288" s="17" t="n"/>
      <c r="D288" s="18">
        <f>IF(AND(ISNUMBER($B288),ISNUMBER($C288)),$C288-$B288,"")</f>
        <v/>
      </c>
      <c r="E288" s="19" t="n"/>
      <c r="F288" s="20" t="n"/>
      <c r="G288" s="19" t="n"/>
      <c r="H288" s="20" t="n"/>
      <c r="I288" s="20" t="n"/>
      <c r="J288" s="19" t="n"/>
      <c r="K288" s="16" t="n"/>
      <c r="L288" s="20" t="n"/>
      <c r="M288" s="20" t="n"/>
      <c r="N288" s="17" t="n"/>
      <c r="O288" s="18">
        <f>IF(AND(OR($M288="Envoyé",$M288="En attente"),ISNUMBER($C288),NOT(ISNUMBER($N288))),IF(TODAY()-$C288&gt;=7,"⚠ relancer",""),"")</f>
        <v/>
      </c>
      <c r="P288" s="19" t="n"/>
      <c r="Q288" s="22">
        <f>IF($A288="","",HYPERLINK("Z:\MUSTANG SERVICES\Affaires 2027\"&amp;$A288&amp;"\"&amp;$A288&amp;"_Devis.xlsx","Ouvrir"))</f>
        <v/>
      </c>
      <c r="R288" s="22">
        <f>IF($A288="","",HYPERLINK("Z:\MUSTANG SERVICES\Affaires 2027\"&amp;$A288&amp;"\"&amp;$A288&amp;"_ToolList.xlsx","Ouvrir"))</f>
        <v/>
      </c>
      <c r="S288" s="22">
        <f>IF($A288="","",HYPERLINK("Z:\MUSTANG SERVICES\Affaires 2027\"&amp;$A288&amp;"\"&amp;$A288&amp;"_BL.xlsx","Ouvrir"))</f>
        <v/>
      </c>
      <c r="T288" s="22">
        <f>IF($A288="","",HYPERLINK("Z:\MUSTANG SERVICES\Affaires 2027\"&amp;$A288&amp;"\"&amp;$A288&amp;"_ServiceTicket.xlsx","Ouvrir"))</f>
        <v/>
      </c>
      <c r="U288" s="22">
        <f>IF($A288="","",HYPERLINK("Z:\MUSTANG SERVICES\Affaires 2027\"&amp;$A288&amp;"\","Dossier"))</f>
        <v/>
      </c>
    </row>
    <row r="289" ht="18" customHeight="1">
      <c r="A289" s="16" t="n"/>
      <c r="B289" s="17" t="n"/>
      <c r="C289" s="17" t="n"/>
      <c r="D289" s="18">
        <f>IF(AND(ISNUMBER($B289),ISNUMBER($C289)),$C289-$B289,"")</f>
        <v/>
      </c>
      <c r="E289" s="19" t="n"/>
      <c r="F289" s="20" t="n"/>
      <c r="G289" s="19" t="n"/>
      <c r="H289" s="20" t="n"/>
      <c r="I289" s="20" t="n"/>
      <c r="J289" s="19" t="n"/>
      <c r="K289" s="16" t="n"/>
      <c r="L289" s="20" t="n"/>
      <c r="M289" s="20" t="n"/>
      <c r="N289" s="17" t="n"/>
      <c r="O289" s="18">
        <f>IF(AND(OR($M289="Envoyé",$M289="En attente"),ISNUMBER($C289),NOT(ISNUMBER($N289))),IF(TODAY()-$C289&gt;=7,"⚠ relancer",""),"")</f>
        <v/>
      </c>
      <c r="P289" s="19" t="n"/>
      <c r="Q289" s="22">
        <f>IF($A289="","",HYPERLINK("Z:\MUSTANG SERVICES\Affaires 2027\"&amp;$A289&amp;"\"&amp;$A289&amp;"_Devis.xlsx","Ouvrir"))</f>
        <v/>
      </c>
      <c r="R289" s="22">
        <f>IF($A289="","",HYPERLINK("Z:\MUSTANG SERVICES\Affaires 2027\"&amp;$A289&amp;"\"&amp;$A289&amp;"_ToolList.xlsx","Ouvrir"))</f>
        <v/>
      </c>
      <c r="S289" s="22">
        <f>IF($A289="","",HYPERLINK("Z:\MUSTANG SERVICES\Affaires 2027\"&amp;$A289&amp;"\"&amp;$A289&amp;"_BL.xlsx","Ouvrir"))</f>
        <v/>
      </c>
      <c r="T289" s="22">
        <f>IF($A289="","",HYPERLINK("Z:\MUSTANG SERVICES\Affaires 2027\"&amp;$A289&amp;"\"&amp;$A289&amp;"_ServiceTicket.xlsx","Ouvrir"))</f>
        <v/>
      </c>
      <c r="U289" s="22">
        <f>IF($A289="","",HYPERLINK("Z:\MUSTANG SERVICES\Affaires 2027\"&amp;$A289&amp;"\","Dossier"))</f>
        <v/>
      </c>
    </row>
    <row r="290" ht="18" customHeight="1">
      <c r="A290" s="16" t="n"/>
      <c r="B290" s="17" t="n"/>
      <c r="C290" s="17" t="n"/>
      <c r="D290" s="18">
        <f>IF(AND(ISNUMBER($B290),ISNUMBER($C290)),$C290-$B290,"")</f>
        <v/>
      </c>
      <c r="E290" s="19" t="n"/>
      <c r="F290" s="20" t="n"/>
      <c r="G290" s="19" t="n"/>
      <c r="H290" s="20" t="n"/>
      <c r="I290" s="20" t="n"/>
      <c r="J290" s="19" t="n"/>
      <c r="K290" s="16" t="n"/>
      <c r="L290" s="20" t="n"/>
      <c r="M290" s="20" t="n"/>
      <c r="N290" s="17" t="n"/>
      <c r="O290" s="18">
        <f>IF(AND(OR($M290="Envoyé",$M290="En attente"),ISNUMBER($C290),NOT(ISNUMBER($N290))),IF(TODAY()-$C290&gt;=7,"⚠ relancer",""),"")</f>
        <v/>
      </c>
      <c r="P290" s="19" t="n"/>
      <c r="Q290" s="22">
        <f>IF($A290="","",HYPERLINK("Z:\MUSTANG SERVICES\Affaires 2027\"&amp;$A290&amp;"\"&amp;$A290&amp;"_Devis.xlsx","Ouvrir"))</f>
        <v/>
      </c>
      <c r="R290" s="22">
        <f>IF($A290="","",HYPERLINK("Z:\MUSTANG SERVICES\Affaires 2027\"&amp;$A290&amp;"\"&amp;$A290&amp;"_ToolList.xlsx","Ouvrir"))</f>
        <v/>
      </c>
      <c r="S290" s="22">
        <f>IF($A290="","",HYPERLINK("Z:\MUSTANG SERVICES\Affaires 2027\"&amp;$A290&amp;"\"&amp;$A290&amp;"_BL.xlsx","Ouvrir"))</f>
        <v/>
      </c>
      <c r="T290" s="22">
        <f>IF($A290="","",HYPERLINK("Z:\MUSTANG SERVICES\Affaires 2027\"&amp;$A290&amp;"\"&amp;$A290&amp;"_ServiceTicket.xlsx","Ouvrir"))</f>
        <v/>
      </c>
      <c r="U290" s="22">
        <f>IF($A290="","",HYPERLINK("Z:\MUSTANG SERVICES\Affaires 2027\"&amp;$A290&amp;"\","Dossier"))</f>
        <v/>
      </c>
    </row>
    <row r="291" ht="18" customHeight="1">
      <c r="A291" s="16" t="n"/>
      <c r="B291" s="17" t="n"/>
      <c r="C291" s="17" t="n"/>
      <c r="D291" s="18">
        <f>IF(AND(ISNUMBER($B291),ISNUMBER($C291)),$C291-$B291,"")</f>
        <v/>
      </c>
      <c r="E291" s="19" t="n"/>
      <c r="F291" s="20" t="n"/>
      <c r="G291" s="19" t="n"/>
      <c r="H291" s="20" t="n"/>
      <c r="I291" s="20" t="n"/>
      <c r="J291" s="19" t="n"/>
      <c r="K291" s="16" t="n"/>
      <c r="L291" s="20" t="n"/>
      <c r="M291" s="20" t="n"/>
      <c r="N291" s="17" t="n"/>
      <c r="O291" s="18">
        <f>IF(AND(OR($M291="Envoyé",$M291="En attente"),ISNUMBER($C291),NOT(ISNUMBER($N291))),IF(TODAY()-$C291&gt;=7,"⚠ relancer",""),"")</f>
        <v/>
      </c>
      <c r="P291" s="19" t="n"/>
      <c r="Q291" s="22">
        <f>IF($A291="","",HYPERLINK("Z:\MUSTANG SERVICES\Affaires 2027\"&amp;$A291&amp;"\"&amp;$A291&amp;"_Devis.xlsx","Ouvrir"))</f>
        <v/>
      </c>
      <c r="R291" s="22">
        <f>IF($A291="","",HYPERLINK("Z:\MUSTANG SERVICES\Affaires 2027\"&amp;$A291&amp;"\"&amp;$A291&amp;"_ToolList.xlsx","Ouvrir"))</f>
        <v/>
      </c>
      <c r="S291" s="22">
        <f>IF($A291="","",HYPERLINK("Z:\MUSTANG SERVICES\Affaires 2027\"&amp;$A291&amp;"\"&amp;$A291&amp;"_BL.xlsx","Ouvrir"))</f>
        <v/>
      </c>
      <c r="T291" s="22">
        <f>IF($A291="","",HYPERLINK("Z:\MUSTANG SERVICES\Affaires 2027\"&amp;$A291&amp;"\"&amp;$A291&amp;"_ServiceTicket.xlsx","Ouvrir"))</f>
        <v/>
      </c>
      <c r="U291" s="22">
        <f>IF($A291="","",HYPERLINK("Z:\MUSTANG SERVICES\Affaires 2027\"&amp;$A291&amp;"\","Dossier"))</f>
        <v/>
      </c>
    </row>
    <row r="292" ht="18" customHeight="1">
      <c r="A292" s="16" t="n"/>
      <c r="B292" s="17" t="n"/>
      <c r="C292" s="17" t="n"/>
      <c r="D292" s="18">
        <f>IF(AND(ISNUMBER($B292),ISNUMBER($C292)),$C292-$B292,"")</f>
        <v/>
      </c>
      <c r="E292" s="19" t="n"/>
      <c r="F292" s="20" t="n"/>
      <c r="G292" s="19" t="n"/>
      <c r="H292" s="20" t="n"/>
      <c r="I292" s="20" t="n"/>
      <c r="J292" s="19" t="n"/>
      <c r="K292" s="16" t="n"/>
      <c r="L292" s="20" t="n"/>
      <c r="M292" s="20" t="n"/>
      <c r="N292" s="17" t="n"/>
      <c r="O292" s="18">
        <f>IF(AND(OR($M292="Envoyé",$M292="En attente"),ISNUMBER($C292),NOT(ISNUMBER($N292))),IF(TODAY()-$C292&gt;=7,"⚠ relancer",""),"")</f>
        <v/>
      </c>
      <c r="P292" s="19" t="n"/>
      <c r="Q292" s="22">
        <f>IF($A292="","",HYPERLINK("Z:\MUSTANG SERVICES\Affaires 2027\"&amp;$A292&amp;"\"&amp;$A292&amp;"_Devis.xlsx","Ouvrir"))</f>
        <v/>
      </c>
      <c r="R292" s="22">
        <f>IF($A292="","",HYPERLINK("Z:\MUSTANG SERVICES\Affaires 2027\"&amp;$A292&amp;"\"&amp;$A292&amp;"_ToolList.xlsx","Ouvrir"))</f>
        <v/>
      </c>
      <c r="S292" s="22">
        <f>IF($A292="","",HYPERLINK("Z:\MUSTANG SERVICES\Affaires 2027\"&amp;$A292&amp;"\"&amp;$A292&amp;"_BL.xlsx","Ouvrir"))</f>
        <v/>
      </c>
      <c r="T292" s="22">
        <f>IF($A292="","",HYPERLINK("Z:\MUSTANG SERVICES\Affaires 2027\"&amp;$A292&amp;"\"&amp;$A292&amp;"_ServiceTicket.xlsx","Ouvrir"))</f>
        <v/>
      </c>
      <c r="U292" s="22">
        <f>IF($A292="","",HYPERLINK("Z:\MUSTANG SERVICES\Affaires 2027\"&amp;$A292&amp;"\","Dossier"))</f>
        <v/>
      </c>
    </row>
    <row r="293" ht="18" customHeight="1">
      <c r="A293" s="16" t="n"/>
      <c r="B293" s="17" t="n"/>
      <c r="C293" s="17" t="n"/>
      <c r="D293" s="18">
        <f>IF(AND(ISNUMBER($B293),ISNUMBER($C293)),$C293-$B293,"")</f>
        <v/>
      </c>
      <c r="E293" s="19" t="n"/>
      <c r="F293" s="20" t="n"/>
      <c r="G293" s="19" t="n"/>
      <c r="H293" s="20" t="n"/>
      <c r="I293" s="20" t="n"/>
      <c r="J293" s="19" t="n"/>
      <c r="K293" s="16" t="n"/>
      <c r="L293" s="20" t="n"/>
      <c r="M293" s="20" t="n"/>
      <c r="N293" s="17" t="n"/>
      <c r="O293" s="18">
        <f>IF(AND(OR($M293="Envoyé",$M293="En attente"),ISNUMBER($C293),NOT(ISNUMBER($N293))),IF(TODAY()-$C293&gt;=7,"⚠ relancer",""),"")</f>
        <v/>
      </c>
      <c r="P293" s="19" t="n"/>
      <c r="Q293" s="22">
        <f>IF($A293="","",HYPERLINK("Z:\MUSTANG SERVICES\Affaires 2027\"&amp;$A293&amp;"\"&amp;$A293&amp;"_Devis.xlsx","Ouvrir"))</f>
        <v/>
      </c>
      <c r="R293" s="22">
        <f>IF($A293="","",HYPERLINK("Z:\MUSTANG SERVICES\Affaires 2027\"&amp;$A293&amp;"\"&amp;$A293&amp;"_ToolList.xlsx","Ouvrir"))</f>
        <v/>
      </c>
      <c r="S293" s="22">
        <f>IF($A293="","",HYPERLINK("Z:\MUSTANG SERVICES\Affaires 2027\"&amp;$A293&amp;"\"&amp;$A293&amp;"_BL.xlsx","Ouvrir"))</f>
        <v/>
      </c>
      <c r="T293" s="22">
        <f>IF($A293="","",HYPERLINK("Z:\MUSTANG SERVICES\Affaires 2027\"&amp;$A293&amp;"\"&amp;$A293&amp;"_ServiceTicket.xlsx","Ouvrir"))</f>
        <v/>
      </c>
      <c r="U293" s="22">
        <f>IF($A293="","",HYPERLINK("Z:\MUSTANG SERVICES\Affaires 2027\"&amp;$A293&amp;"\","Dossier"))</f>
        <v/>
      </c>
    </row>
    <row r="294" ht="18" customHeight="1">
      <c r="A294" s="16" t="n"/>
      <c r="B294" s="17" t="n"/>
      <c r="C294" s="17" t="n"/>
      <c r="D294" s="18">
        <f>IF(AND(ISNUMBER($B294),ISNUMBER($C294)),$C294-$B294,"")</f>
        <v/>
      </c>
      <c r="E294" s="19" t="n"/>
      <c r="F294" s="20" t="n"/>
      <c r="G294" s="19" t="n"/>
      <c r="H294" s="20" t="n"/>
      <c r="I294" s="20" t="n"/>
      <c r="J294" s="19" t="n"/>
      <c r="K294" s="16" t="n"/>
      <c r="L294" s="20" t="n"/>
      <c r="M294" s="20" t="n"/>
      <c r="N294" s="17" t="n"/>
      <c r="O294" s="18">
        <f>IF(AND(OR($M294="Envoyé",$M294="En attente"),ISNUMBER($C294),NOT(ISNUMBER($N294))),IF(TODAY()-$C294&gt;=7,"⚠ relancer",""),"")</f>
        <v/>
      </c>
      <c r="P294" s="19" t="n"/>
      <c r="Q294" s="22">
        <f>IF($A294="","",HYPERLINK("Z:\MUSTANG SERVICES\Affaires 2027\"&amp;$A294&amp;"\"&amp;$A294&amp;"_Devis.xlsx","Ouvrir"))</f>
        <v/>
      </c>
      <c r="R294" s="22">
        <f>IF($A294="","",HYPERLINK("Z:\MUSTANG SERVICES\Affaires 2027\"&amp;$A294&amp;"\"&amp;$A294&amp;"_ToolList.xlsx","Ouvrir"))</f>
        <v/>
      </c>
      <c r="S294" s="22">
        <f>IF($A294="","",HYPERLINK("Z:\MUSTANG SERVICES\Affaires 2027\"&amp;$A294&amp;"\"&amp;$A294&amp;"_BL.xlsx","Ouvrir"))</f>
        <v/>
      </c>
      <c r="T294" s="22">
        <f>IF($A294="","",HYPERLINK("Z:\MUSTANG SERVICES\Affaires 2027\"&amp;$A294&amp;"\"&amp;$A294&amp;"_ServiceTicket.xlsx","Ouvrir"))</f>
        <v/>
      </c>
      <c r="U294" s="22">
        <f>IF($A294="","",HYPERLINK("Z:\MUSTANG SERVICES\Affaires 2027\"&amp;$A294&amp;"\","Dossier"))</f>
        <v/>
      </c>
    </row>
    <row r="295" ht="18" customHeight="1">
      <c r="A295" s="16" t="n"/>
      <c r="B295" s="17" t="n"/>
      <c r="C295" s="17" t="n"/>
      <c r="D295" s="18">
        <f>IF(AND(ISNUMBER($B295),ISNUMBER($C295)),$C295-$B295,"")</f>
        <v/>
      </c>
      <c r="E295" s="19" t="n"/>
      <c r="F295" s="20" t="n"/>
      <c r="G295" s="19" t="n"/>
      <c r="H295" s="20" t="n"/>
      <c r="I295" s="20" t="n"/>
      <c r="J295" s="19" t="n"/>
      <c r="K295" s="16" t="n"/>
      <c r="L295" s="20" t="n"/>
      <c r="M295" s="20" t="n"/>
      <c r="N295" s="17" t="n"/>
      <c r="O295" s="18">
        <f>IF(AND(OR($M295="Envoyé",$M295="En attente"),ISNUMBER($C295),NOT(ISNUMBER($N295))),IF(TODAY()-$C295&gt;=7,"⚠ relancer",""),"")</f>
        <v/>
      </c>
      <c r="P295" s="19" t="n"/>
      <c r="Q295" s="22">
        <f>IF($A295="","",HYPERLINK("Z:\MUSTANG SERVICES\Affaires 2027\"&amp;$A295&amp;"\"&amp;$A295&amp;"_Devis.xlsx","Ouvrir"))</f>
        <v/>
      </c>
      <c r="R295" s="22">
        <f>IF($A295="","",HYPERLINK("Z:\MUSTANG SERVICES\Affaires 2027\"&amp;$A295&amp;"\"&amp;$A295&amp;"_ToolList.xlsx","Ouvrir"))</f>
        <v/>
      </c>
      <c r="S295" s="22">
        <f>IF($A295="","",HYPERLINK("Z:\MUSTANG SERVICES\Affaires 2027\"&amp;$A295&amp;"\"&amp;$A295&amp;"_BL.xlsx","Ouvrir"))</f>
        <v/>
      </c>
      <c r="T295" s="22">
        <f>IF($A295="","",HYPERLINK("Z:\MUSTANG SERVICES\Affaires 2027\"&amp;$A295&amp;"\"&amp;$A295&amp;"_ServiceTicket.xlsx","Ouvrir"))</f>
        <v/>
      </c>
      <c r="U295" s="22">
        <f>IF($A295="","",HYPERLINK("Z:\MUSTANG SERVICES\Affaires 2027\"&amp;$A295&amp;"\","Dossier"))</f>
        <v/>
      </c>
    </row>
    <row r="296" ht="18" customHeight="1">
      <c r="A296" s="16" t="n"/>
      <c r="B296" s="17" t="n"/>
      <c r="C296" s="17" t="n"/>
      <c r="D296" s="18">
        <f>IF(AND(ISNUMBER($B296),ISNUMBER($C296)),$C296-$B296,"")</f>
        <v/>
      </c>
      <c r="E296" s="19" t="n"/>
      <c r="F296" s="20" t="n"/>
      <c r="G296" s="19" t="n"/>
      <c r="H296" s="20" t="n"/>
      <c r="I296" s="20" t="n"/>
      <c r="J296" s="19" t="n"/>
      <c r="K296" s="16" t="n"/>
      <c r="L296" s="20" t="n"/>
      <c r="M296" s="20" t="n"/>
      <c r="N296" s="17" t="n"/>
      <c r="O296" s="18">
        <f>IF(AND(OR($M296="Envoyé",$M296="En attente"),ISNUMBER($C296),NOT(ISNUMBER($N296))),IF(TODAY()-$C296&gt;=7,"⚠ relancer",""),"")</f>
        <v/>
      </c>
      <c r="P296" s="19" t="n"/>
      <c r="Q296" s="22">
        <f>IF($A296="","",HYPERLINK("Z:\MUSTANG SERVICES\Affaires 2027\"&amp;$A296&amp;"\"&amp;$A296&amp;"_Devis.xlsx","Ouvrir"))</f>
        <v/>
      </c>
      <c r="R296" s="22">
        <f>IF($A296="","",HYPERLINK("Z:\MUSTANG SERVICES\Affaires 2027\"&amp;$A296&amp;"\"&amp;$A296&amp;"_ToolList.xlsx","Ouvrir"))</f>
        <v/>
      </c>
      <c r="S296" s="22">
        <f>IF($A296="","",HYPERLINK("Z:\MUSTANG SERVICES\Affaires 2027\"&amp;$A296&amp;"\"&amp;$A296&amp;"_BL.xlsx","Ouvrir"))</f>
        <v/>
      </c>
      <c r="T296" s="22">
        <f>IF($A296="","",HYPERLINK("Z:\MUSTANG SERVICES\Affaires 2027\"&amp;$A296&amp;"\"&amp;$A296&amp;"_ServiceTicket.xlsx","Ouvrir"))</f>
        <v/>
      </c>
      <c r="U296" s="22">
        <f>IF($A296="","",HYPERLINK("Z:\MUSTANG SERVICES\Affaires 2027\"&amp;$A296&amp;"\","Dossier"))</f>
        <v/>
      </c>
    </row>
    <row r="297" ht="18" customHeight="1">
      <c r="A297" s="16" t="n"/>
      <c r="B297" s="17" t="n"/>
      <c r="C297" s="17" t="n"/>
      <c r="D297" s="18">
        <f>IF(AND(ISNUMBER($B297),ISNUMBER($C297)),$C297-$B297,"")</f>
        <v/>
      </c>
      <c r="E297" s="19" t="n"/>
      <c r="F297" s="20" t="n"/>
      <c r="G297" s="19" t="n"/>
      <c r="H297" s="20" t="n"/>
      <c r="I297" s="20" t="n"/>
      <c r="J297" s="19" t="n"/>
      <c r="K297" s="16" t="n"/>
      <c r="L297" s="20" t="n"/>
      <c r="M297" s="20" t="n"/>
      <c r="N297" s="17" t="n"/>
      <c r="O297" s="18">
        <f>IF(AND(OR($M297="Envoyé",$M297="En attente"),ISNUMBER($C297),NOT(ISNUMBER($N297))),IF(TODAY()-$C297&gt;=7,"⚠ relancer",""),"")</f>
        <v/>
      </c>
      <c r="P297" s="19" t="n"/>
      <c r="Q297" s="22">
        <f>IF($A297="","",HYPERLINK("Z:\MUSTANG SERVICES\Affaires 2027\"&amp;$A297&amp;"\"&amp;$A297&amp;"_Devis.xlsx","Ouvrir"))</f>
        <v/>
      </c>
      <c r="R297" s="22">
        <f>IF($A297="","",HYPERLINK("Z:\MUSTANG SERVICES\Affaires 2027\"&amp;$A297&amp;"\"&amp;$A297&amp;"_ToolList.xlsx","Ouvrir"))</f>
        <v/>
      </c>
      <c r="S297" s="22">
        <f>IF($A297="","",HYPERLINK("Z:\MUSTANG SERVICES\Affaires 2027\"&amp;$A297&amp;"\"&amp;$A297&amp;"_BL.xlsx","Ouvrir"))</f>
        <v/>
      </c>
      <c r="T297" s="22">
        <f>IF($A297="","",HYPERLINK("Z:\MUSTANG SERVICES\Affaires 2027\"&amp;$A297&amp;"\"&amp;$A297&amp;"_ServiceTicket.xlsx","Ouvrir"))</f>
        <v/>
      </c>
      <c r="U297" s="22">
        <f>IF($A297="","",HYPERLINK("Z:\MUSTANG SERVICES\Affaires 2027\"&amp;$A297&amp;"\","Dossier"))</f>
        <v/>
      </c>
    </row>
    <row r="298" ht="18" customHeight="1">
      <c r="A298" s="16" t="n"/>
      <c r="B298" s="17" t="n"/>
      <c r="C298" s="17" t="n"/>
      <c r="D298" s="18">
        <f>IF(AND(ISNUMBER($B298),ISNUMBER($C298)),$C298-$B298,"")</f>
        <v/>
      </c>
      <c r="E298" s="19" t="n"/>
      <c r="F298" s="20" t="n"/>
      <c r="G298" s="19" t="n"/>
      <c r="H298" s="20" t="n"/>
      <c r="I298" s="20" t="n"/>
      <c r="J298" s="19" t="n"/>
      <c r="K298" s="16" t="n"/>
      <c r="L298" s="20" t="n"/>
      <c r="M298" s="20" t="n"/>
      <c r="N298" s="17" t="n"/>
      <c r="O298" s="18">
        <f>IF(AND(OR($M298="Envoyé",$M298="En attente"),ISNUMBER($C298),NOT(ISNUMBER($N298))),IF(TODAY()-$C298&gt;=7,"⚠ relancer",""),"")</f>
        <v/>
      </c>
      <c r="P298" s="19" t="n"/>
      <c r="Q298" s="22">
        <f>IF($A298="","",HYPERLINK("Z:\MUSTANG SERVICES\Affaires 2027\"&amp;$A298&amp;"\"&amp;$A298&amp;"_Devis.xlsx","Ouvrir"))</f>
        <v/>
      </c>
      <c r="R298" s="22">
        <f>IF($A298="","",HYPERLINK("Z:\MUSTANG SERVICES\Affaires 2027\"&amp;$A298&amp;"\"&amp;$A298&amp;"_ToolList.xlsx","Ouvrir"))</f>
        <v/>
      </c>
      <c r="S298" s="22">
        <f>IF($A298="","",HYPERLINK("Z:\MUSTANG SERVICES\Affaires 2027\"&amp;$A298&amp;"\"&amp;$A298&amp;"_BL.xlsx","Ouvrir"))</f>
        <v/>
      </c>
      <c r="T298" s="22">
        <f>IF($A298="","",HYPERLINK("Z:\MUSTANG SERVICES\Affaires 2027\"&amp;$A298&amp;"\"&amp;$A298&amp;"_ServiceTicket.xlsx","Ouvrir"))</f>
        <v/>
      </c>
      <c r="U298" s="22">
        <f>IF($A298="","",HYPERLINK("Z:\MUSTANG SERVICES\Affaires 2027\"&amp;$A298&amp;"\","Dossier"))</f>
        <v/>
      </c>
    </row>
    <row r="299" ht="18" customHeight="1">
      <c r="A299" s="16" t="n"/>
      <c r="B299" s="17" t="n"/>
      <c r="C299" s="17" t="n"/>
      <c r="D299" s="18">
        <f>IF(AND(ISNUMBER($B299),ISNUMBER($C299)),$C299-$B299,"")</f>
        <v/>
      </c>
      <c r="E299" s="19" t="n"/>
      <c r="F299" s="20" t="n"/>
      <c r="G299" s="19" t="n"/>
      <c r="H299" s="20" t="n"/>
      <c r="I299" s="20" t="n"/>
      <c r="J299" s="19" t="n"/>
      <c r="K299" s="16" t="n"/>
      <c r="L299" s="20" t="n"/>
      <c r="M299" s="20" t="n"/>
      <c r="N299" s="17" t="n"/>
      <c r="O299" s="18">
        <f>IF(AND(OR($M299="Envoyé",$M299="En attente"),ISNUMBER($C299),NOT(ISNUMBER($N299))),IF(TODAY()-$C299&gt;=7,"⚠ relancer",""),"")</f>
        <v/>
      </c>
      <c r="P299" s="19" t="n"/>
      <c r="Q299" s="22">
        <f>IF($A299="","",HYPERLINK("Z:\MUSTANG SERVICES\Affaires 2027\"&amp;$A299&amp;"\"&amp;$A299&amp;"_Devis.xlsx","Ouvrir"))</f>
        <v/>
      </c>
      <c r="R299" s="22">
        <f>IF($A299="","",HYPERLINK("Z:\MUSTANG SERVICES\Affaires 2027\"&amp;$A299&amp;"\"&amp;$A299&amp;"_ToolList.xlsx","Ouvrir"))</f>
        <v/>
      </c>
      <c r="S299" s="22">
        <f>IF($A299="","",HYPERLINK("Z:\MUSTANG SERVICES\Affaires 2027\"&amp;$A299&amp;"\"&amp;$A299&amp;"_BL.xlsx","Ouvrir"))</f>
        <v/>
      </c>
      <c r="T299" s="22">
        <f>IF($A299="","",HYPERLINK("Z:\MUSTANG SERVICES\Affaires 2027\"&amp;$A299&amp;"\"&amp;$A299&amp;"_ServiceTicket.xlsx","Ouvrir"))</f>
        <v/>
      </c>
      <c r="U299" s="22">
        <f>IF($A299="","",HYPERLINK("Z:\MUSTANG SERVICES\Affaires 2027\"&amp;$A299&amp;"\","Dossier"))</f>
        <v/>
      </c>
    </row>
    <row r="300" ht="18" customHeight="1">
      <c r="A300" s="16" t="n"/>
      <c r="B300" s="17" t="n"/>
      <c r="C300" s="17" t="n"/>
      <c r="D300" s="18">
        <f>IF(AND(ISNUMBER($B300),ISNUMBER($C300)),$C300-$B300,"")</f>
        <v/>
      </c>
      <c r="E300" s="19" t="n"/>
      <c r="F300" s="20" t="n"/>
      <c r="G300" s="19" t="n"/>
      <c r="H300" s="20" t="n"/>
      <c r="I300" s="20" t="n"/>
      <c r="J300" s="19" t="n"/>
      <c r="K300" s="16" t="n"/>
      <c r="L300" s="20" t="n"/>
      <c r="M300" s="20" t="n"/>
      <c r="N300" s="17" t="n"/>
      <c r="O300" s="18">
        <f>IF(AND(OR($M300="Envoyé",$M300="En attente"),ISNUMBER($C300),NOT(ISNUMBER($N300))),IF(TODAY()-$C300&gt;=7,"⚠ relancer",""),"")</f>
        <v/>
      </c>
      <c r="P300" s="19" t="n"/>
      <c r="Q300" s="22">
        <f>IF($A300="","",HYPERLINK("Z:\MUSTANG SERVICES\Affaires 2027\"&amp;$A300&amp;"\"&amp;$A300&amp;"_Devis.xlsx","Ouvrir"))</f>
        <v/>
      </c>
      <c r="R300" s="22">
        <f>IF($A300="","",HYPERLINK("Z:\MUSTANG SERVICES\Affaires 2027\"&amp;$A300&amp;"\"&amp;$A300&amp;"_ToolList.xlsx","Ouvrir"))</f>
        <v/>
      </c>
      <c r="S300" s="22">
        <f>IF($A300="","",HYPERLINK("Z:\MUSTANG SERVICES\Affaires 2027\"&amp;$A300&amp;"\"&amp;$A300&amp;"_BL.xlsx","Ouvrir"))</f>
        <v/>
      </c>
      <c r="T300" s="22">
        <f>IF($A300="","",HYPERLINK("Z:\MUSTANG SERVICES\Affaires 2027\"&amp;$A300&amp;"\"&amp;$A300&amp;"_ServiceTicket.xlsx","Ouvrir"))</f>
        <v/>
      </c>
      <c r="U300" s="22">
        <f>IF($A300="","",HYPERLINK("Z:\MUSTANG SERVICES\Affaires 2027\"&amp;$A300&amp;"\","Dossier"))</f>
        <v/>
      </c>
    </row>
    <row r="301" ht="18" customHeight="1">
      <c r="A301" s="16" t="n"/>
      <c r="B301" s="17" t="n"/>
      <c r="C301" s="17" t="n"/>
      <c r="D301" s="18">
        <f>IF(AND(ISNUMBER($B301),ISNUMBER($C301)),$C301-$B301,"")</f>
        <v/>
      </c>
      <c r="E301" s="19" t="n"/>
      <c r="F301" s="20" t="n"/>
      <c r="G301" s="19" t="n"/>
      <c r="H301" s="20" t="n"/>
      <c r="I301" s="20" t="n"/>
      <c r="J301" s="19" t="n"/>
      <c r="K301" s="16" t="n"/>
      <c r="L301" s="20" t="n"/>
      <c r="M301" s="20" t="n"/>
      <c r="N301" s="17" t="n"/>
      <c r="O301" s="18">
        <f>IF(AND(OR($M301="Envoyé",$M301="En attente"),ISNUMBER($C301),NOT(ISNUMBER($N301))),IF(TODAY()-$C301&gt;=7,"⚠ relancer",""),"")</f>
        <v/>
      </c>
      <c r="P301" s="19" t="n"/>
      <c r="Q301" s="22">
        <f>IF($A301="","",HYPERLINK("Z:\MUSTANG SERVICES\Affaires 2027\"&amp;$A301&amp;"\"&amp;$A301&amp;"_Devis.xlsx","Ouvrir"))</f>
        <v/>
      </c>
      <c r="R301" s="22">
        <f>IF($A301="","",HYPERLINK("Z:\MUSTANG SERVICES\Affaires 2027\"&amp;$A301&amp;"\"&amp;$A301&amp;"_ToolList.xlsx","Ouvrir"))</f>
        <v/>
      </c>
      <c r="S301" s="22">
        <f>IF($A301="","",HYPERLINK("Z:\MUSTANG SERVICES\Affaires 2027\"&amp;$A301&amp;"\"&amp;$A301&amp;"_BL.xlsx","Ouvrir"))</f>
        <v/>
      </c>
      <c r="T301" s="22">
        <f>IF($A301="","",HYPERLINK("Z:\MUSTANG SERVICES\Affaires 2027\"&amp;$A301&amp;"\"&amp;$A301&amp;"_ServiceTicket.xlsx","Ouvrir"))</f>
        <v/>
      </c>
      <c r="U301" s="22">
        <f>IF($A301="","",HYPERLINK("Z:\MUSTANG SERVICES\Affaires 2027\"&amp;$A301&amp;"\","Dossier"))</f>
        <v/>
      </c>
    </row>
    <row r="302" ht="18" customHeight="1">
      <c r="A302" s="16" t="n"/>
      <c r="B302" s="17" t="n"/>
      <c r="C302" s="17" t="n"/>
      <c r="D302" s="18">
        <f>IF(AND(ISNUMBER($B302),ISNUMBER($C302)),$C302-$B302,"")</f>
        <v/>
      </c>
      <c r="E302" s="19" t="n"/>
      <c r="F302" s="20" t="n"/>
      <c r="G302" s="19" t="n"/>
      <c r="H302" s="20" t="n"/>
      <c r="I302" s="20" t="n"/>
      <c r="J302" s="19" t="n"/>
      <c r="K302" s="16" t="n"/>
      <c r="L302" s="20" t="n"/>
      <c r="M302" s="20" t="n"/>
      <c r="N302" s="17" t="n"/>
      <c r="O302" s="18">
        <f>IF(AND(OR($M302="Envoyé",$M302="En attente"),ISNUMBER($C302),NOT(ISNUMBER($N302))),IF(TODAY()-$C302&gt;=7,"⚠ relancer",""),"")</f>
        <v/>
      </c>
      <c r="P302" s="19" t="n"/>
      <c r="Q302" s="22">
        <f>IF($A302="","",HYPERLINK("Z:\MUSTANG SERVICES\Affaires 2027\"&amp;$A302&amp;"\"&amp;$A302&amp;"_Devis.xlsx","Ouvrir"))</f>
        <v/>
      </c>
      <c r="R302" s="22">
        <f>IF($A302="","",HYPERLINK("Z:\MUSTANG SERVICES\Affaires 2027\"&amp;$A302&amp;"\"&amp;$A302&amp;"_ToolList.xlsx","Ouvrir"))</f>
        <v/>
      </c>
      <c r="S302" s="22">
        <f>IF($A302="","",HYPERLINK("Z:\MUSTANG SERVICES\Affaires 2027\"&amp;$A302&amp;"\"&amp;$A302&amp;"_BL.xlsx","Ouvrir"))</f>
        <v/>
      </c>
      <c r="T302" s="22">
        <f>IF($A302="","",HYPERLINK("Z:\MUSTANG SERVICES\Affaires 2027\"&amp;$A302&amp;"\"&amp;$A302&amp;"_ServiceTicket.xlsx","Ouvrir"))</f>
        <v/>
      </c>
      <c r="U302" s="22">
        <f>IF($A302="","",HYPERLINK("Z:\MUSTANG SERVICES\Affaires 2027\"&amp;$A302&amp;"\","Dossier"))</f>
        <v/>
      </c>
    </row>
    <row r="303" ht="18" customHeight="1">
      <c r="A303" s="16" t="n"/>
      <c r="B303" s="17" t="n"/>
      <c r="C303" s="17" t="n"/>
      <c r="D303" s="18">
        <f>IF(AND(ISNUMBER($B303),ISNUMBER($C303)),$C303-$B303,"")</f>
        <v/>
      </c>
      <c r="E303" s="19" t="n"/>
      <c r="F303" s="20" t="n"/>
      <c r="G303" s="19" t="n"/>
      <c r="H303" s="20" t="n"/>
      <c r="I303" s="20" t="n"/>
      <c r="J303" s="19" t="n"/>
      <c r="K303" s="16" t="n"/>
      <c r="L303" s="20" t="n"/>
      <c r="M303" s="20" t="n"/>
      <c r="N303" s="17" t="n"/>
      <c r="O303" s="18">
        <f>IF(AND(OR($M303="Envoyé",$M303="En attente"),ISNUMBER($C303),NOT(ISNUMBER($N303))),IF(TODAY()-$C303&gt;=7,"⚠ relancer",""),"")</f>
        <v/>
      </c>
      <c r="P303" s="19" t="n"/>
      <c r="Q303" s="22">
        <f>IF($A303="","",HYPERLINK("Z:\MUSTANG SERVICES\Affaires 2027\"&amp;$A303&amp;"\"&amp;$A303&amp;"_Devis.xlsx","Ouvrir"))</f>
        <v/>
      </c>
      <c r="R303" s="22">
        <f>IF($A303="","",HYPERLINK("Z:\MUSTANG SERVICES\Affaires 2027\"&amp;$A303&amp;"\"&amp;$A303&amp;"_ToolList.xlsx","Ouvrir"))</f>
        <v/>
      </c>
      <c r="S303" s="22">
        <f>IF($A303="","",HYPERLINK("Z:\MUSTANG SERVICES\Affaires 2027\"&amp;$A303&amp;"\"&amp;$A303&amp;"_BL.xlsx","Ouvrir"))</f>
        <v/>
      </c>
      <c r="T303" s="22">
        <f>IF($A303="","",HYPERLINK("Z:\MUSTANG SERVICES\Affaires 2027\"&amp;$A303&amp;"\"&amp;$A303&amp;"_ServiceTicket.xlsx","Ouvrir"))</f>
        <v/>
      </c>
      <c r="U303" s="22">
        <f>IF($A303="","",HYPERLINK("Z:\MUSTANG SERVICES\Affaires 2027\"&amp;$A303&amp;"\","Dossier"))</f>
        <v/>
      </c>
    </row>
    <row r="304" ht="18" customHeight="1">
      <c r="A304" s="16" t="n"/>
      <c r="B304" s="17" t="n"/>
      <c r="C304" s="17" t="n"/>
      <c r="D304" s="18">
        <f>IF(AND(ISNUMBER($B304),ISNUMBER($C304)),$C304-$B304,"")</f>
        <v/>
      </c>
      <c r="E304" s="19" t="n"/>
      <c r="F304" s="20" t="n"/>
      <c r="G304" s="19" t="n"/>
      <c r="H304" s="20" t="n"/>
      <c r="I304" s="20" t="n"/>
      <c r="J304" s="19" t="n"/>
      <c r="K304" s="16" t="n"/>
      <c r="L304" s="20" t="n"/>
      <c r="M304" s="20" t="n"/>
      <c r="N304" s="17" t="n"/>
      <c r="O304" s="18">
        <f>IF(AND(OR($M304="Envoyé",$M304="En attente"),ISNUMBER($C304),NOT(ISNUMBER($N304))),IF(TODAY()-$C304&gt;=7,"⚠ relancer",""),"")</f>
        <v/>
      </c>
      <c r="P304" s="19" t="n"/>
      <c r="Q304" s="22">
        <f>IF($A304="","",HYPERLINK("Z:\MUSTANG SERVICES\Affaires 2027\"&amp;$A304&amp;"\"&amp;$A304&amp;"_Devis.xlsx","Ouvrir"))</f>
        <v/>
      </c>
      <c r="R304" s="22">
        <f>IF($A304="","",HYPERLINK("Z:\MUSTANG SERVICES\Affaires 2027\"&amp;$A304&amp;"\"&amp;$A304&amp;"_ToolList.xlsx","Ouvrir"))</f>
        <v/>
      </c>
      <c r="S304" s="22">
        <f>IF($A304="","",HYPERLINK("Z:\MUSTANG SERVICES\Affaires 2027\"&amp;$A304&amp;"\"&amp;$A304&amp;"_BL.xlsx","Ouvrir"))</f>
        <v/>
      </c>
      <c r="T304" s="22">
        <f>IF($A304="","",HYPERLINK("Z:\MUSTANG SERVICES\Affaires 2027\"&amp;$A304&amp;"\"&amp;$A304&amp;"_ServiceTicket.xlsx","Ouvrir"))</f>
        <v/>
      </c>
      <c r="U304" s="22">
        <f>IF($A304="","",HYPERLINK("Z:\MUSTANG SERVICES\Affaires 2027\"&amp;$A304&amp;"\","Dossier"))</f>
        <v/>
      </c>
    </row>
    <row r="305" ht="18" customHeight="1">
      <c r="A305" s="16" t="n"/>
      <c r="B305" s="17" t="n"/>
      <c r="C305" s="17" t="n"/>
      <c r="D305" s="18">
        <f>IF(AND(ISNUMBER($B305),ISNUMBER($C305)),$C305-$B305,"")</f>
        <v/>
      </c>
      <c r="E305" s="19" t="n"/>
      <c r="F305" s="20" t="n"/>
      <c r="G305" s="19" t="n"/>
      <c r="H305" s="20" t="n"/>
      <c r="I305" s="20" t="n"/>
      <c r="J305" s="19" t="n"/>
      <c r="K305" s="16" t="n"/>
      <c r="L305" s="20" t="n"/>
      <c r="M305" s="20" t="n"/>
      <c r="N305" s="17" t="n"/>
      <c r="O305" s="18">
        <f>IF(AND(OR($M305="Envoyé",$M305="En attente"),ISNUMBER($C305),NOT(ISNUMBER($N305))),IF(TODAY()-$C305&gt;=7,"⚠ relancer",""),"")</f>
        <v/>
      </c>
      <c r="P305" s="19" t="n"/>
      <c r="Q305" s="22">
        <f>IF($A305="","",HYPERLINK("Z:\MUSTANG SERVICES\Affaires 2027\"&amp;$A305&amp;"\"&amp;$A305&amp;"_Devis.xlsx","Ouvrir"))</f>
        <v/>
      </c>
      <c r="R305" s="22">
        <f>IF($A305="","",HYPERLINK("Z:\MUSTANG SERVICES\Affaires 2027\"&amp;$A305&amp;"\"&amp;$A305&amp;"_ToolList.xlsx","Ouvrir"))</f>
        <v/>
      </c>
      <c r="S305" s="22">
        <f>IF($A305="","",HYPERLINK("Z:\MUSTANG SERVICES\Affaires 2027\"&amp;$A305&amp;"\"&amp;$A305&amp;"_BL.xlsx","Ouvrir"))</f>
        <v/>
      </c>
      <c r="T305" s="22">
        <f>IF($A305="","",HYPERLINK("Z:\MUSTANG SERVICES\Affaires 2027\"&amp;$A305&amp;"\"&amp;$A305&amp;"_ServiceTicket.xlsx","Ouvrir"))</f>
        <v/>
      </c>
      <c r="U305" s="22">
        <f>IF($A305="","",HYPERLINK("Z:\MUSTANG SERVICES\Affaires 2027\"&amp;$A305&amp;"\","Dossier"))</f>
        <v/>
      </c>
    </row>
    <row r="306" ht="18" customHeight="1">
      <c r="A306" s="16" t="n"/>
      <c r="B306" s="17" t="n"/>
      <c r="C306" s="17" t="n"/>
      <c r="D306" s="18">
        <f>IF(AND(ISNUMBER($B306),ISNUMBER($C306)),$C306-$B306,"")</f>
        <v/>
      </c>
      <c r="E306" s="19" t="n"/>
      <c r="F306" s="20" t="n"/>
      <c r="G306" s="19" t="n"/>
      <c r="H306" s="20" t="n"/>
      <c r="I306" s="20" t="n"/>
      <c r="J306" s="19" t="n"/>
      <c r="K306" s="16" t="n"/>
      <c r="L306" s="20" t="n"/>
      <c r="M306" s="20" t="n"/>
      <c r="N306" s="17" t="n"/>
      <c r="O306" s="18">
        <f>IF(AND(OR($M306="Envoyé",$M306="En attente"),ISNUMBER($C306),NOT(ISNUMBER($N306))),IF(TODAY()-$C306&gt;=7,"⚠ relancer",""),"")</f>
        <v/>
      </c>
      <c r="P306" s="19" t="n"/>
      <c r="Q306" s="22">
        <f>IF($A306="","",HYPERLINK("Z:\MUSTANG SERVICES\Affaires 2027\"&amp;$A306&amp;"\"&amp;$A306&amp;"_Devis.xlsx","Ouvrir"))</f>
        <v/>
      </c>
      <c r="R306" s="22">
        <f>IF($A306="","",HYPERLINK("Z:\MUSTANG SERVICES\Affaires 2027\"&amp;$A306&amp;"\"&amp;$A306&amp;"_ToolList.xlsx","Ouvrir"))</f>
        <v/>
      </c>
      <c r="S306" s="22">
        <f>IF($A306="","",HYPERLINK("Z:\MUSTANG SERVICES\Affaires 2027\"&amp;$A306&amp;"\"&amp;$A306&amp;"_BL.xlsx","Ouvrir"))</f>
        <v/>
      </c>
      <c r="T306" s="22">
        <f>IF($A306="","",HYPERLINK("Z:\MUSTANG SERVICES\Affaires 2027\"&amp;$A306&amp;"\"&amp;$A306&amp;"_ServiceTicket.xlsx","Ouvrir"))</f>
        <v/>
      </c>
      <c r="U306" s="22">
        <f>IF($A306="","",HYPERLINK("Z:\MUSTANG SERVICES\Affaires 2027\"&amp;$A306&amp;"\","Dossier"))</f>
        <v/>
      </c>
    </row>
    <row r="307" ht="18" customHeight="1">
      <c r="A307" s="16" t="n"/>
      <c r="B307" s="17" t="n"/>
      <c r="C307" s="17" t="n"/>
      <c r="D307" s="18">
        <f>IF(AND(ISNUMBER($B307),ISNUMBER($C307)),$C307-$B307,"")</f>
        <v/>
      </c>
      <c r="E307" s="19" t="n"/>
      <c r="F307" s="20" t="n"/>
      <c r="G307" s="19" t="n"/>
      <c r="H307" s="20" t="n"/>
      <c r="I307" s="20" t="n"/>
      <c r="J307" s="19" t="n"/>
      <c r="K307" s="16" t="n"/>
      <c r="L307" s="20" t="n"/>
      <c r="M307" s="20" t="n"/>
      <c r="N307" s="17" t="n"/>
      <c r="O307" s="18">
        <f>IF(AND(OR($M307="Envoyé",$M307="En attente"),ISNUMBER($C307),NOT(ISNUMBER($N307))),IF(TODAY()-$C307&gt;=7,"⚠ relancer",""),"")</f>
        <v/>
      </c>
      <c r="P307" s="19" t="n"/>
      <c r="Q307" s="22">
        <f>IF($A307="","",HYPERLINK("Z:\MUSTANG SERVICES\Affaires 2027\"&amp;$A307&amp;"\"&amp;$A307&amp;"_Devis.xlsx","Ouvrir"))</f>
        <v/>
      </c>
      <c r="R307" s="22">
        <f>IF($A307="","",HYPERLINK("Z:\MUSTANG SERVICES\Affaires 2027\"&amp;$A307&amp;"\"&amp;$A307&amp;"_ToolList.xlsx","Ouvrir"))</f>
        <v/>
      </c>
      <c r="S307" s="22">
        <f>IF($A307="","",HYPERLINK("Z:\MUSTANG SERVICES\Affaires 2027\"&amp;$A307&amp;"\"&amp;$A307&amp;"_BL.xlsx","Ouvrir"))</f>
        <v/>
      </c>
      <c r="T307" s="22">
        <f>IF($A307="","",HYPERLINK("Z:\MUSTANG SERVICES\Affaires 2027\"&amp;$A307&amp;"\"&amp;$A307&amp;"_ServiceTicket.xlsx","Ouvrir"))</f>
        <v/>
      </c>
      <c r="U307" s="22">
        <f>IF($A307="","",HYPERLINK("Z:\MUSTANG SERVICES\Affaires 2027\"&amp;$A307&amp;"\","Dossier"))</f>
        <v/>
      </c>
    </row>
    <row r="308" ht="18" customHeight="1">
      <c r="A308" s="16" t="n"/>
      <c r="B308" s="17" t="n"/>
      <c r="C308" s="17" t="n"/>
      <c r="D308" s="18">
        <f>IF(AND(ISNUMBER($B308),ISNUMBER($C308)),$C308-$B308,"")</f>
        <v/>
      </c>
      <c r="E308" s="19" t="n"/>
      <c r="F308" s="20" t="n"/>
      <c r="G308" s="19" t="n"/>
      <c r="H308" s="20" t="n"/>
      <c r="I308" s="20" t="n"/>
      <c r="J308" s="19" t="n"/>
      <c r="K308" s="16" t="n"/>
      <c r="L308" s="20" t="n"/>
      <c r="M308" s="20" t="n"/>
      <c r="N308" s="17" t="n"/>
      <c r="O308" s="18">
        <f>IF(AND(OR($M308="Envoyé",$M308="En attente"),ISNUMBER($C308),NOT(ISNUMBER($N308))),IF(TODAY()-$C308&gt;=7,"⚠ relancer",""),"")</f>
        <v/>
      </c>
      <c r="P308" s="19" t="n"/>
      <c r="Q308" s="22">
        <f>IF($A308="","",HYPERLINK("Z:\MUSTANG SERVICES\Affaires 2027\"&amp;$A308&amp;"\"&amp;$A308&amp;"_Devis.xlsx","Ouvrir"))</f>
        <v/>
      </c>
      <c r="R308" s="22">
        <f>IF($A308="","",HYPERLINK("Z:\MUSTANG SERVICES\Affaires 2027\"&amp;$A308&amp;"\"&amp;$A308&amp;"_ToolList.xlsx","Ouvrir"))</f>
        <v/>
      </c>
      <c r="S308" s="22">
        <f>IF($A308="","",HYPERLINK("Z:\MUSTANG SERVICES\Affaires 2027\"&amp;$A308&amp;"\"&amp;$A308&amp;"_BL.xlsx","Ouvrir"))</f>
        <v/>
      </c>
      <c r="T308" s="22">
        <f>IF($A308="","",HYPERLINK("Z:\MUSTANG SERVICES\Affaires 2027\"&amp;$A308&amp;"\"&amp;$A308&amp;"_ServiceTicket.xlsx","Ouvrir"))</f>
        <v/>
      </c>
      <c r="U308" s="22">
        <f>IF($A308="","",HYPERLINK("Z:\MUSTANG SERVICES\Affaires 2027\"&amp;$A308&amp;"\","Dossier"))</f>
        <v/>
      </c>
    </row>
    <row r="309" ht="18" customHeight="1">
      <c r="A309" s="16" t="n"/>
      <c r="B309" s="17" t="n"/>
      <c r="C309" s="17" t="n"/>
      <c r="D309" s="18">
        <f>IF(AND(ISNUMBER($B309),ISNUMBER($C309)),$C309-$B309,"")</f>
        <v/>
      </c>
      <c r="E309" s="19" t="n"/>
      <c r="F309" s="20" t="n"/>
      <c r="G309" s="19" t="n"/>
      <c r="H309" s="20" t="n"/>
      <c r="I309" s="20" t="n"/>
      <c r="J309" s="19" t="n"/>
      <c r="K309" s="16" t="n"/>
      <c r="L309" s="20" t="n"/>
      <c r="M309" s="20" t="n"/>
      <c r="N309" s="17" t="n"/>
      <c r="O309" s="18">
        <f>IF(AND(OR($M309="Envoyé",$M309="En attente"),ISNUMBER($C309),NOT(ISNUMBER($N309))),IF(TODAY()-$C309&gt;=7,"⚠ relancer",""),"")</f>
        <v/>
      </c>
      <c r="P309" s="19" t="n"/>
      <c r="Q309" s="22">
        <f>IF($A309="","",HYPERLINK("Z:\MUSTANG SERVICES\Affaires 2027\"&amp;$A309&amp;"\"&amp;$A309&amp;"_Devis.xlsx","Ouvrir"))</f>
        <v/>
      </c>
      <c r="R309" s="22">
        <f>IF($A309="","",HYPERLINK("Z:\MUSTANG SERVICES\Affaires 2027\"&amp;$A309&amp;"\"&amp;$A309&amp;"_ToolList.xlsx","Ouvrir"))</f>
        <v/>
      </c>
      <c r="S309" s="22">
        <f>IF($A309="","",HYPERLINK("Z:\MUSTANG SERVICES\Affaires 2027\"&amp;$A309&amp;"\"&amp;$A309&amp;"_BL.xlsx","Ouvrir"))</f>
        <v/>
      </c>
      <c r="T309" s="22">
        <f>IF($A309="","",HYPERLINK("Z:\MUSTANG SERVICES\Affaires 2027\"&amp;$A309&amp;"\"&amp;$A309&amp;"_ServiceTicket.xlsx","Ouvrir"))</f>
        <v/>
      </c>
      <c r="U309" s="22">
        <f>IF($A309="","",HYPERLINK("Z:\MUSTANG SERVICES\Affaires 2027\"&amp;$A309&amp;"\","Dossier"))</f>
        <v/>
      </c>
    </row>
    <row r="310" ht="18" customHeight="1">
      <c r="A310" s="16" t="n"/>
      <c r="B310" s="17" t="n"/>
      <c r="C310" s="17" t="n"/>
      <c r="D310" s="18">
        <f>IF(AND(ISNUMBER($B310),ISNUMBER($C310)),$C310-$B310,"")</f>
        <v/>
      </c>
      <c r="E310" s="19" t="n"/>
      <c r="F310" s="20" t="n"/>
      <c r="G310" s="19" t="n"/>
      <c r="H310" s="20" t="n"/>
      <c r="I310" s="20" t="n"/>
      <c r="J310" s="19" t="n"/>
      <c r="K310" s="16" t="n"/>
      <c r="L310" s="20" t="n"/>
      <c r="M310" s="20" t="n"/>
      <c r="N310" s="17" t="n"/>
      <c r="O310" s="18">
        <f>IF(AND(OR($M310="Envoyé",$M310="En attente"),ISNUMBER($C310),NOT(ISNUMBER($N310))),IF(TODAY()-$C310&gt;=7,"⚠ relancer",""),"")</f>
        <v/>
      </c>
      <c r="P310" s="19" t="n"/>
      <c r="Q310" s="22">
        <f>IF($A310="","",HYPERLINK("Z:\MUSTANG SERVICES\Affaires 2027\"&amp;$A310&amp;"\"&amp;$A310&amp;"_Devis.xlsx","Ouvrir"))</f>
        <v/>
      </c>
      <c r="R310" s="22">
        <f>IF($A310="","",HYPERLINK("Z:\MUSTANG SERVICES\Affaires 2027\"&amp;$A310&amp;"\"&amp;$A310&amp;"_ToolList.xlsx","Ouvrir"))</f>
        <v/>
      </c>
      <c r="S310" s="22">
        <f>IF($A310="","",HYPERLINK("Z:\MUSTANG SERVICES\Affaires 2027\"&amp;$A310&amp;"\"&amp;$A310&amp;"_BL.xlsx","Ouvrir"))</f>
        <v/>
      </c>
      <c r="T310" s="22">
        <f>IF($A310="","",HYPERLINK("Z:\MUSTANG SERVICES\Affaires 2027\"&amp;$A310&amp;"\"&amp;$A310&amp;"_ServiceTicket.xlsx","Ouvrir"))</f>
        <v/>
      </c>
      <c r="U310" s="22">
        <f>IF($A310="","",HYPERLINK("Z:\MUSTANG SERVICES\Affaires 2027\"&amp;$A310&amp;"\","Dossier"))</f>
        <v/>
      </c>
    </row>
    <row r="311" ht="18" customHeight="1">
      <c r="A311" s="16" t="n"/>
      <c r="B311" s="17" t="n"/>
      <c r="C311" s="17" t="n"/>
      <c r="D311" s="18">
        <f>IF(AND(ISNUMBER($B311),ISNUMBER($C311)),$C311-$B311,"")</f>
        <v/>
      </c>
      <c r="E311" s="19" t="n"/>
      <c r="F311" s="20" t="n"/>
      <c r="G311" s="19" t="n"/>
      <c r="H311" s="20" t="n"/>
      <c r="I311" s="20" t="n"/>
      <c r="J311" s="19" t="n"/>
      <c r="K311" s="16" t="n"/>
      <c r="L311" s="20" t="n"/>
      <c r="M311" s="20" t="n"/>
      <c r="N311" s="17" t="n"/>
      <c r="O311" s="18">
        <f>IF(AND(OR($M311="Envoyé",$M311="En attente"),ISNUMBER($C311),NOT(ISNUMBER($N311))),IF(TODAY()-$C311&gt;=7,"⚠ relancer",""),"")</f>
        <v/>
      </c>
      <c r="P311" s="19" t="n"/>
      <c r="Q311" s="22">
        <f>IF($A311="","",HYPERLINK("Z:\MUSTANG SERVICES\Affaires 2027\"&amp;$A311&amp;"\"&amp;$A311&amp;"_Devis.xlsx","Ouvrir"))</f>
        <v/>
      </c>
      <c r="R311" s="22">
        <f>IF($A311="","",HYPERLINK("Z:\MUSTANG SERVICES\Affaires 2027\"&amp;$A311&amp;"\"&amp;$A311&amp;"_ToolList.xlsx","Ouvrir"))</f>
        <v/>
      </c>
      <c r="S311" s="22">
        <f>IF($A311="","",HYPERLINK("Z:\MUSTANG SERVICES\Affaires 2027\"&amp;$A311&amp;"\"&amp;$A311&amp;"_BL.xlsx","Ouvrir"))</f>
        <v/>
      </c>
      <c r="T311" s="22">
        <f>IF($A311="","",HYPERLINK("Z:\MUSTANG SERVICES\Affaires 2027\"&amp;$A311&amp;"\"&amp;$A311&amp;"_ServiceTicket.xlsx","Ouvrir"))</f>
        <v/>
      </c>
      <c r="U311" s="22">
        <f>IF($A311="","",HYPERLINK("Z:\MUSTANG SERVICES\Affaires 2027\"&amp;$A311&amp;"\","Dossier"))</f>
        <v/>
      </c>
    </row>
    <row r="312" ht="18" customHeight="1">
      <c r="A312" s="16" t="n"/>
      <c r="B312" s="17" t="n"/>
      <c r="C312" s="17" t="n"/>
      <c r="D312" s="18">
        <f>IF(AND(ISNUMBER($B312),ISNUMBER($C312)),$C312-$B312,"")</f>
        <v/>
      </c>
      <c r="E312" s="19" t="n"/>
      <c r="F312" s="20" t="n"/>
      <c r="G312" s="19" t="n"/>
      <c r="H312" s="20" t="n"/>
      <c r="I312" s="20" t="n"/>
      <c r="J312" s="19" t="n"/>
      <c r="K312" s="16" t="n"/>
      <c r="L312" s="20" t="n"/>
      <c r="M312" s="20" t="n"/>
      <c r="N312" s="17" t="n"/>
      <c r="O312" s="18">
        <f>IF(AND(OR($M312="Envoyé",$M312="En attente"),ISNUMBER($C312),NOT(ISNUMBER($N312))),IF(TODAY()-$C312&gt;=7,"⚠ relancer",""),"")</f>
        <v/>
      </c>
      <c r="P312" s="19" t="n"/>
      <c r="Q312" s="22">
        <f>IF($A312="","",HYPERLINK("Z:\MUSTANG SERVICES\Affaires 2027\"&amp;$A312&amp;"\"&amp;$A312&amp;"_Devis.xlsx","Ouvrir"))</f>
        <v/>
      </c>
      <c r="R312" s="22">
        <f>IF($A312="","",HYPERLINK("Z:\MUSTANG SERVICES\Affaires 2027\"&amp;$A312&amp;"\"&amp;$A312&amp;"_ToolList.xlsx","Ouvrir"))</f>
        <v/>
      </c>
      <c r="S312" s="22">
        <f>IF($A312="","",HYPERLINK("Z:\MUSTANG SERVICES\Affaires 2027\"&amp;$A312&amp;"\"&amp;$A312&amp;"_BL.xlsx","Ouvrir"))</f>
        <v/>
      </c>
      <c r="T312" s="22">
        <f>IF($A312="","",HYPERLINK("Z:\MUSTANG SERVICES\Affaires 2027\"&amp;$A312&amp;"\"&amp;$A312&amp;"_ServiceTicket.xlsx","Ouvrir"))</f>
        <v/>
      </c>
      <c r="U312" s="22">
        <f>IF($A312="","",HYPERLINK("Z:\MUSTANG SERVICES\Affaires 2027\"&amp;$A312&amp;"\","Dossier"))</f>
        <v/>
      </c>
    </row>
    <row r="313" ht="18" customHeight="1">
      <c r="A313" s="16" t="n"/>
      <c r="B313" s="17" t="n"/>
      <c r="C313" s="17" t="n"/>
      <c r="D313" s="18">
        <f>IF(AND(ISNUMBER($B313),ISNUMBER($C313)),$C313-$B313,"")</f>
        <v/>
      </c>
      <c r="E313" s="19" t="n"/>
      <c r="F313" s="20" t="n"/>
      <c r="G313" s="19" t="n"/>
      <c r="H313" s="20" t="n"/>
      <c r="I313" s="20" t="n"/>
      <c r="J313" s="19" t="n"/>
      <c r="K313" s="16" t="n"/>
      <c r="L313" s="20" t="n"/>
      <c r="M313" s="20" t="n"/>
      <c r="N313" s="17" t="n"/>
      <c r="O313" s="18">
        <f>IF(AND(OR($M313="Envoyé",$M313="En attente"),ISNUMBER($C313),NOT(ISNUMBER($N313))),IF(TODAY()-$C313&gt;=7,"⚠ relancer",""),"")</f>
        <v/>
      </c>
      <c r="P313" s="19" t="n"/>
      <c r="Q313" s="22">
        <f>IF($A313="","",HYPERLINK("Z:\MUSTANG SERVICES\Affaires 2027\"&amp;$A313&amp;"\"&amp;$A313&amp;"_Devis.xlsx","Ouvrir"))</f>
        <v/>
      </c>
      <c r="R313" s="22">
        <f>IF($A313="","",HYPERLINK("Z:\MUSTANG SERVICES\Affaires 2027\"&amp;$A313&amp;"\"&amp;$A313&amp;"_ToolList.xlsx","Ouvrir"))</f>
        <v/>
      </c>
      <c r="S313" s="22">
        <f>IF($A313="","",HYPERLINK("Z:\MUSTANG SERVICES\Affaires 2027\"&amp;$A313&amp;"\"&amp;$A313&amp;"_BL.xlsx","Ouvrir"))</f>
        <v/>
      </c>
      <c r="T313" s="22">
        <f>IF($A313="","",HYPERLINK("Z:\MUSTANG SERVICES\Affaires 2027\"&amp;$A313&amp;"\"&amp;$A313&amp;"_ServiceTicket.xlsx","Ouvrir"))</f>
        <v/>
      </c>
      <c r="U313" s="22">
        <f>IF($A313="","",HYPERLINK("Z:\MUSTANG SERVICES\Affaires 2027\"&amp;$A313&amp;"\","Dossier"))</f>
        <v/>
      </c>
    </row>
    <row r="314" ht="18" customHeight="1">
      <c r="A314" s="16" t="n"/>
      <c r="B314" s="17" t="n"/>
      <c r="C314" s="17" t="n"/>
      <c r="D314" s="18">
        <f>IF(AND(ISNUMBER($B314),ISNUMBER($C314)),$C314-$B314,"")</f>
        <v/>
      </c>
      <c r="E314" s="19" t="n"/>
      <c r="F314" s="20" t="n"/>
      <c r="G314" s="19" t="n"/>
      <c r="H314" s="20" t="n"/>
      <c r="I314" s="20" t="n"/>
      <c r="J314" s="19" t="n"/>
      <c r="K314" s="16" t="n"/>
      <c r="L314" s="20" t="n"/>
      <c r="M314" s="20" t="n"/>
      <c r="N314" s="17" t="n"/>
      <c r="O314" s="18">
        <f>IF(AND(OR($M314="Envoyé",$M314="En attente"),ISNUMBER($C314),NOT(ISNUMBER($N314))),IF(TODAY()-$C314&gt;=7,"⚠ relancer",""),"")</f>
        <v/>
      </c>
      <c r="P314" s="19" t="n"/>
      <c r="Q314" s="22">
        <f>IF($A314="","",HYPERLINK("Z:\MUSTANG SERVICES\Affaires 2027\"&amp;$A314&amp;"\"&amp;$A314&amp;"_Devis.xlsx","Ouvrir"))</f>
        <v/>
      </c>
      <c r="R314" s="22">
        <f>IF($A314="","",HYPERLINK("Z:\MUSTANG SERVICES\Affaires 2027\"&amp;$A314&amp;"\"&amp;$A314&amp;"_ToolList.xlsx","Ouvrir"))</f>
        <v/>
      </c>
      <c r="S314" s="22">
        <f>IF($A314="","",HYPERLINK("Z:\MUSTANG SERVICES\Affaires 2027\"&amp;$A314&amp;"\"&amp;$A314&amp;"_BL.xlsx","Ouvrir"))</f>
        <v/>
      </c>
      <c r="T314" s="22">
        <f>IF($A314="","",HYPERLINK("Z:\MUSTANG SERVICES\Affaires 2027\"&amp;$A314&amp;"\"&amp;$A314&amp;"_ServiceTicket.xlsx","Ouvrir"))</f>
        <v/>
      </c>
      <c r="U314" s="22">
        <f>IF($A314="","",HYPERLINK("Z:\MUSTANG SERVICES\Affaires 2027\"&amp;$A314&amp;"\","Dossier"))</f>
        <v/>
      </c>
    </row>
    <row r="315" ht="18" customHeight="1">
      <c r="A315" s="16" t="n"/>
      <c r="B315" s="17" t="n"/>
      <c r="C315" s="17" t="n"/>
      <c r="D315" s="18">
        <f>IF(AND(ISNUMBER($B315),ISNUMBER($C315)),$C315-$B315,"")</f>
        <v/>
      </c>
      <c r="E315" s="19" t="n"/>
      <c r="F315" s="20" t="n"/>
      <c r="G315" s="19" t="n"/>
      <c r="H315" s="20" t="n"/>
      <c r="I315" s="20" t="n"/>
      <c r="J315" s="19" t="n"/>
      <c r="K315" s="16" t="n"/>
      <c r="L315" s="20" t="n"/>
      <c r="M315" s="20" t="n"/>
      <c r="N315" s="17" t="n"/>
      <c r="O315" s="18">
        <f>IF(AND(OR($M315="Envoyé",$M315="En attente"),ISNUMBER($C315),NOT(ISNUMBER($N315))),IF(TODAY()-$C315&gt;=7,"⚠ relancer",""),"")</f>
        <v/>
      </c>
      <c r="P315" s="19" t="n"/>
      <c r="Q315" s="22">
        <f>IF($A315="","",HYPERLINK("Z:\MUSTANG SERVICES\Affaires 2027\"&amp;$A315&amp;"\"&amp;$A315&amp;"_Devis.xlsx","Ouvrir"))</f>
        <v/>
      </c>
      <c r="R315" s="22">
        <f>IF($A315="","",HYPERLINK("Z:\MUSTANG SERVICES\Affaires 2027\"&amp;$A315&amp;"\"&amp;$A315&amp;"_ToolList.xlsx","Ouvrir"))</f>
        <v/>
      </c>
      <c r="S315" s="22">
        <f>IF($A315="","",HYPERLINK("Z:\MUSTANG SERVICES\Affaires 2027\"&amp;$A315&amp;"\"&amp;$A315&amp;"_BL.xlsx","Ouvrir"))</f>
        <v/>
      </c>
      <c r="T315" s="22">
        <f>IF($A315="","",HYPERLINK("Z:\MUSTANG SERVICES\Affaires 2027\"&amp;$A315&amp;"\"&amp;$A315&amp;"_ServiceTicket.xlsx","Ouvrir"))</f>
        <v/>
      </c>
      <c r="U315" s="22">
        <f>IF($A315="","",HYPERLINK("Z:\MUSTANG SERVICES\Affaires 2027\"&amp;$A315&amp;"\","Dossier"))</f>
        <v/>
      </c>
    </row>
    <row r="316" ht="18" customHeight="1">
      <c r="A316" s="16" t="n"/>
      <c r="B316" s="17" t="n"/>
      <c r="C316" s="17" t="n"/>
      <c r="D316" s="18">
        <f>IF(AND(ISNUMBER($B316),ISNUMBER($C316)),$C316-$B316,"")</f>
        <v/>
      </c>
      <c r="E316" s="19" t="n"/>
      <c r="F316" s="20" t="n"/>
      <c r="G316" s="19" t="n"/>
      <c r="H316" s="20" t="n"/>
      <c r="I316" s="20" t="n"/>
      <c r="J316" s="19" t="n"/>
      <c r="K316" s="16" t="n"/>
      <c r="L316" s="20" t="n"/>
      <c r="M316" s="20" t="n"/>
      <c r="N316" s="17" t="n"/>
      <c r="O316" s="18">
        <f>IF(AND(OR($M316="Envoyé",$M316="En attente"),ISNUMBER($C316),NOT(ISNUMBER($N316))),IF(TODAY()-$C316&gt;=7,"⚠ relancer",""),"")</f>
        <v/>
      </c>
      <c r="P316" s="19" t="n"/>
      <c r="Q316" s="22">
        <f>IF($A316="","",HYPERLINK("Z:\MUSTANG SERVICES\Affaires 2027\"&amp;$A316&amp;"\"&amp;$A316&amp;"_Devis.xlsx","Ouvrir"))</f>
        <v/>
      </c>
      <c r="R316" s="22">
        <f>IF($A316="","",HYPERLINK("Z:\MUSTANG SERVICES\Affaires 2027\"&amp;$A316&amp;"\"&amp;$A316&amp;"_ToolList.xlsx","Ouvrir"))</f>
        <v/>
      </c>
      <c r="S316" s="22">
        <f>IF($A316="","",HYPERLINK("Z:\MUSTANG SERVICES\Affaires 2027\"&amp;$A316&amp;"\"&amp;$A316&amp;"_BL.xlsx","Ouvrir"))</f>
        <v/>
      </c>
      <c r="T316" s="22">
        <f>IF($A316="","",HYPERLINK("Z:\MUSTANG SERVICES\Affaires 2027\"&amp;$A316&amp;"\"&amp;$A316&amp;"_ServiceTicket.xlsx","Ouvrir"))</f>
        <v/>
      </c>
      <c r="U316" s="22">
        <f>IF($A316="","",HYPERLINK("Z:\MUSTANG SERVICES\Affaires 2027\"&amp;$A316&amp;"\","Dossier"))</f>
        <v/>
      </c>
    </row>
    <row r="317" ht="18" customHeight="1">
      <c r="A317" s="16" t="n"/>
      <c r="B317" s="17" t="n"/>
      <c r="C317" s="17" t="n"/>
      <c r="D317" s="18">
        <f>IF(AND(ISNUMBER($B317),ISNUMBER($C317)),$C317-$B317,"")</f>
        <v/>
      </c>
      <c r="E317" s="19" t="n"/>
      <c r="F317" s="20" t="n"/>
      <c r="G317" s="19" t="n"/>
      <c r="H317" s="20" t="n"/>
      <c r="I317" s="20" t="n"/>
      <c r="J317" s="19" t="n"/>
      <c r="K317" s="16" t="n"/>
      <c r="L317" s="20" t="n"/>
      <c r="M317" s="20" t="n"/>
      <c r="N317" s="17" t="n"/>
      <c r="O317" s="18">
        <f>IF(AND(OR($M317="Envoyé",$M317="En attente"),ISNUMBER($C317),NOT(ISNUMBER($N317))),IF(TODAY()-$C317&gt;=7,"⚠ relancer",""),"")</f>
        <v/>
      </c>
      <c r="P317" s="19" t="n"/>
      <c r="Q317" s="22">
        <f>IF($A317="","",HYPERLINK("Z:\MUSTANG SERVICES\Affaires 2027\"&amp;$A317&amp;"\"&amp;$A317&amp;"_Devis.xlsx","Ouvrir"))</f>
        <v/>
      </c>
      <c r="R317" s="22">
        <f>IF($A317="","",HYPERLINK("Z:\MUSTANG SERVICES\Affaires 2027\"&amp;$A317&amp;"\"&amp;$A317&amp;"_ToolList.xlsx","Ouvrir"))</f>
        <v/>
      </c>
      <c r="S317" s="22">
        <f>IF($A317="","",HYPERLINK("Z:\MUSTANG SERVICES\Affaires 2027\"&amp;$A317&amp;"\"&amp;$A317&amp;"_BL.xlsx","Ouvrir"))</f>
        <v/>
      </c>
      <c r="T317" s="22">
        <f>IF($A317="","",HYPERLINK("Z:\MUSTANG SERVICES\Affaires 2027\"&amp;$A317&amp;"\"&amp;$A317&amp;"_ServiceTicket.xlsx","Ouvrir"))</f>
        <v/>
      </c>
      <c r="U317" s="22">
        <f>IF($A317="","",HYPERLINK("Z:\MUSTANG SERVICES\Affaires 2027\"&amp;$A317&amp;"\","Dossier"))</f>
        <v/>
      </c>
    </row>
    <row r="318" ht="18" customHeight="1">
      <c r="A318" s="16" t="n"/>
      <c r="B318" s="17" t="n"/>
      <c r="C318" s="17" t="n"/>
      <c r="D318" s="18">
        <f>IF(AND(ISNUMBER($B318),ISNUMBER($C318)),$C318-$B318,"")</f>
        <v/>
      </c>
      <c r="E318" s="19" t="n"/>
      <c r="F318" s="20" t="n"/>
      <c r="G318" s="19" t="n"/>
      <c r="H318" s="20" t="n"/>
      <c r="I318" s="20" t="n"/>
      <c r="J318" s="19" t="n"/>
      <c r="K318" s="16" t="n"/>
      <c r="L318" s="20" t="n"/>
      <c r="M318" s="20" t="n"/>
      <c r="N318" s="17" t="n"/>
      <c r="O318" s="18">
        <f>IF(AND(OR($M318="Envoyé",$M318="En attente"),ISNUMBER($C318),NOT(ISNUMBER($N318))),IF(TODAY()-$C318&gt;=7,"⚠ relancer",""),"")</f>
        <v/>
      </c>
      <c r="P318" s="19" t="n"/>
      <c r="Q318" s="22">
        <f>IF($A318="","",HYPERLINK("Z:\MUSTANG SERVICES\Affaires 2027\"&amp;$A318&amp;"\"&amp;$A318&amp;"_Devis.xlsx","Ouvrir"))</f>
        <v/>
      </c>
      <c r="R318" s="22">
        <f>IF($A318="","",HYPERLINK("Z:\MUSTANG SERVICES\Affaires 2027\"&amp;$A318&amp;"\"&amp;$A318&amp;"_ToolList.xlsx","Ouvrir"))</f>
        <v/>
      </c>
      <c r="S318" s="22">
        <f>IF($A318="","",HYPERLINK("Z:\MUSTANG SERVICES\Affaires 2027\"&amp;$A318&amp;"\"&amp;$A318&amp;"_BL.xlsx","Ouvrir"))</f>
        <v/>
      </c>
      <c r="T318" s="22">
        <f>IF($A318="","",HYPERLINK("Z:\MUSTANG SERVICES\Affaires 2027\"&amp;$A318&amp;"\"&amp;$A318&amp;"_ServiceTicket.xlsx","Ouvrir"))</f>
        <v/>
      </c>
      <c r="U318" s="22">
        <f>IF($A318="","",HYPERLINK("Z:\MUSTANG SERVICES\Affaires 2027\"&amp;$A318&amp;"\","Dossier"))</f>
        <v/>
      </c>
    </row>
    <row r="319" ht="18" customHeight="1">
      <c r="A319" s="16" t="n"/>
      <c r="B319" s="17" t="n"/>
      <c r="C319" s="17" t="n"/>
      <c r="D319" s="18">
        <f>IF(AND(ISNUMBER($B319),ISNUMBER($C319)),$C319-$B319,"")</f>
        <v/>
      </c>
      <c r="E319" s="19" t="n"/>
      <c r="F319" s="20" t="n"/>
      <c r="G319" s="19" t="n"/>
      <c r="H319" s="20" t="n"/>
      <c r="I319" s="20" t="n"/>
      <c r="J319" s="19" t="n"/>
      <c r="K319" s="16" t="n"/>
      <c r="L319" s="20" t="n"/>
      <c r="M319" s="20" t="n"/>
      <c r="N319" s="17" t="n"/>
      <c r="O319" s="18">
        <f>IF(AND(OR($M319="Envoyé",$M319="En attente"),ISNUMBER($C319),NOT(ISNUMBER($N319))),IF(TODAY()-$C319&gt;=7,"⚠ relancer",""),"")</f>
        <v/>
      </c>
      <c r="P319" s="19" t="n"/>
      <c r="Q319" s="22">
        <f>IF($A319="","",HYPERLINK("Z:\MUSTANG SERVICES\Affaires 2027\"&amp;$A319&amp;"\"&amp;$A319&amp;"_Devis.xlsx","Ouvrir"))</f>
        <v/>
      </c>
      <c r="R319" s="22">
        <f>IF($A319="","",HYPERLINK("Z:\MUSTANG SERVICES\Affaires 2027\"&amp;$A319&amp;"\"&amp;$A319&amp;"_ToolList.xlsx","Ouvrir"))</f>
        <v/>
      </c>
      <c r="S319" s="22">
        <f>IF($A319="","",HYPERLINK("Z:\MUSTANG SERVICES\Affaires 2027\"&amp;$A319&amp;"\"&amp;$A319&amp;"_BL.xlsx","Ouvrir"))</f>
        <v/>
      </c>
      <c r="T319" s="22">
        <f>IF($A319="","",HYPERLINK("Z:\MUSTANG SERVICES\Affaires 2027\"&amp;$A319&amp;"\"&amp;$A319&amp;"_ServiceTicket.xlsx","Ouvrir"))</f>
        <v/>
      </c>
      <c r="U319" s="22">
        <f>IF($A319="","",HYPERLINK("Z:\MUSTANG SERVICES\Affaires 2027\"&amp;$A319&amp;"\","Dossier"))</f>
        <v/>
      </c>
    </row>
    <row r="320" ht="18" customHeight="1">
      <c r="A320" s="16" t="n"/>
      <c r="B320" s="17" t="n"/>
      <c r="C320" s="17" t="n"/>
      <c r="D320" s="18">
        <f>IF(AND(ISNUMBER($B320),ISNUMBER($C320)),$C320-$B320,"")</f>
        <v/>
      </c>
      <c r="E320" s="19" t="n"/>
      <c r="F320" s="20" t="n"/>
      <c r="G320" s="19" t="n"/>
      <c r="H320" s="20" t="n"/>
      <c r="I320" s="20" t="n"/>
      <c r="J320" s="19" t="n"/>
      <c r="K320" s="16" t="n"/>
      <c r="L320" s="20" t="n"/>
      <c r="M320" s="20" t="n"/>
      <c r="N320" s="17" t="n"/>
      <c r="O320" s="18">
        <f>IF(AND(OR($M320="Envoyé",$M320="En attente"),ISNUMBER($C320),NOT(ISNUMBER($N320))),IF(TODAY()-$C320&gt;=7,"⚠ relancer",""),"")</f>
        <v/>
      </c>
      <c r="P320" s="19" t="n"/>
      <c r="Q320" s="22">
        <f>IF($A320="","",HYPERLINK("Z:\MUSTANG SERVICES\Affaires 2027\"&amp;$A320&amp;"\"&amp;$A320&amp;"_Devis.xlsx","Ouvrir"))</f>
        <v/>
      </c>
      <c r="R320" s="22">
        <f>IF($A320="","",HYPERLINK("Z:\MUSTANG SERVICES\Affaires 2027\"&amp;$A320&amp;"\"&amp;$A320&amp;"_ToolList.xlsx","Ouvrir"))</f>
        <v/>
      </c>
      <c r="S320" s="22">
        <f>IF($A320="","",HYPERLINK("Z:\MUSTANG SERVICES\Affaires 2027\"&amp;$A320&amp;"\"&amp;$A320&amp;"_BL.xlsx","Ouvrir"))</f>
        <v/>
      </c>
      <c r="T320" s="22">
        <f>IF($A320="","",HYPERLINK("Z:\MUSTANG SERVICES\Affaires 2027\"&amp;$A320&amp;"\"&amp;$A320&amp;"_ServiceTicket.xlsx","Ouvrir"))</f>
        <v/>
      </c>
      <c r="U320" s="22">
        <f>IF($A320="","",HYPERLINK("Z:\MUSTANG SERVICES\Affaires 2027\"&amp;$A320&amp;"\","Dossier"))</f>
        <v/>
      </c>
    </row>
    <row r="321" ht="18" customHeight="1">
      <c r="A321" s="16" t="n"/>
      <c r="B321" s="17" t="n"/>
      <c r="C321" s="17" t="n"/>
      <c r="D321" s="18">
        <f>IF(AND(ISNUMBER($B321),ISNUMBER($C321)),$C321-$B321,"")</f>
        <v/>
      </c>
      <c r="E321" s="19" t="n"/>
      <c r="F321" s="20" t="n"/>
      <c r="G321" s="19" t="n"/>
      <c r="H321" s="20" t="n"/>
      <c r="I321" s="20" t="n"/>
      <c r="J321" s="19" t="n"/>
      <c r="K321" s="16" t="n"/>
      <c r="L321" s="20" t="n"/>
      <c r="M321" s="20" t="n"/>
      <c r="N321" s="17" t="n"/>
      <c r="O321" s="18">
        <f>IF(AND(OR($M321="Envoyé",$M321="En attente"),ISNUMBER($C321),NOT(ISNUMBER($N321))),IF(TODAY()-$C321&gt;=7,"⚠ relancer",""),"")</f>
        <v/>
      </c>
      <c r="P321" s="19" t="n"/>
      <c r="Q321" s="22">
        <f>IF($A321="","",HYPERLINK("Z:\MUSTANG SERVICES\Affaires 2027\"&amp;$A321&amp;"\"&amp;$A321&amp;"_Devis.xlsx","Ouvrir"))</f>
        <v/>
      </c>
      <c r="R321" s="22">
        <f>IF($A321="","",HYPERLINK("Z:\MUSTANG SERVICES\Affaires 2027\"&amp;$A321&amp;"\"&amp;$A321&amp;"_ToolList.xlsx","Ouvrir"))</f>
        <v/>
      </c>
      <c r="S321" s="22">
        <f>IF($A321="","",HYPERLINK("Z:\MUSTANG SERVICES\Affaires 2027\"&amp;$A321&amp;"\"&amp;$A321&amp;"_BL.xlsx","Ouvrir"))</f>
        <v/>
      </c>
      <c r="T321" s="22">
        <f>IF($A321="","",HYPERLINK("Z:\MUSTANG SERVICES\Affaires 2027\"&amp;$A321&amp;"\"&amp;$A321&amp;"_ServiceTicket.xlsx","Ouvrir"))</f>
        <v/>
      </c>
      <c r="U321" s="22">
        <f>IF($A321="","",HYPERLINK("Z:\MUSTANG SERVICES\Affaires 2027\"&amp;$A321&amp;"\","Dossier"))</f>
        <v/>
      </c>
    </row>
    <row r="322" ht="18" customHeight="1">
      <c r="A322" s="16" t="n"/>
      <c r="B322" s="17" t="n"/>
      <c r="C322" s="17" t="n"/>
      <c r="D322" s="18">
        <f>IF(AND(ISNUMBER($B322),ISNUMBER($C322)),$C322-$B322,"")</f>
        <v/>
      </c>
      <c r="E322" s="19" t="n"/>
      <c r="F322" s="20" t="n"/>
      <c r="G322" s="19" t="n"/>
      <c r="H322" s="20" t="n"/>
      <c r="I322" s="20" t="n"/>
      <c r="J322" s="19" t="n"/>
      <c r="K322" s="16" t="n"/>
      <c r="L322" s="20" t="n"/>
      <c r="M322" s="20" t="n"/>
      <c r="N322" s="17" t="n"/>
      <c r="O322" s="18">
        <f>IF(AND(OR($M322="Envoyé",$M322="En attente"),ISNUMBER($C322),NOT(ISNUMBER($N322))),IF(TODAY()-$C322&gt;=7,"⚠ relancer",""),"")</f>
        <v/>
      </c>
      <c r="P322" s="19" t="n"/>
      <c r="Q322" s="22">
        <f>IF($A322="","",HYPERLINK("Z:\MUSTANG SERVICES\Affaires 2027\"&amp;$A322&amp;"\"&amp;$A322&amp;"_Devis.xlsx","Ouvrir"))</f>
        <v/>
      </c>
      <c r="R322" s="22">
        <f>IF($A322="","",HYPERLINK("Z:\MUSTANG SERVICES\Affaires 2027\"&amp;$A322&amp;"\"&amp;$A322&amp;"_ToolList.xlsx","Ouvrir"))</f>
        <v/>
      </c>
      <c r="S322" s="22">
        <f>IF($A322="","",HYPERLINK("Z:\MUSTANG SERVICES\Affaires 2027\"&amp;$A322&amp;"\"&amp;$A322&amp;"_BL.xlsx","Ouvrir"))</f>
        <v/>
      </c>
      <c r="T322" s="22">
        <f>IF($A322="","",HYPERLINK("Z:\MUSTANG SERVICES\Affaires 2027\"&amp;$A322&amp;"\"&amp;$A322&amp;"_ServiceTicket.xlsx","Ouvrir"))</f>
        <v/>
      </c>
      <c r="U322" s="22">
        <f>IF($A322="","",HYPERLINK("Z:\MUSTANG SERVICES\Affaires 2027\"&amp;$A322&amp;"\","Dossier"))</f>
        <v/>
      </c>
    </row>
    <row r="323" ht="18" customHeight="1">
      <c r="A323" s="16" t="n"/>
      <c r="B323" s="17" t="n"/>
      <c r="C323" s="17" t="n"/>
      <c r="D323" s="18">
        <f>IF(AND(ISNUMBER($B323),ISNUMBER($C323)),$C323-$B323,"")</f>
        <v/>
      </c>
      <c r="E323" s="19" t="n"/>
      <c r="F323" s="20" t="n"/>
      <c r="G323" s="19" t="n"/>
      <c r="H323" s="20" t="n"/>
      <c r="I323" s="20" t="n"/>
      <c r="J323" s="19" t="n"/>
      <c r="K323" s="16" t="n"/>
      <c r="L323" s="20" t="n"/>
      <c r="M323" s="20" t="n"/>
      <c r="N323" s="17" t="n"/>
      <c r="O323" s="18">
        <f>IF(AND(OR($M323="Envoyé",$M323="En attente"),ISNUMBER($C323),NOT(ISNUMBER($N323))),IF(TODAY()-$C323&gt;=7,"⚠ relancer",""),"")</f>
        <v/>
      </c>
      <c r="P323" s="19" t="n"/>
      <c r="Q323" s="22">
        <f>IF($A323="","",HYPERLINK("Z:\MUSTANG SERVICES\Affaires 2027\"&amp;$A323&amp;"\"&amp;$A323&amp;"_Devis.xlsx","Ouvrir"))</f>
        <v/>
      </c>
      <c r="R323" s="22">
        <f>IF($A323="","",HYPERLINK("Z:\MUSTANG SERVICES\Affaires 2027\"&amp;$A323&amp;"\"&amp;$A323&amp;"_ToolList.xlsx","Ouvrir"))</f>
        <v/>
      </c>
      <c r="S323" s="22">
        <f>IF($A323="","",HYPERLINK("Z:\MUSTANG SERVICES\Affaires 2027\"&amp;$A323&amp;"\"&amp;$A323&amp;"_BL.xlsx","Ouvrir"))</f>
        <v/>
      </c>
      <c r="T323" s="22">
        <f>IF($A323="","",HYPERLINK("Z:\MUSTANG SERVICES\Affaires 2027\"&amp;$A323&amp;"\"&amp;$A323&amp;"_ServiceTicket.xlsx","Ouvrir"))</f>
        <v/>
      </c>
      <c r="U323" s="22">
        <f>IF($A323="","",HYPERLINK("Z:\MUSTANG SERVICES\Affaires 2027\"&amp;$A323&amp;"\","Dossier"))</f>
        <v/>
      </c>
    </row>
    <row r="324" ht="18" customHeight="1">
      <c r="A324" s="16" t="n"/>
      <c r="B324" s="17" t="n"/>
      <c r="C324" s="17" t="n"/>
      <c r="D324" s="18">
        <f>IF(AND(ISNUMBER($B324),ISNUMBER($C324)),$C324-$B324,"")</f>
        <v/>
      </c>
      <c r="E324" s="19" t="n"/>
      <c r="F324" s="20" t="n"/>
      <c r="G324" s="19" t="n"/>
      <c r="H324" s="20" t="n"/>
      <c r="I324" s="20" t="n"/>
      <c r="J324" s="19" t="n"/>
      <c r="K324" s="16" t="n"/>
      <c r="L324" s="20" t="n"/>
      <c r="M324" s="20" t="n"/>
      <c r="N324" s="17" t="n"/>
      <c r="O324" s="18">
        <f>IF(AND(OR($M324="Envoyé",$M324="En attente"),ISNUMBER($C324),NOT(ISNUMBER($N324))),IF(TODAY()-$C324&gt;=7,"⚠ relancer",""),"")</f>
        <v/>
      </c>
      <c r="P324" s="19" t="n"/>
      <c r="Q324" s="22">
        <f>IF($A324="","",HYPERLINK("Z:\MUSTANG SERVICES\Affaires 2027\"&amp;$A324&amp;"\"&amp;$A324&amp;"_Devis.xlsx","Ouvrir"))</f>
        <v/>
      </c>
      <c r="R324" s="22">
        <f>IF($A324="","",HYPERLINK("Z:\MUSTANG SERVICES\Affaires 2027\"&amp;$A324&amp;"\"&amp;$A324&amp;"_ToolList.xlsx","Ouvrir"))</f>
        <v/>
      </c>
      <c r="S324" s="22">
        <f>IF($A324="","",HYPERLINK("Z:\MUSTANG SERVICES\Affaires 2027\"&amp;$A324&amp;"\"&amp;$A324&amp;"_BL.xlsx","Ouvrir"))</f>
        <v/>
      </c>
      <c r="T324" s="22">
        <f>IF($A324="","",HYPERLINK("Z:\MUSTANG SERVICES\Affaires 2027\"&amp;$A324&amp;"\"&amp;$A324&amp;"_ServiceTicket.xlsx","Ouvrir"))</f>
        <v/>
      </c>
      <c r="U324" s="22">
        <f>IF($A324="","",HYPERLINK("Z:\MUSTANG SERVICES\Affaires 2027\"&amp;$A324&amp;"\","Dossier"))</f>
        <v/>
      </c>
    </row>
    <row r="325" ht="18" customHeight="1">
      <c r="A325" s="16" t="n"/>
      <c r="B325" s="17" t="n"/>
      <c r="C325" s="17" t="n"/>
      <c r="D325" s="18">
        <f>IF(AND(ISNUMBER($B325),ISNUMBER($C325)),$C325-$B325,"")</f>
        <v/>
      </c>
      <c r="E325" s="19" t="n"/>
      <c r="F325" s="20" t="n"/>
      <c r="G325" s="19" t="n"/>
      <c r="H325" s="20" t="n"/>
      <c r="I325" s="20" t="n"/>
      <c r="J325" s="19" t="n"/>
      <c r="K325" s="16" t="n"/>
      <c r="L325" s="20" t="n"/>
      <c r="M325" s="20" t="n"/>
      <c r="N325" s="17" t="n"/>
      <c r="O325" s="18">
        <f>IF(AND(OR($M325="Envoyé",$M325="En attente"),ISNUMBER($C325),NOT(ISNUMBER($N325))),IF(TODAY()-$C325&gt;=7,"⚠ relancer",""),"")</f>
        <v/>
      </c>
      <c r="P325" s="19" t="n"/>
      <c r="Q325" s="22">
        <f>IF($A325="","",HYPERLINK("Z:\MUSTANG SERVICES\Affaires 2027\"&amp;$A325&amp;"\"&amp;$A325&amp;"_Devis.xlsx","Ouvrir"))</f>
        <v/>
      </c>
      <c r="R325" s="22">
        <f>IF($A325="","",HYPERLINK("Z:\MUSTANG SERVICES\Affaires 2027\"&amp;$A325&amp;"\"&amp;$A325&amp;"_ToolList.xlsx","Ouvrir"))</f>
        <v/>
      </c>
      <c r="S325" s="22">
        <f>IF($A325="","",HYPERLINK("Z:\MUSTANG SERVICES\Affaires 2027\"&amp;$A325&amp;"\"&amp;$A325&amp;"_BL.xlsx","Ouvrir"))</f>
        <v/>
      </c>
      <c r="T325" s="22">
        <f>IF($A325="","",HYPERLINK("Z:\MUSTANG SERVICES\Affaires 2027\"&amp;$A325&amp;"\"&amp;$A325&amp;"_ServiceTicket.xlsx","Ouvrir"))</f>
        <v/>
      </c>
      <c r="U325" s="22">
        <f>IF($A325="","",HYPERLINK("Z:\MUSTANG SERVICES\Affaires 2027\"&amp;$A325&amp;"\","Dossier"))</f>
        <v/>
      </c>
    </row>
    <row r="326" ht="18" customHeight="1">
      <c r="A326" s="16" t="n"/>
      <c r="B326" s="17" t="n"/>
      <c r="C326" s="17" t="n"/>
      <c r="D326" s="18">
        <f>IF(AND(ISNUMBER($B326),ISNUMBER($C326)),$C326-$B326,"")</f>
        <v/>
      </c>
      <c r="E326" s="19" t="n"/>
      <c r="F326" s="20" t="n"/>
      <c r="G326" s="19" t="n"/>
      <c r="H326" s="20" t="n"/>
      <c r="I326" s="20" t="n"/>
      <c r="J326" s="19" t="n"/>
      <c r="K326" s="16" t="n"/>
      <c r="L326" s="20" t="n"/>
      <c r="M326" s="20" t="n"/>
      <c r="N326" s="17" t="n"/>
      <c r="O326" s="18">
        <f>IF(AND(OR($M326="Envoyé",$M326="En attente"),ISNUMBER($C326),NOT(ISNUMBER($N326))),IF(TODAY()-$C326&gt;=7,"⚠ relancer",""),"")</f>
        <v/>
      </c>
      <c r="P326" s="19" t="n"/>
      <c r="Q326" s="22">
        <f>IF($A326="","",HYPERLINK("Z:\MUSTANG SERVICES\Affaires 2027\"&amp;$A326&amp;"\"&amp;$A326&amp;"_Devis.xlsx","Ouvrir"))</f>
        <v/>
      </c>
      <c r="R326" s="22">
        <f>IF($A326="","",HYPERLINK("Z:\MUSTANG SERVICES\Affaires 2027\"&amp;$A326&amp;"\"&amp;$A326&amp;"_ToolList.xlsx","Ouvrir"))</f>
        <v/>
      </c>
      <c r="S326" s="22">
        <f>IF($A326="","",HYPERLINK("Z:\MUSTANG SERVICES\Affaires 2027\"&amp;$A326&amp;"\"&amp;$A326&amp;"_BL.xlsx","Ouvrir"))</f>
        <v/>
      </c>
      <c r="T326" s="22">
        <f>IF($A326="","",HYPERLINK("Z:\MUSTANG SERVICES\Affaires 2027\"&amp;$A326&amp;"\"&amp;$A326&amp;"_ServiceTicket.xlsx","Ouvrir"))</f>
        <v/>
      </c>
      <c r="U326" s="22">
        <f>IF($A326="","",HYPERLINK("Z:\MUSTANG SERVICES\Affaires 2027\"&amp;$A326&amp;"\","Dossier"))</f>
        <v/>
      </c>
    </row>
    <row r="327" ht="18" customHeight="1">
      <c r="A327" s="16" t="n"/>
      <c r="B327" s="17" t="n"/>
      <c r="C327" s="17" t="n"/>
      <c r="D327" s="18">
        <f>IF(AND(ISNUMBER($B327),ISNUMBER($C327)),$C327-$B327,"")</f>
        <v/>
      </c>
      <c r="E327" s="19" t="n"/>
      <c r="F327" s="20" t="n"/>
      <c r="G327" s="19" t="n"/>
      <c r="H327" s="20" t="n"/>
      <c r="I327" s="20" t="n"/>
      <c r="J327" s="19" t="n"/>
      <c r="K327" s="16" t="n"/>
      <c r="L327" s="20" t="n"/>
      <c r="M327" s="20" t="n"/>
      <c r="N327" s="17" t="n"/>
      <c r="O327" s="18">
        <f>IF(AND(OR($M327="Envoyé",$M327="En attente"),ISNUMBER($C327),NOT(ISNUMBER($N327))),IF(TODAY()-$C327&gt;=7,"⚠ relancer",""),"")</f>
        <v/>
      </c>
      <c r="P327" s="19" t="n"/>
      <c r="Q327" s="22">
        <f>IF($A327="","",HYPERLINK("Z:\MUSTANG SERVICES\Affaires 2027\"&amp;$A327&amp;"\"&amp;$A327&amp;"_Devis.xlsx","Ouvrir"))</f>
        <v/>
      </c>
      <c r="R327" s="22">
        <f>IF($A327="","",HYPERLINK("Z:\MUSTANG SERVICES\Affaires 2027\"&amp;$A327&amp;"\"&amp;$A327&amp;"_ToolList.xlsx","Ouvrir"))</f>
        <v/>
      </c>
      <c r="S327" s="22">
        <f>IF($A327="","",HYPERLINK("Z:\MUSTANG SERVICES\Affaires 2027\"&amp;$A327&amp;"\"&amp;$A327&amp;"_BL.xlsx","Ouvrir"))</f>
        <v/>
      </c>
      <c r="T327" s="22">
        <f>IF($A327="","",HYPERLINK("Z:\MUSTANG SERVICES\Affaires 2027\"&amp;$A327&amp;"\"&amp;$A327&amp;"_ServiceTicket.xlsx","Ouvrir"))</f>
        <v/>
      </c>
      <c r="U327" s="22">
        <f>IF($A327="","",HYPERLINK("Z:\MUSTANG SERVICES\Affaires 2027\"&amp;$A327&amp;"\","Dossier"))</f>
        <v/>
      </c>
    </row>
    <row r="328" ht="18" customHeight="1">
      <c r="A328" s="16" t="n"/>
      <c r="B328" s="17" t="n"/>
      <c r="C328" s="17" t="n"/>
      <c r="D328" s="18">
        <f>IF(AND(ISNUMBER($B328),ISNUMBER($C328)),$C328-$B328,"")</f>
        <v/>
      </c>
      <c r="E328" s="19" t="n"/>
      <c r="F328" s="20" t="n"/>
      <c r="G328" s="19" t="n"/>
      <c r="H328" s="20" t="n"/>
      <c r="I328" s="20" t="n"/>
      <c r="J328" s="19" t="n"/>
      <c r="K328" s="16" t="n"/>
      <c r="L328" s="20" t="n"/>
      <c r="M328" s="20" t="n"/>
      <c r="N328" s="17" t="n"/>
      <c r="O328" s="18">
        <f>IF(AND(OR($M328="Envoyé",$M328="En attente"),ISNUMBER($C328),NOT(ISNUMBER($N328))),IF(TODAY()-$C328&gt;=7,"⚠ relancer",""),"")</f>
        <v/>
      </c>
      <c r="P328" s="19" t="n"/>
      <c r="Q328" s="22">
        <f>IF($A328="","",HYPERLINK("Z:\MUSTANG SERVICES\Affaires 2027\"&amp;$A328&amp;"\"&amp;$A328&amp;"_Devis.xlsx","Ouvrir"))</f>
        <v/>
      </c>
      <c r="R328" s="22">
        <f>IF($A328="","",HYPERLINK("Z:\MUSTANG SERVICES\Affaires 2027\"&amp;$A328&amp;"\"&amp;$A328&amp;"_ToolList.xlsx","Ouvrir"))</f>
        <v/>
      </c>
      <c r="S328" s="22">
        <f>IF($A328="","",HYPERLINK("Z:\MUSTANG SERVICES\Affaires 2027\"&amp;$A328&amp;"\"&amp;$A328&amp;"_BL.xlsx","Ouvrir"))</f>
        <v/>
      </c>
      <c r="T328" s="22">
        <f>IF($A328="","",HYPERLINK("Z:\MUSTANG SERVICES\Affaires 2027\"&amp;$A328&amp;"\"&amp;$A328&amp;"_ServiceTicket.xlsx","Ouvrir"))</f>
        <v/>
      </c>
      <c r="U328" s="22">
        <f>IF($A328="","",HYPERLINK("Z:\MUSTANG SERVICES\Affaires 2027\"&amp;$A328&amp;"\","Dossier"))</f>
        <v/>
      </c>
    </row>
    <row r="329" ht="18" customHeight="1">
      <c r="A329" s="16" t="n"/>
      <c r="B329" s="17" t="n"/>
      <c r="C329" s="17" t="n"/>
      <c r="D329" s="18">
        <f>IF(AND(ISNUMBER($B329),ISNUMBER($C329)),$C329-$B329,"")</f>
        <v/>
      </c>
      <c r="E329" s="19" t="n"/>
      <c r="F329" s="20" t="n"/>
      <c r="G329" s="19" t="n"/>
      <c r="H329" s="20" t="n"/>
      <c r="I329" s="20" t="n"/>
      <c r="J329" s="19" t="n"/>
      <c r="K329" s="16" t="n"/>
      <c r="L329" s="20" t="n"/>
      <c r="M329" s="20" t="n"/>
      <c r="N329" s="17" t="n"/>
      <c r="O329" s="18">
        <f>IF(AND(OR($M329="Envoyé",$M329="En attente"),ISNUMBER($C329),NOT(ISNUMBER($N329))),IF(TODAY()-$C329&gt;=7,"⚠ relancer",""),"")</f>
        <v/>
      </c>
      <c r="P329" s="19" t="n"/>
      <c r="Q329" s="22">
        <f>IF($A329="","",HYPERLINK("Z:\MUSTANG SERVICES\Affaires 2027\"&amp;$A329&amp;"\"&amp;$A329&amp;"_Devis.xlsx","Ouvrir"))</f>
        <v/>
      </c>
      <c r="R329" s="22">
        <f>IF($A329="","",HYPERLINK("Z:\MUSTANG SERVICES\Affaires 2027\"&amp;$A329&amp;"\"&amp;$A329&amp;"_ToolList.xlsx","Ouvrir"))</f>
        <v/>
      </c>
      <c r="S329" s="22">
        <f>IF($A329="","",HYPERLINK("Z:\MUSTANG SERVICES\Affaires 2027\"&amp;$A329&amp;"\"&amp;$A329&amp;"_BL.xlsx","Ouvrir"))</f>
        <v/>
      </c>
      <c r="T329" s="22">
        <f>IF($A329="","",HYPERLINK("Z:\MUSTANG SERVICES\Affaires 2027\"&amp;$A329&amp;"\"&amp;$A329&amp;"_ServiceTicket.xlsx","Ouvrir"))</f>
        <v/>
      </c>
      <c r="U329" s="22">
        <f>IF($A329="","",HYPERLINK("Z:\MUSTANG SERVICES\Affaires 2027\"&amp;$A329&amp;"\","Dossier"))</f>
        <v/>
      </c>
    </row>
    <row r="330" ht="18" customHeight="1">
      <c r="A330" s="16" t="n"/>
      <c r="B330" s="17" t="n"/>
      <c r="C330" s="17" t="n"/>
      <c r="D330" s="18">
        <f>IF(AND(ISNUMBER($B330),ISNUMBER($C330)),$C330-$B330,"")</f>
        <v/>
      </c>
      <c r="E330" s="19" t="n"/>
      <c r="F330" s="20" t="n"/>
      <c r="G330" s="19" t="n"/>
      <c r="H330" s="20" t="n"/>
      <c r="I330" s="20" t="n"/>
      <c r="J330" s="19" t="n"/>
      <c r="K330" s="16" t="n"/>
      <c r="L330" s="20" t="n"/>
      <c r="M330" s="20" t="n"/>
      <c r="N330" s="17" t="n"/>
      <c r="O330" s="18">
        <f>IF(AND(OR($M330="Envoyé",$M330="En attente"),ISNUMBER($C330),NOT(ISNUMBER($N330))),IF(TODAY()-$C330&gt;=7,"⚠ relancer",""),"")</f>
        <v/>
      </c>
      <c r="P330" s="19" t="n"/>
      <c r="Q330" s="22">
        <f>IF($A330="","",HYPERLINK("Z:\MUSTANG SERVICES\Affaires 2027\"&amp;$A330&amp;"\"&amp;$A330&amp;"_Devis.xlsx","Ouvrir"))</f>
        <v/>
      </c>
      <c r="R330" s="22">
        <f>IF($A330="","",HYPERLINK("Z:\MUSTANG SERVICES\Affaires 2027\"&amp;$A330&amp;"\"&amp;$A330&amp;"_ToolList.xlsx","Ouvrir"))</f>
        <v/>
      </c>
      <c r="S330" s="22">
        <f>IF($A330="","",HYPERLINK("Z:\MUSTANG SERVICES\Affaires 2027\"&amp;$A330&amp;"\"&amp;$A330&amp;"_BL.xlsx","Ouvrir"))</f>
        <v/>
      </c>
      <c r="T330" s="22">
        <f>IF($A330="","",HYPERLINK("Z:\MUSTANG SERVICES\Affaires 2027\"&amp;$A330&amp;"\"&amp;$A330&amp;"_ServiceTicket.xlsx","Ouvrir"))</f>
        <v/>
      </c>
      <c r="U330" s="22">
        <f>IF($A330="","",HYPERLINK("Z:\MUSTANG SERVICES\Affaires 2027\"&amp;$A330&amp;"\","Dossier"))</f>
        <v/>
      </c>
    </row>
    <row r="331" ht="18" customHeight="1">
      <c r="A331" s="16" t="n"/>
      <c r="B331" s="17" t="n"/>
      <c r="C331" s="17" t="n"/>
      <c r="D331" s="18">
        <f>IF(AND(ISNUMBER($B331),ISNUMBER($C331)),$C331-$B331,"")</f>
        <v/>
      </c>
      <c r="E331" s="19" t="n"/>
      <c r="F331" s="20" t="n"/>
      <c r="G331" s="19" t="n"/>
      <c r="H331" s="20" t="n"/>
      <c r="I331" s="20" t="n"/>
      <c r="J331" s="19" t="n"/>
      <c r="K331" s="16" t="n"/>
      <c r="L331" s="20" t="n"/>
      <c r="M331" s="20" t="n"/>
      <c r="N331" s="17" t="n"/>
      <c r="O331" s="18">
        <f>IF(AND(OR($M331="Envoyé",$M331="En attente"),ISNUMBER($C331),NOT(ISNUMBER($N331))),IF(TODAY()-$C331&gt;=7,"⚠ relancer",""),"")</f>
        <v/>
      </c>
      <c r="P331" s="19" t="n"/>
      <c r="Q331" s="22">
        <f>IF($A331="","",HYPERLINK("Z:\MUSTANG SERVICES\Affaires 2027\"&amp;$A331&amp;"\"&amp;$A331&amp;"_Devis.xlsx","Ouvrir"))</f>
        <v/>
      </c>
      <c r="R331" s="22">
        <f>IF($A331="","",HYPERLINK("Z:\MUSTANG SERVICES\Affaires 2027\"&amp;$A331&amp;"\"&amp;$A331&amp;"_ToolList.xlsx","Ouvrir"))</f>
        <v/>
      </c>
      <c r="S331" s="22">
        <f>IF($A331="","",HYPERLINK("Z:\MUSTANG SERVICES\Affaires 2027\"&amp;$A331&amp;"\"&amp;$A331&amp;"_BL.xlsx","Ouvrir"))</f>
        <v/>
      </c>
      <c r="T331" s="22">
        <f>IF($A331="","",HYPERLINK("Z:\MUSTANG SERVICES\Affaires 2027\"&amp;$A331&amp;"\"&amp;$A331&amp;"_ServiceTicket.xlsx","Ouvrir"))</f>
        <v/>
      </c>
      <c r="U331" s="22">
        <f>IF($A331="","",HYPERLINK("Z:\MUSTANG SERVICES\Affaires 2027\"&amp;$A331&amp;"\","Dossier"))</f>
        <v/>
      </c>
    </row>
    <row r="332" ht="18" customHeight="1">
      <c r="A332" s="16" t="n"/>
      <c r="B332" s="17" t="n"/>
      <c r="C332" s="17" t="n"/>
      <c r="D332" s="18">
        <f>IF(AND(ISNUMBER($B332),ISNUMBER($C332)),$C332-$B332,"")</f>
        <v/>
      </c>
      <c r="E332" s="19" t="n"/>
      <c r="F332" s="20" t="n"/>
      <c r="G332" s="19" t="n"/>
      <c r="H332" s="20" t="n"/>
      <c r="I332" s="20" t="n"/>
      <c r="J332" s="19" t="n"/>
      <c r="K332" s="16" t="n"/>
      <c r="L332" s="20" t="n"/>
      <c r="M332" s="20" t="n"/>
      <c r="N332" s="17" t="n"/>
      <c r="O332" s="18">
        <f>IF(AND(OR($M332="Envoyé",$M332="En attente"),ISNUMBER($C332),NOT(ISNUMBER($N332))),IF(TODAY()-$C332&gt;=7,"⚠ relancer",""),"")</f>
        <v/>
      </c>
      <c r="P332" s="19" t="n"/>
      <c r="Q332" s="22">
        <f>IF($A332="","",HYPERLINK("Z:\MUSTANG SERVICES\Affaires 2027\"&amp;$A332&amp;"\"&amp;$A332&amp;"_Devis.xlsx","Ouvrir"))</f>
        <v/>
      </c>
      <c r="R332" s="22">
        <f>IF($A332="","",HYPERLINK("Z:\MUSTANG SERVICES\Affaires 2027\"&amp;$A332&amp;"\"&amp;$A332&amp;"_ToolList.xlsx","Ouvrir"))</f>
        <v/>
      </c>
      <c r="S332" s="22">
        <f>IF($A332="","",HYPERLINK("Z:\MUSTANG SERVICES\Affaires 2027\"&amp;$A332&amp;"\"&amp;$A332&amp;"_BL.xlsx","Ouvrir"))</f>
        <v/>
      </c>
      <c r="T332" s="22">
        <f>IF($A332="","",HYPERLINK("Z:\MUSTANG SERVICES\Affaires 2027\"&amp;$A332&amp;"\"&amp;$A332&amp;"_ServiceTicket.xlsx","Ouvrir"))</f>
        <v/>
      </c>
      <c r="U332" s="22">
        <f>IF($A332="","",HYPERLINK("Z:\MUSTANG SERVICES\Affaires 2027\"&amp;$A332&amp;"\","Dossier"))</f>
        <v/>
      </c>
    </row>
    <row r="333" ht="18" customHeight="1">
      <c r="A333" s="16" t="n"/>
      <c r="B333" s="17" t="n"/>
      <c r="C333" s="17" t="n"/>
      <c r="D333" s="18">
        <f>IF(AND(ISNUMBER($B333),ISNUMBER($C333)),$C333-$B333,"")</f>
        <v/>
      </c>
      <c r="E333" s="19" t="n"/>
      <c r="F333" s="20" t="n"/>
      <c r="G333" s="19" t="n"/>
      <c r="H333" s="20" t="n"/>
      <c r="I333" s="20" t="n"/>
      <c r="J333" s="19" t="n"/>
      <c r="K333" s="16" t="n"/>
      <c r="L333" s="20" t="n"/>
      <c r="M333" s="20" t="n"/>
      <c r="N333" s="17" t="n"/>
      <c r="O333" s="18">
        <f>IF(AND(OR($M333="Envoyé",$M333="En attente"),ISNUMBER($C333),NOT(ISNUMBER($N333))),IF(TODAY()-$C333&gt;=7,"⚠ relancer",""),"")</f>
        <v/>
      </c>
      <c r="P333" s="19" t="n"/>
      <c r="Q333" s="22">
        <f>IF($A333="","",HYPERLINK("Z:\MUSTANG SERVICES\Affaires 2027\"&amp;$A333&amp;"\"&amp;$A333&amp;"_Devis.xlsx","Ouvrir"))</f>
        <v/>
      </c>
      <c r="R333" s="22">
        <f>IF($A333="","",HYPERLINK("Z:\MUSTANG SERVICES\Affaires 2027\"&amp;$A333&amp;"\"&amp;$A333&amp;"_ToolList.xlsx","Ouvrir"))</f>
        <v/>
      </c>
      <c r="S333" s="22">
        <f>IF($A333="","",HYPERLINK("Z:\MUSTANG SERVICES\Affaires 2027\"&amp;$A333&amp;"\"&amp;$A333&amp;"_BL.xlsx","Ouvrir"))</f>
        <v/>
      </c>
      <c r="T333" s="22">
        <f>IF($A333="","",HYPERLINK("Z:\MUSTANG SERVICES\Affaires 2027\"&amp;$A333&amp;"\"&amp;$A333&amp;"_ServiceTicket.xlsx","Ouvrir"))</f>
        <v/>
      </c>
      <c r="U333" s="22">
        <f>IF($A333="","",HYPERLINK("Z:\MUSTANG SERVICES\Affaires 2027\"&amp;$A333&amp;"\","Dossier"))</f>
        <v/>
      </c>
    </row>
    <row r="334" ht="18" customHeight="1">
      <c r="A334" s="16" t="n"/>
      <c r="B334" s="17" t="n"/>
      <c r="C334" s="17" t="n"/>
      <c r="D334" s="18">
        <f>IF(AND(ISNUMBER($B334),ISNUMBER($C334)),$C334-$B334,"")</f>
        <v/>
      </c>
      <c r="E334" s="19" t="n"/>
      <c r="F334" s="20" t="n"/>
      <c r="G334" s="19" t="n"/>
      <c r="H334" s="20" t="n"/>
      <c r="I334" s="20" t="n"/>
      <c r="J334" s="19" t="n"/>
      <c r="K334" s="16" t="n"/>
      <c r="L334" s="20" t="n"/>
      <c r="M334" s="20" t="n"/>
      <c r="N334" s="17" t="n"/>
      <c r="O334" s="18">
        <f>IF(AND(OR($M334="Envoyé",$M334="En attente"),ISNUMBER($C334),NOT(ISNUMBER($N334))),IF(TODAY()-$C334&gt;=7,"⚠ relancer",""),"")</f>
        <v/>
      </c>
      <c r="P334" s="19" t="n"/>
      <c r="Q334" s="22">
        <f>IF($A334="","",HYPERLINK("Z:\MUSTANG SERVICES\Affaires 2027\"&amp;$A334&amp;"\"&amp;$A334&amp;"_Devis.xlsx","Ouvrir"))</f>
        <v/>
      </c>
      <c r="R334" s="22">
        <f>IF($A334="","",HYPERLINK("Z:\MUSTANG SERVICES\Affaires 2027\"&amp;$A334&amp;"\"&amp;$A334&amp;"_ToolList.xlsx","Ouvrir"))</f>
        <v/>
      </c>
      <c r="S334" s="22">
        <f>IF($A334="","",HYPERLINK("Z:\MUSTANG SERVICES\Affaires 2027\"&amp;$A334&amp;"\"&amp;$A334&amp;"_BL.xlsx","Ouvrir"))</f>
        <v/>
      </c>
      <c r="T334" s="22">
        <f>IF($A334="","",HYPERLINK("Z:\MUSTANG SERVICES\Affaires 2027\"&amp;$A334&amp;"\"&amp;$A334&amp;"_ServiceTicket.xlsx","Ouvrir"))</f>
        <v/>
      </c>
      <c r="U334" s="22">
        <f>IF($A334="","",HYPERLINK("Z:\MUSTANG SERVICES\Affaires 2027\"&amp;$A334&amp;"\","Dossier"))</f>
        <v/>
      </c>
    </row>
    <row r="335" ht="18" customHeight="1">
      <c r="A335" s="16" t="n"/>
      <c r="B335" s="17" t="n"/>
      <c r="C335" s="17" t="n"/>
      <c r="D335" s="18">
        <f>IF(AND(ISNUMBER($B335),ISNUMBER($C335)),$C335-$B335,"")</f>
        <v/>
      </c>
      <c r="E335" s="19" t="n"/>
      <c r="F335" s="20" t="n"/>
      <c r="G335" s="19" t="n"/>
      <c r="H335" s="20" t="n"/>
      <c r="I335" s="20" t="n"/>
      <c r="J335" s="19" t="n"/>
      <c r="K335" s="16" t="n"/>
      <c r="L335" s="20" t="n"/>
      <c r="M335" s="20" t="n"/>
      <c r="N335" s="17" t="n"/>
      <c r="O335" s="18">
        <f>IF(AND(OR($M335="Envoyé",$M335="En attente"),ISNUMBER($C335),NOT(ISNUMBER($N335))),IF(TODAY()-$C335&gt;=7,"⚠ relancer",""),"")</f>
        <v/>
      </c>
      <c r="P335" s="19" t="n"/>
      <c r="Q335" s="22">
        <f>IF($A335="","",HYPERLINK("Z:\MUSTANG SERVICES\Affaires 2027\"&amp;$A335&amp;"\"&amp;$A335&amp;"_Devis.xlsx","Ouvrir"))</f>
        <v/>
      </c>
      <c r="R335" s="22">
        <f>IF($A335="","",HYPERLINK("Z:\MUSTANG SERVICES\Affaires 2027\"&amp;$A335&amp;"\"&amp;$A335&amp;"_ToolList.xlsx","Ouvrir"))</f>
        <v/>
      </c>
      <c r="S335" s="22">
        <f>IF($A335="","",HYPERLINK("Z:\MUSTANG SERVICES\Affaires 2027\"&amp;$A335&amp;"\"&amp;$A335&amp;"_BL.xlsx","Ouvrir"))</f>
        <v/>
      </c>
      <c r="T335" s="22">
        <f>IF($A335="","",HYPERLINK("Z:\MUSTANG SERVICES\Affaires 2027\"&amp;$A335&amp;"\"&amp;$A335&amp;"_ServiceTicket.xlsx","Ouvrir"))</f>
        <v/>
      </c>
      <c r="U335" s="22">
        <f>IF($A335="","",HYPERLINK("Z:\MUSTANG SERVICES\Affaires 2027\"&amp;$A335&amp;"\","Dossier"))</f>
        <v/>
      </c>
    </row>
    <row r="336" ht="18" customHeight="1">
      <c r="A336" s="16" t="n"/>
      <c r="B336" s="17" t="n"/>
      <c r="C336" s="17" t="n"/>
      <c r="D336" s="18">
        <f>IF(AND(ISNUMBER($B336),ISNUMBER($C336)),$C336-$B336,"")</f>
        <v/>
      </c>
      <c r="E336" s="19" t="n"/>
      <c r="F336" s="20" t="n"/>
      <c r="G336" s="19" t="n"/>
      <c r="H336" s="20" t="n"/>
      <c r="I336" s="20" t="n"/>
      <c r="J336" s="19" t="n"/>
      <c r="K336" s="16" t="n"/>
      <c r="L336" s="20" t="n"/>
      <c r="M336" s="20" t="n"/>
      <c r="N336" s="17" t="n"/>
      <c r="O336" s="18">
        <f>IF(AND(OR($M336="Envoyé",$M336="En attente"),ISNUMBER($C336),NOT(ISNUMBER($N336))),IF(TODAY()-$C336&gt;=7,"⚠ relancer",""),"")</f>
        <v/>
      </c>
      <c r="P336" s="19" t="n"/>
      <c r="Q336" s="22">
        <f>IF($A336="","",HYPERLINK("Z:\MUSTANG SERVICES\Affaires 2027\"&amp;$A336&amp;"\"&amp;$A336&amp;"_Devis.xlsx","Ouvrir"))</f>
        <v/>
      </c>
      <c r="R336" s="22">
        <f>IF($A336="","",HYPERLINK("Z:\MUSTANG SERVICES\Affaires 2027\"&amp;$A336&amp;"\"&amp;$A336&amp;"_ToolList.xlsx","Ouvrir"))</f>
        <v/>
      </c>
      <c r="S336" s="22">
        <f>IF($A336="","",HYPERLINK("Z:\MUSTANG SERVICES\Affaires 2027\"&amp;$A336&amp;"\"&amp;$A336&amp;"_BL.xlsx","Ouvrir"))</f>
        <v/>
      </c>
      <c r="T336" s="22">
        <f>IF($A336="","",HYPERLINK("Z:\MUSTANG SERVICES\Affaires 2027\"&amp;$A336&amp;"\"&amp;$A336&amp;"_ServiceTicket.xlsx","Ouvrir"))</f>
        <v/>
      </c>
      <c r="U336" s="22">
        <f>IF($A336="","",HYPERLINK("Z:\MUSTANG SERVICES\Affaires 2027\"&amp;$A336&amp;"\","Dossier"))</f>
        <v/>
      </c>
    </row>
    <row r="337" ht="18" customHeight="1">
      <c r="A337" s="16" t="n"/>
      <c r="B337" s="17" t="n"/>
      <c r="C337" s="17" t="n"/>
      <c r="D337" s="18">
        <f>IF(AND(ISNUMBER($B337),ISNUMBER($C337)),$C337-$B337,"")</f>
        <v/>
      </c>
      <c r="E337" s="19" t="n"/>
      <c r="F337" s="20" t="n"/>
      <c r="G337" s="19" t="n"/>
      <c r="H337" s="20" t="n"/>
      <c r="I337" s="20" t="n"/>
      <c r="J337" s="19" t="n"/>
      <c r="K337" s="16" t="n"/>
      <c r="L337" s="20" t="n"/>
      <c r="M337" s="20" t="n"/>
      <c r="N337" s="17" t="n"/>
      <c r="O337" s="18">
        <f>IF(AND(OR($M337="Envoyé",$M337="En attente"),ISNUMBER($C337),NOT(ISNUMBER($N337))),IF(TODAY()-$C337&gt;=7,"⚠ relancer",""),"")</f>
        <v/>
      </c>
      <c r="P337" s="19" t="n"/>
      <c r="Q337" s="22">
        <f>IF($A337="","",HYPERLINK("Z:\MUSTANG SERVICES\Affaires 2027\"&amp;$A337&amp;"\"&amp;$A337&amp;"_Devis.xlsx","Ouvrir"))</f>
        <v/>
      </c>
      <c r="R337" s="22">
        <f>IF($A337="","",HYPERLINK("Z:\MUSTANG SERVICES\Affaires 2027\"&amp;$A337&amp;"\"&amp;$A337&amp;"_ToolList.xlsx","Ouvrir"))</f>
        <v/>
      </c>
      <c r="S337" s="22">
        <f>IF($A337="","",HYPERLINK("Z:\MUSTANG SERVICES\Affaires 2027\"&amp;$A337&amp;"\"&amp;$A337&amp;"_BL.xlsx","Ouvrir"))</f>
        <v/>
      </c>
      <c r="T337" s="22">
        <f>IF($A337="","",HYPERLINK("Z:\MUSTANG SERVICES\Affaires 2027\"&amp;$A337&amp;"\"&amp;$A337&amp;"_ServiceTicket.xlsx","Ouvrir"))</f>
        <v/>
      </c>
      <c r="U337" s="22">
        <f>IF($A337="","",HYPERLINK("Z:\MUSTANG SERVICES\Affaires 2027\"&amp;$A337&amp;"\","Dossier"))</f>
        <v/>
      </c>
    </row>
    <row r="338" ht="18" customHeight="1">
      <c r="A338" s="16" t="n"/>
      <c r="B338" s="17" t="n"/>
      <c r="C338" s="17" t="n"/>
      <c r="D338" s="18">
        <f>IF(AND(ISNUMBER($B338),ISNUMBER($C338)),$C338-$B338,"")</f>
        <v/>
      </c>
      <c r="E338" s="19" t="n"/>
      <c r="F338" s="20" t="n"/>
      <c r="G338" s="19" t="n"/>
      <c r="H338" s="20" t="n"/>
      <c r="I338" s="20" t="n"/>
      <c r="J338" s="19" t="n"/>
      <c r="K338" s="16" t="n"/>
      <c r="L338" s="20" t="n"/>
      <c r="M338" s="20" t="n"/>
      <c r="N338" s="17" t="n"/>
      <c r="O338" s="18">
        <f>IF(AND(OR($M338="Envoyé",$M338="En attente"),ISNUMBER($C338),NOT(ISNUMBER($N338))),IF(TODAY()-$C338&gt;=7,"⚠ relancer",""),"")</f>
        <v/>
      </c>
      <c r="P338" s="19" t="n"/>
      <c r="Q338" s="22">
        <f>IF($A338="","",HYPERLINK("Z:\MUSTANG SERVICES\Affaires 2027\"&amp;$A338&amp;"\"&amp;$A338&amp;"_Devis.xlsx","Ouvrir"))</f>
        <v/>
      </c>
      <c r="R338" s="22">
        <f>IF($A338="","",HYPERLINK("Z:\MUSTANG SERVICES\Affaires 2027\"&amp;$A338&amp;"\"&amp;$A338&amp;"_ToolList.xlsx","Ouvrir"))</f>
        <v/>
      </c>
      <c r="S338" s="22">
        <f>IF($A338="","",HYPERLINK("Z:\MUSTANG SERVICES\Affaires 2027\"&amp;$A338&amp;"\"&amp;$A338&amp;"_BL.xlsx","Ouvrir"))</f>
        <v/>
      </c>
      <c r="T338" s="22">
        <f>IF($A338="","",HYPERLINK("Z:\MUSTANG SERVICES\Affaires 2027\"&amp;$A338&amp;"\"&amp;$A338&amp;"_ServiceTicket.xlsx","Ouvrir"))</f>
        <v/>
      </c>
      <c r="U338" s="22">
        <f>IF($A338="","",HYPERLINK("Z:\MUSTANG SERVICES\Affaires 2027\"&amp;$A338&amp;"\","Dossier"))</f>
        <v/>
      </c>
    </row>
    <row r="339" ht="18" customHeight="1">
      <c r="A339" s="16" t="n"/>
      <c r="B339" s="17" t="n"/>
      <c r="C339" s="17" t="n"/>
      <c r="D339" s="18">
        <f>IF(AND(ISNUMBER($B339),ISNUMBER($C339)),$C339-$B339,"")</f>
        <v/>
      </c>
      <c r="E339" s="19" t="n"/>
      <c r="F339" s="20" t="n"/>
      <c r="G339" s="19" t="n"/>
      <c r="H339" s="20" t="n"/>
      <c r="I339" s="20" t="n"/>
      <c r="J339" s="19" t="n"/>
      <c r="K339" s="16" t="n"/>
      <c r="L339" s="20" t="n"/>
      <c r="M339" s="20" t="n"/>
      <c r="N339" s="17" t="n"/>
      <c r="O339" s="18">
        <f>IF(AND(OR($M339="Envoyé",$M339="En attente"),ISNUMBER($C339),NOT(ISNUMBER($N339))),IF(TODAY()-$C339&gt;=7,"⚠ relancer",""),"")</f>
        <v/>
      </c>
      <c r="P339" s="19" t="n"/>
      <c r="Q339" s="22">
        <f>IF($A339="","",HYPERLINK("Z:\MUSTANG SERVICES\Affaires 2027\"&amp;$A339&amp;"\"&amp;$A339&amp;"_Devis.xlsx","Ouvrir"))</f>
        <v/>
      </c>
      <c r="R339" s="22">
        <f>IF($A339="","",HYPERLINK("Z:\MUSTANG SERVICES\Affaires 2027\"&amp;$A339&amp;"\"&amp;$A339&amp;"_ToolList.xlsx","Ouvrir"))</f>
        <v/>
      </c>
      <c r="S339" s="22">
        <f>IF($A339="","",HYPERLINK("Z:\MUSTANG SERVICES\Affaires 2027\"&amp;$A339&amp;"\"&amp;$A339&amp;"_BL.xlsx","Ouvrir"))</f>
        <v/>
      </c>
      <c r="T339" s="22">
        <f>IF($A339="","",HYPERLINK("Z:\MUSTANG SERVICES\Affaires 2027\"&amp;$A339&amp;"\"&amp;$A339&amp;"_ServiceTicket.xlsx","Ouvrir"))</f>
        <v/>
      </c>
      <c r="U339" s="22">
        <f>IF($A339="","",HYPERLINK("Z:\MUSTANG SERVICES\Affaires 2027\"&amp;$A339&amp;"\","Dossier"))</f>
        <v/>
      </c>
    </row>
    <row r="340" ht="18" customHeight="1">
      <c r="A340" s="16" t="n"/>
      <c r="B340" s="17" t="n"/>
      <c r="C340" s="17" t="n"/>
      <c r="D340" s="18">
        <f>IF(AND(ISNUMBER($B340),ISNUMBER($C340)),$C340-$B340,"")</f>
        <v/>
      </c>
      <c r="E340" s="19" t="n"/>
      <c r="F340" s="20" t="n"/>
      <c r="G340" s="19" t="n"/>
      <c r="H340" s="20" t="n"/>
      <c r="I340" s="20" t="n"/>
      <c r="J340" s="19" t="n"/>
      <c r="K340" s="16" t="n"/>
      <c r="L340" s="20" t="n"/>
      <c r="M340" s="20" t="n"/>
      <c r="N340" s="17" t="n"/>
      <c r="O340" s="18">
        <f>IF(AND(OR($M340="Envoyé",$M340="En attente"),ISNUMBER($C340),NOT(ISNUMBER($N340))),IF(TODAY()-$C340&gt;=7,"⚠ relancer",""),"")</f>
        <v/>
      </c>
      <c r="P340" s="19" t="n"/>
      <c r="Q340" s="22">
        <f>IF($A340="","",HYPERLINK("Z:\MUSTANG SERVICES\Affaires 2027\"&amp;$A340&amp;"\"&amp;$A340&amp;"_Devis.xlsx","Ouvrir"))</f>
        <v/>
      </c>
      <c r="R340" s="22">
        <f>IF($A340="","",HYPERLINK("Z:\MUSTANG SERVICES\Affaires 2027\"&amp;$A340&amp;"\"&amp;$A340&amp;"_ToolList.xlsx","Ouvrir"))</f>
        <v/>
      </c>
      <c r="S340" s="22">
        <f>IF($A340="","",HYPERLINK("Z:\MUSTANG SERVICES\Affaires 2027\"&amp;$A340&amp;"\"&amp;$A340&amp;"_BL.xlsx","Ouvrir"))</f>
        <v/>
      </c>
      <c r="T340" s="22">
        <f>IF($A340="","",HYPERLINK("Z:\MUSTANG SERVICES\Affaires 2027\"&amp;$A340&amp;"\"&amp;$A340&amp;"_ServiceTicket.xlsx","Ouvrir"))</f>
        <v/>
      </c>
      <c r="U340" s="22">
        <f>IF($A340="","",HYPERLINK("Z:\MUSTANG SERVICES\Affaires 2027\"&amp;$A340&amp;"\","Dossier"))</f>
        <v/>
      </c>
    </row>
    <row r="341" ht="18" customHeight="1">
      <c r="A341" s="16" t="n"/>
      <c r="B341" s="17" t="n"/>
      <c r="C341" s="17" t="n"/>
      <c r="D341" s="18">
        <f>IF(AND(ISNUMBER($B341),ISNUMBER($C341)),$C341-$B341,"")</f>
        <v/>
      </c>
      <c r="E341" s="19" t="n"/>
      <c r="F341" s="20" t="n"/>
      <c r="G341" s="19" t="n"/>
      <c r="H341" s="20" t="n"/>
      <c r="I341" s="20" t="n"/>
      <c r="J341" s="19" t="n"/>
      <c r="K341" s="16" t="n"/>
      <c r="L341" s="20" t="n"/>
      <c r="M341" s="20" t="n"/>
      <c r="N341" s="17" t="n"/>
      <c r="O341" s="18">
        <f>IF(AND(OR($M341="Envoyé",$M341="En attente"),ISNUMBER($C341),NOT(ISNUMBER($N341))),IF(TODAY()-$C341&gt;=7,"⚠ relancer",""),"")</f>
        <v/>
      </c>
      <c r="P341" s="19" t="n"/>
      <c r="Q341" s="22">
        <f>IF($A341="","",HYPERLINK("Z:\MUSTANG SERVICES\Affaires 2027\"&amp;$A341&amp;"\"&amp;$A341&amp;"_Devis.xlsx","Ouvrir"))</f>
        <v/>
      </c>
      <c r="R341" s="22">
        <f>IF($A341="","",HYPERLINK("Z:\MUSTANG SERVICES\Affaires 2027\"&amp;$A341&amp;"\"&amp;$A341&amp;"_ToolList.xlsx","Ouvrir"))</f>
        <v/>
      </c>
      <c r="S341" s="22">
        <f>IF($A341="","",HYPERLINK("Z:\MUSTANG SERVICES\Affaires 2027\"&amp;$A341&amp;"\"&amp;$A341&amp;"_BL.xlsx","Ouvrir"))</f>
        <v/>
      </c>
      <c r="T341" s="22">
        <f>IF($A341="","",HYPERLINK("Z:\MUSTANG SERVICES\Affaires 2027\"&amp;$A341&amp;"\"&amp;$A341&amp;"_ServiceTicket.xlsx","Ouvrir"))</f>
        <v/>
      </c>
      <c r="U341" s="22">
        <f>IF($A341="","",HYPERLINK("Z:\MUSTANG SERVICES\Affaires 2027\"&amp;$A341&amp;"\","Dossier"))</f>
        <v/>
      </c>
    </row>
    <row r="342" ht="18" customHeight="1">
      <c r="A342" s="16" t="n"/>
      <c r="B342" s="17" t="n"/>
      <c r="C342" s="17" t="n"/>
      <c r="D342" s="18">
        <f>IF(AND(ISNUMBER($B342),ISNUMBER($C342)),$C342-$B342,"")</f>
        <v/>
      </c>
      <c r="E342" s="19" t="n"/>
      <c r="F342" s="20" t="n"/>
      <c r="G342" s="19" t="n"/>
      <c r="H342" s="20" t="n"/>
      <c r="I342" s="20" t="n"/>
      <c r="J342" s="19" t="n"/>
      <c r="K342" s="16" t="n"/>
      <c r="L342" s="20" t="n"/>
      <c r="M342" s="20" t="n"/>
      <c r="N342" s="17" t="n"/>
      <c r="O342" s="18">
        <f>IF(AND(OR($M342="Envoyé",$M342="En attente"),ISNUMBER($C342),NOT(ISNUMBER($N342))),IF(TODAY()-$C342&gt;=7,"⚠ relancer",""),"")</f>
        <v/>
      </c>
      <c r="P342" s="19" t="n"/>
      <c r="Q342" s="22">
        <f>IF($A342="","",HYPERLINK("Z:\MUSTANG SERVICES\Affaires 2027\"&amp;$A342&amp;"\"&amp;$A342&amp;"_Devis.xlsx","Ouvrir"))</f>
        <v/>
      </c>
      <c r="R342" s="22">
        <f>IF($A342="","",HYPERLINK("Z:\MUSTANG SERVICES\Affaires 2027\"&amp;$A342&amp;"\"&amp;$A342&amp;"_ToolList.xlsx","Ouvrir"))</f>
        <v/>
      </c>
      <c r="S342" s="22">
        <f>IF($A342="","",HYPERLINK("Z:\MUSTANG SERVICES\Affaires 2027\"&amp;$A342&amp;"\"&amp;$A342&amp;"_BL.xlsx","Ouvrir"))</f>
        <v/>
      </c>
      <c r="T342" s="22">
        <f>IF($A342="","",HYPERLINK("Z:\MUSTANG SERVICES\Affaires 2027\"&amp;$A342&amp;"\"&amp;$A342&amp;"_ServiceTicket.xlsx","Ouvrir"))</f>
        <v/>
      </c>
      <c r="U342" s="22">
        <f>IF($A342="","",HYPERLINK("Z:\MUSTANG SERVICES\Affaires 2027\"&amp;$A342&amp;"\","Dossier"))</f>
        <v/>
      </c>
    </row>
    <row r="343" ht="18" customHeight="1">
      <c r="A343" s="16" t="n"/>
      <c r="B343" s="17" t="n"/>
      <c r="C343" s="17" t="n"/>
      <c r="D343" s="18">
        <f>IF(AND(ISNUMBER($B343),ISNUMBER($C343)),$C343-$B343,"")</f>
        <v/>
      </c>
      <c r="E343" s="19" t="n"/>
      <c r="F343" s="20" t="n"/>
      <c r="G343" s="19" t="n"/>
      <c r="H343" s="20" t="n"/>
      <c r="I343" s="20" t="n"/>
      <c r="J343" s="19" t="n"/>
      <c r="K343" s="16" t="n"/>
      <c r="L343" s="20" t="n"/>
      <c r="M343" s="20" t="n"/>
      <c r="N343" s="17" t="n"/>
      <c r="O343" s="18">
        <f>IF(AND(OR($M343="Envoyé",$M343="En attente"),ISNUMBER($C343),NOT(ISNUMBER($N343))),IF(TODAY()-$C343&gt;=7,"⚠ relancer",""),"")</f>
        <v/>
      </c>
      <c r="P343" s="19" t="n"/>
      <c r="Q343" s="22">
        <f>IF($A343="","",HYPERLINK("Z:\MUSTANG SERVICES\Affaires 2027\"&amp;$A343&amp;"\"&amp;$A343&amp;"_Devis.xlsx","Ouvrir"))</f>
        <v/>
      </c>
      <c r="R343" s="22">
        <f>IF($A343="","",HYPERLINK("Z:\MUSTANG SERVICES\Affaires 2027\"&amp;$A343&amp;"\"&amp;$A343&amp;"_ToolList.xlsx","Ouvrir"))</f>
        <v/>
      </c>
      <c r="S343" s="22">
        <f>IF($A343="","",HYPERLINK("Z:\MUSTANG SERVICES\Affaires 2027\"&amp;$A343&amp;"\"&amp;$A343&amp;"_BL.xlsx","Ouvrir"))</f>
        <v/>
      </c>
      <c r="T343" s="22">
        <f>IF($A343="","",HYPERLINK("Z:\MUSTANG SERVICES\Affaires 2027\"&amp;$A343&amp;"\"&amp;$A343&amp;"_ServiceTicket.xlsx","Ouvrir"))</f>
        <v/>
      </c>
      <c r="U343" s="22">
        <f>IF($A343="","",HYPERLINK("Z:\MUSTANG SERVICES\Affaires 2027\"&amp;$A343&amp;"\","Dossier"))</f>
        <v/>
      </c>
    </row>
    <row r="344" ht="18" customHeight="1">
      <c r="A344" s="16" t="n"/>
      <c r="B344" s="17" t="n"/>
      <c r="C344" s="17" t="n"/>
      <c r="D344" s="18">
        <f>IF(AND(ISNUMBER($B344),ISNUMBER($C344)),$C344-$B344,"")</f>
        <v/>
      </c>
      <c r="E344" s="19" t="n"/>
      <c r="F344" s="20" t="n"/>
      <c r="G344" s="19" t="n"/>
      <c r="H344" s="20" t="n"/>
      <c r="I344" s="20" t="n"/>
      <c r="J344" s="19" t="n"/>
      <c r="K344" s="16" t="n"/>
      <c r="L344" s="20" t="n"/>
      <c r="M344" s="20" t="n"/>
      <c r="N344" s="17" t="n"/>
      <c r="O344" s="18">
        <f>IF(AND(OR($M344="Envoyé",$M344="En attente"),ISNUMBER($C344),NOT(ISNUMBER($N344))),IF(TODAY()-$C344&gt;=7,"⚠ relancer",""),"")</f>
        <v/>
      </c>
      <c r="P344" s="19" t="n"/>
      <c r="Q344" s="22">
        <f>IF($A344="","",HYPERLINK("Z:\MUSTANG SERVICES\Affaires 2027\"&amp;$A344&amp;"\"&amp;$A344&amp;"_Devis.xlsx","Ouvrir"))</f>
        <v/>
      </c>
      <c r="R344" s="22">
        <f>IF($A344="","",HYPERLINK("Z:\MUSTANG SERVICES\Affaires 2027\"&amp;$A344&amp;"\"&amp;$A344&amp;"_ToolList.xlsx","Ouvrir"))</f>
        <v/>
      </c>
      <c r="S344" s="22">
        <f>IF($A344="","",HYPERLINK("Z:\MUSTANG SERVICES\Affaires 2027\"&amp;$A344&amp;"\"&amp;$A344&amp;"_BL.xlsx","Ouvrir"))</f>
        <v/>
      </c>
      <c r="T344" s="22">
        <f>IF($A344="","",HYPERLINK("Z:\MUSTANG SERVICES\Affaires 2027\"&amp;$A344&amp;"\"&amp;$A344&amp;"_ServiceTicket.xlsx","Ouvrir"))</f>
        <v/>
      </c>
      <c r="U344" s="22">
        <f>IF($A344="","",HYPERLINK("Z:\MUSTANG SERVICES\Affaires 2027\"&amp;$A344&amp;"\","Dossier"))</f>
        <v/>
      </c>
    </row>
    <row r="345" ht="18" customHeight="1">
      <c r="A345" s="16" t="n"/>
      <c r="B345" s="17" t="n"/>
      <c r="C345" s="17" t="n"/>
      <c r="D345" s="18">
        <f>IF(AND(ISNUMBER($B345),ISNUMBER($C345)),$C345-$B345,"")</f>
        <v/>
      </c>
      <c r="E345" s="19" t="n"/>
      <c r="F345" s="20" t="n"/>
      <c r="G345" s="19" t="n"/>
      <c r="H345" s="20" t="n"/>
      <c r="I345" s="20" t="n"/>
      <c r="J345" s="19" t="n"/>
      <c r="K345" s="16" t="n"/>
      <c r="L345" s="20" t="n"/>
      <c r="M345" s="20" t="n"/>
      <c r="N345" s="17" t="n"/>
      <c r="O345" s="18">
        <f>IF(AND(OR($M345="Envoyé",$M345="En attente"),ISNUMBER($C345),NOT(ISNUMBER($N345))),IF(TODAY()-$C345&gt;=7,"⚠ relancer",""),"")</f>
        <v/>
      </c>
      <c r="P345" s="19" t="n"/>
      <c r="Q345" s="22">
        <f>IF($A345="","",HYPERLINK("Z:\MUSTANG SERVICES\Affaires 2027\"&amp;$A345&amp;"\"&amp;$A345&amp;"_Devis.xlsx","Ouvrir"))</f>
        <v/>
      </c>
      <c r="R345" s="22">
        <f>IF($A345="","",HYPERLINK("Z:\MUSTANG SERVICES\Affaires 2027\"&amp;$A345&amp;"\"&amp;$A345&amp;"_ToolList.xlsx","Ouvrir"))</f>
        <v/>
      </c>
      <c r="S345" s="22">
        <f>IF($A345="","",HYPERLINK("Z:\MUSTANG SERVICES\Affaires 2027\"&amp;$A345&amp;"\"&amp;$A345&amp;"_BL.xlsx","Ouvrir"))</f>
        <v/>
      </c>
      <c r="T345" s="22">
        <f>IF($A345="","",HYPERLINK("Z:\MUSTANG SERVICES\Affaires 2027\"&amp;$A345&amp;"\"&amp;$A345&amp;"_ServiceTicket.xlsx","Ouvrir"))</f>
        <v/>
      </c>
      <c r="U345" s="22">
        <f>IF($A345="","",HYPERLINK("Z:\MUSTANG SERVICES\Affaires 2027\"&amp;$A345&amp;"\","Dossier"))</f>
        <v/>
      </c>
    </row>
    <row r="346" ht="18" customHeight="1">
      <c r="A346" s="16" t="n"/>
      <c r="B346" s="17" t="n"/>
      <c r="C346" s="17" t="n"/>
      <c r="D346" s="18">
        <f>IF(AND(ISNUMBER($B346),ISNUMBER($C346)),$C346-$B346,"")</f>
        <v/>
      </c>
      <c r="E346" s="19" t="n"/>
      <c r="F346" s="20" t="n"/>
      <c r="G346" s="19" t="n"/>
      <c r="H346" s="20" t="n"/>
      <c r="I346" s="20" t="n"/>
      <c r="J346" s="19" t="n"/>
      <c r="K346" s="16" t="n"/>
      <c r="L346" s="20" t="n"/>
      <c r="M346" s="20" t="n"/>
      <c r="N346" s="17" t="n"/>
      <c r="O346" s="18">
        <f>IF(AND(OR($M346="Envoyé",$M346="En attente"),ISNUMBER($C346),NOT(ISNUMBER($N346))),IF(TODAY()-$C346&gt;=7,"⚠ relancer",""),"")</f>
        <v/>
      </c>
      <c r="P346" s="19" t="n"/>
      <c r="Q346" s="22">
        <f>IF($A346="","",HYPERLINK("Z:\MUSTANG SERVICES\Affaires 2027\"&amp;$A346&amp;"\"&amp;$A346&amp;"_Devis.xlsx","Ouvrir"))</f>
        <v/>
      </c>
      <c r="R346" s="22">
        <f>IF($A346="","",HYPERLINK("Z:\MUSTANG SERVICES\Affaires 2027\"&amp;$A346&amp;"\"&amp;$A346&amp;"_ToolList.xlsx","Ouvrir"))</f>
        <v/>
      </c>
      <c r="S346" s="22">
        <f>IF($A346="","",HYPERLINK("Z:\MUSTANG SERVICES\Affaires 2027\"&amp;$A346&amp;"\"&amp;$A346&amp;"_BL.xlsx","Ouvrir"))</f>
        <v/>
      </c>
      <c r="T346" s="22">
        <f>IF($A346="","",HYPERLINK("Z:\MUSTANG SERVICES\Affaires 2027\"&amp;$A346&amp;"\"&amp;$A346&amp;"_ServiceTicket.xlsx","Ouvrir"))</f>
        <v/>
      </c>
      <c r="U346" s="22">
        <f>IF($A346="","",HYPERLINK("Z:\MUSTANG SERVICES\Affaires 2027\"&amp;$A346&amp;"\","Dossier"))</f>
        <v/>
      </c>
    </row>
    <row r="347" ht="18" customHeight="1">
      <c r="A347" s="16" t="n"/>
      <c r="B347" s="17" t="n"/>
      <c r="C347" s="17" t="n"/>
      <c r="D347" s="18">
        <f>IF(AND(ISNUMBER($B347),ISNUMBER($C347)),$C347-$B347,"")</f>
        <v/>
      </c>
      <c r="E347" s="19" t="n"/>
      <c r="F347" s="20" t="n"/>
      <c r="G347" s="19" t="n"/>
      <c r="H347" s="20" t="n"/>
      <c r="I347" s="20" t="n"/>
      <c r="J347" s="19" t="n"/>
      <c r="K347" s="16" t="n"/>
      <c r="L347" s="20" t="n"/>
      <c r="M347" s="20" t="n"/>
      <c r="N347" s="17" t="n"/>
      <c r="O347" s="18">
        <f>IF(AND(OR($M347="Envoyé",$M347="En attente"),ISNUMBER($C347),NOT(ISNUMBER($N347))),IF(TODAY()-$C347&gt;=7,"⚠ relancer",""),"")</f>
        <v/>
      </c>
      <c r="P347" s="19" t="n"/>
      <c r="Q347" s="22">
        <f>IF($A347="","",HYPERLINK("Z:\MUSTANG SERVICES\Affaires 2027\"&amp;$A347&amp;"\"&amp;$A347&amp;"_Devis.xlsx","Ouvrir"))</f>
        <v/>
      </c>
      <c r="R347" s="22">
        <f>IF($A347="","",HYPERLINK("Z:\MUSTANG SERVICES\Affaires 2027\"&amp;$A347&amp;"\"&amp;$A347&amp;"_ToolList.xlsx","Ouvrir"))</f>
        <v/>
      </c>
      <c r="S347" s="22">
        <f>IF($A347="","",HYPERLINK("Z:\MUSTANG SERVICES\Affaires 2027\"&amp;$A347&amp;"\"&amp;$A347&amp;"_BL.xlsx","Ouvrir"))</f>
        <v/>
      </c>
      <c r="T347" s="22">
        <f>IF($A347="","",HYPERLINK("Z:\MUSTANG SERVICES\Affaires 2027\"&amp;$A347&amp;"\"&amp;$A347&amp;"_ServiceTicket.xlsx","Ouvrir"))</f>
        <v/>
      </c>
      <c r="U347" s="22">
        <f>IF($A347="","",HYPERLINK("Z:\MUSTANG SERVICES\Affaires 2027\"&amp;$A347&amp;"\","Dossier"))</f>
        <v/>
      </c>
    </row>
    <row r="348" ht="18" customHeight="1">
      <c r="A348" s="16" t="n"/>
      <c r="B348" s="17" t="n"/>
      <c r="C348" s="17" t="n"/>
      <c r="D348" s="18">
        <f>IF(AND(ISNUMBER($B348),ISNUMBER($C348)),$C348-$B348,"")</f>
        <v/>
      </c>
      <c r="E348" s="19" t="n"/>
      <c r="F348" s="20" t="n"/>
      <c r="G348" s="19" t="n"/>
      <c r="H348" s="20" t="n"/>
      <c r="I348" s="20" t="n"/>
      <c r="J348" s="19" t="n"/>
      <c r="K348" s="16" t="n"/>
      <c r="L348" s="20" t="n"/>
      <c r="M348" s="20" t="n"/>
      <c r="N348" s="17" t="n"/>
      <c r="O348" s="18">
        <f>IF(AND(OR($M348="Envoyé",$M348="En attente"),ISNUMBER($C348),NOT(ISNUMBER($N348))),IF(TODAY()-$C348&gt;=7,"⚠ relancer",""),"")</f>
        <v/>
      </c>
      <c r="P348" s="19" t="n"/>
      <c r="Q348" s="22">
        <f>IF($A348="","",HYPERLINK("Z:\MUSTANG SERVICES\Affaires 2027\"&amp;$A348&amp;"\"&amp;$A348&amp;"_Devis.xlsx","Ouvrir"))</f>
        <v/>
      </c>
      <c r="R348" s="22">
        <f>IF($A348="","",HYPERLINK("Z:\MUSTANG SERVICES\Affaires 2027\"&amp;$A348&amp;"\"&amp;$A348&amp;"_ToolList.xlsx","Ouvrir"))</f>
        <v/>
      </c>
      <c r="S348" s="22">
        <f>IF($A348="","",HYPERLINK("Z:\MUSTANG SERVICES\Affaires 2027\"&amp;$A348&amp;"\"&amp;$A348&amp;"_BL.xlsx","Ouvrir"))</f>
        <v/>
      </c>
      <c r="T348" s="22">
        <f>IF($A348="","",HYPERLINK("Z:\MUSTANG SERVICES\Affaires 2027\"&amp;$A348&amp;"\"&amp;$A348&amp;"_ServiceTicket.xlsx","Ouvrir"))</f>
        <v/>
      </c>
      <c r="U348" s="22">
        <f>IF($A348="","",HYPERLINK("Z:\MUSTANG SERVICES\Affaires 2027\"&amp;$A348&amp;"\","Dossier"))</f>
        <v/>
      </c>
    </row>
    <row r="349" ht="18" customHeight="1">
      <c r="A349" s="16" t="n"/>
      <c r="B349" s="17" t="n"/>
      <c r="C349" s="17" t="n"/>
      <c r="D349" s="18">
        <f>IF(AND(ISNUMBER($B349),ISNUMBER($C349)),$C349-$B349,"")</f>
        <v/>
      </c>
      <c r="E349" s="19" t="n"/>
      <c r="F349" s="20" t="n"/>
      <c r="G349" s="19" t="n"/>
      <c r="H349" s="20" t="n"/>
      <c r="I349" s="20" t="n"/>
      <c r="J349" s="19" t="n"/>
      <c r="K349" s="16" t="n"/>
      <c r="L349" s="20" t="n"/>
      <c r="M349" s="20" t="n"/>
      <c r="N349" s="17" t="n"/>
      <c r="O349" s="18">
        <f>IF(AND(OR($M349="Envoyé",$M349="En attente"),ISNUMBER($C349),NOT(ISNUMBER($N349))),IF(TODAY()-$C349&gt;=7,"⚠ relancer",""),"")</f>
        <v/>
      </c>
      <c r="P349" s="19" t="n"/>
      <c r="Q349" s="22">
        <f>IF($A349="","",HYPERLINK("Z:\MUSTANG SERVICES\Affaires 2027\"&amp;$A349&amp;"\"&amp;$A349&amp;"_Devis.xlsx","Ouvrir"))</f>
        <v/>
      </c>
      <c r="R349" s="22">
        <f>IF($A349="","",HYPERLINK("Z:\MUSTANG SERVICES\Affaires 2027\"&amp;$A349&amp;"\"&amp;$A349&amp;"_ToolList.xlsx","Ouvrir"))</f>
        <v/>
      </c>
      <c r="S349" s="22">
        <f>IF($A349="","",HYPERLINK("Z:\MUSTANG SERVICES\Affaires 2027\"&amp;$A349&amp;"\"&amp;$A349&amp;"_BL.xlsx","Ouvrir"))</f>
        <v/>
      </c>
      <c r="T349" s="22">
        <f>IF($A349="","",HYPERLINK("Z:\MUSTANG SERVICES\Affaires 2027\"&amp;$A349&amp;"\"&amp;$A349&amp;"_ServiceTicket.xlsx","Ouvrir"))</f>
        <v/>
      </c>
      <c r="U349" s="22">
        <f>IF($A349="","",HYPERLINK("Z:\MUSTANG SERVICES\Affaires 2027\"&amp;$A349&amp;"\","Dossier"))</f>
        <v/>
      </c>
    </row>
    <row r="350" ht="18" customHeight="1">
      <c r="A350" s="16" t="n"/>
      <c r="B350" s="17" t="n"/>
      <c r="C350" s="17" t="n"/>
      <c r="D350" s="18">
        <f>IF(AND(ISNUMBER($B350),ISNUMBER($C350)),$C350-$B350,"")</f>
        <v/>
      </c>
      <c r="E350" s="19" t="n"/>
      <c r="F350" s="20" t="n"/>
      <c r="G350" s="19" t="n"/>
      <c r="H350" s="20" t="n"/>
      <c r="I350" s="20" t="n"/>
      <c r="J350" s="19" t="n"/>
      <c r="K350" s="16" t="n"/>
      <c r="L350" s="20" t="n"/>
      <c r="M350" s="20" t="n"/>
      <c r="N350" s="17" t="n"/>
      <c r="O350" s="18">
        <f>IF(AND(OR($M350="Envoyé",$M350="En attente"),ISNUMBER($C350),NOT(ISNUMBER($N350))),IF(TODAY()-$C350&gt;=7,"⚠ relancer",""),"")</f>
        <v/>
      </c>
      <c r="P350" s="19" t="n"/>
      <c r="Q350" s="22">
        <f>IF($A350="","",HYPERLINK("Z:\MUSTANG SERVICES\Affaires 2027\"&amp;$A350&amp;"\"&amp;$A350&amp;"_Devis.xlsx","Ouvrir"))</f>
        <v/>
      </c>
      <c r="R350" s="22">
        <f>IF($A350="","",HYPERLINK("Z:\MUSTANG SERVICES\Affaires 2027\"&amp;$A350&amp;"\"&amp;$A350&amp;"_ToolList.xlsx","Ouvrir"))</f>
        <v/>
      </c>
      <c r="S350" s="22">
        <f>IF($A350="","",HYPERLINK("Z:\MUSTANG SERVICES\Affaires 2027\"&amp;$A350&amp;"\"&amp;$A350&amp;"_BL.xlsx","Ouvrir"))</f>
        <v/>
      </c>
      <c r="T350" s="22">
        <f>IF($A350="","",HYPERLINK("Z:\MUSTANG SERVICES\Affaires 2027\"&amp;$A350&amp;"\"&amp;$A350&amp;"_ServiceTicket.xlsx","Ouvrir"))</f>
        <v/>
      </c>
      <c r="U350" s="22">
        <f>IF($A350="","",HYPERLINK("Z:\MUSTANG SERVICES\Affaires 2027\"&amp;$A350&amp;"\","Dossier"))</f>
        <v/>
      </c>
    </row>
    <row r="351" ht="18" customHeight="1">
      <c r="A351" s="16" t="n"/>
      <c r="B351" s="17" t="n"/>
      <c r="C351" s="17" t="n"/>
      <c r="D351" s="18">
        <f>IF(AND(ISNUMBER($B351),ISNUMBER($C351)),$C351-$B351,"")</f>
        <v/>
      </c>
      <c r="E351" s="19" t="n"/>
      <c r="F351" s="20" t="n"/>
      <c r="G351" s="19" t="n"/>
      <c r="H351" s="20" t="n"/>
      <c r="I351" s="20" t="n"/>
      <c r="J351" s="19" t="n"/>
      <c r="K351" s="16" t="n"/>
      <c r="L351" s="20" t="n"/>
      <c r="M351" s="20" t="n"/>
      <c r="N351" s="17" t="n"/>
      <c r="O351" s="18">
        <f>IF(AND(OR($M351="Envoyé",$M351="En attente"),ISNUMBER($C351),NOT(ISNUMBER($N351))),IF(TODAY()-$C351&gt;=7,"⚠ relancer",""),"")</f>
        <v/>
      </c>
      <c r="P351" s="19" t="n"/>
      <c r="Q351" s="22">
        <f>IF($A351="","",HYPERLINK("Z:\MUSTANG SERVICES\Affaires 2027\"&amp;$A351&amp;"\"&amp;$A351&amp;"_Devis.xlsx","Ouvrir"))</f>
        <v/>
      </c>
      <c r="R351" s="22">
        <f>IF($A351="","",HYPERLINK("Z:\MUSTANG SERVICES\Affaires 2027\"&amp;$A351&amp;"\"&amp;$A351&amp;"_ToolList.xlsx","Ouvrir"))</f>
        <v/>
      </c>
      <c r="S351" s="22">
        <f>IF($A351="","",HYPERLINK("Z:\MUSTANG SERVICES\Affaires 2027\"&amp;$A351&amp;"\"&amp;$A351&amp;"_BL.xlsx","Ouvrir"))</f>
        <v/>
      </c>
      <c r="T351" s="22">
        <f>IF($A351="","",HYPERLINK("Z:\MUSTANG SERVICES\Affaires 2027\"&amp;$A351&amp;"\"&amp;$A351&amp;"_ServiceTicket.xlsx","Ouvrir"))</f>
        <v/>
      </c>
      <c r="U351" s="22">
        <f>IF($A351="","",HYPERLINK("Z:\MUSTANG SERVICES\Affaires 2027\"&amp;$A351&amp;"\","Dossier"))</f>
        <v/>
      </c>
    </row>
    <row r="352" ht="18" customHeight="1">
      <c r="A352" s="16" t="n"/>
      <c r="B352" s="17" t="n"/>
      <c r="C352" s="17" t="n"/>
      <c r="D352" s="18">
        <f>IF(AND(ISNUMBER($B352),ISNUMBER($C352)),$C352-$B352,"")</f>
        <v/>
      </c>
      <c r="E352" s="19" t="n"/>
      <c r="F352" s="20" t="n"/>
      <c r="G352" s="19" t="n"/>
      <c r="H352" s="20" t="n"/>
      <c r="I352" s="20" t="n"/>
      <c r="J352" s="19" t="n"/>
      <c r="K352" s="16" t="n"/>
      <c r="L352" s="20" t="n"/>
      <c r="M352" s="20" t="n"/>
      <c r="N352" s="17" t="n"/>
      <c r="O352" s="18">
        <f>IF(AND(OR($M352="Envoyé",$M352="En attente"),ISNUMBER($C352),NOT(ISNUMBER($N352))),IF(TODAY()-$C352&gt;=7,"⚠ relancer",""),"")</f>
        <v/>
      </c>
      <c r="P352" s="19" t="n"/>
      <c r="Q352" s="22">
        <f>IF($A352="","",HYPERLINK("Z:\MUSTANG SERVICES\Affaires 2027\"&amp;$A352&amp;"\"&amp;$A352&amp;"_Devis.xlsx","Ouvrir"))</f>
        <v/>
      </c>
      <c r="R352" s="22">
        <f>IF($A352="","",HYPERLINK("Z:\MUSTANG SERVICES\Affaires 2027\"&amp;$A352&amp;"\"&amp;$A352&amp;"_ToolList.xlsx","Ouvrir"))</f>
        <v/>
      </c>
      <c r="S352" s="22">
        <f>IF($A352="","",HYPERLINK("Z:\MUSTANG SERVICES\Affaires 2027\"&amp;$A352&amp;"\"&amp;$A352&amp;"_BL.xlsx","Ouvrir"))</f>
        <v/>
      </c>
      <c r="T352" s="22">
        <f>IF($A352="","",HYPERLINK("Z:\MUSTANG SERVICES\Affaires 2027\"&amp;$A352&amp;"\"&amp;$A352&amp;"_ServiceTicket.xlsx","Ouvrir"))</f>
        <v/>
      </c>
      <c r="U352" s="22">
        <f>IF($A352="","",HYPERLINK("Z:\MUSTANG SERVICES\Affaires 2027\"&amp;$A352&amp;"\","Dossier"))</f>
        <v/>
      </c>
    </row>
    <row r="353" ht="18" customHeight="1">
      <c r="A353" s="16" t="n"/>
      <c r="B353" s="17" t="n"/>
      <c r="C353" s="17" t="n"/>
      <c r="D353" s="18">
        <f>IF(AND(ISNUMBER($B353),ISNUMBER($C353)),$C353-$B353,"")</f>
        <v/>
      </c>
      <c r="E353" s="19" t="n"/>
      <c r="F353" s="20" t="n"/>
      <c r="G353" s="19" t="n"/>
      <c r="H353" s="20" t="n"/>
      <c r="I353" s="20" t="n"/>
      <c r="J353" s="19" t="n"/>
      <c r="K353" s="16" t="n"/>
      <c r="L353" s="20" t="n"/>
      <c r="M353" s="20" t="n"/>
      <c r="N353" s="17" t="n"/>
      <c r="O353" s="18">
        <f>IF(AND(OR($M353="Envoyé",$M353="En attente"),ISNUMBER($C353),NOT(ISNUMBER($N353))),IF(TODAY()-$C353&gt;=7,"⚠ relancer",""),"")</f>
        <v/>
      </c>
      <c r="P353" s="19" t="n"/>
      <c r="Q353" s="22">
        <f>IF($A353="","",HYPERLINK("Z:\MUSTANG SERVICES\Affaires 2027\"&amp;$A353&amp;"\"&amp;$A353&amp;"_Devis.xlsx","Ouvrir"))</f>
        <v/>
      </c>
      <c r="R353" s="22">
        <f>IF($A353="","",HYPERLINK("Z:\MUSTANG SERVICES\Affaires 2027\"&amp;$A353&amp;"\"&amp;$A353&amp;"_ToolList.xlsx","Ouvrir"))</f>
        <v/>
      </c>
      <c r="S353" s="22">
        <f>IF($A353="","",HYPERLINK("Z:\MUSTANG SERVICES\Affaires 2027\"&amp;$A353&amp;"\"&amp;$A353&amp;"_BL.xlsx","Ouvrir"))</f>
        <v/>
      </c>
      <c r="T353" s="22">
        <f>IF($A353="","",HYPERLINK("Z:\MUSTANG SERVICES\Affaires 2027\"&amp;$A353&amp;"\"&amp;$A353&amp;"_ServiceTicket.xlsx","Ouvrir"))</f>
        <v/>
      </c>
      <c r="U353" s="22">
        <f>IF($A353="","",HYPERLINK("Z:\MUSTANG SERVICES\Affaires 2027\"&amp;$A353&amp;"\","Dossier"))</f>
        <v/>
      </c>
    </row>
    <row r="354" ht="18" customHeight="1">
      <c r="A354" s="16" t="n"/>
      <c r="B354" s="17" t="n"/>
      <c r="C354" s="17" t="n"/>
      <c r="D354" s="18">
        <f>IF(AND(ISNUMBER($B354),ISNUMBER($C354)),$C354-$B354,"")</f>
        <v/>
      </c>
      <c r="E354" s="19" t="n"/>
      <c r="F354" s="20" t="n"/>
      <c r="G354" s="19" t="n"/>
      <c r="H354" s="20" t="n"/>
      <c r="I354" s="20" t="n"/>
      <c r="J354" s="19" t="n"/>
      <c r="K354" s="16" t="n"/>
      <c r="L354" s="20" t="n"/>
      <c r="M354" s="20" t="n"/>
      <c r="N354" s="17" t="n"/>
      <c r="O354" s="18">
        <f>IF(AND(OR($M354="Envoyé",$M354="En attente"),ISNUMBER($C354),NOT(ISNUMBER($N354))),IF(TODAY()-$C354&gt;=7,"⚠ relancer",""),"")</f>
        <v/>
      </c>
      <c r="P354" s="19" t="n"/>
      <c r="Q354" s="22">
        <f>IF($A354="","",HYPERLINK("Z:\MUSTANG SERVICES\Affaires 2027\"&amp;$A354&amp;"\"&amp;$A354&amp;"_Devis.xlsx","Ouvrir"))</f>
        <v/>
      </c>
      <c r="R354" s="22">
        <f>IF($A354="","",HYPERLINK("Z:\MUSTANG SERVICES\Affaires 2027\"&amp;$A354&amp;"\"&amp;$A354&amp;"_ToolList.xlsx","Ouvrir"))</f>
        <v/>
      </c>
      <c r="S354" s="22">
        <f>IF($A354="","",HYPERLINK("Z:\MUSTANG SERVICES\Affaires 2027\"&amp;$A354&amp;"\"&amp;$A354&amp;"_BL.xlsx","Ouvrir"))</f>
        <v/>
      </c>
      <c r="T354" s="22">
        <f>IF($A354="","",HYPERLINK("Z:\MUSTANG SERVICES\Affaires 2027\"&amp;$A354&amp;"\"&amp;$A354&amp;"_ServiceTicket.xlsx","Ouvrir"))</f>
        <v/>
      </c>
      <c r="U354" s="22">
        <f>IF($A354="","",HYPERLINK("Z:\MUSTANG SERVICES\Affaires 2027\"&amp;$A354&amp;"\","Dossier"))</f>
        <v/>
      </c>
    </row>
    <row r="355" ht="18" customHeight="1">
      <c r="A355" s="16" t="n"/>
      <c r="B355" s="17" t="n"/>
      <c r="C355" s="17" t="n"/>
      <c r="D355" s="18">
        <f>IF(AND(ISNUMBER($B355),ISNUMBER($C355)),$C355-$B355,"")</f>
        <v/>
      </c>
      <c r="E355" s="19" t="n"/>
      <c r="F355" s="20" t="n"/>
      <c r="G355" s="19" t="n"/>
      <c r="H355" s="20" t="n"/>
      <c r="I355" s="20" t="n"/>
      <c r="J355" s="19" t="n"/>
      <c r="K355" s="16" t="n"/>
      <c r="L355" s="20" t="n"/>
      <c r="M355" s="20" t="n"/>
      <c r="N355" s="17" t="n"/>
      <c r="O355" s="18">
        <f>IF(AND(OR($M355="Envoyé",$M355="En attente"),ISNUMBER($C355),NOT(ISNUMBER($N355))),IF(TODAY()-$C355&gt;=7,"⚠ relancer",""),"")</f>
        <v/>
      </c>
      <c r="P355" s="19" t="n"/>
      <c r="Q355" s="22">
        <f>IF($A355="","",HYPERLINK("Z:\MUSTANG SERVICES\Affaires 2027\"&amp;$A355&amp;"\"&amp;$A355&amp;"_Devis.xlsx","Ouvrir"))</f>
        <v/>
      </c>
      <c r="R355" s="22">
        <f>IF($A355="","",HYPERLINK("Z:\MUSTANG SERVICES\Affaires 2027\"&amp;$A355&amp;"\"&amp;$A355&amp;"_ToolList.xlsx","Ouvrir"))</f>
        <v/>
      </c>
      <c r="S355" s="22">
        <f>IF($A355="","",HYPERLINK("Z:\MUSTANG SERVICES\Affaires 2027\"&amp;$A355&amp;"\"&amp;$A355&amp;"_BL.xlsx","Ouvrir"))</f>
        <v/>
      </c>
      <c r="T355" s="22">
        <f>IF($A355="","",HYPERLINK("Z:\MUSTANG SERVICES\Affaires 2027\"&amp;$A355&amp;"\"&amp;$A355&amp;"_ServiceTicket.xlsx","Ouvrir"))</f>
        <v/>
      </c>
      <c r="U355" s="22">
        <f>IF($A355="","",HYPERLINK("Z:\MUSTANG SERVICES\Affaires 2027\"&amp;$A355&amp;"\","Dossier"))</f>
        <v/>
      </c>
    </row>
    <row r="356" ht="18" customHeight="1">
      <c r="A356" s="16" t="n"/>
      <c r="B356" s="17" t="n"/>
      <c r="C356" s="17" t="n"/>
      <c r="D356" s="18">
        <f>IF(AND(ISNUMBER($B356),ISNUMBER($C356)),$C356-$B356,"")</f>
        <v/>
      </c>
      <c r="E356" s="19" t="n"/>
      <c r="F356" s="20" t="n"/>
      <c r="G356" s="19" t="n"/>
      <c r="H356" s="20" t="n"/>
      <c r="I356" s="20" t="n"/>
      <c r="J356" s="19" t="n"/>
      <c r="K356" s="16" t="n"/>
      <c r="L356" s="20" t="n"/>
      <c r="M356" s="20" t="n"/>
      <c r="N356" s="17" t="n"/>
      <c r="O356" s="18">
        <f>IF(AND(OR($M356="Envoyé",$M356="En attente"),ISNUMBER($C356),NOT(ISNUMBER($N356))),IF(TODAY()-$C356&gt;=7,"⚠ relancer",""),"")</f>
        <v/>
      </c>
      <c r="P356" s="19" t="n"/>
      <c r="Q356" s="22">
        <f>IF($A356="","",HYPERLINK("Z:\MUSTANG SERVICES\Affaires 2027\"&amp;$A356&amp;"\"&amp;$A356&amp;"_Devis.xlsx","Ouvrir"))</f>
        <v/>
      </c>
      <c r="R356" s="22">
        <f>IF($A356="","",HYPERLINK("Z:\MUSTANG SERVICES\Affaires 2027\"&amp;$A356&amp;"\"&amp;$A356&amp;"_ToolList.xlsx","Ouvrir"))</f>
        <v/>
      </c>
      <c r="S356" s="22">
        <f>IF($A356="","",HYPERLINK("Z:\MUSTANG SERVICES\Affaires 2027\"&amp;$A356&amp;"\"&amp;$A356&amp;"_BL.xlsx","Ouvrir"))</f>
        <v/>
      </c>
      <c r="T356" s="22">
        <f>IF($A356="","",HYPERLINK("Z:\MUSTANG SERVICES\Affaires 2027\"&amp;$A356&amp;"\"&amp;$A356&amp;"_ServiceTicket.xlsx","Ouvrir"))</f>
        <v/>
      </c>
      <c r="U356" s="22">
        <f>IF($A356="","",HYPERLINK("Z:\MUSTANG SERVICES\Affaires 2027\"&amp;$A356&amp;"\","Dossier"))</f>
        <v/>
      </c>
    </row>
    <row r="357" ht="18" customHeight="1">
      <c r="A357" s="16" t="n"/>
      <c r="B357" s="17" t="n"/>
      <c r="C357" s="17" t="n"/>
      <c r="D357" s="18">
        <f>IF(AND(ISNUMBER($B357),ISNUMBER($C357)),$C357-$B357,"")</f>
        <v/>
      </c>
      <c r="E357" s="19" t="n"/>
      <c r="F357" s="20" t="n"/>
      <c r="G357" s="19" t="n"/>
      <c r="H357" s="20" t="n"/>
      <c r="I357" s="20" t="n"/>
      <c r="J357" s="19" t="n"/>
      <c r="K357" s="16" t="n"/>
      <c r="L357" s="20" t="n"/>
      <c r="M357" s="20" t="n"/>
      <c r="N357" s="17" t="n"/>
      <c r="O357" s="18">
        <f>IF(AND(OR($M357="Envoyé",$M357="En attente"),ISNUMBER($C357),NOT(ISNUMBER($N357))),IF(TODAY()-$C357&gt;=7,"⚠ relancer",""),"")</f>
        <v/>
      </c>
      <c r="P357" s="19" t="n"/>
      <c r="Q357" s="22">
        <f>IF($A357="","",HYPERLINK("Z:\MUSTANG SERVICES\Affaires 2027\"&amp;$A357&amp;"\"&amp;$A357&amp;"_Devis.xlsx","Ouvrir"))</f>
        <v/>
      </c>
      <c r="R357" s="22">
        <f>IF($A357="","",HYPERLINK("Z:\MUSTANG SERVICES\Affaires 2027\"&amp;$A357&amp;"\"&amp;$A357&amp;"_ToolList.xlsx","Ouvrir"))</f>
        <v/>
      </c>
      <c r="S357" s="22">
        <f>IF($A357="","",HYPERLINK("Z:\MUSTANG SERVICES\Affaires 2027\"&amp;$A357&amp;"\"&amp;$A357&amp;"_BL.xlsx","Ouvrir"))</f>
        <v/>
      </c>
      <c r="T357" s="22">
        <f>IF($A357="","",HYPERLINK("Z:\MUSTANG SERVICES\Affaires 2027\"&amp;$A357&amp;"\"&amp;$A357&amp;"_ServiceTicket.xlsx","Ouvrir"))</f>
        <v/>
      </c>
      <c r="U357" s="22">
        <f>IF($A357="","",HYPERLINK("Z:\MUSTANG SERVICES\Affaires 2027\"&amp;$A357&amp;"\","Dossier"))</f>
        <v/>
      </c>
    </row>
    <row r="358" ht="18" customHeight="1">
      <c r="A358" s="16" t="n"/>
      <c r="B358" s="17" t="n"/>
      <c r="C358" s="17" t="n"/>
      <c r="D358" s="18">
        <f>IF(AND(ISNUMBER($B358),ISNUMBER($C358)),$C358-$B358,"")</f>
        <v/>
      </c>
      <c r="E358" s="19" t="n"/>
      <c r="F358" s="20" t="n"/>
      <c r="G358" s="19" t="n"/>
      <c r="H358" s="20" t="n"/>
      <c r="I358" s="20" t="n"/>
      <c r="J358" s="19" t="n"/>
      <c r="K358" s="16" t="n"/>
      <c r="L358" s="20" t="n"/>
      <c r="M358" s="20" t="n"/>
      <c r="N358" s="17" t="n"/>
      <c r="O358" s="18">
        <f>IF(AND(OR($M358="Envoyé",$M358="En attente"),ISNUMBER($C358),NOT(ISNUMBER($N358))),IF(TODAY()-$C358&gt;=7,"⚠ relancer",""),"")</f>
        <v/>
      </c>
      <c r="P358" s="19" t="n"/>
      <c r="Q358" s="22">
        <f>IF($A358="","",HYPERLINK("Z:\MUSTANG SERVICES\Affaires 2027\"&amp;$A358&amp;"\"&amp;$A358&amp;"_Devis.xlsx","Ouvrir"))</f>
        <v/>
      </c>
      <c r="R358" s="22">
        <f>IF($A358="","",HYPERLINK("Z:\MUSTANG SERVICES\Affaires 2027\"&amp;$A358&amp;"\"&amp;$A358&amp;"_ToolList.xlsx","Ouvrir"))</f>
        <v/>
      </c>
      <c r="S358" s="22">
        <f>IF($A358="","",HYPERLINK("Z:\MUSTANG SERVICES\Affaires 2027\"&amp;$A358&amp;"\"&amp;$A358&amp;"_BL.xlsx","Ouvrir"))</f>
        <v/>
      </c>
      <c r="T358" s="22">
        <f>IF($A358="","",HYPERLINK("Z:\MUSTANG SERVICES\Affaires 2027\"&amp;$A358&amp;"\"&amp;$A358&amp;"_ServiceTicket.xlsx","Ouvrir"))</f>
        <v/>
      </c>
      <c r="U358" s="22">
        <f>IF($A358="","",HYPERLINK("Z:\MUSTANG SERVICES\Affaires 2027\"&amp;$A358&amp;"\","Dossier"))</f>
        <v/>
      </c>
    </row>
    <row r="359" ht="18" customHeight="1">
      <c r="A359" s="16" t="n"/>
      <c r="B359" s="17" t="n"/>
      <c r="C359" s="17" t="n"/>
      <c r="D359" s="18">
        <f>IF(AND(ISNUMBER($B359),ISNUMBER($C359)),$C359-$B359,"")</f>
        <v/>
      </c>
      <c r="E359" s="19" t="n"/>
      <c r="F359" s="20" t="n"/>
      <c r="G359" s="19" t="n"/>
      <c r="H359" s="20" t="n"/>
      <c r="I359" s="20" t="n"/>
      <c r="J359" s="19" t="n"/>
      <c r="K359" s="16" t="n"/>
      <c r="L359" s="20" t="n"/>
      <c r="M359" s="20" t="n"/>
      <c r="N359" s="17" t="n"/>
      <c r="O359" s="18">
        <f>IF(AND(OR($M359="Envoyé",$M359="En attente"),ISNUMBER($C359),NOT(ISNUMBER($N359))),IF(TODAY()-$C359&gt;=7,"⚠ relancer",""),"")</f>
        <v/>
      </c>
      <c r="P359" s="19" t="n"/>
      <c r="Q359" s="22">
        <f>IF($A359="","",HYPERLINK("Z:\MUSTANG SERVICES\Affaires 2027\"&amp;$A359&amp;"\"&amp;$A359&amp;"_Devis.xlsx","Ouvrir"))</f>
        <v/>
      </c>
      <c r="R359" s="22">
        <f>IF($A359="","",HYPERLINK("Z:\MUSTANG SERVICES\Affaires 2027\"&amp;$A359&amp;"\"&amp;$A359&amp;"_ToolList.xlsx","Ouvrir"))</f>
        <v/>
      </c>
      <c r="S359" s="22">
        <f>IF($A359="","",HYPERLINK("Z:\MUSTANG SERVICES\Affaires 2027\"&amp;$A359&amp;"\"&amp;$A359&amp;"_BL.xlsx","Ouvrir"))</f>
        <v/>
      </c>
      <c r="T359" s="22">
        <f>IF($A359="","",HYPERLINK("Z:\MUSTANG SERVICES\Affaires 2027\"&amp;$A359&amp;"\"&amp;$A359&amp;"_ServiceTicket.xlsx","Ouvrir"))</f>
        <v/>
      </c>
      <c r="U359" s="22">
        <f>IF($A359="","",HYPERLINK("Z:\MUSTANG SERVICES\Affaires 2027\"&amp;$A359&amp;"\","Dossier"))</f>
        <v/>
      </c>
    </row>
    <row r="360" ht="18" customHeight="1">
      <c r="A360" s="16" t="n"/>
      <c r="B360" s="17" t="n"/>
      <c r="C360" s="17" t="n"/>
      <c r="D360" s="18">
        <f>IF(AND(ISNUMBER($B360),ISNUMBER($C360)),$C360-$B360,"")</f>
        <v/>
      </c>
      <c r="E360" s="19" t="n"/>
      <c r="F360" s="20" t="n"/>
      <c r="G360" s="19" t="n"/>
      <c r="H360" s="20" t="n"/>
      <c r="I360" s="20" t="n"/>
      <c r="J360" s="19" t="n"/>
      <c r="K360" s="16" t="n"/>
      <c r="L360" s="20" t="n"/>
      <c r="M360" s="20" t="n"/>
      <c r="N360" s="17" t="n"/>
      <c r="O360" s="18">
        <f>IF(AND(OR($M360="Envoyé",$M360="En attente"),ISNUMBER($C360),NOT(ISNUMBER($N360))),IF(TODAY()-$C360&gt;=7,"⚠ relancer",""),"")</f>
        <v/>
      </c>
      <c r="P360" s="19" t="n"/>
      <c r="Q360" s="22">
        <f>IF($A360="","",HYPERLINK("Z:\MUSTANG SERVICES\Affaires 2027\"&amp;$A360&amp;"\"&amp;$A360&amp;"_Devis.xlsx","Ouvrir"))</f>
        <v/>
      </c>
      <c r="R360" s="22">
        <f>IF($A360="","",HYPERLINK("Z:\MUSTANG SERVICES\Affaires 2027\"&amp;$A360&amp;"\"&amp;$A360&amp;"_ToolList.xlsx","Ouvrir"))</f>
        <v/>
      </c>
      <c r="S360" s="22">
        <f>IF($A360="","",HYPERLINK("Z:\MUSTANG SERVICES\Affaires 2027\"&amp;$A360&amp;"\"&amp;$A360&amp;"_BL.xlsx","Ouvrir"))</f>
        <v/>
      </c>
      <c r="T360" s="22">
        <f>IF($A360="","",HYPERLINK("Z:\MUSTANG SERVICES\Affaires 2027\"&amp;$A360&amp;"\"&amp;$A360&amp;"_ServiceTicket.xlsx","Ouvrir"))</f>
        <v/>
      </c>
      <c r="U360" s="22">
        <f>IF($A360="","",HYPERLINK("Z:\MUSTANG SERVICES\Affaires 2027\"&amp;$A360&amp;"\","Dossier"))</f>
        <v/>
      </c>
    </row>
    <row r="361" ht="18" customHeight="1">
      <c r="A361" s="16" t="n"/>
      <c r="B361" s="17" t="n"/>
      <c r="C361" s="17" t="n"/>
      <c r="D361" s="18">
        <f>IF(AND(ISNUMBER($B361),ISNUMBER($C361)),$C361-$B361,"")</f>
        <v/>
      </c>
      <c r="E361" s="19" t="n"/>
      <c r="F361" s="20" t="n"/>
      <c r="G361" s="19" t="n"/>
      <c r="H361" s="20" t="n"/>
      <c r="I361" s="20" t="n"/>
      <c r="J361" s="19" t="n"/>
      <c r="K361" s="16" t="n"/>
      <c r="L361" s="20" t="n"/>
      <c r="M361" s="20" t="n"/>
      <c r="N361" s="17" t="n"/>
      <c r="O361" s="18">
        <f>IF(AND(OR($M361="Envoyé",$M361="En attente"),ISNUMBER($C361),NOT(ISNUMBER($N361))),IF(TODAY()-$C361&gt;=7,"⚠ relancer",""),"")</f>
        <v/>
      </c>
      <c r="P361" s="19" t="n"/>
      <c r="Q361" s="22">
        <f>IF($A361="","",HYPERLINK("Z:\MUSTANG SERVICES\Affaires 2027\"&amp;$A361&amp;"\"&amp;$A361&amp;"_Devis.xlsx","Ouvrir"))</f>
        <v/>
      </c>
      <c r="R361" s="22">
        <f>IF($A361="","",HYPERLINK("Z:\MUSTANG SERVICES\Affaires 2027\"&amp;$A361&amp;"\"&amp;$A361&amp;"_ToolList.xlsx","Ouvrir"))</f>
        <v/>
      </c>
      <c r="S361" s="22">
        <f>IF($A361="","",HYPERLINK("Z:\MUSTANG SERVICES\Affaires 2027\"&amp;$A361&amp;"\"&amp;$A361&amp;"_BL.xlsx","Ouvrir"))</f>
        <v/>
      </c>
      <c r="T361" s="22">
        <f>IF($A361="","",HYPERLINK("Z:\MUSTANG SERVICES\Affaires 2027\"&amp;$A361&amp;"\"&amp;$A361&amp;"_ServiceTicket.xlsx","Ouvrir"))</f>
        <v/>
      </c>
      <c r="U361" s="22">
        <f>IF($A361="","",HYPERLINK("Z:\MUSTANG SERVICES\Affaires 2027\"&amp;$A361&amp;"\","Dossier"))</f>
        <v/>
      </c>
    </row>
    <row r="362" ht="18" customHeight="1">
      <c r="A362" s="16" t="n"/>
      <c r="B362" s="17" t="n"/>
      <c r="C362" s="17" t="n"/>
      <c r="D362" s="18">
        <f>IF(AND(ISNUMBER($B362),ISNUMBER($C362)),$C362-$B362,"")</f>
        <v/>
      </c>
      <c r="E362" s="19" t="n"/>
      <c r="F362" s="20" t="n"/>
      <c r="G362" s="19" t="n"/>
      <c r="H362" s="20" t="n"/>
      <c r="I362" s="20" t="n"/>
      <c r="J362" s="19" t="n"/>
      <c r="K362" s="16" t="n"/>
      <c r="L362" s="20" t="n"/>
      <c r="M362" s="20" t="n"/>
      <c r="N362" s="17" t="n"/>
      <c r="O362" s="18">
        <f>IF(AND(OR($M362="Envoyé",$M362="En attente"),ISNUMBER($C362),NOT(ISNUMBER($N362))),IF(TODAY()-$C362&gt;=7,"⚠ relancer",""),"")</f>
        <v/>
      </c>
      <c r="P362" s="19" t="n"/>
      <c r="Q362" s="22">
        <f>IF($A362="","",HYPERLINK("Z:\MUSTANG SERVICES\Affaires 2027\"&amp;$A362&amp;"\"&amp;$A362&amp;"_Devis.xlsx","Ouvrir"))</f>
        <v/>
      </c>
      <c r="R362" s="22">
        <f>IF($A362="","",HYPERLINK("Z:\MUSTANG SERVICES\Affaires 2027\"&amp;$A362&amp;"\"&amp;$A362&amp;"_ToolList.xlsx","Ouvrir"))</f>
        <v/>
      </c>
      <c r="S362" s="22">
        <f>IF($A362="","",HYPERLINK("Z:\MUSTANG SERVICES\Affaires 2027\"&amp;$A362&amp;"\"&amp;$A362&amp;"_BL.xlsx","Ouvrir"))</f>
        <v/>
      </c>
      <c r="T362" s="22">
        <f>IF($A362="","",HYPERLINK("Z:\MUSTANG SERVICES\Affaires 2027\"&amp;$A362&amp;"\"&amp;$A362&amp;"_ServiceTicket.xlsx","Ouvrir"))</f>
        <v/>
      </c>
      <c r="U362" s="22">
        <f>IF($A362="","",HYPERLINK("Z:\MUSTANG SERVICES\Affaires 2027\"&amp;$A362&amp;"\","Dossier"))</f>
        <v/>
      </c>
    </row>
    <row r="363" ht="18" customHeight="1">
      <c r="A363" s="16" t="n"/>
      <c r="B363" s="17" t="n"/>
      <c r="C363" s="17" t="n"/>
      <c r="D363" s="18">
        <f>IF(AND(ISNUMBER($B363),ISNUMBER($C363)),$C363-$B363,"")</f>
        <v/>
      </c>
      <c r="E363" s="19" t="n"/>
      <c r="F363" s="20" t="n"/>
      <c r="G363" s="19" t="n"/>
      <c r="H363" s="20" t="n"/>
      <c r="I363" s="20" t="n"/>
      <c r="J363" s="19" t="n"/>
      <c r="K363" s="16" t="n"/>
      <c r="L363" s="20" t="n"/>
      <c r="M363" s="20" t="n"/>
      <c r="N363" s="17" t="n"/>
      <c r="O363" s="18">
        <f>IF(AND(OR($M363="Envoyé",$M363="En attente"),ISNUMBER($C363),NOT(ISNUMBER($N363))),IF(TODAY()-$C363&gt;=7,"⚠ relancer",""),"")</f>
        <v/>
      </c>
      <c r="P363" s="19" t="n"/>
      <c r="Q363" s="22">
        <f>IF($A363="","",HYPERLINK("Z:\MUSTANG SERVICES\Affaires 2027\"&amp;$A363&amp;"\"&amp;$A363&amp;"_Devis.xlsx","Ouvrir"))</f>
        <v/>
      </c>
      <c r="R363" s="22">
        <f>IF($A363="","",HYPERLINK("Z:\MUSTANG SERVICES\Affaires 2027\"&amp;$A363&amp;"\"&amp;$A363&amp;"_ToolList.xlsx","Ouvrir"))</f>
        <v/>
      </c>
      <c r="S363" s="22">
        <f>IF($A363="","",HYPERLINK("Z:\MUSTANG SERVICES\Affaires 2027\"&amp;$A363&amp;"\"&amp;$A363&amp;"_BL.xlsx","Ouvrir"))</f>
        <v/>
      </c>
      <c r="T363" s="22">
        <f>IF($A363="","",HYPERLINK("Z:\MUSTANG SERVICES\Affaires 2027\"&amp;$A363&amp;"\"&amp;$A363&amp;"_ServiceTicket.xlsx","Ouvrir"))</f>
        <v/>
      </c>
      <c r="U363" s="22">
        <f>IF($A363="","",HYPERLINK("Z:\MUSTANG SERVICES\Affaires 2027\"&amp;$A363&amp;"\","Dossier"))</f>
        <v/>
      </c>
    </row>
    <row r="364" ht="18" customHeight="1">
      <c r="A364" s="16" t="n"/>
      <c r="B364" s="17" t="n"/>
      <c r="C364" s="17" t="n"/>
      <c r="D364" s="18">
        <f>IF(AND(ISNUMBER($B364),ISNUMBER($C364)),$C364-$B364,"")</f>
        <v/>
      </c>
      <c r="E364" s="19" t="n"/>
      <c r="F364" s="20" t="n"/>
      <c r="G364" s="19" t="n"/>
      <c r="H364" s="20" t="n"/>
      <c r="I364" s="20" t="n"/>
      <c r="J364" s="19" t="n"/>
      <c r="K364" s="16" t="n"/>
      <c r="L364" s="20" t="n"/>
      <c r="M364" s="20" t="n"/>
      <c r="N364" s="17" t="n"/>
      <c r="O364" s="18">
        <f>IF(AND(OR($M364="Envoyé",$M364="En attente"),ISNUMBER($C364),NOT(ISNUMBER($N364))),IF(TODAY()-$C364&gt;=7,"⚠ relancer",""),"")</f>
        <v/>
      </c>
      <c r="P364" s="19" t="n"/>
      <c r="Q364" s="22">
        <f>IF($A364="","",HYPERLINK("Z:\MUSTANG SERVICES\Affaires 2027\"&amp;$A364&amp;"\"&amp;$A364&amp;"_Devis.xlsx","Ouvrir"))</f>
        <v/>
      </c>
      <c r="R364" s="22">
        <f>IF($A364="","",HYPERLINK("Z:\MUSTANG SERVICES\Affaires 2027\"&amp;$A364&amp;"\"&amp;$A364&amp;"_ToolList.xlsx","Ouvrir"))</f>
        <v/>
      </c>
      <c r="S364" s="22">
        <f>IF($A364="","",HYPERLINK("Z:\MUSTANG SERVICES\Affaires 2027\"&amp;$A364&amp;"\"&amp;$A364&amp;"_BL.xlsx","Ouvrir"))</f>
        <v/>
      </c>
      <c r="T364" s="22">
        <f>IF($A364="","",HYPERLINK("Z:\MUSTANG SERVICES\Affaires 2027\"&amp;$A364&amp;"\"&amp;$A364&amp;"_ServiceTicket.xlsx","Ouvrir"))</f>
        <v/>
      </c>
      <c r="U364" s="22">
        <f>IF($A364="","",HYPERLINK("Z:\MUSTANG SERVICES\Affaires 2027\"&amp;$A364&amp;"\","Dossier"))</f>
        <v/>
      </c>
    </row>
    <row r="365" ht="18" customHeight="1">
      <c r="A365" s="16" t="n"/>
      <c r="B365" s="17" t="n"/>
      <c r="C365" s="17" t="n"/>
      <c r="D365" s="18">
        <f>IF(AND(ISNUMBER($B365),ISNUMBER($C365)),$C365-$B365,"")</f>
        <v/>
      </c>
      <c r="E365" s="19" t="n"/>
      <c r="F365" s="20" t="n"/>
      <c r="G365" s="19" t="n"/>
      <c r="H365" s="20" t="n"/>
      <c r="I365" s="20" t="n"/>
      <c r="J365" s="19" t="n"/>
      <c r="K365" s="16" t="n"/>
      <c r="L365" s="20" t="n"/>
      <c r="M365" s="20" t="n"/>
      <c r="N365" s="17" t="n"/>
      <c r="O365" s="18">
        <f>IF(AND(OR($M365="Envoyé",$M365="En attente"),ISNUMBER($C365),NOT(ISNUMBER($N365))),IF(TODAY()-$C365&gt;=7,"⚠ relancer",""),"")</f>
        <v/>
      </c>
      <c r="P365" s="19" t="n"/>
      <c r="Q365" s="22">
        <f>IF($A365="","",HYPERLINK("Z:\MUSTANG SERVICES\Affaires 2027\"&amp;$A365&amp;"\"&amp;$A365&amp;"_Devis.xlsx","Ouvrir"))</f>
        <v/>
      </c>
      <c r="R365" s="22">
        <f>IF($A365="","",HYPERLINK("Z:\MUSTANG SERVICES\Affaires 2027\"&amp;$A365&amp;"\"&amp;$A365&amp;"_ToolList.xlsx","Ouvrir"))</f>
        <v/>
      </c>
      <c r="S365" s="22">
        <f>IF($A365="","",HYPERLINK("Z:\MUSTANG SERVICES\Affaires 2027\"&amp;$A365&amp;"\"&amp;$A365&amp;"_BL.xlsx","Ouvrir"))</f>
        <v/>
      </c>
      <c r="T365" s="22">
        <f>IF($A365="","",HYPERLINK("Z:\MUSTANG SERVICES\Affaires 2027\"&amp;$A365&amp;"\"&amp;$A365&amp;"_ServiceTicket.xlsx","Ouvrir"))</f>
        <v/>
      </c>
      <c r="U365" s="22">
        <f>IF($A365="","",HYPERLINK("Z:\MUSTANG SERVICES\Affaires 2027\"&amp;$A365&amp;"\","Dossier"))</f>
        <v/>
      </c>
    </row>
    <row r="366" ht="18" customHeight="1">
      <c r="A366" s="16" t="n"/>
      <c r="B366" s="17" t="n"/>
      <c r="C366" s="17" t="n"/>
      <c r="D366" s="18">
        <f>IF(AND(ISNUMBER($B366),ISNUMBER($C366)),$C366-$B366,"")</f>
        <v/>
      </c>
      <c r="E366" s="19" t="n"/>
      <c r="F366" s="20" t="n"/>
      <c r="G366" s="19" t="n"/>
      <c r="H366" s="20" t="n"/>
      <c r="I366" s="20" t="n"/>
      <c r="J366" s="19" t="n"/>
      <c r="K366" s="16" t="n"/>
      <c r="L366" s="20" t="n"/>
      <c r="M366" s="20" t="n"/>
      <c r="N366" s="17" t="n"/>
      <c r="O366" s="18">
        <f>IF(AND(OR($M366="Envoyé",$M366="En attente"),ISNUMBER($C366),NOT(ISNUMBER($N366))),IF(TODAY()-$C366&gt;=7,"⚠ relancer",""),"")</f>
        <v/>
      </c>
      <c r="P366" s="19" t="n"/>
      <c r="Q366" s="22">
        <f>IF($A366="","",HYPERLINK("Z:\MUSTANG SERVICES\Affaires 2027\"&amp;$A366&amp;"\"&amp;$A366&amp;"_Devis.xlsx","Ouvrir"))</f>
        <v/>
      </c>
      <c r="R366" s="22">
        <f>IF($A366="","",HYPERLINK("Z:\MUSTANG SERVICES\Affaires 2027\"&amp;$A366&amp;"\"&amp;$A366&amp;"_ToolList.xlsx","Ouvrir"))</f>
        <v/>
      </c>
      <c r="S366" s="22">
        <f>IF($A366="","",HYPERLINK("Z:\MUSTANG SERVICES\Affaires 2027\"&amp;$A366&amp;"\"&amp;$A366&amp;"_BL.xlsx","Ouvrir"))</f>
        <v/>
      </c>
      <c r="T366" s="22">
        <f>IF($A366="","",HYPERLINK("Z:\MUSTANG SERVICES\Affaires 2027\"&amp;$A366&amp;"\"&amp;$A366&amp;"_ServiceTicket.xlsx","Ouvrir"))</f>
        <v/>
      </c>
      <c r="U366" s="22">
        <f>IF($A366="","",HYPERLINK("Z:\MUSTANG SERVICES\Affaires 2027\"&amp;$A366&amp;"\","Dossier"))</f>
        <v/>
      </c>
    </row>
    <row r="367" ht="18" customHeight="1">
      <c r="A367" s="16" t="n"/>
      <c r="B367" s="17" t="n"/>
      <c r="C367" s="17" t="n"/>
      <c r="D367" s="18">
        <f>IF(AND(ISNUMBER($B367),ISNUMBER($C367)),$C367-$B367,"")</f>
        <v/>
      </c>
      <c r="E367" s="19" t="n"/>
      <c r="F367" s="20" t="n"/>
      <c r="G367" s="19" t="n"/>
      <c r="H367" s="20" t="n"/>
      <c r="I367" s="20" t="n"/>
      <c r="J367" s="19" t="n"/>
      <c r="K367" s="16" t="n"/>
      <c r="L367" s="20" t="n"/>
      <c r="M367" s="20" t="n"/>
      <c r="N367" s="17" t="n"/>
      <c r="O367" s="18">
        <f>IF(AND(OR($M367="Envoyé",$M367="En attente"),ISNUMBER($C367),NOT(ISNUMBER($N367))),IF(TODAY()-$C367&gt;=7,"⚠ relancer",""),"")</f>
        <v/>
      </c>
      <c r="P367" s="19" t="n"/>
      <c r="Q367" s="22">
        <f>IF($A367="","",HYPERLINK("Z:\MUSTANG SERVICES\Affaires 2027\"&amp;$A367&amp;"\"&amp;$A367&amp;"_Devis.xlsx","Ouvrir"))</f>
        <v/>
      </c>
      <c r="R367" s="22">
        <f>IF($A367="","",HYPERLINK("Z:\MUSTANG SERVICES\Affaires 2027\"&amp;$A367&amp;"\"&amp;$A367&amp;"_ToolList.xlsx","Ouvrir"))</f>
        <v/>
      </c>
      <c r="S367" s="22">
        <f>IF($A367="","",HYPERLINK("Z:\MUSTANG SERVICES\Affaires 2027\"&amp;$A367&amp;"\"&amp;$A367&amp;"_BL.xlsx","Ouvrir"))</f>
        <v/>
      </c>
      <c r="T367" s="22">
        <f>IF($A367="","",HYPERLINK("Z:\MUSTANG SERVICES\Affaires 2027\"&amp;$A367&amp;"\"&amp;$A367&amp;"_ServiceTicket.xlsx","Ouvrir"))</f>
        <v/>
      </c>
      <c r="U367" s="22">
        <f>IF($A367="","",HYPERLINK("Z:\MUSTANG SERVICES\Affaires 2027\"&amp;$A367&amp;"\","Dossier"))</f>
        <v/>
      </c>
    </row>
    <row r="368" ht="18" customHeight="1">
      <c r="A368" s="16" t="n"/>
      <c r="B368" s="17" t="n"/>
      <c r="C368" s="17" t="n"/>
      <c r="D368" s="18">
        <f>IF(AND(ISNUMBER($B368),ISNUMBER($C368)),$C368-$B368,"")</f>
        <v/>
      </c>
      <c r="E368" s="19" t="n"/>
      <c r="F368" s="20" t="n"/>
      <c r="G368" s="19" t="n"/>
      <c r="H368" s="20" t="n"/>
      <c r="I368" s="20" t="n"/>
      <c r="J368" s="19" t="n"/>
      <c r="K368" s="16" t="n"/>
      <c r="L368" s="20" t="n"/>
      <c r="M368" s="20" t="n"/>
      <c r="N368" s="17" t="n"/>
      <c r="O368" s="18">
        <f>IF(AND(OR($M368="Envoyé",$M368="En attente"),ISNUMBER($C368),NOT(ISNUMBER($N368))),IF(TODAY()-$C368&gt;=7,"⚠ relancer",""),"")</f>
        <v/>
      </c>
      <c r="P368" s="19" t="n"/>
      <c r="Q368" s="22">
        <f>IF($A368="","",HYPERLINK("Z:\MUSTANG SERVICES\Affaires 2027\"&amp;$A368&amp;"\"&amp;$A368&amp;"_Devis.xlsx","Ouvrir"))</f>
        <v/>
      </c>
      <c r="R368" s="22">
        <f>IF($A368="","",HYPERLINK("Z:\MUSTANG SERVICES\Affaires 2027\"&amp;$A368&amp;"\"&amp;$A368&amp;"_ToolList.xlsx","Ouvrir"))</f>
        <v/>
      </c>
      <c r="S368" s="22">
        <f>IF($A368="","",HYPERLINK("Z:\MUSTANG SERVICES\Affaires 2027\"&amp;$A368&amp;"\"&amp;$A368&amp;"_BL.xlsx","Ouvrir"))</f>
        <v/>
      </c>
      <c r="T368" s="22">
        <f>IF($A368="","",HYPERLINK("Z:\MUSTANG SERVICES\Affaires 2027\"&amp;$A368&amp;"\"&amp;$A368&amp;"_ServiceTicket.xlsx","Ouvrir"))</f>
        <v/>
      </c>
      <c r="U368" s="22">
        <f>IF($A368="","",HYPERLINK("Z:\MUSTANG SERVICES\Affaires 2027\"&amp;$A368&amp;"\","Dossier"))</f>
        <v/>
      </c>
    </row>
    <row r="369" ht="18" customHeight="1">
      <c r="A369" s="16" t="n"/>
      <c r="B369" s="17" t="n"/>
      <c r="C369" s="17" t="n"/>
      <c r="D369" s="18">
        <f>IF(AND(ISNUMBER($B369),ISNUMBER($C369)),$C369-$B369,"")</f>
        <v/>
      </c>
      <c r="E369" s="19" t="n"/>
      <c r="F369" s="20" t="n"/>
      <c r="G369" s="19" t="n"/>
      <c r="H369" s="20" t="n"/>
      <c r="I369" s="20" t="n"/>
      <c r="J369" s="19" t="n"/>
      <c r="K369" s="16" t="n"/>
      <c r="L369" s="20" t="n"/>
      <c r="M369" s="20" t="n"/>
      <c r="N369" s="17" t="n"/>
      <c r="O369" s="18">
        <f>IF(AND(OR($M369="Envoyé",$M369="En attente"),ISNUMBER($C369),NOT(ISNUMBER($N369))),IF(TODAY()-$C369&gt;=7,"⚠ relancer",""),"")</f>
        <v/>
      </c>
      <c r="P369" s="19" t="n"/>
      <c r="Q369" s="22">
        <f>IF($A369="","",HYPERLINK("Z:\MUSTANG SERVICES\Affaires 2027\"&amp;$A369&amp;"\"&amp;$A369&amp;"_Devis.xlsx","Ouvrir"))</f>
        <v/>
      </c>
      <c r="R369" s="22">
        <f>IF($A369="","",HYPERLINK("Z:\MUSTANG SERVICES\Affaires 2027\"&amp;$A369&amp;"\"&amp;$A369&amp;"_ToolList.xlsx","Ouvrir"))</f>
        <v/>
      </c>
      <c r="S369" s="22">
        <f>IF($A369="","",HYPERLINK("Z:\MUSTANG SERVICES\Affaires 2027\"&amp;$A369&amp;"\"&amp;$A369&amp;"_BL.xlsx","Ouvrir"))</f>
        <v/>
      </c>
      <c r="T369" s="22">
        <f>IF($A369="","",HYPERLINK("Z:\MUSTANG SERVICES\Affaires 2027\"&amp;$A369&amp;"\"&amp;$A369&amp;"_ServiceTicket.xlsx","Ouvrir"))</f>
        <v/>
      </c>
      <c r="U369" s="22">
        <f>IF($A369="","",HYPERLINK("Z:\MUSTANG SERVICES\Affaires 2027\"&amp;$A369&amp;"\","Dossier"))</f>
        <v/>
      </c>
    </row>
    <row r="370" ht="18" customHeight="1">
      <c r="A370" s="16" t="n"/>
      <c r="B370" s="17" t="n"/>
      <c r="C370" s="17" t="n"/>
      <c r="D370" s="18">
        <f>IF(AND(ISNUMBER($B370),ISNUMBER($C370)),$C370-$B370,"")</f>
        <v/>
      </c>
      <c r="E370" s="19" t="n"/>
      <c r="F370" s="20" t="n"/>
      <c r="G370" s="19" t="n"/>
      <c r="H370" s="20" t="n"/>
      <c r="I370" s="20" t="n"/>
      <c r="J370" s="19" t="n"/>
      <c r="K370" s="16" t="n"/>
      <c r="L370" s="20" t="n"/>
      <c r="M370" s="20" t="n"/>
      <c r="N370" s="17" t="n"/>
      <c r="O370" s="18">
        <f>IF(AND(OR($M370="Envoyé",$M370="En attente"),ISNUMBER($C370),NOT(ISNUMBER($N370))),IF(TODAY()-$C370&gt;=7,"⚠ relancer",""),"")</f>
        <v/>
      </c>
      <c r="P370" s="19" t="n"/>
      <c r="Q370" s="22">
        <f>IF($A370="","",HYPERLINK("Z:\MUSTANG SERVICES\Affaires 2027\"&amp;$A370&amp;"\"&amp;$A370&amp;"_Devis.xlsx","Ouvrir"))</f>
        <v/>
      </c>
      <c r="R370" s="22">
        <f>IF($A370="","",HYPERLINK("Z:\MUSTANG SERVICES\Affaires 2027\"&amp;$A370&amp;"\"&amp;$A370&amp;"_ToolList.xlsx","Ouvrir"))</f>
        <v/>
      </c>
      <c r="S370" s="22">
        <f>IF($A370="","",HYPERLINK("Z:\MUSTANG SERVICES\Affaires 2027\"&amp;$A370&amp;"\"&amp;$A370&amp;"_BL.xlsx","Ouvrir"))</f>
        <v/>
      </c>
      <c r="T370" s="22">
        <f>IF($A370="","",HYPERLINK("Z:\MUSTANG SERVICES\Affaires 2027\"&amp;$A370&amp;"\"&amp;$A370&amp;"_ServiceTicket.xlsx","Ouvrir"))</f>
        <v/>
      </c>
      <c r="U370" s="22">
        <f>IF($A370="","",HYPERLINK("Z:\MUSTANG SERVICES\Affaires 2027\"&amp;$A370&amp;"\","Dossier"))</f>
        <v/>
      </c>
    </row>
    <row r="371" ht="18" customHeight="1">
      <c r="A371" s="16" t="n"/>
      <c r="B371" s="17" t="n"/>
      <c r="C371" s="17" t="n"/>
      <c r="D371" s="18">
        <f>IF(AND(ISNUMBER($B371),ISNUMBER($C371)),$C371-$B371,"")</f>
        <v/>
      </c>
      <c r="E371" s="19" t="n"/>
      <c r="F371" s="20" t="n"/>
      <c r="G371" s="19" t="n"/>
      <c r="H371" s="20" t="n"/>
      <c r="I371" s="20" t="n"/>
      <c r="J371" s="19" t="n"/>
      <c r="K371" s="16" t="n"/>
      <c r="L371" s="20" t="n"/>
      <c r="M371" s="20" t="n"/>
      <c r="N371" s="17" t="n"/>
      <c r="O371" s="18">
        <f>IF(AND(OR($M371="Envoyé",$M371="En attente"),ISNUMBER($C371),NOT(ISNUMBER($N371))),IF(TODAY()-$C371&gt;=7,"⚠ relancer",""),"")</f>
        <v/>
      </c>
      <c r="P371" s="19" t="n"/>
      <c r="Q371" s="22">
        <f>IF($A371="","",HYPERLINK("Z:\MUSTANG SERVICES\Affaires 2027\"&amp;$A371&amp;"\"&amp;$A371&amp;"_Devis.xlsx","Ouvrir"))</f>
        <v/>
      </c>
      <c r="R371" s="22">
        <f>IF($A371="","",HYPERLINK("Z:\MUSTANG SERVICES\Affaires 2027\"&amp;$A371&amp;"\"&amp;$A371&amp;"_ToolList.xlsx","Ouvrir"))</f>
        <v/>
      </c>
      <c r="S371" s="22">
        <f>IF($A371="","",HYPERLINK("Z:\MUSTANG SERVICES\Affaires 2027\"&amp;$A371&amp;"\"&amp;$A371&amp;"_BL.xlsx","Ouvrir"))</f>
        <v/>
      </c>
      <c r="T371" s="22">
        <f>IF($A371="","",HYPERLINK("Z:\MUSTANG SERVICES\Affaires 2027\"&amp;$A371&amp;"\"&amp;$A371&amp;"_ServiceTicket.xlsx","Ouvrir"))</f>
        <v/>
      </c>
      <c r="U371" s="22">
        <f>IF($A371="","",HYPERLINK("Z:\MUSTANG SERVICES\Affaires 2027\"&amp;$A371&amp;"\","Dossier"))</f>
        <v/>
      </c>
    </row>
    <row r="372" ht="18" customHeight="1">
      <c r="A372" s="16" t="n"/>
      <c r="B372" s="17" t="n"/>
      <c r="C372" s="17" t="n"/>
      <c r="D372" s="18">
        <f>IF(AND(ISNUMBER($B372),ISNUMBER($C372)),$C372-$B372,"")</f>
        <v/>
      </c>
      <c r="E372" s="19" t="n"/>
      <c r="F372" s="20" t="n"/>
      <c r="G372" s="19" t="n"/>
      <c r="H372" s="20" t="n"/>
      <c r="I372" s="20" t="n"/>
      <c r="J372" s="19" t="n"/>
      <c r="K372" s="16" t="n"/>
      <c r="L372" s="20" t="n"/>
      <c r="M372" s="20" t="n"/>
      <c r="N372" s="17" t="n"/>
      <c r="O372" s="18">
        <f>IF(AND(OR($M372="Envoyé",$M372="En attente"),ISNUMBER($C372),NOT(ISNUMBER($N372))),IF(TODAY()-$C372&gt;=7,"⚠ relancer",""),"")</f>
        <v/>
      </c>
      <c r="P372" s="19" t="n"/>
      <c r="Q372" s="22">
        <f>IF($A372="","",HYPERLINK("Z:\MUSTANG SERVICES\Affaires 2027\"&amp;$A372&amp;"\"&amp;$A372&amp;"_Devis.xlsx","Ouvrir"))</f>
        <v/>
      </c>
      <c r="R372" s="22">
        <f>IF($A372="","",HYPERLINK("Z:\MUSTANG SERVICES\Affaires 2027\"&amp;$A372&amp;"\"&amp;$A372&amp;"_ToolList.xlsx","Ouvrir"))</f>
        <v/>
      </c>
      <c r="S372" s="22">
        <f>IF($A372="","",HYPERLINK("Z:\MUSTANG SERVICES\Affaires 2027\"&amp;$A372&amp;"\"&amp;$A372&amp;"_BL.xlsx","Ouvrir"))</f>
        <v/>
      </c>
      <c r="T372" s="22">
        <f>IF($A372="","",HYPERLINK("Z:\MUSTANG SERVICES\Affaires 2027\"&amp;$A372&amp;"\"&amp;$A372&amp;"_ServiceTicket.xlsx","Ouvrir"))</f>
        <v/>
      </c>
      <c r="U372" s="22">
        <f>IF($A372="","",HYPERLINK("Z:\MUSTANG SERVICES\Affaires 2027\"&amp;$A372&amp;"\","Dossier"))</f>
        <v/>
      </c>
    </row>
    <row r="373" ht="18" customHeight="1">
      <c r="A373" s="16" t="n"/>
      <c r="B373" s="17" t="n"/>
      <c r="C373" s="17" t="n"/>
      <c r="D373" s="18">
        <f>IF(AND(ISNUMBER($B373),ISNUMBER($C373)),$C373-$B373,"")</f>
        <v/>
      </c>
      <c r="E373" s="19" t="n"/>
      <c r="F373" s="20" t="n"/>
      <c r="G373" s="19" t="n"/>
      <c r="H373" s="20" t="n"/>
      <c r="I373" s="20" t="n"/>
      <c r="J373" s="19" t="n"/>
      <c r="K373" s="16" t="n"/>
      <c r="L373" s="20" t="n"/>
      <c r="M373" s="20" t="n"/>
      <c r="N373" s="17" t="n"/>
      <c r="O373" s="18">
        <f>IF(AND(OR($M373="Envoyé",$M373="En attente"),ISNUMBER($C373),NOT(ISNUMBER($N373))),IF(TODAY()-$C373&gt;=7,"⚠ relancer",""),"")</f>
        <v/>
      </c>
      <c r="P373" s="19" t="n"/>
      <c r="Q373" s="22">
        <f>IF($A373="","",HYPERLINK("Z:\MUSTANG SERVICES\Affaires 2027\"&amp;$A373&amp;"\"&amp;$A373&amp;"_Devis.xlsx","Ouvrir"))</f>
        <v/>
      </c>
      <c r="R373" s="22">
        <f>IF($A373="","",HYPERLINK("Z:\MUSTANG SERVICES\Affaires 2027\"&amp;$A373&amp;"\"&amp;$A373&amp;"_ToolList.xlsx","Ouvrir"))</f>
        <v/>
      </c>
      <c r="S373" s="22">
        <f>IF($A373="","",HYPERLINK("Z:\MUSTANG SERVICES\Affaires 2027\"&amp;$A373&amp;"\"&amp;$A373&amp;"_BL.xlsx","Ouvrir"))</f>
        <v/>
      </c>
      <c r="T373" s="22">
        <f>IF($A373="","",HYPERLINK("Z:\MUSTANG SERVICES\Affaires 2027\"&amp;$A373&amp;"\"&amp;$A373&amp;"_ServiceTicket.xlsx","Ouvrir"))</f>
        <v/>
      </c>
      <c r="U373" s="22">
        <f>IF($A373="","",HYPERLINK("Z:\MUSTANG SERVICES\Affaires 2027\"&amp;$A373&amp;"\","Dossier"))</f>
        <v/>
      </c>
    </row>
    <row r="374" ht="18" customHeight="1">
      <c r="A374" s="16" t="n"/>
      <c r="B374" s="17" t="n"/>
      <c r="C374" s="17" t="n"/>
      <c r="D374" s="18">
        <f>IF(AND(ISNUMBER($B374),ISNUMBER($C374)),$C374-$B374,"")</f>
        <v/>
      </c>
      <c r="E374" s="19" t="n"/>
      <c r="F374" s="20" t="n"/>
      <c r="G374" s="19" t="n"/>
      <c r="H374" s="20" t="n"/>
      <c r="I374" s="20" t="n"/>
      <c r="J374" s="19" t="n"/>
      <c r="K374" s="16" t="n"/>
      <c r="L374" s="20" t="n"/>
      <c r="M374" s="20" t="n"/>
      <c r="N374" s="17" t="n"/>
      <c r="O374" s="18">
        <f>IF(AND(OR($M374="Envoyé",$M374="En attente"),ISNUMBER($C374),NOT(ISNUMBER($N374))),IF(TODAY()-$C374&gt;=7,"⚠ relancer",""),"")</f>
        <v/>
      </c>
      <c r="P374" s="19" t="n"/>
      <c r="Q374" s="22">
        <f>IF($A374="","",HYPERLINK("Z:\MUSTANG SERVICES\Affaires 2027\"&amp;$A374&amp;"\"&amp;$A374&amp;"_Devis.xlsx","Ouvrir"))</f>
        <v/>
      </c>
      <c r="R374" s="22">
        <f>IF($A374="","",HYPERLINK("Z:\MUSTANG SERVICES\Affaires 2027\"&amp;$A374&amp;"\"&amp;$A374&amp;"_ToolList.xlsx","Ouvrir"))</f>
        <v/>
      </c>
      <c r="S374" s="22">
        <f>IF($A374="","",HYPERLINK("Z:\MUSTANG SERVICES\Affaires 2027\"&amp;$A374&amp;"\"&amp;$A374&amp;"_BL.xlsx","Ouvrir"))</f>
        <v/>
      </c>
      <c r="T374" s="22">
        <f>IF($A374="","",HYPERLINK("Z:\MUSTANG SERVICES\Affaires 2027\"&amp;$A374&amp;"\"&amp;$A374&amp;"_ServiceTicket.xlsx","Ouvrir"))</f>
        <v/>
      </c>
      <c r="U374" s="22">
        <f>IF($A374="","",HYPERLINK("Z:\MUSTANG SERVICES\Affaires 2027\"&amp;$A374&amp;"\","Dossier"))</f>
        <v/>
      </c>
    </row>
    <row r="375" ht="18" customHeight="1">
      <c r="A375" s="16" t="n"/>
      <c r="B375" s="17" t="n"/>
      <c r="C375" s="17" t="n"/>
      <c r="D375" s="18">
        <f>IF(AND(ISNUMBER($B375),ISNUMBER($C375)),$C375-$B375,"")</f>
        <v/>
      </c>
      <c r="E375" s="19" t="n"/>
      <c r="F375" s="20" t="n"/>
      <c r="G375" s="19" t="n"/>
      <c r="H375" s="20" t="n"/>
      <c r="I375" s="20" t="n"/>
      <c r="J375" s="19" t="n"/>
      <c r="K375" s="16" t="n"/>
      <c r="L375" s="20" t="n"/>
      <c r="M375" s="20" t="n"/>
      <c r="N375" s="17" t="n"/>
      <c r="O375" s="18">
        <f>IF(AND(OR($M375="Envoyé",$M375="En attente"),ISNUMBER($C375),NOT(ISNUMBER($N375))),IF(TODAY()-$C375&gt;=7,"⚠ relancer",""),"")</f>
        <v/>
      </c>
      <c r="P375" s="19" t="n"/>
      <c r="Q375" s="22">
        <f>IF($A375="","",HYPERLINK("Z:\MUSTANG SERVICES\Affaires 2027\"&amp;$A375&amp;"\"&amp;$A375&amp;"_Devis.xlsx","Ouvrir"))</f>
        <v/>
      </c>
      <c r="R375" s="22">
        <f>IF($A375="","",HYPERLINK("Z:\MUSTANG SERVICES\Affaires 2027\"&amp;$A375&amp;"\"&amp;$A375&amp;"_ToolList.xlsx","Ouvrir"))</f>
        <v/>
      </c>
      <c r="S375" s="22">
        <f>IF($A375="","",HYPERLINK("Z:\MUSTANG SERVICES\Affaires 2027\"&amp;$A375&amp;"\"&amp;$A375&amp;"_BL.xlsx","Ouvrir"))</f>
        <v/>
      </c>
      <c r="T375" s="22">
        <f>IF($A375="","",HYPERLINK("Z:\MUSTANG SERVICES\Affaires 2027\"&amp;$A375&amp;"\"&amp;$A375&amp;"_ServiceTicket.xlsx","Ouvrir"))</f>
        <v/>
      </c>
      <c r="U375" s="22">
        <f>IF($A375="","",HYPERLINK("Z:\MUSTANG SERVICES\Affaires 2027\"&amp;$A375&amp;"\","Dossier"))</f>
        <v/>
      </c>
    </row>
    <row r="376" ht="18" customHeight="1">
      <c r="A376" s="16" t="n"/>
      <c r="B376" s="17" t="n"/>
      <c r="C376" s="17" t="n"/>
      <c r="D376" s="18">
        <f>IF(AND(ISNUMBER($B376),ISNUMBER($C376)),$C376-$B376,"")</f>
        <v/>
      </c>
      <c r="E376" s="19" t="n"/>
      <c r="F376" s="20" t="n"/>
      <c r="G376" s="19" t="n"/>
      <c r="H376" s="20" t="n"/>
      <c r="I376" s="20" t="n"/>
      <c r="J376" s="19" t="n"/>
      <c r="K376" s="16" t="n"/>
      <c r="L376" s="20" t="n"/>
      <c r="M376" s="20" t="n"/>
      <c r="N376" s="17" t="n"/>
      <c r="O376" s="18">
        <f>IF(AND(OR($M376="Envoyé",$M376="En attente"),ISNUMBER($C376),NOT(ISNUMBER($N376))),IF(TODAY()-$C376&gt;=7,"⚠ relancer",""),"")</f>
        <v/>
      </c>
      <c r="P376" s="19" t="n"/>
      <c r="Q376" s="22">
        <f>IF($A376="","",HYPERLINK("Z:\MUSTANG SERVICES\Affaires 2027\"&amp;$A376&amp;"\"&amp;$A376&amp;"_Devis.xlsx","Ouvrir"))</f>
        <v/>
      </c>
      <c r="R376" s="22">
        <f>IF($A376="","",HYPERLINK("Z:\MUSTANG SERVICES\Affaires 2027\"&amp;$A376&amp;"\"&amp;$A376&amp;"_ToolList.xlsx","Ouvrir"))</f>
        <v/>
      </c>
      <c r="S376" s="22">
        <f>IF($A376="","",HYPERLINK("Z:\MUSTANG SERVICES\Affaires 2027\"&amp;$A376&amp;"\"&amp;$A376&amp;"_BL.xlsx","Ouvrir"))</f>
        <v/>
      </c>
      <c r="T376" s="22">
        <f>IF($A376="","",HYPERLINK("Z:\MUSTANG SERVICES\Affaires 2027\"&amp;$A376&amp;"\"&amp;$A376&amp;"_ServiceTicket.xlsx","Ouvrir"))</f>
        <v/>
      </c>
      <c r="U376" s="22">
        <f>IF($A376="","",HYPERLINK("Z:\MUSTANG SERVICES\Affaires 2027\"&amp;$A376&amp;"\","Dossier"))</f>
        <v/>
      </c>
    </row>
    <row r="377" ht="18" customHeight="1">
      <c r="A377" s="16" t="n"/>
      <c r="B377" s="17" t="n"/>
      <c r="C377" s="17" t="n"/>
      <c r="D377" s="18">
        <f>IF(AND(ISNUMBER($B377),ISNUMBER($C377)),$C377-$B377,"")</f>
        <v/>
      </c>
      <c r="E377" s="19" t="n"/>
      <c r="F377" s="20" t="n"/>
      <c r="G377" s="19" t="n"/>
      <c r="H377" s="20" t="n"/>
      <c r="I377" s="20" t="n"/>
      <c r="J377" s="19" t="n"/>
      <c r="K377" s="16" t="n"/>
      <c r="L377" s="20" t="n"/>
      <c r="M377" s="20" t="n"/>
      <c r="N377" s="17" t="n"/>
      <c r="O377" s="18">
        <f>IF(AND(OR($M377="Envoyé",$M377="En attente"),ISNUMBER($C377),NOT(ISNUMBER($N377))),IF(TODAY()-$C377&gt;=7,"⚠ relancer",""),"")</f>
        <v/>
      </c>
      <c r="P377" s="19" t="n"/>
      <c r="Q377" s="22">
        <f>IF($A377="","",HYPERLINK("Z:\MUSTANG SERVICES\Affaires 2027\"&amp;$A377&amp;"\"&amp;$A377&amp;"_Devis.xlsx","Ouvrir"))</f>
        <v/>
      </c>
      <c r="R377" s="22">
        <f>IF($A377="","",HYPERLINK("Z:\MUSTANG SERVICES\Affaires 2027\"&amp;$A377&amp;"\"&amp;$A377&amp;"_ToolList.xlsx","Ouvrir"))</f>
        <v/>
      </c>
      <c r="S377" s="22">
        <f>IF($A377="","",HYPERLINK("Z:\MUSTANG SERVICES\Affaires 2027\"&amp;$A377&amp;"\"&amp;$A377&amp;"_BL.xlsx","Ouvrir"))</f>
        <v/>
      </c>
      <c r="T377" s="22">
        <f>IF($A377="","",HYPERLINK("Z:\MUSTANG SERVICES\Affaires 2027\"&amp;$A377&amp;"\"&amp;$A377&amp;"_ServiceTicket.xlsx","Ouvrir"))</f>
        <v/>
      </c>
      <c r="U377" s="22">
        <f>IF($A377="","",HYPERLINK("Z:\MUSTANG SERVICES\Affaires 2027\"&amp;$A377&amp;"\","Dossier"))</f>
        <v/>
      </c>
    </row>
    <row r="378" ht="18" customHeight="1">
      <c r="A378" s="16" t="n"/>
      <c r="B378" s="17" t="n"/>
      <c r="C378" s="17" t="n"/>
      <c r="D378" s="18">
        <f>IF(AND(ISNUMBER($B378),ISNUMBER($C378)),$C378-$B378,"")</f>
        <v/>
      </c>
      <c r="E378" s="19" t="n"/>
      <c r="F378" s="20" t="n"/>
      <c r="G378" s="19" t="n"/>
      <c r="H378" s="20" t="n"/>
      <c r="I378" s="20" t="n"/>
      <c r="J378" s="19" t="n"/>
      <c r="K378" s="16" t="n"/>
      <c r="L378" s="20" t="n"/>
      <c r="M378" s="20" t="n"/>
      <c r="N378" s="17" t="n"/>
      <c r="O378" s="18">
        <f>IF(AND(OR($M378="Envoyé",$M378="En attente"),ISNUMBER($C378),NOT(ISNUMBER($N378))),IF(TODAY()-$C378&gt;=7,"⚠ relancer",""),"")</f>
        <v/>
      </c>
      <c r="P378" s="19" t="n"/>
      <c r="Q378" s="22">
        <f>IF($A378="","",HYPERLINK("Z:\MUSTANG SERVICES\Affaires 2027\"&amp;$A378&amp;"\"&amp;$A378&amp;"_Devis.xlsx","Ouvrir"))</f>
        <v/>
      </c>
      <c r="R378" s="22">
        <f>IF($A378="","",HYPERLINK("Z:\MUSTANG SERVICES\Affaires 2027\"&amp;$A378&amp;"\"&amp;$A378&amp;"_ToolList.xlsx","Ouvrir"))</f>
        <v/>
      </c>
      <c r="S378" s="22">
        <f>IF($A378="","",HYPERLINK("Z:\MUSTANG SERVICES\Affaires 2027\"&amp;$A378&amp;"\"&amp;$A378&amp;"_BL.xlsx","Ouvrir"))</f>
        <v/>
      </c>
      <c r="T378" s="22">
        <f>IF($A378="","",HYPERLINK("Z:\MUSTANG SERVICES\Affaires 2027\"&amp;$A378&amp;"\"&amp;$A378&amp;"_ServiceTicket.xlsx","Ouvrir"))</f>
        <v/>
      </c>
      <c r="U378" s="22">
        <f>IF($A378="","",HYPERLINK("Z:\MUSTANG SERVICES\Affaires 2027\"&amp;$A378&amp;"\","Dossier"))</f>
        <v/>
      </c>
    </row>
    <row r="379" ht="18" customHeight="1">
      <c r="A379" s="16" t="n"/>
      <c r="B379" s="17" t="n"/>
      <c r="C379" s="17" t="n"/>
      <c r="D379" s="18">
        <f>IF(AND(ISNUMBER($B379),ISNUMBER($C379)),$C379-$B379,"")</f>
        <v/>
      </c>
      <c r="E379" s="19" t="n"/>
      <c r="F379" s="20" t="n"/>
      <c r="G379" s="19" t="n"/>
      <c r="H379" s="20" t="n"/>
      <c r="I379" s="20" t="n"/>
      <c r="J379" s="19" t="n"/>
      <c r="K379" s="16" t="n"/>
      <c r="L379" s="20" t="n"/>
      <c r="M379" s="20" t="n"/>
      <c r="N379" s="17" t="n"/>
      <c r="O379" s="18">
        <f>IF(AND(OR($M379="Envoyé",$M379="En attente"),ISNUMBER($C379),NOT(ISNUMBER($N379))),IF(TODAY()-$C379&gt;=7,"⚠ relancer",""),"")</f>
        <v/>
      </c>
      <c r="P379" s="19" t="n"/>
      <c r="Q379" s="22">
        <f>IF($A379="","",HYPERLINK("Z:\MUSTANG SERVICES\Affaires 2027\"&amp;$A379&amp;"\"&amp;$A379&amp;"_Devis.xlsx","Ouvrir"))</f>
        <v/>
      </c>
      <c r="R379" s="22">
        <f>IF($A379="","",HYPERLINK("Z:\MUSTANG SERVICES\Affaires 2027\"&amp;$A379&amp;"\"&amp;$A379&amp;"_ToolList.xlsx","Ouvrir"))</f>
        <v/>
      </c>
      <c r="S379" s="22">
        <f>IF($A379="","",HYPERLINK("Z:\MUSTANG SERVICES\Affaires 2027\"&amp;$A379&amp;"\"&amp;$A379&amp;"_BL.xlsx","Ouvrir"))</f>
        <v/>
      </c>
      <c r="T379" s="22">
        <f>IF($A379="","",HYPERLINK("Z:\MUSTANG SERVICES\Affaires 2027\"&amp;$A379&amp;"\"&amp;$A379&amp;"_ServiceTicket.xlsx","Ouvrir"))</f>
        <v/>
      </c>
      <c r="U379" s="22">
        <f>IF($A379="","",HYPERLINK("Z:\MUSTANG SERVICES\Affaires 2027\"&amp;$A379&amp;"\","Dossier"))</f>
        <v/>
      </c>
    </row>
    <row r="380" ht="18" customHeight="1">
      <c r="A380" s="16" t="n"/>
      <c r="B380" s="17" t="n"/>
      <c r="C380" s="17" t="n"/>
      <c r="D380" s="18">
        <f>IF(AND(ISNUMBER($B380),ISNUMBER($C380)),$C380-$B380,"")</f>
        <v/>
      </c>
      <c r="E380" s="19" t="n"/>
      <c r="F380" s="20" t="n"/>
      <c r="G380" s="19" t="n"/>
      <c r="H380" s="20" t="n"/>
      <c r="I380" s="20" t="n"/>
      <c r="J380" s="19" t="n"/>
      <c r="K380" s="16" t="n"/>
      <c r="L380" s="20" t="n"/>
      <c r="M380" s="20" t="n"/>
      <c r="N380" s="17" t="n"/>
      <c r="O380" s="18">
        <f>IF(AND(OR($M380="Envoyé",$M380="En attente"),ISNUMBER($C380),NOT(ISNUMBER($N380))),IF(TODAY()-$C380&gt;=7,"⚠ relancer",""),"")</f>
        <v/>
      </c>
      <c r="P380" s="19" t="n"/>
      <c r="Q380" s="22">
        <f>IF($A380="","",HYPERLINK("Z:\MUSTANG SERVICES\Affaires 2027\"&amp;$A380&amp;"\"&amp;$A380&amp;"_Devis.xlsx","Ouvrir"))</f>
        <v/>
      </c>
      <c r="R380" s="22">
        <f>IF($A380="","",HYPERLINK("Z:\MUSTANG SERVICES\Affaires 2027\"&amp;$A380&amp;"\"&amp;$A380&amp;"_ToolList.xlsx","Ouvrir"))</f>
        <v/>
      </c>
      <c r="S380" s="22">
        <f>IF($A380="","",HYPERLINK("Z:\MUSTANG SERVICES\Affaires 2027\"&amp;$A380&amp;"\"&amp;$A380&amp;"_BL.xlsx","Ouvrir"))</f>
        <v/>
      </c>
      <c r="T380" s="22">
        <f>IF($A380="","",HYPERLINK("Z:\MUSTANG SERVICES\Affaires 2027\"&amp;$A380&amp;"\"&amp;$A380&amp;"_ServiceTicket.xlsx","Ouvrir"))</f>
        <v/>
      </c>
      <c r="U380" s="22">
        <f>IF($A380="","",HYPERLINK("Z:\MUSTANG SERVICES\Affaires 2027\"&amp;$A380&amp;"\","Dossier"))</f>
        <v/>
      </c>
    </row>
    <row r="381" ht="18" customHeight="1">
      <c r="A381" s="16" t="n"/>
      <c r="B381" s="17" t="n"/>
      <c r="C381" s="17" t="n"/>
      <c r="D381" s="18">
        <f>IF(AND(ISNUMBER($B381),ISNUMBER($C381)),$C381-$B381,"")</f>
        <v/>
      </c>
      <c r="E381" s="19" t="n"/>
      <c r="F381" s="20" t="n"/>
      <c r="G381" s="19" t="n"/>
      <c r="H381" s="20" t="n"/>
      <c r="I381" s="20" t="n"/>
      <c r="J381" s="19" t="n"/>
      <c r="K381" s="16" t="n"/>
      <c r="L381" s="20" t="n"/>
      <c r="M381" s="20" t="n"/>
      <c r="N381" s="17" t="n"/>
      <c r="O381" s="18">
        <f>IF(AND(OR($M381="Envoyé",$M381="En attente"),ISNUMBER($C381),NOT(ISNUMBER($N381))),IF(TODAY()-$C381&gt;=7,"⚠ relancer",""),"")</f>
        <v/>
      </c>
      <c r="P381" s="19" t="n"/>
      <c r="Q381" s="22">
        <f>IF($A381="","",HYPERLINK("Z:\MUSTANG SERVICES\Affaires 2027\"&amp;$A381&amp;"\"&amp;$A381&amp;"_Devis.xlsx","Ouvrir"))</f>
        <v/>
      </c>
      <c r="R381" s="22">
        <f>IF($A381="","",HYPERLINK("Z:\MUSTANG SERVICES\Affaires 2027\"&amp;$A381&amp;"\"&amp;$A381&amp;"_ToolList.xlsx","Ouvrir"))</f>
        <v/>
      </c>
      <c r="S381" s="22">
        <f>IF($A381="","",HYPERLINK("Z:\MUSTANG SERVICES\Affaires 2027\"&amp;$A381&amp;"\"&amp;$A381&amp;"_BL.xlsx","Ouvrir"))</f>
        <v/>
      </c>
      <c r="T381" s="22">
        <f>IF($A381="","",HYPERLINK("Z:\MUSTANG SERVICES\Affaires 2027\"&amp;$A381&amp;"\"&amp;$A381&amp;"_ServiceTicket.xlsx","Ouvrir"))</f>
        <v/>
      </c>
      <c r="U381" s="22">
        <f>IF($A381="","",HYPERLINK("Z:\MUSTANG SERVICES\Affaires 2027\"&amp;$A381&amp;"\","Dossier"))</f>
        <v/>
      </c>
    </row>
    <row r="382" ht="18" customHeight="1">
      <c r="A382" s="16" t="n"/>
      <c r="B382" s="17" t="n"/>
      <c r="C382" s="17" t="n"/>
      <c r="D382" s="18">
        <f>IF(AND(ISNUMBER($B382),ISNUMBER($C382)),$C382-$B382,"")</f>
        <v/>
      </c>
      <c r="E382" s="19" t="n"/>
      <c r="F382" s="20" t="n"/>
      <c r="G382" s="19" t="n"/>
      <c r="H382" s="20" t="n"/>
      <c r="I382" s="20" t="n"/>
      <c r="J382" s="19" t="n"/>
      <c r="K382" s="16" t="n"/>
      <c r="L382" s="20" t="n"/>
      <c r="M382" s="20" t="n"/>
      <c r="N382" s="17" t="n"/>
      <c r="O382" s="18">
        <f>IF(AND(OR($M382="Envoyé",$M382="En attente"),ISNUMBER($C382),NOT(ISNUMBER($N382))),IF(TODAY()-$C382&gt;=7,"⚠ relancer",""),"")</f>
        <v/>
      </c>
      <c r="P382" s="19" t="n"/>
      <c r="Q382" s="22">
        <f>IF($A382="","",HYPERLINK("Z:\MUSTANG SERVICES\Affaires 2027\"&amp;$A382&amp;"\"&amp;$A382&amp;"_Devis.xlsx","Ouvrir"))</f>
        <v/>
      </c>
      <c r="R382" s="22">
        <f>IF($A382="","",HYPERLINK("Z:\MUSTANG SERVICES\Affaires 2027\"&amp;$A382&amp;"\"&amp;$A382&amp;"_ToolList.xlsx","Ouvrir"))</f>
        <v/>
      </c>
      <c r="S382" s="22">
        <f>IF($A382="","",HYPERLINK("Z:\MUSTANG SERVICES\Affaires 2027\"&amp;$A382&amp;"\"&amp;$A382&amp;"_BL.xlsx","Ouvrir"))</f>
        <v/>
      </c>
      <c r="T382" s="22">
        <f>IF($A382="","",HYPERLINK("Z:\MUSTANG SERVICES\Affaires 2027\"&amp;$A382&amp;"\"&amp;$A382&amp;"_ServiceTicket.xlsx","Ouvrir"))</f>
        <v/>
      </c>
      <c r="U382" s="22">
        <f>IF($A382="","",HYPERLINK("Z:\MUSTANG SERVICES\Affaires 2027\"&amp;$A382&amp;"\","Dossier"))</f>
        <v/>
      </c>
    </row>
    <row r="383" ht="18" customHeight="1">
      <c r="A383" s="16" t="n"/>
      <c r="B383" s="17" t="n"/>
      <c r="C383" s="17" t="n"/>
      <c r="D383" s="18">
        <f>IF(AND(ISNUMBER($B383),ISNUMBER($C383)),$C383-$B383,"")</f>
        <v/>
      </c>
      <c r="E383" s="19" t="n"/>
      <c r="F383" s="20" t="n"/>
      <c r="G383" s="19" t="n"/>
      <c r="H383" s="20" t="n"/>
      <c r="I383" s="20" t="n"/>
      <c r="J383" s="19" t="n"/>
      <c r="K383" s="16" t="n"/>
      <c r="L383" s="20" t="n"/>
      <c r="M383" s="20" t="n"/>
      <c r="N383" s="17" t="n"/>
      <c r="O383" s="18">
        <f>IF(AND(OR($M383="Envoyé",$M383="En attente"),ISNUMBER($C383),NOT(ISNUMBER($N383))),IF(TODAY()-$C383&gt;=7,"⚠ relancer",""),"")</f>
        <v/>
      </c>
      <c r="P383" s="19" t="n"/>
      <c r="Q383" s="22">
        <f>IF($A383="","",HYPERLINK("Z:\MUSTANG SERVICES\Affaires 2027\"&amp;$A383&amp;"\"&amp;$A383&amp;"_Devis.xlsx","Ouvrir"))</f>
        <v/>
      </c>
      <c r="R383" s="22">
        <f>IF($A383="","",HYPERLINK("Z:\MUSTANG SERVICES\Affaires 2027\"&amp;$A383&amp;"\"&amp;$A383&amp;"_ToolList.xlsx","Ouvrir"))</f>
        <v/>
      </c>
      <c r="S383" s="22">
        <f>IF($A383="","",HYPERLINK("Z:\MUSTANG SERVICES\Affaires 2027\"&amp;$A383&amp;"\"&amp;$A383&amp;"_BL.xlsx","Ouvrir"))</f>
        <v/>
      </c>
      <c r="T383" s="22">
        <f>IF($A383="","",HYPERLINK("Z:\MUSTANG SERVICES\Affaires 2027\"&amp;$A383&amp;"\"&amp;$A383&amp;"_ServiceTicket.xlsx","Ouvrir"))</f>
        <v/>
      </c>
      <c r="U383" s="22">
        <f>IF($A383="","",HYPERLINK("Z:\MUSTANG SERVICES\Affaires 2027\"&amp;$A383&amp;"\","Dossier"))</f>
        <v/>
      </c>
    </row>
    <row r="384" ht="18" customHeight="1">
      <c r="A384" s="16" t="n"/>
      <c r="B384" s="17" t="n"/>
      <c r="C384" s="17" t="n"/>
      <c r="D384" s="18">
        <f>IF(AND(ISNUMBER($B384),ISNUMBER($C384)),$C384-$B384,"")</f>
        <v/>
      </c>
      <c r="E384" s="19" t="n"/>
      <c r="F384" s="20" t="n"/>
      <c r="G384" s="19" t="n"/>
      <c r="H384" s="20" t="n"/>
      <c r="I384" s="20" t="n"/>
      <c r="J384" s="19" t="n"/>
      <c r="K384" s="16" t="n"/>
      <c r="L384" s="20" t="n"/>
      <c r="M384" s="20" t="n"/>
      <c r="N384" s="17" t="n"/>
      <c r="O384" s="18">
        <f>IF(AND(OR($M384="Envoyé",$M384="En attente"),ISNUMBER($C384),NOT(ISNUMBER($N384))),IF(TODAY()-$C384&gt;=7,"⚠ relancer",""),"")</f>
        <v/>
      </c>
      <c r="P384" s="19" t="n"/>
      <c r="Q384" s="22">
        <f>IF($A384="","",HYPERLINK("Z:\MUSTANG SERVICES\Affaires 2027\"&amp;$A384&amp;"\"&amp;$A384&amp;"_Devis.xlsx","Ouvrir"))</f>
        <v/>
      </c>
      <c r="R384" s="22">
        <f>IF($A384="","",HYPERLINK("Z:\MUSTANG SERVICES\Affaires 2027\"&amp;$A384&amp;"\"&amp;$A384&amp;"_ToolList.xlsx","Ouvrir"))</f>
        <v/>
      </c>
      <c r="S384" s="22">
        <f>IF($A384="","",HYPERLINK("Z:\MUSTANG SERVICES\Affaires 2027\"&amp;$A384&amp;"\"&amp;$A384&amp;"_BL.xlsx","Ouvrir"))</f>
        <v/>
      </c>
      <c r="T384" s="22">
        <f>IF($A384="","",HYPERLINK("Z:\MUSTANG SERVICES\Affaires 2027\"&amp;$A384&amp;"\"&amp;$A384&amp;"_ServiceTicket.xlsx","Ouvrir"))</f>
        <v/>
      </c>
      <c r="U384" s="22">
        <f>IF($A384="","",HYPERLINK("Z:\MUSTANG SERVICES\Affaires 2027\"&amp;$A384&amp;"\","Dossier"))</f>
        <v/>
      </c>
    </row>
    <row r="385" ht="18" customHeight="1">
      <c r="A385" s="16" t="n"/>
      <c r="B385" s="17" t="n"/>
      <c r="C385" s="17" t="n"/>
      <c r="D385" s="18">
        <f>IF(AND(ISNUMBER($B385),ISNUMBER($C385)),$C385-$B385,"")</f>
        <v/>
      </c>
      <c r="E385" s="19" t="n"/>
      <c r="F385" s="20" t="n"/>
      <c r="G385" s="19" t="n"/>
      <c r="H385" s="20" t="n"/>
      <c r="I385" s="20" t="n"/>
      <c r="J385" s="19" t="n"/>
      <c r="K385" s="16" t="n"/>
      <c r="L385" s="20" t="n"/>
      <c r="M385" s="20" t="n"/>
      <c r="N385" s="17" t="n"/>
      <c r="O385" s="18">
        <f>IF(AND(OR($M385="Envoyé",$M385="En attente"),ISNUMBER($C385),NOT(ISNUMBER($N385))),IF(TODAY()-$C385&gt;=7,"⚠ relancer",""),"")</f>
        <v/>
      </c>
      <c r="P385" s="19" t="n"/>
      <c r="Q385" s="22">
        <f>IF($A385="","",HYPERLINK("Z:\MUSTANG SERVICES\Affaires 2027\"&amp;$A385&amp;"\"&amp;$A385&amp;"_Devis.xlsx","Ouvrir"))</f>
        <v/>
      </c>
      <c r="R385" s="22">
        <f>IF($A385="","",HYPERLINK("Z:\MUSTANG SERVICES\Affaires 2027\"&amp;$A385&amp;"\"&amp;$A385&amp;"_ToolList.xlsx","Ouvrir"))</f>
        <v/>
      </c>
      <c r="S385" s="22">
        <f>IF($A385="","",HYPERLINK("Z:\MUSTANG SERVICES\Affaires 2027\"&amp;$A385&amp;"\"&amp;$A385&amp;"_BL.xlsx","Ouvrir"))</f>
        <v/>
      </c>
      <c r="T385" s="22">
        <f>IF($A385="","",HYPERLINK("Z:\MUSTANG SERVICES\Affaires 2027\"&amp;$A385&amp;"\"&amp;$A385&amp;"_ServiceTicket.xlsx","Ouvrir"))</f>
        <v/>
      </c>
      <c r="U385" s="22">
        <f>IF($A385="","",HYPERLINK("Z:\MUSTANG SERVICES\Affaires 2027\"&amp;$A385&amp;"\","Dossier"))</f>
        <v/>
      </c>
    </row>
    <row r="386" ht="18" customHeight="1">
      <c r="A386" s="16" t="n"/>
      <c r="B386" s="17" t="n"/>
      <c r="C386" s="17" t="n"/>
      <c r="D386" s="18">
        <f>IF(AND(ISNUMBER($B386),ISNUMBER($C386)),$C386-$B386,"")</f>
        <v/>
      </c>
      <c r="E386" s="19" t="n"/>
      <c r="F386" s="20" t="n"/>
      <c r="G386" s="19" t="n"/>
      <c r="H386" s="20" t="n"/>
      <c r="I386" s="20" t="n"/>
      <c r="J386" s="19" t="n"/>
      <c r="K386" s="16" t="n"/>
      <c r="L386" s="20" t="n"/>
      <c r="M386" s="20" t="n"/>
      <c r="N386" s="17" t="n"/>
      <c r="O386" s="18">
        <f>IF(AND(OR($M386="Envoyé",$M386="En attente"),ISNUMBER($C386),NOT(ISNUMBER($N386))),IF(TODAY()-$C386&gt;=7,"⚠ relancer",""),"")</f>
        <v/>
      </c>
      <c r="P386" s="19" t="n"/>
      <c r="Q386" s="22">
        <f>IF($A386="","",HYPERLINK("Z:\MUSTANG SERVICES\Affaires 2027\"&amp;$A386&amp;"\"&amp;$A386&amp;"_Devis.xlsx","Ouvrir"))</f>
        <v/>
      </c>
      <c r="R386" s="22">
        <f>IF($A386="","",HYPERLINK("Z:\MUSTANG SERVICES\Affaires 2027\"&amp;$A386&amp;"\"&amp;$A386&amp;"_ToolList.xlsx","Ouvrir"))</f>
        <v/>
      </c>
      <c r="S386" s="22">
        <f>IF($A386="","",HYPERLINK("Z:\MUSTANG SERVICES\Affaires 2027\"&amp;$A386&amp;"\"&amp;$A386&amp;"_BL.xlsx","Ouvrir"))</f>
        <v/>
      </c>
      <c r="T386" s="22">
        <f>IF($A386="","",HYPERLINK("Z:\MUSTANG SERVICES\Affaires 2027\"&amp;$A386&amp;"\"&amp;$A386&amp;"_ServiceTicket.xlsx","Ouvrir"))</f>
        <v/>
      </c>
      <c r="U386" s="22">
        <f>IF($A386="","",HYPERLINK("Z:\MUSTANG SERVICES\Affaires 2027\"&amp;$A386&amp;"\","Dossier"))</f>
        <v/>
      </c>
    </row>
    <row r="387" ht="18" customHeight="1">
      <c r="A387" s="16" t="n"/>
      <c r="B387" s="17" t="n"/>
      <c r="C387" s="17" t="n"/>
      <c r="D387" s="18">
        <f>IF(AND(ISNUMBER($B387),ISNUMBER($C387)),$C387-$B387,"")</f>
        <v/>
      </c>
      <c r="E387" s="19" t="n"/>
      <c r="F387" s="20" t="n"/>
      <c r="G387" s="19" t="n"/>
      <c r="H387" s="20" t="n"/>
      <c r="I387" s="20" t="n"/>
      <c r="J387" s="19" t="n"/>
      <c r="K387" s="16" t="n"/>
      <c r="L387" s="20" t="n"/>
      <c r="M387" s="20" t="n"/>
      <c r="N387" s="17" t="n"/>
      <c r="O387" s="18">
        <f>IF(AND(OR($M387="Envoyé",$M387="En attente"),ISNUMBER($C387),NOT(ISNUMBER($N387))),IF(TODAY()-$C387&gt;=7,"⚠ relancer",""),"")</f>
        <v/>
      </c>
      <c r="P387" s="19" t="n"/>
      <c r="Q387" s="22">
        <f>IF($A387="","",HYPERLINK("Z:\MUSTANG SERVICES\Affaires 2027\"&amp;$A387&amp;"\"&amp;$A387&amp;"_Devis.xlsx","Ouvrir"))</f>
        <v/>
      </c>
      <c r="R387" s="22">
        <f>IF($A387="","",HYPERLINK("Z:\MUSTANG SERVICES\Affaires 2027\"&amp;$A387&amp;"\"&amp;$A387&amp;"_ToolList.xlsx","Ouvrir"))</f>
        <v/>
      </c>
      <c r="S387" s="22">
        <f>IF($A387="","",HYPERLINK("Z:\MUSTANG SERVICES\Affaires 2027\"&amp;$A387&amp;"\"&amp;$A387&amp;"_BL.xlsx","Ouvrir"))</f>
        <v/>
      </c>
      <c r="T387" s="22">
        <f>IF($A387="","",HYPERLINK("Z:\MUSTANG SERVICES\Affaires 2027\"&amp;$A387&amp;"\"&amp;$A387&amp;"_ServiceTicket.xlsx","Ouvrir"))</f>
        <v/>
      </c>
      <c r="U387" s="22">
        <f>IF($A387="","",HYPERLINK("Z:\MUSTANG SERVICES\Affaires 2027\"&amp;$A387&amp;"\","Dossier"))</f>
        <v/>
      </c>
    </row>
    <row r="388" ht="18" customHeight="1">
      <c r="A388" s="16" t="n"/>
      <c r="B388" s="17" t="n"/>
      <c r="C388" s="17" t="n"/>
      <c r="D388" s="18">
        <f>IF(AND(ISNUMBER($B388),ISNUMBER($C388)),$C388-$B388,"")</f>
        <v/>
      </c>
      <c r="E388" s="19" t="n"/>
      <c r="F388" s="20" t="n"/>
      <c r="G388" s="19" t="n"/>
      <c r="H388" s="20" t="n"/>
      <c r="I388" s="20" t="n"/>
      <c r="J388" s="19" t="n"/>
      <c r="K388" s="16" t="n"/>
      <c r="L388" s="20" t="n"/>
      <c r="M388" s="20" t="n"/>
      <c r="N388" s="17" t="n"/>
      <c r="O388" s="18">
        <f>IF(AND(OR($M388="Envoyé",$M388="En attente"),ISNUMBER($C388),NOT(ISNUMBER($N388))),IF(TODAY()-$C388&gt;=7,"⚠ relancer",""),"")</f>
        <v/>
      </c>
      <c r="P388" s="19" t="n"/>
      <c r="Q388" s="22">
        <f>IF($A388="","",HYPERLINK("Z:\MUSTANG SERVICES\Affaires 2027\"&amp;$A388&amp;"\"&amp;$A388&amp;"_Devis.xlsx","Ouvrir"))</f>
        <v/>
      </c>
      <c r="R388" s="22">
        <f>IF($A388="","",HYPERLINK("Z:\MUSTANG SERVICES\Affaires 2027\"&amp;$A388&amp;"\"&amp;$A388&amp;"_ToolList.xlsx","Ouvrir"))</f>
        <v/>
      </c>
      <c r="S388" s="22">
        <f>IF($A388="","",HYPERLINK("Z:\MUSTANG SERVICES\Affaires 2027\"&amp;$A388&amp;"\"&amp;$A388&amp;"_BL.xlsx","Ouvrir"))</f>
        <v/>
      </c>
      <c r="T388" s="22">
        <f>IF($A388="","",HYPERLINK("Z:\MUSTANG SERVICES\Affaires 2027\"&amp;$A388&amp;"\"&amp;$A388&amp;"_ServiceTicket.xlsx","Ouvrir"))</f>
        <v/>
      </c>
      <c r="U388" s="22">
        <f>IF($A388="","",HYPERLINK("Z:\MUSTANG SERVICES\Affaires 2027\"&amp;$A388&amp;"\","Dossier"))</f>
        <v/>
      </c>
    </row>
    <row r="389" ht="18" customHeight="1">
      <c r="A389" s="16" t="n"/>
      <c r="B389" s="17" t="n"/>
      <c r="C389" s="17" t="n"/>
      <c r="D389" s="18">
        <f>IF(AND(ISNUMBER($B389),ISNUMBER($C389)),$C389-$B389,"")</f>
        <v/>
      </c>
      <c r="E389" s="19" t="n"/>
      <c r="F389" s="20" t="n"/>
      <c r="G389" s="19" t="n"/>
      <c r="H389" s="20" t="n"/>
      <c r="I389" s="20" t="n"/>
      <c r="J389" s="19" t="n"/>
      <c r="K389" s="16" t="n"/>
      <c r="L389" s="20" t="n"/>
      <c r="M389" s="20" t="n"/>
      <c r="N389" s="17" t="n"/>
      <c r="O389" s="18">
        <f>IF(AND(OR($M389="Envoyé",$M389="En attente"),ISNUMBER($C389),NOT(ISNUMBER($N389))),IF(TODAY()-$C389&gt;=7,"⚠ relancer",""),"")</f>
        <v/>
      </c>
      <c r="P389" s="19" t="n"/>
      <c r="Q389" s="22">
        <f>IF($A389="","",HYPERLINK("Z:\MUSTANG SERVICES\Affaires 2027\"&amp;$A389&amp;"\"&amp;$A389&amp;"_Devis.xlsx","Ouvrir"))</f>
        <v/>
      </c>
      <c r="R389" s="22">
        <f>IF($A389="","",HYPERLINK("Z:\MUSTANG SERVICES\Affaires 2027\"&amp;$A389&amp;"\"&amp;$A389&amp;"_ToolList.xlsx","Ouvrir"))</f>
        <v/>
      </c>
      <c r="S389" s="22">
        <f>IF($A389="","",HYPERLINK("Z:\MUSTANG SERVICES\Affaires 2027\"&amp;$A389&amp;"\"&amp;$A389&amp;"_BL.xlsx","Ouvrir"))</f>
        <v/>
      </c>
      <c r="T389" s="22">
        <f>IF($A389="","",HYPERLINK("Z:\MUSTANG SERVICES\Affaires 2027\"&amp;$A389&amp;"\"&amp;$A389&amp;"_ServiceTicket.xlsx","Ouvrir"))</f>
        <v/>
      </c>
      <c r="U389" s="22">
        <f>IF($A389="","",HYPERLINK("Z:\MUSTANG SERVICES\Affaires 2027\"&amp;$A389&amp;"\","Dossier"))</f>
        <v/>
      </c>
    </row>
    <row r="390" ht="18" customHeight="1">
      <c r="A390" s="16" t="n"/>
      <c r="B390" s="17" t="n"/>
      <c r="C390" s="17" t="n"/>
      <c r="D390" s="18">
        <f>IF(AND(ISNUMBER($B390),ISNUMBER($C390)),$C390-$B390,"")</f>
        <v/>
      </c>
      <c r="E390" s="19" t="n"/>
      <c r="F390" s="20" t="n"/>
      <c r="G390" s="19" t="n"/>
      <c r="H390" s="20" t="n"/>
      <c r="I390" s="20" t="n"/>
      <c r="J390" s="19" t="n"/>
      <c r="K390" s="16" t="n"/>
      <c r="L390" s="20" t="n"/>
      <c r="M390" s="20" t="n"/>
      <c r="N390" s="17" t="n"/>
      <c r="O390" s="18">
        <f>IF(AND(OR($M390="Envoyé",$M390="En attente"),ISNUMBER($C390),NOT(ISNUMBER($N390))),IF(TODAY()-$C390&gt;=7,"⚠ relancer",""),"")</f>
        <v/>
      </c>
      <c r="P390" s="19" t="n"/>
      <c r="Q390" s="22">
        <f>IF($A390="","",HYPERLINK("Z:\MUSTANG SERVICES\Affaires 2027\"&amp;$A390&amp;"\"&amp;$A390&amp;"_Devis.xlsx","Ouvrir"))</f>
        <v/>
      </c>
      <c r="R390" s="22">
        <f>IF($A390="","",HYPERLINK("Z:\MUSTANG SERVICES\Affaires 2027\"&amp;$A390&amp;"\"&amp;$A390&amp;"_ToolList.xlsx","Ouvrir"))</f>
        <v/>
      </c>
      <c r="S390" s="22">
        <f>IF($A390="","",HYPERLINK("Z:\MUSTANG SERVICES\Affaires 2027\"&amp;$A390&amp;"\"&amp;$A390&amp;"_BL.xlsx","Ouvrir"))</f>
        <v/>
      </c>
      <c r="T390" s="22">
        <f>IF($A390="","",HYPERLINK("Z:\MUSTANG SERVICES\Affaires 2027\"&amp;$A390&amp;"\"&amp;$A390&amp;"_ServiceTicket.xlsx","Ouvrir"))</f>
        <v/>
      </c>
      <c r="U390" s="22">
        <f>IF($A390="","",HYPERLINK("Z:\MUSTANG SERVICES\Affaires 2027\"&amp;$A390&amp;"\","Dossier"))</f>
        <v/>
      </c>
    </row>
    <row r="391" ht="18" customHeight="1">
      <c r="A391" s="16" t="n"/>
      <c r="B391" s="17" t="n"/>
      <c r="C391" s="17" t="n"/>
      <c r="D391" s="18">
        <f>IF(AND(ISNUMBER($B391),ISNUMBER($C391)),$C391-$B391,"")</f>
        <v/>
      </c>
      <c r="E391" s="19" t="n"/>
      <c r="F391" s="20" t="n"/>
      <c r="G391" s="19" t="n"/>
      <c r="H391" s="20" t="n"/>
      <c r="I391" s="20" t="n"/>
      <c r="J391" s="19" t="n"/>
      <c r="K391" s="16" t="n"/>
      <c r="L391" s="20" t="n"/>
      <c r="M391" s="20" t="n"/>
      <c r="N391" s="17" t="n"/>
      <c r="O391" s="18">
        <f>IF(AND(OR($M391="Envoyé",$M391="En attente"),ISNUMBER($C391),NOT(ISNUMBER($N391))),IF(TODAY()-$C391&gt;=7,"⚠ relancer",""),"")</f>
        <v/>
      </c>
      <c r="P391" s="19" t="n"/>
      <c r="Q391" s="22">
        <f>IF($A391="","",HYPERLINK("Z:\MUSTANG SERVICES\Affaires 2027\"&amp;$A391&amp;"\"&amp;$A391&amp;"_Devis.xlsx","Ouvrir"))</f>
        <v/>
      </c>
      <c r="R391" s="22">
        <f>IF($A391="","",HYPERLINK("Z:\MUSTANG SERVICES\Affaires 2027\"&amp;$A391&amp;"\"&amp;$A391&amp;"_ToolList.xlsx","Ouvrir"))</f>
        <v/>
      </c>
      <c r="S391" s="22">
        <f>IF($A391="","",HYPERLINK("Z:\MUSTANG SERVICES\Affaires 2027\"&amp;$A391&amp;"\"&amp;$A391&amp;"_BL.xlsx","Ouvrir"))</f>
        <v/>
      </c>
      <c r="T391" s="22">
        <f>IF($A391="","",HYPERLINK("Z:\MUSTANG SERVICES\Affaires 2027\"&amp;$A391&amp;"\"&amp;$A391&amp;"_ServiceTicket.xlsx","Ouvrir"))</f>
        <v/>
      </c>
      <c r="U391" s="22">
        <f>IF($A391="","",HYPERLINK("Z:\MUSTANG SERVICES\Affaires 2027\"&amp;$A391&amp;"\","Dossier"))</f>
        <v/>
      </c>
    </row>
    <row r="392" ht="18" customHeight="1">
      <c r="A392" s="16" t="n"/>
      <c r="B392" s="17" t="n"/>
      <c r="C392" s="17" t="n"/>
      <c r="D392" s="18">
        <f>IF(AND(ISNUMBER($B392),ISNUMBER($C392)),$C392-$B392,"")</f>
        <v/>
      </c>
      <c r="E392" s="19" t="n"/>
      <c r="F392" s="20" t="n"/>
      <c r="G392" s="19" t="n"/>
      <c r="H392" s="20" t="n"/>
      <c r="I392" s="20" t="n"/>
      <c r="J392" s="19" t="n"/>
      <c r="K392" s="16" t="n"/>
      <c r="L392" s="20" t="n"/>
      <c r="M392" s="20" t="n"/>
      <c r="N392" s="17" t="n"/>
      <c r="O392" s="18">
        <f>IF(AND(OR($M392="Envoyé",$M392="En attente"),ISNUMBER($C392),NOT(ISNUMBER($N392))),IF(TODAY()-$C392&gt;=7,"⚠ relancer",""),"")</f>
        <v/>
      </c>
      <c r="P392" s="19" t="n"/>
      <c r="Q392" s="22">
        <f>IF($A392="","",HYPERLINK("Z:\MUSTANG SERVICES\Affaires 2027\"&amp;$A392&amp;"\"&amp;$A392&amp;"_Devis.xlsx","Ouvrir"))</f>
        <v/>
      </c>
      <c r="R392" s="22">
        <f>IF($A392="","",HYPERLINK("Z:\MUSTANG SERVICES\Affaires 2027\"&amp;$A392&amp;"\"&amp;$A392&amp;"_ToolList.xlsx","Ouvrir"))</f>
        <v/>
      </c>
      <c r="S392" s="22">
        <f>IF($A392="","",HYPERLINK("Z:\MUSTANG SERVICES\Affaires 2027\"&amp;$A392&amp;"\"&amp;$A392&amp;"_BL.xlsx","Ouvrir"))</f>
        <v/>
      </c>
      <c r="T392" s="22">
        <f>IF($A392="","",HYPERLINK("Z:\MUSTANG SERVICES\Affaires 2027\"&amp;$A392&amp;"\"&amp;$A392&amp;"_ServiceTicket.xlsx","Ouvrir"))</f>
        <v/>
      </c>
      <c r="U392" s="22">
        <f>IF($A392="","",HYPERLINK("Z:\MUSTANG SERVICES\Affaires 2027\"&amp;$A392&amp;"\","Dossier"))</f>
        <v/>
      </c>
    </row>
    <row r="393" ht="18" customHeight="1">
      <c r="A393" s="16" t="n"/>
      <c r="B393" s="17" t="n"/>
      <c r="C393" s="17" t="n"/>
      <c r="D393" s="18">
        <f>IF(AND(ISNUMBER($B393),ISNUMBER($C393)),$C393-$B393,"")</f>
        <v/>
      </c>
      <c r="E393" s="19" t="n"/>
      <c r="F393" s="20" t="n"/>
      <c r="G393" s="19" t="n"/>
      <c r="H393" s="20" t="n"/>
      <c r="I393" s="20" t="n"/>
      <c r="J393" s="19" t="n"/>
      <c r="K393" s="16" t="n"/>
      <c r="L393" s="20" t="n"/>
      <c r="M393" s="20" t="n"/>
      <c r="N393" s="17" t="n"/>
      <c r="O393" s="18">
        <f>IF(AND(OR($M393="Envoyé",$M393="En attente"),ISNUMBER($C393),NOT(ISNUMBER($N393))),IF(TODAY()-$C393&gt;=7,"⚠ relancer",""),"")</f>
        <v/>
      </c>
      <c r="P393" s="19" t="n"/>
      <c r="Q393" s="22">
        <f>IF($A393="","",HYPERLINK("Z:\MUSTANG SERVICES\Affaires 2027\"&amp;$A393&amp;"\"&amp;$A393&amp;"_Devis.xlsx","Ouvrir"))</f>
        <v/>
      </c>
      <c r="R393" s="22">
        <f>IF($A393="","",HYPERLINK("Z:\MUSTANG SERVICES\Affaires 2027\"&amp;$A393&amp;"\"&amp;$A393&amp;"_ToolList.xlsx","Ouvrir"))</f>
        <v/>
      </c>
      <c r="S393" s="22">
        <f>IF($A393="","",HYPERLINK("Z:\MUSTANG SERVICES\Affaires 2027\"&amp;$A393&amp;"\"&amp;$A393&amp;"_BL.xlsx","Ouvrir"))</f>
        <v/>
      </c>
      <c r="T393" s="22">
        <f>IF($A393="","",HYPERLINK("Z:\MUSTANG SERVICES\Affaires 2027\"&amp;$A393&amp;"\"&amp;$A393&amp;"_ServiceTicket.xlsx","Ouvrir"))</f>
        <v/>
      </c>
      <c r="U393" s="22">
        <f>IF($A393="","",HYPERLINK("Z:\MUSTANG SERVICES\Affaires 2027\"&amp;$A393&amp;"\","Dossier"))</f>
        <v/>
      </c>
    </row>
    <row r="394" ht="18" customHeight="1">
      <c r="A394" s="16" t="n"/>
      <c r="B394" s="17" t="n"/>
      <c r="C394" s="17" t="n"/>
      <c r="D394" s="18">
        <f>IF(AND(ISNUMBER($B394),ISNUMBER($C394)),$C394-$B394,"")</f>
        <v/>
      </c>
      <c r="E394" s="19" t="n"/>
      <c r="F394" s="20" t="n"/>
      <c r="G394" s="19" t="n"/>
      <c r="H394" s="20" t="n"/>
      <c r="I394" s="20" t="n"/>
      <c r="J394" s="19" t="n"/>
      <c r="K394" s="16" t="n"/>
      <c r="L394" s="20" t="n"/>
      <c r="M394" s="20" t="n"/>
      <c r="N394" s="17" t="n"/>
      <c r="O394" s="18">
        <f>IF(AND(OR($M394="Envoyé",$M394="En attente"),ISNUMBER($C394),NOT(ISNUMBER($N394))),IF(TODAY()-$C394&gt;=7,"⚠ relancer",""),"")</f>
        <v/>
      </c>
      <c r="P394" s="19" t="n"/>
      <c r="Q394" s="22">
        <f>IF($A394="","",HYPERLINK("Z:\MUSTANG SERVICES\Affaires 2027\"&amp;$A394&amp;"\"&amp;$A394&amp;"_Devis.xlsx","Ouvrir"))</f>
        <v/>
      </c>
      <c r="R394" s="22">
        <f>IF($A394="","",HYPERLINK("Z:\MUSTANG SERVICES\Affaires 2027\"&amp;$A394&amp;"\"&amp;$A394&amp;"_ToolList.xlsx","Ouvrir"))</f>
        <v/>
      </c>
      <c r="S394" s="22">
        <f>IF($A394="","",HYPERLINK("Z:\MUSTANG SERVICES\Affaires 2027\"&amp;$A394&amp;"\"&amp;$A394&amp;"_BL.xlsx","Ouvrir"))</f>
        <v/>
      </c>
      <c r="T394" s="22">
        <f>IF($A394="","",HYPERLINK("Z:\MUSTANG SERVICES\Affaires 2027\"&amp;$A394&amp;"\"&amp;$A394&amp;"_ServiceTicket.xlsx","Ouvrir"))</f>
        <v/>
      </c>
      <c r="U394" s="22">
        <f>IF($A394="","",HYPERLINK("Z:\MUSTANG SERVICES\Affaires 2027\"&amp;$A394&amp;"\","Dossier"))</f>
        <v/>
      </c>
    </row>
    <row r="395" ht="18" customHeight="1">
      <c r="A395" s="16" t="n"/>
      <c r="B395" s="17" t="n"/>
      <c r="C395" s="17" t="n"/>
      <c r="D395" s="18">
        <f>IF(AND(ISNUMBER($B395),ISNUMBER($C395)),$C395-$B395,"")</f>
        <v/>
      </c>
      <c r="E395" s="19" t="n"/>
      <c r="F395" s="20" t="n"/>
      <c r="G395" s="19" t="n"/>
      <c r="H395" s="20" t="n"/>
      <c r="I395" s="20" t="n"/>
      <c r="J395" s="19" t="n"/>
      <c r="K395" s="16" t="n"/>
      <c r="L395" s="20" t="n"/>
      <c r="M395" s="20" t="n"/>
      <c r="N395" s="17" t="n"/>
      <c r="O395" s="18">
        <f>IF(AND(OR($M395="Envoyé",$M395="En attente"),ISNUMBER($C395),NOT(ISNUMBER($N395))),IF(TODAY()-$C395&gt;=7,"⚠ relancer",""),"")</f>
        <v/>
      </c>
      <c r="P395" s="19" t="n"/>
      <c r="Q395" s="22">
        <f>IF($A395="","",HYPERLINK("Z:\MUSTANG SERVICES\Affaires 2027\"&amp;$A395&amp;"\"&amp;$A395&amp;"_Devis.xlsx","Ouvrir"))</f>
        <v/>
      </c>
      <c r="R395" s="22">
        <f>IF($A395="","",HYPERLINK("Z:\MUSTANG SERVICES\Affaires 2027\"&amp;$A395&amp;"\"&amp;$A395&amp;"_ToolList.xlsx","Ouvrir"))</f>
        <v/>
      </c>
      <c r="S395" s="22">
        <f>IF($A395="","",HYPERLINK("Z:\MUSTANG SERVICES\Affaires 2027\"&amp;$A395&amp;"\"&amp;$A395&amp;"_BL.xlsx","Ouvrir"))</f>
        <v/>
      </c>
      <c r="T395" s="22">
        <f>IF($A395="","",HYPERLINK("Z:\MUSTANG SERVICES\Affaires 2027\"&amp;$A395&amp;"\"&amp;$A395&amp;"_ServiceTicket.xlsx","Ouvrir"))</f>
        <v/>
      </c>
      <c r="U395" s="22">
        <f>IF($A395="","",HYPERLINK("Z:\MUSTANG SERVICES\Affaires 2027\"&amp;$A395&amp;"\","Dossier"))</f>
        <v/>
      </c>
    </row>
    <row r="396" ht="18" customHeight="1">
      <c r="A396" s="16" t="n"/>
      <c r="B396" s="17" t="n"/>
      <c r="C396" s="17" t="n"/>
      <c r="D396" s="18">
        <f>IF(AND(ISNUMBER($B396),ISNUMBER($C396)),$C396-$B396,"")</f>
        <v/>
      </c>
      <c r="E396" s="19" t="n"/>
      <c r="F396" s="20" t="n"/>
      <c r="G396" s="19" t="n"/>
      <c r="H396" s="20" t="n"/>
      <c r="I396" s="20" t="n"/>
      <c r="J396" s="19" t="n"/>
      <c r="K396" s="16" t="n"/>
      <c r="L396" s="20" t="n"/>
      <c r="M396" s="20" t="n"/>
      <c r="N396" s="17" t="n"/>
      <c r="O396" s="18">
        <f>IF(AND(OR($M396="Envoyé",$M396="En attente"),ISNUMBER($C396),NOT(ISNUMBER($N396))),IF(TODAY()-$C396&gt;=7,"⚠ relancer",""),"")</f>
        <v/>
      </c>
      <c r="P396" s="19" t="n"/>
      <c r="Q396" s="22">
        <f>IF($A396="","",HYPERLINK("Z:\MUSTANG SERVICES\Affaires 2027\"&amp;$A396&amp;"\"&amp;$A396&amp;"_Devis.xlsx","Ouvrir"))</f>
        <v/>
      </c>
      <c r="R396" s="22">
        <f>IF($A396="","",HYPERLINK("Z:\MUSTANG SERVICES\Affaires 2027\"&amp;$A396&amp;"\"&amp;$A396&amp;"_ToolList.xlsx","Ouvrir"))</f>
        <v/>
      </c>
      <c r="S396" s="22">
        <f>IF($A396="","",HYPERLINK("Z:\MUSTANG SERVICES\Affaires 2027\"&amp;$A396&amp;"\"&amp;$A396&amp;"_BL.xlsx","Ouvrir"))</f>
        <v/>
      </c>
      <c r="T396" s="22">
        <f>IF($A396="","",HYPERLINK("Z:\MUSTANG SERVICES\Affaires 2027\"&amp;$A396&amp;"\"&amp;$A396&amp;"_ServiceTicket.xlsx","Ouvrir"))</f>
        <v/>
      </c>
      <c r="U396" s="22">
        <f>IF($A396="","",HYPERLINK("Z:\MUSTANG SERVICES\Affaires 2027\"&amp;$A396&amp;"\","Dossier"))</f>
        <v/>
      </c>
    </row>
    <row r="397" ht="18" customHeight="1">
      <c r="A397" s="16" t="n"/>
      <c r="B397" s="17" t="n"/>
      <c r="C397" s="17" t="n"/>
      <c r="D397" s="18">
        <f>IF(AND(ISNUMBER($B397),ISNUMBER($C397)),$C397-$B397,"")</f>
        <v/>
      </c>
      <c r="E397" s="19" t="n"/>
      <c r="F397" s="20" t="n"/>
      <c r="G397" s="19" t="n"/>
      <c r="H397" s="20" t="n"/>
      <c r="I397" s="20" t="n"/>
      <c r="J397" s="19" t="n"/>
      <c r="K397" s="16" t="n"/>
      <c r="L397" s="20" t="n"/>
      <c r="M397" s="20" t="n"/>
      <c r="N397" s="17" t="n"/>
      <c r="O397" s="18">
        <f>IF(AND(OR($M397="Envoyé",$M397="En attente"),ISNUMBER($C397),NOT(ISNUMBER($N397))),IF(TODAY()-$C397&gt;=7,"⚠ relancer",""),"")</f>
        <v/>
      </c>
      <c r="P397" s="19" t="n"/>
      <c r="Q397" s="22">
        <f>IF($A397="","",HYPERLINK("Z:\MUSTANG SERVICES\Affaires 2027\"&amp;$A397&amp;"\"&amp;$A397&amp;"_Devis.xlsx","Ouvrir"))</f>
        <v/>
      </c>
      <c r="R397" s="22">
        <f>IF($A397="","",HYPERLINK("Z:\MUSTANG SERVICES\Affaires 2027\"&amp;$A397&amp;"\"&amp;$A397&amp;"_ToolList.xlsx","Ouvrir"))</f>
        <v/>
      </c>
      <c r="S397" s="22">
        <f>IF($A397="","",HYPERLINK("Z:\MUSTANG SERVICES\Affaires 2027\"&amp;$A397&amp;"\"&amp;$A397&amp;"_BL.xlsx","Ouvrir"))</f>
        <v/>
      </c>
      <c r="T397" s="22">
        <f>IF($A397="","",HYPERLINK("Z:\MUSTANG SERVICES\Affaires 2027\"&amp;$A397&amp;"\"&amp;$A397&amp;"_ServiceTicket.xlsx","Ouvrir"))</f>
        <v/>
      </c>
      <c r="U397" s="22">
        <f>IF($A397="","",HYPERLINK("Z:\MUSTANG SERVICES\Affaires 2027\"&amp;$A397&amp;"\","Dossier"))</f>
        <v/>
      </c>
    </row>
    <row r="398" ht="18" customHeight="1">
      <c r="A398" s="16" t="n"/>
      <c r="B398" s="17" t="n"/>
      <c r="C398" s="17" t="n"/>
      <c r="D398" s="18">
        <f>IF(AND(ISNUMBER($B398),ISNUMBER($C398)),$C398-$B398,"")</f>
        <v/>
      </c>
      <c r="E398" s="19" t="n"/>
      <c r="F398" s="20" t="n"/>
      <c r="G398" s="19" t="n"/>
      <c r="H398" s="20" t="n"/>
      <c r="I398" s="20" t="n"/>
      <c r="J398" s="19" t="n"/>
      <c r="K398" s="16" t="n"/>
      <c r="L398" s="20" t="n"/>
      <c r="M398" s="20" t="n"/>
      <c r="N398" s="17" t="n"/>
      <c r="O398" s="18">
        <f>IF(AND(OR($M398="Envoyé",$M398="En attente"),ISNUMBER($C398),NOT(ISNUMBER($N398))),IF(TODAY()-$C398&gt;=7,"⚠ relancer",""),"")</f>
        <v/>
      </c>
      <c r="P398" s="19" t="n"/>
      <c r="Q398" s="22">
        <f>IF($A398="","",HYPERLINK("Z:\MUSTANG SERVICES\Affaires 2027\"&amp;$A398&amp;"\"&amp;$A398&amp;"_Devis.xlsx","Ouvrir"))</f>
        <v/>
      </c>
      <c r="R398" s="22">
        <f>IF($A398="","",HYPERLINK("Z:\MUSTANG SERVICES\Affaires 2027\"&amp;$A398&amp;"\"&amp;$A398&amp;"_ToolList.xlsx","Ouvrir"))</f>
        <v/>
      </c>
      <c r="S398" s="22">
        <f>IF($A398="","",HYPERLINK("Z:\MUSTANG SERVICES\Affaires 2027\"&amp;$A398&amp;"\"&amp;$A398&amp;"_BL.xlsx","Ouvrir"))</f>
        <v/>
      </c>
      <c r="T398" s="22">
        <f>IF($A398="","",HYPERLINK("Z:\MUSTANG SERVICES\Affaires 2027\"&amp;$A398&amp;"\"&amp;$A398&amp;"_ServiceTicket.xlsx","Ouvrir"))</f>
        <v/>
      </c>
      <c r="U398" s="22">
        <f>IF($A398="","",HYPERLINK("Z:\MUSTANG SERVICES\Affaires 2027\"&amp;$A398&amp;"\","Dossier"))</f>
        <v/>
      </c>
    </row>
    <row r="399" ht="18" customHeight="1">
      <c r="A399" s="16" t="n"/>
      <c r="B399" s="17" t="n"/>
      <c r="C399" s="17" t="n"/>
      <c r="D399" s="18">
        <f>IF(AND(ISNUMBER($B399),ISNUMBER($C399)),$C399-$B399,"")</f>
        <v/>
      </c>
      <c r="E399" s="19" t="n"/>
      <c r="F399" s="20" t="n"/>
      <c r="G399" s="19" t="n"/>
      <c r="H399" s="20" t="n"/>
      <c r="I399" s="20" t="n"/>
      <c r="J399" s="19" t="n"/>
      <c r="K399" s="16" t="n"/>
      <c r="L399" s="20" t="n"/>
      <c r="M399" s="20" t="n"/>
      <c r="N399" s="17" t="n"/>
      <c r="O399" s="18">
        <f>IF(AND(OR($M399="Envoyé",$M399="En attente"),ISNUMBER($C399),NOT(ISNUMBER($N399))),IF(TODAY()-$C399&gt;=7,"⚠ relancer",""),"")</f>
        <v/>
      </c>
      <c r="P399" s="19" t="n"/>
      <c r="Q399" s="22">
        <f>IF($A399="","",HYPERLINK("Z:\MUSTANG SERVICES\Affaires 2027\"&amp;$A399&amp;"\"&amp;$A399&amp;"_Devis.xlsx","Ouvrir"))</f>
        <v/>
      </c>
      <c r="R399" s="22">
        <f>IF($A399="","",HYPERLINK("Z:\MUSTANG SERVICES\Affaires 2027\"&amp;$A399&amp;"\"&amp;$A399&amp;"_ToolList.xlsx","Ouvrir"))</f>
        <v/>
      </c>
      <c r="S399" s="22">
        <f>IF($A399="","",HYPERLINK("Z:\MUSTANG SERVICES\Affaires 2027\"&amp;$A399&amp;"\"&amp;$A399&amp;"_BL.xlsx","Ouvrir"))</f>
        <v/>
      </c>
      <c r="T399" s="22">
        <f>IF($A399="","",HYPERLINK("Z:\MUSTANG SERVICES\Affaires 2027\"&amp;$A399&amp;"\"&amp;$A399&amp;"_ServiceTicket.xlsx","Ouvrir"))</f>
        <v/>
      </c>
      <c r="U399" s="22">
        <f>IF($A399="","",HYPERLINK("Z:\MUSTANG SERVICES\Affaires 2027\"&amp;$A399&amp;"\","Dossier"))</f>
        <v/>
      </c>
    </row>
    <row r="400" ht="18" customHeight="1">
      <c r="A400" s="16" t="n"/>
      <c r="B400" s="17" t="n"/>
      <c r="C400" s="17" t="n"/>
      <c r="D400" s="18">
        <f>IF(AND(ISNUMBER($B400),ISNUMBER($C400)),$C400-$B400,"")</f>
        <v/>
      </c>
      <c r="E400" s="19" t="n"/>
      <c r="F400" s="20" t="n"/>
      <c r="G400" s="19" t="n"/>
      <c r="H400" s="20" t="n"/>
      <c r="I400" s="20" t="n"/>
      <c r="J400" s="19" t="n"/>
      <c r="K400" s="16" t="n"/>
      <c r="L400" s="20" t="n"/>
      <c r="M400" s="20" t="n"/>
      <c r="N400" s="17" t="n"/>
      <c r="O400" s="18">
        <f>IF(AND(OR($M400="Envoyé",$M400="En attente"),ISNUMBER($C400),NOT(ISNUMBER($N400))),IF(TODAY()-$C400&gt;=7,"⚠ relancer",""),"")</f>
        <v/>
      </c>
      <c r="P400" s="19" t="n"/>
      <c r="Q400" s="22">
        <f>IF($A400="","",HYPERLINK("Z:\MUSTANG SERVICES\Affaires 2027\"&amp;$A400&amp;"\"&amp;$A400&amp;"_Devis.xlsx","Ouvrir"))</f>
        <v/>
      </c>
      <c r="R400" s="22">
        <f>IF($A400="","",HYPERLINK("Z:\MUSTANG SERVICES\Affaires 2027\"&amp;$A400&amp;"\"&amp;$A400&amp;"_ToolList.xlsx","Ouvrir"))</f>
        <v/>
      </c>
      <c r="S400" s="22">
        <f>IF($A400="","",HYPERLINK("Z:\MUSTANG SERVICES\Affaires 2027\"&amp;$A400&amp;"\"&amp;$A400&amp;"_BL.xlsx","Ouvrir"))</f>
        <v/>
      </c>
      <c r="T400" s="22">
        <f>IF($A400="","",HYPERLINK("Z:\MUSTANG SERVICES\Affaires 2027\"&amp;$A400&amp;"\"&amp;$A400&amp;"_ServiceTicket.xlsx","Ouvrir"))</f>
        <v/>
      </c>
      <c r="U400" s="22">
        <f>IF($A400="","",HYPERLINK("Z:\MUSTANG SERVICES\Affaires 2027\"&amp;$A400&amp;"\","Dossier"))</f>
        <v/>
      </c>
    </row>
    <row r="401" ht="18" customHeight="1">
      <c r="A401" s="16" t="n"/>
      <c r="B401" s="17" t="n"/>
      <c r="C401" s="17" t="n"/>
      <c r="D401" s="18">
        <f>IF(AND(ISNUMBER($B401),ISNUMBER($C401)),$C401-$B401,"")</f>
        <v/>
      </c>
      <c r="E401" s="19" t="n"/>
      <c r="F401" s="20" t="n"/>
      <c r="G401" s="19" t="n"/>
      <c r="H401" s="20" t="n"/>
      <c r="I401" s="20" t="n"/>
      <c r="J401" s="19" t="n"/>
      <c r="K401" s="16" t="n"/>
      <c r="L401" s="20" t="n"/>
      <c r="M401" s="20" t="n"/>
      <c r="N401" s="17" t="n"/>
      <c r="O401" s="18">
        <f>IF(AND(OR($M401="Envoyé",$M401="En attente"),ISNUMBER($C401),NOT(ISNUMBER($N401))),IF(TODAY()-$C401&gt;=7,"⚠ relancer",""),"")</f>
        <v/>
      </c>
      <c r="P401" s="19" t="n"/>
      <c r="Q401" s="22">
        <f>IF($A401="","",HYPERLINK("Z:\MUSTANG SERVICES\Affaires 2027\"&amp;$A401&amp;"\"&amp;$A401&amp;"_Devis.xlsx","Ouvrir"))</f>
        <v/>
      </c>
      <c r="R401" s="22">
        <f>IF($A401="","",HYPERLINK("Z:\MUSTANG SERVICES\Affaires 2027\"&amp;$A401&amp;"\"&amp;$A401&amp;"_ToolList.xlsx","Ouvrir"))</f>
        <v/>
      </c>
      <c r="S401" s="22">
        <f>IF($A401="","",HYPERLINK("Z:\MUSTANG SERVICES\Affaires 2027\"&amp;$A401&amp;"\"&amp;$A401&amp;"_BL.xlsx","Ouvrir"))</f>
        <v/>
      </c>
      <c r="T401" s="22">
        <f>IF($A401="","",HYPERLINK("Z:\MUSTANG SERVICES\Affaires 2027\"&amp;$A401&amp;"\"&amp;$A401&amp;"_ServiceTicket.xlsx","Ouvrir"))</f>
        <v/>
      </c>
      <c r="U401" s="22">
        <f>IF($A401="","",HYPERLINK("Z:\MUSTANG SERVICES\Affaires 2027\"&amp;$A401&amp;"\","Dossier"))</f>
        <v/>
      </c>
    </row>
    <row r="402" ht="18" customHeight="1">
      <c r="A402" s="16" t="n"/>
      <c r="B402" s="17" t="n"/>
      <c r="C402" s="17" t="n"/>
      <c r="D402" s="18">
        <f>IF(AND(ISNUMBER($B402),ISNUMBER($C402)),$C402-$B402,"")</f>
        <v/>
      </c>
      <c r="E402" s="19" t="n"/>
      <c r="F402" s="20" t="n"/>
      <c r="G402" s="19" t="n"/>
      <c r="H402" s="20" t="n"/>
      <c r="I402" s="20" t="n"/>
      <c r="J402" s="19" t="n"/>
      <c r="K402" s="16" t="n"/>
      <c r="L402" s="20" t="n"/>
      <c r="M402" s="20" t="n"/>
      <c r="N402" s="17" t="n"/>
      <c r="O402" s="18">
        <f>IF(AND(OR($M402="Envoyé",$M402="En attente"),ISNUMBER($C402),NOT(ISNUMBER($N402))),IF(TODAY()-$C402&gt;=7,"⚠ relancer",""),"")</f>
        <v/>
      </c>
      <c r="P402" s="19" t="n"/>
      <c r="Q402" s="22">
        <f>IF($A402="","",HYPERLINK("Z:\MUSTANG SERVICES\Affaires 2027\"&amp;$A402&amp;"\"&amp;$A402&amp;"_Devis.xlsx","Ouvrir"))</f>
        <v/>
      </c>
      <c r="R402" s="22">
        <f>IF($A402="","",HYPERLINK("Z:\MUSTANG SERVICES\Affaires 2027\"&amp;$A402&amp;"\"&amp;$A402&amp;"_ToolList.xlsx","Ouvrir"))</f>
        <v/>
      </c>
      <c r="S402" s="22">
        <f>IF($A402="","",HYPERLINK("Z:\MUSTANG SERVICES\Affaires 2027\"&amp;$A402&amp;"\"&amp;$A402&amp;"_BL.xlsx","Ouvrir"))</f>
        <v/>
      </c>
      <c r="T402" s="22">
        <f>IF($A402="","",HYPERLINK("Z:\MUSTANG SERVICES\Affaires 2027\"&amp;$A402&amp;"\"&amp;$A402&amp;"_ServiceTicket.xlsx","Ouvrir"))</f>
        <v/>
      </c>
      <c r="U402" s="22">
        <f>IF($A402="","",HYPERLINK("Z:\MUSTANG SERVICES\Affaires 2027\"&amp;$A402&amp;"\","Dossier"))</f>
        <v/>
      </c>
    </row>
    <row r="403" ht="18" customHeight="1">
      <c r="A403" s="16" t="n"/>
      <c r="B403" s="17" t="n"/>
      <c r="C403" s="17" t="n"/>
      <c r="D403" s="18">
        <f>IF(AND(ISNUMBER($B403),ISNUMBER($C403)),$C403-$B403,"")</f>
        <v/>
      </c>
      <c r="E403" s="19" t="n"/>
      <c r="F403" s="20" t="n"/>
      <c r="G403" s="19" t="n"/>
      <c r="H403" s="20" t="n"/>
      <c r="I403" s="20" t="n"/>
      <c r="J403" s="19" t="n"/>
      <c r="K403" s="16" t="n"/>
      <c r="L403" s="20" t="n"/>
      <c r="M403" s="20" t="n"/>
      <c r="N403" s="17" t="n"/>
      <c r="O403" s="18">
        <f>IF(AND(OR($M403="Envoyé",$M403="En attente"),ISNUMBER($C403),NOT(ISNUMBER($N403))),IF(TODAY()-$C403&gt;=7,"⚠ relancer",""),"")</f>
        <v/>
      </c>
      <c r="P403" s="19" t="n"/>
      <c r="Q403" s="22">
        <f>IF($A403="","",HYPERLINK("Z:\MUSTANG SERVICES\Affaires 2027\"&amp;$A403&amp;"\"&amp;$A403&amp;"_Devis.xlsx","Ouvrir"))</f>
        <v/>
      </c>
      <c r="R403" s="22">
        <f>IF($A403="","",HYPERLINK("Z:\MUSTANG SERVICES\Affaires 2027\"&amp;$A403&amp;"\"&amp;$A403&amp;"_ToolList.xlsx","Ouvrir"))</f>
        <v/>
      </c>
      <c r="S403" s="22">
        <f>IF($A403="","",HYPERLINK("Z:\MUSTANG SERVICES\Affaires 2027\"&amp;$A403&amp;"\"&amp;$A403&amp;"_BL.xlsx","Ouvrir"))</f>
        <v/>
      </c>
      <c r="T403" s="22">
        <f>IF($A403="","",HYPERLINK("Z:\MUSTANG SERVICES\Affaires 2027\"&amp;$A403&amp;"\"&amp;$A403&amp;"_ServiceTicket.xlsx","Ouvrir"))</f>
        <v/>
      </c>
      <c r="U403" s="22">
        <f>IF($A403="","",HYPERLINK("Z:\MUSTANG SERVICES\Affaires 2027\"&amp;$A403&amp;"\","Dossier"))</f>
        <v/>
      </c>
    </row>
    <row r="404" ht="18" customHeight="1">
      <c r="A404" s="16" t="n"/>
      <c r="B404" s="17" t="n"/>
      <c r="C404" s="17" t="n"/>
      <c r="D404" s="18">
        <f>IF(AND(ISNUMBER($B404),ISNUMBER($C404)),$C404-$B404,"")</f>
        <v/>
      </c>
      <c r="E404" s="19" t="n"/>
      <c r="F404" s="20" t="n"/>
      <c r="G404" s="19" t="n"/>
      <c r="H404" s="20" t="n"/>
      <c r="I404" s="20" t="n"/>
      <c r="J404" s="19" t="n"/>
      <c r="K404" s="16" t="n"/>
      <c r="L404" s="20" t="n"/>
      <c r="M404" s="20" t="n"/>
      <c r="N404" s="17" t="n"/>
      <c r="O404" s="18">
        <f>IF(AND(OR($M404="Envoyé",$M404="En attente"),ISNUMBER($C404),NOT(ISNUMBER($N404))),IF(TODAY()-$C404&gt;=7,"⚠ relancer",""),"")</f>
        <v/>
      </c>
      <c r="P404" s="19" t="n"/>
      <c r="Q404" s="22">
        <f>IF($A404="","",HYPERLINK("Z:\MUSTANG SERVICES\Affaires 2027\"&amp;$A404&amp;"\"&amp;$A404&amp;"_Devis.xlsx","Ouvrir"))</f>
        <v/>
      </c>
      <c r="R404" s="22">
        <f>IF($A404="","",HYPERLINK("Z:\MUSTANG SERVICES\Affaires 2027\"&amp;$A404&amp;"\"&amp;$A404&amp;"_ToolList.xlsx","Ouvrir"))</f>
        <v/>
      </c>
      <c r="S404" s="22">
        <f>IF($A404="","",HYPERLINK("Z:\MUSTANG SERVICES\Affaires 2027\"&amp;$A404&amp;"\"&amp;$A404&amp;"_BL.xlsx","Ouvrir"))</f>
        <v/>
      </c>
      <c r="T404" s="22">
        <f>IF($A404="","",HYPERLINK("Z:\MUSTANG SERVICES\Affaires 2027\"&amp;$A404&amp;"\"&amp;$A404&amp;"_ServiceTicket.xlsx","Ouvrir"))</f>
        <v/>
      </c>
      <c r="U404" s="22">
        <f>IF($A404="","",HYPERLINK("Z:\MUSTANG SERVICES\Affaires 2027\"&amp;$A404&amp;"\","Dossier"))</f>
        <v/>
      </c>
    </row>
    <row r="405" ht="18" customHeight="1">
      <c r="A405" s="16" t="n"/>
      <c r="B405" s="17" t="n"/>
      <c r="C405" s="17" t="n"/>
      <c r="D405" s="18">
        <f>IF(AND(ISNUMBER($B405),ISNUMBER($C405)),$C405-$B405,"")</f>
        <v/>
      </c>
      <c r="E405" s="19" t="n"/>
      <c r="F405" s="20" t="n"/>
      <c r="G405" s="19" t="n"/>
      <c r="H405" s="20" t="n"/>
      <c r="I405" s="20" t="n"/>
      <c r="J405" s="19" t="n"/>
      <c r="K405" s="16" t="n"/>
      <c r="L405" s="20" t="n"/>
      <c r="M405" s="20" t="n"/>
      <c r="N405" s="17" t="n"/>
      <c r="O405" s="18">
        <f>IF(AND(OR($M405="Envoyé",$M405="En attente"),ISNUMBER($C405),NOT(ISNUMBER($N405))),IF(TODAY()-$C405&gt;=7,"⚠ relancer",""),"")</f>
        <v/>
      </c>
      <c r="P405" s="19" t="n"/>
      <c r="Q405" s="22">
        <f>IF($A405="","",HYPERLINK("Z:\MUSTANG SERVICES\Affaires 2027\"&amp;$A405&amp;"\"&amp;$A405&amp;"_Devis.xlsx","Ouvrir"))</f>
        <v/>
      </c>
      <c r="R405" s="22">
        <f>IF($A405="","",HYPERLINK("Z:\MUSTANG SERVICES\Affaires 2027\"&amp;$A405&amp;"\"&amp;$A405&amp;"_ToolList.xlsx","Ouvrir"))</f>
        <v/>
      </c>
      <c r="S405" s="22">
        <f>IF($A405="","",HYPERLINK("Z:\MUSTANG SERVICES\Affaires 2027\"&amp;$A405&amp;"\"&amp;$A405&amp;"_BL.xlsx","Ouvrir"))</f>
        <v/>
      </c>
      <c r="T405" s="22">
        <f>IF($A405="","",HYPERLINK("Z:\MUSTANG SERVICES\Affaires 2027\"&amp;$A405&amp;"\"&amp;$A405&amp;"_ServiceTicket.xlsx","Ouvrir"))</f>
        <v/>
      </c>
      <c r="U405" s="22">
        <f>IF($A405="","",HYPERLINK("Z:\MUSTANG SERVICES\Affaires 2027\"&amp;$A405&amp;"\","Dossier"))</f>
        <v/>
      </c>
    </row>
    <row r="406" ht="18" customHeight="1">
      <c r="A406" s="16" t="n"/>
      <c r="B406" s="17" t="n"/>
      <c r="C406" s="17" t="n"/>
      <c r="D406" s="18">
        <f>IF(AND(ISNUMBER($B406),ISNUMBER($C406)),$C406-$B406,"")</f>
        <v/>
      </c>
      <c r="E406" s="19" t="n"/>
      <c r="F406" s="20" t="n"/>
      <c r="G406" s="19" t="n"/>
      <c r="H406" s="20" t="n"/>
      <c r="I406" s="20" t="n"/>
      <c r="J406" s="19" t="n"/>
      <c r="K406" s="16" t="n"/>
      <c r="L406" s="20" t="n"/>
      <c r="M406" s="20" t="n"/>
      <c r="N406" s="17" t="n"/>
      <c r="O406" s="18">
        <f>IF(AND(OR($M406="Envoyé",$M406="En attente"),ISNUMBER($C406),NOT(ISNUMBER($N406))),IF(TODAY()-$C406&gt;=7,"⚠ relancer",""),"")</f>
        <v/>
      </c>
      <c r="P406" s="19" t="n"/>
      <c r="Q406" s="22">
        <f>IF($A406="","",HYPERLINK("Z:\MUSTANG SERVICES\Affaires 2027\"&amp;$A406&amp;"\"&amp;$A406&amp;"_Devis.xlsx","Ouvrir"))</f>
        <v/>
      </c>
      <c r="R406" s="22">
        <f>IF($A406="","",HYPERLINK("Z:\MUSTANG SERVICES\Affaires 2027\"&amp;$A406&amp;"\"&amp;$A406&amp;"_ToolList.xlsx","Ouvrir"))</f>
        <v/>
      </c>
      <c r="S406" s="22">
        <f>IF($A406="","",HYPERLINK("Z:\MUSTANG SERVICES\Affaires 2027\"&amp;$A406&amp;"\"&amp;$A406&amp;"_BL.xlsx","Ouvrir"))</f>
        <v/>
      </c>
      <c r="T406" s="22">
        <f>IF($A406="","",HYPERLINK("Z:\MUSTANG SERVICES\Affaires 2027\"&amp;$A406&amp;"\"&amp;$A406&amp;"_ServiceTicket.xlsx","Ouvrir"))</f>
        <v/>
      </c>
      <c r="U406" s="22">
        <f>IF($A406="","",HYPERLINK("Z:\MUSTANG SERVICES\Affaires 2027\"&amp;$A406&amp;"\","Dossier"))</f>
        <v/>
      </c>
    </row>
    <row r="407" ht="18" customHeight="1">
      <c r="A407" s="16" t="n"/>
      <c r="B407" s="17" t="n"/>
      <c r="C407" s="17" t="n"/>
      <c r="D407" s="18">
        <f>IF(AND(ISNUMBER($B407),ISNUMBER($C407)),$C407-$B407,"")</f>
        <v/>
      </c>
      <c r="E407" s="19" t="n"/>
      <c r="F407" s="20" t="n"/>
      <c r="G407" s="19" t="n"/>
      <c r="H407" s="20" t="n"/>
      <c r="I407" s="20" t="n"/>
      <c r="J407" s="19" t="n"/>
      <c r="K407" s="16" t="n"/>
      <c r="L407" s="20" t="n"/>
      <c r="M407" s="20" t="n"/>
      <c r="N407" s="17" t="n"/>
      <c r="O407" s="18">
        <f>IF(AND(OR($M407="Envoyé",$M407="En attente"),ISNUMBER($C407),NOT(ISNUMBER($N407))),IF(TODAY()-$C407&gt;=7,"⚠ relancer",""),"")</f>
        <v/>
      </c>
      <c r="P407" s="19" t="n"/>
      <c r="Q407" s="22">
        <f>IF($A407="","",HYPERLINK("Z:\MUSTANG SERVICES\Affaires 2027\"&amp;$A407&amp;"\"&amp;$A407&amp;"_Devis.xlsx","Ouvrir"))</f>
        <v/>
      </c>
      <c r="R407" s="22">
        <f>IF($A407="","",HYPERLINK("Z:\MUSTANG SERVICES\Affaires 2027\"&amp;$A407&amp;"\"&amp;$A407&amp;"_ToolList.xlsx","Ouvrir"))</f>
        <v/>
      </c>
      <c r="S407" s="22">
        <f>IF($A407="","",HYPERLINK("Z:\MUSTANG SERVICES\Affaires 2027\"&amp;$A407&amp;"\"&amp;$A407&amp;"_BL.xlsx","Ouvrir"))</f>
        <v/>
      </c>
      <c r="T407" s="22">
        <f>IF($A407="","",HYPERLINK("Z:\MUSTANG SERVICES\Affaires 2027\"&amp;$A407&amp;"\"&amp;$A407&amp;"_ServiceTicket.xlsx","Ouvrir"))</f>
        <v/>
      </c>
      <c r="U407" s="22">
        <f>IF($A407="","",HYPERLINK("Z:\MUSTANG SERVICES\Affaires 2027\"&amp;$A407&amp;"\","Dossier"))</f>
        <v/>
      </c>
    </row>
    <row r="408" ht="18" customHeight="1">
      <c r="A408" s="16" t="n"/>
      <c r="B408" s="17" t="n"/>
      <c r="C408" s="17" t="n"/>
      <c r="D408" s="18">
        <f>IF(AND(ISNUMBER($B408),ISNUMBER($C408)),$C408-$B408,"")</f>
        <v/>
      </c>
      <c r="E408" s="19" t="n"/>
      <c r="F408" s="20" t="n"/>
      <c r="G408" s="19" t="n"/>
      <c r="H408" s="20" t="n"/>
      <c r="I408" s="20" t="n"/>
      <c r="J408" s="19" t="n"/>
      <c r="K408" s="16" t="n"/>
      <c r="L408" s="20" t="n"/>
      <c r="M408" s="20" t="n"/>
      <c r="N408" s="17" t="n"/>
      <c r="O408" s="18">
        <f>IF(AND(OR($M408="Envoyé",$M408="En attente"),ISNUMBER($C408),NOT(ISNUMBER($N408))),IF(TODAY()-$C408&gt;=7,"⚠ relancer",""),"")</f>
        <v/>
      </c>
      <c r="P408" s="19" t="n"/>
      <c r="Q408" s="22">
        <f>IF($A408="","",HYPERLINK("Z:\MUSTANG SERVICES\Affaires 2027\"&amp;$A408&amp;"\"&amp;$A408&amp;"_Devis.xlsx","Ouvrir"))</f>
        <v/>
      </c>
      <c r="R408" s="22">
        <f>IF($A408="","",HYPERLINK("Z:\MUSTANG SERVICES\Affaires 2027\"&amp;$A408&amp;"\"&amp;$A408&amp;"_ToolList.xlsx","Ouvrir"))</f>
        <v/>
      </c>
      <c r="S408" s="22">
        <f>IF($A408="","",HYPERLINK("Z:\MUSTANG SERVICES\Affaires 2027\"&amp;$A408&amp;"\"&amp;$A408&amp;"_BL.xlsx","Ouvrir"))</f>
        <v/>
      </c>
      <c r="T408" s="22">
        <f>IF($A408="","",HYPERLINK("Z:\MUSTANG SERVICES\Affaires 2027\"&amp;$A408&amp;"\"&amp;$A408&amp;"_ServiceTicket.xlsx","Ouvrir"))</f>
        <v/>
      </c>
      <c r="U408" s="22">
        <f>IF($A408="","",HYPERLINK("Z:\MUSTANG SERVICES\Affaires 2027\"&amp;$A408&amp;"\","Dossier"))</f>
        <v/>
      </c>
    </row>
    <row r="409" ht="18" customHeight="1">
      <c r="A409" s="16" t="n"/>
      <c r="B409" s="17" t="n"/>
      <c r="C409" s="17" t="n"/>
      <c r="D409" s="18">
        <f>IF(AND(ISNUMBER($B409),ISNUMBER($C409)),$C409-$B409,"")</f>
        <v/>
      </c>
      <c r="E409" s="19" t="n"/>
      <c r="F409" s="20" t="n"/>
      <c r="G409" s="19" t="n"/>
      <c r="H409" s="20" t="n"/>
      <c r="I409" s="20" t="n"/>
      <c r="J409" s="19" t="n"/>
      <c r="K409" s="16" t="n"/>
      <c r="L409" s="20" t="n"/>
      <c r="M409" s="20" t="n"/>
      <c r="N409" s="17" t="n"/>
      <c r="O409" s="18">
        <f>IF(AND(OR($M409="Envoyé",$M409="En attente"),ISNUMBER($C409),NOT(ISNUMBER($N409))),IF(TODAY()-$C409&gt;=7,"⚠ relancer",""),"")</f>
        <v/>
      </c>
      <c r="P409" s="19" t="n"/>
      <c r="Q409" s="22">
        <f>IF($A409="","",HYPERLINK("Z:\MUSTANG SERVICES\Affaires 2027\"&amp;$A409&amp;"\"&amp;$A409&amp;"_Devis.xlsx","Ouvrir"))</f>
        <v/>
      </c>
      <c r="R409" s="22">
        <f>IF($A409="","",HYPERLINK("Z:\MUSTANG SERVICES\Affaires 2027\"&amp;$A409&amp;"\"&amp;$A409&amp;"_ToolList.xlsx","Ouvrir"))</f>
        <v/>
      </c>
      <c r="S409" s="22">
        <f>IF($A409="","",HYPERLINK("Z:\MUSTANG SERVICES\Affaires 2027\"&amp;$A409&amp;"\"&amp;$A409&amp;"_BL.xlsx","Ouvrir"))</f>
        <v/>
      </c>
      <c r="T409" s="22">
        <f>IF($A409="","",HYPERLINK("Z:\MUSTANG SERVICES\Affaires 2027\"&amp;$A409&amp;"\"&amp;$A409&amp;"_ServiceTicket.xlsx","Ouvrir"))</f>
        <v/>
      </c>
      <c r="U409" s="22">
        <f>IF($A409="","",HYPERLINK("Z:\MUSTANG SERVICES\Affaires 2027\"&amp;$A409&amp;"\","Dossier"))</f>
        <v/>
      </c>
    </row>
    <row r="410" ht="18" customHeight="1">
      <c r="A410" s="16" t="n"/>
      <c r="B410" s="17" t="n"/>
      <c r="C410" s="17" t="n"/>
      <c r="D410" s="18">
        <f>IF(AND(ISNUMBER($B410),ISNUMBER($C410)),$C410-$B410,"")</f>
        <v/>
      </c>
      <c r="E410" s="19" t="n"/>
      <c r="F410" s="20" t="n"/>
      <c r="G410" s="19" t="n"/>
      <c r="H410" s="20" t="n"/>
      <c r="I410" s="20" t="n"/>
      <c r="J410" s="19" t="n"/>
      <c r="K410" s="16" t="n"/>
      <c r="L410" s="20" t="n"/>
      <c r="M410" s="20" t="n"/>
      <c r="N410" s="17" t="n"/>
      <c r="O410" s="18">
        <f>IF(AND(OR($M410="Envoyé",$M410="En attente"),ISNUMBER($C410),NOT(ISNUMBER($N410))),IF(TODAY()-$C410&gt;=7,"⚠ relancer",""),"")</f>
        <v/>
      </c>
      <c r="P410" s="19" t="n"/>
      <c r="Q410" s="22">
        <f>IF($A410="","",HYPERLINK("Z:\MUSTANG SERVICES\Affaires 2027\"&amp;$A410&amp;"\"&amp;$A410&amp;"_Devis.xlsx","Ouvrir"))</f>
        <v/>
      </c>
      <c r="R410" s="22">
        <f>IF($A410="","",HYPERLINK("Z:\MUSTANG SERVICES\Affaires 2027\"&amp;$A410&amp;"\"&amp;$A410&amp;"_ToolList.xlsx","Ouvrir"))</f>
        <v/>
      </c>
      <c r="S410" s="22">
        <f>IF($A410="","",HYPERLINK("Z:\MUSTANG SERVICES\Affaires 2027\"&amp;$A410&amp;"\"&amp;$A410&amp;"_BL.xlsx","Ouvrir"))</f>
        <v/>
      </c>
      <c r="T410" s="22">
        <f>IF($A410="","",HYPERLINK("Z:\MUSTANG SERVICES\Affaires 2027\"&amp;$A410&amp;"\"&amp;$A410&amp;"_ServiceTicket.xlsx","Ouvrir"))</f>
        <v/>
      </c>
      <c r="U410" s="22">
        <f>IF($A410="","",HYPERLINK("Z:\MUSTANG SERVICES\Affaires 2027\"&amp;$A410&amp;"\","Dossier"))</f>
        <v/>
      </c>
    </row>
    <row r="411" ht="18" customHeight="1">
      <c r="A411" s="16" t="n"/>
      <c r="B411" s="17" t="n"/>
      <c r="C411" s="17" t="n"/>
      <c r="D411" s="18">
        <f>IF(AND(ISNUMBER($B411),ISNUMBER($C411)),$C411-$B411,"")</f>
        <v/>
      </c>
      <c r="E411" s="19" t="n"/>
      <c r="F411" s="20" t="n"/>
      <c r="G411" s="19" t="n"/>
      <c r="H411" s="20" t="n"/>
      <c r="I411" s="20" t="n"/>
      <c r="J411" s="19" t="n"/>
      <c r="K411" s="16" t="n"/>
      <c r="L411" s="20" t="n"/>
      <c r="M411" s="20" t="n"/>
      <c r="N411" s="17" t="n"/>
      <c r="O411" s="18">
        <f>IF(AND(OR($M411="Envoyé",$M411="En attente"),ISNUMBER($C411),NOT(ISNUMBER($N411))),IF(TODAY()-$C411&gt;=7,"⚠ relancer",""),"")</f>
        <v/>
      </c>
      <c r="P411" s="19" t="n"/>
      <c r="Q411" s="22">
        <f>IF($A411="","",HYPERLINK("Z:\MUSTANG SERVICES\Affaires 2027\"&amp;$A411&amp;"\"&amp;$A411&amp;"_Devis.xlsx","Ouvrir"))</f>
        <v/>
      </c>
      <c r="R411" s="22">
        <f>IF($A411="","",HYPERLINK("Z:\MUSTANG SERVICES\Affaires 2027\"&amp;$A411&amp;"\"&amp;$A411&amp;"_ToolList.xlsx","Ouvrir"))</f>
        <v/>
      </c>
      <c r="S411" s="22">
        <f>IF($A411="","",HYPERLINK("Z:\MUSTANG SERVICES\Affaires 2027\"&amp;$A411&amp;"\"&amp;$A411&amp;"_BL.xlsx","Ouvrir"))</f>
        <v/>
      </c>
      <c r="T411" s="22">
        <f>IF($A411="","",HYPERLINK("Z:\MUSTANG SERVICES\Affaires 2027\"&amp;$A411&amp;"\"&amp;$A411&amp;"_ServiceTicket.xlsx","Ouvrir"))</f>
        <v/>
      </c>
      <c r="U411" s="22">
        <f>IF($A411="","",HYPERLINK("Z:\MUSTANG SERVICES\Affaires 2027\"&amp;$A411&amp;"\","Dossier"))</f>
        <v/>
      </c>
    </row>
    <row r="412" ht="18" customHeight="1">
      <c r="A412" s="16" t="n"/>
      <c r="B412" s="17" t="n"/>
      <c r="C412" s="17" t="n"/>
      <c r="D412" s="18">
        <f>IF(AND(ISNUMBER($B412),ISNUMBER($C412)),$C412-$B412,"")</f>
        <v/>
      </c>
      <c r="E412" s="19" t="n"/>
      <c r="F412" s="20" t="n"/>
      <c r="G412" s="19" t="n"/>
      <c r="H412" s="20" t="n"/>
      <c r="I412" s="20" t="n"/>
      <c r="J412" s="19" t="n"/>
      <c r="K412" s="16" t="n"/>
      <c r="L412" s="20" t="n"/>
      <c r="M412" s="20" t="n"/>
      <c r="N412" s="17" t="n"/>
      <c r="O412" s="18">
        <f>IF(AND(OR($M412="Envoyé",$M412="En attente"),ISNUMBER($C412),NOT(ISNUMBER($N412))),IF(TODAY()-$C412&gt;=7,"⚠ relancer",""),"")</f>
        <v/>
      </c>
      <c r="P412" s="19" t="n"/>
      <c r="Q412" s="22">
        <f>IF($A412="","",HYPERLINK("Z:\MUSTANG SERVICES\Affaires 2027\"&amp;$A412&amp;"\"&amp;$A412&amp;"_Devis.xlsx","Ouvrir"))</f>
        <v/>
      </c>
      <c r="R412" s="22">
        <f>IF($A412="","",HYPERLINK("Z:\MUSTANG SERVICES\Affaires 2027\"&amp;$A412&amp;"\"&amp;$A412&amp;"_ToolList.xlsx","Ouvrir"))</f>
        <v/>
      </c>
      <c r="S412" s="22">
        <f>IF($A412="","",HYPERLINK("Z:\MUSTANG SERVICES\Affaires 2027\"&amp;$A412&amp;"\"&amp;$A412&amp;"_BL.xlsx","Ouvrir"))</f>
        <v/>
      </c>
      <c r="T412" s="22">
        <f>IF($A412="","",HYPERLINK("Z:\MUSTANG SERVICES\Affaires 2027\"&amp;$A412&amp;"\"&amp;$A412&amp;"_ServiceTicket.xlsx","Ouvrir"))</f>
        <v/>
      </c>
      <c r="U412" s="22">
        <f>IF($A412="","",HYPERLINK("Z:\MUSTANG SERVICES\Affaires 2027\"&amp;$A412&amp;"\","Dossier"))</f>
        <v/>
      </c>
    </row>
    <row r="413" ht="18" customHeight="1">
      <c r="A413" s="16" t="n"/>
      <c r="B413" s="17" t="n"/>
      <c r="C413" s="17" t="n"/>
      <c r="D413" s="18">
        <f>IF(AND(ISNUMBER($B413),ISNUMBER($C413)),$C413-$B413,"")</f>
        <v/>
      </c>
      <c r="E413" s="19" t="n"/>
      <c r="F413" s="20" t="n"/>
      <c r="G413" s="19" t="n"/>
      <c r="H413" s="20" t="n"/>
      <c r="I413" s="20" t="n"/>
      <c r="J413" s="19" t="n"/>
      <c r="K413" s="16" t="n"/>
      <c r="L413" s="20" t="n"/>
      <c r="M413" s="20" t="n"/>
      <c r="N413" s="17" t="n"/>
      <c r="O413" s="18">
        <f>IF(AND(OR($M413="Envoyé",$M413="En attente"),ISNUMBER($C413),NOT(ISNUMBER($N413))),IF(TODAY()-$C413&gt;=7,"⚠ relancer",""),"")</f>
        <v/>
      </c>
      <c r="P413" s="19" t="n"/>
      <c r="Q413" s="22">
        <f>IF($A413="","",HYPERLINK("Z:\MUSTANG SERVICES\Affaires 2027\"&amp;$A413&amp;"\"&amp;$A413&amp;"_Devis.xlsx","Ouvrir"))</f>
        <v/>
      </c>
      <c r="R413" s="22">
        <f>IF($A413="","",HYPERLINK("Z:\MUSTANG SERVICES\Affaires 2027\"&amp;$A413&amp;"\"&amp;$A413&amp;"_ToolList.xlsx","Ouvrir"))</f>
        <v/>
      </c>
      <c r="S413" s="22">
        <f>IF($A413="","",HYPERLINK("Z:\MUSTANG SERVICES\Affaires 2027\"&amp;$A413&amp;"\"&amp;$A413&amp;"_BL.xlsx","Ouvrir"))</f>
        <v/>
      </c>
      <c r="T413" s="22">
        <f>IF($A413="","",HYPERLINK("Z:\MUSTANG SERVICES\Affaires 2027\"&amp;$A413&amp;"\"&amp;$A413&amp;"_ServiceTicket.xlsx","Ouvrir"))</f>
        <v/>
      </c>
      <c r="U413" s="22">
        <f>IF($A413="","",HYPERLINK("Z:\MUSTANG SERVICES\Affaires 2027\"&amp;$A413&amp;"\","Dossier"))</f>
        <v/>
      </c>
    </row>
    <row r="414" ht="18" customHeight="1">
      <c r="A414" s="16" t="n"/>
      <c r="B414" s="17" t="n"/>
      <c r="C414" s="17" t="n"/>
      <c r="D414" s="18">
        <f>IF(AND(ISNUMBER($B414),ISNUMBER($C414)),$C414-$B414,"")</f>
        <v/>
      </c>
      <c r="E414" s="19" t="n"/>
      <c r="F414" s="20" t="n"/>
      <c r="G414" s="19" t="n"/>
      <c r="H414" s="20" t="n"/>
      <c r="I414" s="20" t="n"/>
      <c r="J414" s="19" t="n"/>
      <c r="K414" s="16" t="n"/>
      <c r="L414" s="20" t="n"/>
      <c r="M414" s="20" t="n"/>
      <c r="N414" s="17" t="n"/>
      <c r="O414" s="18">
        <f>IF(AND(OR($M414="Envoyé",$M414="En attente"),ISNUMBER($C414),NOT(ISNUMBER($N414))),IF(TODAY()-$C414&gt;=7,"⚠ relancer",""),"")</f>
        <v/>
      </c>
      <c r="P414" s="19" t="n"/>
      <c r="Q414" s="22">
        <f>IF($A414="","",HYPERLINK("Z:\MUSTANG SERVICES\Affaires 2027\"&amp;$A414&amp;"\"&amp;$A414&amp;"_Devis.xlsx","Ouvrir"))</f>
        <v/>
      </c>
      <c r="R414" s="22">
        <f>IF($A414="","",HYPERLINK("Z:\MUSTANG SERVICES\Affaires 2027\"&amp;$A414&amp;"\"&amp;$A414&amp;"_ToolList.xlsx","Ouvrir"))</f>
        <v/>
      </c>
      <c r="S414" s="22">
        <f>IF($A414="","",HYPERLINK("Z:\MUSTANG SERVICES\Affaires 2027\"&amp;$A414&amp;"\"&amp;$A414&amp;"_BL.xlsx","Ouvrir"))</f>
        <v/>
      </c>
      <c r="T414" s="22">
        <f>IF($A414="","",HYPERLINK("Z:\MUSTANG SERVICES\Affaires 2027\"&amp;$A414&amp;"\"&amp;$A414&amp;"_ServiceTicket.xlsx","Ouvrir"))</f>
        <v/>
      </c>
      <c r="U414" s="22">
        <f>IF($A414="","",HYPERLINK("Z:\MUSTANG SERVICES\Affaires 2027\"&amp;$A414&amp;"\","Dossier"))</f>
        <v/>
      </c>
    </row>
    <row r="415" ht="18" customHeight="1">
      <c r="A415" s="16" t="n"/>
      <c r="B415" s="17" t="n"/>
      <c r="C415" s="17" t="n"/>
      <c r="D415" s="18">
        <f>IF(AND(ISNUMBER($B415),ISNUMBER($C415)),$C415-$B415,"")</f>
        <v/>
      </c>
      <c r="E415" s="19" t="n"/>
      <c r="F415" s="20" t="n"/>
      <c r="G415" s="19" t="n"/>
      <c r="H415" s="20" t="n"/>
      <c r="I415" s="20" t="n"/>
      <c r="J415" s="19" t="n"/>
      <c r="K415" s="16" t="n"/>
      <c r="L415" s="20" t="n"/>
      <c r="M415" s="20" t="n"/>
      <c r="N415" s="17" t="n"/>
      <c r="O415" s="18">
        <f>IF(AND(OR($M415="Envoyé",$M415="En attente"),ISNUMBER($C415),NOT(ISNUMBER($N415))),IF(TODAY()-$C415&gt;=7,"⚠ relancer",""),"")</f>
        <v/>
      </c>
      <c r="P415" s="19" t="n"/>
      <c r="Q415" s="22">
        <f>IF($A415="","",HYPERLINK("Z:\MUSTANG SERVICES\Affaires 2027\"&amp;$A415&amp;"\"&amp;$A415&amp;"_Devis.xlsx","Ouvrir"))</f>
        <v/>
      </c>
      <c r="R415" s="22">
        <f>IF($A415="","",HYPERLINK("Z:\MUSTANG SERVICES\Affaires 2027\"&amp;$A415&amp;"\"&amp;$A415&amp;"_ToolList.xlsx","Ouvrir"))</f>
        <v/>
      </c>
      <c r="S415" s="22">
        <f>IF($A415="","",HYPERLINK("Z:\MUSTANG SERVICES\Affaires 2027\"&amp;$A415&amp;"\"&amp;$A415&amp;"_BL.xlsx","Ouvrir"))</f>
        <v/>
      </c>
      <c r="T415" s="22">
        <f>IF($A415="","",HYPERLINK("Z:\MUSTANG SERVICES\Affaires 2027\"&amp;$A415&amp;"\"&amp;$A415&amp;"_ServiceTicket.xlsx","Ouvrir"))</f>
        <v/>
      </c>
      <c r="U415" s="22">
        <f>IF($A415="","",HYPERLINK("Z:\MUSTANG SERVICES\Affaires 2027\"&amp;$A415&amp;"\","Dossier"))</f>
        <v/>
      </c>
    </row>
    <row r="416" ht="18" customHeight="1">
      <c r="A416" s="16" t="n"/>
      <c r="B416" s="17" t="n"/>
      <c r="C416" s="17" t="n"/>
      <c r="D416" s="18">
        <f>IF(AND(ISNUMBER($B416),ISNUMBER($C416)),$C416-$B416,"")</f>
        <v/>
      </c>
      <c r="E416" s="19" t="n"/>
      <c r="F416" s="20" t="n"/>
      <c r="G416" s="19" t="n"/>
      <c r="H416" s="20" t="n"/>
      <c r="I416" s="20" t="n"/>
      <c r="J416" s="19" t="n"/>
      <c r="K416" s="16" t="n"/>
      <c r="L416" s="20" t="n"/>
      <c r="M416" s="20" t="n"/>
      <c r="N416" s="17" t="n"/>
      <c r="O416" s="18">
        <f>IF(AND(OR($M416="Envoyé",$M416="En attente"),ISNUMBER($C416),NOT(ISNUMBER($N416))),IF(TODAY()-$C416&gt;=7,"⚠ relancer",""),"")</f>
        <v/>
      </c>
      <c r="P416" s="19" t="n"/>
      <c r="Q416" s="22">
        <f>IF($A416="","",HYPERLINK("Z:\MUSTANG SERVICES\Affaires 2027\"&amp;$A416&amp;"\"&amp;$A416&amp;"_Devis.xlsx","Ouvrir"))</f>
        <v/>
      </c>
      <c r="R416" s="22">
        <f>IF($A416="","",HYPERLINK("Z:\MUSTANG SERVICES\Affaires 2027\"&amp;$A416&amp;"\"&amp;$A416&amp;"_ToolList.xlsx","Ouvrir"))</f>
        <v/>
      </c>
      <c r="S416" s="22">
        <f>IF($A416="","",HYPERLINK("Z:\MUSTANG SERVICES\Affaires 2027\"&amp;$A416&amp;"\"&amp;$A416&amp;"_BL.xlsx","Ouvrir"))</f>
        <v/>
      </c>
      <c r="T416" s="22">
        <f>IF($A416="","",HYPERLINK("Z:\MUSTANG SERVICES\Affaires 2027\"&amp;$A416&amp;"\"&amp;$A416&amp;"_ServiceTicket.xlsx","Ouvrir"))</f>
        <v/>
      </c>
      <c r="U416" s="22">
        <f>IF($A416="","",HYPERLINK("Z:\MUSTANG SERVICES\Affaires 2027\"&amp;$A416&amp;"\","Dossier"))</f>
        <v/>
      </c>
    </row>
    <row r="417" ht="18" customHeight="1">
      <c r="A417" s="16" t="n"/>
      <c r="B417" s="17" t="n"/>
      <c r="C417" s="17" t="n"/>
      <c r="D417" s="18">
        <f>IF(AND(ISNUMBER($B417),ISNUMBER($C417)),$C417-$B417,"")</f>
        <v/>
      </c>
      <c r="E417" s="19" t="n"/>
      <c r="F417" s="20" t="n"/>
      <c r="G417" s="19" t="n"/>
      <c r="H417" s="20" t="n"/>
      <c r="I417" s="20" t="n"/>
      <c r="J417" s="19" t="n"/>
      <c r="K417" s="16" t="n"/>
      <c r="L417" s="20" t="n"/>
      <c r="M417" s="20" t="n"/>
      <c r="N417" s="17" t="n"/>
      <c r="O417" s="18">
        <f>IF(AND(OR($M417="Envoyé",$M417="En attente"),ISNUMBER($C417),NOT(ISNUMBER($N417))),IF(TODAY()-$C417&gt;=7,"⚠ relancer",""),"")</f>
        <v/>
      </c>
      <c r="P417" s="19" t="n"/>
      <c r="Q417" s="22">
        <f>IF($A417="","",HYPERLINK("Z:\MUSTANG SERVICES\Affaires 2027\"&amp;$A417&amp;"\"&amp;$A417&amp;"_Devis.xlsx","Ouvrir"))</f>
        <v/>
      </c>
      <c r="R417" s="22">
        <f>IF($A417="","",HYPERLINK("Z:\MUSTANG SERVICES\Affaires 2027\"&amp;$A417&amp;"\"&amp;$A417&amp;"_ToolList.xlsx","Ouvrir"))</f>
        <v/>
      </c>
      <c r="S417" s="22">
        <f>IF($A417="","",HYPERLINK("Z:\MUSTANG SERVICES\Affaires 2027\"&amp;$A417&amp;"\"&amp;$A417&amp;"_BL.xlsx","Ouvrir"))</f>
        <v/>
      </c>
      <c r="T417" s="22">
        <f>IF($A417="","",HYPERLINK("Z:\MUSTANG SERVICES\Affaires 2027\"&amp;$A417&amp;"\"&amp;$A417&amp;"_ServiceTicket.xlsx","Ouvrir"))</f>
        <v/>
      </c>
      <c r="U417" s="22">
        <f>IF($A417="","",HYPERLINK("Z:\MUSTANG SERVICES\Affaires 2027\"&amp;$A417&amp;"\","Dossier"))</f>
        <v/>
      </c>
    </row>
    <row r="418" ht="18" customHeight="1">
      <c r="A418" s="16" t="n"/>
      <c r="B418" s="17" t="n"/>
      <c r="C418" s="17" t="n"/>
      <c r="D418" s="18">
        <f>IF(AND(ISNUMBER($B418),ISNUMBER($C418)),$C418-$B418,"")</f>
        <v/>
      </c>
      <c r="E418" s="19" t="n"/>
      <c r="F418" s="20" t="n"/>
      <c r="G418" s="19" t="n"/>
      <c r="H418" s="20" t="n"/>
      <c r="I418" s="20" t="n"/>
      <c r="J418" s="19" t="n"/>
      <c r="K418" s="16" t="n"/>
      <c r="L418" s="20" t="n"/>
      <c r="M418" s="20" t="n"/>
      <c r="N418" s="17" t="n"/>
      <c r="O418" s="18">
        <f>IF(AND(OR($M418="Envoyé",$M418="En attente"),ISNUMBER($C418),NOT(ISNUMBER($N418))),IF(TODAY()-$C418&gt;=7,"⚠ relancer",""),"")</f>
        <v/>
      </c>
      <c r="P418" s="19" t="n"/>
      <c r="Q418" s="22">
        <f>IF($A418="","",HYPERLINK("Z:\MUSTANG SERVICES\Affaires 2027\"&amp;$A418&amp;"\"&amp;$A418&amp;"_Devis.xlsx","Ouvrir"))</f>
        <v/>
      </c>
      <c r="R418" s="22">
        <f>IF($A418="","",HYPERLINK("Z:\MUSTANG SERVICES\Affaires 2027\"&amp;$A418&amp;"\"&amp;$A418&amp;"_ToolList.xlsx","Ouvrir"))</f>
        <v/>
      </c>
      <c r="S418" s="22">
        <f>IF($A418="","",HYPERLINK("Z:\MUSTANG SERVICES\Affaires 2027\"&amp;$A418&amp;"\"&amp;$A418&amp;"_BL.xlsx","Ouvrir"))</f>
        <v/>
      </c>
      <c r="T418" s="22">
        <f>IF($A418="","",HYPERLINK("Z:\MUSTANG SERVICES\Affaires 2027\"&amp;$A418&amp;"\"&amp;$A418&amp;"_ServiceTicket.xlsx","Ouvrir"))</f>
        <v/>
      </c>
      <c r="U418" s="22">
        <f>IF($A418="","",HYPERLINK("Z:\MUSTANG SERVICES\Affaires 2027\"&amp;$A418&amp;"\","Dossier"))</f>
        <v/>
      </c>
    </row>
    <row r="419" ht="18" customHeight="1">
      <c r="A419" s="16" t="n"/>
      <c r="B419" s="17" t="n"/>
      <c r="C419" s="17" t="n"/>
      <c r="D419" s="18">
        <f>IF(AND(ISNUMBER($B419),ISNUMBER($C419)),$C419-$B419,"")</f>
        <v/>
      </c>
      <c r="E419" s="19" t="n"/>
      <c r="F419" s="20" t="n"/>
      <c r="G419" s="19" t="n"/>
      <c r="H419" s="20" t="n"/>
      <c r="I419" s="20" t="n"/>
      <c r="J419" s="19" t="n"/>
      <c r="K419" s="16" t="n"/>
      <c r="L419" s="20" t="n"/>
      <c r="M419" s="20" t="n"/>
      <c r="N419" s="17" t="n"/>
      <c r="O419" s="18">
        <f>IF(AND(OR($M419="Envoyé",$M419="En attente"),ISNUMBER($C419),NOT(ISNUMBER($N419))),IF(TODAY()-$C419&gt;=7,"⚠ relancer",""),"")</f>
        <v/>
      </c>
      <c r="P419" s="19" t="n"/>
      <c r="Q419" s="22">
        <f>IF($A419="","",HYPERLINK("Z:\MUSTANG SERVICES\Affaires 2027\"&amp;$A419&amp;"\"&amp;$A419&amp;"_Devis.xlsx","Ouvrir"))</f>
        <v/>
      </c>
      <c r="R419" s="22">
        <f>IF($A419="","",HYPERLINK("Z:\MUSTANG SERVICES\Affaires 2027\"&amp;$A419&amp;"\"&amp;$A419&amp;"_ToolList.xlsx","Ouvrir"))</f>
        <v/>
      </c>
      <c r="S419" s="22">
        <f>IF($A419="","",HYPERLINK("Z:\MUSTANG SERVICES\Affaires 2027\"&amp;$A419&amp;"\"&amp;$A419&amp;"_BL.xlsx","Ouvrir"))</f>
        <v/>
      </c>
      <c r="T419" s="22">
        <f>IF($A419="","",HYPERLINK("Z:\MUSTANG SERVICES\Affaires 2027\"&amp;$A419&amp;"\"&amp;$A419&amp;"_ServiceTicket.xlsx","Ouvrir"))</f>
        <v/>
      </c>
      <c r="U419" s="22">
        <f>IF($A419="","",HYPERLINK("Z:\MUSTANG SERVICES\Affaires 2027\"&amp;$A419&amp;"\","Dossier"))</f>
        <v/>
      </c>
    </row>
    <row r="420" ht="18" customHeight="1">
      <c r="A420" s="16" t="n"/>
      <c r="B420" s="17" t="n"/>
      <c r="C420" s="17" t="n"/>
      <c r="D420" s="18">
        <f>IF(AND(ISNUMBER($B420),ISNUMBER($C420)),$C420-$B420,"")</f>
        <v/>
      </c>
      <c r="E420" s="19" t="n"/>
      <c r="F420" s="20" t="n"/>
      <c r="G420" s="19" t="n"/>
      <c r="H420" s="20" t="n"/>
      <c r="I420" s="20" t="n"/>
      <c r="J420" s="19" t="n"/>
      <c r="K420" s="16" t="n"/>
      <c r="L420" s="20" t="n"/>
      <c r="M420" s="20" t="n"/>
      <c r="N420" s="17" t="n"/>
      <c r="O420" s="18">
        <f>IF(AND(OR($M420="Envoyé",$M420="En attente"),ISNUMBER($C420),NOT(ISNUMBER($N420))),IF(TODAY()-$C420&gt;=7,"⚠ relancer",""),"")</f>
        <v/>
      </c>
      <c r="P420" s="19" t="n"/>
      <c r="Q420" s="22">
        <f>IF($A420="","",HYPERLINK("Z:\MUSTANG SERVICES\Affaires 2027\"&amp;$A420&amp;"\"&amp;$A420&amp;"_Devis.xlsx","Ouvrir"))</f>
        <v/>
      </c>
      <c r="R420" s="22">
        <f>IF($A420="","",HYPERLINK("Z:\MUSTANG SERVICES\Affaires 2027\"&amp;$A420&amp;"\"&amp;$A420&amp;"_ToolList.xlsx","Ouvrir"))</f>
        <v/>
      </c>
      <c r="S420" s="22">
        <f>IF($A420="","",HYPERLINK("Z:\MUSTANG SERVICES\Affaires 2027\"&amp;$A420&amp;"\"&amp;$A420&amp;"_BL.xlsx","Ouvrir"))</f>
        <v/>
      </c>
      <c r="T420" s="22">
        <f>IF($A420="","",HYPERLINK("Z:\MUSTANG SERVICES\Affaires 2027\"&amp;$A420&amp;"\"&amp;$A420&amp;"_ServiceTicket.xlsx","Ouvrir"))</f>
        <v/>
      </c>
      <c r="U420" s="22">
        <f>IF($A420="","",HYPERLINK("Z:\MUSTANG SERVICES\Affaires 2027\"&amp;$A420&amp;"\","Dossier"))</f>
        <v/>
      </c>
    </row>
    <row r="421" ht="18" customHeight="1">
      <c r="A421" s="16" t="n"/>
      <c r="B421" s="17" t="n"/>
      <c r="C421" s="17" t="n"/>
      <c r="D421" s="18">
        <f>IF(AND(ISNUMBER($B421),ISNUMBER($C421)),$C421-$B421,"")</f>
        <v/>
      </c>
      <c r="E421" s="19" t="n"/>
      <c r="F421" s="20" t="n"/>
      <c r="G421" s="19" t="n"/>
      <c r="H421" s="20" t="n"/>
      <c r="I421" s="20" t="n"/>
      <c r="J421" s="19" t="n"/>
      <c r="K421" s="16" t="n"/>
      <c r="L421" s="20" t="n"/>
      <c r="M421" s="20" t="n"/>
      <c r="N421" s="17" t="n"/>
      <c r="O421" s="18">
        <f>IF(AND(OR($M421="Envoyé",$M421="En attente"),ISNUMBER($C421),NOT(ISNUMBER($N421))),IF(TODAY()-$C421&gt;=7,"⚠ relancer",""),"")</f>
        <v/>
      </c>
      <c r="P421" s="19" t="n"/>
      <c r="Q421" s="22">
        <f>IF($A421="","",HYPERLINK("Z:\MUSTANG SERVICES\Affaires 2027\"&amp;$A421&amp;"\"&amp;$A421&amp;"_Devis.xlsx","Ouvrir"))</f>
        <v/>
      </c>
      <c r="R421" s="22">
        <f>IF($A421="","",HYPERLINK("Z:\MUSTANG SERVICES\Affaires 2027\"&amp;$A421&amp;"\"&amp;$A421&amp;"_ToolList.xlsx","Ouvrir"))</f>
        <v/>
      </c>
      <c r="S421" s="22">
        <f>IF($A421="","",HYPERLINK("Z:\MUSTANG SERVICES\Affaires 2027\"&amp;$A421&amp;"\"&amp;$A421&amp;"_BL.xlsx","Ouvrir"))</f>
        <v/>
      </c>
      <c r="T421" s="22">
        <f>IF($A421="","",HYPERLINK("Z:\MUSTANG SERVICES\Affaires 2027\"&amp;$A421&amp;"\"&amp;$A421&amp;"_ServiceTicket.xlsx","Ouvrir"))</f>
        <v/>
      </c>
      <c r="U421" s="22">
        <f>IF($A421="","",HYPERLINK("Z:\MUSTANG SERVICES\Affaires 2027\"&amp;$A421&amp;"\","Dossier"))</f>
        <v/>
      </c>
    </row>
    <row r="422" ht="18" customHeight="1">
      <c r="A422" s="16" t="n"/>
      <c r="B422" s="17" t="n"/>
      <c r="C422" s="17" t="n"/>
      <c r="D422" s="18">
        <f>IF(AND(ISNUMBER($B422),ISNUMBER($C422)),$C422-$B422,"")</f>
        <v/>
      </c>
      <c r="E422" s="19" t="n"/>
      <c r="F422" s="20" t="n"/>
      <c r="G422" s="19" t="n"/>
      <c r="H422" s="20" t="n"/>
      <c r="I422" s="20" t="n"/>
      <c r="J422" s="19" t="n"/>
      <c r="K422" s="16" t="n"/>
      <c r="L422" s="20" t="n"/>
      <c r="M422" s="20" t="n"/>
      <c r="N422" s="17" t="n"/>
      <c r="O422" s="18">
        <f>IF(AND(OR($M422="Envoyé",$M422="En attente"),ISNUMBER($C422),NOT(ISNUMBER($N422))),IF(TODAY()-$C422&gt;=7,"⚠ relancer",""),"")</f>
        <v/>
      </c>
      <c r="P422" s="19" t="n"/>
      <c r="Q422" s="22">
        <f>IF($A422="","",HYPERLINK("Z:\MUSTANG SERVICES\Affaires 2027\"&amp;$A422&amp;"\"&amp;$A422&amp;"_Devis.xlsx","Ouvrir"))</f>
        <v/>
      </c>
      <c r="R422" s="22">
        <f>IF($A422="","",HYPERLINK("Z:\MUSTANG SERVICES\Affaires 2027\"&amp;$A422&amp;"\"&amp;$A422&amp;"_ToolList.xlsx","Ouvrir"))</f>
        <v/>
      </c>
      <c r="S422" s="22">
        <f>IF($A422="","",HYPERLINK("Z:\MUSTANG SERVICES\Affaires 2027\"&amp;$A422&amp;"\"&amp;$A422&amp;"_BL.xlsx","Ouvrir"))</f>
        <v/>
      </c>
      <c r="T422" s="22">
        <f>IF($A422="","",HYPERLINK("Z:\MUSTANG SERVICES\Affaires 2027\"&amp;$A422&amp;"\"&amp;$A422&amp;"_ServiceTicket.xlsx","Ouvrir"))</f>
        <v/>
      </c>
      <c r="U422" s="22">
        <f>IF($A422="","",HYPERLINK("Z:\MUSTANG SERVICES\Affaires 2027\"&amp;$A422&amp;"\","Dossier"))</f>
        <v/>
      </c>
    </row>
    <row r="423" ht="18" customHeight="1">
      <c r="A423" s="16" t="n"/>
      <c r="B423" s="17" t="n"/>
      <c r="C423" s="17" t="n"/>
      <c r="D423" s="18">
        <f>IF(AND(ISNUMBER($B423),ISNUMBER($C423)),$C423-$B423,"")</f>
        <v/>
      </c>
      <c r="E423" s="19" t="n"/>
      <c r="F423" s="20" t="n"/>
      <c r="G423" s="19" t="n"/>
      <c r="H423" s="20" t="n"/>
      <c r="I423" s="20" t="n"/>
      <c r="J423" s="19" t="n"/>
      <c r="K423" s="16" t="n"/>
      <c r="L423" s="20" t="n"/>
      <c r="M423" s="20" t="n"/>
      <c r="N423" s="17" t="n"/>
      <c r="O423" s="18">
        <f>IF(AND(OR($M423="Envoyé",$M423="En attente"),ISNUMBER($C423),NOT(ISNUMBER($N423))),IF(TODAY()-$C423&gt;=7,"⚠ relancer",""),"")</f>
        <v/>
      </c>
      <c r="P423" s="19" t="n"/>
      <c r="Q423" s="22">
        <f>IF($A423="","",HYPERLINK("Z:\MUSTANG SERVICES\Affaires 2027\"&amp;$A423&amp;"\"&amp;$A423&amp;"_Devis.xlsx","Ouvrir"))</f>
        <v/>
      </c>
      <c r="R423" s="22">
        <f>IF($A423="","",HYPERLINK("Z:\MUSTANG SERVICES\Affaires 2027\"&amp;$A423&amp;"\"&amp;$A423&amp;"_ToolList.xlsx","Ouvrir"))</f>
        <v/>
      </c>
      <c r="S423" s="22">
        <f>IF($A423="","",HYPERLINK("Z:\MUSTANG SERVICES\Affaires 2027\"&amp;$A423&amp;"\"&amp;$A423&amp;"_BL.xlsx","Ouvrir"))</f>
        <v/>
      </c>
      <c r="T423" s="22">
        <f>IF($A423="","",HYPERLINK("Z:\MUSTANG SERVICES\Affaires 2027\"&amp;$A423&amp;"\"&amp;$A423&amp;"_ServiceTicket.xlsx","Ouvrir"))</f>
        <v/>
      </c>
      <c r="U423" s="22">
        <f>IF($A423="","",HYPERLINK("Z:\MUSTANG SERVICES\Affaires 2027\"&amp;$A423&amp;"\","Dossier"))</f>
        <v/>
      </c>
    </row>
    <row r="424" ht="18" customHeight="1">
      <c r="A424" s="16" t="n"/>
      <c r="B424" s="17" t="n"/>
      <c r="C424" s="17" t="n"/>
      <c r="D424" s="18">
        <f>IF(AND(ISNUMBER($B424),ISNUMBER($C424)),$C424-$B424,"")</f>
        <v/>
      </c>
      <c r="E424" s="19" t="n"/>
      <c r="F424" s="20" t="n"/>
      <c r="G424" s="19" t="n"/>
      <c r="H424" s="20" t="n"/>
      <c r="I424" s="20" t="n"/>
      <c r="J424" s="19" t="n"/>
      <c r="K424" s="16" t="n"/>
      <c r="L424" s="20" t="n"/>
      <c r="M424" s="20" t="n"/>
      <c r="N424" s="17" t="n"/>
      <c r="O424" s="18">
        <f>IF(AND(OR($M424="Envoyé",$M424="En attente"),ISNUMBER($C424),NOT(ISNUMBER($N424))),IF(TODAY()-$C424&gt;=7,"⚠ relancer",""),"")</f>
        <v/>
      </c>
      <c r="P424" s="19" t="n"/>
      <c r="Q424" s="22">
        <f>IF($A424="","",HYPERLINK("Z:\MUSTANG SERVICES\Affaires 2027\"&amp;$A424&amp;"\"&amp;$A424&amp;"_Devis.xlsx","Ouvrir"))</f>
        <v/>
      </c>
      <c r="R424" s="22">
        <f>IF($A424="","",HYPERLINK("Z:\MUSTANG SERVICES\Affaires 2027\"&amp;$A424&amp;"\"&amp;$A424&amp;"_ToolList.xlsx","Ouvrir"))</f>
        <v/>
      </c>
      <c r="S424" s="22">
        <f>IF($A424="","",HYPERLINK("Z:\MUSTANG SERVICES\Affaires 2027\"&amp;$A424&amp;"\"&amp;$A424&amp;"_BL.xlsx","Ouvrir"))</f>
        <v/>
      </c>
      <c r="T424" s="22">
        <f>IF($A424="","",HYPERLINK("Z:\MUSTANG SERVICES\Affaires 2027\"&amp;$A424&amp;"\"&amp;$A424&amp;"_ServiceTicket.xlsx","Ouvrir"))</f>
        <v/>
      </c>
      <c r="U424" s="22">
        <f>IF($A424="","",HYPERLINK("Z:\MUSTANG SERVICES\Affaires 2027\"&amp;$A424&amp;"\","Dossier"))</f>
        <v/>
      </c>
    </row>
    <row r="425" ht="18" customHeight="1">
      <c r="A425" s="16" t="n"/>
      <c r="B425" s="17" t="n"/>
      <c r="C425" s="17" t="n"/>
      <c r="D425" s="18">
        <f>IF(AND(ISNUMBER($B425),ISNUMBER($C425)),$C425-$B425,"")</f>
        <v/>
      </c>
      <c r="E425" s="19" t="n"/>
      <c r="F425" s="20" t="n"/>
      <c r="G425" s="19" t="n"/>
      <c r="H425" s="20" t="n"/>
      <c r="I425" s="20" t="n"/>
      <c r="J425" s="19" t="n"/>
      <c r="K425" s="16" t="n"/>
      <c r="L425" s="20" t="n"/>
      <c r="M425" s="20" t="n"/>
      <c r="N425" s="17" t="n"/>
      <c r="O425" s="18">
        <f>IF(AND(OR($M425="Envoyé",$M425="En attente"),ISNUMBER($C425),NOT(ISNUMBER($N425))),IF(TODAY()-$C425&gt;=7,"⚠ relancer",""),"")</f>
        <v/>
      </c>
      <c r="P425" s="19" t="n"/>
      <c r="Q425" s="22">
        <f>IF($A425="","",HYPERLINK("Z:\MUSTANG SERVICES\Affaires 2027\"&amp;$A425&amp;"\"&amp;$A425&amp;"_Devis.xlsx","Ouvrir"))</f>
        <v/>
      </c>
      <c r="R425" s="22">
        <f>IF($A425="","",HYPERLINK("Z:\MUSTANG SERVICES\Affaires 2027\"&amp;$A425&amp;"\"&amp;$A425&amp;"_ToolList.xlsx","Ouvrir"))</f>
        <v/>
      </c>
      <c r="S425" s="22">
        <f>IF($A425="","",HYPERLINK("Z:\MUSTANG SERVICES\Affaires 2027\"&amp;$A425&amp;"\"&amp;$A425&amp;"_BL.xlsx","Ouvrir"))</f>
        <v/>
      </c>
      <c r="T425" s="22">
        <f>IF($A425="","",HYPERLINK("Z:\MUSTANG SERVICES\Affaires 2027\"&amp;$A425&amp;"\"&amp;$A425&amp;"_ServiceTicket.xlsx","Ouvrir"))</f>
        <v/>
      </c>
      <c r="U425" s="22">
        <f>IF($A425="","",HYPERLINK("Z:\MUSTANG SERVICES\Affaires 2027\"&amp;$A425&amp;"\","Dossier"))</f>
        <v/>
      </c>
    </row>
    <row r="426" ht="18" customHeight="1">
      <c r="A426" s="16" t="n"/>
      <c r="B426" s="17" t="n"/>
      <c r="C426" s="17" t="n"/>
      <c r="D426" s="18">
        <f>IF(AND(ISNUMBER($B426),ISNUMBER($C426)),$C426-$B426,"")</f>
        <v/>
      </c>
      <c r="E426" s="19" t="n"/>
      <c r="F426" s="20" t="n"/>
      <c r="G426" s="19" t="n"/>
      <c r="H426" s="20" t="n"/>
      <c r="I426" s="20" t="n"/>
      <c r="J426" s="19" t="n"/>
      <c r="K426" s="16" t="n"/>
      <c r="L426" s="20" t="n"/>
      <c r="M426" s="20" t="n"/>
      <c r="N426" s="17" t="n"/>
      <c r="O426" s="18">
        <f>IF(AND(OR($M426="Envoyé",$M426="En attente"),ISNUMBER($C426),NOT(ISNUMBER($N426))),IF(TODAY()-$C426&gt;=7,"⚠ relancer",""),"")</f>
        <v/>
      </c>
      <c r="P426" s="19" t="n"/>
      <c r="Q426" s="22">
        <f>IF($A426="","",HYPERLINK("Z:\MUSTANG SERVICES\Affaires 2027\"&amp;$A426&amp;"\"&amp;$A426&amp;"_Devis.xlsx","Ouvrir"))</f>
        <v/>
      </c>
      <c r="R426" s="22">
        <f>IF($A426="","",HYPERLINK("Z:\MUSTANG SERVICES\Affaires 2027\"&amp;$A426&amp;"\"&amp;$A426&amp;"_ToolList.xlsx","Ouvrir"))</f>
        <v/>
      </c>
      <c r="S426" s="22">
        <f>IF($A426="","",HYPERLINK("Z:\MUSTANG SERVICES\Affaires 2027\"&amp;$A426&amp;"\"&amp;$A426&amp;"_BL.xlsx","Ouvrir"))</f>
        <v/>
      </c>
      <c r="T426" s="22">
        <f>IF($A426="","",HYPERLINK("Z:\MUSTANG SERVICES\Affaires 2027\"&amp;$A426&amp;"\"&amp;$A426&amp;"_ServiceTicket.xlsx","Ouvrir"))</f>
        <v/>
      </c>
      <c r="U426" s="22">
        <f>IF($A426="","",HYPERLINK("Z:\MUSTANG SERVICES\Affaires 2027\"&amp;$A426&amp;"\","Dossier"))</f>
        <v/>
      </c>
    </row>
    <row r="427" ht="18" customHeight="1">
      <c r="A427" s="16" t="n"/>
      <c r="B427" s="17" t="n"/>
      <c r="C427" s="17" t="n"/>
      <c r="D427" s="18">
        <f>IF(AND(ISNUMBER($B427),ISNUMBER($C427)),$C427-$B427,"")</f>
        <v/>
      </c>
      <c r="E427" s="19" t="n"/>
      <c r="F427" s="20" t="n"/>
      <c r="G427" s="19" t="n"/>
      <c r="H427" s="20" t="n"/>
      <c r="I427" s="20" t="n"/>
      <c r="J427" s="19" t="n"/>
      <c r="K427" s="16" t="n"/>
      <c r="L427" s="20" t="n"/>
      <c r="M427" s="20" t="n"/>
      <c r="N427" s="17" t="n"/>
      <c r="O427" s="18">
        <f>IF(AND(OR($M427="Envoyé",$M427="En attente"),ISNUMBER($C427),NOT(ISNUMBER($N427))),IF(TODAY()-$C427&gt;=7,"⚠ relancer",""),"")</f>
        <v/>
      </c>
      <c r="P427" s="19" t="n"/>
      <c r="Q427" s="22">
        <f>IF($A427="","",HYPERLINK("Z:\MUSTANG SERVICES\Affaires 2027\"&amp;$A427&amp;"\"&amp;$A427&amp;"_Devis.xlsx","Ouvrir"))</f>
        <v/>
      </c>
      <c r="R427" s="22">
        <f>IF($A427="","",HYPERLINK("Z:\MUSTANG SERVICES\Affaires 2027\"&amp;$A427&amp;"\"&amp;$A427&amp;"_ToolList.xlsx","Ouvrir"))</f>
        <v/>
      </c>
      <c r="S427" s="22">
        <f>IF($A427="","",HYPERLINK("Z:\MUSTANG SERVICES\Affaires 2027\"&amp;$A427&amp;"\"&amp;$A427&amp;"_BL.xlsx","Ouvrir"))</f>
        <v/>
      </c>
      <c r="T427" s="22">
        <f>IF($A427="","",HYPERLINK("Z:\MUSTANG SERVICES\Affaires 2027\"&amp;$A427&amp;"\"&amp;$A427&amp;"_ServiceTicket.xlsx","Ouvrir"))</f>
        <v/>
      </c>
      <c r="U427" s="22">
        <f>IF($A427="","",HYPERLINK("Z:\MUSTANG SERVICES\Affaires 2027\"&amp;$A427&amp;"\","Dossier"))</f>
        <v/>
      </c>
    </row>
    <row r="428" ht="18" customHeight="1">
      <c r="A428" s="16" t="n"/>
      <c r="B428" s="17" t="n"/>
      <c r="C428" s="17" t="n"/>
      <c r="D428" s="18">
        <f>IF(AND(ISNUMBER($B428),ISNUMBER($C428)),$C428-$B428,"")</f>
        <v/>
      </c>
      <c r="E428" s="19" t="n"/>
      <c r="F428" s="20" t="n"/>
      <c r="G428" s="19" t="n"/>
      <c r="H428" s="20" t="n"/>
      <c r="I428" s="20" t="n"/>
      <c r="J428" s="19" t="n"/>
      <c r="K428" s="16" t="n"/>
      <c r="L428" s="20" t="n"/>
      <c r="M428" s="20" t="n"/>
      <c r="N428" s="17" t="n"/>
      <c r="O428" s="18">
        <f>IF(AND(OR($M428="Envoyé",$M428="En attente"),ISNUMBER($C428),NOT(ISNUMBER($N428))),IF(TODAY()-$C428&gt;=7,"⚠ relancer",""),"")</f>
        <v/>
      </c>
      <c r="P428" s="19" t="n"/>
      <c r="Q428" s="22">
        <f>IF($A428="","",HYPERLINK("Z:\MUSTANG SERVICES\Affaires 2027\"&amp;$A428&amp;"\"&amp;$A428&amp;"_Devis.xlsx","Ouvrir"))</f>
        <v/>
      </c>
      <c r="R428" s="22">
        <f>IF($A428="","",HYPERLINK("Z:\MUSTANG SERVICES\Affaires 2027\"&amp;$A428&amp;"\"&amp;$A428&amp;"_ToolList.xlsx","Ouvrir"))</f>
        <v/>
      </c>
      <c r="S428" s="22">
        <f>IF($A428="","",HYPERLINK("Z:\MUSTANG SERVICES\Affaires 2027\"&amp;$A428&amp;"\"&amp;$A428&amp;"_BL.xlsx","Ouvrir"))</f>
        <v/>
      </c>
      <c r="T428" s="22">
        <f>IF($A428="","",HYPERLINK("Z:\MUSTANG SERVICES\Affaires 2027\"&amp;$A428&amp;"\"&amp;$A428&amp;"_ServiceTicket.xlsx","Ouvrir"))</f>
        <v/>
      </c>
      <c r="U428" s="22">
        <f>IF($A428="","",HYPERLINK("Z:\MUSTANG SERVICES\Affaires 2027\"&amp;$A428&amp;"\","Dossier"))</f>
        <v/>
      </c>
    </row>
    <row r="429" ht="18" customHeight="1">
      <c r="A429" s="16" t="n"/>
      <c r="B429" s="17" t="n"/>
      <c r="C429" s="17" t="n"/>
      <c r="D429" s="18">
        <f>IF(AND(ISNUMBER($B429),ISNUMBER($C429)),$C429-$B429,"")</f>
        <v/>
      </c>
      <c r="E429" s="19" t="n"/>
      <c r="F429" s="20" t="n"/>
      <c r="G429" s="19" t="n"/>
      <c r="H429" s="20" t="n"/>
      <c r="I429" s="20" t="n"/>
      <c r="J429" s="19" t="n"/>
      <c r="K429" s="16" t="n"/>
      <c r="L429" s="20" t="n"/>
      <c r="M429" s="20" t="n"/>
      <c r="N429" s="17" t="n"/>
      <c r="O429" s="18">
        <f>IF(AND(OR($M429="Envoyé",$M429="En attente"),ISNUMBER($C429),NOT(ISNUMBER($N429))),IF(TODAY()-$C429&gt;=7,"⚠ relancer",""),"")</f>
        <v/>
      </c>
      <c r="P429" s="19" t="n"/>
      <c r="Q429" s="22">
        <f>IF($A429="","",HYPERLINK("Z:\MUSTANG SERVICES\Affaires 2027\"&amp;$A429&amp;"\"&amp;$A429&amp;"_Devis.xlsx","Ouvrir"))</f>
        <v/>
      </c>
      <c r="R429" s="22">
        <f>IF($A429="","",HYPERLINK("Z:\MUSTANG SERVICES\Affaires 2027\"&amp;$A429&amp;"\"&amp;$A429&amp;"_ToolList.xlsx","Ouvrir"))</f>
        <v/>
      </c>
      <c r="S429" s="22">
        <f>IF($A429="","",HYPERLINK("Z:\MUSTANG SERVICES\Affaires 2027\"&amp;$A429&amp;"\"&amp;$A429&amp;"_BL.xlsx","Ouvrir"))</f>
        <v/>
      </c>
      <c r="T429" s="22">
        <f>IF($A429="","",HYPERLINK("Z:\MUSTANG SERVICES\Affaires 2027\"&amp;$A429&amp;"\"&amp;$A429&amp;"_ServiceTicket.xlsx","Ouvrir"))</f>
        <v/>
      </c>
      <c r="U429" s="22">
        <f>IF($A429="","",HYPERLINK("Z:\MUSTANG SERVICES\Affaires 2027\"&amp;$A429&amp;"\","Dossier"))</f>
        <v/>
      </c>
    </row>
    <row r="430" ht="18" customHeight="1">
      <c r="A430" s="16" t="n"/>
      <c r="B430" s="17" t="n"/>
      <c r="C430" s="17" t="n"/>
      <c r="D430" s="18">
        <f>IF(AND(ISNUMBER($B430),ISNUMBER($C430)),$C430-$B430,"")</f>
        <v/>
      </c>
      <c r="E430" s="19" t="n"/>
      <c r="F430" s="20" t="n"/>
      <c r="G430" s="19" t="n"/>
      <c r="H430" s="20" t="n"/>
      <c r="I430" s="20" t="n"/>
      <c r="J430" s="19" t="n"/>
      <c r="K430" s="16" t="n"/>
      <c r="L430" s="20" t="n"/>
      <c r="M430" s="20" t="n"/>
      <c r="N430" s="17" t="n"/>
      <c r="O430" s="18">
        <f>IF(AND(OR($M430="Envoyé",$M430="En attente"),ISNUMBER($C430),NOT(ISNUMBER($N430))),IF(TODAY()-$C430&gt;=7,"⚠ relancer",""),"")</f>
        <v/>
      </c>
      <c r="P430" s="19" t="n"/>
      <c r="Q430" s="22">
        <f>IF($A430="","",HYPERLINK("Z:\MUSTANG SERVICES\Affaires 2027\"&amp;$A430&amp;"\"&amp;$A430&amp;"_Devis.xlsx","Ouvrir"))</f>
        <v/>
      </c>
      <c r="R430" s="22">
        <f>IF($A430="","",HYPERLINK("Z:\MUSTANG SERVICES\Affaires 2027\"&amp;$A430&amp;"\"&amp;$A430&amp;"_ToolList.xlsx","Ouvrir"))</f>
        <v/>
      </c>
      <c r="S430" s="22">
        <f>IF($A430="","",HYPERLINK("Z:\MUSTANG SERVICES\Affaires 2027\"&amp;$A430&amp;"\"&amp;$A430&amp;"_BL.xlsx","Ouvrir"))</f>
        <v/>
      </c>
      <c r="T430" s="22">
        <f>IF($A430="","",HYPERLINK("Z:\MUSTANG SERVICES\Affaires 2027\"&amp;$A430&amp;"\"&amp;$A430&amp;"_ServiceTicket.xlsx","Ouvrir"))</f>
        <v/>
      </c>
      <c r="U430" s="22">
        <f>IF($A430="","",HYPERLINK("Z:\MUSTANG SERVICES\Affaires 2027\"&amp;$A430&amp;"\","Dossier"))</f>
        <v/>
      </c>
    </row>
    <row r="431" ht="18" customHeight="1">
      <c r="A431" s="16" t="n"/>
      <c r="B431" s="17" t="n"/>
      <c r="C431" s="17" t="n"/>
      <c r="D431" s="18">
        <f>IF(AND(ISNUMBER($B431),ISNUMBER($C431)),$C431-$B431,"")</f>
        <v/>
      </c>
      <c r="E431" s="19" t="n"/>
      <c r="F431" s="20" t="n"/>
      <c r="G431" s="19" t="n"/>
      <c r="H431" s="20" t="n"/>
      <c r="I431" s="20" t="n"/>
      <c r="J431" s="19" t="n"/>
      <c r="K431" s="16" t="n"/>
      <c r="L431" s="20" t="n"/>
      <c r="M431" s="20" t="n"/>
      <c r="N431" s="17" t="n"/>
      <c r="O431" s="18">
        <f>IF(AND(OR($M431="Envoyé",$M431="En attente"),ISNUMBER($C431),NOT(ISNUMBER($N431))),IF(TODAY()-$C431&gt;=7,"⚠ relancer",""),"")</f>
        <v/>
      </c>
      <c r="P431" s="19" t="n"/>
      <c r="Q431" s="22">
        <f>IF($A431="","",HYPERLINK("Z:\MUSTANG SERVICES\Affaires 2027\"&amp;$A431&amp;"\"&amp;$A431&amp;"_Devis.xlsx","Ouvrir"))</f>
        <v/>
      </c>
      <c r="R431" s="22">
        <f>IF($A431="","",HYPERLINK("Z:\MUSTANG SERVICES\Affaires 2027\"&amp;$A431&amp;"\"&amp;$A431&amp;"_ToolList.xlsx","Ouvrir"))</f>
        <v/>
      </c>
      <c r="S431" s="22">
        <f>IF($A431="","",HYPERLINK("Z:\MUSTANG SERVICES\Affaires 2027\"&amp;$A431&amp;"\"&amp;$A431&amp;"_BL.xlsx","Ouvrir"))</f>
        <v/>
      </c>
      <c r="T431" s="22">
        <f>IF($A431="","",HYPERLINK("Z:\MUSTANG SERVICES\Affaires 2027\"&amp;$A431&amp;"\"&amp;$A431&amp;"_ServiceTicket.xlsx","Ouvrir"))</f>
        <v/>
      </c>
      <c r="U431" s="22">
        <f>IF($A431="","",HYPERLINK("Z:\MUSTANG SERVICES\Affaires 2027\"&amp;$A431&amp;"\","Dossier"))</f>
        <v/>
      </c>
    </row>
    <row r="432" ht="18" customHeight="1">
      <c r="A432" s="16" t="n"/>
      <c r="B432" s="17" t="n"/>
      <c r="C432" s="17" t="n"/>
      <c r="D432" s="18">
        <f>IF(AND(ISNUMBER($B432),ISNUMBER($C432)),$C432-$B432,"")</f>
        <v/>
      </c>
      <c r="E432" s="19" t="n"/>
      <c r="F432" s="20" t="n"/>
      <c r="G432" s="19" t="n"/>
      <c r="H432" s="20" t="n"/>
      <c r="I432" s="20" t="n"/>
      <c r="J432" s="19" t="n"/>
      <c r="K432" s="16" t="n"/>
      <c r="L432" s="20" t="n"/>
      <c r="M432" s="20" t="n"/>
      <c r="N432" s="17" t="n"/>
      <c r="O432" s="18">
        <f>IF(AND(OR($M432="Envoyé",$M432="En attente"),ISNUMBER($C432),NOT(ISNUMBER($N432))),IF(TODAY()-$C432&gt;=7,"⚠ relancer",""),"")</f>
        <v/>
      </c>
      <c r="P432" s="19" t="n"/>
      <c r="Q432" s="22">
        <f>IF($A432="","",HYPERLINK("Z:\MUSTANG SERVICES\Affaires 2027\"&amp;$A432&amp;"\"&amp;$A432&amp;"_Devis.xlsx","Ouvrir"))</f>
        <v/>
      </c>
      <c r="R432" s="22">
        <f>IF($A432="","",HYPERLINK("Z:\MUSTANG SERVICES\Affaires 2027\"&amp;$A432&amp;"\"&amp;$A432&amp;"_ToolList.xlsx","Ouvrir"))</f>
        <v/>
      </c>
      <c r="S432" s="22">
        <f>IF($A432="","",HYPERLINK("Z:\MUSTANG SERVICES\Affaires 2027\"&amp;$A432&amp;"\"&amp;$A432&amp;"_BL.xlsx","Ouvrir"))</f>
        <v/>
      </c>
      <c r="T432" s="22">
        <f>IF($A432="","",HYPERLINK("Z:\MUSTANG SERVICES\Affaires 2027\"&amp;$A432&amp;"\"&amp;$A432&amp;"_ServiceTicket.xlsx","Ouvrir"))</f>
        <v/>
      </c>
      <c r="U432" s="22">
        <f>IF($A432="","",HYPERLINK("Z:\MUSTANG SERVICES\Affaires 2027\"&amp;$A432&amp;"\","Dossier"))</f>
        <v/>
      </c>
    </row>
    <row r="433" ht="18" customHeight="1">
      <c r="A433" s="16" t="n"/>
      <c r="B433" s="17" t="n"/>
      <c r="C433" s="17" t="n"/>
      <c r="D433" s="18">
        <f>IF(AND(ISNUMBER($B433),ISNUMBER($C433)),$C433-$B433,"")</f>
        <v/>
      </c>
      <c r="E433" s="19" t="n"/>
      <c r="F433" s="20" t="n"/>
      <c r="G433" s="19" t="n"/>
      <c r="H433" s="20" t="n"/>
      <c r="I433" s="20" t="n"/>
      <c r="J433" s="19" t="n"/>
      <c r="K433" s="16" t="n"/>
      <c r="L433" s="20" t="n"/>
      <c r="M433" s="20" t="n"/>
      <c r="N433" s="17" t="n"/>
      <c r="O433" s="18">
        <f>IF(AND(OR($M433="Envoyé",$M433="En attente"),ISNUMBER($C433),NOT(ISNUMBER($N433))),IF(TODAY()-$C433&gt;=7,"⚠ relancer",""),"")</f>
        <v/>
      </c>
      <c r="P433" s="19" t="n"/>
      <c r="Q433" s="22">
        <f>IF($A433="","",HYPERLINK("Z:\MUSTANG SERVICES\Affaires 2027\"&amp;$A433&amp;"\"&amp;$A433&amp;"_Devis.xlsx","Ouvrir"))</f>
        <v/>
      </c>
      <c r="R433" s="22">
        <f>IF($A433="","",HYPERLINK("Z:\MUSTANG SERVICES\Affaires 2027\"&amp;$A433&amp;"\"&amp;$A433&amp;"_ToolList.xlsx","Ouvrir"))</f>
        <v/>
      </c>
      <c r="S433" s="22">
        <f>IF($A433="","",HYPERLINK("Z:\MUSTANG SERVICES\Affaires 2027\"&amp;$A433&amp;"\"&amp;$A433&amp;"_BL.xlsx","Ouvrir"))</f>
        <v/>
      </c>
      <c r="T433" s="22">
        <f>IF($A433="","",HYPERLINK("Z:\MUSTANG SERVICES\Affaires 2027\"&amp;$A433&amp;"\"&amp;$A433&amp;"_ServiceTicket.xlsx","Ouvrir"))</f>
        <v/>
      </c>
      <c r="U433" s="22">
        <f>IF($A433="","",HYPERLINK("Z:\MUSTANG SERVICES\Affaires 2027\"&amp;$A433&amp;"\","Dossier"))</f>
        <v/>
      </c>
    </row>
    <row r="434" ht="18" customHeight="1">
      <c r="A434" s="16" t="n"/>
      <c r="B434" s="17" t="n"/>
      <c r="C434" s="17" t="n"/>
      <c r="D434" s="18">
        <f>IF(AND(ISNUMBER($B434),ISNUMBER($C434)),$C434-$B434,"")</f>
        <v/>
      </c>
      <c r="E434" s="19" t="n"/>
      <c r="F434" s="20" t="n"/>
      <c r="G434" s="19" t="n"/>
      <c r="H434" s="20" t="n"/>
      <c r="I434" s="20" t="n"/>
      <c r="J434" s="19" t="n"/>
      <c r="K434" s="16" t="n"/>
      <c r="L434" s="20" t="n"/>
      <c r="M434" s="20" t="n"/>
      <c r="N434" s="17" t="n"/>
      <c r="O434" s="18">
        <f>IF(AND(OR($M434="Envoyé",$M434="En attente"),ISNUMBER($C434),NOT(ISNUMBER($N434))),IF(TODAY()-$C434&gt;=7,"⚠ relancer",""),"")</f>
        <v/>
      </c>
      <c r="P434" s="19" t="n"/>
      <c r="Q434" s="22">
        <f>IF($A434="","",HYPERLINK("Z:\MUSTANG SERVICES\Affaires 2027\"&amp;$A434&amp;"\"&amp;$A434&amp;"_Devis.xlsx","Ouvrir"))</f>
        <v/>
      </c>
      <c r="R434" s="22">
        <f>IF($A434="","",HYPERLINK("Z:\MUSTANG SERVICES\Affaires 2027\"&amp;$A434&amp;"\"&amp;$A434&amp;"_ToolList.xlsx","Ouvrir"))</f>
        <v/>
      </c>
      <c r="S434" s="22">
        <f>IF($A434="","",HYPERLINK("Z:\MUSTANG SERVICES\Affaires 2027\"&amp;$A434&amp;"\"&amp;$A434&amp;"_BL.xlsx","Ouvrir"))</f>
        <v/>
      </c>
      <c r="T434" s="22">
        <f>IF($A434="","",HYPERLINK("Z:\MUSTANG SERVICES\Affaires 2027\"&amp;$A434&amp;"\"&amp;$A434&amp;"_ServiceTicket.xlsx","Ouvrir"))</f>
        <v/>
      </c>
      <c r="U434" s="22">
        <f>IF($A434="","",HYPERLINK("Z:\MUSTANG SERVICES\Affaires 2027\"&amp;$A434&amp;"\","Dossier"))</f>
        <v/>
      </c>
    </row>
    <row r="435" ht="18" customHeight="1">
      <c r="A435" s="16" t="n"/>
      <c r="B435" s="17" t="n"/>
      <c r="C435" s="17" t="n"/>
      <c r="D435" s="18">
        <f>IF(AND(ISNUMBER($B435),ISNUMBER($C435)),$C435-$B435,"")</f>
        <v/>
      </c>
      <c r="E435" s="19" t="n"/>
      <c r="F435" s="20" t="n"/>
      <c r="G435" s="19" t="n"/>
      <c r="H435" s="20" t="n"/>
      <c r="I435" s="20" t="n"/>
      <c r="J435" s="19" t="n"/>
      <c r="K435" s="16" t="n"/>
      <c r="L435" s="20" t="n"/>
      <c r="M435" s="20" t="n"/>
      <c r="N435" s="17" t="n"/>
      <c r="O435" s="18">
        <f>IF(AND(OR($M435="Envoyé",$M435="En attente"),ISNUMBER($C435),NOT(ISNUMBER($N435))),IF(TODAY()-$C435&gt;=7,"⚠ relancer",""),"")</f>
        <v/>
      </c>
      <c r="P435" s="19" t="n"/>
      <c r="Q435" s="22">
        <f>IF($A435="","",HYPERLINK("Z:\MUSTANG SERVICES\Affaires 2027\"&amp;$A435&amp;"\"&amp;$A435&amp;"_Devis.xlsx","Ouvrir"))</f>
        <v/>
      </c>
      <c r="R435" s="22">
        <f>IF($A435="","",HYPERLINK("Z:\MUSTANG SERVICES\Affaires 2027\"&amp;$A435&amp;"\"&amp;$A435&amp;"_ToolList.xlsx","Ouvrir"))</f>
        <v/>
      </c>
      <c r="S435" s="22">
        <f>IF($A435="","",HYPERLINK("Z:\MUSTANG SERVICES\Affaires 2027\"&amp;$A435&amp;"\"&amp;$A435&amp;"_BL.xlsx","Ouvrir"))</f>
        <v/>
      </c>
      <c r="T435" s="22">
        <f>IF($A435="","",HYPERLINK("Z:\MUSTANG SERVICES\Affaires 2027\"&amp;$A435&amp;"\"&amp;$A435&amp;"_ServiceTicket.xlsx","Ouvrir"))</f>
        <v/>
      </c>
      <c r="U435" s="22">
        <f>IF($A435="","",HYPERLINK("Z:\MUSTANG SERVICES\Affaires 2027\"&amp;$A435&amp;"\","Dossier"))</f>
        <v/>
      </c>
    </row>
    <row r="436" ht="18" customHeight="1">
      <c r="A436" s="16" t="n"/>
      <c r="B436" s="17" t="n"/>
      <c r="C436" s="17" t="n"/>
      <c r="D436" s="18">
        <f>IF(AND(ISNUMBER($B436),ISNUMBER($C436)),$C436-$B436,"")</f>
        <v/>
      </c>
      <c r="E436" s="19" t="n"/>
      <c r="F436" s="20" t="n"/>
      <c r="G436" s="19" t="n"/>
      <c r="H436" s="20" t="n"/>
      <c r="I436" s="20" t="n"/>
      <c r="J436" s="19" t="n"/>
      <c r="K436" s="16" t="n"/>
      <c r="L436" s="20" t="n"/>
      <c r="M436" s="20" t="n"/>
      <c r="N436" s="17" t="n"/>
      <c r="O436" s="18">
        <f>IF(AND(OR($M436="Envoyé",$M436="En attente"),ISNUMBER($C436),NOT(ISNUMBER($N436))),IF(TODAY()-$C436&gt;=7,"⚠ relancer",""),"")</f>
        <v/>
      </c>
      <c r="P436" s="19" t="n"/>
      <c r="Q436" s="22">
        <f>IF($A436="","",HYPERLINK("Z:\MUSTANG SERVICES\Affaires 2027\"&amp;$A436&amp;"\"&amp;$A436&amp;"_Devis.xlsx","Ouvrir"))</f>
        <v/>
      </c>
      <c r="R436" s="22">
        <f>IF($A436="","",HYPERLINK("Z:\MUSTANG SERVICES\Affaires 2027\"&amp;$A436&amp;"\"&amp;$A436&amp;"_ToolList.xlsx","Ouvrir"))</f>
        <v/>
      </c>
      <c r="S436" s="22">
        <f>IF($A436="","",HYPERLINK("Z:\MUSTANG SERVICES\Affaires 2027\"&amp;$A436&amp;"\"&amp;$A436&amp;"_BL.xlsx","Ouvrir"))</f>
        <v/>
      </c>
      <c r="T436" s="22">
        <f>IF($A436="","",HYPERLINK("Z:\MUSTANG SERVICES\Affaires 2027\"&amp;$A436&amp;"\"&amp;$A436&amp;"_ServiceTicket.xlsx","Ouvrir"))</f>
        <v/>
      </c>
      <c r="U436" s="22">
        <f>IF($A436="","",HYPERLINK("Z:\MUSTANG SERVICES\Affaires 2027\"&amp;$A436&amp;"\","Dossier"))</f>
        <v/>
      </c>
    </row>
    <row r="437" ht="18" customHeight="1">
      <c r="A437" s="16" t="n"/>
      <c r="B437" s="17" t="n"/>
      <c r="C437" s="17" t="n"/>
      <c r="D437" s="18">
        <f>IF(AND(ISNUMBER($B437),ISNUMBER($C437)),$C437-$B437,"")</f>
        <v/>
      </c>
      <c r="E437" s="19" t="n"/>
      <c r="F437" s="20" t="n"/>
      <c r="G437" s="19" t="n"/>
      <c r="H437" s="20" t="n"/>
      <c r="I437" s="20" t="n"/>
      <c r="J437" s="19" t="n"/>
      <c r="K437" s="16" t="n"/>
      <c r="L437" s="20" t="n"/>
      <c r="M437" s="20" t="n"/>
      <c r="N437" s="17" t="n"/>
      <c r="O437" s="18">
        <f>IF(AND(OR($M437="Envoyé",$M437="En attente"),ISNUMBER($C437),NOT(ISNUMBER($N437))),IF(TODAY()-$C437&gt;=7,"⚠ relancer",""),"")</f>
        <v/>
      </c>
      <c r="P437" s="19" t="n"/>
      <c r="Q437" s="22">
        <f>IF($A437="","",HYPERLINK("Z:\MUSTANG SERVICES\Affaires 2027\"&amp;$A437&amp;"\"&amp;$A437&amp;"_Devis.xlsx","Ouvrir"))</f>
        <v/>
      </c>
      <c r="R437" s="22">
        <f>IF($A437="","",HYPERLINK("Z:\MUSTANG SERVICES\Affaires 2027\"&amp;$A437&amp;"\"&amp;$A437&amp;"_ToolList.xlsx","Ouvrir"))</f>
        <v/>
      </c>
      <c r="S437" s="22">
        <f>IF($A437="","",HYPERLINK("Z:\MUSTANG SERVICES\Affaires 2027\"&amp;$A437&amp;"\"&amp;$A437&amp;"_BL.xlsx","Ouvrir"))</f>
        <v/>
      </c>
      <c r="T437" s="22">
        <f>IF($A437="","",HYPERLINK("Z:\MUSTANG SERVICES\Affaires 2027\"&amp;$A437&amp;"\"&amp;$A437&amp;"_ServiceTicket.xlsx","Ouvrir"))</f>
        <v/>
      </c>
      <c r="U437" s="22">
        <f>IF($A437="","",HYPERLINK("Z:\MUSTANG SERVICES\Affaires 2027\"&amp;$A437&amp;"\","Dossier"))</f>
        <v/>
      </c>
    </row>
    <row r="438" ht="18" customHeight="1">
      <c r="A438" s="16" t="n"/>
      <c r="B438" s="17" t="n"/>
      <c r="C438" s="17" t="n"/>
      <c r="D438" s="18">
        <f>IF(AND(ISNUMBER($B438),ISNUMBER($C438)),$C438-$B438,"")</f>
        <v/>
      </c>
      <c r="E438" s="19" t="n"/>
      <c r="F438" s="20" t="n"/>
      <c r="G438" s="19" t="n"/>
      <c r="H438" s="20" t="n"/>
      <c r="I438" s="20" t="n"/>
      <c r="J438" s="19" t="n"/>
      <c r="K438" s="16" t="n"/>
      <c r="L438" s="20" t="n"/>
      <c r="M438" s="20" t="n"/>
      <c r="N438" s="17" t="n"/>
      <c r="O438" s="18">
        <f>IF(AND(OR($M438="Envoyé",$M438="En attente"),ISNUMBER($C438),NOT(ISNUMBER($N438))),IF(TODAY()-$C438&gt;=7,"⚠ relancer",""),"")</f>
        <v/>
      </c>
      <c r="P438" s="19" t="n"/>
      <c r="Q438" s="22">
        <f>IF($A438="","",HYPERLINK("Z:\MUSTANG SERVICES\Affaires 2027\"&amp;$A438&amp;"\"&amp;$A438&amp;"_Devis.xlsx","Ouvrir"))</f>
        <v/>
      </c>
      <c r="R438" s="22">
        <f>IF($A438="","",HYPERLINK("Z:\MUSTANG SERVICES\Affaires 2027\"&amp;$A438&amp;"\"&amp;$A438&amp;"_ToolList.xlsx","Ouvrir"))</f>
        <v/>
      </c>
      <c r="S438" s="22">
        <f>IF($A438="","",HYPERLINK("Z:\MUSTANG SERVICES\Affaires 2027\"&amp;$A438&amp;"\"&amp;$A438&amp;"_BL.xlsx","Ouvrir"))</f>
        <v/>
      </c>
      <c r="T438" s="22">
        <f>IF($A438="","",HYPERLINK("Z:\MUSTANG SERVICES\Affaires 2027\"&amp;$A438&amp;"\"&amp;$A438&amp;"_ServiceTicket.xlsx","Ouvrir"))</f>
        <v/>
      </c>
      <c r="U438" s="22">
        <f>IF($A438="","",HYPERLINK("Z:\MUSTANG SERVICES\Affaires 2027\"&amp;$A438&amp;"\","Dossier"))</f>
        <v/>
      </c>
    </row>
    <row r="439" ht="18" customHeight="1">
      <c r="A439" s="16" t="n"/>
      <c r="B439" s="17" t="n"/>
      <c r="C439" s="17" t="n"/>
      <c r="D439" s="18">
        <f>IF(AND(ISNUMBER($B439),ISNUMBER($C439)),$C439-$B439,"")</f>
        <v/>
      </c>
      <c r="E439" s="19" t="n"/>
      <c r="F439" s="20" t="n"/>
      <c r="G439" s="19" t="n"/>
      <c r="H439" s="20" t="n"/>
      <c r="I439" s="20" t="n"/>
      <c r="J439" s="19" t="n"/>
      <c r="K439" s="16" t="n"/>
      <c r="L439" s="20" t="n"/>
      <c r="M439" s="20" t="n"/>
      <c r="N439" s="17" t="n"/>
      <c r="O439" s="18">
        <f>IF(AND(OR($M439="Envoyé",$M439="En attente"),ISNUMBER($C439),NOT(ISNUMBER($N439))),IF(TODAY()-$C439&gt;=7,"⚠ relancer",""),"")</f>
        <v/>
      </c>
      <c r="P439" s="19" t="n"/>
      <c r="Q439" s="22">
        <f>IF($A439="","",HYPERLINK("Z:\MUSTANG SERVICES\Affaires 2027\"&amp;$A439&amp;"\"&amp;$A439&amp;"_Devis.xlsx","Ouvrir"))</f>
        <v/>
      </c>
      <c r="R439" s="22">
        <f>IF($A439="","",HYPERLINK("Z:\MUSTANG SERVICES\Affaires 2027\"&amp;$A439&amp;"\"&amp;$A439&amp;"_ToolList.xlsx","Ouvrir"))</f>
        <v/>
      </c>
      <c r="S439" s="22">
        <f>IF($A439="","",HYPERLINK("Z:\MUSTANG SERVICES\Affaires 2027\"&amp;$A439&amp;"\"&amp;$A439&amp;"_BL.xlsx","Ouvrir"))</f>
        <v/>
      </c>
      <c r="T439" s="22">
        <f>IF($A439="","",HYPERLINK("Z:\MUSTANG SERVICES\Affaires 2027\"&amp;$A439&amp;"\"&amp;$A439&amp;"_ServiceTicket.xlsx","Ouvrir"))</f>
        <v/>
      </c>
      <c r="U439" s="22">
        <f>IF($A439="","",HYPERLINK("Z:\MUSTANG SERVICES\Affaires 2027\"&amp;$A439&amp;"\","Dossier"))</f>
        <v/>
      </c>
    </row>
    <row r="440" ht="18" customHeight="1">
      <c r="A440" s="16" t="n"/>
      <c r="B440" s="17" t="n"/>
      <c r="C440" s="17" t="n"/>
      <c r="D440" s="18">
        <f>IF(AND(ISNUMBER($B440),ISNUMBER($C440)),$C440-$B440,"")</f>
        <v/>
      </c>
      <c r="E440" s="19" t="n"/>
      <c r="F440" s="20" t="n"/>
      <c r="G440" s="19" t="n"/>
      <c r="H440" s="20" t="n"/>
      <c r="I440" s="20" t="n"/>
      <c r="J440" s="19" t="n"/>
      <c r="K440" s="16" t="n"/>
      <c r="L440" s="20" t="n"/>
      <c r="M440" s="20" t="n"/>
      <c r="N440" s="17" t="n"/>
      <c r="O440" s="18">
        <f>IF(AND(OR($M440="Envoyé",$M440="En attente"),ISNUMBER($C440),NOT(ISNUMBER($N440))),IF(TODAY()-$C440&gt;=7,"⚠ relancer",""),"")</f>
        <v/>
      </c>
      <c r="P440" s="19" t="n"/>
      <c r="Q440" s="22">
        <f>IF($A440="","",HYPERLINK("Z:\MUSTANG SERVICES\Affaires 2027\"&amp;$A440&amp;"\"&amp;$A440&amp;"_Devis.xlsx","Ouvrir"))</f>
        <v/>
      </c>
      <c r="R440" s="22">
        <f>IF($A440="","",HYPERLINK("Z:\MUSTANG SERVICES\Affaires 2027\"&amp;$A440&amp;"\"&amp;$A440&amp;"_ToolList.xlsx","Ouvrir"))</f>
        <v/>
      </c>
      <c r="S440" s="22">
        <f>IF($A440="","",HYPERLINK("Z:\MUSTANG SERVICES\Affaires 2027\"&amp;$A440&amp;"\"&amp;$A440&amp;"_BL.xlsx","Ouvrir"))</f>
        <v/>
      </c>
      <c r="T440" s="22">
        <f>IF($A440="","",HYPERLINK("Z:\MUSTANG SERVICES\Affaires 2027\"&amp;$A440&amp;"\"&amp;$A440&amp;"_ServiceTicket.xlsx","Ouvrir"))</f>
        <v/>
      </c>
      <c r="U440" s="22">
        <f>IF($A440="","",HYPERLINK("Z:\MUSTANG SERVICES\Affaires 2027\"&amp;$A440&amp;"\","Dossier"))</f>
        <v/>
      </c>
    </row>
    <row r="441" ht="18" customHeight="1">
      <c r="A441" s="16" t="n"/>
      <c r="B441" s="17" t="n"/>
      <c r="C441" s="17" t="n"/>
      <c r="D441" s="18">
        <f>IF(AND(ISNUMBER($B441),ISNUMBER($C441)),$C441-$B441,"")</f>
        <v/>
      </c>
      <c r="E441" s="19" t="n"/>
      <c r="F441" s="20" t="n"/>
      <c r="G441" s="19" t="n"/>
      <c r="H441" s="20" t="n"/>
      <c r="I441" s="20" t="n"/>
      <c r="J441" s="19" t="n"/>
      <c r="K441" s="16" t="n"/>
      <c r="L441" s="20" t="n"/>
      <c r="M441" s="20" t="n"/>
      <c r="N441" s="17" t="n"/>
      <c r="O441" s="18">
        <f>IF(AND(OR($M441="Envoyé",$M441="En attente"),ISNUMBER($C441),NOT(ISNUMBER($N441))),IF(TODAY()-$C441&gt;=7,"⚠ relancer",""),"")</f>
        <v/>
      </c>
      <c r="P441" s="19" t="n"/>
      <c r="Q441" s="22">
        <f>IF($A441="","",HYPERLINK("Z:\MUSTANG SERVICES\Affaires 2027\"&amp;$A441&amp;"\"&amp;$A441&amp;"_Devis.xlsx","Ouvrir"))</f>
        <v/>
      </c>
      <c r="R441" s="22">
        <f>IF($A441="","",HYPERLINK("Z:\MUSTANG SERVICES\Affaires 2027\"&amp;$A441&amp;"\"&amp;$A441&amp;"_ToolList.xlsx","Ouvrir"))</f>
        <v/>
      </c>
      <c r="S441" s="22">
        <f>IF($A441="","",HYPERLINK("Z:\MUSTANG SERVICES\Affaires 2027\"&amp;$A441&amp;"\"&amp;$A441&amp;"_BL.xlsx","Ouvrir"))</f>
        <v/>
      </c>
      <c r="T441" s="22">
        <f>IF($A441="","",HYPERLINK("Z:\MUSTANG SERVICES\Affaires 2027\"&amp;$A441&amp;"\"&amp;$A441&amp;"_ServiceTicket.xlsx","Ouvrir"))</f>
        <v/>
      </c>
      <c r="U441" s="22">
        <f>IF($A441="","",HYPERLINK("Z:\MUSTANG SERVICES\Affaires 2027\"&amp;$A441&amp;"\","Dossier"))</f>
        <v/>
      </c>
    </row>
    <row r="442" ht="18" customHeight="1">
      <c r="A442" s="16" t="n"/>
      <c r="B442" s="17" t="n"/>
      <c r="C442" s="17" t="n"/>
      <c r="D442" s="18">
        <f>IF(AND(ISNUMBER($B442),ISNUMBER($C442)),$C442-$B442,"")</f>
        <v/>
      </c>
      <c r="E442" s="19" t="n"/>
      <c r="F442" s="20" t="n"/>
      <c r="G442" s="19" t="n"/>
      <c r="H442" s="20" t="n"/>
      <c r="I442" s="20" t="n"/>
      <c r="J442" s="19" t="n"/>
      <c r="K442" s="16" t="n"/>
      <c r="L442" s="20" t="n"/>
      <c r="M442" s="20" t="n"/>
      <c r="N442" s="17" t="n"/>
      <c r="O442" s="18">
        <f>IF(AND(OR($M442="Envoyé",$M442="En attente"),ISNUMBER($C442),NOT(ISNUMBER($N442))),IF(TODAY()-$C442&gt;=7,"⚠ relancer",""),"")</f>
        <v/>
      </c>
      <c r="P442" s="19" t="n"/>
      <c r="Q442" s="22">
        <f>IF($A442="","",HYPERLINK("Z:\MUSTANG SERVICES\Affaires 2027\"&amp;$A442&amp;"\"&amp;$A442&amp;"_Devis.xlsx","Ouvrir"))</f>
        <v/>
      </c>
      <c r="R442" s="22">
        <f>IF($A442="","",HYPERLINK("Z:\MUSTANG SERVICES\Affaires 2027\"&amp;$A442&amp;"\"&amp;$A442&amp;"_ToolList.xlsx","Ouvrir"))</f>
        <v/>
      </c>
      <c r="S442" s="22">
        <f>IF($A442="","",HYPERLINK("Z:\MUSTANG SERVICES\Affaires 2027\"&amp;$A442&amp;"\"&amp;$A442&amp;"_BL.xlsx","Ouvrir"))</f>
        <v/>
      </c>
      <c r="T442" s="22">
        <f>IF($A442="","",HYPERLINK("Z:\MUSTANG SERVICES\Affaires 2027\"&amp;$A442&amp;"\"&amp;$A442&amp;"_ServiceTicket.xlsx","Ouvrir"))</f>
        <v/>
      </c>
      <c r="U442" s="22">
        <f>IF($A442="","",HYPERLINK("Z:\MUSTANG SERVICES\Affaires 2027\"&amp;$A442&amp;"\","Dossier"))</f>
        <v/>
      </c>
    </row>
    <row r="443" ht="18" customHeight="1">
      <c r="A443" s="16" t="n"/>
      <c r="B443" s="17" t="n"/>
      <c r="C443" s="17" t="n"/>
      <c r="D443" s="18">
        <f>IF(AND(ISNUMBER($B443),ISNUMBER($C443)),$C443-$B443,"")</f>
        <v/>
      </c>
      <c r="E443" s="19" t="n"/>
      <c r="F443" s="20" t="n"/>
      <c r="G443" s="19" t="n"/>
      <c r="H443" s="20" t="n"/>
      <c r="I443" s="20" t="n"/>
      <c r="J443" s="19" t="n"/>
      <c r="K443" s="16" t="n"/>
      <c r="L443" s="20" t="n"/>
      <c r="M443" s="20" t="n"/>
      <c r="N443" s="17" t="n"/>
      <c r="O443" s="18">
        <f>IF(AND(OR($M443="Envoyé",$M443="En attente"),ISNUMBER($C443),NOT(ISNUMBER($N443))),IF(TODAY()-$C443&gt;=7,"⚠ relancer",""),"")</f>
        <v/>
      </c>
      <c r="P443" s="19" t="n"/>
      <c r="Q443" s="22">
        <f>IF($A443="","",HYPERLINK("Z:\MUSTANG SERVICES\Affaires 2027\"&amp;$A443&amp;"\"&amp;$A443&amp;"_Devis.xlsx","Ouvrir"))</f>
        <v/>
      </c>
      <c r="R443" s="22">
        <f>IF($A443="","",HYPERLINK("Z:\MUSTANG SERVICES\Affaires 2027\"&amp;$A443&amp;"\"&amp;$A443&amp;"_ToolList.xlsx","Ouvrir"))</f>
        <v/>
      </c>
      <c r="S443" s="22">
        <f>IF($A443="","",HYPERLINK("Z:\MUSTANG SERVICES\Affaires 2027\"&amp;$A443&amp;"\"&amp;$A443&amp;"_BL.xlsx","Ouvrir"))</f>
        <v/>
      </c>
      <c r="T443" s="22">
        <f>IF($A443="","",HYPERLINK("Z:\MUSTANG SERVICES\Affaires 2027\"&amp;$A443&amp;"\"&amp;$A443&amp;"_ServiceTicket.xlsx","Ouvrir"))</f>
        <v/>
      </c>
      <c r="U443" s="22">
        <f>IF($A443="","",HYPERLINK("Z:\MUSTANG SERVICES\Affaires 2027\"&amp;$A443&amp;"\","Dossier"))</f>
        <v/>
      </c>
    </row>
    <row r="444" ht="18" customHeight="1">
      <c r="A444" s="16" t="n"/>
      <c r="B444" s="17" t="n"/>
      <c r="C444" s="17" t="n"/>
      <c r="D444" s="18">
        <f>IF(AND(ISNUMBER($B444),ISNUMBER($C444)),$C444-$B444,"")</f>
        <v/>
      </c>
      <c r="E444" s="19" t="n"/>
      <c r="F444" s="20" t="n"/>
      <c r="G444" s="19" t="n"/>
      <c r="H444" s="20" t="n"/>
      <c r="I444" s="20" t="n"/>
      <c r="J444" s="19" t="n"/>
      <c r="K444" s="16" t="n"/>
      <c r="L444" s="20" t="n"/>
      <c r="M444" s="20" t="n"/>
      <c r="N444" s="17" t="n"/>
      <c r="O444" s="18">
        <f>IF(AND(OR($M444="Envoyé",$M444="En attente"),ISNUMBER($C444),NOT(ISNUMBER($N444))),IF(TODAY()-$C444&gt;=7,"⚠ relancer",""),"")</f>
        <v/>
      </c>
      <c r="P444" s="19" t="n"/>
      <c r="Q444" s="22">
        <f>IF($A444="","",HYPERLINK("Z:\MUSTANG SERVICES\Affaires 2027\"&amp;$A444&amp;"\"&amp;$A444&amp;"_Devis.xlsx","Ouvrir"))</f>
        <v/>
      </c>
      <c r="R444" s="22">
        <f>IF($A444="","",HYPERLINK("Z:\MUSTANG SERVICES\Affaires 2027\"&amp;$A444&amp;"\"&amp;$A444&amp;"_ToolList.xlsx","Ouvrir"))</f>
        <v/>
      </c>
      <c r="S444" s="22">
        <f>IF($A444="","",HYPERLINK("Z:\MUSTANG SERVICES\Affaires 2027\"&amp;$A444&amp;"\"&amp;$A444&amp;"_BL.xlsx","Ouvrir"))</f>
        <v/>
      </c>
      <c r="T444" s="22">
        <f>IF($A444="","",HYPERLINK("Z:\MUSTANG SERVICES\Affaires 2027\"&amp;$A444&amp;"\"&amp;$A444&amp;"_ServiceTicket.xlsx","Ouvrir"))</f>
        <v/>
      </c>
      <c r="U444" s="22">
        <f>IF($A444="","",HYPERLINK("Z:\MUSTANG SERVICES\Affaires 2027\"&amp;$A444&amp;"\","Dossier"))</f>
        <v/>
      </c>
    </row>
    <row r="445" ht="18" customHeight="1">
      <c r="A445" s="16" t="n"/>
      <c r="B445" s="17" t="n"/>
      <c r="C445" s="17" t="n"/>
      <c r="D445" s="18">
        <f>IF(AND(ISNUMBER($B445),ISNUMBER($C445)),$C445-$B445,"")</f>
        <v/>
      </c>
      <c r="E445" s="19" t="n"/>
      <c r="F445" s="20" t="n"/>
      <c r="G445" s="19" t="n"/>
      <c r="H445" s="20" t="n"/>
      <c r="I445" s="20" t="n"/>
      <c r="J445" s="19" t="n"/>
      <c r="K445" s="16" t="n"/>
      <c r="L445" s="20" t="n"/>
      <c r="M445" s="20" t="n"/>
      <c r="N445" s="17" t="n"/>
      <c r="O445" s="18">
        <f>IF(AND(OR($M445="Envoyé",$M445="En attente"),ISNUMBER($C445),NOT(ISNUMBER($N445))),IF(TODAY()-$C445&gt;=7,"⚠ relancer",""),"")</f>
        <v/>
      </c>
      <c r="P445" s="19" t="n"/>
      <c r="Q445" s="22">
        <f>IF($A445="","",HYPERLINK("Z:\MUSTANG SERVICES\Affaires 2027\"&amp;$A445&amp;"\"&amp;$A445&amp;"_Devis.xlsx","Ouvrir"))</f>
        <v/>
      </c>
      <c r="R445" s="22">
        <f>IF($A445="","",HYPERLINK("Z:\MUSTANG SERVICES\Affaires 2027\"&amp;$A445&amp;"\"&amp;$A445&amp;"_ToolList.xlsx","Ouvrir"))</f>
        <v/>
      </c>
      <c r="S445" s="22">
        <f>IF($A445="","",HYPERLINK("Z:\MUSTANG SERVICES\Affaires 2027\"&amp;$A445&amp;"\"&amp;$A445&amp;"_BL.xlsx","Ouvrir"))</f>
        <v/>
      </c>
      <c r="T445" s="22">
        <f>IF($A445="","",HYPERLINK("Z:\MUSTANG SERVICES\Affaires 2027\"&amp;$A445&amp;"\"&amp;$A445&amp;"_ServiceTicket.xlsx","Ouvrir"))</f>
        <v/>
      </c>
      <c r="U445" s="22">
        <f>IF($A445="","",HYPERLINK("Z:\MUSTANG SERVICES\Affaires 2027\"&amp;$A445&amp;"\","Dossier"))</f>
        <v/>
      </c>
    </row>
    <row r="446" ht="18" customHeight="1">
      <c r="A446" s="16" t="n"/>
      <c r="B446" s="17" t="n"/>
      <c r="C446" s="17" t="n"/>
      <c r="D446" s="18">
        <f>IF(AND(ISNUMBER($B446),ISNUMBER($C446)),$C446-$B446,"")</f>
        <v/>
      </c>
      <c r="E446" s="19" t="n"/>
      <c r="F446" s="20" t="n"/>
      <c r="G446" s="19" t="n"/>
      <c r="H446" s="20" t="n"/>
      <c r="I446" s="20" t="n"/>
      <c r="J446" s="19" t="n"/>
      <c r="K446" s="16" t="n"/>
      <c r="L446" s="20" t="n"/>
      <c r="M446" s="20" t="n"/>
      <c r="N446" s="17" t="n"/>
      <c r="O446" s="18">
        <f>IF(AND(OR($M446="Envoyé",$M446="En attente"),ISNUMBER($C446),NOT(ISNUMBER($N446))),IF(TODAY()-$C446&gt;=7,"⚠ relancer",""),"")</f>
        <v/>
      </c>
      <c r="P446" s="19" t="n"/>
      <c r="Q446" s="22">
        <f>IF($A446="","",HYPERLINK("Z:\MUSTANG SERVICES\Affaires 2027\"&amp;$A446&amp;"\"&amp;$A446&amp;"_Devis.xlsx","Ouvrir"))</f>
        <v/>
      </c>
      <c r="R446" s="22">
        <f>IF($A446="","",HYPERLINK("Z:\MUSTANG SERVICES\Affaires 2027\"&amp;$A446&amp;"\"&amp;$A446&amp;"_ToolList.xlsx","Ouvrir"))</f>
        <v/>
      </c>
      <c r="S446" s="22">
        <f>IF($A446="","",HYPERLINK("Z:\MUSTANG SERVICES\Affaires 2027\"&amp;$A446&amp;"\"&amp;$A446&amp;"_BL.xlsx","Ouvrir"))</f>
        <v/>
      </c>
      <c r="T446" s="22">
        <f>IF($A446="","",HYPERLINK("Z:\MUSTANG SERVICES\Affaires 2027\"&amp;$A446&amp;"\"&amp;$A446&amp;"_ServiceTicket.xlsx","Ouvrir"))</f>
        <v/>
      </c>
      <c r="U446" s="22">
        <f>IF($A446="","",HYPERLINK("Z:\MUSTANG SERVICES\Affaires 2027\"&amp;$A446&amp;"\","Dossier"))</f>
        <v/>
      </c>
    </row>
    <row r="447" ht="18" customHeight="1">
      <c r="A447" s="16" t="n"/>
      <c r="B447" s="17" t="n"/>
      <c r="C447" s="17" t="n"/>
      <c r="D447" s="18">
        <f>IF(AND(ISNUMBER($B447),ISNUMBER($C447)),$C447-$B447,"")</f>
        <v/>
      </c>
      <c r="E447" s="19" t="n"/>
      <c r="F447" s="20" t="n"/>
      <c r="G447" s="19" t="n"/>
      <c r="H447" s="20" t="n"/>
      <c r="I447" s="20" t="n"/>
      <c r="J447" s="19" t="n"/>
      <c r="K447" s="16" t="n"/>
      <c r="L447" s="20" t="n"/>
      <c r="M447" s="20" t="n"/>
      <c r="N447" s="17" t="n"/>
      <c r="O447" s="18">
        <f>IF(AND(OR($M447="Envoyé",$M447="En attente"),ISNUMBER($C447),NOT(ISNUMBER($N447))),IF(TODAY()-$C447&gt;=7,"⚠ relancer",""),"")</f>
        <v/>
      </c>
      <c r="P447" s="19" t="n"/>
      <c r="Q447" s="22">
        <f>IF($A447="","",HYPERLINK("Z:\MUSTANG SERVICES\Affaires 2027\"&amp;$A447&amp;"\"&amp;$A447&amp;"_Devis.xlsx","Ouvrir"))</f>
        <v/>
      </c>
      <c r="R447" s="22">
        <f>IF($A447="","",HYPERLINK("Z:\MUSTANG SERVICES\Affaires 2027\"&amp;$A447&amp;"\"&amp;$A447&amp;"_ToolList.xlsx","Ouvrir"))</f>
        <v/>
      </c>
      <c r="S447" s="22">
        <f>IF($A447="","",HYPERLINK("Z:\MUSTANG SERVICES\Affaires 2027\"&amp;$A447&amp;"\"&amp;$A447&amp;"_BL.xlsx","Ouvrir"))</f>
        <v/>
      </c>
      <c r="T447" s="22">
        <f>IF($A447="","",HYPERLINK("Z:\MUSTANG SERVICES\Affaires 2027\"&amp;$A447&amp;"\"&amp;$A447&amp;"_ServiceTicket.xlsx","Ouvrir"))</f>
        <v/>
      </c>
      <c r="U447" s="22">
        <f>IF($A447="","",HYPERLINK("Z:\MUSTANG SERVICES\Affaires 2027\"&amp;$A447&amp;"\","Dossier"))</f>
        <v/>
      </c>
    </row>
    <row r="448" ht="18" customHeight="1">
      <c r="A448" s="16" t="n"/>
      <c r="B448" s="17" t="n"/>
      <c r="C448" s="17" t="n"/>
      <c r="D448" s="18">
        <f>IF(AND(ISNUMBER($B448),ISNUMBER($C448)),$C448-$B448,"")</f>
        <v/>
      </c>
      <c r="E448" s="19" t="n"/>
      <c r="F448" s="20" t="n"/>
      <c r="G448" s="19" t="n"/>
      <c r="H448" s="20" t="n"/>
      <c r="I448" s="20" t="n"/>
      <c r="J448" s="19" t="n"/>
      <c r="K448" s="16" t="n"/>
      <c r="L448" s="20" t="n"/>
      <c r="M448" s="20" t="n"/>
      <c r="N448" s="17" t="n"/>
      <c r="O448" s="18">
        <f>IF(AND(OR($M448="Envoyé",$M448="En attente"),ISNUMBER($C448),NOT(ISNUMBER($N448))),IF(TODAY()-$C448&gt;=7,"⚠ relancer",""),"")</f>
        <v/>
      </c>
      <c r="P448" s="19" t="n"/>
      <c r="Q448" s="22">
        <f>IF($A448="","",HYPERLINK("Z:\MUSTANG SERVICES\Affaires 2027\"&amp;$A448&amp;"\"&amp;$A448&amp;"_Devis.xlsx","Ouvrir"))</f>
        <v/>
      </c>
      <c r="R448" s="22">
        <f>IF($A448="","",HYPERLINK("Z:\MUSTANG SERVICES\Affaires 2027\"&amp;$A448&amp;"\"&amp;$A448&amp;"_ToolList.xlsx","Ouvrir"))</f>
        <v/>
      </c>
      <c r="S448" s="22">
        <f>IF($A448="","",HYPERLINK("Z:\MUSTANG SERVICES\Affaires 2027\"&amp;$A448&amp;"\"&amp;$A448&amp;"_BL.xlsx","Ouvrir"))</f>
        <v/>
      </c>
      <c r="T448" s="22">
        <f>IF($A448="","",HYPERLINK("Z:\MUSTANG SERVICES\Affaires 2027\"&amp;$A448&amp;"\"&amp;$A448&amp;"_ServiceTicket.xlsx","Ouvrir"))</f>
        <v/>
      </c>
      <c r="U448" s="22">
        <f>IF($A448="","",HYPERLINK("Z:\MUSTANG SERVICES\Affaires 2027\"&amp;$A448&amp;"\","Dossier"))</f>
        <v/>
      </c>
    </row>
    <row r="449" ht="18" customHeight="1">
      <c r="A449" s="16" t="n"/>
      <c r="B449" s="17" t="n"/>
      <c r="C449" s="17" t="n"/>
      <c r="D449" s="18">
        <f>IF(AND(ISNUMBER($B449),ISNUMBER($C449)),$C449-$B449,"")</f>
        <v/>
      </c>
      <c r="E449" s="19" t="n"/>
      <c r="F449" s="20" t="n"/>
      <c r="G449" s="19" t="n"/>
      <c r="H449" s="20" t="n"/>
      <c r="I449" s="20" t="n"/>
      <c r="J449" s="19" t="n"/>
      <c r="K449" s="16" t="n"/>
      <c r="L449" s="20" t="n"/>
      <c r="M449" s="20" t="n"/>
      <c r="N449" s="17" t="n"/>
      <c r="O449" s="18">
        <f>IF(AND(OR($M449="Envoyé",$M449="En attente"),ISNUMBER($C449),NOT(ISNUMBER($N449))),IF(TODAY()-$C449&gt;=7,"⚠ relancer",""),"")</f>
        <v/>
      </c>
      <c r="P449" s="19" t="n"/>
      <c r="Q449" s="22">
        <f>IF($A449="","",HYPERLINK("Z:\MUSTANG SERVICES\Affaires 2027\"&amp;$A449&amp;"\"&amp;$A449&amp;"_Devis.xlsx","Ouvrir"))</f>
        <v/>
      </c>
      <c r="R449" s="22">
        <f>IF($A449="","",HYPERLINK("Z:\MUSTANG SERVICES\Affaires 2027\"&amp;$A449&amp;"\"&amp;$A449&amp;"_ToolList.xlsx","Ouvrir"))</f>
        <v/>
      </c>
      <c r="S449" s="22">
        <f>IF($A449="","",HYPERLINK("Z:\MUSTANG SERVICES\Affaires 2027\"&amp;$A449&amp;"\"&amp;$A449&amp;"_BL.xlsx","Ouvrir"))</f>
        <v/>
      </c>
      <c r="T449" s="22">
        <f>IF($A449="","",HYPERLINK("Z:\MUSTANG SERVICES\Affaires 2027\"&amp;$A449&amp;"\"&amp;$A449&amp;"_ServiceTicket.xlsx","Ouvrir"))</f>
        <v/>
      </c>
      <c r="U449" s="22">
        <f>IF($A449="","",HYPERLINK("Z:\MUSTANG SERVICES\Affaires 2027\"&amp;$A449&amp;"\","Dossier"))</f>
        <v/>
      </c>
    </row>
    <row r="450" ht="18" customHeight="1">
      <c r="A450" s="16" t="n"/>
      <c r="B450" s="17" t="n"/>
      <c r="C450" s="17" t="n"/>
      <c r="D450" s="18">
        <f>IF(AND(ISNUMBER($B450),ISNUMBER($C450)),$C450-$B450,"")</f>
        <v/>
      </c>
      <c r="E450" s="19" t="n"/>
      <c r="F450" s="20" t="n"/>
      <c r="G450" s="19" t="n"/>
      <c r="H450" s="20" t="n"/>
      <c r="I450" s="20" t="n"/>
      <c r="J450" s="19" t="n"/>
      <c r="K450" s="16" t="n"/>
      <c r="L450" s="20" t="n"/>
      <c r="M450" s="20" t="n"/>
      <c r="N450" s="17" t="n"/>
      <c r="O450" s="18">
        <f>IF(AND(OR($M450="Envoyé",$M450="En attente"),ISNUMBER($C450),NOT(ISNUMBER($N450))),IF(TODAY()-$C450&gt;=7,"⚠ relancer",""),"")</f>
        <v/>
      </c>
      <c r="P450" s="19" t="n"/>
      <c r="Q450" s="22">
        <f>IF($A450="","",HYPERLINK("Z:\MUSTANG SERVICES\Affaires 2027\"&amp;$A450&amp;"\"&amp;$A450&amp;"_Devis.xlsx","Ouvrir"))</f>
        <v/>
      </c>
      <c r="R450" s="22">
        <f>IF($A450="","",HYPERLINK("Z:\MUSTANG SERVICES\Affaires 2027\"&amp;$A450&amp;"\"&amp;$A450&amp;"_ToolList.xlsx","Ouvrir"))</f>
        <v/>
      </c>
      <c r="S450" s="22">
        <f>IF($A450="","",HYPERLINK("Z:\MUSTANG SERVICES\Affaires 2027\"&amp;$A450&amp;"\"&amp;$A450&amp;"_BL.xlsx","Ouvrir"))</f>
        <v/>
      </c>
      <c r="T450" s="22">
        <f>IF($A450="","",HYPERLINK("Z:\MUSTANG SERVICES\Affaires 2027\"&amp;$A450&amp;"\"&amp;$A450&amp;"_ServiceTicket.xlsx","Ouvrir"))</f>
        <v/>
      </c>
      <c r="U450" s="22">
        <f>IF($A450="","",HYPERLINK("Z:\MUSTANG SERVICES\Affaires 2027\"&amp;$A450&amp;"\","Dossier"))</f>
        <v/>
      </c>
    </row>
    <row r="451" ht="18" customHeight="1">
      <c r="A451" s="16" t="n"/>
      <c r="B451" s="17" t="n"/>
      <c r="C451" s="17" t="n"/>
      <c r="D451" s="18">
        <f>IF(AND(ISNUMBER($B451),ISNUMBER($C451)),$C451-$B451,"")</f>
        <v/>
      </c>
      <c r="E451" s="19" t="n"/>
      <c r="F451" s="20" t="n"/>
      <c r="G451" s="19" t="n"/>
      <c r="H451" s="20" t="n"/>
      <c r="I451" s="20" t="n"/>
      <c r="J451" s="19" t="n"/>
      <c r="K451" s="16" t="n"/>
      <c r="L451" s="20" t="n"/>
      <c r="M451" s="20" t="n"/>
      <c r="N451" s="17" t="n"/>
      <c r="O451" s="18">
        <f>IF(AND(OR($M451="Envoyé",$M451="En attente"),ISNUMBER($C451),NOT(ISNUMBER($N451))),IF(TODAY()-$C451&gt;=7,"⚠ relancer",""),"")</f>
        <v/>
      </c>
      <c r="P451" s="19" t="n"/>
      <c r="Q451" s="22">
        <f>IF($A451="","",HYPERLINK("Z:\MUSTANG SERVICES\Affaires 2027\"&amp;$A451&amp;"\"&amp;$A451&amp;"_Devis.xlsx","Ouvrir"))</f>
        <v/>
      </c>
      <c r="R451" s="22">
        <f>IF($A451="","",HYPERLINK("Z:\MUSTANG SERVICES\Affaires 2027\"&amp;$A451&amp;"\"&amp;$A451&amp;"_ToolList.xlsx","Ouvrir"))</f>
        <v/>
      </c>
      <c r="S451" s="22">
        <f>IF($A451="","",HYPERLINK("Z:\MUSTANG SERVICES\Affaires 2027\"&amp;$A451&amp;"\"&amp;$A451&amp;"_BL.xlsx","Ouvrir"))</f>
        <v/>
      </c>
      <c r="T451" s="22">
        <f>IF($A451="","",HYPERLINK("Z:\MUSTANG SERVICES\Affaires 2027\"&amp;$A451&amp;"\"&amp;$A451&amp;"_ServiceTicket.xlsx","Ouvrir"))</f>
        <v/>
      </c>
      <c r="U451" s="22">
        <f>IF($A451="","",HYPERLINK("Z:\MUSTANG SERVICES\Affaires 2027\"&amp;$A451&amp;"\","Dossier"))</f>
        <v/>
      </c>
    </row>
    <row r="452" ht="18" customHeight="1">
      <c r="A452" s="16" t="n"/>
      <c r="B452" s="17" t="n"/>
      <c r="C452" s="17" t="n"/>
      <c r="D452" s="18">
        <f>IF(AND(ISNUMBER($B452),ISNUMBER($C452)),$C452-$B452,"")</f>
        <v/>
      </c>
      <c r="E452" s="19" t="n"/>
      <c r="F452" s="20" t="n"/>
      <c r="G452" s="19" t="n"/>
      <c r="H452" s="20" t="n"/>
      <c r="I452" s="20" t="n"/>
      <c r="J452" s="19" t="n"/>
      <c r="K452" s="16" t="n"/>
      <c r="L452" s="20" t="n"/>
      <c r="M452" s="20" t="n"/>
      <c r="N452" s="17" t="n"/>
      <c r="O452" s="18">
        <f>IF(AND(OR($M452="Envoyé",$M452="En attente"),ISNUMBER($C452),NOT(ISNUMBER($N452))),IF(TODAY()-$C452&gt;=7,"⚠ relancer",""),"")</f>
        <v/>
      </c>
      <c r="P452" s="19" t="n"/>
      <c r="Q452" s="22">
        <f>IF($A452="","",HYPERLINK("Z:\MUSTANG SERVICES\Affaires 2027\"&amp;$A452&amp;"\"&amp;$A452&amp;"_Devis.xlsx","Ouvrir"))</f>
        <v/>
      </c>
      <c r="R452" s="22">
        <f>IF($A452="","",HYPERLINK("Z:\MUSTANG SERVICES\Affaires 2027\"&amp;$A452&amp;"\"&amp;$A452&amp;"_ToolList.xlsx","Ouvrir"))</f>
        <v/>
      </c>
      <c r="S452" s="22">
        <f>IF($A452="","",HYPERLINK("Z:\MUSTANG SERVICES\Affaires 2027\"&amp;$A452&amp;"\"&amp;$A452&amp;"_BL.xlsx","Ouvrir"))</f>
        <v/>
      </c>
      <c r="T452" s="22">
        <f>IF($A452="","",HYPERLINK("Z:\MUSTANG SERVICES\Affaires 2027\"&amp;$A452&amp;"\"&amp;$A452&amp;"_ServiceTicket.xlsx","Ouvrir"))</f>
        <v/>
      </c>
      <c r="U452" s="22">
        <f>IF($A452="","",HYPERLINK("Z:\MUSTANG SERVICES\Affaires 2027\"&amp;$A452&amp;"\","Dossier"))</f>
        <v/>
      </c>
    </row>
    <row r="453" ht="18" customHeight="1">
      <c r="A453" s="16" t="n"/>
      <c r="B453" s="17" t="n"/>
      <c r="C453" s="17" t="n"/>
      <c r="D453" s="18">
        <f>IF(AND(ISNUMBER($B453),ISNUMBER($C453)),$C453-$B453,"")</f>
        <v/>
      </c>
      <c r="E453" s="19" t="n"/>
      <c r="F453" s="20" t="n"/>
      <c r="G453" s="19" t="n"/>
      <c r="H453" s="20" t="n"/>
      <c r="I453" s="20" t="n"/>
      <c r="J453" s="19" t="n"/>
      <c r="K453" s="16" t="n"/>
      <c r="L453" s="20" t="n"/>
      <c r="M453" s="20" t="n"/>
      <c r="N453" s="17" t="n"/>
      <c r="O453" s="18">
        <f>IF(AND(OR($M453="Envoyé",$M453="En attente"),ISNUMBER($C453),NOT(ISNUMBER($N453))),IF(TODAY()-$C453&gt;=7,"⚠ relancer",""),"")</f>
        <v/>
      </c>
      <c r="P453" s="19" t="n"/>
      <c r="Q453" s="22">
        <f>IF($A453="","",HYPERLINK("Z:\MUSTANG SERVICES\Affaires 2027\"&amp;$A453&amp;"\"&amp;$A453&amp;"_Devis.xlsx","Ouvrir"))</f>
        <v/>
      </c>
      <c r="R453" s="22">
        <f>IF($A453="","",HYPERLINK("Z:\MUSTANG SERVICES\Affaires 2027\"&amp;$A453&amp;"\"&amp;$A453&amp;"_ToolList.xlsx","Ouvrir"))</f>
        <v/>
      </c>
      <c r="S453" s="22">
        <f>IF($A453="","",HYPERLINK("Z:\MUSTANG SERVICES\Affaires 2027\"&amp;$A453&amp;"\"&amp;$A453&amp;"_BL.xlsx","Ouvrir"))</f>
        <v/>
      </c>
      <c r="T453" s="22">
        <f>IF($A453="","",HYPERLINK("Z:\MUSTANG SERVICES\Affaires 2027\"&amp;$A453&amp;"\"&amp;$A453&amp;"_ServiceTicket.xlsx","Ouvrir"))</f>
        <v/>
      </c>
      <c r="U453" s="22">
        <f>IF($A453="","",HYPERLINK("Z:\MUSTANG SERVICES\Affaires 2027\"&amp;$A453&amp;"\","Dossier"))</f>
        <v/>
      </c>
    </row>
    <row r="454" ht="18" customHeight="1">
      <c r="A454" s="16" t="n"/>
      <c r="B454" s="17" t="n"/>
      <c r="C454" s="17" t="n"/>
      <c r="D454" s="18">
        <f>IF(AND(ISNUMBER($B454),ISNUMBER($C454)),$C454-$B454,"")</f>
        <v/>
      </c>
      <c r="E454" s="19" t="n"/>
      <c r="F454" s="20" t="n"/>
      <c r="G454" s="19" t="n"/>
      <c r="H454" s="20" t="n"/>
      <c r="I454" s="20" t="n"/>
      <c r="J454" s="19" t="n"/>
      <c r="K454" s="16" t="n"/>
      <c r="L454" s="20" t="n"/>
      <c r="M454" s="20" t="n"/>
      <c r="N454" s="17" t="n"/>
      <c r="O454" s="18">
        <f>IF(AND(OR($M454="Envoyé",$M454="En attente"),ISNUMBER($C454),NOT(ISNUMBER($N454))),IF(TODAY()-$C454&gt;=7,"⚠ relancer",""),"")</f>
        <v/>
      </c>
      <c r="P454" s="19" t="n"/>
      <c r="Q454" s="22">
        <f>IF($A454="","",HYPERLINK("Z:\MUSTANG SERVICES\Affaires 2027\"&amp;$A454&amp;"\"&amp;$A454&amp;"_Devis.xlsx","Ouvrir"))</f>
        <v/>
      </c>
      <c r="R454" s="22">
        <f>IF($A454="","",HYPERLINK("Z:\MUSTANG SERVICES\Affaires 2027\"&amp;$A454&amp;"\"&amp;$A454&amp;"_ToolList.xlsx","Ouvrir"))</f>
        <v/>
      </c>
      <c r="S454" s="22">
        <f>IF($A454="","",HYPERLINK("Z:\MUSTANG SERVICES\Affaires 2027\"&amp;$A454&amp;"\"&amp;$A454&amp;"_BL.xlsx","Ouvrir"))</f>
        <v/>
      </c>
      <c r="T454" s="22">
        <f>IF($A454="","",HYPERLINK("Z:\MUSTANG SERVICES\Affaires 2027\"&amp;$A454&amp;"\"&amp;$A454&amp;"_ServiceTicket.xlsx","Ouvrir"))</f>
        <v/>
      </c>
      <c r="U454" s="22">
        <f>IF($A454="","",HYPERLINK("Z:\MUSTANG SERVICES\Affaires 2027\"&amp;$A454&amp;"\","Dossier"))</f>
        <v/>
      </c>
    </row>
    <row r="455" ht="18" customHeight="1">
      <c r="A455" s="16" t="n"/>
      <c r="B455" s="17" t="n"/>
      <c r="C455" s="17" t="n"/>
      <c r="D455" s="18">
        <f>IF(AND(ISNUMBER($B455),ISNUMBER($C455)),$C455-$B455,"")</f>
        <v/>
      </c>
      <c r="E455" s="19" t="n"/>
      <c r="F455" s="20" t="n"/>
      <c r="G455" s="19" t="n"/>
      <c r="H455" s="20" t="n"/>
      <c r="I455" s="20" t="n"/>
      <c r="J455" s="19" t="n"/>
      <c r="K455" s="16" t="n"/>
      <c r="L455" s="20" t="n"/>
      <c r="M455" s="20" t="n"/>
      <c r="N455" s="17" t="n"/>
      <c r="O455" s="18">
        <f>IF(AND(OR($M455="Envoyé",$M455="En attente"),ISNUMBER($C455),NOT(ISNUMBER($N455))),IF(TODAY()-$C455&gt;=7,"⚠ relancer",""),"")</f>
        <v/>
      </c>
      <c r="P455" s="19" t="n"/>
      <c r="Q455" s="22">
        <f>IF($A455="","",HYPERLINK("Z:\MUSTANG SERVICES\Affaires 2027\"&amp;$A455&amp;"\"&amp;$A455&amp;"_Devis.xlsx","Ouvrir"))</f>
        <v/>
      </c>
      <c r="R455" s="22">
        <f>IF($A455="","",HYPERLINK("Z:\MUSTANG SERVICES\Affaires 2027\"&amp;$A455&amp;"\"&amp;$A455&amp;"_ToolList.xlsx","Ouvrir"))</f>
        <v/>
      </c>
      <c r="S455" s="22">
        <f>IF($A455="","",HYPERLINK("Z:\MUSTANG SERVICES\Affaires 2027\"&amp;$A455&amp;"\"&amp;$A455&amp;"_BL.xlsx","Ouvrir"))</f>
        <v/>
      </c>
      <c r="T455" s="22">
        <f>IF($A455="","",HYPERLINK("Z:\MUSTANG SERVICES\Affaires 2027\"&amp;$A455&amp;"\"&amp;$A455&amp;"_ServiceTicket.xlsx","Ouvrir"))</f>
        <v/>
      </c>
      <c r="U455" s="22">
        <f>IF($A455="","",HYPERLINK("Z:\MUSTANG SERVICES\Affaires 2027\"&amp;$A455&amp;"\","Dossier"))</f>
        <v/>
      </c>
    </row>
    <row r="456" ht="18" customHeight="1">
      <c r="A456" s="16" t="n"/>
      <c r="B456" s="17" t="n"/>
      <c r="C456" s="17" t="n"/>
      <c r="D456" s="18">
        <f>IF(AND(ISNUMBER($B456),ISNUMBER($C456)),$C456-$B456,"")</f>
        <v/>
      </c>
      <c r="E456" s="19" t="n"/>
      <c r="F456" s="20" t="n"/>
      <c r="G456" s="19" t="n"/>
      <c r="H456" s="20" t="n"/>
      <c r="I456" s="20" t="n"/>
      <c r="J456" s="19" t="n"/>
      <c r="K456" s="16" t="n"/>
      <c r="L456" s="20" t="n"/>
      <c r="M456" s="20" t="n"/>
      <c r="N456" s="17" t="n"/>
      <c r="O456" s="18">
        <f>IF(AND(OR($M456="Envoyé",$M456="En attente"),ISNUMBER($C456),NOT(ISNUMBER($N456))),IF(TODAY()-$C456&gt;=7,"⚠ relancer",""),"")</f>
        <v/>
      </c>
      <c r="P456" s="19" t="n"/>
      <c r="Q456" s="22">
        <f>IF($A456="","",HYPERLINK("Z:\MUSTANG SERVICES\Affaires 2027\"&amp;$A456&amp;"\"&amp;$A456&amp;"_Devis.xlsx","Ouvrir"))</f>
        <v/>
      </c>
      <c r="R456" s="22">
        <f>IF($A456="","",HYPERLINK("Z:\MUSTANG SERVICES\Affaires 2027\"&amp;$A456&amp;"\"&amp;$A456&amp;"_ToolList.xlsx","Ouvrir"))</f>
        <v/>
      </c>
      <c r="S456" s="22">
        <f>IF($A456="","",HYPERLINK("Z:\MUSTANG SERVICES\Affaires 2027\"&amp;$A456&amp;"\"&amp;$A456&amp;"_BL.xlsx","Ouvrir"))</f>
        <v/>
      </c>
      <c r="T456" s="22">
        <f>IF($A456="","",HYPERLINK("Z:\MUSTANG SERVICES\Affaires 2027\"&amp;$A456&amp;"\"&amp;$A456&amp;"_ServiceTicket.xlsx","Ouvrir"))</f>
        <v/>
      </c>
      <c r="U456" s="22">
        <f>IF($A456="","",HYPERLINK("Z:\MUSTANG SERVICES\Affaires 2027\"&amp;$A456&amp;"\","Dossier"))</f>
        <v/>
      </c>
    </row>
    <row r="457" ht="18" customHeight="1">
      <c r="A457" s="16" t="n"/>
      <c r="B457" s="17" t="n"/>
      <c r="C457" s="17" t="n"/>
      <c r="D457" s="18">
        <f>IF(AND(ISNUMBER($B457),ISNUMBER($C457)),$C457-$B457,"")</f>
        <v/>
      </c>
      <c r="E457" s="19" t="n"/>
      <c r="F457" s="20" t="n"/>
      <c r="G457" s="19" t="n"/>
      <c r="H457" s="20" t="n"/>
      <c r="I457" s="20" t="n"/>
      <c r="J457" s="19" t="n"/>
      <c r="K457" s="16" t="n"/>
      <c r="L457" s="20" t="n"/>
      <c r="M457" s="20" t="n"/>
      <c r="N457" s="17" t="n"/>
      <c r="O457" s="18">
        <f>IF(AND(OR($M457="Envoyé",$M457="En attente"),ISNUMBER($C457),NOT(ISNUMBER($N457))),IF(TODAY()-$C457&gt;=7,"⚠ relancer",""),"")</f>
        <v/>
      </c>
      <c r="P457" s="19" t="n"/>
      <c r="Q457" s="22">
        <f>IF($A457="","",HYPERLINK("Z:\MUSTANG SERVICES\Affaires 2027\"&amp;$A457&amp;"\"&amp;$A457&amp;"_Devis.xlsx","Ouvrir"))</f>
        <v/>
      </c>
      <c r="R457" s="22">
        <f>IF($A457="","",HYPERLINK("Z:\MUSTANG SERVICES\Affaires 2027\"&amp;$A457&amp;"\"&amp;$A457&amp;"_ToolList.xlsx","Ouvrir"))</f>
        <v/>
      </c>
      <c r="S457" s="22">
        <f>IF($A457="","",HYPERLINK("Z:\MUSTANG SERVICES\Affaires 2027\"&amp;$A457&amp;"\"&amp;$A457&amp;"_BL.xlsx","Ouvrir"))</f>
        <v/>
      </c>
      <c r="T457" s="22">
        <f>IF($A457="","",HYPERLINK("Z:\MUSTANG SERVICES\Affaires 2027\"&amp;$A457&amp;"\"&amp;$A457&amp;"_ServiceTicket.xlsx","Ouvrir"))</f>
        <v/>
      </c>
      <c r="U457" s="22">
        <f>IF($A457="","",HYPERLINK("Z:\MUSTANG SERVICES\Affaires 2027\"&amp;$A457&amp;"\","Dossier"))</f>
        <v/>
      </c>
    </row>
    <row r="458" ht="18" customHeight="1">
      <c r="A458" s="16" t="n"/>
      <c r="B458" s="17" t="n"/>
      <c r="C458" s="17" t="n"/>
      <c r="D458" s="18">
        <f>IF(AND(ISNUMBER($B458),ISNUMBER($C458)),$C458-$B458,"")</f>
        <v/>
      </c>
      <c r="E458" s="19" t="n"/>
      <c r="F458" s="20" t="n"/>
      <c r="G458" s="19" t="n"/>
      <c r="H458" s="20" t="n"/>
      <c r="I458" s="20" t="n"/>
      <c r="J458" s="19" t="n"/>
      <c r="K458" s="16" t="n"/>
      <c r="L458" s="20" t="n"/>
      <c r="M458" s="20" t="n"/>
      <c r="N458" s="17" t="n"/>
      <c r="O458" s="18">
        <f>IF(AND(OR($M458="Envoyé",$M458="En attente"),ISNUMBER($C458),NOT(ISNUMBER($N458))),IF(TODAY()-$C458&gt;=7,"⚠ relancer",""),"")</f>
        <v/>
      </c>
      <c r="P458" s="19" t="n"/>
      <c r="Q458" s="22">
        <f>IF($A458="","",HYPERLINK("Z:\MUSTANG SERVICES\Affaires 2027\"&amp;$A458&amp;"\"&amp;$A458&amp;"_Devis.xlsx","Ouvrir"))</f>
        <v/>
      </c>
      <c r="R458" s="22">
        <f>IF($A458="","",HYPERLINK("Z:\MUSTANG SERVICES\Affaires 2027\"&amp;$A458&amp;"\"&amp;$A458&amp;"_ToolList.xlsx","Ouvrir"))</f>
        <v/>
      </c>
      <c r="S458" s="22">
        <f>IF($A458="","",HYPERLINK("Z:\MUSTANG SERVICES\Affaires 2027\"&amp;$A458&amp;"\"&amp;$A458&amp;"_BL.xlsx","Ouvrir"))</f>
        <v/>
      </c>
      <c r="T458" s="22">
        <f>IF($A458="","",HYPERLINK("Z:\MUSTANG SERVICES\Affaires 2027\"&amp;$A458&amp;"\"&amp;$A458&amp;"_ServiceTicket.xlsx","Ouvrir"))</f>
        <v/>
      </c>
      <c r="U458" s="22">
        <f>IF($A458="","",HYPERLINK("Z:\MUSTANG SERVICES\Affaires 2027\"&amp;$A458&amp;"\","Dossier"))</f>
        <v/>
      </c>
    </row>
    <row r="459" ht="18" customHeight="1">
      <c r="A459" s="16" t="n"/>
      <c r="B459" s="17" t="n"/>
      <c r="C459" s="17" t="n"/>
      <c r="D459" s="18">
        <f>IF(AND(ISNUMBER($B459),ISNUMBER($C459)),$C459-$B459,"")</f>
        <v/>
      </c>
      <c r="E459" s="19" t="n"/>
      <c r="F459" s="20" t="n"/>
      <c r="G459" s="19" t="n"/>
      <c r="H459" s="20" t="n"/>
      <c r="I459" s="20" t="n"/>
      <c r="J459" s="19" t="n"/>
      <c r="K459" s="16" t="n"/>
      <c r="L459" s="20" t="n"/>
      <c r="M459" s="20" t="n"/>
      <c r="N459" s="17" t="n"/>
      <c r="O459" s="18">
        <f>IF(AND(OR($M459="Envoyé",$M459="En attente"),ISNUMBER($C459),NOT(ISNUMBER($N459))),IF(TODAY()-$C459&gt;=7,"⚠ relancer",""),"")</f>
        <v/>
      </c>
      <c r="P459" s="19" t="n"/>
      <c r="Q459" s="22">
        <f>IF($A459="","",HYPERLINK("Z:\MUSTANG SERVICES\Affaires 2027\"&amp;$A459&amp;"\"&amp;$A459&amp;"_Devis.xlsx","Ouvrir"))</f>
        <v/>
      </c>
      <c r="R459" s="22">
        <f>IF($A459="","",HYPERLINK("Z:\MUSTANG SERVICES\Affaires 2027\"&amp;$A459&amp;"\"&amp;$A459&amp;"_ToolList.xlsx","Ouvrir"))</f>
        <v/>
      </c>
      <c r="S459" s="22">
        <f>IF($A459="","",HYPERLINK("Z:\MUSTANG SERVICES\Affaires 2027\"&amp;$A459&amp;"\"&amp;$A459&amp;"_BL.xlsx","Ouvrir"))</f>
        <v/>
      </c>
      <c r="T459" s="22">
        <f>IF($A459="","",HYPERLINK("Z:\MUSTANG SERVICES\Affaires 2027\"&amp;$A459&amp;"\"&amp;$A459&amp;"_ServiceTicket.xlsx","Ouvrir"))</f>
        <v/>
      </c>
      <c r="U459" s="22">
        <f>IF($A459="","",HYPERLINK("Z:\MUSTANG SERVICES\Affaires 2027\"&amp;$A459&amp;"\","Dossier"))</f>
        <v/>
      </c>
    </row>
    <row r="460" ht="18" customHeight="1">
      <c r="A460" s="16" t="n"/>
      <c r="B460" s="17" t="n"/>
      <c r="C460" s="17" t="n"/>
      <c r="D460" s="18">
        <f>IF(AND(ISNUMBER($B460),ISNUMBER($C460)),$C460-$B460,"")</f>
        <v/>
      </c>
      <c r="E460" s="19" t="n"/>
      <c r="F460" s="20" t="n"/>
      <c r="G460" s="19" t="n"/>
      <c r="H460" s="20" t="n"/>
      <c r="I460" s="20" t="n"/>
      <c r="J460" s="19" t="n"/>
      <c r="K460" s="16" t="n"/>
      <c r="L460" s="20" t="n"/>
      <c r="M460" s="20" t="n"/>
      <c r="N460" s="17" t="n"/>
      <c r="O460" s="18">
        <f>IF(AND(OR($M460="Envoyé",$M460="En attente"),ISNUMBER($C460),NOT(ISNUMBER($N460))),IF(TODAY()-$C460&gt;=7,"⚠ relancer",""),"")</f>
        <v/>
      </c>
      <c r="P460" s="19" t="n"/>
      <c r="Q460" s="22">
        <f>IF($A460="","",HYPERLINK("Z:\MUSTANG SERVICES\Affaires 2027\"&amp;$A460&amp;"\"&amp;$A460&amp;"_Devis.xlsx","Ouvrir"))</f>
        <v/>
      </c>
      <c r="R460" s="22">
        <f>IF($A460="","",HYPERLINK("Z:\MUSTANG SERVICES\Affaires 2027\"&amp;$A460&amp;"\"&amp;$A460&amp;"_ToolList.xlsx","Ouvrir"))</f>
        <v/>
      </c>
      <c r="S460" s="22">
        <f>IF($A460="","",HYPERLINK("Z:\MUSTANG SERVICES\Affaires 2027\"&amp;$A460&amp;"\"&amp;$A460&amp;"_BL.xlsx","Ouvrir"))</f>
        <v/>
      </c>
      <c r="T460" s="22">
        <f>IF($A460="","",HYPERLINK("Z:\MUSTANG SERVICES\Affaires 2027\"&amp;$A460&amp;"\"&amp;$A460&amp;"_ServiceTicket.xlsx","Ouvrir"))</f>
        <v/>
      </c>
      <c r="U460" s="22">
        <f>IF($A460="","",HYPERLINK("Z:\MUSTANG SERVICES\Affaires 2027\"&amp;$A460&amp;"\","Dossier"))</f>
        <v/>
      </c>
    </row>
    <row r="461" ht="18" customHeight="1">
      <c r="A461" s="16" t="n"/>
      <c r="B461" s="17" t="n"/>
      <c r="C461" s="17" t="n"/>
      <c r="D461" s="18">
        <f>IF(AND(ISNUMBER($B461),ISNUMBER($C461)),$C461-$B461,"")</f>
        <v/>
      </c>
      <c r="E461" s="19" t="n"/>
      <c r="F461" s="20" t="n"/>
      <c r="G461" s="19" t="n"/>
      <c r="H461" s="20" t="n"/>
      <c r="I461" s="20" t="n"/>
      <c r="J461" s="19" t="n"/>
      <c r="K461" s="16" t="n"/>
      <c r="L461" s="20" t="n"/>
      <c r="M461" s="20" t="n"/>
      <c r="N461" s="17" t="n"/>
      <c r="O461" s="18">
        <f>IF(AND(OR($M461="Envoyé",$M461="En attente"),ISNUMBER($C461),NOT(ISNUMBER($N461))),IF(TODAY()-$C461&gt;=7,"⚠ relancer",""),"")</f>
        <v/>
      </c>
      <c r="P461" s="19" t="n"/>
      <c r="Q461" s="22">
        <f>IF($A461="","",HYPERLINK("Z:\MUSTANG SERVICES\Affaires 2027\"&amp;$A461&amp;"\"&amp;$A461&amp;"_Devis.xlsx","Ouvrir"))</f>
        <v/>
      </c>
      <c r="R461" s="22">
        <f>IF($A461="","",HYPERLINK("Z:\MUSTANG SERVICES\Affaires 2027\"&amp;$A461&amp;"\"&amp;$A461&amp;"_ToolList.xlsx","Ouvrir"))</f>
        <v/>
      </c>
      <c r="S461" s="22">
        <f>IF($A461="","",HYPERLINK("Z:\MUSTANG SERVICES\Affaires 2027\"&amp;$A461&amp;"\"&amp;$A461&amp;"_BL.xlsx","Ouvrir"))</f>
        <v/>
      </c>
      <c r="T461" s="22">
        <f>IF($A461="","",HYPERLINK("Z:\MUSTANG SERVICES\Affaires 2027\"&amp;$A461&amp;"\"&amp;$A461&amp;"_ServiceTicket.xlsx","Ouvrir"))</f>
        <v/>
      </c>
      <c r="U461" s="22">
        <f>IF($A461="","",HYPERLINK("Z:\MUSTANG SERVICES\Affaires 2027\"&amp;$A461&amp;"\","Dossier"))</f>
        <v/>
      </c>
    </row>
    <row r="462" ht="18" customHeight="1">
      <c r="A462" s="16" t="n"/>
      <c r="B462" s="17" t="n"/>
      <c r="C462" s="17" t="n"/>
      <c r="D462" s="18">
        <f>IF(AND(ISNUMBER($B462),ISNUMBER($C462)),$C462-$B462,"")</f>
        <v/>
      </c>
      <c r="E462" s="19" t="n"/>
      <c r="F462" s="20" t="n"/>
      <c r="G462" s="19" t="n"/>
      <c r="H462" s="20" t="n"/>
      <c r="I462" s="20" t="n"/>
      <c r="J462" s="19" t="n"/>
      <c r="K462" s="16" t="n"/>
      <c r="L462" s="20" t="n"/>
      <c r="M462" s="20" t="n"/>
      <c r="N462" s="17" t="n"/>
      <c r="O462" s="18">
        <f>IF(AND(OR($M462="Envoyé",$M462="En attente"),ISNUMBER($C462),NOT(ISNUMBER($N462))),IF(TODAY()-$C462&gt;=7,"⚠ relancer",""),"")</f>
        <v/>
      </c>
      <c r="P462" s="19" t="n"/>
      <c r="Q462" s="22">
        <f>IF($A462="","",HYPERLINK("Z:\MUSTANG SERVICES\Affaires 2027\"&amp;$A462&amp;"\"&amp;$A462&amp;"_Devis.xlsx","Ouvrir"))</f>
        <v/>
      </c>
      <c r="R462" s="22">
        <f>IF($A462="","",HYPERLINK("Z:\MUSTANG SERVICES\Affaires 2027\"&amp;$A462&amp;"\"&amp;$A462&amp;"_ToolList.xlsx","Ouvrir"))</f>
        <v/>
      </c>
      <c r="S462" s="22">
        <f>IF($A462="","",HYPERLINK("Z:\MUSTANG SERVICES\Affaires 2027\"&amp;$A462&amp;"\"&amp;$A462&amp;"_BL.xlsx","Ouvrir"))</f>
        <v/>
      </c>
      <c r="T462" s="22">
        <f>IF($A462="","",HYPERLINK("Z:\MUSTANG SERVICES\Affaires 2027\"&amp;$A462&amp;"\"&amp;$A462&amp;"_ServiceTicket.xlsx","Ouvrir"))</f>
        <v/>
      </c>
      <c r="U462" s="22">
        <f>IF($A462="","",HYPERLINK("Z:\MUSTANG SERVICES\Affaires 2027\"&amp;$A462&amp;"\","Dossier"))</f>
        <v/>
      </c>
    </row>
    <row r="463" ht="18" customHeight="1">
      <c r="A463" s="16" t="n"/>
      <c r="B463" s="17" t="n"/>
      <c r="C463" s="17" t="n"/>
      <c r="D463" s="18">
        <f>IF(AND(ISNUMBER($B463),ISNUMBER($C463)),$C463-$B463,"")</f>
        <v/>
      </c>
      <c r="E463" s="19" t="n"/>
      <c r="F463" s="20" t="n"/>
      <c r="G463" s="19" t="n"/>
      <c r="H463" s="20" t="n"/>
      <c r="I463" s="20" t="n"/>
      <c r="J463" s="19" t="n"/>
      <c r="K463" s="16" t="n"/>
      <c r="L463" s="20" t="n"/>
      <c r="M463" s="20" t="n"/>
      <c r="N463" s="17" t="n"/>
      <c r="O463" s="18">
        <f>IF(AND(OR($M463="Envoyé",$M463="En attente"),ISNUMBER($C463),NOT(ISNUMBER($N463))),IF(TODAY()-$C463&gt;=7,"⚠ relancer",""),"")</f>
        <v/>
      </c>
      <c r="P463" s="19" t="n"/>
      <c r="Q463" s="22">
        <f>IF($A463="","",HYPERLINK("Z:\MUSTANG SERVICES\Affaires 2027\"&amp;$A463&amp;"\"&amp;$A463&amp;"_Devis.xlsx","Ouvrir"))</f>
        <v/>
      </c>
      <c r="R463" s="22">
        <f>IF($A463="","",HYPERLINK("Z:\MUSTANG SERVICES\Affaires 2027\"&amp;$A463&amp;"\"&amp;$A463&amp;"_ToolList.xlsx","Ouvrir"))</f>
        <v/>
      </c>
      <c r="S463" s="22">
        <f>IF($A463="","",HYPERLINK("Z:\MUSTANG SERVICES\Affaires 2027\"&amp;$A463&amp;"\"&amp;$A463&amp;"_BL.xlsx","Ouvrir"))</f>
        <v/>
      </c>
      <c r="T463" s="22">
        <f>IF($A463="","",HYPERLINK("Z:\MUSTANG SERVICES\Affaires 2027\"&amp;$A463&amp;"\"&amp;$A463&amp;"_ServiceTicket.xlsx","Ouvrir"))</f>
        <v/>
      </c>
      <c r="U463" s="22">
        <f>IF($A463="","",HYPERLINK("Z:\MUSTANG SERVICES\Affaires 2027\"&amp;$A463&amp;"\","Dossier"))</f>
        <v/>
      </c>
    </row>
    <row r="464" ht="18" customHeight="1">
      <c r="A464" s="16" t="n"/>
      <c r="B464" s="17" t="n"/>
      <c r="C464" s="17" t="n"/>
      <c r="D464" s="18">
        <f>IF(AND(ISNUMBER($B464),ISNUMBER($C464)),$C464-$B464,"")</f>
        <v/>
      </c>
      <c r="E464" s="19" t="n"/>
      <c r="F464" s="20" t="n"/>
      <c r="G464" s="19" t="n"/>
      <c r="H464" s="20" t="n"/>
      <c r="I464" s="20" t="n"/>
      <c r="J464" s="19" t="n"/>
      <c r="K464" s="16" t="n"/>
      <c r="L464" s="20" t="n"/>
      <c r="M464" s="20" t="n"/>
      <c r="N464" s="17" t="n"/>
      <c r="O464" s="18">
        <f>IF(AND(OR($M464="Envoyé",$M464="En attente"),ISNUMBER($C464),NOT(ISNUMBER($N464))),IF(TODAY()-$C464&gt;=7,"⚠ relancer",""),"")</f>
        <v/>
      </c>
      <c r="P464" s="19" t="n"/>
      <c r="Q464" s="22">
        <f>IF($A464="","",HYPERLINK("Z:\MUSTANG SERVICES\Affaires 2027\"&amp;$A464&amp;"\"&amp;$A464&amp;"_Devis.xlsx","Ouvrir"))</f>
        <v/>
      </c>
      <c r="R464" s="22">
        <f>IF($A464="","",HYPERLINK("Z:\MUSTANG SERVICES\Affaires 2027\"&amp;$A464&amp;"\"&amp;$A464&amp;"_ToolList.xlsx","Ouvrir"))</f>
        <v/>
      </c>
      <c r="S464" s="22">
        <f>IF($A464="","",HYPERLINK("Z:\MUSTANG SERVICES\Affaires 2027\"&amp;$A464&amp;"\"&amp;$A464&amp;"_BL.xlsx","Ouvrir"))</f>
        <v/>
      </c>
      <c r="T464" s="22">
        <f>IF($A464="","",HYPERLINK("Z:\MUSTANG SERVICES\Affaires 2027\"&amp;$A464&amp;"\"&amp;$A464&amp;"_ServiceTicket.xlsx","Ouvrir"))</f>
        <v/>
      </c>
      <c r="U464" s="22">
        <f>IF($A464="","",HYPERLINK("Z:\MUSTANG SERVICES\Affaires 2027\"&amp;$A464&amp;"\","Dossier"))</f>
        <v/>
      </c>
    </row>
    <row r="465" ht="18" customHeight="1">
      <c r="A465" s="16" t="n"/>
      <c r="B465" s="17" t="n"/>
      <c r="C465" s="17" t="n"/>
      <c r="D465" s="18">
        <f>IF(AND(ISNUMBER($B465),ISNUMBER($C465)),$C465-$B465,"")</f>
        <v/>
      </c>
      <c r="E465" s="19" t="n"/>
      <c r="F465" s="20" t="n"/>
      <c r="G465" s="19" t="n"/>
      <c r="H465" s="20" t="n"/>
      <c r="I465" s="20" t="n"/>
      <c r="J465" s="19" t="n"/>
      <c r="K465" s="16" t="n"/>
      <c r="L465" s="20" t="n"/>
      <c r="M465" s="20" t="n"/>
      <c r="N465" s="17" t="n"/>
      <c r="O465" s="18">
        <f>IF(AND(OR($M465="Envoyé",$M465="En attente"),ISNUMBER($C465),NOT(ISNUMBER($N465))),IF(TODAY()-$C465&gt;=7,"⚠ relancer",""),"")</f>
        <v/>
      </c>
      <c r="P465" s="19" t="n"/>
      <c r="Q465" s="22">
        <f>IF($A465="","",HYPERLINK("Z:\MUSTANG SERVICES\Affaires 2027\"&amp;$A465&amp;"\"&amp;$A465&amp;"_Devis.xlsx","Ouvrir"))</f>
        <v/>
      </c>
      <c r="R465" s="22">
        <f>IF($A465="","",HYPERLINK("Z:\MUSTANG SERVICES\Affaires 2027\"&amp;$A465&amp;"\"&amp;$A465&amp;"_ToolList.xlsx","Ouvrir"))</f>
        <v/>
      </c>
      <c r="S465" s="22">
        <f>IF($A465="","",HYPERLINK("Z:\MUSTANG SERVICES\Affaires 2027\"&amp;$A465&amp;"\"&amp;$A465&amp;"_BL.xlsx","Ouvrir"))</f>
        <v/>
      </c>
      <c r="T465" s="22">
        <f>IF($A465="","",HYPERLINK("Z:\MUSTANG SERVICES\Affaires 2027\"&amp;$A465&amp;"\"&amp;$A465&amp;"_ServiceTicket.xlsx","Ouvrir"))</f>
        <v/>
      </c>
      <c r="U465" s="22">
        <f>IF($A465="","",HYPERLINK("Z:\MUSTANG SERVICES\Affaires 2027\"&amp;$A465&amp;"\","Dossier"))</f>
        <v/>
      </c>
    </row>
    <row r="466" ht="18" customHeight="1">
      <c r="A466" s="16" t="n"/>
      <c r="B466" s="17" t="n"/>
      <c r="C466" s="17" t="n"/>
      <c r="D466" s="18">
        <f>IF(AND(ISNUMBER($B466),ISNUMBER($C466)),$C466-$B466,"")</f>
        <v/>
      </c>
      <c r="E466" s="19" t="n"/>
      <c r="F466" s="20" t="n"/>
      <c r="G466" s="19" t="n"/>
      <c r="H466" s="20" t="n"/>
      <c r="I466" s="20" t="n"/>
      <c r="J466" s="19" t="n"/>
      <c r="K466" s="16" t="n"/>
      <c r="L466" s="20" t="n"/>
      <c r="M466" s="20" t="n"/>
      <c r="N466" s="17" t="n"/>
      <c r="O466" s="18">
        <f>IF(AND(OR($M466="Envoyé",$M466="En attente"),ISNUMBER($C466),NOT(ISNUMBER($N466))),IF(TODAY()-$C466&gt;=7,"⚠ relancer",""),"")</f>
        <v/>
      </c>
      <c r="P466" s="19" t="n"/>
      <c r="Q466" s="22">
        <f>IF($A466="","",HYPERLINK("Z:\MUSTANG SERVICES\Affaires 2027\"&amp;$A466&amp;"\"&amp;$A466&amp;"_Devis.xlsx","Ouvrir"))</f>
        <v/>
      </c>
      <c r="R466" s="22">
        <f>IF($A466="","",HYPERLINK("Z:\MUSTANG SERVICES\Affaires 2027\"&amp;$A466&amp;"\"&amp;$A466&amp;"_ToolList.xlsx","Ouvrir"))</f>
        <v/>
      </c>
      <c r="S466" s="22">
        <f>IF($A466="","",HYPERLINK("Z:\MUSTANG SERVICES\Affaires 2027\"&amp;$A466&amp;"\"&amp;$A466&amp;"_BL.xlsx","Ouvrir"))</f>
        <v/>
      </c>
      <c r="T466" s="22">
        <f>IF($A466="","",HYPERLINK("Z:\MUSTANG SERVICES\Affaires 2027\"&amp;$A466&amp;"\"&amp;$A466&amp;"_ServiceTicket.xlsx","Ouvrir"))</f>
        <v/>
      </c>
      <c r="U466" s="22">
        <f>IF($A466="","",HYPERLINK("Z:\MUSTANG SERVICES\Affaires 2027\"&amp;$A466&amp;"\","Dossier"))</f>
        <v/>
      </c>
    </row>
    <row r="467" ht="18" customHeight="1">
      <c r="A467" s="16" t="n"/>
      <c r="B467" s="17" t="n"/>
      <c r="C467" s="17" t="n"/>
      <c r="D467" s="18">
        <f>IF(AND(ISNUMBER($B467),ISNUMBER($C467)),$C467-$B467,"")</f>
        <v/>
      </c>
      <c r="E467" s="19" t="n"/>
      <c r="F467" s="20" t="n"/>
      <c r="G467" s="19" t="n"/>
      <c r="H467" s="20" t="n"/>
      <c r="I467" s="20" t="n"/>
      <c r="J467" s="19" t="n"/>
      <c r="K467" s="16" t="n"/>
      <c r="L467" s="20" t="n"/>
      <c r="M467" s="20" t="n"/>
      <c r="N467" s="17" t="n"/>
      <c r="O467" s="18">
        <f>IF(AND(OR($M467="Envoyé",$M467="En attente"),ISNUMBER($C467),NOT(ISNUMBER($N467))),IF(TODAY()-$C467&gt;=7,"⚠ relancer",""),"")</f>
        <v/>
      </c>
      <c r="P467" s="19" t="n"/>
      <c r="Q467" s="22">
        <f>IF($A467="","",HYPERLINK("Z:\MUSTANG SERVICES\Affaires 2027\"&amp;$A467&amp;"\"&amp;$A467&amp;"_Devis.xlsx","Ouvrir"))</f>
        <v/>
      </c>
      <c r="R467" s="22">
        <f>IF($A467="","",HYPERLINK("Z:\MUSTANG SERVICES\Affaires 2027\"&amp;$A467&amp;"\"&amp;$A467&amp;"_ToolList.xlsx","Ouvrir"))</f>
        <v/>
      </c>
      <c r="S467" s="22">
        <f>IF($A467="","",HYPERLINK("Z:\MUSTANG SERVICES\Affaires 2027\"&amp;$A467&amp;"\"&amp;$A467&amp;"_BL.xlsx","Ouvrir"))</f>
        <v/>
      </c>
      <c r="T467" s="22">
        <f>IF($A467="","",HYPERLINK("Z:\MUSTANG SERVICES\Affaires 2027\"&amp;$A467&amp;"\"&amp;$A467&amp;"_ServiceTicket.xlsx","Ouvrir"))</f>
        <v/>
      </c>
      <c r="U467" s="22">
        <f>IF($A467="","",HYPERLINK("Z:\MUSTANG SERVICES\Affaires 2027\"&amp;$A467&amp;"\","Dossier"))</f>
        <v/>
      </c>
    </row>
    <row r="468" ht="18" customHeight="1">
      <c r="A468" s="16" t="n"/>
      <c r="B468" s="17" t="n"/>
      <c r="C468" s="17" t="n"/>
      <c r="D468" s="18">
        <f>IF(AND(ISNUMBER($B468),ISNUMBER($C468)),$C468-$B468,"")</f>
        <v/>
      </c>
      <c r="E468" s="19" t="n"/>
      <c r="F468" s="20" t="n"/>
      <c r="G468" s="19" t="n"/>
      <c r="H468" s="20" t="n"/>
      <c r="I468" s="20" t="n"/>
      <c r="J468" s="19" t="n"/>
      <c r="K468" s="16" t="n"/>
      <c r="L468" s="20" t="n"/>
      <c r="M468" s="20" t="n"/>
      <c r="N468" s="17" t="n"/>
      <c r="O468" s="18">
        <f>IF(AND(OR($M468="Envoyé",$M468="En attente"),ISNUMBER($C468),NOT(ISNUMBER($N468))),IF(TODAY()-$C468&gt;=7,"⚠ relancer",""),"")</f>
        <v/>
      </c>
      <c r="P468" s="19" t="n"/>
      <c r="Q468" s="22">
        <f>IF($A468="","",HYPERLINK("Z:\MUSTANG SERVICES\Affaires 2027\"&amp;$A468&amp;"\"&amp;$A468&amp;"_Devis.xlsx","Ouvrir"))</f>
        <v/>
      </c>
      <c r="R468" s="22">
        <f>IF($A468="","",HYPERLINK("Z:\MUSTANG SERVICES\Affaires 2027\"&amp;$A468&amp;"\"&amp;$A468&amp;"_ToolList.xlsx","Ouvrir"))</f>
        <v/>
      </c>
      <c r="S468" s="22">
        <f>IF($A468="","",HYPERLINK("Z:\MUSTANG SERVICES\Affaires 2027\"&amp;$A468&amp;"\"&amp;$A468&amp;"_BL.xlsx","Ouvrir"))</f>
        <v/>
      </c>
      <c r="T468" s="22">
        <f>IF($A468="","",HYPERLINK("Z:\MUSTANG SERVICES\Affaires 2027\"&amp;$A468&amp;"\"&amp;$A468&amp;"_ServiceTicket.xlsx","Ouvrir"))</f>
        <v/>
      </c>
      <c r="U468" s="22">
        <f>IF($A468="","",HYPERLINK("Z:\MUSTANG SERVICES\Affaires 2027\"&amp;$A468&amp;"\","Dossier"))</f>
        <v/>
      </c>
    </row>
    <row r="469" ht="18" customHeight="1">
      <c r="A469" s="16" t="n"/>
      <c r="B469" s="17" t="n"/>
      <c r="C469" s="17" t="n"/>
      <c r="D469" s="18">
        <f>IF(AND(ISNUMBER($B469),ISNUMBER($C469)),$C469-$B469,"")</f>
        <v/>
      </c>
      <c r="E469" s="19" t="n"/>
      <c r="F469" s="20" t="n"/>
      <c r="G469" s="19" t="n"/>
      <c r="H469" s="20" t="n"/>
      <c r="I469" s="20" t="n"/>
      <c r="J469" s="19" t="n"/>
      <c r="K469" s="16" t="n"/>
      <c r="L469" s="20" t="n"/>
      <c r="M469" s="20" t="n"/>
      <c r="N469" s="17" t="n"/>
      <c r="O469" s="18">
        <f>IF(AND(OR($M469="Envoyé",$M469="En attente"),ISNUMBER($C469),NOT(ISNUMBER($N469))),IF(TODAY()-$C469&gt;=7,"⚠ relancer",""),"")</f>
        <v/>
      </c>
      <c r="P469" s="19" t="n"/>
      <c r="Q469" s="22">
        <f>IF($A469="","",HYPERLINK("Z:\MUSTANG SERVICES\Affaires 2027\"&amp;$A469&amp;"\"&amp;$A469&amp;"_Devis.xlsx","Ouvrir"))</f>
        <v/>
      </c>
      <c r="R469" s="22">
        <f>IF($A469="","",HYPERLINK("Z:\MUSTANG SERVICES\Affaires 2027\"&amp;$A469&amp;"\"&amp;$A469&amp;"_ToolList.xlsx","Ouvrir"))</f>
        <v/>
      </c>
      <c r="S469" s="22">
        <f>IF($A469="","",HYPERLINK("Z:\MUSTANG SERVICES\Affaires 2027\"&amp;$A469&amp;"\"&amp;$A469&amp;"_BL.xlsx","Ouvrir"))</f>
        <v/>
      </c>
      <c r="T469" s="22">
        <f>IF($A469="","",HYPERLINK("Z:\MUSTANG SERVICES\Affaires 2027\"&amp;$A469&amp;"\"&amp;$A469&amp;"_ServiceTicket.xlsx","Ouvrir"))</f>
        <v/>
      </c>
      <c r="U469" s="22">
        <f>IF($A469="","",HYPERLINK("Z:\MUSTANG SERVICES\Affaires 2027\"&amp;$A469&amp;"\","Dossier"))</f>
        <v/>
      </c>
    </row>
    <row r="470" ht="18" customHeight="1">
      <c r="A470" s="16" t="n"/>
      <c r="B470" s="17" t="n"/>
      <c r="C470" s="17" t="n"/>
      <c r="D470" s="18">
        <f>IF(AND(ISNUMBER($B470),ISNUMBER($C470)),$C470-$B470,"")</f>
        <v/>
      </c>
      <c r="E470" s="19" t="n"/>
      <c r="F470" s="20" t="n"/>
      <c r="G470" s="19" t="n"/>
      <c r="H470" s="20" t="n"/>
      <c r="I470" s="20" t="n"/>
      <c r="J470" s="19" t="n"/>
      <c r="K470" s="16" t="n"/>
      <c r="L470" s="20" t="n"/>
      <c r="M470" s="20" t="n"/>
      <c r="N470" s="17" t="n"/>
      <c r="O470" s="18">
        <f>IF(AND(OR($M470="Envoyé",$M470="En attente"),ISNUMBER($C470),NOT(ISNUMBER($N470))),IF(TODAY()-$C470&gt;=7,"⚠ relancer",""),"")</f>
        <v/>
      </c>
      <c r="P470" s="19" t="n"/>
      <c r="Q470" s="22">
        <f>IF($A470="","",HYPERLINK("Z:\MUSTANG SERVICES\Affaires 2027\"&amp;$A470&amp;"\"&amp;$A470&amp;"_Devis.xlsx","Ouvrir"))</f>
        <v/>
      </c>
      <c r="R470" s="22">
        <f>IF($A470="","",HYPERLINK("Z:\MUSTANG SERVICES\Affaires 2027\"&amp;$A470&amp;"\"&amp;$A470&amp;"_ToolList.xlsx","Ouvrir"))</f>
        <v/>
      </c>
      <c r="S470" s="22">
        <f>IF($A470="","",HYPERLINK("Z:\MUSTANG SERVICES\Affaires 2027\"&amp;$A470&amp;"\"&amp;$A470&amp;"_BL.xlsx","Ouvrir"))</f>
        <v/>
      </c>
      <c r="T470" s="22">
        <f>IF($A470="","",HYPERLINK("Z:\MUSTANG SERVICES\Affaires 2027\"&amp;$A470&amp;"\"&amp;$A470&amp;"_ServiceTicket.xlsx","Ouvrir"))</f>
        <v/>
      </c>
      <c r="U470" s="22">
        <f>IF($A470="","",HYPERLINK("Z:\MUSTANG SERVICES\Affaires 2027\"&amp;$A470&amp;"\","Dossier"))</f>
        <v/>
      </c>
    </row>
    <row r="471" ht="18" customHeight="1">
      <c r="A471" s="16" t="n"/>
      <c r="B471" s="17" t="n"/>
      <c r="C471" s="17" t="n"/>
      <c r="D471" s="18">
        <f>IF(AND(ISNUMBER($B471),ISNUMBER($C471)),$C471-$B471,"")</f>
        <v/>
      </c>
      <c r="E471" s="19" t="n"/>
      <c r="F471" s="20" t="n"/>
      <c r="G471" s="19" t="n"/>
      <c r="H471" s="20" t="n"/>
      <c r="I471" s="20" t="n"/>
      <c r="J471" s="19" t="n"/>
      <c r="K471" s="16" t="n"/>
      <c r="L471" s="20" t="n"/>
      <c r="M471" s="20" t="n"/>
      <c r="N471" s="17" t="n"/>
      <c r="O471" s="18">
        <f>IF(AND(OR($M471="Envoyé",$M471="En attente"),ISNUMBER($C471),NOT(ISNUMBER($N471))),IF(TODAY()-$C471&gt;=7,"⚠ relancer",""),"")</f>
        <v/>
      </c>
      <c r="P471" s="19" t="n"/>
      <c r="Q471" s="22">
        <f>IF($A471="","",HYPERLINK("Z:\MUSTANG SERVICES\Affaires 2027\"&amp;$A471&amp;"\"&amp;$A471&amp;"_Devis.xlsx","Ouvrir"))</f>
        <v/>
      </c>
      <c r="R471" s="22">
        <f>IF($A471="","",HYPERLINK("Z:\MUSTANG SERVICES\Affaires 2027\"&amp;$A471&amp;"\"&amp;$A471&amp;"_ToolList.xlsx","Ouvrir"))</f>
        <v/>
      </c>
      <c r="S471" s="22">
        <f>IF($A471="","",HYPERLINK("Z:\MUSTANG SERVICES\Affaires 2027\"&amp;$A471&amp;"\"&amp;$A471&amp;"_BL.xlsx","Ouvrir"))</f>
        <v/>
      </c>
      <c r="T471" s="22">
        <f>IF($A471="","",HYPERLINK("Z:\MUSTANG SERVICES\Affaires 2027\"&amp;$A471&amp;"\"&amp;$A471&amp;"_ServiceTicket.xlsx","Ouvrir"))</f>
        <v/>
      </c>
      <c r="U471" s="22">
        <f>IF($A471="","",HYPERLINK("Z:\MUSTANG SERVICES\Affaires 2027\"&amp;$A471&amp;"\","Dossier"))</f>
        <v/>
      </c>
    </row>
    <row r="472" ht="18" customHeight="1">
      <c r="A472" s="16" t="n"/>
      <c r="B472" s="17" t="n"/>
      <c r="C472" s="17" t="n"/>
      <c r="D472" s="18">
        <f>IF(AND(ISNUMBER($B472),ISNUMBER($C472)),$C472-$B472,"")</f>
        <v/>
      </c>
      <c r="E472" s="19" t="n"/>
      <c r="F472" s="20" t="n"/>
      <c r="G472" s="19" t="n"/>
      <c r="H472" s="20" t="n"/>
      <c r="I472" s="20" t="n"/>
      <c r="J472" s="19" t="n"/>
      <c r="K472" s="16" t="n"/>
      <c r="L472" s="20" t="n"/>
      <c r="M472" s="20" t="n"/>
      <c r="N472" s="17" t="n"/>
      <c r="O472" s="18">
        <f>IF(AND(OR($M472="Envoyé",$M472="En attente"),ISNUMBER($C472),NOT(ISNUMBER($N472))),IF(TODAY()-$C472&gt;=7,"⚠ relancer",""),"")</f>
        <v/>
      </c>
      <c r="P472" s="19" t="n"/>
      <c r="Q472" s="22">
        <f>IF($A472="","",HYPERLINK("Z:\MUSTANG SERVICES\Affaires 2027\"&amp;$A472&amp;"\"&amp;$A472&amp;"_Devis.xlsx","Ouvrir"))</f>
        <v/>
      </c>
      <c r="R472" s="22">
        <f>IF($A472="","",HYPERLINK("Z:\MUSTANG SERVICES\Affaires 2027\"&amp;$A472&amp;"\"&amp;$A472&amp;"_ToolList.xlsx","Ouvrir"))</f>
        <v/>
      </c>
      <c r="S472" s="22">
        <f>IF($A472="","",HYPERLINK("Z:\MUSTANG SERVICES\Affaires 2027\"&amp;$A472&amp;"\"&amp;$A472&amp;"_BL.xlsx","Ouvrir"))</f>
        <v/>
      </c>
      <c r="T472" s="22">
        <f>IF($A472="","",HYPERLINK("Z:\MUSTANG SERVICES\Affaires 2027\"&amp;$A472&amp;"\"&amp;$A472&amp;"_ServiceTicket.xlsx","Ouvrir"))</f>
        <v/>
      </c>
      <c r="U472" s="22">
        <f>IF($A472="","",HYPERLINK("Z:\MUSTANG SERVICES\Affaires 2027\"&amp;$A472&amp;"\","Dossier"))</f>
        <v/>
      </c>
    </row>
    <row r="473" ht="18" customHeight="1">
      <c r="A473" s="16" t="n"/>
      <c r="B473" s="17" t="n"/>
      <c r="C473" s="17" t="n"/>
      <c r="D473" s="18">
        <f>IF(AND(ISNUMBER($B473),ISNUMBER($C473)),$C473-$B473,"")</f>
        <v/>
      </c>
      <c r="E473" s="19" t="n"/>
      <c r="F473" s="20" t="n"/>
      <c r="G473" s="19" t="n"/>
      <c r="H473" s="20" t="n"/>
      <c r="I473" s="20" t="n"/>
      <c r="J473" s="19" t="n"/>
      <c r="K473" s="16" t="n"/>
      <c r="L473" s="20" t="n"/>
      <c r="M473" s="20" t="n"/>
      <c r="N473" s="17" t="n"/>
      <c r="O473" s="18">
        <f>IF(AND(OR($M473="Envoyé",$M473="En attente"),ISNUMBER($C473),NOT(ISNUMBER($N473))),IF(TODAY()-$C473&gt;=7,"⚠ relancer",""),"")</f>
        <v/>
      </c>
      <c r="P473" s="19" t="n"/>
      <c r="Q473" s="22">
        <f>IF($A473="","",HYPERLINK("Z:\MUSTANG SERVICES\Affaires 2027\"&amp;$A473&amp;"\"&amp;$A473&amp;"_Devis.xlsx","Ouvrir"))</f>
        <v/>
      </c>
      <c r="R473" s="22">
        <f>IF($A473="","",HYPERLINK("Z:\MUSTANG SERVICES\Affaires 2027\"&amp;$A473&amp;"\"&amp;$A473&amp;"_ToolList.xlsx","Ouvrir"))</f>
        <v/>
      </c>
      <c r="S473" s="22">
        <f>IF($A473="","",HYPERLINK("Z:\MUSTANG SERVICES\Affaires 2027\"&amp;$A473&amp;"\"&amp;$A473&amp;"_BL.xlsx","Ouvrir"))</f>
        <v/>
      </c>
      <c r="T473" s="22">
        <f>IF($A473="","",HYPERLINK("Z:\MUSTANG SERVICES\Affaires 2027\"&amp;$A473&amp;"\"&amp;$A473&amp;"_ServiceTicket.xlsx","Ouvrir"))</f>
        <v/>
      </c>
      <c r="U473" s="22">
        <f>IF($A473="","",HYPERLINK("Z:\MUSTANG SERVICES\Affaires 2027\"&amp;$A473&amp;"\","Dossier"))</f>
        <v/>
      </c>
    </row>
    <row r="474" ht="18" customHeight="1">
      <c r="A474" s="16" t="n"/>
      <c r="B474" s="17" t="n"/>
      <c r="C474" s="17" t="n"/>
      <c r="D474" s="18">
        <f>IF(AND(ISNUMBER($B474),ISNUMBER($C474)),$C474-$B474,"")</f>
        <v/>
      </c>
      <c r="E474" s="19" t="n"/>
      <c r="F474" s="20" t="n"/>
      <c r="G474" s="19" t="n"/>
      <c r="H474" s="20" t="n"/>
      <c r="I474" s="20" t="n"/>
      <c r="J474" s="19" t="n"/>
      <c r="K474" s="16" t="n"/>
      <c r="L474" s="20" t="n"/>
      <c r="M474" s="20" t="n"/>
      <c r="N474" s="17" t="n"/>
      <c r="O474" s="18">
        <f>IF(AND(OR($M474="Envoyé",$M474="En attente"),ISNUMBER($C474),NOT(ISNUMBER($N474))),IF(TODAY()-$C474&gt;=7,"⚠ relancer",""),"")</f>
        <v/>
      </c>
      <c r="P474" s="19" t="n"/>
      <c r="Q474" s="22">
        <f>IF($A474="","",HYPERLINK("Z:\MUSTANG SERVICES\Affaires 2027\"&amp;$A474&amp;"\"&amp;$A474&amp;"_Devis.xlsx","Ouvrir"))</f>
        <v/>
      </c>
      <c r="R474" s="22">
        <f>IF($A474="","",HYPERLINK("Z:\MUSTANG SERVICES\Affaires 2027\"&amp;$A474&amp;"\"&amp;$A474&amp;"_ToolList.xlsx","Ouvrir"))</f>
        <v/>
      </c>
      <c r="S474" s="22">
        <f>IF($A474="","",HYPERLINK("Z:\MUSTANG SERVICES\Affaires 2027\"&amp;$A474&amp;"\"&amp;$A474&amp;"_BL.xlsx","Ouvrir"))</f>
        <v/>
      </c>
      <c r="T474" s="22">
        <f>IF($A474="","",HYPERLINK("Z:\MUSTANG SERVICES\Affaires 2027\"&amp;$A474&amp;"\"&amp;$A474&amp;"_ServiceTicket.xlsx","Ouvrir"))</f>
        <v/>
      </c>
      <c r="U474" s="22">
        <f>IF($A474="","",HYPERLINK("Z:\MUSTANG SERVICES\Affaires 2027\"&amp;$A474&amp;"\","Dossier"))</f>
        <v/>
      </c>
    </row>
    <row r="475" ht="18" customHeight="1">
      <c r="A475" s="16" t="n"/>
      <c r="B475" s="17" t="n"/>
      <c r="C475" s="17" t="n"/>
      <c r="D475" s="18">
        <f>IF(AND(ISNUMBER($B475),ISNUMBER($C475)),$C475-$B475,"")</f>
        <v/>
      </c>
      <c r="E475" s="19" t="n"/>
      <c r="F475" s="20" t="n"/>
      <c r="G475" s="19" t="n"/>
      <c r="H475" s="20" t="n"/>
      <c r="I475" s="20" t="n"/>
      <c r="J475" s="19" t="n"/>
      <c r="K475" s="16" t="n"/>
      <c r="L475" s="20" t="n"/>
      <c r="M475" s="20" t="n"/>
      <c r="N475" s="17" t="n"/>
      <c r="O475" s="18">
        <f>IF(AND(OR($M475="Envoyé",$M475="En attente"),ISNUMBER($C475),NOT(ISNUMBER($N475))),IF(TODAY()-$C475&gt;=7,"⚠ relancer",""),"")</f>
        <v/>
      </c>
      <c r="P475" s="19" t="n"/>
      <c r="Q475" s="22">
        <f>IF($A475="","",HYPERLINK("Z:\MUSTANG SERVICES\Affaires 2027\"&amp;$A475&amp;"\"&amp;$A475&amp;"_Devis.xlsx","Ouvrir"))</f>
        <v/>
      </c>
      <c r="R475" s="22">
        <f>IF($A475="","",HYPERLINK("Z:\MUSTANG SERVICES\Affaires 2027\"&amp;$A475&amp;"\"&amp;$A475&amp;"_ToolList.xlsx","Ouvrir"))</f>
        <v/>
      </c>
      <c r="S475" s="22">
        <f>IF($A475="","",HYPERLINK("Z:\MUSTANG SERVICES\Affaires 2027\"&amp;$A475&amp;"\"&amp;$A475&amp;"_BL.xlsx","Ouvrir"))</f>
        <v/>
      </c>
      <c r="T475" s="22">
        <f>IF($A475="","",HYPERLINK("Z:\MUSTANG SERVICES\Affaires 2027\"&amp;$A475&amp;"\"&amp;$A475&amp;"_ServiceTicket.xlsx","Ouvrir"))</f>
        <v/>
      </c>
      <c r="U475" s="22">
        <f>IF($A475="","",HYPERLINK("Z:\MUSTANG SERVICES\Affaires 2027\"&amp;$A475&amp;"\","Dossier"))</f>
        <v/>
      </c>
    </row>
    <row r="476" ht="18" customHeight="1">
      <c r="A476" s="16" t="n"/>
      <c r="B476" s="17" t="n"/>
      <c r="C476" s="17" t="n"/>
      <c r="D476" s="18">
        <f>IF(AND(ISNUMBER($B476),ISNUMBER($C476)),$C476-$B476,"")</f>
        <v/>
      </c>
      <c r="E476" s="19" t="n"/>
      <c r="F476" s="20" t="n"/>
      <c r="G476" s="19" t="n"/>
      <c r="H476" s="20" t="n"/>
      <c r="I476" s="20" t="n"/>
      <c r="J476" s="19" t="n"/>
      <c r="K476" s="16" t="n"/>
      <c r="L476" s="20" t="n"/>
      <c r="M476" s="20" t="n"/>
      <c r="N476" s="17" t="n"/>
      <c r="O476" s="18">
        <f>IF(AND(OR($M476="Envoyé",$M476="En attente"),ISNUMBER($C476),NOT(ISNUMBER($N476))),IF(TODAY()-$C476&gt;=7,"⚠ relancer",""),"")</f>
        <v/>
      </c>
      <c r="P476" s="19" t="n"/>
      <c r="Q476" s="22">
        <f>IF($A476="","",HYPERLINK("Z:\MUSTANG SERVICES\Affaires 2027\"&amp;$A476&amp;"\"&amp;$A476&amp;"_Devis.xlsx","Ouvrir"))</f>
        <v/>
      </c>
      <c r="R476" s="22">
        <f>IF($A476="","",HYPERLINK("Z:\MUSTANG SERVICES\Affaires 2027\"&amp;$A476&amp;"\"&amp;$A476&amp;"_ToolList.xlsx","Ouvrir"))</f>
        <v/>
      </c>
      <c r="S476" s="22">
        <f>IF($A476="","",HYPERLINK("Z:\MUSTANG SERVICES\Affaires 2027\"&amp;$A476&amp;"\"&amp;$A476&amp;"_BL.xlsx","Ouvrir"))</f>
        <v/>
      </c>
      <c r="T476" s="22">
        <f>IF($A476="","",HYPERLINK("Z:\MUSTANG SERVICES\Affaires 2027\"&amp;$A476&amp;"\"&amp;$A476&amp;"_ServiceTicket.xlsx","Ouvrir"))</f>
        <v/>
      </c>
      <c r="U476" s="22">
        <f>IF($A476="","",HYPERLINK("Z:\MUSTANG SERVICES\Affaires 2027\"&amp;$A476&amp;"\","Dossier"))</f>
        <v/>
      </c>
    </row>
    <row r="477" ht="18" customHeight="1">
      <c r="A477" s="16" t="n"/>
      <c r="B477" s="17" t="n"/>
      <c r="C477" s="17" t="n"/>
      <c r="D477" s="18">
        <f>IF(AND(ISNUMBER($B477),ISNUMBER($C477)),$C477-$B477,"")</f>
        <v/>
      </c>
      <c r="E477" s="19" t="n"/>
      <c r="F477" s="20" t="n"/>
      <c r="G477" s="19" t="n"/>
      <c r="H477" s="20" t="n"/>
      <c r="I477" s="20" t="n"/>
      <c r="J477" s="19" t="n"/>
      <c r="K477" s="16" t="n"/>
      <c r="L477" s="20" t="n"/>
      <c r="M477" s="20" t="n"/>
      <c r="N477" s="17" t="n"/>
      <c r="O477" s="18">
        <f>IF(AND(OR($M477="Envoyé",$M477="En attente"),ISNUMBER($C477),NOT(ISNUMBER($N477))),IF(TODAY()-$C477&gt;=7,"⚠ relancer",""),"")</f>
        <v/>
      </c>
      <c r="P477" s="19" t="n"/>
      <c r="Q477" s="22">
        <f>IF($A477="","",HYPERLINK("Z:\MUSTANG SERVICES\Affaires 2027\"&amp;$A477&amp;"\"&amp;$A477&amp;"_Devis.xlsx","Ouvrir"))</f>
        <v/>
      </c>
      <c r="R477" s="22">
        <f>IF($A477="","",HYPERLINK("Z:\MUSTANG SERVICES\Affaires 2027\"&amp;$A477&amp;"\"&amp;$A477&amp;"_ToolList.xlsx","Ouvrir"))</f>
        <v/>
      </c>
      <c r="S477" s="22">
        <f>IF($A477="","",HYPERLINK("Z:\MUSTANG SERVICES\Affaires 2027\"&amp;$A477&amp;"\"&amp;$A477&amp;"_BL.xlsx","Ouvrir"))</f>
        <v/>
      </c>
      <c r="T477" s="22">
        <f>IF($A477="","",HYPERLINK("Z:\MUSTANG SERVICES\Affaires 2027\"&amp;$A477&amp;"\"&amp;$A477&amp;"_ServiceTicket.xlsx","Ouvrir"))</f>
        <v/>
      </c>
      <c r="U477" s="22">
        <f>IF($A477="","",HYPERLINK("Z:\MUSTANG SERVICES\Affaires 2027\"&amp;$A477&amp;"\","Dossier"))</f>
        <v/>
      </c>
    </row>
    <row r="478" ht="18" customHeight="1">
      <c r="A478" s="16" t="n"/>
      <c r="B478" s="17" t="n"/>
      <c r="C478" s="17" t="n"/>
      <c r="D478" s="18">
        <f>IF(AND(ISNUMBER($B478),ISNUMBER($C478)),$C478-$B478,"")</f>
        <v/>
      </c>
      <c r="E478" s="19" t="n"/>
      <c r="F478" s="20" t="n"/>
      <c r="G478" s="19" t="n"/>
      <c r="H478" s="20" t="n"/>
      <c r="I478" s="20" t="n"/>
      <c r="J478" s="19" t="n"/>
      <c r="K478" s="16" t="n"/>
      <c r="L478" s="20" t="n"/>
      <c r="M478" s="20" t="n"/>
      <c r="N478" s="17" t="n"/>
      <c r="O478" s="18">
        <f>IF(AND(OR($M478="Envoyé",$M478="En attente"),ISNUMBER($C478),NOT(ISNUMBER($N478))),IF(TODAY()-$C478&gt;=7,"⚠ relancer",""),"")</f>
        <v/>
      </c>
      <c r="P478" s="19" t="n"/>
      <c r="Q478" s="22">
        <f>IF($A478="","",HYPERLINK("Z:\MUSTANG SERVICES\Affaires 2027\"&amp;$A478&amp;"\"&amp;$A478&amp;"_Devis.xlsx","Ouvrir"))</f>
        <v/>
      </c>
      <c r="R478" s="22">
        <f>IF($A478="","",HYPERLINK("Z:\MUSTANG SERVICES\Affaires 2027\"&amp;$A478&amp;"\"&amp;$A478&amp;"_ToolList.xlsx","Ouvrir"))</f>
        <v/>
      </c>
      <c r="S478" s="22">
        <f>IF($A478="","",HYPERLINK("Z:\MUSTANG SERVICES\Affaires 2027\"&amp;$A478&amp;"\"&amp;$A478&amp;"_BL.xlsx","Ouvrir"))</f>
        <v/>
      </c>
      <c r="T478" s="22">
        <f>IF($A478="","",HYPERLINK("Z:\MUSTANG SERVICES\Affaires 2027\"&amp;$A478&amp;"\"&amp;$A478&amp;"_ServiceTicket.xlsx","Ouvrir"))</f>
        <v/>
      </c>
      <c r="U478" s="22">
        <f>IF($A478="","",HYPERLINK("Z:\MUSTANG SERVICES\Affaires 2027\"&amp;$A478&amp;"\","Dossier"))</f>
        <v/>
      </c>
    </row>
    <row r="479" ht="18" customHeight="1">
      <c r="A479" s="16" t="n"/>
      <c r="B479" s="17" t="n"/>
      <c r="C479" s="17" t="n"/>
      <c r="D479" s="18">
        <f>IF(AND(ISNUMBER($B479),ISNUMBER($C479)),$C479-$B479,"")</f>
        <v/>
      </c>
      <c r="E479" s="19" t="n"/>
      <c r="F479" s="20" t="n"/>
      <c r="G479" s="19" t="n"/>
      <c r="H479" s="20" t="n"/>
      <c r="I479" s="20" t="n"/>
      <c r="J479" s="19" t="n"/>
      <c r="K479" s="16" t="n"/>
      <c r="L479" s="20" t="n"/>
      <c r="M479" s="20" t="n"/>
      <c r="N479" s="17" t="n"/>
      <c r="O479" s="18">
        <f>IF(AND(OR($M479="Envoyé",$M479="En attente"),ISNUMBER($C479),NOT(ISNUMBER($N479))),IF(TODAY()-$C479&gt;=7,"⚠ relancer",""),"")</f>
        <v/>
      </c>
      <c r="P479" s="19" t="n"/>
      <c r="Q479" s="22">
        <f>IF($A479="","",HYPERLINK("Z:\MUSTANG SERVICES\Affaires 2027\"&amp;$A479&amp;"\"&amp;$A479&amp;"_Devis.xlsx","Ouvrir"))</f>
        <v/>
      </c>
      <c r="R479" s="22">
        <f>IF($A479="","",HYPERLINK("Z:\MUSTANG SERVICES\Affaires 2027\"&amp;$A479&amp;"\"&amp;$A479&amp;"_ToolList.xlsx","Ouvrir"))</f>
        <v/>
      </c>
      <c r="S479" s="22">
        <f>IF($A479="","",HYPERLINK("Z:\MUSTANG SERVICES\Affaires 2027\"&amp;$A479&amp;"\"&amp;$A479&amp;"_BL.xlsx","Ouvrir"))</f>
        <v/>
      </c>
      <c r="T479" s="22">
        <f>IF($A479="","",HYPERLINK("Z:\MUSTANG SERVICES\Affaires 2027\"&amp;$A479&amp;"\"&amp;$A479&amp;"_ServiceTicket.xlsx","Ouvrir"))</f>
        <v/>
      </c>
      <c r="U479" s="22">
        <f>IF($A479="","",HYPERLINK("Z:\MUSTANG SERVICES\Affaires 2027\"&amp;$A479&amp;"\","Dossier"))</f>
        <v/>
      </c>
    </row>
    <row r="480" ht="18" customHeight="1">
      <c r="A480" s="16" t="n"/>
      <c r="B480" s="17" t="n"/>
      <c r="C480" s="17" t="n"/>
      <c r="D480" s="18">
        <f>IF(AND(ISNUMBER($B480),ISNUMBER($C480)),$C480-$B480,"")</f>
        <v/>
      </c>
      <c r="E480" s="19" t="n"/>
      <c r="F480" s="20" t="n"/>
      <c r="G480" s="19" t="n"/>
      <c r="H480" s="20" t="n"/>
      <c r="I480" s="20" t="n"/>
      <c r="J480" s="19" t="n"/>
      <c r="K480" s="16" t="n"/>
      <c r="L480" s="20" t="n"/>
      <c r="M480" s="20" t="n"/>
      <c r="N480" s="17" t="n"/>
      <c r="O480" s="18">
        <f>IF(AND(OR($M480="Envoyé",$M480="En attente"),ISNUMBER($C480),NOT(ISNUMBER($N480))),IF(TODAY()-$C480&gt;=7,"⚠ relancer",""),"")</f>
        <v/>
      </c>
      <c r="P480" s="19" t="n"/>
      <c r="Q480" s="22">
        <f>IF($A480="","",HYPERLINK("Z:\MUSTANG SERVICES\Affaires 2027\"&amp;$A480&amp;"\"&amp;$A480&amp;"_Devis.xlsx","Ouvrir"))</f>
        <v/>
      </c>
      <c r="R480" s="22">
        <f>IF($A480="","",HYPERLINK("Z:\MUSTANG SERVICES\Affaires 2027\"&amp;$A480&amp;"\"&amp;$A480&amp;"_ToolList.xlsx","Ouvrir"))</f>
        <v/>
      </c>
      <c r="S480" s="22">
        <f>IF($A480="","",HYPERLINK("Z:\MUSTANG SERVICES\Affaires 2027\"&amp;$A480&amp;"\"&amp;$A480&amp;"_BL.xlsx","Ouvrir"))</f>
        <v/>
      </c>
      <c r="T480" s="22">
        <f>IF($A480="","",HYPERLINK("Z:\MUSTANG SERVICES\Affaires 2027\"&amp;$A480&amp;"\"&amp;$A480&amp;"_ServiceTicket.xlsx","Ouvrir"))</f>
        <v/>
      </c>
      <c r="U480" s="22">
        <f>IF($A480="","",HYPERLINK("Z:\MUSTANG SERVICES\Affaires 2027\"&amp;$A480&amp;"\","Dossier"))</f>
        <v/>
      </c>
    </row>
    <row r="481" ht="18" customHeight="1">
      <c r="A481" s="16" t="n"/>
      <c r="B481" s="17" t="n"/>
      <c r="C481" s="17" t="n"/>
      <c r="D481" s="18">
        <f>IF(AND(ISNUMBER($B481),ISNUMBER($C481)),$C481-$B481,"")</f>
        <v/>
      </c>
      <c r="E481" s="19" t="n"/>
      <c r="F481" s="20" t="n"/>
      <c r="G481" s="19" t="n"/>
      <c r="H481" s="20" t="n"/>
      <c r="I481" s="20" t="n"/>
      <c r="J481" s="19" t="n"/>
      <c r="K481" s="16" t="n"/>
      <c r="L481" s="20" t="n"/>
      <c r="M481" s="20" t="n"/>
      <c r="N481" s="17" t="n"/>
      <c r="O481" s="18">
        <f>IF(AND(OR($M481="Envoyé",$M481="En attente"),ISNUMBER($C481),NOT(ISNUMBER($N481))),IF(TODAY()-$C481&gt;=7,"⚠ relancer",""),"")</f>
        <v/>
      </c>
      <c r="P481" s="19" t="n"/>
      <c r="Q481" s="22">
        <f>IF($A481="","",HYPERLINK("Z:\MUSTANG SERVICES\Affaires 2027\"&amp;$A481&amp;"\"&amp;$A481&amp;"_Devis.xlsx","Ouvrir"))</f>
        <v/>
      </c>
      <c r="R481" s="22">
        <f>IF($A481="","",HYPERLINK("Z:\MUSTANG SERVICES\Affaires 2027\"&amp;$A481&amp;"\"&amp;$A481&amp;"_ToolList.xlsx","Ouvrir"))</f>
        <v/>
      </c>
      <c r="S481" s="22">
        <f>IF($A481="","",HYPERLINK("Z:\MUSTANG SERVICES\Affaires 2027\"&amp;$A481&amp;"\"&amp;$A481&amp;"_BL.xlsx","Ouvrir"))</f>
        <v/>
      </c>
      <c r="T481" s="22">
        <f>IF($A481="","",HYPERLINK("Z:\MUSTANG SERVICES\Affaires 2027\"&amp;$A481&amp;"\"&amp;$A481&amp;"_ServiceTicket.xlsx","Ouvrir"))</f>
        <v/>
      </c>
      <c r="U481" s="22">
        <f>IF($A481="","",HYPERLINK("Z:\MUSTANG SERVICES\Affaires 2027\"&amp;$A481&amp;"\","Dossier"))</f>
        <v/>
      </c>
    </row>
    <row r="482" ht="18" customHeight="1">
      <c r="A482" s="16" t="n"/>
      <c r="B482" s="17" t="n"/>
      <c r="C482" s="17" t="n"/>
      <c r="D482" s="18">
        <f>IF(AND(ISNUMBER($B482),ISNUMBER($C482)),$C482-$B482,"")</f>
        <v/>
      </c>
      <c r="E482" s="19" t="n"/>
      <c r="F482" s="20" t="n"/>
      <c r="G482" s="19" t="n"/>
      <c r="H482" s="20" t="n"/>
      <c r="I482" s="20" t="n"/>
      <c r="J482" s="19" t="n"/>
      <c r="K482" s="16" t="n"/>
      <c r="L482" s="20" t="n"/>
      <c r="M482" s="20" t="n"/>
      <c r="N482" s="17" t="n"/>
      <c r="O482" s="18">
        <f>IF(AND(OR($M482="Envoyé",$M482="En attente"),ISNUMBER($C482),NOT(ISNUMBER($N482))),IF(TODAY()-$C482&gt;=7,"⚠ relancer",""),"")</f>
        <v/>
      </c>
      <c r="P482" s="19" t="n"/>
      <c r="Q482" s="22">
        <f>IF($A482="","",HYPERLINK("Z:\MUSTANG SERVICES\Affaires 2027\"&amp;$A482&amp;"\"&amp;$A482&amp;"_Devis.xlsx","Ouvrir"))</f>
        <v/>
      </c>
      <c r="R482" s="22">
        <f>IF($A482="","",HYPERLINK("Z:\MUSTANG SERVICES\Affaires 2027\"&amp;$A482&amp;"\"&amp;$A482&amp;"_ToolList.xlsx","Ouvrir"))</f>
        <v/>
      </c>
      <c r="S482" s="22">
        <f>IF($A482="","",HYPERLINK("Z:\MUSTANG SERVICES\Affaires 2027\"&amp;$A482&amp;"\"&amp;$A482&amp;"_BL.xlsx","Ouvrir"))</f>
        <v/>
      </c>
      <c r="T482" s="22">
        <f>IF($A482="","",HYPERLINK("Z:\MUSTANG SERVICES\Affaires 2027\"&amp;$A482&amp;"\"&amp;$A482&amp;"_ServiceTicket.xlsx","Ouvrir"))</f>
        <v/>
      </c>
      <c r="U482" s="22">
        <f>IF($A482="","",HYPERLINK("Z:\MUSTANG SERVICES\Affaires 2027\"&amp;$A482&amp;"\","Dossier"))</f>
        <v/>
      </c>
    </row>
    <row r="483" ht="18" customHeight="1">
      <c r="A483" s="16" t="n"/>
      <c r="B483" s="17" t="n"/>
      <c r="C483" s="17" t="n"/>
      <c r="D483" s="18">
        <f>IF(AND(ISNUMBER($B483),ISNUMBER($C483)),$C483-$B483,"")</f>
        <v/>
      </c>
      <c r="E483" s="19" t="n"/>
      <c r="F483" s="20" t="n"/>
      <c r="G483" s="19" t="n"/>
      <c r="H483" s="20" t="n"/>
      <c r="I483" s="20" t="n"/>
      <c r="J483" s="19" t="n"/>
      <c r="K483" s="16" t="n"/>
      <c r="L483" s="20" t="n"/>
      <c r="M483" s="20" t="n"/>
      <c r="N483" s="17" t="n"/>
      <c r="O483" s="18">
        <f>IF(AND(OR($M483="Envoyé",$M483="En attente"),ISNUMBER($C483),NOT(ISNUMBER($N483))),IF(TODAY()-$C483&gt;=7,"⚠ relancer",""),"")</f>
        <v/>
      </c>
      <c r="P483" s="19" t="n"/>
      <c r="Q483" s="22">
        <f>IF($A483="","",HYPERLINK("Z:\MUSTANG SERVICES\Affaires 2027\"&amp;$A483&amp;"\"&amp;$A483&amp;"_Devis.xlsx","Ouvrir"))</f>
        <v/>
      </c>
      <c r="R483" s="22">
        <f>IF($A483="","",HYPERLINK("Z:\MUSTANG SERVICES\Affaires 2027\"&amp;$A483&amp;"\"&amp;$A483&amp;"_ToolList.xlsx","Ouvrir"))</f>
        <v/>
      </c>
      <c r="S483" s="22">
        <f>IF($A483="","",HYPERLINK("Z:\MUSTANG SERVICES\Affaires 2027\"&amp;$A483&amp;"\"&amp;$A483&amp;"_BL.xlsx","Ouvrir"))</f>
        <v/>
      </c>
      <c r="T483" s="22">
        <f>IF($A483="","",HYPERLINK("Z:\MUSTANG SERVICES\Affaires 2027\"&amp;$A483&amp;"\"&amp;$A483&amp;"_ServiceTicket.xlsx","Ouvrir"))</f>
        <v/>
      </c>
      <c r="U483" s="22">
        <f>IF($A483="","",HYPERLINK("Z:\MUSTANG SERVICES\Affaires 2027\"&amp;$A483&amp;"\","Dossier"))</f>
        <v/>
      </c>
    </row>
    <row r="484" ht="18" customHeight="1">
      <c r="A484" s="16" t="n"/>
      <c r="B484" s="17" t="n"/>
      <c r="C484" s="17" t="n"/>
      <c r="D484" s="18">
        <f>IF(AND(ISNUMBER($B484),ISNUMBER($C484)),$C484-$B484,"")</f>
        <v/>
      </c>
      <c r="E484" s="19" t="n"/>
      <c r="F484" s="20" t="n"/>
      <c r="G484" s="19" t="n"/>
      <c r="H484" s="20" t="n"/>
      <c r="I484" s="20" t="n"/>
      <c r="J484" s="19" t="n"/>
      <c r="K484" s="16" t="n"/>
      <c r="L484" s="20" t="n"/>
      <c r="M484" s="20" t="n"/>
      <c r="N484" s="17" t="n"/>
      <c r="O484" s="18">
        <f>IF(AND(OR($M484="Envoyé",$M484="En attente"),ISNUMBER($C484),NOT(ISNUMBER($N484))),IF(TODAY()-$C484&gt;=7,"⚠ relancer",""),"")</f>
        <v/>
      </c>
      <c r="P484" s="19" t="n"/>
      <c r="Q484" s="22">
        <f>IF($A484="","",HYPERLINK("Z:\MUSTANG SERVICES\Affaires 2027\"&amp;$A484&amp;"\"&amp;$A484&amp;"_Devis.xlsx","Ouvrir"))</f>
        <v/>
      </c>
      <c r="R484" s="22">
        <f>IF($A484="","",HYPERLINK("Z:\MUSTANG SERVICES\Affaires 2027\"&amp;$A484&amp;"\"&amp;$A484&amp;"_ToolList.xlsx","Ouvrir"))</f>
        <v/>
      </c>
      <c r="S484" s="22">
        <f>IF($A484="","",HYPERLINK("Z:\MUSTANG SERVICES\Affaires 2027\"&amp;$A484&amp;"\"&amp;$A484&amp;"_BL.xlsx","Ouvrir"))</f>
        <v/>
      </c>
      <c r="T484" s="22">
        <f>IF($A484="","",HYPERLINK("Z:\MUSTANG SERVICES\Affaires 2027\"&amp;$A484&amp;"\"&amp;$A484&amp;"_ServiceTicket.xlsx","Ouvrir"))</f>
        <v/>
      </c>
      <c r="U484" s="22">
        <f>IF($A484="","",HYPERLINK("Z:\MUSTANG SERVICES\Affaires 2027\"&amp;$A484&amp;"\","Dossier"))</f>
        <v/>
      </c>
    </row>
    <row r="485" ht="18" customHeight="1">
      <c r="A485" s="16" t="n"/>
      <c r="B485" s="17" t="n"/>
      <c r="C485" s="17" t="n"/>
      <c r="D485" s="18">
        <f>IF(AND(ISNUMBER($B485),ISNUMBER($C485)),$C485-$B485,"")</f>
        <v/>
      </c>
      <c r="E485" s="19" t="n"/>
      <c r="F485" s="20" t="n"/>
      <c r="G485" s="19" t="n"/>
      <c r="H485" s="20" t="n"/>
      <c r="I485" s="20" t="n"/>
      <c r="J485" s="19" t="n"/>
      <c r="K485" s="16" t="n"/>
      <c r="L485" s="20" t="n"/>
      <c r="M485" s="20" t="n"/>
      <c r="N485" s="17" t="n"/>
      <c r="O485" s="18">
        <f>IF(AND(OR($M485="Envoyé",$M485="En attente"),ISNUMBER($C485),NOT(ISNUMBER($N485))),IF(TODAY()-$C485&gt;=7,"⚠ relancer",""),"")</f>
        <v/>
      </c>
      <c r="P485" s="19" t="n"/>
      <c r="Q485" s="22">
        <f>IF($A485="","",HYPERLINK("Z:\MUSTANG SERVICES\Affaires 2027\"&amp;$A485&amp;"\"&amp;$A485&amp;"_Devis.xlsx","Ouvrir"))</f>
        <v/>
      </c>
      <c r="R485" s="22">
        <f>IF($A485="","",HYPERLINK("Z:\MUSTANG SERVICES\Affaires 2027\"&amp;$A485&amp;"\"&amp;$A485&amp;"_ToolList.xlsx","Ouvrir"))</f>
        <v/>
      </c>
      <c r="S485" s="22">
        <f>IF($A485="","",HYPERLINK("Z:\MUSTANG SERVICES\Affaires 2027\"&amp;$A485&amp;"\"&amp;$A485&amp;"_BL.xlsx","Ouvrir"))</f>
        <v/>
      </c>
      <c r="T485" s="22">
        <f>IF($A485="","",HYPERLINK("Z:\MUSTANG SERVICES\Affaires 2027\"&amp;$A485&amp;"\"&amp;$A485&amp;"_ServiceTicket.xlsx","Ouvrir"))</f>
        <v/>
      </c>
      <c r="U485" s="22">
        <f>IF($A485="","",HYPERLINK("Z:\MUSTANG SERVICES\Affaires 2027\"&amp;$A485&amp;"\","Dossier"))</f>
        <v/>
      </c>
    </row>
    <row r="486" ht="18" customHeight="1">
      <c r="A486" s="16" t="n"/>
      <c r="B486" s="17" t="n"/>
      <c r="C486" s="17" t="n"/>
      <c r="D486" s="18">
        <f>IF(AND(ISNUMBER($B486),ISNUMBER($C486)),$C486-$B486,"")</f>
        <v/>
      </c>
      <c r="E486" s="19" t="n"/>
      <c r="F486" s="20" t="n"/>
      <c r="G486" s="19" t="n"/>
      <c r="H486" s="20" t="n"/>
      <c r="I486" s="20" t="n"/>
      <c r="J486" s="19" t="n"/>
      <c r="K486" s="16" t="n"/>
      <c r="L486" s="20" t="n"/>
      <c r="M486" s="20" t="n"/>
      <c r="N486" s="17" t="n"/>
      <c r="O486" s="18">
        <f>IF(AND(OR($M486="Envoyé",$M486="En attente"),ISNUMBER($C486),NOT(ISNUMBER($N486))),IF(TODAY()-$C486&gt;=7,"⚠ relancer",""),"")</f>
        <v/>
      </c>
      <c r="P486" s="19" t="n"/>
      <c r="Q486" s="22">
        <f>IF($A486="","",HYPERLINK("Z:\MUSTANG SERVICES\Affaires 2027\"&amp;$A486&amp;"\"&amp;$A486&amp;"_Devis.xlsx","Ouvrir"))</f>
        <v/>
      </c>
      <c r="R486" s="22">
        <f>IF($A486="","",HYPERLINK("Z:\MUSTANG SERVICES\Affaires 2027\"&amp;$A486&amp;"\"&amp;$A486&amp;"_ToolList.xlsx","Ouvrir"))</f>
        <v/>
      </c>
      <c r="S486" s="22">
        <f>IF($A486="","",HYPERLINK("Z:\MUSTANG SERVICES\Affaires 2027\"&amp;$A486&amp;"\"&amp;$A486&amp;"_BL.xlsx","Ouvrir"))</f>
        <v/>
      </c>
      <c r="T486" s="22">
        <f>IF($A486="","",HYPERLINK("Z:\MUSTANG SERVICES\Affaires 2027\"&amp;$A486&amp;"\"&amp;$A486&amp;"_ServiceTicket.xlsx","Ouvrir"))</f>
        <v/>
      </c>
      <c r="U486" s="22">
        <f>IF($A486="","",HYPERLINK("Z:\MUSTANG SERVICES\Affaires 2027\"&amp;$A486&amp;"\","Dossier"))</f>
        <v/>
      </c>
    </row>
    <row r="487" ht="18" customHeight="1">
      <c r="A487" s="16" t="n"/>
      <c r="B487" s="17" t="n"/>
      <c r="C487" s="17" t="n"/>
      <c r="D487" s="18">
        <f>IF(AND(ISNUMBER($B487),ISNUMBER($C487)),$C487-$B487,"")</f>
        <v/>
      </c>
      <c r="E487" s="19" t="n"/>
      <c r="F487" s="20" t="n"/>
      <c r="G487" s="19" t="n"/>
      <c r="H487" s="20" t="n"/>
      <c r="I487" s="20" t="n"/>
      <c r="J487" s="19" t="n"/>
      <c r="K487" s="16" t="n"/>
      <c r="L487" s="20" t="n"/>
      <c r="M487" s="20" t="n"/>
      <c r="N487" s="17" t="n"/>
      <c r="O487" s="18">
        <f>IF(AND(OR($M487="Envoyé",$M487="En attente"),ISNUMBER($C487),NOT(ISNUMBER($N487))),IF(TODAY()-$C487&gt;=7,"⚠ relancer",""),"")</f>
        <v/>
      </c>
      <c r="P487" s="19" t="n"/>
      <c r="Q487" s="22">
        <f>IF($A487="","",HYPERLINK("Z:\MUSTANG SERVICES\Affaires 2027\"&amp;$A487&amp;"\"&amp;$A487&amp;"_Devis.xlsx","Ouvrir"))</f>
        <v/>
      </c>
      <c r="R487" s="22">
        <f>IF($A487="","",HYPERLINK("Z:\MUSTANG SERVICES\Affaires 2027\"&amp;$A487&amp;"\"&amp;$A487&amp;"_ToolList.xlsx","Ouvrir"))</f>
        <v/>
      </c>
      <c r="S487" s="22">
        <f>IF($A487="","",HYPERLINK("Z:\MUSTANG SERVICES\Affaires 2027\"&amp;$A487&amp;"\"&amp;$A487&amp;"_BL.xlsx","Ouvrir"))</f>
        <v/>
      </c>
      <c r="T487" s="22">
        <f>IF($A487="","",HYPERLINK("Z:\MUSTANG SERVICES\Affaires 2027\"&amp;$A487&amp;"\"&amp;$A487&amp;"_ServiceTicket.xlsx","Ouvrir"))</f>
        <v/>
      </c>
      <c r="U487" s="22">
        <f>IF($A487="","",HYPERLINK("Z:\MUSTANG SERVICES\Affaires 2027\"&amp;$A487&amp;"\","Dossier"))</f>
        <v/>
      </c>
    </row>
    <row r="488" ht="18" customHeight="1">
      <c r="A488" s="16" t="n"/>
      <c r="B488" s="17" t="n"/>
      <c r="C488" s="17" t="n"/>
      <c r="D488" s="18">
        <f>IF(AND(ISNUMBER($B488),ISNUMBER($C488)),$C488-$B488,"")</f>
        <v/>
      </c>
      <c r="E488" s="19" t="n"/>
      <c r="F488" s="20" t="n"/>
      <c r="G488" s="19" t="n"/>
      <c r="H488" s="20" t="n"/>
      <c r="I488" s="20" t="n"/>
      <c r="J488" s="19" t="n"/>
      <c r="K488" s="16" t="n"/>
      <c r="L488" s="20" t="n"/>
      <c r="M488" s="20" t="n"/>
      <c r="N488" s="17" t="n"/>
      <c r="O488" s="18">
        <f>IF(AND(OR($M488="Envoyé",$M488="En attente"),ISNUMBER($C488),NOT(ISNUMBER($N488))),IF(TODAY()-$C488&gt;=7,"⚠ relancer",""),"")</f>
        <v/>
      </c>
      <c r="P488" s="19" t="n"/>
      <c r="Q488" s="22">
        <f>IF($A488="","",HYPERLINK("Z:\MUSTANG SERVICES\Affaires 2027\"&amp;$A488&amp;"\"&amp;$A488&amp;"_Devis.xlsx","Ouvrir"))</f>
        <v/>
      </c>
      <c r="R488" s="22">
        <f>IF($A488="","",HYPERLINK("Z:\MUSTANG SERVICES\Affaires 2027\"&amp;$A488&amp;"\"&amp;$A488&amp;"_ToolList.xlsx","Ouvrir"))</f>
        <v/>
      </c>
      <c r="S488" s="22">
        <f>IF($A488="","",HYPERLINK("Z:\MUSTANG SERVICES\Affaires 2027\"&amp;$A488&amp;"\"&amp;$A488&amp;"_BL.xlsx","Ouvrir"))</f>
        <v/>
      </c>
      <c r="T488" s="22">
        <f>IF($A488="","",HYPERLINK("Z:\MUSTANG SERVICES\Affaires 2027\"&amp;$A488&amp;"\"&amp;$A488&amp;"_ServiceTicket.xlsx","Ouvrir"))</f>
        <v/>
      </c>
      <c r="U488" s="22">
        <f>IF($A488="","",HYPERLINK("Z:\MUSTANG SERVICES\Affaires 2027\"&amp;$A488&amp;"\","Dossier"))</f>
        <v/>
      </c>
    </row>
    <row r="489" ht="18" customHeight="1">
      <c r="A489" s="16" t="n"/>
      <c r="B489" s="17" t="n"/>
      <c r="C489" s="17" t="n"/>
      <c r="D489" s="18">
        <f>IF(AND(ISNUMBER($B489),ISNUMBER($C489)),$C489-$B489,"")</f>
        <v/>
      </c>
      <c r="E489" s="19" t="n"/>
      <c r="F489" s="20" t="n"/>
      <c r="G489" s="19" t="n"/>
      <c r="H489" s="20" t="n"/>
      <c r="I489" s="20" t="n"/>
      <c r="J489" s="19" t="n"/>
      <c r="K489" s="16" t="n"/>
      <c r="L489" s="20" t="n"/>
      <c r="M489" s="20" t="n"/>
      <c r="N489" s="17" t="n"/>
      <c r="O489" s="18">
        <f>IF(AND(OR($M489="Envoyé",$M489="En attente"),ISNUMBER($C489),NOT(ISNUMBER($N489))),IF(TODAY()-$C489&gt;=7,"⚠ relancer",""),"")</f>
        <v/>
      </c>
      <c r="P489" s="19" t="n"/>
      <c r="Q489" s="22">
        <f>IF($A489="","",HYPERLINK("Z:\MUSTANG SERVICES\Affaires 2027\"&amp;$A489&amp;"\"&amp;$A489&amp;"_Devis.xlsx","Ouvrir"))</f>
        <v/>
      </c>
      <c r="R489" s="22">
        <f>IF($A489="","",HYPERLINK("Z:\MUSTANG SERVICES\Affaires 2027\"&amp;$A489&amp;"\"&amp;$A489&amp;"_ToolList.xlsx","Ouvrir"))</f>
        <v/>
      </c>
      <c r="S489" s="22">
        <f>IF($A489="","",HYPERLINK("Z:\MUSTANG SERVICES\Affaires 2027\"&amp;$A489&amp;"\"&amp;$A489&amp;"_BL.xlsx","Ouvrir"))</f>
        <v/>
      </c>
      <c r="T489" s="22">
        <f>IF($A489="","",HYPERLINK("Z:\MUSTANG SERVICES\Affaires 2027\"&amp;$A489&amp;"\"&amp;$A489&amp;"_ServiceTicket.xlsx","Ouvrir"))</f>
        <v/>
      </c>
      <c r="U489" s="22">
        <f>IF($A489="","",HYPERLINK("Z:\MUSTANG SERVICES\Affaires 2027\"&amp;$A489&amp;"\","Dossier"))</f>
        <v/>
      </c>
    </row>
    <row r="490" ht="18" customHeight="1">
      <c r="A490" s="16" t="n"/>
      <c r="B490" s="17" t="n"/>
      <c r="C490" s="17" t="n"/>
      <c r="D490" s="18">
        <f>IF(AND(ISNUMBER($B490),ISNUMBER($C490)),$C490-$B490,"")</f>
        <v/>
      </c>
      <c r="E490" s="19" t="n"/>
      <c r="F490" s="20" t="n"/>
      <c r="G490" s="19" t="n"/>
      <c r="H490" s="20" t="n"/>
      <c r="I490" s="20" t="n"/>
      <c r="J490" s="19" t="n"/>
      <c r="K490" s="16" t="n"/>
      <c r="L490" s="20" t="n"/>
      <c r="M490" s="20" t="n"/>
      <c r="N490" s="17" t="n"/>
      <c r="O490" s="18">
        <f>IF(AND(OR($M490="Envoyé",$M490="En attente"),ISNUMBER($C490),NOT(ISNUMBER($N490))),IF(TODAY()-$C490&gt;=7,"⚠ relancer",""),"")</f>
        <v/>
      </c>
      <c r="P490" s="19" t="n"/>
      <c r="Q490" s="22">
        <f>IF($A490="","",HYPERLINK("Z:\MUSTANG SERVICES\Affaires 2027\"&amp;$A490&amp;"\"&amp;$A490&amp;"_Devis.xlsx","Ouvrir"))</f>
        <v/>
      </c>
      <c r="R490" s="22">
        <f>IF($A490="","",HYPERLINK("Z:\MUSTANG SERVICES\Affaires 2027\"&amp;$A490&amp;"\"&amp;$A490&amp;"_ToolList.xlsx","Ouvrir"))</f>
        <v/>
      </c>
      <c r="S490" s="22">
        <f>IF($A490="","",HYPERLINK("Z:\MUSTANG SERVICES\Affaires 2027\"&amp;$A490&amp;"\"&amp;$A490&amp;"_BL.xlsx","Ouvrir"))</f>
        <v/>
      </c>
      <c r="T490" s="22">
        <f>IF($A490="","",HYPERLINK("Z:\MUSTANG SERVICES\Affaires 2027\"&amp;$A490&amp;"\"&amp;$A490&amp;"_ServiceTicket.xlsx","Ouvrir"))</f>
        <v/>
      </c>
      <c r="U490" s="22">
        <f>IF($A490="","",HYPERLINK("Z:\MUSTANG SERVICES\Affaires 2027\"&amp;$A490&amp;"\","Dossier"))</f>
        <v/>
      </c>
    </row>
    <row r="491" ht="18" customHeight="1">
      <c r="A491" s="16" t="n"/>
      <c r="B491" s="17" t="n"/>
      <c r="C491" s="17" t="n"/>
      <c r="D491" s="18">
        <f>IF(AND(ISNUMBER($B491),ISNUMBER($C491)),$C491-$B491,"")</f>
        <v/>
      </c>
      <c r="E491" s="19" t="n"/>
      <c r="F491" s="20" t="n"/>
      <c r="G491" s="19" t="n"/>
      <c r="H491" s="20" t="n"/>
      <c r="I491" s="20" t="n"/>
      <c r="J491" s="19" t="n"/>
      <c r="K491" s="16" t="n"/>
      <c r="L491" s="20" t="n"/>
      <c r="M491" s="20" t="n"/>
      <c r="N491" s="17" t="n"/>
      <c r="O491" s="18">
        <f>IF(AND(OR($M491="Envoyé",$M491="En attente"),ISNUMBER($C491),NOT(ISNUMBER($N491))),IF(TODAY()-$C491&gt;=7,"⚠ relancer",""),"")</f>
        <v/>
      </c>
      <c r="P491" s="19" t="n"/>
      <c r="Q491" s="22">
        <f>IF($A491="","",HYPERLINK("Z:\MUSTANG SERVICES\Affaires 2027\"&amp;$A491&amp;"\"&amp;$A491&amp;"_Devis.xlsx","Ouvrir"))</f>
        <v/>
      </c>
      <c r="R491" s="22">
        <f>IF($A491="","",HYPERLINK("Z:\MUSTANG SERVICES\Affaires 2027\"&amp;$A491&amp;"\"&amp;$A491&amp;"_ToolList.xlsx","Ouvrir"))</f>
        <v/>
      </c>
      <c r="S491" s="22">
        <f>IF($A491="","",HYPERLINK("Z:\MUSTANG SERVICES\Affaires 2027\"&amp;$A491&amp;"\"&amp;$A491&amp;"_BL.xlsx","Ouvrir"))</f>
        <v/>
      </c>
      <c r="T491" s="22">
        <f>IF($A491="","",HYPERLINK("Z:\MUSTANG SERVICES\Affaires 2027\"&amp;$A491&amp;"\"&amp;$A491&amp;"_ServiceTicket.xlsx","Ouvrir"))</f>
        <v/>
      </c>
      <c r="U491" s="22">
        <f>IF($A491="","",HYPERLINK("Z:\MUSTANG SERVICES\Affaires 2027\"&amp;$A491&amp;"\","Dossier"))</f>
        <v/>
      </c>
    </row>
    <row r="492" ht="18" customHeight="1">
      <c r="A492" s="16" t="n"/>
      <c r="B492" s="17" t="n"/>
      <c r="C492" s="17" t="n"/>
      <c r="D492" s="18">
        <f>IF(AND(ISNUMBER($B492),ISNUMBER($C492)),$C492-$B492,"")</f>
        <v/>
      </c>
      <c r="E492" s="19" t="n"/>
      <c r="F492" s="20" t="n"/>
      <c r="G492" s="19" t="n"/>
      <c r="H492" s="20" t="n"/>
      <c r="I492" s="20" t="n"/>
      <c r="J492" s="19" t="n"/>
      <c r="K492" s="16" t="n"/>
      <c r="L492" s="20" t="n"/>
      <c r="M492" s="20" t="n"/>
      <c r="N492" s="17" t="n"/>
      <c r="O492" s="18">
        <f>IF(AND(OR($M492="Envoyé",$M492="En attente"),ISNUMBER($C492),NOT(ISNUMBER($N492))),IF(TODAY()-$C492&gt;=7,"⚠ relancer",""),"")</f>
        <v/>
      </c>
      <c r="P492" s="19" t="n"/>
      <c r="Q492" s="22">
        <f>IF($A492="","",HYPERLINK("Z:\MUSTANG SERVICES\Affaires 2027\"&amp;$A492&amp;"\"&amp;$A492&amp;"_Devis.xlsx","Ouvrir"))</f>
        <v/>
      </c>
      <c r="R492" s="22">
        <f>IF($A492="","",HYPERLINK("Z:\MUSTANG SERVICES\Affaires 2027\"&amp;$A492&amp;"\"&amp;$A492&amp;"_ToolList.xlsx","Ouvrir"))</f>
        <v/>
      </c>
      <c r="S492" s="22">
        <f>IF($A492="","",HYPERLINK("Z:\MUSTANG SERVICES\Affaires 2027\"&amp;$A492&amp;"\"&amp;$A492&amp;"_BL.xlsx","Ouvrir"))</f>
        <v/>
      </c>
      <c r="T492" s="22">
        <f>IF($A492="","",HYPERLINK("Z:\MUSTANG SERVICES\Affaires 2027\"&amp;$A492&amp;"\"&amp;$A492&amp;"_ServiceTicket.xlsx","Ouvrir"))</f>
        <v/>
      </c>
      <c r="U492" s="22">
        <f>IF($A492="","",HYPERLINK("Z:\MUSTANG SERVICES\Affaires 2027\"&amp;$A492&amp;"\","Dossier"))</f>
        <v/>
      </c>
    </row>
    <row r="493" ht="18" customHeight="1">
      <c r="A493" s="16" t="n"/>
      <c r="B493" s="17" t="n"/>
      <c r="C493" s="17" t="n"/>
      <c r="D493" s="18">
        <f>IF(AND(ISNUMBER($B493),ISNUMBER($C493)),$C493-$B493,"")</f>
        <v/>
      </c>
      <c r="E493" s="19" t="n"/>
      <c r="F493" s="20" t="n"/>
      <c r="G493" s="19" t="n"/>
      <c r="H493" s="20" t="n"/>
      <c r="I493" s="20" t="n"/>
      <c r="J493" s="19" t="n"/>
      <c r="K493" s="16" t="n"/>
      <c r="L493" s="20" t="n"/>
      <c r="M493" s="20" t="n"/>
      <c r="N493" s="17" t="n"/>
      <c r="O493" s="18">
        <f>IF(AND(OR($M493="Envoyé",$M493="En attente"),ISNUMBER($C493),NOT(ISNUMBER($N493))),IF(TODAY()-$C493&gt;=7,"⚠ relancer",""),"")</f>
        <v/>
      </c>
      <c r="P493" s="19" t="n"/>
      <c r="Q493" s="22">
        <f>IF($A493="","",HYPERLINK("Z:\MUSTANG SERVICES\Affaires 2027\"&amp;$A493&amp;"\"&amp;$A493&amp;"_Devis.xlsx","Ouvrir"))</f>
        <v/>
      </c>
      <c r="R493" s="22">
        <f>IF($A493="","",HYPERLINK("Z:\MUSTANG SERVICES\Affaires 2027\"&amp;$A493&amp;"\"&amp;$A493&amp;"_ToolList.xlsx","Ouvrir"))</f>
        <v/>
      </c>
      <c r="S493" s="22">
        <f>IF($A493="","",HYPERLINK("Z:\MUSTANG SERVICES\Affaires 2027\"&amp;$A493&amp;"\"&amp;$A493&amp;"_BL.xlsx","Ouvrir"))</f>
        <v/>
      </c>
      <c r="T493" s="22">
        <f>IF($A493="","",HYPERLINK("Z:\MUSTANG SERVICES\Affaires 2027\"&amp;$A493&amp;"\"&amp;$A493&amp;"_ServiceTicket.xlsx","Ouvrir"))</f>
        <v/>
      </c>
      <c r="U493" s="22">
        <f>IF($A493="","",HYPERLINK("Z:\MUSTANG SERVICES\Affaires 2027\"&amp;$A493&amp;"\","Dossier"))</f>
        <v/>
      </c>
    </row>
    <row r="494" ht="18" customHeight="1">
      <c r="A494" s="16" t="n"/>
      <c r="B494" s="17" t="n"/>
      <c r="C494" s="17" t="n"/>
      <c r="D494" s="18">
        <f>IF(AND(ISNUMBER($B494),ISNUMBER($C494)),$C494-$B494,"")</f>
        <v/>
      </c>
      <c r="E494" s="19" t="n"/>
      <c r="F494" s="20" t="n"/>
      <c r="G494" s="19" t="n"/>
      <c r="H494" s="20" t="n"/>
      <c r="I494" s="20" t="n"/>
      <c r="J494" s="19" t="n"/>
      <c r="K494" s="16" t="n"/>
      <c r="L494" s="20" t="n"/>
      <c r="M494" s="20" t="n"/>
      <c r="N494" s="17" t="n"/>
      <c r="O494" s="18">
        <f>IF(AND(OR($M494="Envoyé",$M494="En attente"),ISNUMBER($C494),NOT(ISNUMBER($N494))),IF(TODAY()-$C494&gt;=7,"⚠ relancer",""),"")</f>
        <v/>
      </c>
      <c r="P494" s="19" t="n"/>
      <c r="Q494" s="22">
        <f>IF($A494="","",HYPERLINK("Z:\MUSTANG SERVICES\Affaires 2027\"&amp;$A494&amp;"\"&amp;$A494&amp;"_Devis.xlsx","Ouvrir"))</f>
        <v/>
      </c>
      <c r="R494" s="22">
        <f>IF($A494="","",HYPERLINK("Z:\MUSTANG SERVICES\Affaires 2027\"&amp;$A494&amp;"\"&amp;$A494&amp;"_ToolList.xlsx","Ouvrir"))</f>
        <v/>
      </c>
      <c r="S494" s="22">
        <f>IF($A494="","",HYPERLINK("Z:\MUSTANG SERVICES\Affaires 2027\"&amp;$A494&amp;"\"&amp;$A494&amp;"_BL.xlsx","Ouvrir"))</f>
        <v/>
      </c>
      <c r="T494" s="22">
        <f>IF($A494="","",HYPERLINK("Z:\MUSTANG SERVICES\Affaires 2027\"&amp;$A494&amp;"\"&amp;$A494&amp;"_ServiceTicket.xlsx","Ouvrir"))</f>
        <v/>
      </c>
      <c r="U494" s="22">
        <f>IF($A494="","",HYPERLINK("Z:\MUSTANG SERVICES\Affaires 2027\"&amp;$A494&amp;"\","Dossier"))</f>
        <v/>
      </c>
    </row>
    <row r="495" ht="18" customHeight="1">
      <c r="A495" s="16" t="n"/>
      <c r="B495" s="17" t="n"/>
      <c r="C495" s="17" t="n"/>
      <c r="D495" s="18">
        <f>IF(AND(ISNUMBER($B495),ISNUMBER($C495)),$C495-$B495,"")</f>
        <v/>
      </c>
      <c r="E495" s="19" t="n"/>
      <c r="F495" s="20" t="n"/>
      <c r="G495" s="19" t="n"/>
      <c r="H495" s="20" t="n"/>
      <c r="I495" s="20" t="n"/>
      <c r="J495" s="19" t="n"/>
      <c r="K495" s="16" t="n"/>
      <c r="L495" s="20" t="n"/>
      <c r="M495" s="20" t="n"/>
      <c r="N495" s="17" t="n"/>
      <c r="O495" s="18">
        <f>IF(AND(OR($M495="Envoyé",$M495="En attente"),ISNUMBER($C495),NOT(ISNUMBER($N495))),IF(TODAY()-$C495&gt;=7,"⚠ relancer",""),"")</f>
        <v/>
      </c>
      <c r="P495" s="19" t="n"/>
      <c r="Q495" s="22">
        <f>IF($A495="","",HYPERLINK("Z:\MUSTANG SERVICES\Affaires 2027\"&amp;$A495&amp;"\"&amp;$A495&amp;"_Devis.xlsx","Ouvrir"))</f>
        <v/>
      </c>
      <c r="R495" s="22">
        <f>IF($A495="","",HYPERLINK("Z:\MUSTANG SERVICES\Affaires 2027\"&amp;$A495&amp;"\"&amp;$A495&amp;"_ToolList.xlsx","Ouvrir"))</f>
        <v/>
      </c>
      <c r="S495" s="22">
        <f>IF($A495="","",HYPERLINK("Z:\MUSTANG SERVICES\Affaires 2027\"&amp;$A495&amp;"\"&amp;$A495&amp;"_BL.xlsx","Ouvrir"))</f>
        <v/>
      </c>
      <c r="T495" s="22">
        <f>IF($A495="","",HYPERLINK("Z:\MUSTANG SERVICES\Affaires 2027\"&amp;$A495&amp;"\"&amp;$A495&amp;"_ServiceTicket.xlsx","Ouvrir"))</f>
        <v/>
      </c>
      <c r="U495" s="22">
        <f>IF($A495="","",HYPERLINK("Z:\MUSTANG SERVICES\Affaires 2027\"&amp;$A495&amp;"\","Dossier"))</f>
        <v/>
      </c>
    </row>
    <row r="496" ht="18" customHeight="1">
      <c r="A496" s="16" t="n"/>
      <c r="B496" s="17" t="n"/>
      <c r="C496" s="17" t="n"/>
      <c r="D496" s="18">
        <f>IF(AND(ISNUMBER($B496),ISNUMBER($C496)),$C496-$B496,"")</f>
        <v/>
      </c>
      <c r="E496" s="19" t="n"/>
      <c r="F496" s="20" t="n"/>
      <c r="G496" s="19" t="n"/>
      <c r="H496" s="20" t="n"/>
      <c r="I496" s="20" t="n"/>
      <c r="J496" s="19" t="n"/>
      <c r="K496" s="16" t="n"/>
      <c r="L496" s="20" t="n"/>
      <c r="M496" s="20" t="n"/>
      <c r="N496" s="17" t="n"/>
      <c r="O496" s="18">
        <f>IF(AND(OR($M496="Envoyé",$M496="En attente"),ISNUMBER($C496),NOT(ISNUMBER($N496))),IF(TODAY()-$C496&gt;=7,"⚠ relancer",""),"")</f>
        <v/>
      </c>
      <c r="P496" s="19" t="n"/>
      <c r="Q496" s="22">
        <f>IF($A496="","",HYPERLINK("Z:\MUSTANG SERVICES\Affaires 2027\"&amp;$A496&amp;"\"&amp;$A496&amp;"_Devis.xlsx","Ouvrir"))</f>
        <v/>
      </c>
      <c r="R496" s="22">
        <f>IF($A496="","",HYPERLINK("Z:\MUSTANG SERVICES\Affaires 2027\"&amp;$A496&amp;"\"&amp;$A496&amp;"_ToolList.xlsx","Ouvrir"))</f>
        <v/>
      </c>
      <c r="S496" s="22">
        <f>IF($A496="","",HYPERLINK("Z:\MUSTANG SERVICES\Affaires 2027\"&amp;$A496&amp;"\"&amp;$A496&amp;"_BL.xlsx","Ouvrir"))</f>
        <v/>
      </c>
      <c r="T496" s="22">
        <f>IF($A496="","",HYPERLINK("Z:\MUSTANG SERVICES\Affaires 2027\"&amp;$A496&amp;"\"&amp;$A496&amp;"_ServiceTicket.xlsx","Ouvrir"))</f>
        <v/>
      </c>
      <c r="U496" s="22">
        <f>IF($A496="","",HYPERLINK("Z:\MUSTANG SERVICES\Affaires 2027\"&amp;$A496&amp;"\","Dossier"))</f>
        <v/>
      </c>
    </row>
    <row r="497" ht="18" customHeight="1">
      <c r="A497" s="16" t="n"/>
      <c r="B497" s="17" t="n"/>
      <c r="C497" s="17" t="n"/>
      <c r="D497" s="18">
        <f>IF(AND(ISNUMBER($B497),ISNUMBER($C497)),$C497-$B497,"")</f>
        <v/>
      </c>
      <c r="E497" s="19" t="n"/>
      <c r="F497" s="20" t="n"/>
      <c r="G497" s="19" t="n"/>
      <c r="H497" s="20" t="n"/>
      <c r="I497" s="20" t="n"/>
      <c r="J497" s="19" t="n"/>
      <c r="K497" s="16" t="n"/>
      <c r="L497" s="20" t="n"/>
      <c r="M497" s="20" t="n"/>
      <c r="N497" s="17" t="n"/>
      <c r="O497" s="18">
        <f>IF(AND(OR($M497="Envoyé",$M497="En attente"),ISNUMBER($C497),NOT(ISNUMBER($N497))),IF(TODAY()-$C497&gt;=7,"⚠ relancer",""),"")</f>
        <v/>
      </c>
      <c r="P497" s="19" t="n"/>
      <c r="Q497" s="22">
        <f>IF($A497="","",HYPERLINK("Z:\MUSTANG SERVICES\Affaires 2027\"&amp;$A497&amp;"\"&amp;$A497&amp;"_Devis.xlsx","Ouvrir"))</f>
        <v/>
      </c>
      <c r="R497" s="22">
        <f>IF($A497="","",HYPERLINK("Z:\MUSTANG SERVICES\Affaires 2027\"&amp;$A497&amp;"\"&amp;$A497&amp;"_ToolList.xlsx","Ouvrir"))</f>
        <v/>
      </c>
      <c r="S497" s="22">
        <f>IF($A497="","",HYPERLINK("Z:\MUSTANG SERVICES\Affaires 2027\"&amp;$A497&amp;"\"&amp;$A497&amp;"_BL.xlsx","Ouvrir"))</f>
        <v/>
      </c>
      <c r="T497" s="22">
        <f>IF($A497="","",HYPERLINK("Z:\MUSTANG SERVICES\Affaires 2027\"&amp;$A497&amp;"\"&amp;$A497&amp;"_ServiceTicket.xlsx","Ouvrir"))</f>
        <v/>
      </c>
      <c r="U497" s="22">
        <f>IF($A497="","",HYPERLINK("Z:\MUSTANG SERVICES\Affaires 2027\"&amp;$A497&amp;"\","Dossier"))</f>
        <v/>
      </c>
    </row>
    <row r="498" ht="18" customHeight="1">
      <c r="A498" s="16" t="n"/>
      <c r="B498" s="17" t="n"/>
      <c r="C498" s="17" t="n"/>
      <c r="D498" s="18">
        <f>IF(AND(ISNUMBER($B498),ISNUMBER($C498)),$C498-$B498,"")</f>
        <v/>
      </c>
      <c r="E498" s="19" t="n"/>
      <c r="F498" s="20" t="n"/>
      <c r="G498" s="19" t="n"/>
      <c r="H498" s="20" t="n"/>
      <c r="I498" s="20" t="n"/>
      <c r="J498" s="19" t="n"/>
      <c r="K498" s="16" t="n"/>
      <c r="L498" s="20" t="n"/>
      <c r="M498" s="20" t="n"/>
      <c r="N498" s="17" t="n"/>
      <c r="O498" s="18">
        <f>IF(AND(OR($M498="Envoyé",$M498="En attente"),ISNUMBER($C498),NOT(ISNUMBER($N498))),IF(TODAY()-$C498&gt;=7,"⚠ relancer",""),"")</f>
        <v/>
      </c>
      <c r="P498" s="19" t="n"/>
      <c r="Q498" s="22">
        <f>IF($A498="","",HYPERLINK("Z:\MUSTANG SERVICES\Affaires 2027\"&amp;$A498&amp;"\"&amp;$A498&amp;"_Devis.xlsx","Ouvrir"))</f>
        <v/>
      </c>
      <c r="R498" s="22">
        <f>IF($A498="","",HYPERLINK("Z:\MUSTANG SERVICES\Affaires 2027\"&amp;$A498&amp;"\"&amp;$A498&amp;"_ToolList.xlsx","Ouvrir"))</f>
        <v/>
      </c>
      <c r="S498" s="22">
        <f>IF($A498="","",HYPERLINK("Z:\MUSTANG SERVICES\Affaires 2027\"&amp;$A498&amp;"\"&amp;$A498&amp;"_BL.xlsx","Ouvrir"))</f>
        <v/>
      </c>
      <c r="T498" s="22">
        <f>IF($A498="","",HYPERLINK("Z:\MUSTANG SERVICES\Affaires 2027\"&amp;$A498&amp;"\"&amp;$A498&amp;"_ServiceTicket.xlsx","Ouvrir"))</f>
        <v/>
      </c>
      <c r="U498" s="22">
        <f>IF($A498="","",HYPERLINK("Z:\MUSTANG SERVICES\Affaires 2027\"&amp;$A498&amp;"\","Dossier"))</f>
        <v/>
      </c>
    </row>
    <row r="499" ht="18" customHeight="1">
      <c r="A499" s="16" t="n"/>
      <c r="B499" s="17" t="n"/>
      <c r="C499" s="17" t="n"/>
      <c r="D499" s="18">
        <f>IF(AND(ISNUMBER($B499),ISNUMBER($C499)),$C499-$B499,"")</f>
        <v/>
      </c>
      <c r="E499" s="19" t="n"/>
      <c r="F499" s="20" t="n"/>
      <c r="G499" s="19" t="n"/>
      <c r="H499" s="20" t="n"/>
      <c r="I499" s="20" t="n"/>
      <c r="J499" s="19" t="n"/>
      <c r="K499" s="16" t="n"/>
      <c r="L499" s="20" t="n"/>
      <c r="M499" s="20" t="n"/>
      <c r="N499" s="17" t="n"/>
      <c r="O499" s="18">
        <f>IF(AND(OR($M499="Envoyé",$M499="En attente"),ISNUMBER($C499),NOT(ISNUMBER($N499))),IF(TODAY()-$C499&gt;=7,"⚠ relancer",""),"")</f>
        <v/>
      </c>
      <c r="P499" s="19" t="n"/>
      <c r="Q499" s="22">
        <f>IF($A499="","",HYPERLINK("Z:\MUSTANG SERVICES\Affaires 2027\"&amp;$A499&amp;"\"&amp;$A499&amp;"_Devis.xlsx","Ouvrir"))</f>
        <v/>
      </c>
      <c r="R499" s="22">
        <f>IF($A499="","",HYPERLINK("Z:\MUSTANG SERVICES\Affaires 2027\"&amp;$A499&amp;"\"&amp;$A499&amp;"_ToolList.xlsx","Ouvrir"))</f>
        <v/>
      </c>
      <c r="S499" s="22">
        <f>IF($A499="","",HYPERLINK("Z:\MUSTANG SERVICES\Affaires 2027\"&amp;$A499&amp;"\"&amp;$A499&amp;"_BL.xlsx","Ouvrir"))</f>
        <v/>
      </c>
      <c r="T499" s="22">
        <f>IF($A499="","",HYPERLINK("Z:\MUSTANG SERVICES\Affaires 2027\"&amp;$A499&amp;"\"&amp;$A499&amp;"_ServiceTicket.xlsx","Ouvrir"))</f>
        <v/>
      </c>
      <c r="U499" s="22">
        <f>IF($A499="","",HYPERLINK("Z:\MUSTANG SERVICES\Affaires 2027\"&amp;$A499&amp;"\","Dossier"))</f>
        <v/>
      </c>
    </row>
    <row r="500" ht="18" customHeight="1">
      <c r="A500" s="16" t="n"/>
      <c r="B500" s="17" t="n"/>
      <c r="C500" s="17" t="n"/>
      <c r="D500" s="18">
        <f>IF(AND(ISNUMBER($B500),ISNUMBER($C500)),$C500-$B500,"")</f>
        <v/>
      </c>
      <c r="E500" s="19" t="n"/>
      <c r="F500" s="20" t="n"/>
      <c r="G500" s="19" t="n"/>
      <c r="H500" s="20" t="n"/>
      <c r="I500" s="20" t="n"/>
      <c r="J500" s="19" t="n"/>
      <c r="K500" s="16" t="n"/>
      <c r="L500" s="20" t="n"/>
      <c r="M500" s="20" t="n"/>
      <c r="N500" s="17" t="n"/>
      <c r="O500" s="18">
        <f>IF(AND(OR($M500="Envoyé",$M500="En attente"),ISNUMBER($C500),NOT(ISNUMBER($N500))),IF(TODAY()-$C500&gt;=7,"⚠ relancer",""),"")</f>
        <v/>
      </c>
      <c r="P500" s="19" t="n"/>
      <c r="Q500" s="22">
        <f>IF($A500="","",HYPERLINK("Z:\MUSTANG SERVICES\Affaires 2027\"&amp;$A500&amp;"\"&amp;$A500&amp;"_Devis.xlsx","Ouvrir"))</f>
        <v/>
      </c>
      <c r="R500" s="22">
        <f>IF($A500="","",HYPERLINK("Z:\MUSTANG SERVICES\Affaires 2027\"&amp;$A500&amp;"\"&amp;$A500&amp;"_ToolList.xlsx","Ouvrir"))</f>
        <v/>
      </c>
      <c r="S500" s="22">
        <f>IF($A500="","",HYPERLINK("Z:\MUSTANG SERVICES\Affaires 2027\"&amp;$A500&amp;"\"&amp;$A500&amp;"_BL.xlsx","Ouvrir"))</f>
        <v/>
      </c>
      <c r="T500" s="22">
        <f>IF($A500="","",HYPERLINK("Z:\MUSTANG SERVICES\Affaires 2027\"&amp;$A500&amp;"\"&amp;$A500&amp;"_ServiceTicket.xlsx","Ouvrir"))</f>
        <v/>
      </c>
      <c r="U500" s="22">
        <f>IF($A500="","",HYPERLINK("Z:\MUSTANG SERVICES\Affaires 2027\"&amp;$A500&amp;"\","Dossier"))</f>
        <v/>
      </c>
    </row>
    <row r="501" ht="18" customHeight="1">
      <c r="A501" s="16" t="n"/>
      <c r="B501" s="17" t="n"/>
      <c r="C501" s="17" t="n"/>
      <c r="D501" s="18">
        <f>IF(AND(ISNUMBER($B501),ISNUMBER($C501)),$C501-$B501,"")</f>
        <v/>
      </c>
      <c r="E501" s="19" t="n"/>
      <c r="F501" s="20" t="n"/>
      <c r="G501" s="19" t="n"/>
      <c r="H501" s="20" t="n"/>
      <c r="I501" s="20" t="n"/>
      <c r="J501" s="19" t="n"/>
      <c r="K501" s="16" t="n"/>
      <c r="L501" s="20" t="n"/>
      <c r="M501" s="20" t="n"/>
      <c r="N501" s="17" t="n"/>
      <c r="O501" s="18">
        <f>IF(AND(OR($M501="Envoyé",$M501="En attente"),ISNUMBER($C501),NOT(ISNUMBER($N501))),IF(TODAY()-$C501&gt;=7,"⚠ relancer",""),"")</f>
        <v/>
      </c>
      <c r="P501" s="19" t="n"/>
      <c r="Q501" s="22">
        <f>IF($A501="","",HYPERLINK("Z:\MUSTANG SERVICES\Affaires 2027\"&amp;$A501&amp;"\"&amp;$A501&amp;"_Devis.xlsx","Ouvrir"))</f>
        <v/>
      </c>
      <c r="R501" s="22">
        <f>IF($A501="","",HYPERLINK("Z:\MUSTANG SERVICES\Affaires 2027\"&amp;$A501&amp;"\"&amp;$A501&amp;"_ToolList.xlsx","Ouvrir"))</f>
        <v/>
      </c>
      <c r="S501" s="22">
        <f>IF($A501="","",HYPERLINK("Z:\MUSTANG SERVICES\Affaires 2027\"&amp;$A501&amp;"\"&amp;$A501&amp;"_BL.xlsx","Ouvrir"))</f>
        <v/>
      </c>
      <c r="T501" s="22">
        <f>IF($A501="","",HYPERLINK("Z:\MUSTANG SERVICES\Affaires 2027\"&amp;$A501&amp;"\"&amp;$A501&amp;"_ServiceTicket.xlsx","Ouvrir"))</f>
        <v/>
      </c>
      <c r="U501" s="22">
        <f>IF($A501="","",HYPERLINK("Z:\MUSTANG SERVICES\Affaires 2027\"&amp;$A501&amp;"\","Dossier"))</f>
        <v/>
      </c>
    </row>
    <row r="502" ht="18" customHeight="1">
      <c r="A502" s="16" t="n"/>
      <c r="B502" s="17" t="n"/>
      <c r="C502" s="17" t="n"/>
      <c r="D502" s="18">
        <f>IF(AND(ISNUMBER($B502),ISNUMBER($C502)),$C502-$B502,"")</f>
        <v/>
      </c>
      <c r="E502" s="19" t="n"/>
      <c r="F502" s="20" t="n"/>
      <c r="G502" s="19" t="n"/>
      <c r="H502" s="20" t="n"/>
      <c r="I502" s="20" t="n"/>
      <c r="J502" s="19" t="n"/>
      <c r="K502" s="16" t="n"/>
      <c r="L502" s="20" t="n"/>
      <c r="M502" s="20" t="n"/>
      <c r="N502" s="17" t="n"/>
      <c r="O502" s="18">
        <f>IF(AND(OR($M502="Envoyé",$M502="En attente"),ISNUMBER($C502),NOT(ISNUMBER($N502))),IF(TODAY()-$C502&gt;=7,"⚠ relancer",""),"")</f>
        <v/>
      </c>
      <c r="P502" s="19" t="n"/>
      <c r="Q502" s="22">
        <f>IF($A502="","",HYPERLINK("Z:\MUSTANG SERVICES\Affaires 2027\"&amp;$A502&amp;"\"&amp;$A502&amp;"_Devis.xlsx","Ouvrir"))</f>
        <v/>
      </c>
      <c r="R502" s="22">
        <f>IF($A502="","",HYPERLINK("Z:\MUSTANG SERVICES\Affaires 2027\"&amp;$A502&amp;"\"&amp;$A502&amp;"_ToolList.xlsx","Ouvrir"))</f>
        <v/>
      </c>
      <c r="S502" s="22">
        <f>IF($A502="","",HYPERLINK("Z:\MUSTANG SERVICES\Affaires 2027\"&amp;$A502&amp;"\"&amp;$A502&amp;"_BL.xlsx","Ouvrir"))</f>
        <v/>
      </c>
      <c r="T502" s="22">
        <f>IF($A502="","",HYPERLINK("Z:\MUSTANG SERVICES\Affaires 2027\"&amp;$A502&amp;"\"&amp;$A502&amp;"_ServiceTicket.xlsx","Ouvrir"))</f>
        <v/>
      </c>
      <c r="U502" s="22">
        <f>IF($A502="","",HYPERLINK("Z:\MUSTANG SERVICES\Affaires 2027\"&amp;$A502&amp;"\","Dossier"))</f>
        <v/>
      </c>
    </row>
    <row r="503" ht="18" customHeight="1">
      <c r="A503" s="16" t="n"/>
      <c r="B503" s="17" t="n"/>
      <c r="C503" s="17" t="n"/>
      <c r="D503" s="18">
        <f>IF(AND(ISNUMBER($B503),ISNUMBER($C503)),$C503-$B503,"")</f>
        <v/>
      </c>
      <c r="E503" s="19" t="n"/>
      <c r="F503" s="20" t="n"/>
      <c r="G503" s="19" t="n"/>
      <c r="H503" s="20" t="n"/>
      <c r="I503" s="20" t="n"/>
      <c r="J503" s="19" t="n"/>
      <c r="K503" s="16" t="n"/>
      <c r="L503" s="20" t="n"/>
      <c r="M503" s="20" t="n"/>
      <c r="N503" s="17" t="n"/>
      <c r="O503" s="18">
        <f>IF(AND(OR($M503="Envoyé",$M503="En attente"),ISNUMBER($C503),NOT(ISNUMBER($N503))),IF(TODAY()-$C503&gt;=7,"⚠ relancer",""),"")</f>
        <v/>
      </c>
      <c r="P503" s="19" t="n"/>
      <c r="Q503" s="22">
        <f>IF($A503="","",HYPERLINK("Z:\MUSTANG SERVICES\Affaires 2027\"&amp;$A503&amp;"\"&amp;$A503&amp;"_Devis.xlsx","Ouvrir"))</f>
        <v/>
      </c>
      <c r="R503" s="22">
        <f>IF($A503="","",HYPERLINK("Z:\MUSTANG SERVICES\Affaires 2027\"&amp;$A503&amp;"\"&amp;$A503&amp;"_ToolList.xlsx","Ouvrir"))</f>
        <v/>
      </c>
      <c r="S503" s="22">
        <f>IF($A503="","",HYPERLINK("Z:\MUSTANG SERVICES\Affaires 2027\"&amp;$A503&amp;"\"&amp;$A503&amp;"_BL.xlsx","Ouvrir"))</f>
        <v/>
      </c>
      <c r="T503" s="22">
        <f>IF($A503="","",HYPERLINK("Z:\MUSTANG SERVICES\Affaires 2027\"&amp;$A503&amp;"\"&amp;$A503&amp;"_ServiceTicket.xlsx","Ouvrir"))</f>
        <v/>
      </c>
      <c r="U503" s="22">
        <f>IF($A503="","",HYPERLINK("Z:\MUSTANG SERVICES\Affaires 2027\"&amp;$A503&amp;"\","Dossier"))</f>
        <v/>
      </c>
    </row>
    <row r="504" ht="18" customHeight="1">
      <c r="A504" s="16" t="n"/>
      <c r="B504" s="17" t="n"/>
      <c r="C504" s="17" t="n"/>
      <c r="D504" s="18">
        <f>IF(AND(ISNUMBER($B504),ISNUMBER($C504)),$C504-$B504,"")</f>
        <v/>
      </c>
      <c r="E504" s="19" t="n"/>
      <c r="F504" s="20" t="n"/>
      <c r="G504" s="19" t="n"/>
      <c r="H504" s="20" t="n"/>
      <c r="I504" s="20" t="n"/>
      <c r="J504" s="19" t="n"/>
      <c r="K504" s="16" t="n"/>
      <c r="L504" s="20" t="n"/>
      <c r="M504" s="20" t="n"/>
      <c r="N504" s="17" t="n"/>
      <c r="O504" s="18">
        <f>IF(AND(OR($M504="Envoyé",$M504="En attente"),ISNUMBER($C504),NOT(ISNUMBER($N504))),IF(TODAY()-$C504&gt;=7,"⚠ relancer",""),"")</f>
        <v/>
      </c>
      <c r="P504" s="19" t="n"/>
      <c r="Q504" s="22">
        <f>IF($A504="","",HYPERLINK("Z:\MUSTANG SERVICES\Affaires 2027\"&amp;$A504&amp;"\"&amp;$A504&amp;"_Devis.xlsx","Ouvrir"))</f>
        <v/>
      </c>
      <c r="R504" s="22">
        <f>IF($A504="","",HYPERLINK("Z:\MUSTANG SERVICES\Affaires 2027\"&amp;$A504&amp;"\"&amp;$A504&amp;"_ToolList.xlsx","Ouvrir"))</f>
        <v/>
      </c>
      <c r="S504" s="22">
        <f>IF($A504="","",HYPERLINK("Z:\MUSTANG SERVICES\Affaires 2027\"&amp;$A504&amp;"\"&amp;$A504&amp;"_BL.xlsx","Ouvrir"))</f>
        <v/>
      </c>
      <c r="T504" s="22">
        <f>IF($A504="","",HYPERLINK("Z:\MUSTANG SERVICES\Affaires 2027\"&amp;$A504&amp;"\"&amp;$A504&amp;"_ServiceTicket.xlsx","Ouvrir"))</f>
        <v/>
      </c>
      <c r="U504" s="22">
        <f>IF($A504="","",HYPERLINK("Z:\MUSTANG SERVICES\Affaires 2027\"&amp;$A504&amp;"\","Dossier"))</f>
        <v/>
      </c>
    </row>
    <row r="505" ht="18" customHeight="1">
      <c r="A505" s="16" t="n"/>
      <c r="B505" s="17" t="n"/>
      <c r="C505" s="17" t="n"/>
      <c r="D505" s="18">
        <f>IF(AND(ISNUMBER($B505),ISNUMBER($C505)),$C505-$B505,"")</f>
        <v/>
      </c>
      <c r="E505" s="19" t="n"/>
      <c r="F505" s="20" t="n"/>
      <c r="G505" s="19" t="n"/>
      <c r="H505" s="20" t="n"/>
      <c r="I505" s="20" t="n"/>
      <c r="J505" s="19" t="n"/>
      <c r="K505" s="16" t="n"/>
      <c r="L505" s="20" t="n"/>
      <c r="M505" s="20" t="n"/>
      <c r="N505" s="17" t="n"/>
      <c r="O505" s="18">
        <f>IF(AND(OR($M505="Envoyé",$M505="En attente"),ISNUMBER($C505),NOT(ISNUMBER($N505))),IF(TODAY()-$C505&gt;=7,"⚠ relancer",""),"")</f>
        <v/>
      </c>
      <c r="P505" s="19" t="n"/>
      <c r="Q505" s="22">
        <f>IF($A505="","",HYPERLINK("Z:\MUSTANG SERVICES\Affaires 2027\"&amp;$A505&amp;"\"&amp;$A505&amp;"_Devis.xlsx","Ouvrir"))</f>
        <v/>
      </c>
      <c r="R505" s="22">
        <f>IF($A505="","",HYPERLINK("Z:\MUSTANG SERVICES\Affaires 2027\"&amp;$A505&amp;"\"&amp;$A505&amp;"_ToolList.xlsx","Ouvrir"))</f>
        <v/>
      </c>
      <c r="S505" s="22">
        <f>IF($A505="","",HYPERLINK("Z:\MUSTANG SERVICES\Affaires 2027\"&amp;$A505&amp;"\"&amp;$A505&amp;"_BL.xlsx","Ouvrir"))</f>
        <v/>
      </c>
      <c r="T505" s="22">
        <f>IF($A505="","",HYPERLINK("Z:\MUSTANG SERVICES\Affaires 2027\"&amp;$A505&amp;"\"&amp;$A505&amp;"_ServiceTicket.xlsx","Ouvrir"))</f>
        <v/>
      </c>
      <c r="U505" s="22">
        <f>IF($A505="","",HYPERLINK("Z:\MUSTANG SERVICES\Affaires 2027\"&amp;$A505&amp;"\","Dossier"))</f>
        <v/>
      </c>
    </row>
    <row r="506" ht="18" customHeight="1">
      <c r="A506" s="16" t="n"/>
      <c r="B506" s="17" t="n"/>
      <c r="C506" s="17" t="n"/>
      <c r="D506" s="18">
        <f>IF(AND(ISNUMBER($B506),ISNUMBER($C506)),$C506-$B506,"")</f>
        <v/>
      </c>
      <c r="E506" s="19" t="n"/>
      <c r="F506" s="20" t="n"/>
      <c r="G506" s="19" t="n"/>
      <c r="H506" s="20" t="n"/>
      <c r="I506" s="20" t="n"/>
      <c r="J506" s="19" t="n"/>
      <c r="K506" s="16" t="n"/>
      <c r="L506" s="20" t="n"/>
      <c r="M506" s="20" t="n"/>
      <c r="N506" s="17" t="n"/>
      <c r="O506" s="18">
        <f>IF(AND(OR($M506="Envoyé",$M506="En attente"),ISNUMBER($C506),NOT(ISNUMBER($N506))),IF(TODAY()-$C506&gt;=7,"⚠ relancer",""),"")</f>
        <v/>
      </c>
      <c r="P506" s="19" t="n"/>
      <c r="Q506" s="22">
        <f>IF($A506="","",HYPERLINK("Z:\MUSTANG SERVICES\Affaires 2027\"&amp;$A506&amp;"\"&amp;$A506&amp;"_Devis.xlsx","Ouvrir"))</f>
        <v/>
      </c>
      <c r="R506" s="22">
        <f>IF($A506="","",HYPERLINK("Z:\MUSTANG SERVICES\Affaires 2027\"&amp;$A506&amp;"\"&amp;$A506&amp;"_ToolList.xlsx","Ouvrir"))</f>
        <v/>
      </c>
      <c r="S506" s="22">
        <f>IF($A506="","",HYPERLINK("Z:\MUSTANG SERVICES\Affaires 2027\"&amp;$A506&amp;"\"&amp;$A506&amp;"_BL.xlsx","Ouvrir"))</f>
        <v/>
      </c>
      <c r="T506" s="22">
        <f>IF($A506="","",HYPERLINK("Z:\MUSTANG SERVICES\Affaires 2027\"&amp;$A506&amp;"\"&amp;$A506&amp;"_ServiceTicket.xlsx","Ouvrir"))</f>
        <v/>
      </c>
      <c r="U506" s="22">
        <f>IF($A506="","",HYPERLINK("Z:\MUSTANG SERVICES\Affaires 2027\"&amp;$A506&amp;"\","Dossier"))</f>
        <v/>
      </c>
    </row>
    <row r="507" ht="18" customHeight="1">
      <c r="A507" s="16" t="n"/>
      <c r="B507" s="17" t="n"/>
      <c r="C507" s="17" t="n"/>
      <c r="D507" s="18">
        <f>IF(AND(ISNUMBER($B507),ISNUMBER($C507)),$C507-$B507,"")</f>
        <v/>
      </c>
      <c r="E507" s="19" t="n"/>
      <c r="F507" s="20" t="n"/>
      <c r="G507" s="19" t="n"/>
      <c r="H507" s="20" t="n"/>
      <c r="I507" s="20" t="n"/>
      <c r="J507" s="19" t="n"/>
      <c r="K507" s="16" t="n"/>
      <c r="L507" s="20" t="n"/>
      <c r="M507" s="20" t="n"/>
      <c r="N507" s="17" t="n"/>
      <c r="O507" s="18">
        <f>IF(AND(OR($M507="Envoyé",$M507="En attente"),ISNUMBER($C507),NOT(ISNUMBER($N507))),IF(TODAY()-$C507&gt;=7,"⚠ relancer",""),"")</f>
        <v/>
      </c>
      <c r="P507" s="19" t="n"/>
      <c r="Q507" s="22">
        <f>IF($A507="","",HYPERLINK("Z:\MUSTANG SERVICES\Affaires 2027\"&amp;$A507&amp;"\"&amp;$A507&amp;"_Devis.xlsx","Ouvrir"))</f>
        <v/>
      </c>
      <c r="R507" s="22">
        <f>IF($A507="","",HYPERLINK("Z:\MUSTANG SERVICES\Affaires 2027\"&amp;$A507&amp;"\"&amp;$A507&amp;"_ToolList.xlsx","Ouvrir"))</f>
        <v/>
      </c>
      <c r="S507" s="22">
        <f>IF($A507="","",HYPERLINK("Z:\MUSTANG SERVICES\Affaires 2027\"&amp;$A507&amp;"\"&amp;$A507&amp;"_BL.xlsx","Ouvrir"))</f>
        <v/>
      </c>
      <c r="T507" s="22">
        <f>IF($A507="","",HYPERLINK("Z:\MUSTANG SERVICES\Affaires 2027\"&amp;$A507&amp;"\"&amp;$A507&amp;"_ServiceTicket.xlsx","Ouvrir"))</f>
        <v/>
      </c>
      <c r="U507" s="22">
        <f>IF($A507="","",HYPERLINK("Z:\MUSTANG SERVICES\Affaires 2027\"&amp;$A507&amp;"\","Dossier"))</f>
        <v/>
      </c>
    </row>
    <row r="508" ht="18" customHeight="1">
      <c r="A508" s="16" t="n"/>
      <c r="B508" s="17" t="n"/>
      <c r="C508" s="17" t="n"/>
      <c r="D508" s="18">
        <f>IF(AND(ISNUMBER($B508),ISNUMBER($C508)),$C508-$B508,"")</f>
        <v/>
      </c>
      <c r="E508" s="19" t="n"/>
      <c r="F508" s="20" t="n"/>
      <c r="G508" s="19" t="n"/>
      <c r="H508" s="20" t="n"/>
      <c r="I508" s="20" t="n"/>
      <c r="J508" s="19" t="n"/>
      <c r="K508" s="16" t="n"/>
      <c r="L508" s="20" t="n"/>
      <c r="M508" s="20" t="n"/>
      <c r="N508" s="17" t="n"/>
      <c r="O508" s="18">
        <f>IF(AND(OR($M508="Envoyé",$M508="En attente"),ISNUMBER($C508),NOT(ISNUMBER($N508))),IF(TODAY()-$C508&gt;=7,"⚠ relancer",""),"")</f>
        <v/>
      </c>
      <c r="P508" s="19" t="n"/>
      <c r="Q508" s="22">
        <f>IF($A508="","",HYPERLINK("Z:\MUSTANG SERVICES\Affaires 2027\"&amp;$A508&amp;"\"&amp;$A508&amp;"_Devis.xlsx","Ouvrir"))</f>
        <v/>
      </c>
      <c r="R508" s="22">
        <f>IF($A508="","",HYPERLINK("Z:\MUSTANG SERVICES\Affaires 2027\"&amp;$A508&amp;"\"&amp;$A508&amp;"_ToolList.xlsx","Ouvrir"))</f>
        <v/>
      </c>
      <c r="S508" s="22">
        <f>IF($A508="","",HYPERLINK("Z:\MUSTANG SERVICES\Affaires 2027\"&amp;$A508&amp;"\"&amp;$A508&amp;"_BL.xlsx","Ouvrir"))</f>
        <v/>
      </c>
      <c r="T508" s="22">
        <f>IF($A508="","",HYPERLINK("Z:\MUSTANG SERVICES\Affaires 2027\"&amp;$A508&amp;"\"&amp;$A508&amp;"_ServiceTicket.xlsx","Ouvrir"))</f>
        <v/>
      </c>
      <c r="U508" s="22">
        <f>IF($A508="","",HYPERLINK("Z:\MUSTANG SERVICES\Affaires 2027\"&amp;$A508&amp;"\","Dossier"))</f>
        <v/>
      </c>
    </row>
    <row r="509" ht="18" customHeight="1">
      <c r="A509" s="16" t="n"/>
      <c r="B509" s="17" t="n"/>
      <c r="C509" s="17" t="n"/>
      <c r="D509" s="18">
        <f>IF(AND(ISNUMBER($B509),ISNUMBER($C509)),$C509-$B509,"")</f>
        <v/>
      </c>
      <c r="E509" s="19" t="n"/>
      <c r="F509" s="20" t="n"/>
      <c r="G509" s="19" t="n"/>
      <c r="H509" s="20" t="n"/>
      <c r="I509" s="20" t="n"/>
      <c r="J509" s="19" t="n"/>
      <c r="K509" s="16" t="n"/>
      <c r="L509" s="20" t="n"/>
      <c r="M509" s="20" t="n"/>
      <c r="N509" s="17" t="n"/>
      <c r="O509" s="18">
        <f>IF(AND(OR($M509="Envoyé",$M509="En attente"),ISNUMBER($C509),NOT(ISNUMBER($N509))),IF(TODAY()-$C509&gt;=7,"⚠ relancer",""),"")</f>
        <v/>
      </c>
      <c r="P509" s="19" t="n"/>
      <c r="Q509" s="22">
        <f>IF($A509="","",HYPERLINK("Z:\MUSTANG SERVICES\Affaires 2027\"&amp;$A509&amp;"\"&amp;$A509&amp;"_Devis.xlsx","Ouvrir"))</f>
        <v/>
      </c>
      <c r="R509" s="22">
        <f>IF($A509="","",HYPERLINK("Z:\MUSTANG SERVICES\Affaires 2027\"&amp;$A509&amp;"\"&amp;$A509&amp;"_ToolList.xlsx","Ouvrir"))</f>
        <v/>
      </c>
      <c r="S509" s="22">
        <f>IF($A509="","",HYPERLINK("Z:\MUSTANG SERVICES\Affaires 2027\"&amp;$A509&amp;"\"&amp;$A509&amp;"_BL.xlsx","Ouvrir"))</f>
        <v/>
      </c>
      <c r="T509" s="22">
        <f>IF($A509="","",HYPERLINK("Z:\MUSTANG SERVICES\Affaires 2027\"&amp;$A509&amp;"\"&amp;$A509&amp;"_ServiceTicket.xlsx","Ouvrir"))</f>
        <v/>
      </c>
      <c r="U509" s="22">
        <f>IF($A509="","",HYPERLINK("Z:\MUSTANG SERVICES\Affaires 2027\"&amp;$A509&amp;"\","Dossier"))</f>
        <v/>
      </c>
    </row>
    <row r="510" ht="18" customHeight="1">
      <c r="A510" s="16" t="n"/>
      <c r="B510" s="17" t="n"/>
      <c r="C510" s="17" t="n"/>
      <c r="D510" s="18">
        <f>IF(AND(ISNUMBER($B510),ISNUMBER($C510)),$C510-$B510,"")</f>
        <v/>
      </c>
      <c r="E510" s="19" t="n"/>
      <c r="F510" s="20" t="n"/>
      <c r="G510" s="19" t="n"/>
      <c r="H510" s="20" t="n"/>
      <c r="I510" s="20" t="n"/>
      <c r="J510" s="19" t="n"/>
      <c r="K510" s="16" t="n"/>
      <c r="L510" s="20" t="n"/>
      <c r="M510" s="20" t="n"/>
      <c r="N510" s="17" t="n"/>
      <c r="O510" s="18">
        <f>IF(AND(OR($M510="Envoyé",$M510="En attente"),ISNUMBER($C510),NOT(ISNUMBER($N510))),IF(TODAY()-$C510&gt;=7,"⚠ relancer",""),"")</f>
        <v/>
      </c>
      <c r="P510" s="19" t="n"/>
      <c r="Q510" s="22">
        <f>IF($A510="","",HYPERLINK("Z:\MUSTANG SERVICES\Affaires 2027\"&amp;$A510&amp;"\"&amp;$A510&amp;"_Devis.xlsx","Ouvrir"))</f>
        <v/>
      </c>
      <c r="R510" s="22">
        <f>IF($A510="","",HYPERLINK("Z:\MUSTANG SERVICES\Affaires 2027\"&amp;$A510&amp;"\"&amp;$A510&amp;"_ToolList.xlsx","Ouvrir"))</f>
        <v/>
      </c>
      <c r="S510" s="22">
        <f>IF($A510="","",HYPERLINK("Z:\MUSTANG SERVICES\Affaires 2027\"&amp;$A510&amp;"\"&amp;$A510&amp;"_BL.xlsx","Ouvrir"))</f>
        <v/>
      </c>
      <c r="T510" s="22">
        <f>IF($A510="","",HYPERLINK("Z:\MUSTANG SERVICES\Affaires 2027\"&amp;$A510&amp;"\"&amp;$A510&amp;"_ServiceTicket.xlsx","Ouvrir"))</f>
        <v/>
      </c>
      <c r="U510" s="22">
        <f>IF($A510="","",HYPERLINK("Z:\MUSTANG SERVICES\Affaires 2027\"&amp;$A510&amp;"\","Dossier"))</f>
        <v/>
      </c>
    </row>
    <row r="511" ht="18" customHeight="1">
      <c r="A511" s="16" t="n"/>
      <c r="B511" s="17" t="n"/>
      <c r="C511" s="17" t="n"/>
      <c r="D511" s="18">
        <f>IF(AND(ISNUMBER($B511),ISNUMBER($C511)),$C511-$B511,"")</f>
        <v/>
      </c>
      <c r="E511" s="19" t="n"/>
      <c r="F511" s="20" t="n"/>
      <c r="G511" s="19" t="n"/>
      <c r="H511" s="20" t="n"/>
      <c r="I511" s="20" t="n"/>
      <c r="J511" s="19" t="n"/>
      <c r="K511" s="16" t="n"/>
      <c r="L511" s="20" t="n"/>
      <c r="M511" s="20" t="n"/>
      <c r="N511" s="17" t="n"/>
      <c r="O511" s="18">
        <f>IF(AND(OR($M511="Envoyé",$M511="En attente"),ISNUMBER($C511),NOT(ISNUMBER($N511))),IF(TODAY()-$C511&gt;=7,"⚠ relancer",""),"")</f>
        <v/>
      </c>
      <c r="P511" s="19" t="n"/>
      <c r="Q511" s="22">
        <f>IF($A511="","",HYPERLINK("Z:\MUSTANG SERVICES\Affaires 2027\"&amp;$A511&amp;"\"&amp;$A511&amp;"_Devis.xlsx","Ouvrir"))</f>
        <v/>
      </c>
      <c r="R511" s="22">
        <f>IF($A511="","",HYPERLINK("Z:\MUSTANG SERVICES\Affaires 2027\"&amp;$A511&amp;"\"&amp;$A511&amp;"_ToolList.xlsx","Ouvrir"))</f>
        <v/>
      </c>
      <c r="S511" s="22">
        <f>IF($A511="","",HYPERLINK("Z:\MUSTANG SERVICES\Affaires 2027\"&amp;$A511&amp;"\"&amp;$A511&amp;"_BL.xlsx","Ouvrir"))</f>
        <v/>
      </c>
      <c r="T511" s="22">
        <f>IF($A511="","",HYPERLINK("Z:\MUSTANG SERVICES\Affaires 2027\"&amp;$A511&amp;"\"&amp;$A511&amp;"_ServiceTicket.xlsx","Ouvrir"))</f>
        <v/>
      </c>
      <c r="U511" s="22">
        <f>IF($A511="","",HYPERLINK("Z:\MUSTANG SERVICES\Affaires 2027\"&amp;$A511&amp;"\","Dossier"))</f>
        <v/>
      </c>
    </row>
    <row r="512" ht="18" customHeight="1">
      <c r="A512" s="16" t="n"/>
      <c r="B512" s="17" t="n"/>
      <c r="C512" s="17" t="n"/>
      <c r="D512" s="18">
        <f>IF(AND(ISNUMBER($B512),ISNUMBER($C512)),$C512-$B512,"")</f>
        <v/>
      </c>
      <c r="E512" s="19" t="n"/>
      <c r="F512" s="20" t="n"/>
      <c r="G512" s="19" t="n"/>
      <c r="H512" s="20" t="n"/>
      <c r="I512" s="20" t="n"/>
      <c r="J512" s="19" t="n"/>
      <c r="K512" s="16" t="n"/>
      <c r="L512" s="20" t="n"/>
      <c r="M512" s="20" t="n"/>
      <c r="N512" s="17" t="n"/>
      <c r="O512" s="18">
        <f>IF(AND(OR($M512="Envoyé",$M512="En attente"),ISNUMBER($C512),NOT(ISNUMBER($N512))),IF(TODAY()-$C512&gt;=7,"⚠ relancer",""),"")</f>
        <v/>
      </c>
      <c r="P512" s="19" t="n"/>
      <c r="Q512" s="22">
        <f>IF($A512="","",HYPERLINK("Z:\MUSTANG SERVICES\Affaires 2027\"&amp;$A512&amp;"\"&amp;$A512&amp;"_Devis.xlsx","Ouvrir"))</f>
        <v/>
      </c>
      <c r="R512" s="22">
        <f>IF($A512="","",HYPERLINK("Z:\MUSTANG SERVICES\Affaires 2027\"&amp;$A512&amp;"\"&amp;$A512&amp;"_ToolList.xlsx","Ouvrir"))</f>
        <v/>
      </c>
      <c r="S512" s="22">
        <f>IF($A512="","",HYPERLINK("Z:\MUSTANG SERVICES\Affaires 2027\"&amp;$A512&amp;"\"&amp;$A512&amp;"_BL.xlsx","Ouvrir"))</f>
        <v/>
      </c>
      <c r="T512" s="22">
        <f>IF($A512="","",HYPERLINK("Z:\MUSTANG SERVICES\Affaires 2027\"&amp;$A512&amp;"\"&amp;$A512&amp;"_ServiceTicket.xlsx","Ouvrir"))</f>
        <v/>
      </c>
      <c r="U512" s="22">
        <f>IF($A512="","",HYPERLINK("Z:\MUSTANG SERVICES\Affaires 2027\"&amp;$A512&amp;"\","Dossier"))</f>
        <v/>
      </c>
    </row>
    <row r="513" ht="18" customHeight="1">
      <c r="A513" s="16" t="n"/>
      <c r="B513" s="17" t="n"/>
      <c r="C513" s="17" t="n"/>
      <c r="D513" s="18">
        <f>IF(AND(ISNUMBER($B513),ISNUMBER($C513)),$C513-$B513,"")</f>
        <v/>
      </c>
      <c r="E513" s="19" t="n"/>
      <c r="F513" s="20" t="n"/>
      <c r="G513" s="19" t="n"/>
      <c r="H513" s="20" t="n"/>
      <c r="I513" s="20" t="n"/>
      <c r="J513" s="19" t="n"/>
      <c r="K513" s="16" t="n"/>
      <c r="L513" s="20" t="n"/>
      <c r="M513" s="20" t="n"/>
      <c r="N513" s="17" t="n"/>
      <c r="O513" s="18">
        <f>IF(AND(OR($M513="Envoyé",$M513="En attente"),ISNUMBER($C513),NOT(ISNUMBER($N513))),IF(TODAY()-$C513&gt;=7,"⚠ relancer",""),"")</f>
        <v/>
      </c>
      <c r="P513" s="19" t="n"/>
      <c r="Q513" s="22">
        <f>IF($A513="","",HYPERLINK("Z:\MUSTANG SERVICES\Affaires 2027\"&amp;$A513&amp;"\"&amp;$A513&amp;"_Devis.xlsx","Ouvrir"))</f>
        <v/>
      </c>
      <c r="R513" s="22">
        <f>IF($A513="","",HYPERLINK("Z:\MUSTANG SERVICES\Affaires 2027\"&amp;$A513&amp;"\"&amp;$A513&amp;"_ToolList.xlsx","Ouvrir"))</f>
        <v/>
      </c>
      <c r="S513" s="22">
        <f>IF($A513="","",HYPERLINK("Z:\MUSTANG SERVICES\Affaires 2027\"&amp;$A513&amp;"\"&amp;$A513&amp;"_BL.xlsx","Ouvrir"))</f>
        <v/>
      </c>
      <c r="T513" s="22">
        <f>IF($A513="","",HYPERLINK("Z:\MUSTANG SERVICES\Affaires 2027\"&amp;$A513&amp;"\"&amp;$A513&amp;"_ServiceTicket.xlsx","Ouvrir"))</f>
        <v/>
      </c>
      <c r="U513" s="22">
        <f>IF($A513="","",HYPERLINK("Z:\MUSTANG SERVICES\Affaires 2027\"&amp;$A513&amp;"\","Dossier"))</f>
        <v/>
      </c>
    </row>
  </sheetData>
  <autoFilter ref="A13:U513"/>
  <conditionalFormatting sqref="M14:M513">
    <cfRule type="expression" priority="1" dxfId="0">
      <formula>$M14="A faire"</formula>
    </cfRule>
    <cfRule type="expression" priority="2" dxfId="1">
      <formula>$M14="Envoyé"</formula>
    </cfRule>
    <cfRule type="expression" priority="3" dxfId="2">
      <formula>$M14="En validation"</formula>
    </cfRule>
    <cfRule type="expression" priority="4" dxfId="3">
      <formula>$M14="En attente"</formula>
    </cfRule>
    <cfRule type="expression" priority="5" dxfId="4">
      <formula>$M14="Gagné"</formula>
    </cfRule>
    <cfRule type="expression" priority="6" dxfId="5">
      <formula>$M14="Terminé"</formula>
    </cfRule>
    <cfRule type="expression" priority="7" dxfId="6">
      <formula>$M14="Perdu"</formula>
    </cfRule>
    <cfRule type="expression" priority="8" dxfId="7">
      <formula>$M14="Annulé"</formula>
    </cfRule>
  </conditionalFormatting>
  <conditionalFormatting sqref="O14:O513">
    <cfRule type="expression" priority="9" dxfId="8">
      <formula>LEFT($O14,1)="⚠"</formula>
    </cfRule>
  </conditionalFormatting>
  <dataValidations count="5">
    <dataValidation sqref="F14:F513" showDropDown="0" showInputMessage="0" showErrorMessage="0" allowBlank="1" type="list">
      <formula1>"Prospect,Client"</formula1>
    </dataValidation>
    <dataValidation sqref="H14:H513" showDropDown="0" showInputMessage="0" showErrorMessage="0" allowBlank="1" type="list">
      <formula1>"Fishing,Fishing + DD,PDC,Directional Drilling,Whipstocks,Drill Bit,Opérateurs,Serrage / desserrage,Blocage / Déblocage,Matériel atelier,Machines,Autres"</formula1>
    </dataValidation>
    <dataValidation sqref="I14:I513" showDropDown="0" showInputMessage="0" showErrorMessage="0" allowBlank="1" type="list">
      <formula1>"Rental,Sale,Service"</formula1>
    </dataValidation>
    <dataValidation sqref="L14:L513" showDropDown="0" showInputMessage="0" showErrorMessage="0" allowBlank="1" type="list">
      <formula1>"EXW Lons,FCA Anvers,FCA Norway,FOB Canada"</formula1>
    </dataValidation>
    <dataValidation sqref="M14:M513" showDropDown="0" showInputMessage="0" showErrorMessage="1" allowBlank="1" type="list">
      <formula1>"A faire,En validation,Envoyé,En attente,Gagné,Terminé,Perdu,Annulé"</formula1>
    </dataValidation>
  </dataValidations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2026-10-29T08:03:12Z</dcterms:created>
  <dcterms:modified xmlns:dcterms="http://purl.org/dc/terms/" xmlns:xsi="http://www.w3.org/2001/XMLSchema-instance" xsi:type="dcterms:W3CDTF">2026-10-29T08:03:14Z</dcterms:modified>
</cp:coreProperties>
</file>