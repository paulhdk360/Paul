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Affaire" sheetId="1" state="visible" r:id="rId1"/>
    <sheet xmlns:r="http://schemas.openxmlformats.org/officeDocument/2006/relationships" name="2 Matériel" sheetId="2" state="visible" r:id="rId2"/>
    <sheet xmlns:r="http://schemas.openxmlformats.org/officeDocument/2006/relationships" name="3 Options" sheetId="3" state="visible" r:id="rId3"/>
    <sheet xmlns:r="http://schemas.openxmlformats.org/officeDocument/2006/relationships" name="4 Devis" sheetId="4" state="visible" r:id="rId4"/>
    <sheet xmlns:r="http://schemas.openxmlformats.org/officeDocument/2006/relationships" name="Listes" sheetId="5" state="visible" r:id="rId5"/>
    <sheet xmlns:r="http://schemas.openxmlformats.org/officeDocument/2006/relationships" name="Textes" sheetId="6" state="visible" r:id="rId6"/>
    <sheet xmlns:r="http://schemas.openxmlformats.org/officeDocument/2006/relationships" name="Flux" sheetId="7" state="hidden" r:id="rId7"/>
  </sheets>
  <definedNames>
    <definedName name="_xlnm._FilterDatabase" localSheetId="3" hidden="1">'4 Devis'!$B$15:$N$55</definedName>
    <definedName name="_xlnm.Print_Area" localSheetId="3">'4 Devis'!$A$1:$K$67</definedName>
  </definedNames>
  <calcPr calcId="124519" fullCalcOnLoad="1"/>
</workbook>
</file>

<file path=xl/styles.xml><?xml version="1.0" encoding="utf-8"?>
<styleSheet xmlns="http://schemas.openxmlformats.org/spreadsheetml/2006/main">
  <numFmts count="4">
    <numFmt numFmtId="164" formatCode="dd/mm/yyyy"/>
    <numFmt numFmtId="165" formatCode="0;-0;;@"/>
    <numFmt numFmtId="166" formatCode="#,##0;-#,##0;;@"/>
    <numFmt numFmtId="167" formatCode="#,##0.00 &quot;€&quot;"/>
  </numFmts>
  <fonts count="32">
    <font>
      <name val="Calibri"/>
      <family val="2"/>
      <color theme="1"/>
      <sz val="11"/>
      <scheme val="minor"/>
    </font>
    <font>
      <name val="Calibri"/>
      <b val="1"/>
      <color rgb="00FFFFFF"/>
      <sz val="9"/>
    </font>
    <font>
      <name val="Calibri"/>
      <color rgb="000B1B2E"/>
      <sz val="10"/>
    </font>
    <font>
      <name val="Calibri"/>
      <color rgb="0051647A"/>
      <sz val="9"/>
    </font>
    <font>
      <name val="Calibri"/>
      <i val="1"/>
      <color rgb="0051647A"/>
      <sz val="8"/>
    </font>
    <font>
      <name val="Calibri"/>
      <i val="1"/>
      <color rgb="0051647A"/>
      <sz val="9"/>
    </font>
    <font>
      <name val="Calibri"/>
      <b val="1"/>
      <color rgb="00FFFFFF"/>
      <sz val="18"/>
    </font>
    <font>
      <name val="Calibri"/>
      <color rgb="009FD8F5"/>
      <sz val="10"/>
    </font>
    <font>
      <name val="Calibri"/>
      <b val="1"/>
      <color rgb="00FFFFFF"/>
      <sz val="11"/>
    </font>
    <font>
      <name val="Calibri"/>
      <b val="1"/>
      <color rgb="00FFFFFF"/>
      <sz val="10"/>
    </font>
    <font>
      <name val="Calibri"/>
      <b val="1"/>
      <color rgb="0051647A"/>
      <sz val="9"/>
    </font>
    <font>
      <name val="Calibri"/>
      <color rgb="000A4FA0"/>
      <sz val="10.5"/>
    </font>
    <font>
      <name val="Calibri"/>
      <color rgb="0051647A"/>
      <sz val="10.5"/>
    </font>
    <font>
      <name val="Calibri"/>
      <b val="1"/>
      <color rgb="000A4FA0"/>
      <sz val="11"/>
    </font>
    <font>
      <name val="Calibri"/>
      <b val="1"/>
      <color rgb="0051647A"/>
      <sz val="10"/>
    </font>
    <font>
      <name val="Calibri"/>
      <color rgb="007A8CA3"/>
      <sz val="9"/>
    </font>
    <font>
      <name val="Calibri"/>
      <b val="1"/>
      <color rgb="000A4FA0"/>
      <sz val="10"/>
    </font>
    <font>
      <name val="Calibri"/>
      <b val="1"/>
      <color rgb="0008203F"/>
      <sz val="10.5"/>
    </font>
    <font>
      <name val="Calibri"/>
      <b val="1"/>
      <color rgb="000B1B2E"/>
      <sz val="10.5"/>
    </font>
    <font>
      <name val="Calibri"/>
      <color rgb="0051647A"/>
      <sz val="9.5"/>
    </font>
    <font>
      <name val="Calibri"/>
      <b val="1"/>
      <color rgb="00FFFFFF"/>
      <sz val="14"/>
    </font>
    <font>
      <name val="Calibri"/>
      <color rgb="009FD8F5"/>
      <sz val="11"/>
    </font>
    <font>
      <name val="Calibri"/>
      <b val="1"/>
      <color rgb="0051647A"/>
      <sz val="7.5"/>
    </font>
    <font>
      <name val="Calibri"/>
      <b val="1"/>
      <color rgb="0008203F"/>
      <sz val="7.5"/>
    </font>
    <font>
      <name val="Calibri"/>
      <b val="1"/>
      <color rgb="0051647A"/>
      <sz val="9.5"/>
    </font>
    <font>
      <name val="Calibri"/>
      <color rgb="000B1B2E"/>
      <sz val="9.5"/>
    </font>
    <font>
      <name val="Calibri"/>
      <color rgb="00B8C4D2"/>
      <sz val="7"/>
    </font>
    <font>
      <name val="Calibri"/>
      <b val="1"/>
      <color rgb="00E2231A"/>
      <sz val="9"/>
    </font>
    <font>
      <name val="Calibri"/>
      <color rgb="0051647A"/>
      <sz val="8.5"/>
    </font>
    <font>
      <name val="Calibri"/>
      <b val="1"/>
      <color rgb="0008203F"/>
      <sz val="9"/>
    </font>
    <font>
      <name val="Calibri"/>
      <color rgb="0051647A"/>
      <sz val="8"/>
    </font>
    <font>
      <name val="Calibri"/>
      <color rgb="0051647A"/>
      <sz val="7.5"/>
    </font>
  </fonts>
  <fills count="9">
    <fill>
      <patternFill/>
    </fill>
    <fill>
      <patternFill patternType="gray125"/>
    </fill>
    <fill>
      <patternFill patternType="solid">
        <fgColor rgb="0008203F"/>
        <bgColor rgb="0008203F"/>
      </patternFill>
    </fill>
    <fill>
      <patternFill patternType="solid">
        <fgColor rgb="0000AEEF"/>
        <bgColor rgb="0000AEEF"/>
      </patternFill>
    </fill>
    <fill>
      <patternFill patternType="solid">
        <fgColor rgb="00E2231A"/>
        <bgColor rgb="00E2231A"/>
      </patternFill>
    </fill>
    <fill>
      <patternFill patternType="solid">
        <fgColor rgb="00EAF6FD"/>
        <bgColor rgb="00EAF6FD"/>
      </patternFill>
    </fill>
    <fill>
      <patternFill patternType="solid">
        <fgColor rgb="000A4FA0"/>
        <bgColor rgb="000A4FA0"/>
      </patternFill>
    </fill>
    <fill>
      <patternFill patternType="solid">
        <fgColor rgb="007A8CA3"/>
        <bgColor rgb="007A8CA3"/>
      </patternFill>
    </fill>
    <fill>
      <patternFill patternType="solid">
        <fgColor rgb="00DCE8F5"/>
        <bgColor rgb="00DCE8F5"/>
      </patternFill>
    </fill>
  </fills>
  <borders count="12">
    <border>
      <left/>
      <right/>
      <top/>
      <bottom/>
      <diagonal/>
    </border>
    <border>
      <bottom style="thin">
        <color rgb="0000AEEF"/>
      </bottom>
    </border>
    <border>
      <bottom style="thin">
        <color rgb="00D5DEE8"/>
      </bottom>
    </border>
    <border>
      <left/>
      <right/>
      <top/>
      <bottom style="thin">
        <color rgb="0000AEEF"/>
      </bottom>
      <diagonal/>
    </border>
    <border>
      <left style="thin">
        <color rgb="00D5DEE8"/>
      </left>
      <top style="thin">
        <color rgb="00D5DEE8"/>
      </top>
    </border>
    <border>
      <right style="thin">
        <color rgb="00D5DEE8"/>
      </right>
      <top style="thin">
        <color rgb="00D5DEE8"/>
      </top>
    </border>
    <border>
      <left style="thin">
        <color rgb="00D5DEE8"/>
      </left>
    </border>
    <border>
      <right style="thin">
        <color rgb="00D5DEE8"/>
      </right>
    </border>
    <border>
      <left style="thin">
        <color rgb="00D5DEE8"/>
      </left>
      <bottom style="thin">
        <color rgb="00D5DEE8"/>
      </bottom>
    </border>
    <border>
      <right style="thin">
        <color rgb="00D5DEE8"/>
      </right>
      <bottom style="thin">
        <color rgb="00D5DEE8"/>
      </bottom>
    </border>
    <border>
      <top style="thin">
        <color rgb="00D5DEE8"/>
      </top>
    </border>
    <border/>
  </borders>
  <cellStyleXfs count="1">
    <xf numFmtId="0" fontId="0" fillId="0" borderId="0"/>
  </cellStyleXfs>
  <cellXfs count="61">
    <xf numFmtId="0" fontId="0" fillId="0" borderId="0" pivotButton="0" quotePrefix="0" xfId="0"/>
    <xf numFmtId="0" fontId="0" fillId="2" borderId="0" pivotButton="0" quotePrefix="0" xfId="0"/>
    <xf numFmtId="0" fontId="6" fillId="2" borderId="0" applyAlignment="1" pivotButton="0" quotePrefix="0" xfId="0">
      <alignment vertical="center"/>
    </xf>
    <xf numFmtId="0" fontId="8" fillId="4" borderId="0" applyAlignment="1" pivotButton="0" quotePrefix="0" xfId="0">
      <alignment horizontal="center" vertical="center"/>
    </xf>
    <xf numFmtId="0" fontId="7" fillId="2" borderId="0" applyAlignment="1" pivotButton="0" quotePrefix="0" xfId="0">
      <alignment vertical="center"/>
    </xf>
    <xf numFmtId="0" fontId="0" fillId="3" borderId="0" pivotButton="0" quotePrefix="0" xfId="0"/>
    <xf numFmtId="0" fontId="9" fillId="2" borderId="0" applyAlignment="1" pivotButton="0" quotePrefix="0" xfId="0">
      <alignment vertical="center" indent="1"/>
    </xf>
    <xf numFmtId="0" fontId="10" fillId="0" borderId="0" applyAlignment="1" pivotButton="0" quotePrefix="0" xfId="0">
      <alignment vertical="center" indent="1"/>
    </xf>
    <xf numFmtId="0" fontId="11" fillId="5" borderId="1" applyAlignment="1" pivotButton="0" quotePrefix="0" xfId="0">
      <alignment horizontal="left" vertical="center" wrapText="1" indent="1"/>
    </xf>
    <xf numFmtId="164" fontId="11" fillId="5" borderId="1" applyAlignment="1" pivotButton="0" quotePrefix="0" xfId="0">
      <alignment horizontal="left" vertical="center" wrapText="1" indent="1"/>
    </xf>
    <xf numFmtId="0" fontId="12" fillId="0" borderId="2" applyAlignment="1" pivotButton="0" quotePrefix="0" xfId="0">
      <alignment vertical="center" indent="1"/>
    </xf>
    <xf numFmtId="0" fontId="13" fillId="0" borderId="0" pivotButton="0" quotePrefix="0" xfId="0"/>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4" fillId="0" borderId="0" applyAlignment="1" pivotButton="0" quotePrefix="0" xfId="0">
      <alignment horizontal="center" vertical="center"/>
    </xf>
    <xf numFmtId="0" fontId="11" fillId="5" borderId="1" applyAlignment="1" pivotButton="0" quotePrefix="0" xfId="0">
      <alignment horizontal="center" vertical="center" wrapText="1"/>
    </xf>
    <xf numFmtId="1" fontId="11" fillId="5" borderId="1" applyAlignment="1" pivotButton="0" quotePrefix="0" xfId="0">
      <alignment horizontal="center" vertical="center" wrapText="1"/>
    </xf>
    <xf numFmtId="4" fontId="11" fillId="5" borderId="1" applyAlignment="1" pivotButton="0" quotePrefix="0" xfId="0">
      <alignment horizontal="center" vertical="center" wrapText="1"/>
    </xf>
    <xf numFmtId="165" fontId="15" fillId="0" borderId="0" applyAlignment="1" pivotButton="0" quotePrefix="0" xfId="0">
      <alignment horizontal="center" vertical="center"/>
    </xf>
    <xf numFmtId="0" fontId="15" fillId="0" borderId="0" applyAlignment="1" pivotButton="0" quotePrefix="0" xfId="0">
      <alignment horizontal="center" vertical="center"/>
    </xf>
    <xf numFmtId="166" fontId="15" fillId="0" borderId="0" applyAlignment="1" pivotButton="0" quotePrefix="0" xfId="0">
      <alignment horizontal="center" vertical="center"/>
    </xf>
    <xf numFmtId="0" fontId="16" fillId="0" borderId="0" pivotButton="0" quotePrefix="0" xfId="0"/>
    <xf numFmtId="0" fontId="5" fillId="0" borderId="0" pivotButton="0" quotePrefix="0" xfId="0"/>
    <xf numFmtId="0" fontId="17" fillId="0" borderId="0" applyAlignment="1" pivotButton="0" quotePrefix="0" xfId="0">
      <alignment vertical="center" indent="1"/>
    </xf>
    <xf numFmtId="4" fontId="18" fillId="0" borderId="0" applyAlignment="1" pivotButton="0" quotePrefix="0" xfId="0">
      <alignment horizontal="center" vertical="center"/>
    </xf>
    <xf numFmtId="0" fontId="0" fillId="0" borderId="3" pivotButton="0" quotePrefix="0" xfId="0"/>
    <xf numFmtId="0" fontId="5" fillId="0" borderId="0" applyAlignment="1" pivotButton="0" quotePrefix="0" xfId="0">
      <alignment vertical="top" wrapText="1" indent="1"/>
    </xf>
    <xf numFmtId="167" fontId="18" fillId="0" borderId="0" applyAlignment="1" pivotButton="0" quotePrefix="0" xfId="0">
      <alignment horizontal="center" vertical="center"/>
    </xf>
    <xf numFmtId="0" fontId="5" fillId="0" borderId="0" applyAlignment="1" pivotButton="0" quotePrefix="0" xfId="0">
      <alignment vertical="center" wrapText="1" indent="1"/>
    </xf>
    <xf numFmtId="0" fontId="19" fillId="0" borderId="0" pivotButton="0" quotePrefix="0" xfId="0"/>
    <xf numFmtId="0" fontId="20" fillId="2" borderId="0" applyAlignment="1" pivotButton="0" quotePrefix="0" xfId="0">
      <alignment horizontal="right" vertical="center"/>
    </xf>
    <xf numFmtId="0" fontId="21" fillId="2" borderId="0" applyAlignment="1" pivotButton="0" quotePrefix="0" xfId="0">
      <alignment horizontal="right" vertical="center"/>
    </xf>
    <xf numFmtId="0" fontId="22" fillId="0" borderId="0" applyAlignment="1" pivotButton="0" quotePrefix="0" xfId="0">
      <alignment vertical="bottom" indent="1"/>
    </xf>
    <xf numFmtId="0" fontId="18" fillId="0" borderId="2" applyAlignment="1" pivotButton="0" quotePrefix="0" xfId="0">
      <alignment vertical="top" wrapText="1" indent="1"/>
    </xf>
    <xf numFmtId="0" fontId="0" fillId="0" borderId="2" pivotButton="0" quotePrefix="0" xfId="0"/>
    <xf numFmtId="0" fontId="27" fillId="0" borderId="0" applyAlignment="1" pivotButton="0" quotePrefix="0" xfId="0">
      <alignment vertical="center" indent="1"/>
    </xf>
    <xf numFmtId="0" fontId="9" fillId="6" borderId="0" applyAlignment="1" pivotButton="0" quotePrefix="0" xfId="0">
      <alignment vertical="center" indent="1"/>
    </xf>
    <xf numFmtId="0" fontId="0" fillId="6" borderId="0" pivotButton="0" quotePrefix="0" xfId="0"/>
    <xf numFmtId="0" fontId="23" fillId="8" borderId="0" applyAlignment="1" pivotButton="0" quotePrefix="0" xfId="0">
      <alignment horizontal="center" vertical="center" wrapText="1"/>
    </xf>
    <xf numFmtId="0" fontId="23" fillId="8" borderId="0" applyAlignment="1" pivotButton="0" quotePrefix="0" xfId="0">
      <alignment horizontal="left" vertical="center" wrapText="1" indent="1"/>
    </xf>
    <xf numFmtId="0" fontId="26" fillId="0" borderId="0" pivotButton="0" quotePrefix="0" xfId="0"/>
    <xf numFmtId="0" fontId="24" fillId="0" borderId="0" applyAlignment="1" pivotButton="0" quotePrefix="0" xfId="0">
      <alignment horizontal="center" vertical="center"/>
    </xf>
    <xf numFmtId="0" fontId="25" fillId="0" borderId="0" applyAlignment="1" pivotButton="0" quotePrefix="0" xfId="0">
      <alignment horizontal="left" vertical="center" wrapText="1" indent="1"/>
    </xf>
    <xf numFmtId="0" fontId="25" fillId="0" borderId="0" applyAlignment="1" pivotButton="0" quotePrefix="0" xfId="0">
      <alignment horizontal="center" vertical="center"/>
    </xf>
    <xf numFmtId="4" fontId="25" fillId="0" borderId="0" applyAlignment="1" pivotButton="0" quotePrefix="0" xfId="0">
      <alignment horizontal="center" vertical="center" shrinkToFit="1"/>
    </xf>
    <xf numFmtId="0" fontId="28" fillId="0" borderId="0" applyAlignment="1" pivotButton="0" quotePrefix="0" xfId="0">
      <alignment vertical="top" wrapText="1" indent="1"/>
    </xf>
    <xf numFmtId="0" fontId="29" fillId="0" borderId="0" applyAlignment="1" pivotButton="0" quotePrefix="0" xfId="0">
      <alignment indent="1"/>
    </xf>
    <xf numFmtId="0" fontId="30" fillId="0" borderId="4" applyAlignment="1" pivotButton="0" quotePrefix="0" xfId="0">
      <alignment vertical="top" indent="1"/>
    </xf>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8" pivotButton="0" quotePrefix="0" xfId="0"/>
    <xf numFmtId="0" fontId="0" fillId="0" borderId="9" pivotButton="0" quotePrefix="0" xfId="0"/>
    <xf numFmtId="0" fontId="31" fillId="0" borderId="0" applyAlignment="1" pivotButton="0" quotePrefix="0" xfId="0">
      <alignment horizontal="center" wrapText="1"/>
    </xf>
    <xf numFmtId="0" fontId="1" fillId="2" borderId="0" pivotButton="0" quotePrefix="0" xfId="0"/>
    <xf numFmtId="0" fontId="3"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dxfs count="7">
    <dxf>
      <font>
        <name val="Calibri"/>
        <b val="1"/>
        <color rgb="0008203F"/>
      </font>
      <fill>
        <patternFill patternType="solid">
          <fgColor rgb="00C9DAF0"/>
          <bgColor rgb="00C9DAF0"/>
        </patternFill>
      </fill>
    </dxf>
    <dxf>
      <font>
        <name val="Calibri"/>
        <b val="1"/>
        <color rgb="00FFFFFF"/>
      </font>
      <fill>
        <patternFill patternType="solid">
          <fgColor rgb="0008203F"/>
          <bgColor rgb="0008203F"/>
        </patternFill>
      </fill>
    </dxf>
    <dxf>
      <font>
        <name val="Calibri"/>
        <b val="1"/>
        <color rgb="00FFFFFF"/>
      </font>
      <fill>
        <patternFill patternType="solid">
          <fgColor rgb="000A4FA0"/>
          <bgColor rgb="000A4FA0"/>
        </patternFill>
      </fill>
    </dxf>
    <dxf>
      <font>
        <name val="Calibri"/>
        <i val="1"/>
        <color rgb="0008203F"/>
      </font>
      <fill>
        <patternFill patternType="solid">
          <fgColor rgb="00EAF6FD"/>
          <bgColor rgb="00EAF6FD"/>
        </patternFill>
      </fill>
    </dxf>
    <dxf>
      <border>
        <bottom style="thin">
          <color rgb="00D5DEE8"/>
        </bottom>
      </border>
    </dxf>
    <dxf>
      <fill>
        <patternFill patternType="solid">
          <fgColor rgb="00F6F9FC"/>
          <bgColor rgb="00F6F9FC"/>
        </patternFill>
      </fill>
    </dxf>
    <dxf>
      <font>
        <name val="Calibri"/>
        <i val="1"/>
        <color rgb="0000AEE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0</row>
      <rowOff>0</rowOff>
    </from>
    <ext cx="1333500" cy="304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0AEEF"/>
    <outlinePr summaryBelow="1" summaryRight="1"/>
    <pageSetUpPr fitToPage="1"/>
  </sheetPr>
  <dimension ref="A1:G16"/>
  <sheetViews>
    <sheetView showGridLines="0" workbookViewId="0">
      <selection activeCell="A1" sqref="A1"/>
    </sheetView>
  </sheetViews>
  <sheetFormatPr baseColWidth="8" defaultRowHeight="15"/>
  <cols>
    <col width="2" customWidth="1" min="1" max="1"/>
    <col width="28" customWidth="1" min="2" max="2"/>
    <col width="38" customWidth="1" min="3" max="3"/>
    <col width="3" customWidth="1" min="4" max="4"/>
    <col width="30" customWidth="1" min="5" max="5"/>
    <col width="46" customWidth="1" min="6" max="6"/>
    <col width="2" customWidth="1" min="7" max="7"/>
  </cols>
  <sheetData>
    <row r="1" ht="30" customHeight="1">
      <c r="A1" s="1" t="n"/>
      <c r="B1" s="2" t="inlineStr">
        <is>
          <t>DEVIS 2027</t>
        </is>
      </c>
      <c r="C1" s="1" t="n"/>
      <c r="D1" s="1" t="n"/>
      <c r="E1" s="1" t="n"/>
      <c r="F1" s="3" t="inlineStr">
        <is>
          <t>EXEMPLE · tarifs fictifs</t>
        </is>
      </c>
      <c r="G1" s="1" t="n"/>
    </row>
    <row r="2" ht="20" customHeight="1">
      <c r="A2" s="1" t="n"/>
      <c r="B2" s="4" t="inlineStr">
        <is>
          <t>Remplir les onglets 1, 2 et 3 : le devis (4) se complète tout seul. Cases bleues = à saisir.</t>
        </is>
      </c>
      <c r="C2" s="1" t="n"/>
      <c r="D2" s="1" t="n"/>
      <c r="E2" s="1" t="n"/>
      <c r="F2" s="1" t="n"/>
      <c r="G2" s="1" t="n"/>
    </row>
    <row r="3" ht="6" customHeight="1">
      <c r="A3" s="5" t="n"/>
      <c r="B3" s="5" t="n"/>
      <c r="C3" s="5" t="n"/>
      <c r="D3" s="5" t="n"/>
      <c r="E3" s="5" t="n"/>
      <c r="F3" s="5" t="n"/>
      <c r="G3" s="5" t="n"/>
    </row>
    <row r="5" ht="20" customHeight="1">
      <c r="B5" s="6" t="inlineStr">
        <is>
          <t>L'AFFAIRE</t>
        </is>
      </c>
      <c r="C5" s="1" t="n"/>
      <c r="E5" s="6" t="inlineStr">
        <is>
          <t>L'OFFRE</t>
        </is>
      </c>
      <c r="F5" s="1" t="n"/>
    </row>
    <row r="6" ht="22" customHeight="1">
      <c r="B6" s="7" t="inlineStr">
        <is>
          <t>N° d'offre</t>
        </is>
      </c>
      <c r="C6" s="8" t="inlineStr">
        <is>
          <t>26-OFF-0123</t>
        </is>
      </c>
      <c r="E6" s="7" t="inlineStr">
        <is>
          <t>Établi par</t>
        </is>
      </c>
      <c r="F6" s="8" t="inlineStr">
        <is>
          <t>Paul HYNDERICK</t>
        </is>
      </c>
    </row>
    <row r="7" ht="22" customHeight="1">
      <c r="B7" s="7" t="inlineStr">
        <is>
          <t>Date</t>
        </is>
      </c>
      <c r="C7" s="9" t="n">
        <v>46323</v>
      </c>
      <c r="E7" s="7" t="inlineStr">
        <is>
          <t>E-mail</t>
        </is>
      </c>
      <c r="F7" s="10">
        <f>IFERROR(VLOOKUP(F6,Listes!$A$2:$B$12,2,FALSE),"")</f>
        <v/>
      </c>
    </row>
    <row r="8" ht="22" customHeight="1">
      <c r="B8" s="7" t="inlineStr">
        <is>
          <t>Client</t>
        </is>
      </c>
      <c r="C8" s="8" t="inlineStr">
        <is>
          <t>Geopetrol</t>
        </is>
      </c>
      <c r="E8" s="7" t="inlineStr">
        <is>
          <t>Téléphone</t>
        </is>
      </c>
      <c r="F8" s="10" t="inlineStr">
        <is>
          <t>+33 (0)5 59 04 50 45</t>
        </is>
      </c>
    </row>
    <row r="9" ht="22" customHeight="1">
      <c r="B9" s="7" t="inlineStr">
        <is>
          <t>À l'attention de</t>
        </is>
      </c>
      <c r="C9" s="8" t="inlineStr">
        <is>
          <t>M. Dupont</t>
        </is>
      </c>
      <c r="E9" s="7" t="inlineStr">
        <is>
          <t>Validité de l'offre</t>
        </is>
      </c>
      <c r="F9" s="8" t="inlineStr">
        <is>
          <t>15 jours / 15 days</t>
        </is>
      </c>
    </row>
    <row r="10" ht="22" customHeight="1">
      <c r="B10" s="7" t="inlineStr">
        <is>
          <t>Puits / Chantier</t>
        </is>
      </c>
      <c r="C10" s="8" t="inlineStr">
        <is>
          <t>Puits Lacq-12 · CLU108</t>
        </is>
      </c>
      <c r="E10" s="7" t="inlineStr">
        <is>
          <t>Incoterm</t>
        </is>
      </c>
      <c r="F10" s="8" t="inlineStr">
        <is>
          <t>EXW Lons</t>
        </is>
      </c>
    </row>
    <row r="11" ht="22" customHeight="1">
      <c r="E11" s="7" t="inlineStr">
        <is>
          <t>Conditions de règlement</t>
        </is>
      </c>
      <c r="F11" s="8" t="inlineStr">
        <is>
          <t>30 jours date de facture / 30 days invoice date</t>
        </is>
      </c>
    </row>
    <row r="12" ht="22" customHeight="1">
      <c r="E12" s="7" t="inlineStr">
        <is>
          <t>Facturation WE et jours fériés</t>
        </is>
      </c>
      <c r="F12" s="8" t="inlineStr">
        <is>
          <t>Non</t>
        </is>
      </c>
    </row>
    <row r="13" ht="22" customHeight="1"/>
    <row r="16">
      <c r="B16" s="11" t="inlineStr">
        <is>
          <t>➜ Étape suivante : onglet « 2 Matériel »</t>
        </is>
      </c>
    </row>
  </sheetData>
  <mergeCells count="2">
    <mergeCell ref="E5:F5"/>
    <mergeCell ref="B5:C5"/>
  </mergeCells>
  <dataValidations count="5">
    <dataValidation sqref="F6" showDropDown="0" showInputMessage="0" showErrorMessage="1" allowBlank="1" errorTitle="Valeur" error="Choisir une valeur de la liste." type="list" errorStyle="warning">
      <formula1>=Listes!$A$2:$A$12</formula1>
    </dataValidation>
    <dataValidation sqref="F9" showDropDown="0" showInputMessage="0" showErrorMessage="1" allowBlank="1" errorTitle="Valeur" error="Choisir une valeur de la liste." type="list" errorStyle="warning">
      <formula1>=Listes!$E$2:$E$12</formula1>
    </dataValidation>
    <dataValidation sqref="F10" showDropDown="0" showInputMessage="0" showErrorMessage="1" allowBlank="1" errorTitle="Valeur" error="Choisir une valeur de la liste." type="list" errorStyle="warning">
      <formula1>=Listes!$D$2:$D$12</formula1>
    </dataValidation>
    <dataValidation sqref="F11" showDropDown="0" showInputMessage="0" showErrorMessage="1" allowBlank="1" errorTitle="Valeur" error="Choisir une valeur de la liste." type="list" errorStyle="warning">
      <formula1>=Listes!$F$2:$F$12</formula1>
    </dataValidation>
    <dataValidation sqref="F12" showDropDown="0" showInputMessage="0" showErrorMessage="1" allowBlank="1" errorTitle="Valeur" error="Choisir une valeur de la liste." type="list" errorStyle="stop">
      <formula1>=Listes!$G$2:$G$12</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tabColor rgb="0000AEEF"/>
    <outlinePr summaryBelow="1" summaryRight="1"/>
    <pageSetUpPr fitToPage="1"/>
  </sheetPr>
  <dimension ref="A1:N3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56" customWidth="1" min="3" max="3"/>
    <col width="7" customWidth="1" min="4" max="4"/>
    <col width="13" customWidth="1" min="5" max="5"/>
    <col width="13" customWidth="1" min="6" max="6"/>
    <col width="11" customWidth="1" min="7" max="7"/>
    <col width="14" customWidth="1" min="8" max="8"/>
    <col width="12" customWidth="1" min="9" max="9"/>
    <col width="11" customWidth="1" min="10" max="10"/>
    <col width="11" customWidth="1" min="11" max="11"/>
    <col width="8" customWidth="1" min="12" max="12"/>
    <col width="8" customWidth="1" min="13" max="13"/>
    <col width="12" customWidth="1" min="14" max="14"/>
  </cols>
  <sheetData>
    <row r="1" ht="30" customHeight="1">
      <c r="A1" s="1" t="n"/>
      <c r="B1" s="2" t="inlineStr">
        <is>
          <t>MATÉRIEL DU DEVIS</t>
        </is>
      </c>
      <c r="C1" s="1" t="n"/>
      <c r="D1" s="1" t="n"/>
      <c r="E1" s="1" t="n"/>
      <c r="F1" s="1" t="n"/>
      <c r="G1" s="1" t="n"/>
      <c r="H1" s="1" t="n"/>
      <c r="I1" s="1" t="n"/>
      <c r="J1" s="1" t="n"/>
      <c r="K1" s="1" t="n"/>
      <c r="L1" s="1" t="n"/>
      <c r="M1" s="1" t="n"/>
      <c r="N1" s="1" t="n"/>
    </row>
    <row r="2" ht="20" customHeight="1">
      <c r="A2" s="1" t="n"/>
      <c r="B2" s="4" t="inlineStr">
        <is>
          <t>Une ligne par référence (quantité 2 = 2 lignes sur la tool list). Pour un titre de groupe (ex. BHA #1), mettre « Oui » dans Bannière et écrire le titre en Description.</t>
        </is>
      </c>
      <c r="C2" s="1" t="n"/>
      <c r="D2" s="1" t="n"/>
      <c r="E2" s="1" t="n"/>
      <c r="F2" s="1" t="n"/>
      <c r="G2" s="1" t="n"/>
      <c r="H2" s="1" t="n"/>
      <c r="I2" s="1" t="n"/>
      <c r="J2" s="1" t="n"/>
      <c r="K2" s="1" t="n"/>
      <c r="L2" s="1" t="n"/>
      <c r="M2" s="1" t="n"/>
      <c r="N2" s="1" t="n"/>
    </row>
    <row r="3" ht="6" customHeight="1">
      <c r="A3" s="5" t="n"/>
      <c r="B3" s="5" t="n"/>
      <c r="C3" s="5" t="n"/>
      <c r="D3" s="5" t="n"/>
      <c r="E3" s="5" t="n"/>
      <c r="F3" s="5" t="n"/>
      <c r="G3" s="5" t="n"/>
      <c r="H3" s="5" t="n"/>
      <c r="I3" s="5" t="n"/>
      <c r="J3" s="5" t="n"/>
      <c r="K3" s="5" t="n"/>
      <c r="L3" s="5" t="n"/>
      <c r="M3" s="5" t="n"/>
      <c r="N3" s="5" t="n"/>
    </row>
    <row r="5" ht="34" customHeight="1">
      <c r="A5" s="12" t="inlineStr">
        <is>
          <t>#</t>
        </is>
      </c>
      <c r="B5" s="12" t="inlineStr">
        <is>
          <t>Bannière ?</t>
        </is>
      </c>
      <c r="C5" s="12" t="inlineStr">
        <is>
          <t>Description  (ou titre de bannière)</t>
        </is>
      </c>
      <c r="D5" s="12" t="inlineStr">
        <is>
          <t>Qté</t>
        </is>
      </c>
      <c r="E5" s="12" t="inlineStr">
        <is>
          <t>Stand-by (S)
€ / jour</t>
        </is>
      </c>
      <c r="F5" s="12" t="inlineStr">
        <is>
          <t>Opérations (O)
€ / jour</t>
        </is>
      </c>
      <c r="G5" s="12" t="inlineStr">
        <is>
          <t>UC
€ / item</t>
        </is>
      </c>
      <c r="H5" s="12" t="inlineStr">
        <is>
          <t>LIH / DBR
€ / item</t>
        </is>
      </c>
      <c r="I5" s="12" t="inlineStr">
        <is>
          <t>Inspection
€ / item</t>
        </is>
      </c>
      <c r="J5" s="12" t="inlineStr">
        <is>
          <t>Restocking
€</t>
        </is>
      </c>
      <c r="K5" s="12" t="inlineStr">
        <is>
          <t>Inclus au
forfait ?</t>
        </is>
      </c>
      <c r="L5" s="13" t="inlineStr">
        <is>
          <t>Lignes
tool list</t>
        </is>
      </c>
      <c r="M5" s="13" t="inlineStr">
        <is>
          <t>Cumul</t>
        </is>
      </c>
      <c r="N5" s="13" t="inlineStr">
        <is>
          <t>Forfait
€ (calc.)</t>
        </is>
      </c>
    </row>
    <row r="6" ht="21" customHeight="1">
      <c r="A6" s="14">
        <f>IF(AND(L6&gt;0,B6&lt;&gt;"Oui"),COUNTIFS(L$6:L6,"&gt;0",B$6:B6,"&lt;&gt;Oui"),"")</f>
        <v/>
      </c>
      <c r="B6" s="15" t="inlineStr">
        <is>
          <t>Oui</t>
        </is>
      </c>
      <c r="C6" s="8" t="inlineStr">
        <is>
          <t>BHA #1</t>
        </is>
      </c>
      <c r="D6" s="16" t="n"/>
      <c r="E6" s="17" t="n"/>
      <c r="F6" s="17" t="n"/>
      <c r="G6" s="17" t="n"/>
      <c r="H6" s="17" t="n"/>
      <c r="I6" s="17" t="n"/>
      <c r="J6" s="17" t="n"/>
      <c r="K6" s="15" t="n"/>
      <c r="L6" s="18">
        <f>IF($C6="",0,IF($B6="Oui",1,IF(N($D6)&gt;0,INT($D6),1)))</f>
        <v/>
      </c>
      <c r="M6" s="19">
        <f>SUM(L$6:L6)</f>
        <v/>
      </c>
      <c r="N6" s="20">
        <f>IF(AND(L6&gt;0,B6&lt;&gt;"Oui",K6="Oui"),L6*(N(E6)*N('3 Options'!$C$15)+N(F6)*N('3 Options'!$C$16)+N(G6)),0)</f>
        <v/>
      </c>
    </row>
    <row r="7" ht="21" customHeight="1">
      <c r="A7" s="14">
        <f>IF(AND(L7&gt;0,B7&lt;&gt;"Oui"),COUNTIFS(L$6:L7,"&gt;0",B$6:B7,"&lt;&gt;Oui"),"")</f>
        <v/>
      </c>
      <c r="B7" s="15" t="n"/>
      <c r="C7" s="8" t="inlineStr">
        <is>
          <t>Stab 5-7/8 OD, 2-1/4" ID - 3-1/2" IF Pin x Box</t>
        </is>
      </c>
      <c r="D7" s="16" t="n">
        <v>1</v>
      </c>
      <c r="E7" s="17" t="n">
        <v>85</v>
      </c>
      <c r="F7" s="17" t="n">
        <v>120</v>
      </c>
      <c r="G7" s="17" t="n">
        <v>40</v>
      </c>
      <c r="H7" s="17" t="n">
        <v>4200</v>
      </c>
      <c r="I7" s="17" t="n">
        <v>150</v>
      </c>
      <c r="J7" s="17" t="n">
        <v>600</v>
      </c>
      <c r="K7" s="15" t="inlineStr">
        <is>
          <t>Oui</t>
        </is>
      </c>
      <c r="L7" s="18">
        <f>IF($C7="",0,IF($B7="Oui",1,IF(N($D7)&gt;0,INT($D7),1)))</f>
        <v/>
      </c>
      <c r="M7" s="19">
        <f>SUM(L$6:L7)</f>
        <v/>
      </c>
      <c r="N7" s="20">
        <f>IF(AND(L7&gt;0,B7&lt;&gt;"Oui",K7="Oui"),L7*(N(E7)*N('3 Options'!$C$15)+N(F7)*N('3 Options'!$C$16)+N(G7)),0)</f>
        <v/>
      </c>
    </row>
    <row r="8" ht="21" customHeight="1">
      <c r="A8" s="14">
        <f>IF(AND(L8&gt;0,B8&lt;&gt;"Oui"),COUNTIFS(L$6:L8,"&gt;0",B$6:B8,"&lt;&gt;Oui"),"")</f>
        <v/>
      </c>
      <c r="B8" s="15" t="n"/>
      <c r="C8" s="8" t="inlineStr">
        <is>
          <t>XO 3-1/2" IF Pin x 2-7/8" EU Box</t>
        </is>
      </c>
      <c r="D8" s="16" t="n">
        <v>2</v>
      </c>
      <c r="E8" s="17" t="n">
        <v>20</v>
      </c>
      <c r="F8" s="17" t="n">
        <v>30</v>
      </c>
      <c r="G8" s="17" t="n">
        <v>10</v>
      </c>
      <c r="H8" s="17" t="n">
        <v>900</v>
      </c>
      <c r="I8" s="17" t="n">
        <v>60</v>
      </c>
      <c r="J8" s="17" t="n">
        <v>150</v>
      </c>
      <c r="K8" s="15" t="inlineStr">
        <is>
          <t>Oui</t>
        </is>
      </c>
      <c r="L8" s="18">
        <f>IF($C8="",0,IF($B8="Oui",1,IF(N($D8)&gt;0,INT($D8),1)))</f>
        <v/>
      </c>
      <c r="M8" s="19">
        <f>SUM(L$6:L8)</f>
        <v/>
      </c>
      <c r="N8" s="20">
        <f>IF(AND(L8&gt;0,B8&lt;&gt;"Oui",K8="Oui"),L8*(N(E8)*N('3 Options'!$C$15)+N(F8)*N('3 Options'!$C$16)+N(G8)),0)</f>
        <v/>
      </c>
    </row>
    <row r="9" ht="21" customHeight="1">
      <c r="A9" s="14">
        <f>IF(AND(L9&gt;0,B9&lt;&gt;"Oui"),COUNTIFS(L$6:L9,"&gt;0",B$6:B9,"&lt;&gt;Oui"),"")</f>
        <v/>
      </c>
      <c r="B9" s="15" t="inlineStr">
        <is>
          <t>Oui</t>
        </is>
      </c>
      <c r="C9" s="8" t="inlineStr">
        <is>
          <t>BHA #2</t>
        </is>
      </c>
      <c r="D9" s="16" t="n"/>
      <c r="E9" s="17" t="n"/>
      <c r="F9" s="17" t="n"/>
      <c r="G9" s="17" t="n"/>
      <c r="H9" s="17" t="n"/>
      <c r="I9" s="17" t="n"/>
      <c r="J9" s="17" t="n"/>
      <c r="K9" s="15" t="n"/>
      <c r="L9" s="18">
        <f>IF($C9="",0,IF($B9="Oui",1,IF(N($D9)&gt;0,INT($D9),1)))</f>
        <v/>
      </c>
      <c r="M9" s="19">
        <f>SUM(L$6:L9)</f>
        <v/>
      </c>
      <c r="N9" s="20">
        <f>IF(AND(L9&gt;0,B9&lt;&gt;"Oui",K9="Oui"),L9*(N(E9)*N('3 Options'!$C$15)+N(F9)*N('3 Options'!$C$16)+N(G9)),0)</f>
        <v/>
      </c>
    </row>
    <row r="10" ht="21" customHeight="1">
      <c r="A10" s="14">
        <f>IF(AND(L10&gt;0,B10&lt;&gt;"Oui"),COUNTIFS(L$6:L10,"&gt;0",B$6:B10,"&lt;&gt;Oui"),"")</f>
        <v/>
      </c>
      <c r="B10" s="15" t="n"/>
      <c r="C10" s="8" t="inlineStr">
        <is>
          <t>XO 3-1/2" IF Box x 2-7/8" EU Pin</t>
        </is>
      </c>
      <c r="D10" s="16" t="n">
        <v>1</v>
      </c>
      <c r="E10" s="17" t="n">
        <v>20</v>
      </c>
      <c r="F10" s="17" t="n">
        <v>30</v>
      </c>
      <c r="G10" s="17" t="n">
        <v>10</v>
      </c>
      <c r="H10" s="17" t="n">
        <v>900</v>
      </c>
      <c r="I10" s="17" t="n">
        <v>60</v>
      </c>
      <c r="J10" s="17" t="n">
        <v>150</v>
      </c>
      <c r="K10" s="15" t="inlineStr">
        <is>
          <t>Non</t>
        </is>
      </c>
      <c r="L10" s="18">
        <f>IF($C10="",0,IF($B10="Oui",1,IF(N($D10)&gt;0,INT($D10),1)))</f>
        <v/>
      </c>
      <c r="M10" s="19">
        <f>SUM(L$6:L10)</f>
        <v/>
      </c>
      <c r="N10" s="20">
        <f>IF(AND(L10&gt;0,B10&lt;&gt;"Oui",K10="Oui"),L10*(N(E10)*N('3 Options'!$C$15)+N(F10)*N('3 Options'!$C$16)+N(G10)),0)</f>
        <v/>
      </c>
    </row>
    <row r="11" ht="21" customHeight="1">
      <c r="A11" s="14">
        <f>IF(AND(L11&gt;0,B11&lt;&gt;"Oui"),COUNTIFS(L$6:L11,"&gt;0",B$6:B11,"&lt;&gt;Oui"),"")</f>
        <v/>
      </c>
      <c r="B11" s="15" t="n"/>
      <c r="C11" s="8" t="n"/>
      <c r="D11" s="16" t="n"/>
      <c r="E11" s="17" t="n"/>
      <c r="F11" s="17" t="n"/>
      <c r="G11" s="17" t="n"/>
      <c r="H11" s="17" t="n"/>
      <c r="I11" s="17" t="n"/>
      <c r="J11" s="17" t="n"/>
      <c r="K11" s="15" t="n"/>
      <c r="L11" s="18">
        <f>IF($C11="",0,IF($B11="Oui",1,IF(N($D11)&gt;0,INT($D11),1)))</f>
        <v/>
      </c>
      <c r="M11" s="19">
        <f>SUM(L$6:L11)</f>
        <v/>
      </c>
      <c r="N11" s="20">
        <f>IF(AND(L11&gt;0,B11&lt;&gt;"Oui",K11="Oui"),L11*(N(E11)*N('3 Options'!$C$15)+N(F11)*N('3 Options'!$C$16)+N(G11)),0)</f>
        <v/>
      </c>
    </row>
    <row r="12" ht="21" customHeight="1">
      <c r="A12" s="14">
        <f>IF(AND(L12&gt;0,B12&lt;&gt;"Oui"),COUNTIFS(L$6:L12,"&gt;0",B$6:B12,"&lt;&gt;Oui"),"")</f>
        <v/>
      </c>
      <c r="B12" s="15" t="n"/>
      <c r="C12" s="8" t="n"/>
      <c r="D12" s="16" t="n"/>
      <c r="E12" s="17" t="n"/>
      <c r="F12" s="17" t="n"/>
      <c r="G12" s="17" t="n"/>
      <c r="H12" s="17" t="n"/>
      <c r="I12" s="17" t="n"/>
      <c r="J12" s="17" t="n"/>
      <c r="K12" s="15" t="n"/>
      <c r="L12" s="18">
        <f>IF($C12="",0,IF($B12="Oui",1,IF(N($D12)&gt;0,INT($D12),1)))</f>
        <v/>
      </c>
      <c r="M12" s="19">
        <f>SUM(L$6:L12)</f>
        <v/>
      </c>
      <c r="N12" s="20">
        <f>IF(AND(L12&gt;0,B12&lt;&gt;"Oui",K12="Oui"),L12*(N(E12)*N('3 Options'!$C$15)+N(F12)*N('3 Options'!$C$16)+N(G12)),0)</f>
        <v/>
      </c>
    </row>
    <row r="13" ht="21" customHeight="1">
      <c r="A13" s="14">
        <f>IF(AND(L13&gt;0,B13&lt;&gt;"Oui"),COUNTIFS(L$6:L13,"&gt;0",B$6:B13,"&lt;&gt;Oui"),"")</f>
        <v/>
      </c>
      <c r="B13" s="15" t="n"/>
      <c r="C13" s="8" t="n"/>
      <c r="D13" s="16" t="n"/>
      <c r="E13" s="17" t="n"/>
      <c r="F13" s="17" t="n"/>
      <c r="G13" s="17" t="n"/>
      <c r="H13" s="17" t="n"/>
      <c r="I13" s="17" t="n"/>
      <c r="J13" s="17" t="n"/>
      <c r="K13" s="15" t="n"/>
      <c r="L13" s="18">
        <f>IF($C13="",0,IF($B13="Oui",1,IF(N($D13)&gt;0,INT($D13),1)))</f>
        <v/>
      </c>
      <c r="M13" s="19">
        <f>SUM(L$6:L13)</f>
        <v/>
      </c>
      <c r="N13" s="20">
        <f>IF(AND(L13&gt;0,B13&lt;&gt;"Oui",K13="Oui"),L13*(N(E13)*N('3 Options'!$C$15)+N(F13)*N('3 Options'!$C$16)+N(G13)),0)</f>
        <v/>
      </c>
    </row>
    <row r="14" ht="21" customHeight="1">
      <c r="A14" s="14">
        <f>IF(AND(L14&gt;0,B14&lt;&gt;"Oui"),COUNTIFS(L$6:L14,"&gt;0",B$6:B14,"&lt;&gt;Oui"),"")</f>
        <v/>
      </c>
      <c r="B14" s="15" t="n"/>
      <c r="C14" s="8" t="n"/>
      <c r="D14" s="16" t="n"/>
      <c r="E14" s="17" t="n"/>
      <c r="F14" s="17" t="n"/>
      <c r="G14" s="17" t="n"/>
      <c r="H14" s="17" t="n"/>
      <c r="I14" s="17" t="n"/>
      <c r="J14" s="17" t="n"/>
      <c r="K14" s="15" t="n"/>
      <c r="L14" s="18">
        <f>IF($C14="",0,IF($B14="Oui",1,IF(N($D14)&gt;0,INT($D14),1)))</f>
        <v/>
      </c>
      <c r="M14" s="19">
        <f>SUM(L$6:L14)</f>
        <v/>
      </c>
      <c r="N14" s="20">
        <f>IF(AND(L14&gt;0,B14&lt;&gt;"Oui",K14="Oui"),L14*(N(E14)*N('3 Options'!$C$15)+N(F14)*N('3 Options'!$C$16)+N(G14)),0)</f>
        <v/>
      </c>
    </row>
    <row r="15" ht="21" customHeight="1">
      <c r="A15" s="14">
        <f>IF(AND(L15&gt;0,B15&lt;&gt;"Oui"),COUNTIFS(L$6:L15,"&gt;0",B$6:B15,"&lt;&gt;Oui"),"")</f>
        <v/>
      </c>
      <c r="B15" s="15" t="n"/>
      <c r="C15" s="8" t="n"/>
      <c r="D15" s="16" t="n"/>
      <c r="E15" s="17" t="n"/>
      <c r="F15" s="17" t="n"/>
      <c r="G15" s="17" t="n"/>
      <c r="H15" s="17" t="n"/>
      <c r="I15" s="17" t="n"/>
      <c r="J15" s="17" t="n"/>
      <c r="K15" s="15" t="n"/>
      <c r="L15" s="18">
        <f>IF($C15="",0,IF($B15="Oui",1,IF(N($D15)&gt;0,INT($D15),1)))</f>
        <v/>
      </c>
      <c r="M15" s="19">
        <f>SUM(L$6:L15)</f>
        <v/>
      </c>
      <c r="N15" s="20">
        <f>IF(AND(L15&gt;0,B15&lt;&gt;"Oui",K15="Oui"),L15*(N(E15)*N('3 Options'!$C$15)+N(F15)*N('3 Options'!$C$16)+N(G15)),0)</f>
        <v/>
      </c>
    </row>
    <row r="16" ht="21" customHeight="1">
      <c r="A16" s="14">
        <f>IF(AND(L16&gt;0,B16&lt;&gt;"Oui"),COUNTIFS(L$6:L16,"&gt;0",B$6:B16,"&lt;&gt;Oui"),"")</f>
        <v/>
      </c>
      <c r="B16" s="15" t="n"/>
      <c r="C16" s="8" t="n"/>
      <c r="D16" s="16" t="n"/>
      <c r="E16" s="17" t="n"/>
      <c r="F16" s="17" t="n"/>
      <c r="G16" s="17" t="n"/>
      <c r="H16" s="17" t="n"/>
      <c r="I16" s="17" t="n"/>
      <c r="J16" s="17" t="n"/>
      <c r="K16" s="15" t="n"/>
      <c r="L16" s="18">
        <f>IF($C16="",0,IF($B16="Oui",1,IF(N($D16)&gt;0,INT($D16),1)))</f>
        <v/>
      </c>
      <c r="M16" s="19">
        <f>SUM(L$6:L16)</f>
        <v/>
      </c>
      <c r="N16" s="20">
        <f>IF(AND(L16&gt;0,B16&lt;&gt;"Oui",K16="Oui"),L16*(N(E16)*N('3 Options'!$C$15)+N(F16)*N('3 Options'!$C$16)+N(G16)),0)</f>
        <v/>
      </c>
    </row>
    <row r="17" ht="21" customHeight="1">
      <c r="A17" s="14">
        <f>IF(AND(L17&gt;0,B17&lt;&gt;"Oui"),COUNTIFS(L$6:L17,"&gt;0",B$6:B17,"&lt;&gt;Oui"),"")</f>
        <v/>
      </c>
      <c r="B17" s="15" t="n"/>
      <c r="C17" s="8" t="n"/>
      <c r="D17" s="16" t="n"/>
      <c r="E17" s="17" t="n"/>
      <c r="F17" s="17" t="n"/>
      <c r="G17" s="17" t="n"/>
      <c r="H17" s="17" t="n"/>
      <c r="I17" s="17" t="n"/>
      <c r="J17" s="17" t="n"/>
      <c r="K17" s="15" t="n"/>
      <c r="L17" s="18">
        <f>IF($C17="",0,IF($B17="Oui",1,IF(N($D17)&gt;0,INT($D17),1)))</f>
        <v/>
      </c>
      <c r="M17" s="19">
        <f>SUM(L$6:L17)</f>
        <v/>
      </c>
      <c r="N17" s="20">
        <f>IF(AND(L17&gt;0,B17&lt;&gt;"Oui",K17="Oui"),L17*(N(E17)*N('3 Options'!$C$15)+N(F17)*N('3 Options'!$C$16)+N(G17)),0)</f>
        <v/>
      </c>
    </row>
    <row r="18" ht="21" customHeight="1">
      <c r="A18" s="14">
        <f>IF(AND(L18&gt;0,B18&lt;&gt;"Oui"),COUNTIFS(L$6:L18,"&gt;0",B$6:B18,"&lt;&gt;Oui"),"")</f>
        <v/>
      </c>
      <c r="B18" s="15" t="n"/>
      <c r="C18" s="8" t="n"/>
      <c r="D18" s="16" t="n"/>
      <c r="E18" s="17" t="n"/>
      <c r="F18" s="17" t="n"/>
      <c r="G18" s="17" t="n"/>
      <c r="H18" s="17" t="n"/>
      <c r="I18" s="17" t="n"/>
      <c r="J18" s="17" t="n"/>
      <c r="K18" s="15" t="n"/>
      <c r="L18" s="18">
        <f>IF($C18="",0,IF($B18="Oui",1,IF(N($D18)&gt;0,INT($D18),1)))</f>
        <v/>
      </c>
      <c r="M18" s="19">
        <f>SUM(L$6:L18)</f>
        <v/>
      </c>
      <c r="N18" s="20">
        <f>IF(AND(L18&gt;0,B18&lt;&gt;"Oui",K18="Oui"),L18*(N(E18)*N('3 Options'!$C$15)+N(F18)*N('3 Options'!$C$16)+N(G18)),0)</f>
        <v/>
      </c>
    </row>
    <row r="19" ht="21" customHeight="1">
      <c r="A19" s="14">
        <f>IF(AND(L19&gt;0,B19&lt;&gt;"Oui"),COUNTIFS(L$6:L19,"&gt;0",B$6:B19,"&lt;&gt;Oui"),"")</f>
        <v/>
      </c>
      <c r="B19" s="15" t="n"/>
      <c r="C19" s="8" t="n"/>
      <c r="D19" s="16" t="n"/>
      <c r="E19" s="17" t="n"/>
      <c r="F19" s="17" t="n"/>
      <c r="G19" s="17" t="n"/>
      <c r="H19" s="17" t="n"/>
      <c r="I19" s="17" t="n"/>
      <c r="J19" s="17" t="n"/>
      <c r="K19" s="15" t="n"/>
      <c r="L19" s="18">
        <f>IF($C19="",0,IF($B19="Oui",1,IF(N($D19)&gt;0,INT($D19),1)))</f>
        <v/>
      </c>
      <c r="M19" s="19">
        <f>SUM(L$6:L19)</f>
        <v/>
      </c>
      <c r="N19" s="20">
        <f>IF(AND(L19&gt;0,B19&lt;&gt;"Oui",K19="Oui"),L19*(N(E19)*N('3 Options'!$C$15)+N(F19)*N('3 Options'!$C$16)+N(G19)),0)</f>
        <v/>
      </c>
    </row>
    <row r="20" ht="21" customHeight="1">
      <c r="A20" s="14">
        <f>IF(AND(L20&gt;0,B20&lt;&gt;"Oui"),COUNTIFS(L$6:L20,"&gt;0",B$6:B20,"&lt;&gt;Oui"),"")</f>
        <v/>
      </c>
      <c r="B20" s="15" t="n"/>
      <c r="C20" s="8" t="n"/>
      <c r="D20" s="16" t="n"/>
      <c r="E20" s="17" t="n"/>
      <c r="F20" s="17" t="n"/>
      <c r="G20" s="17" t="n"/>
      <c r="H20" s="17" t="n"/>
      <c r="I20" s="17" t="n"/>
      <c r="J20" s="17" t="n"/>
      <c r="K20" s="15" t="n"/>
      <c r="L20" s="18">
        <f>IF($C20="",0,IF($B20="Oui",1,IF(N($D20)&gt;0,INT($D20),1)))</f>
        <v/>
      </c>
      <c r="M20" s="19">
        <f>SUM(L$6:L20)</f>
        <v/>
      </c>
      <c r="N20" s="20">
        <f>IF(AND(L20&gt;0,B20&lt;&gt;"Oui",K20="Oui"),L20*(N(E20)*N('3 Options'!$C$15)+N(F20)*N('3 Options'!$C$16)+N(G20)),0)</f>
        <v/>
      </c>
    </row>
    <row r="21" ht="21" customHeight="1">
      <c r="A21" s="14">
        <f>IF(AND(L21&gt;0,B21&lt;&gt;"Oui"),COUNTIFS(L$6:L21,"&gt;0",B$6:B21,"&lt;&gt;Oui"),"")</f>
        <v/>
      </c>
      <c r="B21" s="15" t="n"/>
      <c r="C21" s="8" t="n"/>
      <c r="D21" s="16" t="n"/>
      <c r="E21" s="17" t="n"/>
      <c r="F21" s="17" t="n"/>
      <c r="G21" s="17" t="n"/>
      <c r="H21" s="17" t="n"/>
      <c r="I21" s="17" t="n"/>
      <c r="J21" s="17" t="n"/>
      <c r="K21" s="15" t="n"/>
      <c r="L21" s="18">
        <f>IF($C21="",0,IF($B21="Oui",1,IF(N($D21)&gt;0,INT($D21),1)))</f>
        <v/>
      </c>
      <c r="M21" s="19">
        <f>SUM(L$6:L21)</f>
        <v/>
      </c>
      <c r="N21" s="20">
        <f>IF(AND(L21&gt;0,B21&lt;&gt;"Oui",K21="Oui"),L21*(N(E21)*N('3 Options'!$C$15)+N(F21)*N('3 Options'!$C$16)+N(G21)),0)</f>
        <v/>
      </c>
    </row>
    <row r="22" ht="21" customHeight="1">
      <c r="A22" s="14">
        <f>IF(AND(L22&gt;0,B22&lt;&gt;"Oui"),COUNTIFS(L$6:L22,"&gt;0",B$6:B22,"&lt;&gt;Oui"),"")</f>
        <v/>
      </c>
      <c r="B22" s="15" t="n"/>
      <c r="C22" s="8" t="n"/>
      <c r="D22" s="16" t="n"/>
      <c r="E22" s="17" t="n"/>
      <c r="F22" s="17" t="n"/>
      <c r="G22" s="17" t="n"/>
      <c r="H22" s="17" t="n"/>
      <c r="I22" s="17" t="n"/>
      <c r="J22" s="17" t="n"/>
      <c r="K22" s="15" t="n"/>
      <c r="L22" s="18">
        <f>IF($C22="",0,IF($B22="Oui",1,IF(N($D22)&gt;0,INT($D22),1)))</f>
        <v/>
      </c>
      <c r="M22" s="19">
        <f>SUM(L$6:L22)</f>
        <v/>
      </c>
      <c r="N22" s="20">
        <f>IF(AND(L22&gt;0,B22&lt;&gt;"Oui",K22="Oui"),L22*(N(E22)*N('3 Options'!$C$15)+N(F22)*N('3 Options'!$C$16)+N(G22)),0)</f>
        <v/>
      </c>
    </row>
    <row r="23" ht="21" customHeight="1">
      <c r="A23" s="14">
        <f>IF(AND(L23&gt;0,B23&lt;&gt;"Oui"),COUNTIFS(L$6:L23,"&gt;0",B$6:B23,"&lt;&gt;Oui"),"")</f>
        <v/>
      </c>
      <c r="B23" s="15" t="n"/>
      <c r="C23" s="8" t="n"/>
      <c r="D23" s="16" t="n"/>
      <c r="E23" s="17" t="n"/>
      <c r="F23" s="17" t="n"/>
      <c r="G23" s="17" t="n"/>
      <c r="H23" s="17" t="n"/>
      <c r="I23" s="17" t="n"/>
      <c r="J23" s="17" t="n"/>
      <c r="K23" s="15" t="n"/>
      <c r="L23" s="18">
        <f>IF($C23="",0,IF($B23="Oui",1,IF(N($D23)&gt;0,INT($D23),1)))</f>
        <v/>
      </c>
      <c r="M23" s="19">
        <f>SUM(L$6:L23)</f>
        <v/>
      </c>
      <c r="N23" s="20">
        <f>IF(AND(L23&gt;0,B23&lt;&gt;"Oui",K23="Oui"),L23*(N(E23)*N('3 Options'!$C$15)+N(F23)*N('3 Options'!$C$16)+N(G23)),0)</f>
        <v/>
      </c>
    </row>
    <row r="24" ht="21" customHeight="1">
      <c r="A24" s="14">
        <f>IF(AND(L24&gt;0,B24&lt;&gt;"Oui"),COUNTIFS(L$6:L24,"&gt;0",B$6:B24,"&lt;&gt;Oui"),"")</f>
        <v/>
      </c>
      <c r="B24" s="15" t="n"/>
      <c r="C24" s="8" t="n"/>
      <c r="D24" s="16" t="n"/>
      <c r="E24" s="17" t="n"/>
      <c r="F24" s="17" t="n"/>
      <c r="G24" s="17" t="n"/>
      <c r="H24" s="17" t="n"/>
      <c r="I24" s="17" t="n"/>
      <c r="J24" s="17" t="n"/>
      <c r="K24" s="15" t="n"/>
      <c r="L24" s="18">
        <f>IF($C24="",0,IF($B24="Oui",1,IF(N($D24)&gt;0,INT($D24),1)))</f>
        <v/>
      </c>
      <c r="M24" s="19">
        <f>SUM(L$6:L24)</f>
        <v/>
      </c>
      <c r="N24" s="20">
        <f>IF(AND(L24&gt;0,B24&lt;&gt;"Oui",K24="Oui"),L24*(N(E24)*N('3 Options'!$C$15)+N(F24)*N('3 Options'!$C$16)+N(G24)),0)</f>
        <v/>
      </c>
    </row>
    <row r="25" ht="21" customHeight="1">
      <c r="A25" s="14">
        <f>IF(AND(L25&gt;0,B25&lt;&gt;"Oui"),COUNTIFS(L$6:L25,"&gt;0",B$6:B25,"&lt;&gt;Oui"),"")</f>
        <v/>
      </c>
      <c r="B25" s="15" t="n"/>
      <c r="C25" s="8" t="n"/>
      <c r="D25" s="16" t="n"/>
      <c r="E25" s="17" t="n"/>
      <c r="F25" s="17" t="n"/>
      <c r="G25" s="17" t="n"/>
      <c r="H25" s="17" t="n"/>
      <c r="I25" s="17" t="n"/>
      <c r="J25" s="17" t="n"/>
      <c r="K25" s="15" t="n"/>
      <c r="L25" s="18">
        <f>IF($C25="",0,IF($B25="Oui",1,IF(N($D25)&gt;0,INT($D25),1)))</f>
        <v/>
      </c>
      <c r="M25" s="19">
        <f>SUM(L$6:L25)</f>
        <v/>
      </c>
      <c r="N25" s="20">
        <f>IF(AND(L25&gt;0,B25&lt;&gt;"Oui",K25="Oui"),L25*(N(E25)*N('3 Options'!$C$15)+N(F25)*N('3 Options'!$C$16)+N(G25)),0)</f>
        <v/>
      </c>
    </row>
    <row r="26" ht="21" customHeight="1">
      <c r="A26" s="14">
        <f>IF(AND(L26&gt;0,B26&lt;&gt;"Oui"),COUNTIFS(L$6:L26,"&gt;0",B$6:B26,"&lt;&gt;Oui"),"")</f>
        <v/>
      </c>
      <c r="B26" s="15" t="n"/>
      <c r="C26" s="8" t="n"/>
      <c r="D26" s="16" t="n"/>
      <c r="E26" s="17" t="n"/>
      <c r="F26" s="17" t="n"/>
      <c r="G26" s="17" t="n"/>
      <c r="H26" s="17" t="n"/>
      <c r="I26" s="17" t="n"/>
      <c r="J26" s="17" t="n"/>
      <c r="K26" s="15" t="n"/>
      <c r="L26" s="18">
        <f>IF($C26="",0,IF($B26="Oui",1,IF(N($D26)&gt;0,INT($D26),1)))</f>
        <v/>
      </c>
      <c r="M26" s="19">
        <f>SUM(L$6:L26)</f>
        <v/>
      </c>
      <c r="N26" s="20">
        <f>IF(AND(L26&gt;0,B26&lt;&gt;"Oui",K26="Oui"),L26*(N(E26)*N('3 Options'!$C$15)+N(F26)*N('3 Options'!$C$16)+N(G26)),0)</f>
        <v/>
      </c>
    </row>
    <row r="27" ht="21" customHeight="1">
      <c r="A27" s="14">
        <f>IF(AND(L27&gt;0,B27&lt;&gt;"Oui"),COUNTIFS(L$6:L27,"&gt;0",B$6:B27,"&lt;&gt;Oui"),"")</f>
        <v/>
      </c>
      <c r="B27" s="15" t="n"/>
      <c r="C27" s="8" t="n"/>
      <c r="D27" s="16" t="n"/>
      <c r="E27" s="17" t="n"/>
      <c r="F27" s="17" t="n"/>
      <c r="G27" s="17" t="n"/>
      <c r="H27" s="17" t="n"/>
      <c r="I27" s="17" t="n"/>
      <c r="J27" s="17" t="n"/>
      <c r="K27" s="15" t="n"/>
      <c r="L27" s="18">
        <f>IF($C27="",0,IF($B27="Oui",1,IF(N($D27)&gt;0,INT($D27),1)))</f>
        <v/>
      </c>
      <c r="M27" s="19">
        <f>SUM(L$6:L27)</f>
        <v/>
      </c>
      <c r="N27" s="20">
        <f>IF(AND(L27&gt;0,B27&lt;&gt;"Oui",K27="Oui"),L27*(N(E27)*N('3 Options'!$C$15)+N(F27)*N('3 Options'!$C$16)+N(G27)),0)</f>
        <v/>
      </c>
    </row>
    <row r="28" ht="21" customHeight="1">
      <c r="A28" s="14">
        <f>IF(AND(L28&gt;0,B28&lt;&gt;"Oui"),COUNTIFS(L$6:L28,"&gt;0",B$6:B28,"&lt;&gt;Oui"),"")</f>
        <v/>
      </c>
      <c r="B28" s="15" t="n"/>
      <c r="C28" s="8" t="n"/>
      <c r="D28" s="16" t="n"/>
      <c r="E28" s="17" t="n"/>
      <c r="F28" s="17" t="n"/>
      <c r="G28" s="17" t="n"/>
      <c r="H28" s="17" t="n"/>
      <c r="I28" s="17" t="n"/>
      <c r="J28" s="17" t="n"/>
      <c r="K28" s="15" t="n"/>
      <c r="L28" s="18">
        <f>IF($C28="",0,IF($B28="Oui",1,IF(N($D28)&gt;0,INT($D28),1)))</f>
        <v/>
      </c>
      <c r="M28" s="19">
        <f>SUM(L$6:L28)</f>
        <v/>
      </c>
      <c r="N28" s="20">
        <f>IF(AND(L28&gt;0,B28&lt;&gt;"Oui",K28="Oui"),L28*(N(E28)*N('3 Options'!$C$15)+N(F28)*N('3 Options'!$C$16)+N(G28)),0)</f>
        <v/>
      </c>
    </row>
    <row r="29" ht="21" customHeight="1">
      <c r="A29" s="14">
        <f>IF(AND(L29&gt;0,B29&lt;&gt;"Oui"),COUNTIFS(L$6:L29,"&gt;0",B$6:B29,"&lt;&gt;Oui"),"")</f>
        <v/>
      </c>
      <c r="B29" s="15" t="n"/>
      <c r="C29" s="8" t="n"/>
      <c r="D29" s="16" t="n"/>
      <c r="E29" s="17" t="n"/>
      <c r="F29" s="17" t="n"/>
      <c r="G29" s="17" t="n"/>
      <c r="H29" s="17" t="n"/>
      <c r="I29" s="17" t="n"/>
      <c r="J29" s="17" t="n"/>
      <c r="K29" s="15" t="n"/>
      <c r="L29" s="18">
        <f>IF($C29="",0,IF($B29="Oui",1,IF(N($D29)&gt;0,INT($D29),1)))</f>
        <v/>
      </c>
      <c r="M29" s="19">
        <f>SUM(L$6:L29)</f>
        <v/>
      </c>
      <c r="N29" s="20">
        <f>IF(AND(L29&gt;0,B29&lt;&gt;"Oui",K29="Oui"),L29*(N(E29)*N('3 Options'!$C$15)+N(F29)*N('3 Options'!$C$16)+N(G29)),0)</f>
        <v/>
      </c>
    </row>
    <row r="31">
      <c r="C31" s="21">
        <f>SUM(L6:L29)&amp;" ligne(s) sur la tool list  ·  "&amp;COUNTIFS(L6:L29,"&gt;0",B6:B29,"&lt;&gt;Oui")&amp;" outil(s) au devis"</f>
        <v/>
      </c>
    </row>
    <row r="32">
      <c r="C32" s="22" t="inlineStr">
        <is>
          <t>Pour la liste de matériel : copier les colonnes B à D (Bannière, Description, Qté) et les coller dans le classeur « Tool List » (sans les prix).</t>
        </is>
      </c>
    </row>
    <row r="33">
      <c r="C33" s="22" t="inlineStr">
        <is>
          <t>Le devis affiche les 14 premières lignes (les suivantes sont repliées dans l’onglet 4, avec une alerte). Colonnes grises (L à N) : calculs, ne pas modifier.</t>
        </is>
      </c>
    </row>
  </sheetData>
  <conditionalFormatting sqref="A6:K29">
    <cfRule type="expression" priority="1" dxfId="0">
      <formula>$B6="Oui"</formula>
    </cfRule>
  </conditionalFormatting>
  <dataValidations count="3">
    <dataValidation sqref="K6:K29" showDropDown="0" showInputMessage="0" showErrorMessage="1" allowBlank="1" errorTitle="Valeur" error="Choisir une valeur de la liste." type="list" errorStyle="stop">
      <formula1>=Listes!$G$2:$G$12</formula1>
    </dataValidation>
    <dataValidation sqref="B6:B29" showDropDown="0" showInputMessage="0" showErrorMessage="1" allowBlank="1" errorTitle="Valeur" error="Choisir une valeur de la liste." type="list" errorStyle="stop">
      <formula1>=Listes!$G$2:$G$12</formula1>
    </dataValidation>
    <dataValidation sqref="D6:D29" showDropDown="0" showInputMessage="0" showErrorMessage="1" allowBlank="1" error="Quantité entière entre 1 et 99." type="whole" operator="between">
      <formula1>1</formula1>
      <formula2>99</formula2>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00AEEF"/>
    <outlinePr summaryBelow="1" summaryRight="1"/>
    <pageSetUpPr fitToPage="1"/>
  </sheetPr>
  <dimension ref="A1:H24"/>
  <sheetViews>
    <sheetView showGridLines="0" workbookViewId="0">
      <pane ySplit="5" topLeftCell="A6" activePane="bottomLeft" state="frozen"/>
      <selection pane="bottomLeft" activeCell="A1" sqref="A1"/>
    </sheetView>
  </sheetViews>
  <sheetFormatPr baseColWidth="8" defaultRowHeight="15"/>
  <cols>
    <col width="2" customWidth="1" min="1" max="1"/>
    <col width="52" customWidth="1" min="2" max="2"/>
    <col width="12" customWidth="1" min="3" max="3"/>
    <col width="40" customWidth="1" min="4" max="4"/>
    <col width="9" customWidth="1" min="5" max="5"/>
    <col width="14" customWidth="1" min="6" max="6"/>
    <col width="28" customWidth="1" min="7" max="7"/>
    <col width="14" customWidth="1" min="8" max="8"/>
  </cols>
  <sheetData>
    <row r="1" ht="30" customHeight="1">
      <c r="A1" s="1" t="n"/>
      <c r="B1" s="2" t="inlineStr">
        <is>
          <t>OPTIONS ET FORFAIT</t>
        </is>
      </c>
      <c r="C1" s="1" t="n"/>
      <c r="D1" s="1" t="n"/>
      <c r="E1" s="1" t="n"/>
      <c r="F1" s="1" t="n"/>
      <c r="G1" s="1" t="n"/>
      <c r="H1" s="1" t="n"/>
    </row>
    <row r="2" ht="20" customHeight="1">
      <c r="A2" s="1" t="n"/>
      <c r="B2" s="4" t="inlineStr">
        <is>
          <t>Une option sur « Non » disparaît du devis. Serrage, transport et opérateurs s'affichent chacun dans leur bloc ; le forfait dans un bandeau final.</t>
        </is>
      </c>
      <c r="C2" s="1" t="n"/>
      <c r="D2" s="1" t="n"/>
      <c r="E2" s="1" t="n"/>
      <c r="F2" s="1" t="n"/>
      <c r="G2" s="1" t="n"/>
      <c r="H2" s="1" t="n"/>
    </row>
    <row r="3" ht="6" customHeight="1">
      <c r="A3" s="5" t="n"/>
      <c r="B3" s="5" t="n"/>
      <c r="C3" s="5" t="n"/>
      <c r="D3" s="5" t="n"/>
      <c r="E3" s="5" t="n"/>
      <c r="F3" s="5" t="n"/>
      <c r="G3" s="5" t="n"/>
      <c r="H3" s="5" t="n"/>
    </row>
    <row r="5" ht="28" customHeight="1">
      <c r="B5" s="12" t="inlineStr">
        <is>
          <t>Option</t>
        </is>
      </c>
      <c r="C5" s="12" t="inlineStr">
        <is>
          <t>Inclure ?</t>
        </is>
      </c>
      <c r="D5" s="12" t="inlineStr">
        <is>
          <t>Intitulé affiché (facultatif)</t>
        </is>
      </c>
      <c r="E5" s="12" t="inlineStr">
        <is>
          <t>Qté</t>
        </is>
      </c>
      <c r="F5" s="12" t="inlineStr">
        <is>
          <t>Prix €</t>
        </is>
      </c>
      <c r="G5" s="12" t="inlineStr">
        <is>
          <t>Unité / mode</t>
        </is>
      </c>
      <c r="H5" s="12" t="inlineStr">
        <is>
          <t>Total €</t>
        </is>
      </c>
    </row>
    <row r="6" ht="26" customHeight="1">
      <c r="B6" s="23" t="inlineStr">
        <is>
          <t>👷  Opérateur · tarif journalier</t>
        </is>
      </c>
      <c r="C6" s="15" t="inlineStr">
        <is>
          <t>Oui</t>
        </is>
      </c>
      <c r="D6" s="8" t="n"/>
      <c r="E6" s="16" t="n">
        <v>1</v>
      </c>
      <c r="F6" s="17" t="n">
        <v>750</v>
      </c>
      <c r="G6" s="15" t="inlineStr">
        <is>
          <t>€/jour/pers</t>
        </is>
      </c>
      <c r="H6" s="24">
        <f>IF(C6="Oui",IF(AND(G6="Coût réel +15 %",F6=""),0,N(E6)*N(F6)),0)</f>
        <v/>
      </c>
    </row>
    <row r="7" ht="26" customHeight="1">
      <c r="B7" s="23" t="inlineStr">
        <is>
          <t>👷  Opérateur · Mob / Demob</t>
        </is>
      </c>
      <c r="C7" s="15" t="inlineStr">
        <is>
          <t>Oui</t>
        </is>
      </c>
      <c r="D7" s="8" t="n"/>
      <c r="E7" s="16" t="n">
        <v>1</v>
      </c>
      <c r="F7" s="17" t="n">
        <v>300</v>
      </c>
      <c r="G7" s="15" t="inlineStr">
        <is>
          <t>€/pers</t>
        </is>
      </c>
      <c r="H7" s="24">
        <f>IF(C7="Oui",IF(AND(G7="Coût réel +15 %",F7=""),0,N(E7)*N(F7)),0)</f>
        <v/>
      </c>
    </row>
    <row r="8" ht="26" customHeight="1">
      <c r="B8" s="23" t="inlineStr">
        <is>
          <t>🔧  Serrage · prix par serrage (Qté = nombre de serrages)</t>
        </is>
      </c>
      <c r="C8" s="15" t="inlineStr">
        <is>
          <t>Oui</t>
        </is>
      </c>
      <c r="D8" s="8" t="n"/>
      <c r="E8" s="16" t="n">
        <v>4</v>
      </c>
      <c r="F8" s="17" t="n">
        <v>180</v>
      </c>
      <c r="G8" s="15" t="inlineStr">
        <is>
          <t>€/serrage</t>
        </is>
      </c>
      <c r="H8" s="24">
        <f>IF(C8="Oui",IF(AND(G8="Coût réel +15 %",F8=""),0,N(E8)*N(F8)),0)</f>
        <v/>
      </c>
    </row>
    <row r="9" ht="26" customHeight="1">
      <c r="B9" s="23" t="inlineStr">
        <is>
          <t>🚚  Transport MOB</t>
        </is>
      </c>
      <c r="C9" s="15" t="inlineStr">
        <is>
          <t>Oui</t>
        </is>
      </c>
      <c r="D9" s="8" t="n"/>
      <c r="E9" s="16" t="n">
        <v>1</v>
      </c>
      <c r="F9" s="17" t="n"/>
      <c r="G9" s="15" t="inlineStr">
        <is>
          <t>Coût réel +15 %</t>
        </is>
      </c>
      <c r="H9" s="24">
        <f>IF(C9="Oui",IF(AND(G9="Coût réel +15 %",F9=""),0,N(E9)*N(F9)),0)</f>
        <v/>
      </c>
    </row>
    <row r="10" ht="26" customHeight="1">
      <c r="B10" s="23" t="inlineStr">
        <is>
          <t>🚚  Transport DEMOB</t>
        </is>
      </c>
      <c r="C10" s="15" t="inlineStr">
        <is>
          <t>Oui</t>
        </is>
      </c>
      <c r="D10" s="8" t="n"/>
      <c r="E10" s="16" t="n">
        <v>1</v>
      </c>
      <c r="F10" s="17" t="n"/>
      <c r="G10" s="15" t="inlineStr">
        <is>
          <t>Coût réel +15 %</t>
        </is>
      </c>
      <c r="H10" s="24">
        <f>IF(C10="Oui",IF(AND(G10="Coût réel +15 %",F10=""),0,N(E10)*N(F10)),0)</f>
        <v/>
      </c>
    </row>
    <row r="12" ht="20" customHeight="1">
      <c r="B12" s="6" t="inlineStr">
        <is>
          <t>📦  FORFAIT · bandeau final du devis, avec son coût</t>
        </is>
      </c>
      <c r="C12" s="1" t="n"/>
      <c r="D12" s="1" t="n"/>
      <c r="E12" s="1" t="n"/>
      <c r="F12" s="1" t="n"/>
      <c r="G12" s="1" t="n"/>
      <c r="H12" s="1" t="n"/>
    </row>
    <row r="13" ht="26" customHeight="1">
      <c r="B13" s="23" t="inlineStr">
        <is>
          <t>Forfait</t>
        </is>
      </c>
      <c r="C13" s="15" t="inlineStr">
        <is>
          <t>Oui</t>
        </is>
      </c>
      <c r="D13" s="8" t="n"/>
      <c r="E13" s="16" t="n">
        <v>1</v>
      </c>
      <c r="F13" s="17" t="n"/>
      <c r="G13" s="15" t="inlineStr">
        <is>
          <t>Forfait calculé (S + O + UC)</t>
        </is>
      </c>
      <c r="H13" s="24">
        <f>IF(C13="Oui",IF(G13="Forfait calculé (S + O + UC)",IF(F13&lt;&gt;"",F13,C17+IF(AND(C19="Oui",C8="Oui"),H8,0)+IF(C20="Oui",IF(C9="Oui",H9,0)+IF(C10="Oui",H10,0),0)),N(E13)*N(F13)),0)</f>
        <v/>
      </c>
    </row>
    <row r="14" ht="30" customHeight="1">
      <c r="B14" s="7" t="inlineStr">
        <is>
          <t>Périmètre affiché sous le forfait</t>
        </is>
      </c>
      <c r="D14" s="8" t="inlineStr">
        <is>
          <t>Location du stabilisateur et des 3 XO</t>
        </is>
      </c>
      <c r="E14" s="25" t="n"/>
      <c r="F14" s="25" t="n"/>
      <c r="G14" s="25" t="n"/>
      <c r="H14" s="25" t="n"/>
    </row>
    <row r="15">
      <c r="B15" s="7" t="inlineStr">
        <is>
          <t>Forfait calculé · jours de stand-by (S)</t>
        </is>
      </c>
      <c r="C15" s="16" t="n">
        <v>3</v>
      </c>
      <c r="D15" s="26" t="inlineStr">
        <is>
          <t>Forfait habituel : 3 jours de stand-by + 2 jours d’opérations + toutes les utilisations de charge (UC), sur les lignes « Inclus au forfait » de l’onglet 2. Laisser « Prix € » vide pour utiliser ce calcul (plus serrage et transport si cochés), ou saisir un prix pour le remplacer. Qté sert pour le mode « par jour » (nombre de jours).</t>
        </is>
      </c>
    </row>
    <row r="16">
      <c r="B16" s="7" t="inlineStr">
        <is>
          <t>Forfait calculé · jours d’opérations (O)</t>
        </is>
      </c>
      <c r="C16" s="16" t="n">
        <v>2</v>
      </c>
    </row>
    <row r="17">
      <c r="B17" s="7" t="inlineStr">
        <is>
          <t>Montant calculé des lignes « Inclus au forfait »</t>
        </is>
      </c>
      <c r="C17" s="27">
        <f>SUM('2 Matériel'!$N$6:$N$29)</f>
        <v/>
      </c>
    </row>
    <row r="18" ht="22" customHeight="1">
      <c r="B18" s="7" t="inlineStr">
        <is>
          <t>Afficher les prix des lignes du forfait sur le devis</t>
        </is>
      </c>
      <c r="C18" s="15" t="inlineStr">
        <is>
          <t>Non</t>
        </is>
      </c>
      <c r="D18" s="28" t="inlineStr">
        <is>
          <t>Oui : chaque ligne garde ses tarifs ; Non : « incl. ». Dans les deux cas le prix final du forfait apparaît dans le bandeau.</t>
        </is>
      </c>
    </row>
    <row r="19" ht="22" customHeight="1">
      <c r="B19" s="7" t="inlineStr">
        <is>
          <t>Inclure le serrage dans le forfait</t>
        </is>
      </c>
      <c r="C19" s="15" t="inlineStr">
        <is>
          <t>Oui</t>
        </is>
      </c>
      <c r="D19" s="28" t="inlineStr">
        <is>
          <t>Le prix du serrage s’ajoute au montant calculé du forfait.</t>
        </is>
      </c>
    </row>
    <row r="20" ht="22" customHeight="1">
      <c r="B20" s="7" t="inlineStr">
        <is>
          <t>Inclure le transport dans le forfait</t>
        </is>
      </c>
      <c r="C20" s="15" t="inlineStr">
        <is>
          <t>Oui</t>
        </is>
      </c>
      <c r="D20" s="28" t="inlineStr">
        <is>
          <t>Le transport MOB et DEMOB (s’ils ont un prix forfaitaire) s’ajoute au montant calculé.</t>
        </is>
      </c>
    </row>
    <row r="22">
      <c r="B22" s="21" t="inlineStr">
        <is>
          <t>Rappels</t>
        </is>
      </c>
    </row>
    <row r="23">
      <c r="B23" s="29" t="inlineStr">
        <is>
          <t>Transport « Coût réel +15 % » : aucun montant affiché. Choisir « Forfait » pour imposer un prix.</t>
        </is>
      </c>
    </row>
    <row r="24">
      <c r="B24" s="29" t="inlineStr">
        <is>
          <t>Lignes couvertes par le forfait : mettre « Oui » dans « Inclus au forfait » (onglet 2). Elles s’affichent « incl. » sur le devis.</t>
        </is>
      </c>
    </row>
  </sheetData>
  <mergeCells count="6">
    <mergeCell ref="D20:H20"/>
    <mergeCell ref="B12:H12"/>
    <mergeCell ref="D19:H19"/>
    <mergeCell ref="D14:H14"/>
    <mergeCell ref="D15:H17"/>
    <mergeCell ref="D18:H18"/>
  </mergeCells>
  <dataValidations count="15">
    <dataValidation sqref="C6" showDropDown="0" showInputMessage="0" showErrorMessage="1" allowBlank="1" errorTitle="Valeur" error="Choisir une valeur de la liste." type="list" errorStyle="stop">
      <formula1>=Listes!$G$2:$G$12</formula1>
    </dataValidation>
    <dataValidation sqref="G6" showDropDown="0" showInputMessage="0" showErrorMessage="1" allowBlank="1" errorTitle="Valeur" error="Choisir une valeur de la liste." type="list" errorStyle="warning">
      <formula1>=Listes!$L$2:$L$12</formula1>
    </dataValidation>
    <dataValidation sqref="C7" showDropDown="0" showInputMessage="0" showErrorMessage="1" allowBlank="1" errorTitle="Valeur" error="Choisir une valeur de la liste." type="list" errorStyle="stop">
      <formula1>=Listes!$G$2:$G$12</formula1>
    </dataValidation>
    <dataValidation sqref="G7" showDropDown="0" showInputMessage="0" showErrorMessage="1" allowBlank="1" errorTitle="Valeur" error="Choisir une valeur de la liste." type="list" errorStyle="warning">
      <formula1>=Listes!$L$2:$L$12</formula1>
    </dataValidation>
    <dataValidation sqref="C8" showDropDown="0" showInputMessage="0" showErrorMessage="1" allowBlank="1" errorTitle="Valeur" error="Choisir une valeur de la liste." type="list" errorStyle="stop">
      <formula1>=Listes!$G$2:$G$12</formula1>
    </dataValidation>
    <dataValidation sqref="G8" showDropDown="0" showInputMessage="0" showErrorMessage="1" allowBlank="1" errorTitle="Valeur" error="Choisir une valeur de la liste." type="list" errorStyle="warning">
      <formula1>=Listes!$L$2:$L$12</formula1>
    </dataValidation>
    <dataValidation sqref="C9" showDropDown="0" showInputMessage="0" showErrorMessage="1" allowBlank="1" errorTitle="Valeur" error="Choisir une valeur de la liste." type="list" errorStyle="stop">
      <formula1>=Listes!$G$2:$G$12</formula1>
    </dataValidation>
    <dataValidation sqref="G9" showDropDown="0" showInputMessage="0" showErrorMessage="1" allowBlank="1" errorTitle="Valeur" error="Choisir une valeur de la liste." type="list" errorStyle="stop">
      <formula1>=Listes!$M$2:$M$12</formula1>
    </dataValidation>
    <dataValidation sqref="C10" showDropDown="0" showInputMessage="0" showErrorMessage="1" allowBlank="1" errorTitle="Valeur" error="Choisir une valeur de la liste." type="list" errorStyle="stop">
      <formula1>=Listes!$G$2:$G$12</formula1>
    </dataValidation>
    <dataValidation sqref="G10" showDropDown="0" showInputMessage="0" showErrorMessage="1" allowBlank="1" errorTitle="Valeur" error="Choisir une valeur de la liste." type="list" errorStyle="stop">
      <formula1>=Listes!$M$2:$M$12</formula1>
    </dataValidation>
    <dataValidation sqref="C13" showDropDown="0" showInputMessage="0" showErrorMessage="1" allowBlank="1" errorTitle="Valeur" error="Choisir une valeur de la liste." type="list" errorStyle="stop">
      <formula1>=Listes!$G$2:$G$12</formula1>
    </dataValidation>
    <dataValidation sqref="G13" showDropDown="0" showInputMessage="0" showErrorMessage="1" allowBlank="1" errorTitle="Valeur" error="Choisir une valeur de la liste." type="list" errorStyle="stop">
      <formula1>=Listes!$N$2:$N$12</formula1>
    </dataValidation>
    <dataValidation sqref="C18" showDropDown="0" showInputMessage="0" showErrorMessage="1" allowBlank="1" errorTitle="Valeur" error="Choisir une valeur de la liste." type="list" errorStyle="stop">
      <formula1>=Listes!$G$2:$G$12</formula1>
    </dataValidation>
    <dataValidation sqref="C19" showDropDown="0" showInputMessage="0" showErrorMessage="1" allowBlank="1" errorTitle="Valeur" error="Choisir une valeur de la liste." type="list" errorStyle="stop">
      <formula1>=Listes!$G$2:$G$12</formula1>
    </dataValidation>
    <dataValidation sqref="C20" showDropDown="0" showInputMessage="0" showErrorMessage="1" allowBlank="1" errorTitle="Valeur" error="Choisir une valeur de la liste." type="list" errorStyle="stop">
      <formula1>=Listes!$G$2:$G$12</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0A4FA0"/>
    <outlinePr summaryBelow="1" summaryRight="1"/>
    <pageSetUpPr fitToPage="1"/>
  </sheetPr>
  <dimension ref="A1:N67"/>
  <sheetViews>
    <sheetView showGridLines="0" workbookViewId="0">
      <selection activeCell="A1" sqref="A1"/>
    </sheetView>
  </sheetViews>
  <sheetFormatPr baseColWidth="8" defaultRowHeight="15"/>
  <cols>
    <col width="1.5" customWidth="1" min="1" max="1"/>
    <col width="4.5" customWidth="1" min="2" max="2"/>
    <col width="46" customWidth="1" min="3" max="3"/>
    <col width="5" customWidth="1" min="4" max="4"/>
    <col width="10" customWidth="1" min="5" max="5"/>
    <col width="10" customWidth="1" min="6" max="6"/>
    <col width="10" customWidth="1" min="7" max="7"/>
    <col width="12" customWidth="1" min="8" max="8"/>
    <col width="9.5" customWidth="1" min="9" max="9"/>
    <col width="9.5" customWidth="1" min="10" max="10"/>
    <col width="1.5" customWidth="1" min="11" max="11"/>
    <col hidden="1" width="13" customWidth="1" min="12" max="12"/>
    <col hidden="1" width="13" customWidth="1" min="13" max="13"/>
  </cols>
  <sheetData>
    <row r="1" ht="34" customHeight="1">
      <c r="A1" s="1" t="n"/>
      <c r="B1" s="1" t="n"/>
      <c r="C1" s="1" t="n"/>
      <c r="D1" s="30">
        <f>INDEX(Textes!$B$2:$C$60,MATCH("title",Textes!$A$2:$A$60,0),Listes!$H$1)</f>
        <v/>
      </c>
      <c r="K1" s="1" t="n"/>
    </row>
    <row r="2" ht="22" customHeight="1">
      <c r="A2" s="1" t="n"/>
      <c r="B2" s="1" t="n"/>
      <c r="C2" s="1" t="n"/>
      <c r="D2" s="31">
        <f>"N° "&amp;'1 Affaire'!$C$6&amp;"   ·   "&amp;IF('1 Affaire'!$C$7="","",TEXT('1 Affaire'!$C$7,"dd/mm/yyyy"))</f>
        <v/>
      </c>
      <c r="K2" s="1" t="n"/>
    </row>
    <row r="3" ht="5" customHeight="1">
      <c r="A3" s="5" t="n"/>
      <c r="B3" s="5" t="n"/>
      <c r="C3" s="5" t="n"/>
      <c r="D3" s="5" t="n"/>
      <c r="E3" s="5" t="n"/>
      <c r="F3" s="5" t="n"/>
      <c r="G3" s="5" t="n"/>
      <c r="H3" s="5" t="n"/>
      <c r="I3" s="5" t="n"/>
      <c r="J3" s="5" t="n"/>
      <c r="K3" s="5" t="n"/>
    </row>
    <row r="4" ht="8" customHeight="1"/>
    <row r="5" ht="15" customHeight="1">
      <c r="B5" s="32">
        <f>UPPER(INDEX(Textes!$B$2:$C$60,MATCH("client",Textes!$A$2:$A$60,0),Listes!$H$1))</f>
        <v/>
      </c>
      <c r="D5" s="32">
        <f>UPPER(INDEX(Textes!$B$2:$C$60,MATCH("offer",Textes!$A$2:$A$60,0),Listes!$H$1))</f>
        <v/>
      </c>
      <c r="H5" s="32">
        <f>UPPER(INDEX(Textes!$B$2:$C$60,MATCH("date",Textes!$A$2:$A$60,0),Listes!$H$1))</f>
        <v/>
      </c>
    </row>
    <row r="6" ht="19" customHeight="1">
      <c r="B6" s="33">
        <f>""&amp;'1 Affaire'!$C$8</f>
        <v/>
      </c>
      <c r="C6" s="34" t="n"/>
      <c r="D6" s="33">
        <f>""&amp;'1 Affaire'!$C$6</f>
        <v/>
      </c>
      <c r="E6" s="34" t="n"/>
      <c r="F6" s="34" t="n"/>
      <c r="G6" s="34" t="n"/>
      <c r="H6" s="33">
        <f>IF('1 Affaire'!$C$7="","",TEXT('1 Affaire'!$C$7,"dd/mm/yyyy"))</f>
        <v/>
      </c>
      <c r="I6" s="34" t="n"/>
      <c r="J6" s="34" t="n"/>
    </row>
    <row r="7" ht="15" customHeight="1">
      <c r="B7" s="32">
        <f>UPPER(INDEX(Textes!$B$2:$C$60,MATCH("attn",Textes!$A$2:$A$60,0),Listes!$H$1))</f>
        <v/>
      </c>
      <c r="D7" s="32">
        <f>UPPER(INDEX(Textes!$B$2:$C$60,MATCH("well",Textes!$A$2:$A$60,0),Listes!$H$1))</f>
        <v/>
      </c>
      <c r="H7" s="32">
        <f>UPPER(INDEX(Textes!$B$2:$C$60,MATCH("by",Textes!$A$2:$A$60,0),Listes!$H$1))</f>
        <v/>
      </c>
    </row>
    <row r="8" ht="19" customHeight="1">
      <c r="B8" s="33">
        <f>""&amp;'1 Affaire'!$C$9</f>
        <v/>
      </c>
      <c r="C8" s="34" t="n"/>
      <c r="D8" s="33">
        <f>""&amp;'1 Affaire'!$C$10</f>
        <v/>
      </c>
      <c r="E8" s="34" t="n"/>
      <c r="F8" s="34" t="n"/>
      <c r="G8" s="34" t="n"/>
      <c r="H8" s="33">
        <f>""&amp;'1 Affaire'!$F$6</f>
        <v/>
      </c>
      <c r="I8" s="34" t="n"/>
      <c r="J8" s="34" t="n"/>
    </row>
    <row r="9" ht="15" customHeight="1">
      <c r="B9" s="32">
        <f>UPPER(INDEX(Textes!$B$2:$C$60,MATCH("inco",Textes!$A$2:$A$60,0),Listes!$H$1))</f>
        <v/>
      </c>
      <c r="D9" s="32">
        <f>UPPER(INDEX(Textes!$B$2:$C$60,MATCH("valid",Textes!$A$2:$A$60,0),Listes!$H$1))</f>
        <v/>
      </c>
      <c r="H9" s="32">
        <f>UPPER(INDEX(Textes!$B$2:$C$60,MATCH("mail",Textes!$A$2:$A$60,0),Listes!$H$1))</f>
        <v/>
      </c>
    </row>
    <row r="10" ht="19" customHeight="1">
      <c r="B10" s="33">
        <f>""&amp;'1 Affaire'!$F$10</f>
        <v/>
      </c>
      <c r="C10" s="34" t="n"/>
      <c r="D10" s="33">
        <f>""&amp;'1 Affaire'!$F$9</f>
        <v/>
      </c>
      <c r="E10" s="34" t="n"/>
      <c r="F10" s="34" t="n"/>
      <c r="G10" s="34" t="n"/>
      <c r="H10" s="33">
        <f>""&amp;'1 Affaire'!$F$7</f>
        <v/>
      </c>
      <c r="I10" s="34" t="n"/>
      <c r="J10" s="34" t="n"/>
    </row>
    <row r="11" ht="15" customHeight="1">
      <c r="B11" s="32">
        <f>UPPER(INDEX(Textes!$B$2:$C$60,MATCH("pay",Textes!$A$2:$A$60,0),Listes!$H$1))</f>
        <v/>
      </c>
      <c r="D11" s="32">
        <f>UPPER(INDEX(Textes!$B$2:$C$60,MATCH("we",Textes!$A$2:$A$60,0),Listes!$H$1))</f>
        <v/>
      </c>
      <c r="H11" s="32">
        <f>UPPER(INDEX(Textes!$B$2:$C$60,MATCH("tel",Textes!$A$2:$A$60,0),Listes!$H$1))</f>
        <v/>
      </c>
    </row>
    <row r="12" ht="19" customHeight="1">
      <c r="B12" s="33">
        <f>""&amp;'1 Affaire'!$F$11</f>
        <v/>
      </c>
      <c r="C12" s="34" t="n"/>
      <c r="D12" s="33">
        <f>""&amp;'1 Affaire'!$F$12</f>
        <v/>
      </c>
      <c r="E12" s="34" t="n"/>
      <c r="F12" s="34" t="n"/>
      <c r="G12" s="34" t="n"/>
      <c r="H12" s="33">
        <f>""&amp;'1 Affaire'!$F$8</f>
        <v/>
      </c>
      <c r="I12" s="34" t="n"/>
      <c r="J12" s="34" t="n"/>
    </row>
    <row r="13" ht="14" customHeight="1">
      <c r="B13" s="35">
        <f>IF(SUBTOTAL(103,B16:B55)&lt;&gt;SUM(N16:N55),"⚠  Appuyer sur Ctrl + Alt + L pour mettre à jour les lignes du devis (matériel ou options modifiés).","")</f>
        <v/>
      </c>
    </row>
    <row r="14" ht="20" customHeight="1">
      <c r="B14" s="36">
        <f>INDEX(Textes!$B$2:$C$60,MATCH("sec_eq",Textes!$A$2:$A$60,0),Listes!$H$1)</f>
        <v/>
      </c>
      <c r="C14" s="37" t="n"/>
      <c r="D14" s="37" t="n"/>
      <c r="E14" s="37" t="n"/>
      <c r="F14" s="37" t="n"/>
      <c r="G14" s="37" t="n"/>
      <c r="H14" s="37" t="n"/>
      <c r="I14" s="37" t="n"/>
      <c r="J14" s="37" t="n"/>
    </row>
    <row r="15" ht="46" customHeight="1">
      <c r="B15" s="38">
        <f>INDEX(Textes!$B$2:$C$60,MATCH("h_n",Textes!$A$2:$A$60,0),Listes!$H$1)</f>
        <v/>
      </c>
      <c r="C15" s="39">
        <f>INDEX(Textes!$B$2:$C$60,MATCH("h_desc",Textes!$A$2:$A$60,0),Listes!$H$1)</f>
        <v/>
      </c>
      <c r="D15" s="38">
        <f>INDEX(Textes!$B$2:$C$60,MATCH("h_qty",Textes!$A$2:$A$60,0),Listes!$H$1)</f>
        <v/>
      </c>
      <c r="E15" s="38">
        <f>INDEX(Textes!$B$2:$C$60,MATCH("h_s",Textes!$A$2:$A$60,0),Listes!$H$1)</f>
        <v/>
      </c>
      <c r="F15" s="38">
        <f>INDEX(Textes!$B$2:$C$60,MATCH("h_o",Textes!$A$2:$A$60,0),Listes!$H$1)</f>
        <v/>
      </c>
      <c r="G15" s="38">
        <f>INDEX(Textes!$B$2:$C$60,MATCH("h_uc",Textes!$A$2:$A$60,0),Listes!$H$1)</f>
        <v/>
      </c>
      <c r="H15" s="38">
        <f>INDEX(Textes!$B$2:$C$60,MATCH("h_lih",Textes!$A$2:$A$60,0),Listes!$H$1)</f>
        <v/>
      </c>
      <c r="I15" s="38">
        <f>INDEX(Textes!$B$2:$C$60,MATCH("h_insp",Textes!$A$2:$A$60,0),Listes!$H$1)</f>
        <v/>
      </c>
      <c r="J15" s="38">
        <f>INDEX(Textes!$B$2:$C$60,MATCH("h_rest",Textes!$A$2:$A$60,0),Listes!$H$1)</f>
        <v/>
      </c>
      <c r="L15" s="40" t="inlineStr">
        <is>
          <t>pos</t>
        </is>
      </c>
      <c r="M15" s="40" t="inlineStr">
        <is>
          <t>type</t>
        </is>
      </c>
      <c r="N15" s="40" t="inlineStr">
        <is>
          <t>actif</t>
        </is>
      </c>
    </row>
    <row r="16" ht="22" customHeight="1">
      <c r="B16" s="41">
        <f>IF($L16=0,"",INDEX(Flux!$D$2:$D$35,$L16))</f>
        <v/>
      </c>
      <c r="C16" s="42">
        <f>IF($L16=0,"",INDEX(Flux!$E$2:$E$35,$L16))</f>
        <v/>
      </c>
      <c r="D16" s="43">
        <f>IF($L16=0,"",INDEX(Flux!$F$2:$F$35,$L16))</f>
        <v/>
      </c>
      <c r="E16" s="44">
        <f>IF($L16=0,"",INDEX(Flux!$G$2:$G$35,$L16))</f>
        <v/>
      </c>
      <c r="F16" s="44">
        <f>IF($L16=0,"",INDEX(Flux!$H$2:$H$35,$L16))</f>
        <v/>
      </c>
      <c r="G16" s="44">
        <f>IF($L16=0,"",INDEX(Flux!$I$2:$I$35,$L16))</f>
        <v/>
      </c>
      <c r="H16" s="44">
        <f>IF($L16=0,"",INDEX(Flux!$J$2:$J$35,$L16))</f>
        <v/>
      </c>
      <c r="I16" s="44">
        <f>IF($L16=0,"",INDEX(Flux!$K$2:$K$35,$L16))</f>
        <v/>
      </c>
      <c r="J16" s="44">
        <f>IF($L16=0,"",INDEX(Flux!$L$2:$L$35,$L16))</f>
        <v/>
      </c>
      <c r="L16" s="40">
        <f>IFERROR(MATCH(1,Flux!$B$2:$B$35,0),0)</f>
        <v/>
      </c>
      <c r="M16" s="40">
        <f>IF(L16=0,"",INDEX(Flux!$C$2:$C$35,L16))</f>
        <v/>
      </c>
      <c r="N16" s="40">
        <f>IF(L16&gt;0,1,0)</f>
        <v/>
      </c>
    </row>
    <row r="17" ht="22" customHeight="1">
      <c r="B17" s="41">
        <f>IF($L17=0,"",INDEX(Flux!$D$2:$D$35,$L17))</f>
        <v/>
      </c>
      <c r="C17" s="42">
        <f>IF($L17=0,"",INDEX(Flux!$E$2:$E$35,$L17))</f>
        <v/>
      </c>
      <c r="D17" s="43">
        <f>IF($L17=0,"",INDEX(Flux!$F$2:$F$35,$L17))</f>
        <v/>
      </c>
      <c r="E17" s="44">
        <f>IF($L17=0,"",INDEX(Flux!$G$2:$G$35,$L17))</f>
        <v/>
      </c>
      <c r="F17" s="44">
        <f>IF($L17=0,"",INDEX(Flux!$H$2:$H$35,$L17))</f>
        <v/>
      </c>
      <c r="G17" s="44">
        <f>IF($L17=0,"",INDEX(Flux!$I$2:$I$35,$L17))</f>
        <v/>
      </c>
      <c r="H17" s="44">
        <f>IF($L17=0,"",INDEX(Flux!$J$2:$J$35,$L17))</f>
        <v/>
      </c>
      <c r="I17" s="44">
        <f>IF($L17=0,"",INDEX(Flux!$K$2:$K$35,$L17))</f>
        <v/>
      </c>
      <c r="J17" s="44">
        <f>IF($L17=0,"",INDEX(Flux!$L$2:$L$35,$L17))</f>
        <v/>
      </c>
      <c r="L17" s="40">
        <f>IFERROR(MATCH(2,Flux!$B$2:$B$35,0),0)</f>
        <v/>
      </c>
      <c r="M17" s="40">
        <f>IF(L17=0,"",INDEX(Flux!$C$2:$C$35,L17))</f>
        <v/>
      </c>
      <c r="N17" s="40">
        <f>IF(L17&gt;0,1,0)</f>
        <v/>
      </c>
    </row>
    <row r="18" ht="22" customHeight="1">
      <c r="B18" s="41">
        <f>IF($L18=0,"",INDEX(Flux!$D$2:$D$35,$L18))</f>
        <v/>
      </c>
      <c r="C18" s="42">
        <f>IF($L18=0,"",INDEX(Flux!$E$2:$E$35,$L18))</f>
        <v/>
      </c>
      <c r="D18" s="43">
        <f>IF($L18=0,"",INDEX(Flux!$F$2:$F$35,$L18))</f>
        <v/>
      </c>
      <c r="E18" s="44">
        <f>IF($L18=0,"",INDEX(Flux!$G$2:$G$35,$L18))</f>
        <v/>
      </c>
      <c r="F18" s="44">
        <f>IF($L18=0,"",INDEX(Flux!$H$2:$H$35,$L18))</f>
        <v/>
      </c>
      <c r="G18" s="44">
        <f>IF($L18=0,"",INDEX(Flux!$I$2:$I$35,$L18))</f>
        <v/>
      </c>
      <c r="H18" s="44">
        <f>IF($L18=0,"",INDEX(Flux!$J$2:$J$35,$L18))</f>
        <v/>
      </c>
      <c r="I18" s="44">
        <f>IF($L18=0,"",INDEX(Flux!$K$2:$K$35,$L18))</f>
        <v/>
      </c>
      <c r="J18" s="44">
        <f>IF($L18=0,"",INDEX(Flux!$L$2:$L$35,$L18))</f>
        <v/>
      </c>
      <c r="L18" s="40">
        <f>IFERROR(MATCH(3,Flux!$B$2:$B$35,0),0)</f>
        <v/>
      </c>
      <c r="M18" s="40">
        <f>IF(L18=0,"",INDEX(Flux!$C$2:$C$35,L18))</f>
        <v/>
      </c>
      <c r="N18" s="40">
        <f>IF(L18&gt;0,1,0)</f>
        <v/>
      </c>
    </row>
    <row r="19" ht="22" customHeight="1">
      <c r="B19" s="41">
        <f>IF($L19=0,"",INDEX(Flux!$D$2:$D$35,$L19))</f>
        <v/>
      </c>
      <c r="C19" s="42">
        <f>IF($L19=0,"",INDEX(Flux!$E$2:$E$35,$L19))</f>
        <v/>
      </c>
      <c r="D19" s="43">
        <f>IF($L19=0,"",INDEX(Flux!$F$2:$F$35,$L19))</f>
        <v/>
      </c>
      <c r="E19" s="44">
        <f>IF($L19=0,"",INDEX(Flux!$G$2:$G$35,$L19))</f>
        <v/>
      </c>
      <c r="F19" s="44">
        <f>IF($L19=0,"",INDEX(Flux!$H$2:$H$35,$L19))</f>
        <v/>
      </c>
      <c r="G19" s="44">
        <f>IF($L19=0,"",INDEX(Flux!$I$2:$I$35,$L19))</f>
        <v/>
      </c>
      <c r="H19" s="44">
        <f>IF($L19=0,"",INDEX(Flux!$J$2:$J$35,$L19))</f>
        <v/>
      </c>
      <c r="I19" s="44">
        <f>IF($L19=0,"",INDEX(Flux!$K$2:$K$35,$L19))</f>
        <v/>
      </c>
      <c r="J19" s="44">
        <f>IF($L19=0,"",INDEX(Flux!$L$2:$L$35,$L19))</f>
        <v/>
      </c>
      <c r="L19" s="40">
        <f>IFERROR(MATCH(4,Flux!$B$2:$B$35,0),0)</f>
        <v/>
      </c>
      <c r="M19" s="40">
        <f>IF(L19=0,"",INDEX(Flux!$C$2:$C$35,L19))</f>
        <v/>
      </c>
      <c r="N19" s="40">
        <f>IF(L19&gt;0,1,0)</f>
        <v/>
      </c>
    </row>
    <row r="20" ht="22" customHeight="1">
      <c r="B20" s="41">
        <f>IF($L20=0,"",INDEX(Flux!$D$2:$D$35,$L20))</f>
        <v/>
      </c>
      <c r="C20" s="42">
        <f>IF($L20=0,"",INDEX(Flux!$E$2:$E$35,$L20))</f>
        <v/>
      </c>
      <c r="D20" s="43">
        <f>IF($L20=0,"",INDEX(Flux!$F$2:$F$35,$L20))</f>
        <v/>
      </c>
      <c r="E20" s="44">
        <f>IF($L20=0,"",INDEX(Flux!$G$2:$G$35,$L20))</f>
        <v/>
      </c>
      <c r="F20" s="44">
        <f>IF($L20=0,"",INDEX(Flux!$H$2:$H$35,$L20))</f>
        <v/>
      </c>
      <c r="G20" s="44">
        <f>IF($L20=0,"",INDEX(Flux!$I$2:$I$35,$L20))</f>
        <v/>
      </c>
      <c r="H20" s="44">
        <f>IF($L20=0,"",INDEX(Flux!$J$2:$J$35,$L20))</f>
        <v/>
      </c>
      <c r="I20" s="44">
        <f>IF($L20=0,"",INDEX(Flux!$K$2:$K$35,$L20))</f>
        <v/>
      </c>
      <c r="J20" s="44">
        <f>IF($L20=0,"",INDEX(Flux!$L$2:$L$35,$L20))</f>
        <v/>
      </c>
      <c r="L20" s="40">
        <f>IFERROR(MATCH(5,Flux!$B$2:$B$35,0),0)</f>
        <v/>
      </c>
      <c r="M20" s="40">
        <f>IF(L20=0,"",INDEX(Flux!$C$2:$C$35,L20))</f>
        <v/>
      </c>
      <c r="N20" s="40">
        <f>IF(L20&gt;0,1,0)</f>
        <v/>
      </c>
    </row>
    <row r="21" ht="22" customHeight="1">
      <c r="B21" s="41">
        <f>IF($L21=0,"",INDEX(Flux!$D$2:$D$35,$L21))</f>
        <v/>
      </c>
      <c r="C21" s="42">
        <f>IF($L21=0,"",INDEX(Flux!$E$2:$E$35,$L21))</f>
        <v/>
      </c>
      <c r="D21" s="43">
        <f>IF($L21=0,"",INDEX(Flux!$F$2:$F$35,$L21))</f>
        <v/>
      </c>
      <c r="E21" s="44">
        <f>IF($L21=0,"",INDEX(Flux!$G$2:$G$35,$L21))</f>
        <v/>
      </c>
      <c r="F21" s="44">
        <f>IF($L21=0,"",INDEX(Flux!$H$2:$H$35,$L21))</f>
        <v/>
      </c>
      <c r="G21" s="44">
        <f>IF($L21=0,"",INDEX(Flux!$I$2:$I$35,$L21))</f>
        <v/>
      </c>
      <c r="H21" s="44">
        <f>IF($L21=0,"",INDEX(Flux!$J$2:$J$35,$L21))</f>
        <v/>
      </c>
      <c r="I21" s="44">
        <f>IF($L21=0,"",INDEX(Flux!$K$2:$K$35,$L21))</f>
        <v/>
      </c>
      <c r="J21" s="44">
        <f>IF($L21=0,"",INDEX(Flux!$L$2:$L$35,$L21))</f>
        <v/>
      </c>
      <c r="L21" s="40">
        <f>IFERROR(MATCH(6,Flux!$B$2:$B$35,0),0)</f>
        <v/>
      </c>
      <c r="M21" s="40">
        <f>IF(L21=0,"",INDEX(Flux!$C$2:$C$35,L21))</f>
        <v/>
      </c>
      <c r="N21" s="40">
        <f>IF(L21&gt;0,1,0)</f>
        <v/>
      </c>
    </row>
    <row r="22" ht="22" customHeight="1">
      <c r="B22" s="41">
        <f>IF($L22=0,"",INDEX(Flux!$D$2:$D$35,$L22))</f>
        <v/>
      </c>
      <c r="C22" s="42">
        <f>IF($L22=0,"",INDEX(Flux!$E$2:$E$35,$L22))</f>
        <v/>
      </c>
      <c r="D22" s="43">
        <f>IF($L22=0,"",INDEX(Flux!$F$2:$F$35,$L22))</f>
        <v/>
      </c>
      <c r="E22" s="44">
        <f>IF($L22=0,"",INDEX(Flux!$G$2:$G$35,$L22))</f>
        <v/>
      </c>
      <c r="F22" s="44">
        <f>IF($L22=0,"",INDEX(Flux!$H$2:$H$35,$L22))</f>
        <v/>
      </c>
      <c r="G22" s="44">
        <f>IF($L22=0,"",INDEX(Flux!$I$2:$I$35,$L22))</f>
        <v/>
      </c>
      <c r="H22" s="44">
        <f>IF($L22=0,"",INDEX(Flux!$J$2:$J$35,$L22))</f>
        <v/>
      </c>
      <c r="I22" s="44">
        <f>IF($L22=0,"",INDEX(Flux!$K$2:$K$35,$L22))</f>
        <v/>
      </c>
      <c r="J22" s="44">
        <f>IF($L22=0,"",INDEX(Flux!$L$2:$L$35,$L22))</f>
        <v/>
      </c>
      <c r="L22" s="40">
        <f>IFERROR(MATCH(7,Flux!$B$2:$B$35,0),0)</f>
        <v/>
      </c>
      <c r="M22" s="40">
        <f>IF(L22=0,"",INDEX(Flux!$C$2:$C$35,L22))</f>
        <v/>
      </c>
      <c r="N22" s="40">
        <f>IF(L22&gt;0,1,0)</f>
        <v/>
      </c>
    </row>
    <row r="23" ht="22" customHeight="1">
      <c r="B23" s="41">
        <f>IF($L23=0,"",INDEX(Flux!$D$2:$D$35,$L23))</f>
        <v/>
      </c>
      <c r="C23" s="42">
        <f>IF($L23=0,"",INDEX(Flux!$E$2:$E$35,$L23))</f>
        <v/>
      </c>
      <c r="D23" s="43">
        <f>IF($L23=0,"",INDEX(Flux!$F$2:$F$35,$L23))</f>
        <v/>
      </c>
      <c r="E23" s="44">
        <f>IF($L23=0,"",INDEX(Flux!$G$2:$G$35,$L23))</f>
        <v/>
      </c>
      <c r="F23" s="44">
        <f>IF($L23=0,"",INDEX(Flux!$H$2:$H$35,$L23))</f>
        <v/>
      </c>
      <c r="G23" s="44">
        <f>IF($L23=0,"",INDEX(Flux!$I$2:$I$35,$L23))</f>
        <v/>
      </c>
      <c r="H23" s="44">
        <f>IF($L23=0,"",INDEX(Flux!$J$2:$J$35,$L23))</f>
        <v/>
      </c>
      <c r="I23" s="44">
        <f>IF($L23=0,"",INDEX(Flux!$K$2:$K$35,$L23))</f>
        <v/>
      </c>
      <c r="J23" s="44">
        <f>IF($L23=0,"",INDEX(Flux!$L$2:$L$35,$L23))</f>
        <v/>
      </c>
      <c r="L23" s="40">
        <f>IFERROR(MATCH(8,Flux!$B$2:$B$35,0),0)</f>
        <v/>
      </c>
      <c r="M23" s="40">
        <f>IF(L23=0,"",INDEX(Flux!$C$2:$C$35,L23))</f>
        <v/>
      </c>
      <c r="N23" s="40">
        <f>IF(L23&gt;0,1,0)</f>
        <v/>
      </c>
    </row>
    <row r="24" ht="22" customHeight="1">
      <c r="B24" s="41">
        <f>IF($L24=0,"",INDEX(Flux!$D$2:$D$35,$L24))</f>
        <v/>
      </c>
      <c r="C24" s="42">
        <f>IF($L24=0,"",INDEX(Flux!$E$2:$E$35,$L24))</f>
        <v/>
      </c>
      <c r="D24" s="43">
        <f>IF($L24=0,"",INDEX(Flux!$F$2:$F$35,$L24))</f>
        <v/>
      </c>
      <c r="E24" s="44">
        <f>IF($L24=0,"",INDEX(Flux!$G$2:$G$35,$L24))</f>
        <v/>
      </c>
      <c r="F24" s="44">
        <f>IF($L24=0,"",INDEX(Flux!$H$2:$H$35,$L24))</f>
        <v/>
      </c>
      <c r="G24" s="44">
        <f>IF($L24=0,"",INDEX(Flux!$I$2:$I$35,$L24))</f>
        <v/>
      </c>
      <c r="H24" s="44">
        <f>IF($L24=0,"",INDEX(Flux!$J$2:$J$35,$L24))</f>
        <v/>
      </c>
      <c r="I24" s="44">
        <f>IF($L24=0,"",INDEX(Flux!$K$2:$K$35,$L24))</f>
        <v/>
      </c>
      <c r="J24" s="44">
        <f>IF($L24=0,"",INDEX(Flux!$L$2:$L$35,$L24))</f>
        <v/>
      </c>
      <c r="L24" s="40">
        <f>IFERROR(MATCH(9,Flux!$B$2:$B$35,0),0)</f>
        <v/>
      </c>
      <c r="M24" s="40">
        <f>IF(L24=0,"",INDEX(Flux!$C$2:$C$35,L24))</f>
        <v/>
      </c>
      <c r="N24" s="40">
        <f>IF(L24&gt;0,1,0)</f>
        <v/>
      </c>
    </row>
    <row r="25" ht="22" customHeight="1">
      <c r="B25" s="41">
        <f>IF($L25=0,"",INDEX(Flux!$D$2:$D$35,$L25))</f>
        <v/>
      </c>
      <c r="C25" s="42">
        <f>IF($L25=0,"",INDEX(Flux!$E$2:$E$35,$L25))</f>
        <v/>
      </c>
      <c r="D25" s="43">
        <f>IF($L25=0,"",INDEX(Flux!$F$2:$F$35,$L25))</f>
        <v/>
      </c>
      <c r="E25" s="44">
        <f>IF($L25=0,"",INDEX(Flux!$G$2:$G$35,$L25))</f>
        <v/>
      </c>
      <c r="F25" s="44">
        <f>IF($L25=0,"",INDEX(Flux!$H$2:$H$35,$L25))</f>
        <v/>
      </c>
      <c r="G25" s="44">
        <f>IF($L25=0,"",INDEX(Flux!$I$2:$I$35,$L25))</f>
        <v/>
      </c>
      <c r="H25" s="44">
        <f>IF($L25=0,"",INDEX(Flux!$J$2:$J$35,$L25))</f>
        <v/>
      </c>
      <c r="I25" s="44">
        <f>IF($L25=0,"",INDEX(Flux!$K$2:$K$35,$L25))</f>
        <v/>
      </c>
      <c r="J25" s="44">
        <f>IF($L25=0,"",INDEX(Flux!$L$2:$L$35,$L25))</f>
        <v/>
      </c>
      <c r="L25" s="40">
        <f>IFERROR(MATCH(10,Flux!$B$2:$B$35,0),0)</f>
        <v/>
      </c>
      <c r="M25" s="40">
        <f>IF(L25=0,"",INDEX(Flux!$C$2:$C$35,L25))</f>
        <v/>
      </c>
      <c r="N25" s="40">
        <f>IF(L25&gt;0,1,0)</f>
        <v/>
      </c>
    </row>
    <row r="26" ht="22" customHeight="1">
      <c r="B26" s="41">
        <f>IF($L26=0,"",INDEX(Flux!$D$2:$D$35,$L26))</f>
        <v/>
      </c>
      <c r="C26" s="42">
        <f>IF($L26=0,"",INDEX(Flux!$E$2:$E$35,$L26))</f>
        <v/>
      </c>
      <c r="D26" s="43">
        <f>IF($L26=0,"",INDEX(Flux!$F$2:$F$35,$L26))</f>
        <v/>
      </c>
      <c r="E26" s="44">
        <f>IF($L26=0,"",INDEX(Flux!$G$2:$G$35,$L26))</f>
        <v/>
      </c>
      <c r="F26" s="44">
        <f>IF($L26=0,"",INDEX(Flux!$H$2:$H$35,$L26))</f>
        <v/>
      </c>
      <c r="G26" s="44">
        <f>IF($L26=0,"",INDEX(Flux!$I$2:$I$35,$L26))</f>
        <v/>
      </c>
      <c r="H26" s="44">
        <f>IF($L26=0,"",INDEX(Flux!$J$2:$J$35,$L26))</f>
        <v/>
      </c>
      <c r="I26" s="44">
        <f>IF($L26=0,"",INDEX(Flux!$K$2:$K$35,$L26))</f>
        <v/>
      </c>
      <c r="J26" s="44">
        <f>IF($L26=0,"",INDEX(Flux!$L$2:$L$35,$L26))</f>
        <v/>
      </c>
      <c r="L26" s="40">
        <f>IFERROR(MATCH(11,Flux!$B$2:$B$35,0),0)</f>
        <v/>
      </c>
      <c r="M26" s="40">
        <f>IF(L26=0,"",INDEX(Flux!$C$2:$C$35,L26))</f>
        <v/>
      </c>
      <c r="N26" s="40">
        <f>IF(L26&gt;0,1,0)</f>
        <v/>
      </c>
    </row>
    <row r="27" ht="22" customHeight="1">
      <c r="B27" s="41">
        <f>IF($L27=0,"",INDEX(Flux!$D$2:$D$35,$L27))</f>
        <v/>
      </c>
      <c r="C27" s="42">
        <f>IF($L27=0,"",INDEX(Flux!$E$2:$E$35,$L27))</f>
        <v/>
      </c>
      <c r="D27" s="43">
        <f>IF($L27=0,"",INDEX(Flux!$F$2:$F$35,$L27))</f>
        <v/>
      </c>
      <c r="E27" s="44">
        <f>IF($L27=0,"",INDEX(Flux!$G$2:$G$35,$L27))</f>
        <v/>
      </c>
      <c r="F27" s="44">
        <f>IF($L27=0,"",INDEX(Flux!$H$2:$H$35,$L27))</f>
        <v/>
      </c>
      <c r="G27" s="44">
        <f>IF($L27=0,"",INDEX(Flux!$I$2:$I$35,$L27))</f>
        <v/>
      </c>
      <c r="H27" s="44">
        <f>IF($L27=0,"",INDEX(Flux!$J$2:$J$35,$L27))</f>
        <v/>
      </c>
      <c r="I27" s="44">
        <f>IF($L27=0,"",INDEX(Flux!$K$2:$K$35,$L27))</f>
        <v/>
      </c>
      <c r="J27" s="44">
        <f>IF($L27=0,"",INDEX(Flux!$L$2:$L$35,$L27))</f>
        <v/>
      </c>
      <c r="L27" s="40">
        <f>IFERROR(MATCH(12,Flux!$B$2:$B$35,0),0)</f>
        <v/>
      </c>
      <c r="M27" s="40">
        <f>IF(L27=0,"",INDEX(Flux!$C$2:$C$35,L27))</f>
        <v/>
      </c>
      <c r="N27" s="40">
        <f>IF(L27&gt;0,1,0)</f>
        <v/>
      </c>
    </row>
    <row r="28" ht="22" customHeight="1">
      <c r="B28" s="41">
        <f>IF($L28=0,"",INDEX(Flux!$D$2:$D$35,$L28))</f>
        <v/>
      </c>
      <c r="C28" s="42">
        <f>IF($L28=0,"",INDEX(Flux!$E$2:$E$35,$L28))</f>
        <v/>
      </c>
      <c r="D28" s="43">
        <f>IF($L28=0,"",INDEX(Flux!$F$2:$F$35,$L28))</f>
        <v/>
      </c>
      <c r="E28" s="44">
        <f>IF($L28=0,"",INDEX(Flux!$G$2:$G$35,$L28))</f>
        <v/>
      </c>
      <c r="F28" s="44">
        <f>IF($L28=0,"",INDEX(Flux!$H$2:$H$35,$L28))</f>
        <v/>
      </c>
      <c r="G28" s="44">
        <f>IF($L28=0,"",INDEX(Flux!$I$2:$I$35,$L28))</f>
        <v/>
      </c>
      <c r="H28" s="44">
        <f>IF($L28=0,"",INDEX(Flux!$J$2:$J$35,$L28))</f>
        <v/>
      </c>
      <c r="I28" s="44">
        <f>IF($L28=0,"",INDEX(Flux!$K$2:$K$35,$L28))</f>
        <v/>
      </c>
      <c r="J28" s="44">
        <f>IF($L28=0,"",INDEX(Flux!$L$2:$L$35,$L28))</f>
        <v/>
      </c>
      <c r="L28" s="40">
        <f>IFERROR(MATCH(13,Flux!$B$2:$B$35,0),0)</f>
        <v/>
      </c>
      <c r="M28" s="40">
        <f>IF(L28=0,"",INDEX(Flux!$C$2:$C$35,L28))</f>
        <v/>
      </c>
      <c r="N28" s="40">
        <f>IF(L28&gt;0,1,0)</f>
        <v/>
      </c>
    </row>
    <row r="29" ht="22" customHeight="1">
      <c r="B29" s="41">
        <f>IF($L29=0,"",INDEX(Flux!$D$2:$D$35,$L29))</f>
        <v/>
      </c>
      <c r="C29" s="42">
        <f>IF($L29=0,"",INDEX(Flux!$E$2:$E$35,$L29))</f>
        <v/>
      </c>
      <c r="D29" s="43">
        <f>IF($L29=0,"",INDEX(Flux!$F$2:$F$35,$L29))</f>
        <v/>
      </c>
      <c r="E29" s="44">
        <f>IF($L29=0,"",INDEX(Flux!$G$2:$G$35,$L29))</f>
        <v/>
      </c>
      <c r="F29" s="44">
        <f>IF($L29=0,"",INDEX(Flux!$H$2:$H$35,$L29))</f>
        <v/>
      </c>
      <c r="G29" s="44">
        <f>IF($L29=0,"",INDEX(Flux!$I$2:$I$35,$L29))</f>
        <v/>
      </c>
      <c r="H29" s="44">
        <f>IF($L29=0,"",INDEX(Flux!$J$2:$J$35,$L29))</f>
        <v/>
      </c>
      <c r="I29" s="44">
        <f>IF($L29=0,"",INDEX(Flux!$K$2:$K$35,$L29))</f>
        <v/>
      </c>
      <c r="J29" s="44">
        <f>IF($L29=0,"",INDEX(Flux!$L$2:$L$35,$L29))</f>
        <v/>
      </c>
      <c r="L29" s="40">
        <f>IFERROR(MATCH(14,Flux!$B$2:$B$35,0),0)</f>
        <v/>
      </c>
      <c r="M29" s="40">
        <f>IF(L29=0,"",INDEX(Flux!$C$2:$C$35,L29))</f>
        <v/>
      </c>
      <c r="N29" s="40">
        <f>IF(L29&gt;0,1,0)</f>
        <v/>
      </c>
    </row>
    <row r="30" ht="22" customHeight="1">
      <c r="B30" s="41">
        <f>IF($L30=0,"",INDEX(Flux!$D$2:$D$35,$L30))</f>
        <v/>
      </c>
      <c r="C30" s="42">
        <f>IF($L30=0,"",INDEX(Flux!$E$2:$E$35,$L30))</f>
        <v/>
      </c>
      <c r="D30" s="43">
        <f>IF($L30=0,"",INDEX(Flux!$F$2:$F$35,$L30))</f>
        <v/>
      </c>
      <c r="E30" s="44">
        <f>IF($L30=0,"",INDEX(Flux!$G$2:$G$35,$L30))</f>
        <v/>
      </c>
      <c r="F30" s="44">
        <f>IF($L30=0,"",INDEX(Flux!$H$2:$H$35,$L30))</f>
        <v/>
      </c>
      <c r="G30" s="44">
        <f>IF($L30=0,"",INDEX(Flux!$I$2:$I$35,$L30))</f>
        <v/>
      </c>
      <c r="H30" s="44">
        <f>IF($L30=0,"",INDEX(Flux!$J$2:$J$35,$L30))</f>
        <v/>
      </c>
      <c r="I30" s="44">
        <f>IF($L30=0,"",INDEX(Flux!$K$2:$K$35,$L30))</f>
        <v/>
      </c>
      <c r="J30" s="44">
        <f>IF($L30=0,"",INDEX(Flux!$L$2:$L$35,$L30))</f>
        <v/>
      </c>
      <c r="L30" s="40">
        <f>IFERROR(MATCH(15,Flux!$B$2:$B$35,0),0)</f>
        <v/>
      </c>
      <c r="M30" s="40">
        <f>IF(L30=0,"",INDEX(Flux!$C$2:$C$35,L30))</f>
        <v/>
      </c>
      <c r="N30" s="40">
        <f>IF(L30&gt;0,1,0)</f>
        <v/>
      </c>
    </row>
    <row r="31" hidden="1" ht="22" customHeight="1">
      <c r="B31" s="41">
        <f>IF($L31=0,"",INDEX(Flux!$D$2:$D$35,$L31))</f>
        <v/>
      </c>
      <c r="C31" s="42">
        <f>IF($L31=0,"",INDEX(Flux!$E$2:$E$35,$L31))</f>
        <v/>
      </c>
      <c r="D31" s="43">
        <f>IF($L31=0,"",INDEX(Flux!$F$2:$F$35,$L31))</f>
        <v/>
      </c>
      <c r="E31" s="44">
        <f>IF($L31=0,"",INDEX(Flux!$G$2:$G$35,$L31))</f>
        <v/>
      </c>
      <c r="F31" s="44">
        <f>IF($L31=0,"",INDEX(Flux!$H$2:$H$35,$L31))</f>
        <v/>
      </c>
      <c r="G31" s="44">
        <f>IF($L31=0,"",INDEX(Flux!$I$2:$I$35,$L31))</f>
        <v/>
      </c>
      <c r="H31" s="44">
        <f>IF($L31=0,"",INDEX(Flux!$J$2:$J$35,$L31))</f>
        <v/>
      </c>
      <c r="I31" s="44">
        <f>IF($L31=0,"",INDEX(Flux!$K$2:$K$35,$L31))</f>
        <v/>
      </c>
      <c r="J31" s="44">
        <f>IF($L31=0,"",INDEX(Flux!$L$2:$L$35,$L31))</f>
        <v/>
      </c>
      <c r="L31" s="40">
        <f>IFERROR(MATCH(16,Flux!$B$2:$B$35,0),0)</f>
        <v/>
      </c>
      <c r="M31" s="40">
        <f>IF(L31=0,"",INDEX(Flux!$C$2:$C$35,L31))</f>
        <v/>
      </c>
      <c r="N31" s="40">
        <f>IF(L31&gt;0,1,0)</f>
        <v/>
      </c>
    </row>
    <row r="32" hidden="1" ht="22" customHeight="1">
      <c r="B32" s="41">
        <f>IF($L32=0,"",INDEX(Flux!$D$2:$D$35,$L32))</f>
        <v/>
      </c>
      <c r="C32" s="42">
        <f>IF($L32=0,"",INDEX(Flux!$E$2:$E$35,$L32))</f>
        <v/>
      </c>
      <c r="D32" s="43">
        <f>IF($L32=0,"",INDEX(Flux!$F$2:$F$35,$L32))</f>
        <v/>
      </c>
      <c r="E32" s="44">
        <f>IF($L32=0,"",INDEX(Flux!$G$2:$G$35,$L32))</f>
        <v/>
      </c>
      <c r="F32" s="44">
        <f>IF($L32=0,"",INDEX(Flux!$H$2:$H$35,$L32))</f>
        <v/>
      </c>
      <c r="G32" s="44">
        <f>IF($L32=0,"",INDEX(Flux!$I$2:$I$35,$L32))</f>
        <v/>
      </c>
      <c r="H32" s="44">
        <f>IF($L32=0,"",INDEX(Flux!$J$2:$J$35,$L32))</f>
        <v/>
      </c>
      <c r="I32" s="44">
        <f>IF($L32=0,"",INDEX(Flux!$K$2:$K$35,$L32))</f>
        <v/>
      </c>
      <c r="J32" s="44">
        <f>IF($L32=0,"",INDEX(Flux!$L$2:$L$35,$L32))</f>
        <v/>
      </c>
      <c r="L32" s="40">
        <f>IFERROR(MATCH(17,Flux!$B$2:$B$35,0),0)</f>
        <v/>
      </c>
      <c r="M32" s="40">
        <f>IF(L32=0,"",INDEX(Flux!$C$2:$C$35,L32))</f>
        <v/>
      </c>
      <c r="N32" s="40">
        <f>IF(L32&gt;0,1,0)</f>
        <v/>
      </c>
    </row>
    <row r="33" hidden="1" ht="22" customHeight="1">
      <c r="B33" s="41">
        <f>IF($L33=0,"",INDEX(Flux!$D$2:$D$35,$L33))</f>
        <v/>
      </c>
      <c r="C33" s="42">
        <f>IF($L33=0,"",INDEX(Flux!$E$2:$E$35,$L33))</f>
        <v/>
      </c>
      <c r="D33" s="43">
        <f>IF($L33=0,"",INDEX(Flux!$F$2:$F$35,$L33))</f>
        <v/>
      </c>
      <c r="E33" s="44">
        <f>IF($L33=0,"",INDEX(Flux!$G$2:$G$35,$L33))</f>
        <v/>
      </c>
      <c r="F33" s="44">
        <f>IF($L33=0,"",INDEX(Flux!$H$2:$H$35,$L33))</f>
        <v/>
      </c>
      <c r="G33" s="44">
        <f>IF($L33=0,"",INDEX(Flux!$I$2:$I$35,$L33))</f>
        <v/>
      </c>
      <c r="H33" s="44">
        <f>IF($L33=0,"",INDEX(Flux!$J$2:$J$35,$L33))</f>
        <v/>
      </c>
      <c r="I33" s="44">
        <f>IF($L33=0,"",INDEX(Flux!$K$2:$K$35,$L33))</f>
        <v/>
      </c>
      <c r="J33" s="44">
        <f>IF($L33=0,"",INDEX(Flux!$L$2:$L$35,$L33))</f>
        <v/>
      </c>
      <c r="L33" s="40">
        <f>IFERROR(MATCH(18,Flux!$B$2:$B$35,0),0)</f>
        <v/>
      </c>
      <c r="M33" s="40">
        <f>IF(L33=0,"",INDEX(Flux!$C$2:$C$35,L33))</f>
        <v/>
      </c>
      <c r="N33" s="40">
        <f>IF(L33&gt;0,1,0)</f>
        <v/>
      </c>
    </row>
    <row r="34" hidden="1" ht="22" customHeight="1">
      <c r="B34" s="41">
        <f>IF($L34=0,"",INDEX(Flux!$D$2:$D$35,$L34))</f>
        <v/>
      </c>
      <c r="C34" s="42">
        <f>IF($L34=0,"",INDEX(Flux!$E$2:$E$35,$L34))</f>
        <v/>
      </c>
      <c r="D34" s="43">
        <f>IF($L34=0,"",INDEX(Flux!$F$2:$F$35,$L34))</f>
        <v/>
      </c>
      <c r="E34" s="44">
        <f>IF($L34=0,"",INDEX(Flux!$G$2:$G$35,$L34))</f>
        <v/>
      </c>
      <c r="F34" s="44">
        <f>IF($L34=0,"",INDEX(Flux!$H$2:$H$35,$L34))</f>
        <v/>
      </c>
      <c r="G34" s="44">
        <f>IF($L34=0,"",INDEX(Flux!$I$2:$I$35,$L34))</f>
        <v/>
      </c>
      <c r="H34" s="44">
        <f>IF($L34=0,"",INDEX(Flux!$J$2:$J$35,$L34))</f>
        <v/>
      </c>
      <c r="I34" s="44">
        <f>IF($L34=0,"",INDEX(Flux!$K$2:$K$35,$L34))</f>
        <v/>
      </c>
      <c r="J34" s="44">
        <f>IF($L34=0,"",INDEX(Flux!$L$2:$L$35,$L34))</f>
        <v/>
      </c>
      <c r="L34" s="40">
        <f>IFERROR(MATCH(19,Flux!$B$2:$B$35,0),0)</f>
        <v/>
      </c>
      <c r="M34" s="40">
        <f>IF(L34=0,"",INDEX(Flux!$C$2:$C$35,L34))</f>
        <v/>
      </c>
      <c r="N34" s="40">
        <f>IF(L34&gt;0,1,0)</f>
        <v/>
      </c>
    </row>
    <row r="35" hidden="1" ht="22" customHeight="1">
      <c r="B35" s="41">
        <f>IF($L35=0,"",INDEX(Flux!$D$2:$D$35,$L35))</f>
        <v/>
      </c>
      <c r="C35" s="42">
        <f>IF($L35=0,"",INDEX(Flux!$E$2:$E$35,$L35))</f>
        <v/>
      </c>
      <c r="D35" s="43">
        <f>IF($L35=0,"",INDEX(Flux!$F$2:$F$35,$L35))</f>
        <v/>
      </c>
      <c r="E35" s="44">
        <f>IF($L35=0,"",INDEX(Flux!$G$2:$G$35,$L35))</f>
        <v/>
      </c>
      <c r="F35" s="44">
        <f>IF($L35=0,"",INDEX(Flux!$H$2:$H$35,$L35))</f>
        <v/>
      </c>
      <c r="G35" s="44">
        <f>IF($L35=0,"",INDEX(Flux!$I$2:$I$35,$L35))</f>
        <v/>
      </c>
      <c r="H35" s="44">
        <f>IF($L35=0,"",INDEX(Flux!$J$2:$J$35,$L35))</f>
        <v/>
      </c>
      <c r="I35" s="44">
        <f>IF($L35=0,"",INDEX(Flux!$K$2:$K$35,$L35))</f>
        <v/>
      </c>
      <c r="J35" s="44">
        <f>IF($L35=0,"",INDEX(Flux!$L$2:$L$35,$L35))</f>
        <v/>
      </c>
      <c r="L35" s="40">
        <f>IFERROR(MATCH(20,Flux!$B$2:$B$35,0),0)</f>
        <v/>
      </c>
      <c r="M35" s="40">
        <f>IF(L35=0,"",INDEX(Flux!$C$2:$C$35,L35))</f>
        <v/>
      </c>
      <c r="N35" s="40">
        <f>IF(L35&gt;0,1,0)</f>
        <v/>
      </c>
    </row>
    <row r="36" hidden="1" ht="22" customHeight="1">
      <c r="B36" s="41">
        <f>IF($L36=0,"",INDEX(Flux!$D$2:$D$35,$L36))</f>
        <v/>
      </c>
      <c r="C36" s="42">
        <f>IF($L36=0,"",INDEX(Flux!$E$2:$E$35,$L36))</f>
        <v/>
      </c>
      <c r="D36" s="43">
        <f>IF($L36=0,"",INDEX(Flux!$F$2:$F$35,$L36))</f>
        <v/>
      </c>
      <c r="E36" s="44">
        <f>IF($L36=0,"",INDEX(Flux!$G$2:$G$35,$L36))</f>
        <v/>
      </c>
      <c r="F36" s="44">
        <f>IF($L36=0,"",INDEX(Flux!$H$2:$H$35,$L36))</f>
        <v/>
      </c>
      <c r="G36" s="44">
        <f>IF($L36=0,"",INDEX(Flux!$I$2:$I$35,$L36))</f>
        <v/>
      </c>
      <c r="H36" s="44">
        <f>IF($L36=0,"",INDEX(Flux!$J$2:$J$35,$L36))</f>
        <v/>
      </c>
      <c r="I36" s="44">
        <f>IF($L36=0,"",INDEX(Flux!$K$2:$K$35,$L36))</f>
        <v/>
      </c>
      <c r="J36" s="44">
        <f>IF($L36=0,"",INDEX(Flux!$L$2:$L$35,$L36))</f>
        <v/>
      </c>
      <c r="L36" s="40">
        <f>IFERROR(MATCH(21,Flux!$B$2:$B$35,0),0)</f>
        <v/>
      </c>
      <c r="M36" s="40">
        <f>IF(L36=0,"",INDEX(Flux!$C$2:$C$35,L36))</f>
        <v/>
      </c>
      <c r="N36" s="40">
        <f>IF(L36&gt;0,1,0)</f>
        <v/>
      </c>
    </row>
    <row r="37" hidden="1" ht="22" customHeight="1">
      <c r="B37" s="41">
        <f>IF($L37=0,"",INDEX(Flux!$D$2:$D$35,$L37))</f>
        <v/>
      </c>
      <c r="C37" s="42">
        <f>IF($L37=0,"",INDEX(Flux!$E$2:$E$35,$L37))</f>
        <v/>
      </c>
      <c r="D37" s="43">
        <f>IF($L37=0,"",INDEX(Flux!$F$2:$F$35,$L37))</f>
        <v/>
      </c>
      <c r="E37" s="44">
        <f>IF($L37=0,"",INDEX(Flux!$G$2:$G$35,$L37))</f>
        <v/>
      </c>
      <c r="F37" s="44">
        <f>IF($L37=0,"",INDEX(Flux!$H$2:$H$35,$L37))</f>
        <v/>
      </c>
      <c r="G37" s="44">
        <f>IF($L37=0,"",INDEX(Flux!$I$2:$I$35,$L37))</f>
        <v/>
      </c>
      <c r="H37" s="44">
        <f>IF($L37=0,"",INDEX(Flux!$J$2:$J$35,$L37))</f>
        <v/>
      </c>
      <c r="I37" s="44">
        <f>IF($L37=0,"",INDEX(Flux!$K$2:$K$35,$L37))</f>
        <v/>
      </c>
      <c r="J37" s="44">
        <f>IF($L37=0,"",INDEX(Flux!$L$2:$L$35,$L37))</f>
        <v/>
      </c>
      <c r="L37" s="40">
        <f>IFERROR(MATCH(22,Flux!$B$2:$B$35,0),0)</f>
        <v/>
      </c>
      <c r="M37" s="40">
        <f>IF(L37=0,"",INDEX(Flux!$C$2:$C$35,L37))</f>
        <v/>
      </c>
      <c r="N37" s="40">
        <f>IF(L37&gt;0,1,0)</f>
        <v/>
      </c>
    </row>
    <row r="38" hidden="1" ht="22" customHeight="1">
      <c r="B38" s="41">
        <f>IF($L38=0,"",INDEX(Flux!$D$2:$D$35,$L38))</f>
        <v/>
      </c>
      <c r="C38" s="42">
        <f>IF($L38=0,"",INDEX(Flux!$E$2:$E$35,$L38))</f>
        <v/>
      </c>
      <c r="D38" s="43">
        <f>IF($L38=0,"",INDEX(Flux!$F$2:$F$35,$L38))</f>
        <v/>
      </c>
      <c r="E38" s="44">
        <f>IF($L38=0,"",INDEX(Flux!$G$2:$G$35,$L38))</f>
        <v/>
      </c>
      <c r="F38" s="44">
        <f>IF($L38=0,"",INDEX(Flux!$H$2:$H$35,$L38))</f>
        <v/>
      </c>
      <c r="G38" s="44">
        <f>IF($L38=0,"",INDEX(Flux!$I$2:$I$35,$L38))</f>
        <v/>
      </c>
      <c r="H38" s="44">
        <f>IF($L38=0,"",INDEX(Flux!$J$2:$J$35,$L38))</f>
        <v/>
      </c>
      <c r="I38" s="44">
        <f>IF($L38=0,"",INDEX(Flux!$K$2:$K$35,$L38))</f>
        <v/>
      </c>
      <c r="J38" s="44">
        <f>IF($L38=0,"",INDEX(Flux!$L$2:$L$35,$L38))</f>
        <v/>
      </c>
      <c r="L38" s="40">
        <f>IFERROR(MATCH(23,Flux!$B$2:$B$35,0),0)</f>
        <v/>
      </c>
      <c r="M38" s="40">
        <f>IF(L38=0,"",INDEX(Flux!$C$2:$C$35,L38))</f>
        <v/>
      </c>
      <c r="N38" s="40">
        <f>IF(L38&gt;0,1,0)</f>
        <v/>
      </c>
    </row>
    <row r="39" hidden="1" ht="22" customHeight="1">
      <c r="B39" s="41">
        <f>IF($L39=0,"",INDEX(Flux!$D$2:$D$35,$L39))</f>
        <v/>
      </c>
      <c r="C39" s="42">
        <f>IF($L39=0,"",INDEX(Flux!$E$2:$E$35,$L39))</f>
        <v/>
      </c>
      <c r="D39" s="43">
        <f>IF($L39=0,"",INDEX(Flux!$F$2:$F$35,$L39))</f>
        <v/>
      </c>
      <c r="E39" s="44">
        <f>IF($L39=0,"",INDEX(Flux!$G$2:$G$35,$L39))</f>
        <v/>
      </c>
      <c r="F39" s="44">
        <f>IF($L39=0,"",INDEX(Flux!$H$2:$H$35,$L39))</f>
        <v/>
      </c>
      <c r="G39" s="44">
        <f>IF($L39=0,"",INDEX(Flux!$I$2:$I$35,$L39))</f>
        <v/>
      </c>
      <c r="H39" s="44">
        <f>IF($L39=0,"",INDEX(Flux!$J$2:$J$35,$L39))</f>
        <v/>
      </c>
      <c r="I39" s="44">
        <f>IF($L39=0,"",INDEX(Flux!$K$2:$K$35,$L39))</f>
        <v/>
      </c>
      <c r="J39" s="44">
        <f>IF($L39=0,"",INDEX(Flux!$L$2:$L$35,$L39))</f>
        <v/>
      </c>
      <c r="L39" s="40">
        <f>IFERROR(MATCH(24,Flux!$B$2:$B$35,0),0)</f>
        <v/>
      </c>
      <c r="M39" s="40">
        <f>IF(L39=0,"",INDEX(Flux!$C$2:$C$35,L39))</f>
        <v/>
      </c>
      <c r="N39" s="40">
        <f>IF(L39&gt;0,1,0)</f>
        <v/>
      </c>
    </row>
    <row r="40" hidden="1" ht="22" customHeight="1">
      <c r="B40" s="41">
        <f>IF($L40=0,"",INDEX(Flux!$D$2:$D$35,$L40))</f>
        <v/>
      </c>
      <c r="C40" s="42">
        <f>IF($L40=0,"",INDEX(Flux!$E$2:$E$35,$L40))</f>
        <v/>
      </c>
      <c r="D40" s="43">
        <f>IF($L40=0,"",INDEX(Flux!$F$2:$F$35,$L40))</f>
        <v/>
      </c>
      <c r="E40" s="44">
        <f>IF($L40=0,"",INDEX(Flux!$G$2:$G$35,$L40))</f>
        <v/>
      </c>
      <c r="F40" s="44">
        <f>IF($L40=0,"",INDEX(Flux!$H$2:$H$35,$L40))</f>
        <v/>
      </c>
      <c r="G40" s="44">
        <f>IF($L40=0,"",INDEX(Flux!$I$2:$I$35,$L40))</f>
        <v/>
      </c>
      <c r="H40" s="44">
        <f>IF($L40=0,"",INDEX(Flux!$J$2:$J$35,$L40))</f>
        <v/>
      </c>
      <c r="I40" s="44">
        <f>IF($L40=0,"",INDEX(Flux!$K$2:$K$35,$L40))</f>
        <v/>
      </c>
      <c r="J40" s="44">
        <f>IF($L40=0,"",INDEX(Flux!$L$2:$L$35,$L40))</f>
        <v/>
      </c>
      <c r="L40" s="40">
        <f>IFERROR(MATCH(25,Flux!$B$2:$B$35,0),0)</f>
        <v/>
      </c>
      <c r="M40" s="40">
        <f>IF(L40=0,"",INDEX(Flux!$C$2:$C$35,L40))</f>
        <v/>
      </c>
      <c r="N40" s="40">
        <f>IF(L40&gt;0,1,0)</f>
        <v/>
      </c>
    </row>
    <row r="41" hidden="1" ht="22" customHeight="1">
      <c r="B41" s="41">
        <f>IF($L41=0,"",INDEX(Flux!$D$2:$D$35,$L41))</f>
        <v/>
      </c>
      <c r="C41" s="42">
        <f>IF($L41=0,"",INDEX(Flux!$E$2:$E$35,$L41))</f>
        <v/>
      </c>
      <c r="D41" s="43">
        <f>IF($L41=0,"",INDEX(Flux!$F$2:$F$35,$L41))</f>
        <v/>
      </c>
      <c r="E41" s="44">
        <f>IF($L41=0,"",INDEX(Flux!$G$2:$G$35,$L41))</f>
        <v/>
      </c>
      <c r="F41" s="44">
        <f>IF($L41=0,"",INDEX(Flux!$H$2:$H$35,$L41))</f>
        <v/>
      </c>
      <c r="G41" s="44">
        <f>IF($L41=0,"",INDEX(Flux!$I$2:$I$35,$L41))</f>
        <v/>
      </c>
      <c r="H41" s="44">
        <f>IF($L41=0,"",INDEX(Flux!$J$2:$J$35,$L41))</f>
        <v/>
      </c>
      <c r="I41" s="44">
        <f>IF($L41=0,"",INDEX(Flux!$K$2:$K$35,$L41))</f>
        <v/>
      </c>
      <c r="J41" s="44">
        <f>IF($L41=0,"",INDEX(Flux!$L$2:$L$35,$L41))</f>
        <v/>
      </c>
      <c r="L41" s="40">
        <f>IFERROR(MATCH(26,Flux!$B$2:$B$35,0),0)</f>
        <v/>
      </c>
      <c r="M41" s="40">
        <f>IF(L41=0,"",INDEX(Flux!$C$2:$C$35,L41))</f>
        <v/>
      </c>
      <c r="N41" s="40">
        <f>IF(L41&gt;0,1,0)</f>
        <v/>
      </c>
    </row>
    <row r="42" hidden="1" ht="22" customHeight="1">
      <c r="B42" s="41">
        <f>IF($L42=0,"",INDEX(Flux!$D$2:$D$35,$L42))</f>
        <v/>
      </c>
      <c r="C42" s="42">
        <f>IF($L42=0,"",INDEX(Flux!$E$2:$E$35,$L42))</f>
        <v/>
      </c>
      <c r="D42" s="43">
        <f>IF($L42=0,"",INDEX(Flux!$F$2:$F$35,$L42))</f>
        <v/>
      </c>
      <c r="E42" s="44">
        <f>IF($L42=0,"",INDEX(Flux!$G$2:$G$35,$L42))</f>
        <v/>
      </c>
      <c r="F42" s="44">
        <f>IF($L42=0,"",INDEX(Flux!$H$2:$H$35,$L42))</f>
        <v/>
      </c>
      <c r="G42" s="44">
        <f>IF($L42=0,"",INDEX(Flux!$I$2:$I$35,$L42))</f>
        <v/>
      </c>
      <c r="H42" s="44">
        <f>IF($L42=0,"",INDEX(Flux!$J$2:$J$35,$L42))</f>
        <v/>
      </c>
      <c r="I42" s="44">
        <f>IF($L42=0,"",INDEX(Flux!$K$2:$K$35,$L42))</f>
        <v/>
      </c>
      <c r="J42" s="44">
        <f>IF($L42=0,"",INDEX(Flux!$L$2:$L$35,$L42))</f>
        <v/>
      </c>
      <c r="L42" s="40">
        <f>IFERROR(MATCH(27,Flux!$B$2:$B$35,0),0)</f>
        <v/>
      </c>
      <c r="M42" s="40">
        <f>IF(L42=0,"",INDEX(Flux!$C$2:$C$35,L42))</f>
        <v/>
      </c>
      <c r="N42" s="40">
        <f>IF(L42&gt;0,1,0)</f>
        <v/>
      </c>
    </row>
    <row r="43" hidden="1" ht="22" customHeight="1">
      <c r="B43" s="41">
        <f>IF($L43=0,"",INDEX(Flux!$D$2:$D$35,$L43))</f>
        <v/>
      </c>
      <c r="C43" s="42">
        <f>IF($L43=0,"",INDEX(Flux!$E$2:$E$35,$L43))</f>
        <v/>
      </c>
      <c r="D43" s="43">
        <f>IF($L43=0,"",INDEX(Flux!$F$2:$F$35,$L43))</f>
        <v/>
      </c>
      <c r="E43" s="44">
        <f>IF($L43=0,"",INDEX(Flux!$G$2:$G$35,$L43))</f>
        <v/>
      </c>
      <c r="F43" s="44">
        <f>IF($L43=0,"",INDEX(Flux!$H$2:$H$35,$L43))</f>
        <v/>
      </c>
      <c r="G43" s="44">
        <f>IF($L43=0,"",INDEX(Flux!$I$2:$I$35,$L43))</f>
        <v/>
      </c>
      <c r="H43" s="44">
        <f>IF($L43=0,"",INDEX(Flux!$J$2:$J$35,$L43))</f>
        <v/>
      </c>
      <c r="I43" s="44">
        <f>IF($L43=0,"",INDEX(Flux!$K$2:$K$35,$L43))</f>
        <v/>
      </c>
      <c r="J43" s="44">
        <f>IF($L43=0,"",INDEX(Flux!$L$2:$L$35,$L43))</f>
        <v/>
      </c>
      <c r="L43" s="40">
        <f>IFERROR(MATCH(28,Flux!$B$2:$B$35,0),0)</f>
        <v/>
      </c>
      <c r="M43" s="40">
        <f>IF(L43=0,"",INDEX(Flux!$C$2:$C$35,L43))</f>
        <v/>
      </c>
      <c r="N43" s="40">
        <f>IF(L43&gt;0,1,0)</f>
        <v/>
      </c>
    </row>
    <row r="44" hidden="1" ht="22" customHeight="1">
      <c r="B44" s="41">
        <f>IF($L44=0,"",INDEX(Flux!$D$2:$D$35,$L44))</f>
        <v/>
      </c>
      <c r="C44" s="42">
        <f>IF($L44=0,"",INDEX(Flux!$E$2:$E$35,$L44))</f>
        <v/>
      </c>
      <c r="D44" s="43">
        <f>IF($L44=0,"",INDEX(Flux!$F$2:$F$35,$L44))</f>
        <v/>
      </c>
      <c r="E44" s="44">
        <f>IF($L44=0,"",INDEX(Flux!$G$2:$G$35,$L44))</f>
        <v/>
      </c>
      <c r="F44" s="44">
        <f>IF($L44=0,"",INDEX(Flux!$H$2:$H$35,$L44))</f>
        <v/>
      </c>
      <c r="G44" s="44">
        <f>IF($L44=0,"",INDEX(Flux!$I$2:$I$35,$L44))</f>
        <v/>
      </c>
      <c r="H44" s="44">
        <f>IF($L44=0,"",INDEX(Flux!$J$2:$J$35,$L44))</f>
        <v/>
      </c>
      <c r="I44" s="44">
        <f>IF($L44=0,"",INDEX(Flux!$K$2:$K$35,$L44))</f>
        <v/>
      </c>
      <c r="J44" s="44">
        <f>IF($L44=0,"",INDEX(Flux!$L$2:$L$35,$L44))</f>
        <v/>
      </c>
      <c r="L44" s="40">
        <f>IFERROR(MATCH(29,Flux!$B$2:$B$35,0),0)</f>
        <v/>
      </c>
      <c r="M44" s="40">
        <f>IF(L44=0,"",INDEX(Flux!$C$2:$C$35,L44))</f>
        <v/>
      </c>
      <c r="N44" s="40">
        <f>IF(L44&gt;0,1,0)</f>
        <v/>
      </c>
    </row>
    <row r="45" hidden="1" ht="22" customHeight="1">
      <c r="B45" s="41">
        <f>IF($L45=0,"",INDEX(Flux!$D$2:$D$35,$L45))</f>
        <v/>
      </c>
      <c r="C45" s="42">
        <f>IF($L45=0,"",INDEX(Flux!$E$2:$E$35,$L45))</f>
        <v/>
      </c>
      <c r="D45" s="43">
        <f>IF($L45=0,"",INDEX(Flux!$F$2:$F$35,$L45))</f>
        <v/>
      </c>
      <c r="E45" s="44">
        <f>IF($L45=0,"",INDEX(Flux!$G$2:$G$35,$L45))</f>
        <v/>
      </c>
      <c r="F45" s="44">
        <f>IF($L45=0,"",INDEX(Flux!$H$2:$H$35,$L45))</f>
        <v/>
      </c>
      <c r="G45" s="44">
        <f>IF($L45=0,"",INDEX(Flux!$I$2:$I$35,$L45))</f>
        <v/>
      </c>
      <c r="H45" s="44">
        <f>IF($L45=0,"",INDEX(Flux!$J$2:$J$35,$L45))</f>
        <v/>
      </c>
      <c r="I45" s="44">
        <f>IF($L45=0,"",INDEX(Flux!$K$2:$K$35,$L45))</f>
        <v/>
      </c>
      <c r="J45" s="44">
        <f>IF($L45=0,"",INDEX(Flux!$L$2:$L$35,$L45))</f>
        <v/>
      </c>
      <c r="L45" s="40">
        <f>IFERROR(MATCH(30,Flux!$B$2:$B$35,0),0)</f>
        <v/>
      </c>
      <c r="M45" s="40">
        <f>IF(L45=0,"",INDEX(Flux!$C$2:$C$35,L45))</f>
        <v/>
      </c>
      <c r="N45" s="40">
        <f>IF(L45&gt;0,1,0)</f>
        <v/>
      </c>
    </row>
    <row r="46" hidden="1" ht="22" customHeight="1">
      <c r="B46" s="41">
        <f>IF($L46=0,"",INDEX(Flux!$D$2:$D$35,$L46))</f>
        <v/>
      </c>
      <c r="C46" s="42">
        <f>IF($L46=0,"",INDEX(Flux!$E$2:$E$35,$L46))</f>
        <v/>
      </c>
      <c r="D46" s="43">
        <f>IF($L46=0,"",INDEX(Flux!$F$2:$F$35,$L46))</f>
        <v/>
      </c>
      <c r="E46" s="44">
        <f>IF($L46=0,"",INDEX(Flux!$G$2:$G$35,$L46))</f>
        <v/>
      </c>
      <c r="F46" s="44">
        <f>IF($L46=0,"",INDEX(Flux!$H$2:$H$35,$L46))</f>
        <v/>
      </c>
      <c r="G46" s="44">
        <f>IF($L46=0,"",INDEX(Flux!$I$2:$I$35,$L46))</f>
        <v/>
      </c>
      <c r="H46" s="44">
        <f>IF($L46=0,"",INDEX(Flux!$J$2:$J$35,$L46))</f>
        <v/>
      </c>
      <c r="I46" s="44">
        <f>IF($L46=0,"",INDEX(Flux!$K$2:$K$35,$L46))</f>
        <v/>
      </c>
      <c r="J46" s="44">
        <f>IF($L46=0,"",INDEX(Flux!$L$2:$L$35,$L46))</f>
        <v/>
      </c>
      <c r="L46" s="40">
        <f>IFERROR(MATCH(31,Flux!$B$2:$B$35,0),0)</f>
        <v/>
      </c>
      <c r="M46" s="40">
        <f>IF(L46=0,"",INDEX(Flux!$C$2:$C$35,L46))</f>
        <v/>
      </c>
      <c r="N46" s="40">
        <f>IF(L46&gt;0,1,0)</f>
        <v/>
      </c>
    </row>
    <row r="47" hidden="1" ht="22" customHeight="1">
      <c r="B47" s="41">
        <f>IF($L47=0,"",INDEX(Flux!$D$2:$D$35,$L47))</f>
        <v/>
      </c>
      <c r="C47" s="42">
        <f>IF($L47=0,"",INDEX(Flux!$E$2:$E$35,$L47))</f>
        <v/>
      </c>
      <c r="D47" s="43">
        <f>IF($L47=0,"",INDEX(Flux!$F$2:$F$35,$L47))</f>
        <v/>
      </c>
      <c r="E47" s="44">
        <f>IF($L47=0,"",INDEX(Flux!$G$2:$G$35,$L47))</f>
        <v/>
      </c>
      <c r="F47" s="44">
        <f>IF($L47=0,"",INDEX(Flux!$H$2:$H$35,$L47))</f>
        <v/>
      </c>
      <c r="G47" s="44">
        <f>IF($L47=0,"",INDEX(Flux!$I$2:$I$35,$L47))</f>
        <v/>
      </c>
      <c r="H47" s="44">
        <f>IF($L47=0,"",INDEX(Flux!$J$2:$J$35,$L47))</f>
        <v/>
      </c>
      <c r="I47" s="44">
        <f>IF($L47=0,"",INDEX(Flux!$K$2:$K$35,$L47))</f>
        <v/>
      </c>
      <c r="J47" s="44">
        <f>IF($L47=0,"",INDEX(Flux!$L$2:$L$35,$L47))</f>
        <v/>
      </c>
      <c r="L47" s="40">
        <f>IFERROR(MATCH(32,Flux!$B$2:$B$35,0),0)</f>
        <v/>
      </c>
      <c r="M47" s="40">
        <f>IF(L47=0,"",INDEX(Flux!$C$2:$C$35,L47))</f>
        <v/>
      </c>
      <c r="N47" s="40">
        <f>IF(L47&gt;0,1,0)</f>
        <v/>
      </c>
    </row>
    <row r="48" hidden="1" ht="22" customHeight="1">
      <c r="B48" s="41">
        <f>IF($L48=0,"",INDEX(Flux!$D$2:$D$35,$L48))</f>
        <v/>
      </c>
      <c r="C48" s="42">
        <f>IF($L48=0,"",INDEX(Flux!$E$2:$E$35,$L48))</f>
        <v/>
      </c>
      <c r="D48" s="43">
        <f>IF($L48=0,"",INDEX(Flux!$F$2:$F$35,$L48))</f>
        <v/>
      </c>
      <c r="E48" s="44">
        <f>IF($L48=0,"",INDEX(Flux!$G$2:$G$35,$L48))</f>
        <v/>
      </c>
      <c r="F48" s="44">
        <f>IF($L48=0,"",INDEX(Flux!$H$2:$H$35,$L48))</f>
        <v/>
      </c>
      <c r="G48" s="44">
        <f>IF($L48=0,"",INDEX(Flux!$I$2:$I$35,$L48))</f>
        <v/>
      </c>
      <c r="H48" s="44">
        <f>IF($L48=0,"",INDEX(Flux!$J$2:$J$35,$L48))</f>
        <v/>
      </c>
      <c r="I48" s="44">
        <f>IF($L48=0,"",INDEX(Flux!$K$2:$K$35,$L48))</f>
        <v/>
      </c>
      <c r="J48" s="44">
        <f>IF($L48=0,"",INDEX(Flux!$L$2:$L$35,$L48))</f>
        <v/>
      </c>
      <c r="L48" s="40">
        <f>IFERROR(MATCH(33,Flux!$B$2:$B$35,0),0)</f>
        <v/>
      </c>
      <c r="M48" s="40">
        <f>IF(L48=0,"",INDEX(Flux!$C$2:$C$35,L48))</f>
        <v/>
      </c>
      <c r="N48" s="40">
        <f>IF(L48&gt;0,1,0)</f>
        <v/>
      </c>
    </row>
    <row r="49" hidden="1" ht="22" customHeight="1">
      <c r="B49" s="41">
        <f>IF($L49=0,"",INDEX(Flux!$D$2:$D$35,$L49))</f>
        <v/>
      </c>
      <c r="C49" s="42">
        <f>IF($L49=0,"",INDEX(Flux!$E$2:$E$35,$L49))</f>
        <v/>
      </c>
      <c r="D49" s="43">
        <f>IF($L49=0,"",INDEX(Flux!$F$2:$F$35,$L49))</f>
        <v/>
      </c>
      <c r="E49" s="44">
        <f>IF($L49=0,"",INDEX(Flux!$G$2:$G$35,$L49))</f>
        <v/>
      </c>
      <c r="F49" s="44">
        <f>IF($L49=0,"",INDEX(Flux!$H$2:$H$35,$L49))</f>
        <v/>
      </c>
      <c r="G49" s="44">
        <f>IF($L49=0,"",INDEX(Flux!$I$2:$I$35,$L49))</f>
        <v/>
      </c>
      <c r="H49" s="44">
        <f>IF($L49=0,"",INDEX(Flux!$J$2:$J$35,$L49))</f>
        <v/>
      </c>
      <c r="I49" s="44">
        <f>IF($L49=0,"",INDEX(Flux!$K$2:$K$35,$L49))</f>
        <v/>
      </c>
      <c r="J49" s="44">
        <f>IF($L49=0,"",INDEX(Flux!$L$2:$L$35,$L49))</f>
        <v/>
      </c>
      <c r="L49" s="40">
        <f>IFERROR(MATCH(34,Flux!$B$2:$B$35,0),0)</f>
        <v/>
      </c>
      <c r="M49" s="40">
        <f>IF(L49=0,"",INDEX(Flux!$C$2:$C$35,L49))</f>
        <v/>
      </c>
      <c r="N49" s="40">
        <f>IF(L49&gt;0,1,0)</f>
        <v/>
      </c>
    </row>
    <row r="50" hidden="1" ht="22" customHeight="1">
      <c r="B50" s="41">
        <f>IF($L50=0,"",INDEX(Flux!$D$2:$D$35,$L50))</f>
        <v/>
      </c>
      <c r="C50" s="42">
        <f>IF($L50=0,"",INDEX(Flux!$E$2:$E$35,$L50))</f>
        <v/>
      </c>
      <c r="D50" s="43">
        <f>IF($L50=0,"",INDEX(Flux!$F$2:$F$35,$L50))</f>
        <v/>
      </c>
      <c r="E50" s="44">
        <f>IF($L50=0,"",INDEX(Flux!$G$2:$G$35,$L50))</f>
        <v/>
      </c>
      <c r="F50" s="44">
        <f>IF($L50=0,"",INDEX(Flux!$H$2:$H$35,$L50))</f>
        <v/>
      </c>
      <c r="G50" s="44">
        <f>IF($L50=0,"",INDEX(Flux!$I$2:$I$35,$L50))</f>
        <v/>
      </c>
      <c r="H50" s="44">
        <f>IF($L50=0,"",INDEX(Flux!$J$2:$J$35,$L50))</f>
        <v/>
      </c>
      <c r="I50" s="44">
        <f>IF($L50=0,"",INDEX(Flux!$K$2:$K$35,$L50))</f>
        <v/>
      </c>
      <c r="J50" s="44">
        <f>IF($L50=0,"",INDEX(Flux!$L$2:$L$35,$L50))</f>
        <v/>
      </c>
      <c r="L50" s="40">
        <f>IFERROR(MATCH(35,Flux!$B$2:$B$35,0),0)</f>
        <v/>
      </c>
      <c r="M50" s="40">
        <f>IF(L50=0,"",INDEX(Flux!$C$2:$C$35,L50))</f>
        <v/>
      </c>
      <c r="N50" s="40">
        <f>IF(L50&gt;0,1,0)</f>
        <v/>
      </c>
    </row>
    <row r="51" hidden="1" ht="22" customHeight="1">
      <c r="B51" s="41">
        <f>IF($L51=0,"",INDEX(Flux!$D$2:$D$35,$L51))</f>
        <v/>
      </c>
      <c r="C51" s="42">
        <f>IF($L51=0,"",INDEX(Flux!$E$2:$E$35,$L51))</f>
        <v/>
      </c>
      <c r="D51" s="43">
        <f>IF($L51=0,"",INDEX(Flux!$F$2:$F$35,$L51))</f>
        <v/>
      </c>
      <c r="E51" s="44">
        <f>IF($L51=0,"",INDEX(Flux!$G$2:$G$35,$L51))</f>
        <v/>
      </c>
      <c r="F51" s="44">
        <f>IF($L51=0,"",INDEX(Flux!$H$2:$H$35,$L51))</f>
        <v/>
      </c>
      <c r="G51" s="44">
        <f>IF($L51=0,"",INDEX(Flux!$I$2:$I$35,$L51))</f>
        <v/>
      </c>
      <c r="H51" s="44">
        <f>IF($L51=0,"",INDEX(Flux!$J$2:$J$35,$L51))</f>
        <v/>
      </c>
      <c r="I51" s="44">
        <f>IF($L51=0,"",INDEX(Flux!$K$2:$K$35,$L51))</f>
        <v/>
      </c>
      <c r="J51" s="44">
        <f>IF($L51=0,"",INDEX(Flux!$L$2:$L$35,$L51))</f>
        <v/>
      </c>
      <c r="L51" s="40">
        <f>IFERROR(MATCH(36,Flux!$B$2:$B$35,0),0)</f>
        <v/>
      </c>
      <c r="M51" s="40">
        <f>IF(L51=0,"",INDEX(Flux!$C$2:$C$35,L51))</f>
        <v/>
      </c>
      <c r="N51" s="40">
        <f>IF(L51&gt;0,1,0)</f>
        <v/>
      </c>
    </row>
    <row r="52" hidden="1" ht="22" customHeight="1">
      <c r="B52" s="41">
        <f>IF($L52=0,"",INDEX(Flux!$D$2:$D$35,$L52))</f>
        <v/>
      </c>
      <c r="C52" s="42">
        <f>IF($L52=0,"",INDEX(Flux!$E$2:$E$35,$L52))</f>
        <v/>
      </c>
      <c r="D52" s="43">
        <f>IF($L52=0,"",INDEX(Flux!$F$2:$F$35,$L52))</f>
        <v/>
      </c>
      <c r="E52" s="44">
        <f>IF($L52=0,"",INDEX(Flux!$G$2:$G$35,$L52))</f>
        <v/>
      </c>
      <c r="F52" s="44">
        <f>IF($L52=0,"",INDEX(Flux!$H$2:$H$35,$L52))</f>
        <v/>
      </c>
      <c r="G52" s="44">
        <f>IF($L52=0,"",INDEX(Flux!$I$2:$I$35,$L52))</f>
        <v/>
      </c>
      <c r="H52" s="44">
        <f>IF($L52=0,"",INDEX(Flux!$J$2:$J$35,$L52))</f>
        <v/>
      </c>
      <c r="I52" s="44">
        <f>IF($L52=0,"",INDEX(Flux!$K$2:$K$35,$L52))</f>
        <v/>
      </c>
      <c r="J52" s="44">
        <f>IF($L52=0,"",INDEX(Flux!$L$2:$L$35,$L52))</f>
        <v/>
      </c>
      <c r="L52" s="40">
        <f>IFERROR(MATCH(37,Flux!$B$2:$B$35,0),0)</f>
        <v/>
      </c>
      <c r="M52" s="40">
        <f>IF(L52=0,"",INDEX(Flux!$C$2:$C$35,L52))</f>
        <v/>
      </c>
      <c r="N52" s="40">
        <f>IF(L52&gt;0,1,0)</f>
        <v/>
      </c>
    </row>
    <row r="53" hidden="1" ht="22" customHeight="1">
      <c r="B53" s="41">
        <f>IF($L53=0,"",INDEX(Flux!$D$2:$D$35,$L53))</f>
        <v/>
      </c>
      <c r="C53" s="42">
        <f>IF($L53=0,"",INDEX(Flux!$E$2:$E$35,$L53))</f>
        <v/>
      </c>
      <c r="D53" s="43">
        <f>IF($L53=0,"",INDEX(Flux!$F$2:$F$35,$L53))</f>
        <v/>
      </c>
      <c r="E53" s="44">
        <f>IF($L53=0,"",INDEX(Flux!$G$2:$G$35,$L53))</f>
        <v/>
      </c>
      <c r="F53" s="44">
        <f>IF($L53=0,"",INDEX(Flux!$H$2:$H$35,$L53))</f>
        <v/>
      </c>
      <c r="G53" s="44">
        <f>IF($L53=0,"",INDEX(Flux!$I$2:$I$35,$L53))</f>
        <v/>
      </c>
      <c r="H53" s="44">
        <f>IF($L53=0,"",INDEX(Flux!$J$2:$J$35,$L53))</f>
        <v/>
      </c>
      <c r="I53" s="44">
        <f>IF($L53=0,"",INDEX(Flux!$K$2:$K$35,$L53))</f>
        <v/>
      </c>
      <c r="J53" s="44">
        <f>IF($L53=0,"",INDEX(Flux!$L$2:$L$35,$L53))</f>
        <v/>
      </c>
      <c r="L53" s="40">
        <f>IFERROR(MATCH(38,Flux!$B$2:$B$35,0),0)</f>
        <v/>
      </c>
      <c r="M53" s="40">
        <f>IF(L53=0,"",INDEX(Flux!$C$2:$C$35,L53))</f>
        <v/>
      </c>
      <c r="N53" s="40">
        <f>IF(L53&gt;0,1,0)</f>
        <v/>
      </c>
    </row>
    <row r="54" hidden="1" ht="22" customHeight="1">
      <c r="B54" s="41">
        <f>IF($L54=0,"",INDEX(Flux!$D$2:$D$35,$L54))</f>
        <v/>
      </c>
      <c r="C54" s="42">
        <f>IF($L54=0,"",INDEX(Flux!$E$2:$E$35,$L54))</f>
        <v/>
      </c>
      <c r="D54" s="43">
        <f>IF($L54=0,"",INDEX(Flux!$F$2:$F$35,$L54))</f>
        <v/>
      </c>
      <c r="E54" s="44">
        <f>IF($L54=0,"",INDEX(Flux!$G$2:$G$35,$L54))</f>
        <v/>
      </c>
      <c r="F54" s="44">
        <f>IF($L54=0,"",INDEX(Flux!$H$2:$H$35,$L54))</f>
        <v/>
      </c>
      <c r="G54" s="44">
        <f>IF($L54=0,"",INDEX(Flux!$I$2:$I$35,$L54))</f>
        <v/>
      </c>
      <c r="H54" s="44">
        <f>IF($L54=0,"",INDEX(Flux!$J$2:$J$35,$L54))</f>
        <v/>
      </c>
      <c r="I54" s="44">
        <f>IF($L54=0,"",INDEX(Flux!$K$2:$K$35,$L54))</f>
        <v/>
      </c>
      <c r="J54" s="44">
        <f>IF($L54=0,"",INDEX(Flux!$L$2:$L$35,$L54))</f>
        <v/>
      </c>
      <c r="L54" s="40">
        <f>IFERROR(MATCH(39,Flux!$B$2:$B$35,0),0)</f>
        <v/>
      </c>
      <c r="M54" s="40">
        <f>IF(L54=0,"",INDEX(Flux!$C$2:$C$35,L54))</f>
        <v/>
      </c>
      <c r="N54" s="40">
        <f>IF(L54&gt;0,1,0)</f>
        <v/>
      </c>
    </row>
    <row r="55" hidden="1" ht="22" customHeight="1">
      <c r="B55" s="41">
        <f>IF($L55=0,"",INDEX(Flux!$D$2:$D$35,$L55))</f>
        <v/>
      </c>
      <c r="C55" s="42">
        <f>IF($L55=0,"",INDEX(Flux!$E$2:$E$35,$L55))</f>
        <v/>
      </c>
      <c r="D55" s="43">
        <f>IF($L55=0,"",INDEX(Flux!$F$2:$F$35,$L55))</f>
        <v/>
      </c>
      <c r="E55" s="44">
        <f>IF($L55=0,"",INDEX(Flux!$G$2:$G$35,$L55))</f>
        <v/>
      </c>
      <c r="F55" s="44">
        <f>IF($L55=0,"",INDEX(Flux!$H$2:$H$35,$L55))</f>
        <v/>
      </c>
      <c r="G55" s="44">
        <f>IF($L55=0,"",INDEX(Flux!$I$2:$I$35,$L55))</f>
        <v/>
      </c>
      <c r="H55" s="44">
        <f>IF($L55=0,"",INDEX(Flux!$J$2:$J$35,$L55))</f>
        <v/>
      </c>
      <c r="I55" s="44">
        <f>IF($L55=0,"",INDEX(Flux!$K$2:$K$35,$L55))</f>
        <v/>
      </c>
      <c r="J55" s="44">
        <f>IF($L55=0,"",INDEX(Flux!$L$2:$L$35,$L55))</f>
        <v/>
      </c>
      <c r="L55" s="40">
        <f>IFERROR(MATCH(40,Flux!$B$2:$B$35,0),0)</f>
        <v/>
      </c>
      <c r="M55" s="40">
        <f>IF(L55=0,"",INDEX(Flux!$C$2:$C$35,L55))</f>
        <v/>
      </c>
      <c r="N55" s="40">
        <f>IF(L55&gt;0,1,0)</f>
        <v/>
      </c>
    </row>
    <row r="56" ht="22" customHeight="1"/>
    <row r="57" ht="22" customHeight="1"/>
    <row r="58" ht="20" customHeight="1">
      <c r="B58" s="36">
        <f>INDEX(Textes!$B$2:$C$60,MATCH("sec_cond",Textes!$A$2:$A$60,0),Listes!$H$1)</f>
        <v/>
      </c>
      <c r="C58" s="37" t="n"/>
      <c r="D58" s="37" t="n"/>
      <c r="E58" s="37" t="n"/>
      <c r="F58" s="37" t="n"/>
      <c r="G58" s="37" t="n"/>
      <c r="H58" s="37" t="n"/>
      <c r="I58" s="37" t="n"/>
      <c r="J58" s="37" t="n"/>
    </row>
    <row r="59" ht="92" customHeight="1">
      <c r="B59" s="45">
        <f>INDEX(Textes!$B$2:$C$60,MATCH("cond",Textes!$A$2:$A$60,0),Listes!$H$1)</f>
        <v/>
      </c>
    </row>
    <row r="60" ht="10" customHeight="1"/>
    <row r="61">
      <c r="B61" s="46">
        <f>INDEX(Textes!$B$2:$C$60,MATCH("accept",Textes!$A$2:$A$60,0),Listes!$H$1)</f>
        <v/>
      </c>
    </row>
    <row r="62" ht="17" customHeight="1">
      <c r="B62" s="47">
        <f>INDEX(Textes!$B$2:$C$60,MATCH("sig_name",Textes!$A$2:$A$60,0),Listes!$H$1)</f>
        <v/>
      </c>
      <c r="C62" s="48" t="n"/>
      <c r="D62" s="47">
        <f>INDEX(Textes!$B$2:$C$60,MATCH("sig_date",Textes!$A$2:$A$60,0),Listes!$H$1)</f>
        <v/>
      </c>
      <c r="E62" s="49" t="n"/>
      <c r="F62" s="49" t="n"/>
      <c r="G62" s="48" t="n"/>
      <c r="H62" s="47">
        <f>INDEX(Textes!$B$2:$C$60,MATCH("sig_sig",Textes!$A$2:$A$60,0),Listes!$H$1)</f>
        <v/>
      </c>
      <c r="I62" s="49" t="n"/>
      <c r="J62" s="48" t="n"/>
    </row>
    <row r="63" ht="17" customHeight="1">
      <c r="B63" s="50" t="n"/>
      <c r="C63" s="51" t="n"/>
      <c r="D63" s="50" t="n"/>
      <c r="E63" s="52" t="n"/>
      <c r="F63" s="52" t="n"/>
      <c r="G63" s="51" t="n"/>
      <c r="H63" s="50" t="n"/>
      <c r="I63" s="52" t="n"/>
      <c r="J63" s="51" t="n"/>
    </row>
    <row r="64" ht="17" customHeight="1">
      <c r="B64" s="50" t="n"/>
      <c r="C64" s="51" t="n"/>
      <c r="D64" s="50" t="n"/>
      <c r="E64" s="52" t="n"/>
      <c r="F64" s="52" t="n"/>
      <c r="G64" s="51" t="n"/>
      <c r="H64" s="50" t="n"/>
      <c r="I64" s="52" t="n"/>
      <c r="J64" s="51" t="n"/>
    </row>
    <row r="65" ht="17" customHeight="1">
      <c r="B65" s="53" t="n"/>
      <c r="C65" s="54" t="n"/>
      <c r="D65" s="53" t="n"/>
      <c r="E65" s="34" t="n"/>
      <c r="F65" s="34" t="n"/>
      <c r="G65" s="54" t="n"/>
      <c r="H65" s="53" t="n"/>
      <c r="I65" s="34" t="n"/>
      <c r="J65" s="54" t="n"/>
    </row>
    <row r="67" ht="26" customHeight="1">
      <c r="B67" s="55" t="inlineStr">
        <is>
          <t>ENEDRIL · Z-Induspal · 3 Av. des Lacs · 64140 LONS (France) · SIRET 79464246200020 · TVA FR11794642462</t>
        </is>
      </c>
    </row>
  </sheetData>
  <autoFilter ref="B15:N55">
    <filterColumn colId="0" hiddenButton="1" showButton="0"/>
    <filterColumn colId="1" hiddenButton="1" showButton="0"/>
    <filterColumn colId="2" hiddenButton="1" showButton="0"/>
    <filterColumn colId="3" hiddenButton="1" showButton="0"/>
    <filterColumn colId="4" hiddenButton="1" showButton="0"/>
    <filterColumn colId="5" hiddenButton="1" showButton="0"/>
    <filterColumn colId="6" hiddenButton="1" showButton="0"/>
    <filterColumn colId="7" hiddenButton="1" showButton="0"/>
    <filterColumn colId="8" hiddenButton="1" showButton="0"/>
    <filterColumn colId="9" hiddenButton="1" showButton="0"/>
    <filterColumn colId="10" hiddenButton="1" showButton="0">
      <customFilters>
        <customFilter val="0" operator="greaterThan"/>
      </customFilters>
    </filterColumn>
    <filterColumn colId="11" hiddenButton="1" showButton="0"/>
    <filterColumn colId="12" hiddenButton="1" showButton="0"/>
  </autoFilter>
  <mergeCells count="35">
    <mergeCell ref="D9:G9"/>
    <mergeCell ref="B7:C7"/>
    <mergeCell ref="B67:J67"/>
    <mergeCell ref="D12:G12"/>
    <mergeCell ref="B61:J61"/>
    <mergeCell ref="D8:G8"/>
    <mergeCell ref="H62:J65"/>
    <mergeCell ref="B14:J14"/>
    <mergeCell ref="D5:G5"/>
    <mergeCell ref="B13:J13"/>
    <mergeCell ref="H11:J11"/>
    <mergeCell ref="H7:J7"/>
    <mergeCell ref="B12:C12"/>
    <mergeCell ref="B11:C11"/>
    <mergeCell ref="H12:J12"/>
    <mergeCell ref="D10:G10"/>
    <mergeCell ref="D1:J1"/>
    <mergeCell ref="B8:C8"/>
    <mergeCell ref="D6:G6"/>
    <mergeCell ref="H5:J5"/>
    <mergeCell ref="B10:C10"/>
    <mergeCell ref="H8:J8"/>
    <mergeCell ref="D2:J2"/>
    <mergeCell ref="D11:G11"/>
    <mergeCell ref="B9:C9"/>
    <mergeCell ref="D62:G65"/>
    <mergeCell ref="B6:C6"/>
    <mergeCell ref="H10:J10"/>
    <mergeCell ref="B59:J59"/>
    <mergeCell ref="B5:C5"/>
    <mergeCell ref="B62:C65"/>
    <mergeCell ref="D7:G7"/>
    <mergeCell ref="H9:J9"/>
    <mergeCell ref="B58:J58"/>
    <mergeCell ref="H6:J6"/>
  </mergeCells>
  <conditionalFormatting sqref="B16:J55">
    <cfRule type="expression" priority="1" dxfId="1" stopIfTrue="1">
      <formula>OR($M16="BAN",$M16="FB")</formula>
    </cfRule>
    <cfRule type="expression" priority="2" dxfId="2" stopIfTrue="1">
      <formula>$M16="HDR"</formula>
    </cfRule>
    <cfRule type="expression" priority="3" dxfId="3" stopIfTrue="1">
      <formula>$M16="FD"</formula>
    </cfRule>
    <cfRule type="expression" priority="4" dxfId="4">
      <formula>OR($M16="ITM",$M16="LIN")</formula>
    </cfRule>
    <cfRule type="expression" priority="5" dxfId="5">
      <formula>AND($M16="ITM",MOD(ROW(),2)=0)</formula>
    </cfRule>
  </conditionalFormatting>
  <conditionalFormatting sqref="E16:J55">
    <cfRule type="expression" priority="6" dxfId="6">
      <formula>E16="incl."</formula>
    </cfRule>
  </conditionalFormatting>
  <printOptions horizontalCentered="1"/>
  <pageMargins left="0.35" right="0.35" top="0.4" bottom="0.5" header="0.5" footer="0.5"/>
  <pageSetup orientation="portrait" paperSize="9" fitToHeight="0" fitToWidth="1"/>
  <headerFooter>
    <oddHeader/>
    <oddFooter>&amp;C&amp;8 Enedril · Devis &amp;P /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9FB6CE"/>
    <outlinePr summaryBelow="1" summaryRight="1"/>
    <pageSetUpPr/>
  </sheetPr>
  <dimension ref="A1:Q12"/>
  <sheetViews>
    <sheetView showGridLines="0" workbookViewId="0">
      <selection activeCell="A1" sqref="A1"/>
    </sheetView>
  </sheetViews>
  <sheetFormatPr baseColWidth="8" defaultRowHeight="15"/>
  <cols>
    <col width="30" customWidth="1" min="1" max="1"/>
    <col width="30" customWidth="1" min="2" max="2"/>
    <col width="30" customWidth="1" min="4" max="4"/>
    <col width="30" customWidth="1" min="5" max="5"/>
    <col width="30" customWidth="1" min="6" max="6"/>
    <col width="30" customWidth="1" min="7" max="7"/>
    <col width="30" customWidth="1" min="10" max="10"/>
    <col width="30" customWidth="1" min="11" max="11"/>
    <col width="30" customWidth="1" min="12" max="12"/>
    <col width="30" customWidth="1" min="13" max="13"/>
    <col width="30" customWidth="1" min="14" max="14"/>
    <col width="30" customWidth="1" min="16" max="16"/>
    <col width="30" customWidth="1" min="17" max="17"/>
  </cols>
  <sheetData>
    <row r="1">
      <c r="A1" s="56" t="inlineStr">
        <is>
          <t>Contact Enedril</t>
        </is>
      </c>
      <c r="B1" s="56" t="inlineStr">
        <is>
          <t>E-mail</t>
        </is>
      </c>
      <c r="D1" s="56" t="inlineStr">
        <is>
          <t>Incoterm</t>
        </is>
      </c>
      <c r="E1" s="56" t="inlineStr">
        <is>
          <t>Validité</t>
        </is>
      </c>
      <c r="F1" s="56" t="inlineStr">
        <is>
          <t>Règlement</t>
        </is>
      </c>
      <c r="G1" s="56" t="inlineStr">
        <is>
          <t>Oui / Non</t>
        </is>
      </c>
      <c r="H1" s="57" t="n">
        <v>2</v>
      </c>
      <c r="J1" s="56" t="inlineStr">
        <is>
          <t>Support de colisage</t>
        </is>
      </c>
      <c r="K1" s="56" t="inlineStr">
        <is>
          <t>N° de colis</t>
        </is>
      </c>
      <c r="L1" s="56" t="inlineStr">
        <is>
          <t>Unité</t>
        </is>
      </c>
      <c r="M1" s="56" t="inlineStr">
        <is>
          <t>Mode transport</t>
        </is>
      </c>
      <c r="N1" s="56" t="inlineStr">
        <is>
          <t>Mode forfait</t>
        </is>
      </c>
      <c r="P1" s="56" t="inlineStr">
        <is>
          <t>Statut</t>
        </is>
      </c>
      <c r="Q1" s="56" t="inlineStr">
        <is>
          <t>Test / Taille</t>
        </is>
      </c>
    </row>
    <row r="2">
      <c r="A2" s="58" t="inlineStr">
        <is>
          <t>Fabien JACQUOT</t>
        </is>
      </c>
      <c r="B2" s="58" t="inlineStr">
        <is>
          <t>fjacquot@enedril.fr</t>
        </is>
      </c>
      <c r="D2" s="58" t="inlineStr">
        <is>
          <t>EXW Lons</t>
        </is>
      </c>
      <c r="E2" s="58" t="inlineStr">
        <is>
          <t>15 jours / 15 days</t>
        </is>
      </c>
      <c r="F2" s="58" t="inlineStr">
        <is>
          <t>30 jours date de facture / 30 days invoice date</t>
        </is>
      </c>
      <c r="G2" s="58" t="inlineStr">
        <is>
          <t>Oui</t>
        </is>
      </c>
      <c r="H2" s="59" t="inlineStr">
        <is>
          <t>← langue du devis : 1 = français, 2 = anglais</t>
        </is>
      </c>
      <c r="J2" s="58" t="inlineStr">
        <is>
          <t>Palette</t>
        </is>
      </c>
      <c r="K2" s="58" t="inlineStr">
        <is>
          <t>P1</t>
        </is>
      </c>
      <c r="L2" s="58" t="inlineStr">
        <is>
          <t>forfait</t>
        </is>
      </c>
      <c r="M2" s="58" t="inlineStr">
        <is>
          <t>Coût réel +15 %</t>
        </is>
      </c>
      <c r="N2" s="58" t="inlineStr">
        <is>
          <t>Forfait calculé (S + O + UC)</t>
        </is>
      </c>
      <c r="P2" s="58" t="inlineStr">
        <is>
          <t>Oui</t>
        </is>
      </c>
      <c r="Q2" s="58" t="inlineStr">
        <is>
          <t>Taille OK</t>
        </is>
      </c>
    </row>
    <row r="3">
      <c r="A3" s="58" t="inlineStr">
        <is>
          <t>Alexis ESTINES</t>
        </is>
      </c>
      <c r="B3" s="58" t="inlineStr">
        <is>
          <t>aestines@enedril.fr</t>
        </is>
      </c>
      <c r="D3" s="58" t="inlineStr">
        <is>
          <t>FCA Lons</t>
        </is>
      </c>
      <c r="E3" s="58" t="inlineStr">
        <is>
          <t>30 jours / 30 days</t>
        </is>
      </c>
      <c r="F3" s="58" t="inlineStr">
        <is>
          <t>30 jours fin de mois / 30 days end of month</t>
        </is>
      </c>
      <c r="G3" s="58" t="inlineStr">
        <is>
          <t>Non</t>
        </is>
      </c>
      <c r="J3" s="58" t="inlineStr">
        <is>
          <t>Fishing basket</t>
        </is>
      </c>
      <c r="K3" s="58" t="inlineStr">
        <is>
          <t>P2</t>
        </is>
      </c>
      <c r="L3" s="58" t="inlineStr">
        <is>
          <t>€/jour</t>
        </is>
      </c>
      <c r="M3" s="58" t="inlineStr">
        <is>
          <t>Forfait</t>
        </is>
      </c>
      <c r="N3" s="58" t="inlineStr">
        <is>
          <t>Forfait global</t>
        </is>
      </c>
      <c r="P3" s="58" t="inlineStr">
        <is>
          <t>En cours</t>
        </is>
      </c>
      <c r="Q3" s="58" t="inlineStr">
        <is>
          <t>Test OK</t>
        </is>
      </c>
    </row>
    <row r="4">
      <c r="A4" s="58" t="inlineStr">
        <is>
          <t>Paul HYNDERICK</t>
        </is>
      </c>
      <c r="B4" s="58" t="inlineStr">
        <is>
          <t>phynderick@enedril.fr</t>
        </is>
      </c>
      <c r="D4" s="58" t="inlineStr">
        <is>
          <t>DAP</t>
        </is>
      </c>
      <c r="E4" s="58" t="inlineStr">
        <is>
          <t>60 jours / 60 days</t>
        </is>
      </c>
      <c r="F4" s="58" t="inlineStr">
        <is>
          <t>45 jours fin de mois / 45 days end of month</t>
        </is>
      </c>
      <c r="J4" s="58" t="inlineStr">
        <is>
          <t>Caisse</t>
        </is>
      </c>
      <c r="K4" s="58" t="inlineStr">
        <is>
          <t>P3</t>
        </is>
      </c>
      <c r="L4" s="58" t="inlineStr">
        <is>
          <t>€/jour/pers</t>
        </is>
      </c>
      <c r="N4" s="58" t="inlineStr">
        <is>
          <t>Forfait par jour</t>
        </is>
      </c>
      <c r="Q4" s="58" t="inlineStr">
        <is>
          <t>Taille + test OK</t>
        </is>
      </c>
    </row>
    <row r="5">
      <c r="A5" s="58" t="inlineStr">
        <is>
          <t>Céline CARDONA</t>
        </is>
      </c>
      <c r="B5" s="58" t="inlineStr">
        <is>
          <t>ccardona@enedril.fr</t>
        </is>
      </c>
      <c r="D5" s="58" t="inlineStr">
        <is>
          <t>DDP</t>
        </is>
      </c>
      <c r="E5" s="58" t="inlineStr">
        <is>
          <t>90 jours / 90 days</t>
        </is>
      </c>
      <c r="F5" s="58" t="inlineStr">
        <is>
          <t>À la commande / Upon order</t>
        </is>
      </c>
      <c r="J5" s="58" t="inlineStr">
        <is>
          <t>Vrac</t>
        </is>
      </c>
      <c r="K5" s="58" t="inlineStr">
        <is>
          <t>P4</t>
        </is>
      </c>
      <c r="L5" s="58" t="inlineStr">
        <is>
          <t>€/pers</t>
        </is>
      </c>
      <c r="Q5" s="58" t="inlineStr">
        <is>
          <t>À contrôler</t>
        </is>
      </c>
    </row>
    <row r="6">
      <c r="A6" s="58" t="inlineStr">
        <is>
          <t>Koen MONDELAERS</t>
        </is>
      </c>
      <c r="B6" s="58" t="inlineStr">
        <is>
          <t>kmondelaers@enedril.fr</t>
        </is>
      </c>
      <c r="D6" s="58" t="inlineStr">
        <is>
          <t>FOB</t>
        </is>
      </c>
      <c r="K6" s="58" t="inlineStr">
        <is>
          <t>P5</t>
        </is>
      </c>
      <c r="L6" s="58" t="inlineStr">
        <is>
          <t>€/unité</t>
        </is>
      </c>
    </row>
    <row r="7">
      <c r="A7" s="58" t="inlineStr">
        <is>
          <t>Luigi LIBERATORE</t>
        </is>
      </c>
      <c r="B7" s="58" t="inlineStr">
        <is>
          <t>lliberatore@enedril.fr</t>
        </is>
      </c>
      <c r="K7" s="58" t="inlineStr">
        <is>
          <t>P6</t>
        </is>
      </c>
    </row>
    <row r="8">
      <c r="K8" s="58" t="inlineStr">
        <is>
          <t>P7</t>
        </is>
      </c>
    </row>
    <row r="9">
      <c r="K9" s="58" t="inlineStr">
        <is>
          <t>P8</t>
        </is>
      </c>
    </row>
    <row r="10">
      <c r="A10" s="22" t="inlineStr">
        <is>
          <t>Pour ajouter un contact, une validité, etc. : écrire à la suite dans la colonne (les listes déroulantes lisent les 12 premières lignes).</t>
        </is>
      </c>
      <c r="K10" s="58" t="inlineStr">
        <is>
          <t>P9</t>
        </is>
      </c>
    </row>
    <row r="11">
      <c r="K11" s="58" t="inlineStr">
        <is>
          <t>P10</t>
        </is>
      </c>
    </row>
    <row r="12">
      <c r="K12" s="58" t="inlineStr">
        <is>
          <t>Vrac</t>
        </is>
      </c>
    </row>
  </sheetData>
  <pageMargins left="0.75" right="0.75" top="1" bottom="1" header="0.5" footer="0.5"/>
</worksheet>
</file>

<file path=xl/worksheets/sheet6.xml><?xml version="1.0" encoding="utf-8"?>
<worksheet xmlns="http://schemas.openxmlformats.org/spreadsheetml/2006/main">
  <sheetPr>
    <tabColor rgb="009FB6CE"/>
    <outlinePr summaryBelow="1" summaryRight="1"/>
    <pageSetUpPr/>
  </sheetPr>
  <dimension ref="A1:C60"/>
  <sheetViews>
    <sheetView showGridLines="0" workbookViewId="0">
      <selection activeCell="A1" sqref="A1"/>
    </sheetView>
  </sheetViews>
  <sheetFormatPr baseColWidth="8" defaultRowHeight="15"/>
  <cols>
    <col width="14" customWidth="1" min="1" max="1"/>
    <col width="60" customWidth="1" min="2" max="2"/>
    <col width="60" customWidth="1" min="3" max="3"/>
  </cols>
  <sheetData>
    <row r="1">
      <c r="A1" s="56" t="inlineStr">
        <is>
          <t>Clé</t>
        </is>
      </c>
      <c r="B1" s="56" t="inlineStr">
        <is>
          <t>Français</t>
        </is>
      </c>
      <c r="C1" s="56" t="inlineStr">
        <is>
          <t>English</t>
        </is>
      </c>
    </row>
    <row r="2">
      <c r="A2" s="60" t="inlineStr">
        <is>
          <t>title</t>
        </is>
      </c>
      <c r="B2" s="60" t="inlineStr">
        <is>
          <t>OFFRE DE LOCATION</t>
        </is>
      </c>
      <c r="C2" s="60" t="inlineStr">
        <is>
          <t>EQUIPMENT RENTAL QUOTATION</t>
        </is>
      </c>
    </row>
    <row r="3">
      <c r="A3" s="60" t="inlineStr">
        <is>
          <t>client</t>
        </is>
      </c>
      <c r="B3" s="60" t="inlineStr">
        <is>
          <t>Client</t>
        </is>
      </c>
      <c r="C3" s="60" t="inlineStr">
        <is>
          <t>Company</t>
        </is>
      </c>
    </row>
    <row r="4">
      <c r="A4" s="60" t="inlineStr">
        <is>
          <t>attn</t>
        </is>
      </c>
      <c r="B4" s="60" t="inlineStr">
        <is>
          <t>À l'attention de</t>
        </is>
      </c>
      <c r="C4" s="60" t="inlineStr">
        <is>
          <t>Attention</t>
        </is>
      </c>
    </row>
    <row r="5">
      <c r="A5" s="60" t="inlineStr">
        <is>
          <t>well</t>
        </is>
      </c>
      <c r="B5" s="60" t="inlineStr">
        <is>
          <t>Puits / Chantier</t>
        </is>
      </c>
      <c r="C5" s="60" t="inlineStr">
        <is>
          <t>Well / Location</t>
        </is>
      </c>
    </row>
    <row r="6">
      <c r="A6" s="60" t="inlineStr">
        <is>
          <t>rig</t>
        </is>
      </c>
      <c r="B6" s="60" t="inlineStr">
        <is>
          <t>Rig</t>
        </is>
      </c>
      <c r="C6" s="60" t="inlineStr">
        <is>
          <t>Rig</t>
        </is>
      </c>
    </row>
    <row r="7">
      <c r="A7" s="60" t="inlineStr">
        <is>
          <t>offer</t>
        </is>
      </c>
      <c r="B7" s="60" t="inlineStr">
        <is>
          <t>N° d'offre</t>
        </is>
      </c>
      <c r="C7" s="60" t="inlineStr">
        <is>
          <t>Offer N°</t>
        </is>
      </c>
    </row>
    <row r="8">
      <c r="A8" s="60" t="inlineStr">
        <is>
          <t>date</t>
        </is>
      </c>
      <c r="B8" s="60" t="inlineStr">
        <is>
          <t>Date</t>
        </is>
      </c>
      <c r="C8" s="60" t="inlineStr">
        <is>
          <t>Date</t>
        </is>
      </c>
    </row>
    <row r="9">
      <c r="A9" s="60" t="inlineStr">
        <is>
          <t>valid</t>
        </is>
      </c>
      <c r="B9" s="60" t="inlineStr">
        <is>
          <t>Validité de l'offre</t>
        </is>
      </c>
      <c r="C9" s="60" t="inlineStr">
        <is>
          <t>Validity</t>
        </is>
      </c>
    </row>
    <row r="10">
      <c r="A10" s="60" t="inlineStr">
        <is>
          <t>inco</t>
        </is>
      </c>
      <c r="B10" s="60" t="inlineStr">
        <is>
          <t>Incoterm</t>
        </is>
      </c>
      <c r="C10" s="60" t="inlineStr">
        <is>
          <t>Incoterm</t>
        </is>
      </c>
    </row>
    <row r="11">
      <c r="A11" s="60" t="inlineStr">
        <is>
          <t>lead</t>
        </is>
      </c>
      <c r="B11" s="60" t="inlineStr">
        <is>
          <t>Délai de mise à dispo</t>
        </is>
      </c>
      <c r="C11" s="60" t="inlineStr">
        <is>
          <t>Lead time</t>
        </is>
      </c>
    </row>
    <row r="12">
      <c r="A12" s="60" t="inlineStr">
        <is>
          <t>pay</t>
        </is>
      </c>
      <c r="B12" s="60" t="inlineStr">
        <is>
          <t>Conditions de règlement</t>
        </is>
      </c>
      <c r="C12" s="60" t="inlineStr">
        <is>
          <t>Payment terms</t>
        </is>
      </c>
    </row>
    <row r="13">
      <c r="A13" s="60" t="inlineStr">
        <is>
          <t>we</t>
        </is>
      </c>
      <c r="B13" s="60" t="inlineStr">
        <is>
          <t>Facturation WE et jours fériés</t>
        </is>
      </c>
      <c r="C13" s="60" t="inlineStr">
        <is>
          <t>Weekend &amp; holiday billing</t>
        </is>
      </c>
    </row>
    <row r="14">
      <c r="A14" s="60" t="inlineStr">
        <is>
          <t>by</t>
        </is>
      </c>
      <c r="B14" s="60" t="inlineStr">
        <is>
          <t>Établi par</t>
        </is>
      </c>
      <c r="C14" s="60" t="inlineStr">
        <is>
          <t>Established by</t>
        </is>
      </c>
    </row>
    <row r="15">
      <c r="A15" s="60" t="inlineStr">
        <is>
          <t>mail</t>
        </is>
      </c>
      <c r="B15" s="60" t="inlineStr">
        <is>
          <t>E-mail</t>
        </is>
      </c>
      <c r="C15" s="60" t="inlineStr">
        <is>
          <t>E-mail</t>
        </is>
      </c>
    </row>
    <row r="16">
      <c r="A16" s="60" t="inlineStr">
        <is>
          <t>tel</t>
        </is>
      </c>
      <c r="B16" s="60" t="inlineStr">
        <is>
          <t>Téléphone</t>
        </is>
      </c>
      <c r="C16" s="60" t="inlineStr">
        <is>
          <t>Phone</t>
        </is>
      </c>
    </row>
    <row r="17">
      <c r="A17" s="60" t="inlineStr">
        <is>
          <t>sec_eq</t>
        </is>
      </c>
      <c r="B17" s="60" t="inlineStr">
        <is>
          <t>MATÉRIEL</t>
        </is>
      </c>
      <c r="C17" s="60" t="inlineStr">
        <is>
          <t>EQUIPMENT</t>
        </is>
      </c>
    </row>
    <row r="18">
      <c r="A18" s="60" t="inlineStr">
        <is>
          <t>h_n</t>
        </is>
      </c>
      <c r="B18" s="60" t="inlineStr">
        <is>
          <t>#</t>
        </is>
      </c>
      <c r="C18" s="60" t="inlineStr">
        <is>
          <t>#</t>
        </is>
      </c>
    </row>
    <row r="19">
      <c r="A19" s="60" t="inlineStr">
        <is>
          <t>h_desc</t>
        </is>
      </c>
      <c r="B19" s="60" t="inlineStr">
        <is>
          <t>Description</t>
        </is>
      </c>
      <c r="C19" s="60" t="inlineStr">
        <is>
          <t>Description</t>
        </is>
      </c>
    </row>
    <row r="20">
      <c r="A20" s="60" t="inlineStr">
        <is>
          <t>h_qty</t>
        </is>
      </c>
      <c r="B20" s="60" t="inlineStr">
        <is>
          <t>Qté</t>
        </is>
      </c>
      <c r="C20" s="60" t="inlineStr">
        <is>
          <t>Qty</t>
        </is>
      </c>
    </row>
    <row r="21">
      <c r="A21" s="60" t="inlineStr">
        <is>
          <t>h_s</t>
        </is>
      </c>
      <c r="B21" s="60" t="inlineStr">
        <is>
          <t>Stand-by (S)
€ / jour / item</t>
        </is>
      </c>
      <c r="C21" s="60" t="inlineStr">
        <is>
          <t>Stand-by (S)
daily rate / item</t>
        </is>
      </c>
    </row>
    <row r="22">
      <c r="A22" s="60" t="inlineStr">
        <is>
          <t>h_o</t>
        </is>
      </c>
      <c r="B22" s="60" t="inlineStr">
        <is>
          <t>Opérations (O)
€ / jour / item</t>
        </is>
      </c>
      <c r="C22" s="60" t="inlineStr">
        <is>
          <t>Operations (O)
daily rate / item</t>
        </is>
      </c>
    </row>
    <row r="23">
      <c r="A23" s="60" t="inlineStr">
        <is>
          <t>h_uc</t>
        </is>
      </c>
      <c r="B23" s="60" t="inlineStr">
        <is>
          <t>Utilisation
Charge (UC)
€ / item</t>
        </is>
      </c>
      <c r="C23" s="60" t="inlineStr">
        <is>
          <t>Utilisation
Charge (UC)
per item</t>
        </is>
      </c>
    </row>
    <row r="24">
      <c r="A24" s="60" t="inlineStr">
        <is>
          <t>h_lih</t>
        </is>
      </c>
      <c r="B24" s="60" t="inlineStr">
        <is>
          <t>Valeur de remplacement
(LIH / DBR) € / item</t>
        </is>
      </c>
      <c r="C24" s="60" t="inlineStr">
        <is>
          <t>Replacement value
(LIH / DBR) per item</t>
        </is>
      </c>
    </row>
    <row r="25">
      <c r="A25" s="60" t="inlineStr">
        <is>
          <t>h_insp</t>
        </is>
      </c>
      <c r="B25" s="60" t="inlineStr">
        <is>
          <t>Inspection
€ / item</t>
        </is>
      </c>
      <c r="C25" s="60" t="inlineStr">
        <is>
          <t>Inspection
per item</t>
        </is>
      </c>
    </row>
    <row r="26">
      <c r="A26" s="60" t="inlineStr">
        <is>
          <t>h_rest</t>
        </is>
      </c>
      <c r="B26" s="60" t="inlineStr">
        <is>
          <t>Restocking
€</t>
        </is>
      </c>
      <c r="C26" s="60" t="inlineStr">
        <is>
          <t>Restocking
charge</t>
        </is>
      </c>
    </row>
    <row r="27">
      <c r="A27" s="60" t="inlineStr">
        <is>
          <t>h_ref</t>
        </is>
      </c>
      <c r="B27" s="60" t="inlineStr">
        <is>
          <t>Remarques</t>
        </is>
      </c>
      <c r="C27" s="60" t="inlineStr">
        <is>
          <t>Remarks</t>
        </is>
      </c>
    </row>
    <row r="28">
      <c r="A28" s="60" t="inlineStr">
        <is>
          <t>incl</t>
        </is>
      </c>
      <c r="B28" s="60" t="inlineStr">
        <is>
          <t>incl.</t>
        </is>
      </c>
      <c r="C28" s="60" t="inlineStr">
        <is>
          <t>incl.</t>
        </is>
      </c>
    </row>
    <row r="29">
      <c r="A29" s="60" t="inlineStr">
        <is>
          <t>incl_long</t>
        </is>
      </c>
      <c r="B29" s="60" t="inlineStr">
        <is>
          <t>Inclus au forfait</t>
        </is>
      </c>
      <c r="C29" s="60" t="inlineStr">
        <is>
          <t>Included in lump sum</t>
        </is>
      </c>
    </row>
    <row r="30">
      <c r="A30" s="60" t="inlineStr">
        <is>
          <t>sec_opt</t>
        </is>
      </c>
      <c r="B30" s="60" t="inlineStr">
        <is>
          <t>PRESTATIONS ET OPTIONS</t>
        </is>
      </c>
      <c r="C30" s="60" t="inlineStr">
        <is>
          <t>SERVICES AND OPTIONS</t>
        </is>
      </c>
    </row>
    <row r="31">
      <c r="A31" s="60" t="inlineStr">
        <is>
          <t>h_label</t>
        </is>
      </c>
      <c r="B31" s="60" t="inlineStr">
        <is>
          <t>Prestation</t>
        </is>
      </c>
      <c r="C31" s="60" t="inlineStr">
        <is>
          <t>Service</t>
        </is>
      </c>
    </row>
    <row r="32">
      <c r="A32" s="60" t="inlineStr">
        <is>
          <t>h_unit</t>
        </is>
      </c>
      <c r="B32" s="60" t="inlineStr">
        <is>
          <t>Unité</t>
        </is>
      </c>
      <c r="C32" s="60" t="inlineStr">
        <is>
          <t>Unit</t>
        </is>
      </c>
    </row>
    <row r="33">
      <c r="A33" s="60" t="inlineStr">
        <is>
          <t>h_pu</t>
        </is>
      </c>
      <c r="B33" s="60" t="inlineStr">
        <is>
          <t>Prix unitaire €</t>
        </is>
      </c>
      <c r="C33" s="60" t="inlineStr">
        <is>
          <t>Unit price €</t>
        </is>
      </c>
    </row>
    <row r="34">
      <c r="A34" s="60" t="inlineStr">
        <is>
          <t>h_tot</t>
        </is>
      </c>
      <c r="B34" s="60" t="inlineStr">
        <is>
          <t>Total €</t>
        </is>
      </c>
      <c r="C34" s="60" t="inlineStr">
        <is>
          <t>Total €</t>
        </is>
      </c>
    </row>
    <row r="35">
      <c r="A35" s="60" t="inlineStr">
        <is>
          <t>h_det</t>
        </is>
      </c>
      <c r="B35" s="60" t="inlineStr">
        <is>
          <t>Détail</t>
        </is>
      </c>
      <c r="C35" s="60" t="inlineStr">
        <is>
          <t>Details</t>
        </is>
      </c>
    </row>
    <row r="36">
      <c r="A36" s="60" t="inlineStr">
        <is>
          <t>op_day</t>
        </is>
      </c>
      <c r="B36" s="60" t="inlineStr">
        <is>
          <t>Opérateur · tarif journalier</t>
        </is>
      </c>
      <c r="C36" s="60" t="inlineStr">
        <is>
          <t>Operator · daily rate</t>
        </is>
      </c>
    </row>
    <row r="37">
      <c r="A37" s="60" t="inlineStr">
        <is>
          <t>op_mob</t>
        </is>
      </c>
      <c r="B37" s="60" t="inlineStr">
        <is>
          <t>Opérateur · Mob / Demob</t>
        </is>
      </c>
      <c r="C37" s="60" t="inlineStr">
        <is>
          <t>Operator · Mob / Demob</t>
        </is>
      </c>
    </row>
    <row r="38">
      <c r="A38" s="60" t="inlineStr">
        <is>
          <t>tight</t>
        </is>
      </c>
      <c r="B38" s="60" t="inlineStr">
        <is>
          <t>Serrage · prix par serrage</t>
        </is>
      </c>
      <c r="C38" s="60" t="inlineStr">
        <is>
          <t>Tong &amp; make-up service · price per make-up</t>
        </is>
      </c>
    </row>
    <row r="39">
      <c r="A39" s="60" t="inlineStr">
        <is>
          <t>tr_mob</t>
        </is>
      </c>
      <c r="B39" s="60" t="inlineStr">
        <is>
          <t>Transport MOB (Lons → chantier)</t>
        </is>
      </c>
      <c r="C39" s="60" t="inlineStr">
        <is>
          <t>Transport MOB (Lons → site)</t>
        </is>
      </c>
    </row>
    <row r="40">
      <c r="A40" s="60" t="inlineStr">
        <is>
          <t>tr_dem</t>
        </is>
      </c>
      <c r="B40" s="60" t="inlineStr">
        <is>
          <t>Transport DEMOB (chantier → Lons)</t>
        </is>
      </c>
      <c r="C40" s="60" t="inlineStr">
        <is>
          <t>Transport DEMOB (site → Lons)</t>
        </is>
      </c>
    </row>
    <row r="41">
      <c r="A41" s="60" t="inlineStr">
        <is>
          <t>free</t>
        </is>
      </c>
      <c r="B41" s="60" t="inlineStr">
        <is>
          <t>Option</t>
        </is>
      </c>
      <c r="C41" s="60" t="inlineStr">
        <is>
          <t>Option</t>
        </is>
      </c>
    </row>
    <row r="42">
      <c r="A42" s="60" t="inlineStr">
        <is>
          <t>forfait</t>
        </is>
      </c>
      <c r="B42" s="60" t="inlineStr">
        <is>
          <t>Forfait</t>
        </is>
      </c>
      <c r="C42" s="60" t="inlineStr">
        <is>
          <t>Lump sum</t>
        </is>
      </c>
    </row>
    <row r="43">
      <c r="A43" s="60" t="inlineStr">
        <is>
          <t>at_cost</t>
        </is>
      </c>
      <c r="B43" s="60" t="inlineStr">
        <is>
          <t>au coût réel +15 %</t>
        </is>
      </c>
      <c r="C43" s="60" t="inlineStr">
        <is>
          <t>at cost +15%</t>
        </is>
      </c>
    </row>
    <row r="44">
      <c r="A44" s="60" t="inlineStr">
        <is>
          <t>tr_note</t>
        </is>
      </c>
      <c r="B44" s="60" t="inlineStr">
        <is>
          <t>Transport organisé par Enedril</t>
        </is>
      </c>
      <c r="C44" s="60" t="inlineStr">
        <is>
          <t>Transport organised by Enedril</t>
        </is>
      </c>
    </row>
    <row r="45">
      <c r="A45" s="60" t="inlineStr">
        <is>
          <t>ht</t>
        </is>
      </c>
      <c r="B45" s="60" t="inlineStr">
        <is>
          <t>€ HT</t>
        </is>
      </c>
      <c r="C45" s="60" t="inlineStr">
        <is>
          <t>€ excl. VAT</t>
        </is>
      </c>
    </row>
    <row r="46">
      <c r="A46" s="60" t="inlineStr">
        <is>
          <t>calc_det</t>
        </is>
      </c>
      <c r="B46" s="60" t="inlineStr">
        <is>
          <t>j stand-by + %s j opérations + utilisations de charge (UC)</t>
        </is>
      </c>
      <c r="C46" s="60" t="inlineStr">
        <is>
          <t>stand-by days + %s operation days + utilisation charges (UC)</t>
        </is>
      </c>
    </row>
    <row r="47">
      <c r="A47" s="60" t="inlineStr">
        <is>
          <t>sec_cond</t>
        </is>
      </c>
      <c r="B47" s="60" t="inlineStr">
        <is>
          <t>CONDITIONS PARTICULIÈRES</t>
        </is>
      </c>
      <c r="C47" s="60" t="inlineStr">
        <is>
          <t>SPECIFIC CONDITIONS</t>
        </is>
      </c>
    </row>
    <row r="48">
      <c r="A48" s="60" t="inlineStr">
        <is>
          <t>cond</t>
        </is>
      </c>
      <c r="B48" s="60" t="inlineStr">
        <is>
          <t>La location s'entend depuis le jour de départ de la base d'origine jusqu'à son retour au même endroit.
Le Wear Charge s'applique pour toute usure liée à un usage normal des équipements. En cas de dommages plus importants liés à un usage anormal, la valeur de remplacement sera facturée sur documentation.
Charges additionnelles à prévoir pour le colisage d'outils destinés à une expédition en aérien ou maritime.
Tous les transports effectués auprès d'un fournisseur pour la fourniture des équipements sont facturés au coût réel +15 % (idem pour les frais de douane, etc.).
Conditions générales de vente disponibles sur demande ou sur notre site internet www.enedril.com</t>
        </is>
      </c>
      <c r="C48" s="60" t="inlineStr">
        <is>
          <t>The rental is from the day of departure from the base of origin until its return to the same place.
Wear Charge applies to all wear and tear related to normal use of equipment. In case of greater damage due to abnormal use, the replacement value will be charged based on supporting documentation.
Additional charges may apply for packing tools intended for air or ocean shipment.
All transport carried out through a supplier for the supply of equipment is invoiced at cost +15% (same for customs fees, etc.).
General conditions of sale available upon request or on our website www.enedril.com</t>
        </is>
      </c>
    </row>
    <row r="49">
      <c r="A49" s="60" t="inlineStr">
        <is>
          <t>accept</t>
        </is>
      </c>
      <c r="B49" s="60" t="inlineStr">
        <is>
          <t>BON POUR ACCORD</t>
        </is>
      </c>
      <c r="C49" s="60" t="inlineStr">
        <is>
          <t>ACCEPTED BY</t>
        </is>
      </c>
    </row>
    <row r="50">
      <c r="A50" s="60" t="inlineStr">
        <is>
          <t>sig_name</t>
        </is>
      </c>
      <c r="B50" s="60" t="inlineStr">
        <is>
          <t>Nom et qualité</t>
        </is>
      </c>
      <c r="C50" s="60" t="inlineStr">
        <is>
          <t>Name and title</t>
        </is>
      </c>
    </row>
    <row r="51">
      <c r="A51" s="60" t="inlineStr">
        <is>
          <t>sig_date</t>
        </is>
      </c>
      <c r="B51" s="60" t="inlineStr">
        <is>
          <t>Date</t>
        </is>
      </c>
      <c r="C51" s="60" t="inlineStr">
        <is>
          <t>Date</t>
        </is>
      </c>
    </row>
    <row r="52">
      <c r="A52" s="60" t="inlineStr">
        <is>
          <t>sig_sig</t>
        </is>
      </c>
      <c r="B52" s="60" t="inlineStr">
        <is>
          <t>Signature et cachet</t>
        </is>
      </c>
      <c r="C52" s="60" t="inlineStr">
        <is>
          <t>Signature and stamp</t>
        </is>
      </c>
    </row>
    <row r="53">
      <c r="A53" s="60" t="inlineStr">
        <is>
          <t>lump</t>
        </is>
      </c>
      <c r="B53" s="60" t="inlineStr">
        <is>
          <t>forfait</t>
        </is>
      </c>
      <c r="C53" s="60" t="inlineStr">
        <is>
          <t>lump sum</t>
        </is>
      </c>
    </row>
    <row r="54">
      <c r="A54" s="60" t="inlineStr">
        <is>
          <t>days</t>
        </is>
      </c>
      <c r="B54" s="60" t="inlineStr">
        <is>
          <t>JOURS</t>
        </is>
      </c>
      <c r="C54" s="60" t="inlineStr">
        <is>
          <t>DAYS</t>
        </is>
      </c>
    </row>
    <row r="55">
      <c r="A55" s="60" t="inlineStr">
        <is>
          <t>in_tight</t>
        </is>
      </c>
      <c r="B55" s="60" t="inlineStr">
        <is>
          <t>serrage compris</t>
        </is>
      </c>
      <c r="C55" s="60" t="inlineStr">
        <is>
          <t>make-up included</t>
        </is>
      </c>
    </row>
    <row r="56">
      <c r="A56" s="60" t="inlineStr">
        <is>
          <t>in_tr</t>
        </is>
      </c>
      <c r="B56" s="60" t="inlineStr">
        <is>
          <t>transport compris</t>
        </is>
      </c>
      <c r="C56" s="60" t="inlineStr">
        <is>
          <t>transport included</t>
        </is>
      </c>
    </row>
    <row r="57">
      <c r="A57" s="60" t="inlineStr">
        <is>
          <t>in_both</t>
        </is>
      </c>
      <c r="B57" s="60" t="inlineStr">
        <is>
          <t>serrage et transport compris</t>
        </is>
      </c>
      <c r="C57" s="60" t="inlineStr">
        <is>
          <t>make-up and transport included</t>
        </is>
      </c>
    </row>
    <row r="58">
      <c r="A58" s="60" t="inlineStr">
        <is>
          <t>sec_tight</t>
        </is>
      </c>
      <c r="B58" s="60" t="inlineStr">
        <is>
          <t>SERRAGE · TONG &amp; MAKE-UP</t>
        </is>
      </c>
      <c r="C58" s="60" t="inlineStr">
        <is>
          <t>TONG &amp; MAKE-UP SERVICE</t>
        </is>
      </c>
    </row>
    <row r="59">
      <c r="A59" s="60" t="inlineStr">
        <is>
          <t>sec_tr</t>
        </is>
      </c>
      <c r="B59" s="60" t="inlineStr">
        <is>
          <t>TRANSPORT</t>
        </is>
      </c>
      <c r="C59" s="60" t="inlineStr">
        <is>
          <t>TRANSPORT</t>
        </is>
      </c>
    </row>
    <row r="60">
      <c r="A60" s="60" t="inlineStr">
        <is>
          <t>sec_op</t>
        </is>
      </c>
      <c r="B60" s="60" t="inlineStr">
        <is>
          <t>OPÉRATEURS</t>
        </is>
      </c>
      <c r="C60" s="60" t="inlineStr">
        <is>
          <t>OPERATORS</t>
        </is>
      </c>
    </row>
  </sheetData>
  <pageMargins left="0.75" right="0.75" top="1" bottom="1" header="0.5" footer="0.5"/>
</worksheet>
</file>

<file path=xl/worksheets/sheet7.xml><?xml version="1.0" encoding="utf-8"?>
<worksheet xmlns="http://schemas.openxmlformats.org/spreadsheetml/2006/main">
  <sheetPr>
    <tabColor rgb="009FB6CE"/>
    <outlinePr summaryBelow="1" summaryRight="1"/>
    <pageSetUpPr/>
  </sheetPr>
  <dimension ref="A1:L35"/>
  <sheetViews>
    <sheetView showGridLines="0" workbookViewId="0">
      <selection activeCell="A1" sqref="A1"/>
    </sheetView>
  </sheetViews>
  <sheetFormatPr baseColWidth="8" defaultRowHeight="15"/>
  <sheetData>
    <row r="1">
      <c r="A1" t="inlineStr">
        <is>
          <t>actif</t>
        </is>
      </c>
      <c r="B1" t="inlineStr">
        <is>
          <t>rang</t>
        </is>
      </c>
      <c r="C1" t="inlineStr">
        <is>
          <t>type</t>
        </is>
      </c>
      <c r="D1" t="inlineStr">
        <is>
          <t>#</t>
        </is>
      </c>
      <c r="E1" t="inlineStr">
        <is>
          <t>libellé</t>
        </is>
      </c>
      <c r="F1" t="inlineStr">
        <is>
          <t>qté</t>
        </is>
      </c>
      <c r="G1" t="inlineStr">
        <is>
          <t>v1</t>
        </is>
      </c>
      <c r="H1" t="inlineStr">
        <is>
          <t>v2</t>
        </is>
      </c>
      <c r="I1" t="inlineStr">
        <is>
          <t>v3</t>
        </is>
      </c>
      <c r="J1" t="inlineStr">
        <is>
          <t>v4</t>
        </is>
      </c>
      <c r="K1" t="inlineStr">
        <is>
          <t>v5</t>
        </is>
      </c>
      <c r="L1" t="inlineStr">
        <is>
          <t>v6</t>
        </is>
      </c>
    </row>
    <row r="2">
      <c r="A2">
        <f>IF('2 Matériel'!$L6&gt;0,1,0)</f>
        <v/>
      </c>
      <c r="B2">
        <f>IF(A2=1,COUNTIF(A$2:A2,1),"")</f>
        <v/>
      </c>
      <c r="C2">
        <f>IF(A2=1,IF('2 Matériel'!$B6="Oui","BAN","ITM"),"")</f>
        <v/>
      </c>
      <c r="D2">
        <f>IF(C2="ITM",'2 Matériel'!$A6,"")</f>
        <v/>
      </c>
      <c r="E2">
        <f>IF(C2="BAN",UPPER('2 Matériel'!$C6),IF(C2="ITM",'2 Matériel'!$C6&amp;IF(AND('2 Matériel'!$K6="Oui",'3 Options'!$C$13="Oui"),"  ·  "&amp;INDEX(Textes!$B$2:$C$60,MATCH("incl_long",Textes!$A$2:$A$60,0),Listes!$H$1),""),""))</f>
        <v/>
      </c>
      <c r="F2">
        <f>IF(C2="ITM",'2 Matériel'!$L6,"")</f>
        <v/>
      </c>
      <c r="G2">
        <f>IF(C2="ITM",IF(AND(AND('2 Matériel'!$K6="Oui",'3 Options'!$C$13="Oui"),'3 Options'!$C$18&lt;&gt;"Oui"),INDEX(Textes!$B$2:$C$60,MATCH("incl",Textes!$A$2:$A$60,0),Listes!$H$1),IF('2 Matériel'!$E6="","",'2 Matériel'!$E6)),"")</f>
        <v/>
      </c>
      <c r="H2">
        <f>IF(C2="ITM",IF(AND(AND('2 Matériel'!$K6="Oui",'3 Options'!$C$13="Oui"),'3 Options'!$C$18&lt;&gt;"Oui"),INDEX(Textes!$B$2:$C$60,MATCH("incl",Textes!$A$2:$A$60,0),Listes!$H$1),IF('2 Matériel'!$F6="","",'2 Matériel'!$F6)),"")</f>
        <v/>
      </c>
      <c r="I2">
        <f>IF(C2="ITM",IF(AND(AND('2 Matériel'!$K6="Oui",'3 Options'!$C$13="Oui"),'3 Options'!$C$18&lt;&gt;"Oui"),INDEX(Textes!$B$2:$C$60,MATCH("incl",Textes!$A$2:$A$60,0),Listes!$H$1),IF('2 Matériel'!$G6="","",'2 Matériel'!$G6)),"")</f>
        <v/>
      </c>
      <c r="J2">
        <f>IF(C2="ITM",IF(AND(AND('2 Matériel'!$K6="Oui",'3 Options'!$C$13="Oui"),'3 Options'!$C$18&lt;&gt;"Oui"),INDEX(Textes!$B$2:$C$60,MATCH("incl",Textes!$A$2:$A$60,0),Listes!$H$1),IF('2 Matériel'!$H6="","",'2 Matériel'!$H6)),"")</f>
        <v/>
      </c>
      <c r="K2">
        <f>IF(C2="ITM",IF(AND(AND('2 Matériel'!$K6="Oui",'3 Options'!$C$13="Oui"),'3 Options'!$C$18&lt;&gt;"Oui"),INDEX(Textes!$B$2:$C$60,MATCH("incl",Textes!$A$2:$A$60,0),Listes!$H$1),IF('2 Matériel'!$I6="","",'2 Matériel'!$I6)),"")</f>
        <v/>
      </c>
      <c r="L2">
        <f>IF(C2="ITM",IF(AND(AND('2 Matériel'!$K6="Oui",'3 Options'!$C$13="Oui"),'3 Options'!$C$18&lt;&gt;"Oui"),INDEX(Textes!$B$2:$C$60,MATCH("incl",Textes!$A$2:$A$60,0),Listes!$H$1),IF('2 Matériel'!$J6="","",'2 Matériel'!$J6)),"")</f>
        <v/>
      </c>
    </row>
    <row r="3">
      <c r="A3">
        <f>IF('2 Matériel'!$L7&gt;0,1,0)</f>
        <v/>
      </c>
      <c r="B3">
        <f>IF(A3=1,COUNTIF(A$2:A3,1),"")</f>
        <v/>
      </c>
      <c r="C3">
        <f>IF(A3=1,IF('2 Matériel'!$B7="Oui","BAN","ITM"),"")</f>
        <v/>
      </c>
      <c r="D3">
        <f>IF(C3="ITM",'2 Matériel'!$A7,"")</f>
        <v/>
      </c>
      <c r="E3">
        <f>IF(C3="BAN",UPPER('2 Matériel'!$C7),IF(C3="ITM",'2 Matériel'!$C7&amp;IF(AND('2 Matériel'!$K7="Oui",'3 Options'!$C$13="Oui"),"  ·  "&amp;INDEX(Textes!$B$2:$C$60,MATCH("incl_long",Textes!$A$2:$A$60,0),Listes!$H$1),""),""))</f>
        <v/>
      </c>
      <c r="F3">
        <f>IF(C3="ITM",'2 Matériel'!$L7,"")</f>
        <v/>
      </c>
      <c r="G3">
        <f>IF(C3="ITM",IF(AND(AND('2 Matériel'!$K7="Oui",'3 Options'!$C$13="Oui"),'3 Options'!$C$18&lt;&gt;"Oui"),INDEX(Textes!$B$2:$C$60,MATCH("incl",Textes!$A$2:$A$60,0),Listes!$H$1),IF('2 Matériel'!$E7="","",'2 Matériel'!$E7)),"")</f>
        <v/>
      </c>
      <c r="H3">
        <f>IF(C3="ITM",IF(AND(AND('2 Matériel'!$K7="Oui",'3 Options'!$C$13="Oui"),'3 Options'!$C$18&lt;&gt;"Oui"),INDEX(Textes!$B$2:$C$60,MATCH("incl",Textes!$A$2:$A$60,0),Listes!$H$1),IF('2 Matériel'!$F7="","",'2 Matériel'!$F7)),"")</f>
        <v/>
      </c>
      <c r="I3">
        <f>IF(C3="ITM",IF(AND(AND('2 Matériel'!$K7="Oui",'3 Options'!$C$13="Oui"),'3 Options'!$C$18&lt;&gt;"Oui"),INDEX(Textes!$B$2:$C$60,MATCH("incl",Textes!$A$2:$A$60,0),Listes!$H$1),IF('2 Matériel'!$G7="","",'2 Matériel'!$G7)),"")</f>
        <v/>
      </c>
      <c r="J3">
        <f>IF(C3="ITM",IF(AND(AND('2 Matériel'!$K7="Oui",'3 Options'!$C$13="Oui"),'3 Options'!$C$18&lt;&gt;"Oui"),INDEX(Textes!$B$2:$C$60,MATCH("incl",Textes!$A$2:$A$60,0),Listes!$H$1),IF('2 Matériel'!$H7="","",'2 Matériel'!$H7)),"")</f>
        <v/>
      </c>
      <c r="K3">
        <f>IF(C3="ITM",IF(AND(AND('2 Matériel'!$K7="Oui",'3 Options'!$C$13="Oui"),'3 Options'!$C$18&lt;&gt;"Oui"),INDEX(Textes!$B$2:$C$60,MATCH("incl",Textes!$A$2:$A$60,0),Listes!$H$1),IF('2 Matériel'!$I7="","",'2 Matériel'!$I7)),"")</f>
        <v/>
      </c>
      <c r="L3">
        <f>IF(C3="ITM",IF(AND(AND('2 Matériel'!$K7="Oui",'3 Options'!$C$13="Oui"),'3 Options'!$C$18&lt;&gt;"Oui"),INDEX(Textes!$B$2:$C$60,MATCH("incl",Textes!$A$2:$A$60,0),Listes!$H$1),IF('2 Matériel'!$J7="","",'2 Matériel'!$J7)),"")</f>
        <v/>
      </c>
    </row>
    <row r="4">
      <c r="A4">
        <f>IF('2 Matériel'!$L8&gt;0,1,0)</f>
        <v/>
      </c>
      <c r="B4">
        <f>IF(A4=1,COUNTIF(A$2:A4,1),"")</f>
        <v/>
      </c>
      <c r="C4">
        <f>IF(A4=1,IF('2 Matériel'!$B8="Oui","BAN","ITM"),"")</f>
        <v/>
      </c>
      <c r="D4">
        <f>IF(C4="ITM",'2 Matériel'!$A8,"")</f>
        <v/>
      </c>
      <c r="E4">
        <f>IF(C4="BAN",UPPER('2 Matériel'!$C8),IF(C4="ITM",'2 Matériel'!$C8&amp;IF(AND('2 Matériel'!$K8="Oui",'3 Options'!$C$13="Oui"),"  ·  "&amp;INDEX(Textes!$B$2:$C$60,MATCH("incl_long",Textes!$A$2:$A$60,0),Listes!$H$1),""),""))</f>
        <v/>
      </c>
      <c r="F4">
        <f>IF(C4="ITM",'2 Matériel'!$L8,"")</f>
        <v/>
      </c>
      <c r="G4">
        <f>IF(C4="ITM",IF(AND(AND('2 Matériel'!$K8="Oui",'3 Options'!$C$13="Oui"),'3 Options'!$C$18&lt;&gt;"Oui"),INDEX(Textes!$B$2:$C$60,MATCH("incl",Textes!$A$2:$A$60,0),Listes!$H$1),IF('2 Matériel'!$E8="","",'2 Matériel'!$E8)),"")</f>
        <v/>
      </c>
      <c r="H4">
        <f>IF(C4="ITM",IF(AND(AND('2 Matériel'!$K8="Oui",'3 Options'!$C$13="Oui"),'3 Options'!$C$18&lt;&gt;"Oui"),INDEX(Textes!$B$2:$C$60,MATCH("incl",Textes!$A$2:$A$60,0),Listes!$H$1),IF('2 Matériel'!$F8="","",'2 Matériel'!$F8)),"")</f>
        <v/>
      </c>
      <c r="I4">
        <f>IF(C4="ITM",IF(AND(AND('2 Matériel'!$K8="Oui",'3 Options'!$C$13="Oui"),'3 Options'!$C$18&lt;&gt;"Oui"),INDEX(Textes!$B$2:$C$60,MATCH("incl",Textes!$A$2:$A$60,0),Listes!$H$1),IF('2 Matériel'!$G8="","",'2 Matériel'!$G8)),"")</f>
        <v/>
      </c>
      <c r="J4">
        <f>IF(C4="ITM",IF(AND(AND('2 Matériel'!$K8="Oui",'3 Options'!$C$13="Oui"),'3 Options'!$C$18&lt;&gt;"Oui"),INDEX(Textes!$B$2:$C$60,MATCH("incl",Textes!$A$2:$A$60,0),Listes!$H$1),IF('2 Matériel'!$H8="","",'2 Matériel'!$H8)),"")</f>
        <v/>
      </c>
      <c r="K4">
        <f>IF(C4="ITM",IF(AND(AND('2 Matériel'!$K8="Oui",'3 Options'!$C$13="Oui"),'3 Options'!$C$18&lt;&gt;"Oui"),INDEX(Textes!$B$2:$C$60,MATCH("incl",Textes!$A$2:$A$60,0),Listes!$H$1),IF('2 Matériel'!$I8="","",'2 Matériel'!$I8)),"")</f>
        <v/>
      </c>
      <c r="L4">
        <f>IF(C4="ITM",IF(AND(AND('2 Matériel'!$K8="Oui",'3 Options'!$C$13="Oui"),'3 Options'!$C$18&lt;&gt;"Oui"),INDEX(Textes!$B$2:$C$60,MATCH("incl",Textes!$A$2:$A$60,0),Listes!$H$1),IF('2 Matériel'!$J8="","",'2 Matériel'!$J8)),"")</f>
        <v/>
      </c>
    </row>
    <row r="5">
      <c r="A5">
        <f>IF('2 Matériel'!$L9&gt;0,1,0)</f>
        <v/>
      </c>
      <c r="B5">
        <f>IF(A5=1,COUNTIF(A$2:A5,1),"")</f>
        <v/>
      </c>
      <c r="C5">
        <f>IF(A5=1,IF('2 Matériel'!$B9="Oui","BAN","ITM"),"")</f>
        <v/>
      </c>
      <c r="D5">
        <f>IF(C5="ITM",'2 Matériel'!$A9,"")</f>
        <v/>
      </c>
      <c r="E5">
        <f>IF(C5="BAN",UPPER('2 Matériel'!$C9),IF(C5="ITM",'2 Matériel'!$C9&amp;IF(AND('2 Matériel'!$K9="Oui",'3 Options'!$C$13="Oui"),"  ·  "&amp;INDEX(Textes!$B$2:$C$60,MATCH("incl_long",Textes!$A$2:$A$60,0),Listes!$H$1),""),""))</f>
        <v/>
      </c>
      <c r="F5">
        <f>IF(C5="ITM",'2 Matériel'!$L9,"")</f>
        <v/>
      </c>
      <c r="G5">
        <f>IF(C5="ITM",IF(AND(AND('2 Matériel'!$K9="Oui",'3 Options'!$C$13="Oui"),'3 Options'!$C$18&lt;&gt;"Oui"),INDEX(Textes!$B$2:$C$60,MATCH("incl",Textes!$A$2:$A$60,0),Listes!$H$1),IF('2 Matériel'!$E9="","",'2 Matériel'!$E9)),"")</f>
        <v/>
      </c>
      <c r="H5">
        <f>IF(C5="ITM",IF(AND(AND('2 Matériel'!$K9="Oui",'3 Options'!$C$13="Oui"),'3 Options'!$C$18&lt;&gt;"Oui"),INDEX(Textes!$B$2:$C$60,MATCH("incl",Textes!$A$2:$A$60,0),Listes!$H$1),IF('2 Matériel'!$F9="","",'2 Matériel'!$F9)),"")</f>
        <v/>
      </c>
      <c r="I5">
        <f>IF(C5="ITM",IF(AND(AND('2 Matériel'!$K9="Oui",'3 Options'!$C$13="Oui"),'3 Options'!$C$18&lt;&gt;"Oui"),INDEX(Textes!$B$2:$C$60,MATCH("incl",Textes!$A$2:$A$60,0),Listes!$H$1),IF('2 Matériel'!$G9="","",'2 Matériel'!$G9)),"")</f>
        <v/>
      </c>
      <c r="J5">
        <f>IF(C5="ITM",IF(AND(AND('2 Matériel'!$K9="Oui",'3 Options'!$C$13="Oui"),'3 Options'!$C$18&lt;&gt;"Oui"),INDEX(Textes!$B$2:$C$60,MATCH("incl",Textes!$A$2:$A$60,0),Listes!$H$1),IF('2 Matériel'!$H9="","",'2 Matériel'!$H9)),"")</f>
        <v/>
      </c>
      <c r="K5">
        <f>IF(C5="ITM",IF(AND(AND('2 Matériel'!$K9="Oui",'3 Options'!$C$13="Oui"),'3 Options'!$C$18&lt;&gt;"Oui"),INDEX(Textes!$B$2:$C$60,MATCH("incl",Textes!$A$2:$A$60,0),Listes!$H$1),IF('2 Matériel'!$I9="","",'2 Matériel'!$I9)),"")</f>
        <v/>
      </c>
      <c r="L5">
        <f>IF(C5="ITM",IF(AND(AND('2 Matériel'!$K9="Oui",'3 Options'!$C$13="Oui"),'3 Options'!$C$18&lt;&gt;"Oui"),INDEX(Textes!$B$2:$C$60,MATCH("incl",Textes!$A$2:$A$60,0),Listes!$H$1),IF('2 Matériel'!$J9="","",'2 Matériel'!$J9)),"")</f>
        <v/>
      </c>
    </row>
    <row r="6">
      <c r="A6">
        <f>IF('2 Matériel'!$L10&gt;0,1,0)</f>
        <v/>
      </c>
      <c r="B6">
        <f>IF(A6=1,COUNTIF(A$2:A6,1),"")</f>
        <v/>
      </c>
      <c r="C6">
        <f>IF(A6=1,IF('2 Matériel'!$B10="Oui","BAN","ITM"),"")</f>
        <v/>
      </c>
      <c r="D6">
        <f>IF(C6="ITM",'2 Matériel'!$A10,"")</f>
        <v/>
      </c>
      <c r="E6">
        <f>IF(C6="BAN",UPPER('2 Matériel'!$C10),IF(C6="ITM",'2 Matériel'!$C10&amp;IF(AND('2 Matériel'!$K10="Oui",'3 Options'!$C$13="Oui"),"  ·  "&amp;INDEX(Textes!$B$2:$C$60,MATCH("incl_long",Textes!$A$2:$A$60,0),Listes!$H$1),""),""))</f>
        <v/>
      </c>
      <c r="F6">
        <f>IF(C6="ITM",'2 Matériel'!$L10,"")</f>
        <v/>
      </c>
      <c r="G6">
        <f>IF(C6="ITM",IF(AND(AND('2 Matériel'!$K10="Oui",'3 Options'!$C$13="Oui"),'3 Options'!$C$18&lt;&gt;"Oui"),INDEX(Textes!$B$2:$C$60,MATCH("incl",Textes!$A$2:$A$60,0),Listes!$H$1),IF('2 Matériel'!$E10="","",'2 Matériel'!$E10)),"")</f>
        <v/>
      </c>
      <c r="H6">
        <f>IF(C6="ITM",IF(AND(AND('2 Matériel'!$K10="Oui",'3 Options'!$C$13="Oui"),'3 Options'!$C$18&lt;&gt;"Oui"),INDEX(Textes!$B$2:$C$60,MATCH("incl",Textes!$A$2:$A$60,0),Listes!$H$1),IF('2 Matériel'!$F10="","",'2 Matériel'!$F10)),"")</f>
        <v/>
      </c>
      <c r="I6">
        <f>IF(C6="ITM",IF(AND(AND('2 Matériel'!$K10="Oui",'3 Options'!$C$13="Oui"),'3 Options'!$C$18&lt;&gt;"Oui"),INDEX(Textes!$B$2:$C$60,MATCH("incl",Textes!$A$2:$A$60,0),Listes!$H$1),IF('2 Matériel'!$G10="","",'2 Matériel'!$G10)),"")</f>
        <v/>
      </c>
      <c r="J6">
        <f>IF(C6="ITM",IF(AND(AND('2 Matériel'!$K10="Oui",'3 Options'!$C$13="Oui"),'3 Options'!$C$18&lt;&gt;"Oui"),INDEX(Textes!$B$2:$C$60,MATCH("incl",Textes!$A$2:$A$60,0),Listes!$H$1),IF('2 Matériel'!$H10="","",'2 Matériel'!$H10)),"")</f>
        <v/>
      </c>
      <c r="K6">
        <f>IF(C6="ITM",IF(AND(AND('2 Matériel'!$K10="Oui",'3 Options'!$C$13="Oui"),'3 Options'!$C$18&lt;&gt;"Oui"),INDEX(Textes!$B$2:$C$60,MATCH("incl",Textes!$A$2:$A$60,0),Listes!$H$1),IF('2 Matériel'!$I10="","",'2 Matériel'!$I10)),"")</f>
        <v/>
      </c>
      <c r="L6">
        <f>IF(C6="ITM",IF(AND(AND('2 Matériel'!$K10="Oui",'3 Options'!$C$13="Oui"),'3 Options'!$C$18&lt;&gt;"Oui"),INDEX(Textes!$B$2:$C$60,MATCH("incl",Textes!$A$2:$A$60,0),Listes!$H$1),IF('2 Matériel'!$J10="","",'2 Matériel'!$J10)),"")</f>
        <v/>
      </c>
    </row>
    <row r="7">
      <c r="A7">
        <f>IF('2 Matériel'!$L11&gt;0,1,0)</f>
        <v/>
      </c>
      <c r="B7">
        <f>IF(A7=1,COUNTIF(A$2:A7,1),"")</f>
        <v/>
      </c>
      <c r="C7">
        <f>IF(A7=1,IF('2 Matériel'!$B11="Oui","BAN","ITM"),"")</f>
        <v/>
      </c>
      <c r="D7">
        <f>IF(C7="ITM",'2 Matériel'!$A11,"")</f>
        <v/>
      </c>
      <c r="E7">
        <f>IF(C7="BAN",UPPER('2 Matériel'!$C11),IF(C7="ITM",'2 Matériel'!$C11&amp;IF(AND('2 Matériel'!$K11="Oui",'3 Options'!$C$13="Oui"),"  ·  "&amp;INDEX(Textes!$B$2:$C$60,MATCH("incl_long",Textes!$A$2:$A$60,0),Listes!$H$1),""),""))</f>
        <v/>
      </c>
      <c r="F7">
        <f>IF(C7="ITM",'2 Matériel'!$L11,"")</f>
        <v/>
      </c>
      <c r="G7">
        <f>IF(C7="ITM",IF(AND(AND('2 Matériel'!$K11="Oui",'3 Options'!$C$13="Oui"),'3 Options'!$C$18&lt;&gt;"Oui"),INDEX(Textes!$B$2:$C$60,MATCH("incl",Textes!$A$2:$A$60,0),Listes!$H$1),IF('2 Matériel'!$E11="","",'2 Matériel'!$E11)),"")</f>
        <v/>
      </c>
      <c r="H7">
        <f>IF(C7="ITM",IF(AND(AND('2 Matériel'!$K11="Oui",'3 Options'!$C$13="Oui"),'3 Options'!$C$18&lt;&gt;"Oui"),INDEX(Textes!$B$2:$C$60,MATCH("incl",Textes!$A$2:$A$60,0),Listes!$H$1),IF('2 Matériel'!$F11="","",'2 Matériel'!$F11)),"")</f>
        <v/>
      </c>
      <c r="I7">
        <f>IF(C7="ITM",IF(AND(AND('2 Matériel'!$K11="Oui",'3 Options'!$C$13="Oui"),'3 Options'!$C$18&lt;&gt;"Oui"),INDEX(Textes!$B$2:$C$60,MATCH("incl",Textes!$A$2:$A$60,0),Listes!$H$1),IF('2 Matériel'!$G11="","",'2 Matériel'!$G11)),"")</f>
        <v/>
      </c>
      <c r="J7">
        <f>IF(C7="ITM",IF(AND(AND('2 Matériel'!$K11="Oui",'3 Options'!$C$13="Oui"),'3 Options'!$C$18&lt;&gt;"Oui"),INDEX(Textes!$B$2:$C$60,MATCH("incl",Textes!$A$2:$A$60,0),Listes!$H$1),IF('2 Matériel'!$H11="","",'2 Matériel'!$H11)),"")</f>
        <v/>
      </c>
      <c r="K7">
        <f>IF(C7="ITM",IF(AND(AND('2 Matériel'!$K11="Oui",'3 Options'!$C$13="Oui"),'3 Options'!$C$18&lt;&gt;"Oui"),INDEX(Textes!$B$2:$C$60,MATCH("incl",Textes!$A$2:$A$60,0),Listes!$H$1),IF('2 Matériel'!$I11="","",'2 Matériel'!$I11)),"")</f>
        <v/>
      </c>
      <c r="L7">
        <f>IF(C7="ITM",IF(AND(AND('2 Matériel'!$K11="Oui",'3 Options'!$C$13="Oui"),'3 Options'!$C$18&lt;&gt;"Oui"),INDEX(Textes!$B$2:$C$60,MATCH("incl",Textes!$A$2:$A$60,0),Listes!$H$1),IF('2 Matériel'!$J11="","",'2 Matériel'!$J11)),"")</f>
        <v/>
      </c>
    </row>
    <row r="8">
      <c r="A8">
        <f>IF('2 Matériel'!$L12&gt;0,1,0)</f>
        <v/>
      </c>
      <c r="B8">
        <f>IF(A8=1,COUNTIF(A$2:A8,1),"")</f>
        <v/>
      </c>
      <c r="C8">
        <f>IF(A8=1,IF('2 Matériel'!$B12="Oui","BAN","ITM"),"")</f>
        <v/>
      </c>
      <c r="D8">
        <f>IF(C8="ITM",'2 Matériel'!$A12,"")</f>
        <v/>
      </c>
      <c r="E8">
        <f>IF(C8="BAN",UPPER('2 Matériel'!$C12),IF(C8="ITM",'2 Matériel'!$C12&amp;IF(AND('2 Matériel'!$K12="Oui",'3 Options'!$C$13="Oui"),"  ·  "&amp;INDEX(Textes!$B$2:$C$60,MATCH("incl_long",Textes!$A$2:$A$60,0),Listes!$H$1),""),""))</f>
        <v/>
      </c>
      <c r="F8">
        <f>IF(C8="ITM",'2 Matériel'!$L12,"")</f>
        <v/>
      </c>
      <c r="G8">
        <f>IF(C8="ITM",IF(AND(AND('2 Matériel'!$K12="Oui",'3 Options'!$C$13="Oui"),'3 Options'!$C$18&lt;&gt;"Oui"),INDEX(Textes!$B$2:$C$60,MATCH("incl",Textes!$A$2:$A$60,0),Listes!$H$1),IF('2 Matériel'!$E12="","",'2 Matériel'!$E12)),"")</f>
        <v/>
      </c>
      <c r="H8">
        <f>IF(C8="ITM",IF(AND(AND('2 Matériel'!$K12="Oui",'3 Options'!$C$13="Oui"),'3 Options'!$C$18&lt;&gt;"Oui"),INDEX(Textes!$B$2:$C$60,MATCH("incl",Textes!$A$2:$A$60,0),Listes!$H$1),IF('2 Matériel'!$F12="","",'2 Matériel'!$F12)),"")</f>
        <v/>
      </c>
      <c r="I8">
        <f>IF(C8="ITM",IF(AND(AND('2 Matériel'!$K12="Oui",'3 Options'!$C$13="Oui"),'3 Options'!$C$18&lt;&gt;"Oui"),INDEX(Textes!$B$2:$C$60,MATCH("incl",Textes!$A$2:$A$60,0),Listes!$H$1),IF('2 Matériel'!$G12="","",'2 Matériel'!$G12)),"")</f>
        <v/>
      </c>
      <c r="J8">
        <f>IF(C8="ITM",IF(AND(AND('2 Matériel'!$K12="Oui",'3 Options'!$C$13="Oui"),'3 Options'!$C$18&lt;&gt;"Oui"),INDEX(Textes!$B$2:$C$60,MATCH("incl",Textes!$A$2:$A$60,0),Listes!$H$1),IF('2 Matériel'!$H12="","",'2 Matériel'!$H12)),"")</f>
        <v/>
      </c>
      <c r="K8">
        <f>IF(C8="ITM",IF(AND(AND('2 Matériel'!$K12="Oui",'3 Options'!$C$13="Oui"),'3 Options'!$C$18&lt;&gt;"Oui"),INDEX(Textes!$B$2:$C$60,MATCH("incl",Textes!$A$2:$A$60,0),Listes!$H$1),IF('2 Matériel'!$I12="","",'2 Matériel'!$I12)),"")</f>
        <v/>
      </c>
      <c r="L8">
        <f>IF(C8="ITM",IF(AND(AND('2 Matériel'!$K12="Oui",'3 Options'!$C$13="Oui"),'3 Options'!$C$18&lt;&gt;"Oui"),INDEX(Textes!$B$2:$C$60,MATCH("incl",Textes!$A$2:$A$60,0),Listes!$H$1),IF('2 Matériel'!$J12="","",'2 Matériel'!$J12)),"")</f>
        <v/>
      </c>
    </row>
    <row r="9">
      <c r="A9">
        <f>IF('2 Matériel'!$L13&gt;0,1,0)</f>
        <v/>
      </c>
      <c r="B9">
        <f>IF(A9=1,COUNTIF(A$2:A9,1),"")</f>
        <v/>
      </c>
      <c r="C9">
        <f>IF(A9=1,IF('2 Matériel'!$B13="Oui","BAN","ITM"),"")</f>
        <v/>
      </c>
      <c r="D9">
        <f>IF(C9="ITM",'2 Matériel'!$A13,"")</f>
        <v/>
      </c>
      <c r="E9">
        <f>IF(C9="BAN",UPPER('2 Matériel'!$C13),IF(C9="ITM",'2 Matériel'!$C13&amp;IF(AND('2 Matériel'!$K13="Oui",'3 Options'!$C$13="Oui"),"  ·  "&amp;INDEX(Textes!$B$2:$C$60,MATCH("incl_long",Textes!$A$2:$A$60,0),Listes!$H$1),""),""))</f>
        <v/>
      </c>
      <c r="F9">
        <f>IF(C9="ITM",'2 Matériel'!$L13,"")</f>
        <v/>
      </c>
      <c r="G9">
        <f>IF(C9="ITM",IF(AND(AND('2 Matériel'!$K13="Oui",'3 Options'!$C$13="Oui"),'3 Options'!$C$18&lt;&gt;"Oui"),INDEX(Textes!$B$2:$C$60,MATCH("incl",Textes!$A$2:$A$60,0),Listes!$H$1),IF('2 Matériel'!$E13="","",'2 Matériel'!$E13)),"")</f>
        <v/>
      </c>
      <c r="H9">
        <f>IF(C9="ITM",IF(AND(AND('2 Matériel'!$K13="Oui",'3 Options'!$C$13="Oui"),'3 Options'!$C$18&lt;&gt;"Oui"),INDEX(Textes!$B$2:$C$60,MATCH("incl",Textes!$A$2:$A$60,0),Listes!$H$1),IF('2 Matériel'!$F13="","",'2 Matériel'!$F13)),"")</f>
        <v/>
      </c>
      <c r="I9">
        <f>IF(C9="ITM",IF(AND(AND('2 Matériel'!$K13="Oui",'3 Options'!$C$13="Oui"),'3 Options'!$C$18&lt;&gt;"Oui"),INDEX(Textes!$B$2:$C$60,MATCH("incl",Textes!$A$2:$A$60,0),Listes!$H$1),IF('2 Matériel'!$G13="","",'2 Matériel'!$G13)),"")</f>
        <v/>
      </c>
      <c r="J9">
        <f>IF(C9="ITM",IF(AND(AND('2 Matériel'!$K13="Oui",'3 Options'!$C$13="Oui"),'3 Options'!$C$18&lt;&gt;"Oui"),INDEX(Textes!$B$2:$C$60,MATCH("incl",Textes!$A$2:$A$60,0),Listes!$H$1),IF('2 Matériel'!$H13="","",'2 Matériel'!$H13)),"")</f>
        <v/>
      </c>
      <c r="K9">
        <f>IF(C9="ITM",IF(AND(AND('2 Matériel'!$K13="Oui",'3 Options'!$C$13="Oui"),'3 Options'!$C$18&lt;&gt;"Oui"),INDEX(Textes!$B$2:$C$60,MATCH("incl",Textes!$A$2:$A$60,0),Listes!$H$1),IF('2 Matériel'!$I13="","",'2 Matériel'!$I13)),"")</f>
        <v/>
      </c>
      <c r="L9">
        <f>IF(C9="ITM",IF(AND(AND('2 Matériel'!$K13="Oui",'3 Options'!$C$13="Oui"),'3 Options'!$C$18&lt;&gt;"Oui"),INDEX(Textes!$B$2:$C$60,MATCH("incl",Textes!$A$2:$A$60,0),Listes!$H$1),IF('2 Matériel'!$J13="","",'2 Matériel'!$J13)),"")</f>
        <v/>
      </c>
    </row>
    <row r="10">
      <c r="A10">
        <f>IF('2 Matériel'!$L14&gt;0,1,0)</f>
        <v/>
      </c>
      <c r="B10">
        <f>IF(A10=1,COUNTIF(A$2:A10,1),"")</f>
        <v/>
      </c>
      <c r="C10">
        <f>IF(A10=1,IF('2 Matériel'!$B14="Oui","BAN","ITM"),"")</f>
        <v/>
      </c>
      <c r="D10">
        <f>IF(C10="ITM",'2 Matériel'!$A14,"")</f>
        <v/>
      </c>
      <c r="E10">
        <f>IF(C10="BAN",UPPER('2 Matériel'!$C14),IF(C10="ITM",'2 Matériel'!$C14&amp;IF(AND('2 Matériel'!$K14="Oui",'3 Options'!$C$13="Oui"),"  ·  "&amp;INDEX(Textes!$B$2:$C$60,MATCH("incl_long",Textes!$A$2:$A$60,0),Listes!$H$1),""),""))</f>
        <v/>
      </c>
      <c r="F10">
        <f>IF(C10="ITM",'2 Matériel'!$L14,"")</f>
        <v/>
      </c>
      <c r="G10">
        <f>IF(C10="ITM",IF(AND(AND('2 Matériel'!$K14="Oui",'3 Options'!$C$13="Oui"),'3 Options'!$C$18&lt;&gt;"Oui"),INDEX(Textes!$B$2:$C$60,MATCH("incl",Textes!$A$2:$A$60,0),Listes!$H$1),IF('2 Matériel'!$E14="","",'2 Matériel'!$E14)),"")</f>
        <v/>
      </c>
      <c r="H10">
        <f>IF(C10="ITM",IF(AND(AND('2 Matériel'!$K14="Oui",'3 Options'!$C$13="Oui"),'3 Options'!$C$18&lt;&gt;"Oui"),INDEX(Textes!$B$2:$C$60,MATCH("incl",Textes!$A$2:$A$60,0),Listes!$H$1),IF('2 Matériel'!$F14="","",'2 Matériel'!$F14)),"")</f>
        <v/>
      </c>
      <c r="I10">
        <f>IF(C10="ITM",IF(AND(AND('2 Matériel'!$K14="Oui",'3 Options'!$C$13="Oui"),'3 Options'!$C$18&lt;&gt;"Oui"),INDEX(Textes!$B$2:$C$60,MATCH("incl",Textes!$A$2:$A$60,0),Listes!$H$1),IF('2 Matériel'!$G14="","",'2 Matériel'!$G14)),"")</f>
        <v/>
      </c>
      <c r="J10">
        <f>IF(C10="ITM",IF(AND(AND('2 Matériel'!$K14="Oui",'3 Options'!$C$13="Oui"),'3 Options'!$C$18&lt;&gt;"Oui"),INDEX(Textes!$B$2:$C$60,MATCH("incl",Textes!$A$2:$A$60,0),Listes!$H$1),IF('2 Matériel'!$H14="","",'2 Matériel'!$H14)),"")</f>
        <v/>
      </c>
      <c r="K10">
        <f>IF(C10="ITM",IF(AND(AND('2 Matériel'!$K14="Oui",'3 Options'!$C$13="Oui"),'3 Options'!$C$18&lt;&gt;"Oui"),INDEX(Textes!$B$2:$C$60,MATCH("incl",Textes!$A$2:$A$60,0),Listes!$H$1),IF('2 Matériel'!$I14="","",'2 Matériel'!$I14)),"")</f>
        <v/>
      </c>
      <c r="L10">
        <f>IF(C10="ITM",IF(AND(AND('2 Matériel'!$K14="Oui",'3 Options'!$C$13="Oui"),'3 Options'!$C$18&lt;&gt;"Oui"),INDEX(Textes!$B$2:$C$60,MATCH("incl",Textes!$A$2:$A$60,0),Listes!$H$1),IF('2 Matériel'!$J14="","",'2 Matériel'!$J14)),"")</f>
        <v/>
      </c>
    </row>
    <row r="11">
      <c r="A11">
        <f>IF('2 Matériel'!$L15&gt;0,1,0)</f>
        <v/>
      </c>
      <c r="B11">
        <f>IF(A11=1,COUNTIF(A$2:A11,1),"")</f>
        <v/>
      </c>
      <c r="C11">
        <f>IF(A11=1,IF('2 Matériel'!$B15="Oui","BAN","ITM"),"")</f>
        <v/>
      </c>
      <c r="D11">
        <f>IF(C11="ITM",'2 Matériel'!$A15,"")</f>
        <v/>
      </c>
      <c r="E11">
        <f>IF(C11="BAN",UPPER('2 Matériel'!$C15),IF(C11="ITM",'2 Matériel'!$C15&amp;IF(AND('2 Matériel'!$K15="Oui",'3 Options'!$C$13="Oui"),"  ·  "&amp;INDEX(Textes!$B$2:$C$60,MATCH("incl_long",Textes!$A$2:$A$60,0),Listes!$H$1),""),""))</f>
        <v/>
      </c>
      <c r="F11">
        <f>IF(C11="ITM",'2 Matériel'!$L15,"")</f>
        <v/>
      </c>
      <c r="G11">
        <f>IF(C11="ITM",IF(AND(AND('2 Matériel'!$K15="Oui",'3 Options'!$C$13="Oui"),'3 Options'!$C$18&lt;&gt;"Oui"),INDEX(Textes!$B$2:$C$60,MATCH("incl",Textes!$A$2:$A$60,0),Listes!$H$1),IF('2 Matériel'!$E15="","",'2 Matériel'!$E15)),"")</f>
        <v/>
      </c>
      <c r="H11">
        <f>IF(C11="ITM",IF(AND(AND('2 Matériel'!$K15="Oui",'3 Options'!$C$13="Oui"),'3 Options'!$C$18&lt;&gt;"Oui"),INDEX(Textes!$B$2:$C$60,MATCH("incl",Textes!$A$2:$A$60,0),Listes!$H$1),IF('2 Matériel'!$F15="","",'2 Matériel'!$F15)),"")</f>
        <v/>
      </c>
      <c r="I11">
        <f>IF(C11="ITM",IF(AND(AND('2 Matériel'!$K15="Oui",'3 Options'!$C$13="Oui"),'3 Options'!$C$18&lt;&gt;"Oui"),INDEX(Textes!$B$2:$C$60,MATCH("incl",Textes!$A$2:$A$60,0),Listes!$H$1),IF('2 Matériel'!$G15="","",'2 Matériel'!$G15)),"")</f>
        <v/>
      </c>
      <c r="J11">
        <f>IF(C11="ITM",IF(AND(AND('2 Matériel'!$K15="Oui",'3 Options'!$C$13="Oui"),'3 Options'!$C$18&lt;&gt;"Oui"),INDEX(Textes!$B$2:$C$60,MATCH("incl",Textes!$A$2:$A$60,0),Listes!$H$1),IF('2 Matériel'!$H15="","",'2 Matériel'!$H15)),"")</f>
        <v/>
      </c>
      <c r="K11">
        <f>IF(C11="ITM",IF(AND(AND('2 Matériel'!$K15="Oui",'3 Options'!$C$13="Oui"),'3 Options'!$C$18&lt;&gt;"Oui"),INDEX(Textes!$B$2:$C$60,MATCH("incl",Textes!$A$2:$A$60,0),Listes!$H$1),IF('2 Matériel'!$I15="","",'2 Matériel'!$I15)),"")</f>
        <v/>
      </c>
      <c r="L11">
        <f>IF(C11="ITM",IF(AND(AND('2 Matériel'!$K15="Oui",'3 Options'!$C$13="Oui"),'3 Options'!$C$18&lt;&gt;"Oui"),INDEX(Textes!$B$2:$C$60,MATCH("incl",Textes!$A$2:$A$60,0),Listes!$H$1),IF('2 Matériel'!$J15="","",'2 Matériel'!$J15)),"")</f>
        <v/>
      </c>
    </row>
    <row r="12">
      <c r="A12">
        <f>IF('2 Matériel'!$L16&gt;0,1,0)</f>
        <v/>
      </c>
      <c r="B12">
        <f>IF(A12=1,COUNTIF(A$2:A12,1),"")</f>
        <v/>
      </c>
      <c r="C12">
        <f>IF(A12=1,IF('2 Matériel'!$B16="Oui","BAN","ITM"),"")</f>
        <v/>
      </c>
      <c r="D12">
        <f>IF(C12="ITM",'2 Matériel'!$A16,"")</f>
        <v/>
      </c>
      <c r="E12">
        <f>IF(C12="BAN",UPPER('2 Matériel'!$C16),IF(C12="ITM",'2 Matériel'!$C16&amp;IF(AND('2 Matériel'!$K16="Oui",'3 Options'!$C$13="Oui"),"  ·  "&amp;INDEX(Textes!$B$2:$C$60,MATCH("incl_long",Textes!$A$2:$A$60,0),Listes!$H$1),""),""))</f>
        <v/>
      </c>
      <c r="F12">
        <f>IF(C12="ITM",'2 Matériel'!$L16,"")</f>
        <v/>
      </c>
      <c r="G12">
        <f>IF(C12="ITM",IF(AND(AND('2 Matériel'!$K16="Oui",'3 Options'!$C$13="Oui"),'3 Options'!$C$18&lt;&gt;"Oui"),INDEX(Textes!$B$2:$C$60,MATCH("incl",Textes!$A$2:$A$60,0),Listes!$H$1),IF('2 Matériel'!$E16="","",'2 Matériel'!$E16)),"")</f>
        <v/>
      </c>
      <c r="H12">
        <f>IF(C12="ITM",IF(AND(AND('2 Matériel'!$K16="Oui",'3 Options'!$C$13="Oui"),'3 Options'!$C$18&lt;&gt;"Oui"),INDEX(Textes!$B$2:$C$60,MATCH("incl",Textes!$A$2:$A$60,0),Listes!$H$1),IF('2 Matériel'!$F16="","",'2 Matériel'!$F16)),"")</f>
        <v/>
      </c>
      <c r="I12">
        <f>IF(C12="ITM",IF(AND(AND('2 Matériel'!$K16="Oui",'3 Options'!$C$13="Oui"),'3 Options'!$C$18&lt;&gt;"Oui"),INDEX(Textes!$B$2:$C$60,MATCH("incl",Textes!$A$2:$A$60,0),Listes!$H$1),IF('2 Matériel'!$G16="","",'2 Matériel'!$G16)),"")</f>
        <v/>
      </c>
      <c r="J12">
        <f>IF(C12="ITM",IF(AND(AND('2 Matériel'!$K16="Oui",'3 Options'!$C$13="Oui"),'3 Options'!$C$18&lt;&gt;"Oui"),INDEX(Textes!$B$2:$C$60,MATCH("incl",Textes!$A$2:$A$60,0),Listes!$H$1),IF('2 Matériel'!$H16="","",'2 Matériel'!$H16)),"")</f>
        <v/>
      </c>
      <c r="K12">
        <f>IF(C12="ITM",IF(AND(AND('2 Matériel'!$K16="Oui",'3 Options'!$C$13="Oui"),'3 Options'!$C$18&lt;&gt;"Oui"),INDEX(Textes!$B$2:$C$60,MATCH("incl",Textes!$A$2:$A$60,0),Listes!$H$1),IF('2 Matériel'!$I16="","",'2 Matériel'!$I16)),"")</f>
        <v/>
      </c>
      <c r="L12">
        <f>IF(C12="ITM",IF(AND(AND('2 Matériel'!$K16="Oui",'3 Options'!$C$13="Oui"),'3 Options'!$C$18&lt;&gt;"Oui"),INDEX(Textes!$B$2:$C$60,MATCH("incl",Textes!$A$2:$A$60,0),Listes!$H$1),IF('2 Matériel'!$J16="","",'2 Matériel'!$J16)),"")</f>
        <v/>
      </c>
    </row>
    <row r="13">
      <c r="A13">
        <f>IF('2 Matériel'!$L17&gt;0,1,0)</f>
        <v/>
      </c>
      <c r="B13">
        <f>IF(A13=1,COUNTIF(A$2:A13,1),"")</f>
        <v/>
      </c>
      <c r="C13">
        <f>IF(A13=1,IF('2 Matériel'!$B17="Oui","BAN","ITM"),"")</f>
        <v/>
      </c>
      <c r="D13">
        <f>IF(C13="ITM",'2 Matériel'!$A17,"")</f>
        <v/>
      </c>
      <c r="E13">
        <f>IF(C13="BAN",UPPER('2 Matériel'!$C17),IF(C13="ITM",'2 Matériel'!$C17&amp;IF(AND('2 Matériel'!$K17="Oui",'3 Options'!$C$13="Oui"),"  ·  "&amp;INDEX(Textes!$B$2:$C$60,MATCH("incl_long",Textes!$A$2:$A$60,0),Listes!$H$1),""),""))</f>
        <v/>
      </c>
      <c r="F13">
        <f>IF(C13="ITM",'2 Matériel'!$L17,"")</f>
        <v/>
      </c>
      <c r="G13">
        <f>IF(C13="ITM",IF(AND(AND('2 Matériel'!$K17="Oui",'3 Options'!$C$13="Oui"),'3 Options'!$C$18&lt;&gt;"Oui"),INDEX(Textes!$B$2:$C$60,MATCH("incl",Textes!$A$2:$A$60,0),Listes!$H$1),IF('2 Matériel'!$E17="","",'2 Matériel'!$E17)),"")</f>
        <v/>
      </c>
      <c r="H13">
        <f>IF(C13="ITM",IF(AND(AND('2 Matériel'!$K17="Oui",'3 Options'!$C$13="Oui"),'3 Options'!$C$18&lt;&gt;"Oui"),INDEX(Textes!$B$2:$C$60,MATCH("incl",Textes!$A$2:$A$60,0),Listes!$H$1),IF('2 Matériel'!$F17="","",'2 Matériel'!$F17)),"")</f>
        <v/>
      </c>
      <c r="I13">
        <f>IF(C13="ITM",IF(AND(AND('2 Matériel'!$K17="Oui",'3 Options'!$C$13="Oui"),'3 Options'!$C$18&lt;&gt;"Oui"),INDEX(Textes!$B$2:$C$60,MATCH("incl",Textes!$A$2:$A$60,0),Listes!$H$1),IF('2 Matériel'!$G17="","",'2 Matériel'!$G17)),"")</f>
        <v/>
      </c>
      <c r="J13">
        <f>IF(C13="ITM",IF(AND(AND('2 Matériel'!$K17="Oui",'3 Options'!$C$13="Oui"),'3 Options'!$C$18&lt;&gt;"Oui"),INDEX(Textes!$B$2:$C$60,MATCH("incl",Textes!$A$2:$A$60,0),Listes!$H$1),IF('2 Matériel'!$H17="","",'2 Matériel'!$H17)),"")</f>
        <v/>
      </c>
      <c r="K13">
        <f>IF(C13="ITM",IF(AND(AND('2 Matériel'!$K17="Oui",'3 Options'!$C$13="Oui"),'3 Options'!$C$18&lt;&gt;"Oui"),INDEX(Textes!$B$2:$C$60,MATCH("incl",Textes!$A$2:$A$60,0),Listes!$H$1),IF('2 Matériel'!$I17="","",'2 Matériel'!$I17)),"")</f>
        <v/>
      </c>
      <c r="L13">
        <f>IF(C13="ITM",IF(AND(AND('2 Matériel'!$K17="Oui",'3 Options'!$C$13="Oui"),'3 Options'!$C$18&lt;&gt;"Oui"),INDEX(Textes!$B$2:$C$60,MATCH("incl",Textes!$A$2:$A$60,0),Listes!$H$1),IF('2 Matériel'!$J17="","",'2 Matériel'!$J17)),"")</f>
        <v/>
      </c>
    </row>
    <row r="14">
      <c r="A14">
        <f>IF('2 Matériel'!$L18&gt;0,1,0)</f>
        <v/>
      </c>
      <c r="B14">
        <f>IF(A14=1,COUNTIF(A$2:A14,1),"")</f>
        <v/>
      </c>
      <c r="C14">
        <f>IF(A14=1,IF('2 Matériel'!$B18="Oui","BAN","ITM"),"")</f>
        <v/>
      </c>
      <c r="D14">
        <f>IF(C14="ITM",'2 Matériel'!$A18,"")</f>
        <v/>
      </c>
      <c r="E14">
        <f>IF(C14="BAN",UPPER('2 Matériel'!$C18),IF(C14="ITM",'2 Matériel'!$C18&amp;IF(AND('2 Matériel'!$K18="Oui",'3 Options'!$C$13="Oui"),"  ·  "&amp;INDEX(Textes!$B$2:$C$60,MATCH("incl_long",Textes!$A$2:$A$60,0),Listes!$H$1),""),""))</f>
        <v/>
      </c>
      <c r="F14">
        <f>IF(C14="ITM",'2 Matériel'!$L18,"")</f>
        <v/>
      </c>
      <c r="G14">
        <f>IF(C14="ITM",IF(AND(AND('2 Matériel'!$K18="Oui",'3 Options'!$C$13="Oui"),'3 Options'!$C$18&lt;&gt;"Oui"),INDEX(Textes!$B$2:$C$60,MATCH("incl",Textes!$A$2:$A$60,0),Listes!$H$1),IF('2 Matériel'!$E18="","",'2 Matériel'!$E18)),"")</f>
        <v/>
      </c>
      <c r="H14">
        <f>IF(C14="ITM",IF(AND(AND('2 Matériel'!$K18="Oui",'3 Options'!$C$13="Oui"),'3 Options'!$C$18&lt;&gt;"Oui"),INDEX(Textes!$B$2:$C$60,MATCH("incl",Textes!$A$2:$A$60,0),Listes!$H$1),IF('2 Matériel'!$F18="","",'2 Matériel'!$F18)),"")</f>
        <v/>
      </c>
      <c r="I14">
        <f>IF(C14="ITM",IF(AND(AND('2 Matériel'!$K18="Oui",'3 Options'!$C$13="Oui"),'3 Options'!$C$18&lt;&gt;"Oui"),INDEX(Textes!$B$2:$C$60,MATCH("incl",Textes!$A$2:$A$60,0),Listes!$H$1),IF('2 Matériel'!$G18="","",'2 Matériel'!$G18)),"")</f>
        <v/>
      </c>
      <c r="J14">
        <f>IF(C14="ITM",IF(AND(AND('2 Matériel'!$K18="Oui",'3 Options'!$C$13="Oui"),'3 Options'!$C$18&lt;&gt;"Oui"),INDEX(Textes!$B$2:$C$60,MATCH("incl",Textes!$A$2:$A$60,0),Listes!$H$1),IF('2 Matériel'!$H18="","",'2 Matériel'!$H18)),"")</f>
        <v/>
      </c>
      <c r="K14">
        <f>IF(C14="ITM",IF(AND(AND('2 Matériel'!$K18="Oui",'3 Options'!$C$13="Oui"),'3 Options'!$C$18&lt;&gt;"Oui"),INDEX(Textes!$B$2:$C$60,MATCH("incl",Textes!$A$2:$A$60,0),Listes!$H$1),IF('2 Matériel'!$I18="","",'2 Matériel'!$I18)),"")</f>
        <v/>
      </c>
      <c r="L14">
        <f>IF(C14="ITM",IF(AND(AND('2 Matériel'!$K18="Oui",'3 Options'!$C$13="Oui"),'3 Options'!$C$18&lt;&gt;"Oui"),INDEX(Textes!$B$2:$C$60,MATCH("incl",Textes!$A$2:$A$60,0),Listes!$H$1),IF('2 Matériel'!$J18="","",'2 Matériel'!$J18)),"")</f>
        <v/>
      </c>
    </row>
    <row r="15">
      <c r="A15">
        <f>IF('2 Matériel'!$L19&gt;0,1,0)</f>
        <v/>
      </c>
      <c r="B15">
        <f>IF(A15=1,COUNTIF(A$2:A15,1),"")</f>
        <v/>
      </c>
      <c r="C15">
        <f>IF(A15=1,IF('2 Matériel'!$B19="Oui","BAN","ITM"),"")</f>
        <v/>
      </c>
      <c r="D15">
        <f>IF(C15="ITM",'2 Matériel'!$A19,"")</f>
        <v/>
      </c>
      <c r="E15">
        <f>IF(C15="BAN",UPPER('2 Matériel'!$C19),IF(C15="ITM",'2 Matériel'!$C19&amp;IF(AND('2 Matériel'!$K19="Oui",'3 Options'!$C$13="Oui"),"  ·  "&amp;INDEX(Textes!$B$2:$C$60,MATCH("incl_long",Textes!$A$2:$A$60,0),Listes!$H$1),""),""))</f>
        <v/>
      </c>
      <c r="F15">
        <f>IF(C15="ITM",'2 Matériel'!$L19,"")</f>
        <v/>
      </c>
      <c r="G15">
        <f>IF(C15="ITM",IF(AND(AND('2 Matériel'!$K19="Oui",'3 Options'!$C$13="Oui"),'3 Options'!$C$18&lt;&gt;"Oui"),INDEX(Textes!$B$2:$C$60,MATCH("incl",Textes!$A$2:$A$60,0),Listes!$H$1),IF('2 Matériel'!$E19="","",'2 Matériel'!$E19)),"")</f>
        <v/>
      </c>
      <c r="H15">
        <f>IF(C15="ITM",IF(AND(AND('2 Matériel'!$K19="Oui",'3 Options'!$C$13="Oui"),'3 Options'!$C$18&lt;&gt;"Oui"),INDEX(Textes!$B$2:$C$60,MATCH("incl",Textes!$A$2:$A$60,0),Listes!$H$1),IF('2 Matériel'!$F19="","",'2 Matériel'!$F19)),"")</f>
        <v/>
      </c>
      <c r="I15">
        <f>IF(C15="ITM",IF(AND(AND('2 Matériel'!$K19="Oui",'3 Options'!$C$13="Oui"),'3 Options'!$C$18&lt;&gt;"Oui"),INDEX(Textes!$B$2:$C$60,MATCH("incl",Textes!$A$2:$A$60,0),Listes!$H$1),IF('2 Matériel'!$G19="","",'2 Matériel'!$G19)),"")</f>
        <v/>
      </c>
      <c r="J15">
        <f>IF(C15="ITM",IF(AND(AND('2 Matériel'!$K19="Oui",'3 Options'!$C$13="Oui"),'3 Options'!$C$18&lt;&gt;"Oui"),INDEX(Textes!$B$2:$C$60,MATCH("incl",Textes!$A$2:$A$60,0),Listes!$H$1),IF('2 Matériel'!$H19="","",'2 Matériel'!$H19)),"")</f>
        <v/>
      </c>
      <c r="K15">
        <f>IF(C15="ITM",IF(AND(AND('2 Matériel'!$K19="Oui",'3 Options'!$C$13="Oui"),'3 Options'!$C$18&lt;&gt;"Oui"),INDEX(Textes!$B$2:$C$60,MATCH("incl",Textes!$A$2:$A$60,0),Listes!$H$1),IF('2 Matériel'!$I19="","",'2 Matériel'!$I19)),"")</f>
        <v/>
      </c>
      <c r="L15">
        <f>IF(C15="ITM",IF(AND(AND('2 Matériel'!$K19="Oui",'3 Options'!$C$13="Oui"),'3 Options'!$C$18&lt;&gt;"Oui"),INDEX(Textes!$B$2:$C$60,MATCH("incl",Textes!$A$2:$A$60,0),Listes!$H$1),IF('2 Matériel'!$J19="","",'2 Matériel'!$J19)),"")</f>
        <v/>
      </c>
    </row>
    <row r="16">
      <c r="A16">
        <f>IF('2 Matériel'!$L20&gt;0,1,0)</f>
        <v/>
      </c>
      <c r="B16">
        <f>IF(A16=1,COUNTIF(A$2:A16,1),"")</f>
        <v/>
      </c>
      <c r="C16">
        <f>IF(A16=1,IF('2 Matériel'!$B20="Oui","BAN","ITM"),"")</f>
        <v/>
      </c>
      <c r="D16">
        <f>IF(C16="ITM",'2 Matériel'!$A20,"")</f>
        <v/>
      </c>
      <c r="E16">
        <f>IF(C16="BAN",UPPER('2 Matériel'!$C20),IF(C16="ITM",'2 Matériel'!$C20&amp;IF(AND('2 Matériel'!$K20="Oui",'3 Options'!$C$13="Oui"),"  ·  "&amp;INDEX(Textes!$B$2:$C$60,MATCH("incl_long",Textes!$A$2:$A$60,0),Listes!$H$1),""),""))</f>
        <v/>
      </c>
      <c r="F16">
        <f>IF(C16="ITM",'2 Matériel'!$L20,"")</f>
        <v/>
      </c>
      <c r="G16">
        <f>IF(C16="ITM",IF(AND(AND('2 Matériel'!$K20="Oui",'3 Options'!$C$13="Oui"),'3 Options'!$C$18&lt;&gt;"Oui"),INDEX(Textes!$B$2:$C$60,MATCH("incl",Textes!$A$2:$A$60,0),Listes!$H$1),IF('2 Matériel'!$E20="","",'2 Matériel'!$E20)),"")</f>
        <v/>
      </c>
      <c r="H16">
        <f>IF(C16="ITM",IF(AND(AND('2 Matériel'!$K20="Oui",'3 Options'!$C$13="Oui"),'3 Options'!$C$18&lt;&gt;"Oui"),INDEX(Textes!$B$2:$C$60,MATCH("incl",Textes!$A$2:$A$60,0),Listes!$H$1),IF('2 Matériel'!$F20="","",'2 Matériel'!$F20)),"")</f>
        <v/>
      </c>
      <c r="I16">
        <f>IF(C16="ITM",IF(AND(AND('2 Matériel'!$K20="Oui",'3 Options'!$C$13="Oui"),'3 Options'!$C$18&lt;&gt;"Oui"),INDEX(Textes!$B$2:$C$60,MATCH("incl",Textes!$A$2:$A$60,0),Listes!$H$1),IF('2 Matériel'!$G20="","",'2 Matériel'!$G20)),"")</f>
        <v/>
      </c>
      <c r="J16">
        <f>IF(C16="ITM",IF(AND(AND('2 Matériel'!$K20="Oui",'3 Options'!$C$13="Oui"),'3 Options'!$C$18&lt;&gt;"Oui"),INDEX(Textes!$B$2:$C$60,MATCH("incl",Textes!$A$2:$A$60,0),Listes!$H$1),IF('2 Matériel'!$H20="","",'2 Matériel'!$H20)),"")</f>
        <v/>
      </c>
      <c r="K16">
        <f>IF(C16="ITM",IF(AND(AND('2 Matériel'!$K20="Oui",'3 Options'!$C$13="Oui"),'3 Options'!$C$18&lt;&gt;"Oui"),INDEX(Textes!$B$2:$C$60,MATCH("incl",Textes!$A$2:$A$60,0),Listes!$H$1),IF('2 Matériel'!$I20="","",'2 Matériel'!$I20)),"")</f>
        <v/>
      </c>
      <c r="L16">
        <f>IF(C16="ITM",IF(AND(AND('2 Matériel'!$K20="Oui",'3 Options'!$C$13="Oui"),'3 Options'!$C$18&lt;&gt;"Oui"),INDEX(Textes!$B$2:$C$60,MATCH("incl",Textes!$A$2:$A$60,0),Listes!$H$1),IF('2 Matériel'!$J20="","",'2 Matériel'!$J20)),"")</f>
        <v/>
      </c>
    </row>
    <row r="17">
      <c r="A17">
        <f>IF('2 Matériel'!$L21&gt;0,1,0)</f>
        <v/>
      </c>
      <c r="B17">
        <f>IF(A17=1,COUNTIF(A$2:A17,1),"")</f>
        <v/>
      </c>
      <c r="C17">
        <f>IF(A17=1,IF('2 Matériel'!$B21="Oui","BAN","ITM"),"")</f>
        <v/>
      </c>
      <c r="D17">
        <f>IF(C17="ITM",'2 Matériel'!$A21,"")</f>
        <v/>
      </c>
      <c r="E17">
        <f>IF(C17="BAN",UPPER('2 Matériel'!$C21),IF(C17="ITM",'2 Matériel'!$C21&amp;IF(AND('2 Matériel'!$K21="Oui",'3 Options'!$C$13="Oui"),"  ·  "&amp;INDEX(Textes!$B$2:$C$60,MATCH("incl_long",Textes!$A$2:$A$60,0),Listes!$H$1),""),""))</f>
        <v/>
      </c>
      <c r="F17">
        <f>IF(C17="ITM",'2 Matériel'!$L21,"")</f>
        <v/>
      </c>
      <c r="G17">
        <f>IF(C17="ITM",IF(AND(AND('2 Matériel'!$K21="Oui",'3 Options'!$C$13="Oui"),'3 Options'!$C$18&lt;&gt;"Oui"),INDEX(Textes!$B$2:$C$60,MATCH("incl",Textes!$A$2:$A$60,0),Listes!$H$1),IF('2 Matériel'!$E21="","",'2 Matériel'!$E21)),"")</f>
        <v/>
      </c>
      <c r="H17">
        <f>IF(C17="ITM",IF(AND(AND('2 Matériel'!$K21="Oui",'3 Options'!$C$13="Oui"),'3 Options'!$C$18&lt;&gt;"Oui"),INDEX(Textes!$B$2:$C$60,MATCH("incl",Textes!$A$2:$A$60,0),Listes!$H$1),IF('2 Matériel'!$F21="","",'2 Matériel'!$F21)),"")</f>
        <v/>
      </c>
      <c r="I17">
        <f>IF(C17="ITM",IF(AND(AND('2 Matériel'!$K21="Oui",'3 Options'!$C$13="Oui"),'3 Options'!$C$18&lt;&gt;"Oui"),INDEX(Textes!$B$2:$C$60,MATCH("incl",Textes!$A$2:$A$60,0),Listes!$H$1),IF('2 Matériel'!$G21="","",'2 Matériel'!$G21)),"")</f>
        <v/>
      </c>
      <c r="J17">
        <f>IF(C17="ITM",IF(AND(AND('2 Matériel'!$K21="Oui",'3 Options'!$C$13="Oui"),'3 Options'!$C$18&lt;&gt;"Oui"),INDEX(Textes!$B$2:$C$60,MATCH("incl",Textes!$A$2:$A$60,0),Listes!$H$1),IF('2 Matériel'!$H21="","",'2 Matériel'!$H21)),"")</f>
        <v/>
      </c>
      <c r="K17">
        <f>IF(C17="ITM",IF(AND(AND('2 Matériel'!$K21="Oui",'3 Options'!$C$13="Oui"),'3 Options'!$C$18&lt;&gt;"Oui"),INDEX(Textes!$B$2:$C$60,MATCH("incl",Textes!$A$2:$A$60,0),Listes!$H$1),IF('2 Matériel'!$I21="","",'2 Matériel'!$I21)),"")</f>
        <v/>
      </c>
      <c r="L17">
        <f>IF(C17="ITM",IF(AND(AND('2 Matériel'!$K21="Oui",'3 Options'!$C$13="Oui"),'3 Options'!$C$18&lt;&gt;"Oui"),INDEX(Textes!$B$2:$C$60,MATCH("incl",Textes!$A$2:$A$60,0),Listes!$H$1),IF('2 Matériel'!$J21="","",'2 Matériel'!$J21)),"")</f>
        <v/>
      </c>
    </row>
    <row r="18">
      <c r="A18">
        <f>IF('2 Matériel'!$L22&gt;0,1,0)</f>
        <v/>
      </c>
      <c r="B18">
        <f>IF(A18=1,COUNTIF(A$2:A18,1),"")</f>
        <v/>
      </c>
      <c r="C18">
        <f>IF(A18=1,IF('2 Matériel'!$B22="Oui","BAN","ITM"),"")</f>
        <v/>
      </c>
      <c r="D18">
        <f>IF(C18="ITM",'2 Matériel'!$A22,"")</f>
        <v/>
      </c>
      <c r="E18">
        <f>IF(C18="BAN",UPPER('2 Matériel'!$C22),IF(C18="ITM",'2 Matériel'!$C22&amp;IF(AND('2 Matériel'!$K22="Oui",'3 Options'!$C$13="Oui"),"  ·  "&amp;INDEX(Textes!$B$2:$C$60,MATCH("incl_long",Textes!$A$2:$A$60,0),Listes!$H$1),""),""))</f>
        <v/>
      </c>
      <c r="F18">
        <f>IF(C18="ITM",'2 Matériel'!$L22,"")</f>
        <v/>
      </c>
      <c r="G18">
        <f>IF(C18="ITM",IF(AND(AND('2 Matériel'!$K22="Oui",'3 Options'!$C$13="Oui"),'3 Options'!$C$18&lt;&gt;"Oui"),INDEX(Textes!$B$2:$C$60,MATCH("incl",Textes!$A$2:$A$60,0),Listes!$H$1),IF('2 Matériel'!$E22="","",'2 Matériel'!$E22)),"")</f>
        <v/>
      </c>
      <c r="H18">
        <f>IF(C18="ITM",IF(AND(AND('2 Matériel'!$K22="Oui",'3 Options'!$C$13="Oui"),'3 Options'!$C$18&lt;&gt;"Oui"),INDEX(Textes!$B$2:$C$60,MATCH("incl",Textes!$A$2:$A$60,0),Listes!$H$1),IF('2 Matériel'!$F22="","",'2 Matériel'!$F22)),"")</f>
        <v/>
      </c>
      <c r="I18">
        <f>IF(C18="ITM",IF(AND(AND('2 Matériel'!$K22="Oui",'3 Options'!$C$13="Oui"),'3 Options'!$C$18&lt;&gt;"Oui"),INDEX(Textes!$B$2:$C$60,MATCH("incl",Textes!$A$2:$A$60,0),Listes!$H$1),IF('2 Matériel'!$G22="","",'2 Matériel'!$G22)),"")</f>
        <v/>
      </c>
      <c r="J18">
        <f>IF(C18="ITM",IF(AND(AND('2 Matériel'!$K22="Oui",'3 Options'!$C$13="Oui"),'3 Options'!$C$18&lt;&gt;"Oui"),INDEX(Textes!$B$2:$C$60,MATCH("incl",Textes!$A$2:$A$60,0),Listes!$H$1),IF('2 Matériel'!$H22="","",'2 Matériel'!$H22)),"")</f>
        <v/>
      </c>
      <c r="K18">
        <f>IF(C18="ITM",IF(AND(AND('2 Matériel'!$K22="Oui",'3 Options'!$C$13="Oui"),'3 Options'!$C$18&lt;&gt;"Oui"),INDEX(Textes!$B$2:$C$60,MATCH("incl",Textes!$A$2:$A$60,0),Listes!$H$1),IF('2 Matériel'!$I22="","",'2 Matériel'!$I22)),"")</f>
        <v/>
      </c>
      <c r="L18">
        <f>IF(C18="ITM",IF(AND(AND('2 Matériel'!$K22="Oui",'3 Options'!$C$13="Oui"),'3 Options'!$C$18&lt;&gt;"Oui"),INDEX(Textes!$B$2:$C$60,MATCH("incl",Textes!$A$2:$A$60,0),Listes!$H$1),IF('2 Matériel'!$J22="","",'2 Matériel'!$J22)),"")</f>
        <v/>
      </c>
    </row>
    <row r="19">
      <c r="A19">
        <f>IF('2 Matériel'!$L23&gt;0,1,0)</f>
        <v/>
      </c>
      <c r="B19">
        <f>IF(A19=1,COUNTIF(A$2:A19,1),"")</f>
        <v/>
      </c>
      <c r="C19">
        <f>IF(A19=1,IF('2 Matériel'!$B23="Oui","BAN","ITM"),"")</f>
        <v/>
      </c>
      <c r="D19">
        <f>IF(C19="ITM",'2 Matériel'!$A23,"")</f>
        <v/>
      </c>
      <c r="E19">
        <f>IF(C19="BAN",UPPER('2 Matériel'!$C23),IF(C19="ITM",'2 Matériel'!$C23&amp;IF(AND('2 Matériel'!$K23="Oui",'3 Options'!$C$13="Oui"),"  ·  "&amp;INDEX(Textes!$B$2:$C$60,MATCH("incl_long",Textes!$A$2:$A$60,0),Listes!$H$1),""),""))</f>
        <v/>
      </c>
      <c r="F19">
        <f>IF(C19="ITM",'2 Matériel'!$L23,"")</f>
        <v/>
      </c>
      <c r="G19">
        <f>IF(C19="ITM",IF(AND(AND('2 Matériel'!$K23="Oui",'3 Options'!$C$13="Oui"),'3 Options'!$C$18&lt;&gt;"Oui"),INDEX(Textes!$B$2:$C$60,MATCH("incl",Textes!$A$2:$A$60,0),Listes!$H$1),IF('2 Matériel'!$E23="","",'2 Matériel'!$E23)),"")</f>
        <v/>
      </c>
      <c r="H19">
        <f>IF(C19="ITM",IF(AND(AND('2 Matériel'!$K23="Oui",'3 Options'!$C$13="Oui"),'3 Options'!$C$18&lt;&gt;"Oui"),INDEX(Textes!$B$2:$C$60,MATCH("incl",Textes!$A$2:$A$60,0),Listes!$H$1),IF('2 Matériel'!$F23="","",'2 Matériel'!$F23)),"")</f>
        <v/>
      </c>
      <c r="I19">
        <f>IF(C19="ITM",IF(AND(AND('2 Matériel'!$K23="Oui",'3 Options'!$C$13="Oui"),'3 Options'!$C$18&lt;&gt;"Oui"),INDEX(Textes!$B$2:$C$60,MATCH("incl",Textes!$A$2:$A$60,0),Listes!$H$1),IF('2 Matériel'!$G23="","",'2 Matériel'!$G23)),"")</f>
        <v/>
      </c>
      <c r="J19">
        <f>IF(C19="ITM",IF(AND(AND('2 Matériel'!$K23="Oui",'3 Options'!$C$13="Oui"),'3 Options'!$C$18&lt;&gt;"Oui"),INDEX(Textes!$B$2:$C$60,MATCH("incl",Textes!$A$2:$A$60,0),Listes!$H$1),IF('2 Matériel'!$H23="","",'2 Matériel'!$H23)),"")</f>
        <v/>
      </c>
      <c r="K19">
        <f>IF(C19="ITM",IF(AND(AND('2 Matériel'!$K23="Oui",'3 Options'!$C$13="Oui"),'3 Options'!$C$18&lt;&gt;"Oui"),INDEX(Textes!$B$2:$C$60,MATCH("incl",Textes!$A$2:$A$60,0),Listes!$H$1),IF('2 Matériel'!$I23="","",'2 Matériel'!$I23)),"")</f>
        <v/>
      </c>
      <c r="L19">
        <f>IF(C19="ITM",IF(AND(AND('2 Matériel'!$K23="Oui",'3 Options'!$C$13="Oui"),'3 Options'!$C$18&lt;&gt;"Oui"),INDEX(Textes!$B$2:$C$60,MATCH("incl",Textes!$A$2:$A$60,0),Listes!$H$1),IF('2 Matériel'!$J23="","",'2 Matériel'!$J23)),"")</f>
        <v/>
      </c>
    </row>
    <row r="20">
      <c r="A20">
        <f>IF('2 Matériel'!$L24&gt;0,1,0)</f>
        <v/>
      </c>
      <c r="B20">
        <f>IF(A20=1,COUNTIF(A$2:A20,1),"")</f>
        <v/>
      </c>
      <c r="C20">
        <f>IF(A20=1,IF('2 Matériel'!$B24="Oui","BAN","ITM"),"")</f>
        <v/>
      </c>
      <c r="D20">
        <f>IF(C20="ITM",'2 Matériel'!$A24,"")</f>
        <v/>
      </c>
      <c r="E20">
        <f>IF(C20="BAN",UPPER('2 Matériel'!$C24),IF(C20="ITM",'2 Matériel'!$C24&amp;IF(AND('2 Matériel'!$K24="Oui",'3 Options'!$C$13="Oui"),"  ·  "&amp;INDEX(Textes!$B$2:$C$60,MATCH("incl_long",Textes!$A$2:$A$60,0),Listes!$H$1),""),""))</f>
        <v/>
      </c>
      <c r="F20">
        <f>IF(C20="ITM",'2 Matériel'!$L24,"")</f>
        <v/>
      </c>
      <c r="G20">
        <f>IF(C20="ITM",IF(AND(AND('2 Matériel'!$K24="Oui",'3 Options'!$C$13="Oui"),'3 Options'!$C$18&lt;&gt;"Oui"),INDEX(Textes!$B$2:$C$60,MATCH("incl",Textes!$A$2:$A$60,0),Listes!$H$1),IF('2 Matériel'!$E24="","",'2 Matériel'!$E24)),"")</f>
        <v/>
      </c>
      <c r="H20">
        <f>IF(C20="ITM",IF(AND(AND('2 Matériel'!$K24="Oui",'3 Options'!$C$13="Oui"),'3 Options'!$C$18&lt;&gt;"Oui"),INDEX(Textes!$B$2:$C$60,MATCH("incl",Textes!$A$2:$A$60,0),Listes!$H$1),IF('2 Matériel'!$F24="","",'2 Matériel'!$F24)),"")</f>
        <v/>
      </c>
      <c r="I20">
        <f>IF(C20="ITM",IF(AND(AND('2 Matériel'!$K24="Oui",'3 Options'!$C$13="Oui"),'3 Options'!$C$18&lt;&gt;"Oui"),INDEX(Textes!$B$2:$C$60,MATCH("incl",Textes!$A$2:$A$60,0),Listes!$H$1),IF('2 Matériel'!$G24="","",'2 Matériel'!$G24)),"")</f>
        <v/>
      </c>
      <c r="J20">
        <f>IF(C20="ITM",IF(AND(AND('2 Matériel'!$K24="Oui",'3 Options'!$C$13="Oui"),'3 Options'!$C$18&lt;&gt;"Oui"),INDEX(Textes!$B$2:$C$60,MATCH("incl",Textes!$A$2:$A$60,0),Listes!$H$1),IF('2 Matériel'!$H24="","",'2 Matériel'!$H24)),"")</f>
        <v/>
      </c>
      <c r="K20">
        <f>IF(C20="ITM",IF(AND(AND('2 Matériel'!$K24="Oui",'3 Options'!$C$13="Oui"),'3 Options'!$C$18&lt;&gt;"Oui"),INDEX(Textes!$B$2:$C$60,MATCH("incl",Textes!$A$2:$A$60,0),Listes!$H$1),IF('2 Matériel'!$I24="","",'2 Matériel'!$I24)),"")</f>
        <v/>
      </c>
      <c r="L20">
        <f>IF(C20="ITM",IF(AND(AND('2 Matériel'!$K24="Oui",'3 Options'!$C$13="Oui"),'3 Options'!$C$18&lt;&gt;"Oui"),INDEX(Textes!$B$2:$C$60,MATCH("incl",Textes!$A$2:$A$60,0),Listes!$H$1),IF('2 Matériel'!$J24="","",'2 Matériel'!$J24)),"")</f>
        <v/>
      </c>
    </row>
    <row r="21">
      <c r="A21">
        <f>IF('2 Matériel'!$L25&gt;0,1,0)</f>
        <v/>
      </c>
      <c r="B21">
        <f>IF(A21=1,COUNTIF(A$2:A21,1),"")</f>
        <v/>
      </c>
      <c r="C21">
        <f>IF(A21=1,IF('2 Matériel'!$B25="Oui","BAN","ITM"),"")</f>
        <v/>
      </c>
      <c r="D21">
        <f>IF(C21="ITM",'2 Matériel'!$A25,"")</f>
        <v/>
      </c>
      <c r="E21">
        <f>IF(C21="BAN",UPPER('2 Matériel'!$C25),IF(C21="ITM",'2 Matériel'!$C25&amp;IF(AND('2 Matériel'!$K25="Oui",'3 Options'!$C$13="Oui"),"  ·  "&amp;INDEX(Textes!$B$2:$C$60,MATCH("incl_long",Textes!$A$2:$A$60,0),Listes!$H$1),""),""))</f>
        <v/>
      </c>
      <c r="F21">
        <f>IF(C21="ITM",'2 Matériel'!$L25,"")</f>
        <v/>
      </c>
      <c r="G21">
        <f>IF(C21="ITM",IF(AND(AND('2 Matériel'!$K25="Oui",'3 Options'!$C$13="Oui"),'3 Options'!$C$18&lt;&gt;"Oui"),INDEX(Textes!$B$2:$C$60,MATCH("incl",Textes!$A$2:$A$60,0),Listes!$H$1),IF('2 Matériel'!$E25="","",'2 Matériel'!$E25)),"")</f>
        <v/>
      </c>
      <c r="H21">
        <f>IF(C21="ITM",IF(AND(AND('2 Matériel'!$K25="Oui",'3 Options'!$C$13="Oui"),'3 Options'!$C$18&lt;&gt;"Oui"),INDEX(Textes!$B$2:$C$60,MATCH("incl",Textes!$A$2:$A$60,0),Listes!$H$1),IF('2 Matériel'!$F25="","",'2 Matériel'!$F25)),"")</f>
        <v/>
      </c>
      <c r="I21">
        <f>IF(C21="ITM",IF(AND(AND('2 Matériel'!$K25="Oui",'3 Options'!$C$13="Oui"),'3 Options'!$C$18&lt;&gt;"Oui"),INDEX(Textes!$B$2:$C$60,MATCH("incl",Textes!$A$2:$A$60,0),Listes!$H$1),IF('2 Matériel'!$G25="","",'2 Matériel'!$G25)),"")</f>
        <v/>
      </c>
      <c r="J21">
        <f>IF(C21="ITM",IF(AND(AND('2 Matériel'!$K25="Oui",'3 Options'!$C$13="Oui"),'3 Options'!$C$18&lt;&gt;"Oui"),INDEX(Textes!$B$2:$C$60,MATCH("incl",Textes!$A$2:$A$60,0),Listes!$H$1),IF('2 Matériel'!$H25="","",'2 Matériel'!$H25)),"")</f>
        <v/>
      </c>
      <c r="K21">
        <f>IF(C21="ITM",IF(AND(AND('2 Matériel'!$K25="Oui",'3 Options'!$C$13="Oui"),'3 Options'!$C$18&lt;&gt;"Oui"),INDEX(Textes!$B$2:$C$60,MATCH("incl",Textes!$A$2:$A$60,0),Listes!$H$1),IF('2 Matériel'!$I25="","",'2 Matériel'!$I25)),"")</f>
        <v/>
      </c>
      <c r="L21">
        <f>IF(C21="ITM",IF(AND(AND('2 Matériel'!$K25="Oui",'3 Options'!$C$13="Oui"),'3 Options'!$C$18&lt;&gt;"Oui"),INDEX(Textes!$B$2:$C$60,MATCH("incl",Textes!$A$2:$A$60,0),Listes!$H$1),IF('2 Matériel'!$J25="","",'2 Matériel'!$J25)),"")</f>
        <v/>
      </c>
    </row>
    <row r="22">
      <c r="A22">
        <f>IF('2 Matériel'!$L26&gt;0,1,0)</f>
        <v/>
      </c>
      <c r="B22">
        <f>IF(A22=1,COUNTIF(A$2:A22,1),"")</f>
        <v/>
      </c>
      <c r="C22">
        <f>IF(A22=1,IF('2 Matériel'!$B26="Oui","BAN","ITM"),"")</f>
        <v/>
      </c>
      <c r="D22">
        <f>IF(C22="ITM",'2 Matériel'!$A26,"")</f>
        <v/>
      </c>
      <c r="E22">
        <f>IF(C22="BAN",UPPER('2 Matériel'!$C26),IF(C22="ITM",'2 Matériel'!$C26&amp;IF(AND('2 Matériel'!$K26="Oui",'3 Options'!$C$13="Oui"),"  ·  "&amp;INDEX(Textes!$B$2:$C$60,MATCH("incl_long",Textes!$A$2:$A$60,0),Listes!$H$1),""),""))</f>
        <v/>
      </c>
      <c r="F22">
        <f>IF(C22="ITM",'2 Matériel'!$L26,"")</f>
        <v/>
      </c>
      <c r="G22">
        <f>IF(C22="ITM",IF(AND(AND('2 Matériel'!$K26="Oui",'3 Options'!$C$13="Oui"),'3 Options'!$C$18&lt;&gt;"Oui"),INDEX(Textes!$B$2:$C$60,MATCH("incl",Textes!$A$2:$A$60,0),Listes!$H$1),IF('2 Matériel'!$E26="","",'2 Matériel'!$E26)),"")</f>
        <v/>
      </c>
      <c r="H22">
        <f>IF(C22="ITM",IF(AND(AND('2 Matériel'!$K26="Oui",'3 Options'!$C$13="Oui"),'3 Options'!$C$18&lt;&gt;"Oui"),INDEX(Textes!$B$2:$C$60,MATCH("incl",Textes!$A$2:$A$60,0),Listes!$H$1),IF('2 Matériel'!$F26="","",'2 Matériel'!$F26)),"")</f>
        <v/>
      </c>
      <c r="I22">
        <f>IF(C22="ITM",IF(AND(AND('2 Matériel'!$K26="Oui",'3 Options'!$C$13="Oui"),'3 Options'!$C$18&lt;&gt;"Oui"),INDEX(Textes!$B$2:$C$60,MATCH("incl",Textes!$A$2:$A$60,0),Listes!$H$1),IF('2 Matériel'!$G26="","",'2 Matériel'!$G26)),"")</f>
        <v/>
      </c>
      <c r="J22">
        <f>IF(C22="ITM",IF(AND(AND('2 Matériel'!$K26="Oui",'3 Options'!$C$13="Oui"),'3 Options'!$C$18&lt;&gt;"Oui"),INDEX(Textes!$B$2:$C$60,MATCH("incl",Textes!$A$2:$A$60,0),Listes!$H$1),IF('2 Matériel'!$H26="","",'2 Matériel'!$H26)),"")</f>
        <v/>
      </c>
      <c r="K22">
        <f>IF(C22="ITM",IF(AND(AND('2 Matériel'!$K26="Oui",'3 Options'!$C$13="Oui"),'3 Options'!$C$18&lt;&gt;"Oui"),INDEX(Textes!$B$2:$C$60,MATCH("incl",Textes!$A$2:$A$60,0),Listes!$H$1),IF('2 Matériel'!$I26="","",'2 Matériel'!$I26)),"")</f>
        <v/>
      </c>
      <c r="L22">
        <f>IF(C22="ITM",IF(AND(AND('2 Matériel'!$K26="Oui",'3 Options'!$C$13="Oui"),'3 Options'!$C$18&lt;&gt;"Oui"),INDEX(Textes!$B$2:$C$60,MATCH("incl",Textes!$A$2:$A$60,0),Listes!$H$1),IF('2 Matériel'!$J26="","",'2 Matériel'!$J26)),"")</f>
        <v/>
      </c>
    </row>
    <row r="23">
      <c r="A23">
        <f>IF('2 Matériel'!$L27&gt;0,1,0)</f>
        <v/>
      </c>
      <c r="B23">
        <f>IF(A23=1,COUNTIF(A$2:A23,1),"")</f>
        <v/>
      </c>
      <c r="C23">
        <f>IF(A23=1,IF('2 Matériel'!$B27="Oui","BAN","ITM"),"")</f>
        <v/>
      </c>
      <c r="D23">
        <f>IF(C23="ITM",'2 Matériel'!$A27,"")</f>
        <v/>
      </c>
      <c r="E23">
        <f>IF(C23="BAN",UPPER('2 Matériel'!$C27),IF(C23="ITM",'2 Matériel'!$C27&amp;IF(AND('2 Matériel'!$K27="Oui",'3 Options'!$C$13="Oui"),"  ·  "&amp;INDEX(Textes!$B$2:$C$60,MATCH("incl_long",Textes!$A$2:$A$60,0),Listes!$H$1),""),""))</f>
        <v/>
      </c>
      <c r="F23">
        <f>IF(C23="ITM",'2 Matériel'!$L27,"")</f>
        <v/>
      </c>
      <c r="G23">
        <f>IF(C23="ITM",IF(AND(AND('2 Matériel'!$K27="Oui",'3 Options'!$C$13="Oui"),'3 Options'!$C$18&lt;&gt;"Oui"),INDEX(Textes!$B$2:$C$60,MATCH("incl",Textes!$A$2:$A$60,0),Listes!$H$1),IF('2 Matériel'!$E27="","",'2 Matériel'!$E27)),"")</f>
        <v/>
      </c>
      <c r="H23">
        <f>IF(C23="ITM",IF(AND(AND('2 Matériel'!$K27="Oui",'3 Options'!$C$13="Oui"),'3 Options'!$C$18&lt;&gt;"Oui"),INDEX(Textes!$B$2:$C$60,MATCH("incl",Textes!$A$2:$A$60,0),Listes!$H$1),IF('2 Matériel'!$F27="","",'2 Matériel'!$F27)),"")</f>
        <v/>
      </c>
      <c r="I23">
        <f>IF(C23="ITM",IF(AND(AND('2 Matériel'!$K27="Oui",'3 Options'!$C$13="Oui"),'3 Options'!$C$18&lt;&gt;"Oui"),INDEX(Textes!$B$2:$C$60,MATCH("incl",Textes!$A$2:$A$60,0),Listes!$H$1),IF('2 Matériel'!$G27="","",'2 Matériel'!$G27)),"")</f>
        <v/>
      </c>
      <c r="J23">
        <f>IF(C23="ITM",IF(AND(AND('2 Matériel'!$K27="Oui",'3 Options'!$C$13="Oui"),'3 Options'!$C$18&lt;&gt;"Oui"),INDEX(Textes!$B$2:$C$60,MATCH("incl",Textes!$A$2:$A$60,0),Listes!$H$1),IF('2 Matériel'!$H27="","",'2 Matériel'!$H27)),"")</f>
        <v/>
      </c>
      <c r="K23">
        <f>IF(C23="ITM",IF(AND(AND('2 Matériel'!$K27="Oui",'3 Options'!$C$13="Oui"),'3 Options'!$C$18&lt;&gt;"Oui"),INDEX(Textes!$B$2:$C$60,MATCH("incl",Textes!$A$2:$A$60,0),Listes!$H$1),IF('2 Matériel'!$I27="","",'2 Matériel'!$I27)),"")</f>
        <v/>
      </c>
      <c r="L23">
        <f>IF(C23="ITM",IF(AND(AND('2 Matériel'!$K27="Oui",'3 Options'!$C$13="Oui"),'3 Options'!$C$18&lt;&gt;"Oui"),INDEX(Textes!$B$2:$C$60,MATCH("incl",Textes!$A$2:$A$60,0),Listes!$H$1),IF('2 Matériel'!$J27="","",'2 Matériel'!$J27)),"")</f>
        <v/>
      </c>
    </row>
    <row r="24">
      <c r="A24">
        <f>IF('2 Matériel'!$L28&gt;0,1,0)</f>
        <v/>
      </c>
      <c r="B24">
        <f>IF(A24=1,COUNTIF(A$2:A24,1),"")</f>
        <v/>
      </c>
      <c r="C24">
        <f>IF(A24=1,IF('2 Matériel'!$B28="Oui","BAN","ITM"),"")</f>
        <v/>
      </c>
      <c r="D24">
        <f>IF(C24="ITM",'2 Matériel'!$A28,"")</f>
        <v/>
      </c>
      <c r="E24">
        <f>IF(C24="BAN",UPPER('2 Matériel'!$C28),IF(C24="ITM",'2 Matériel'!$C28&amp;IF(AND('2 Matériel'!$K28="Oui",'3 Options'!$C$13="Oui"),"  ·  "&amp;INDEX(Textes!$B$2:$C$60,MATCH("incl_long",Textes!$A$2:$A$60,0),Listes!$H$1),""),""))</f>
        <v/>
      </c>
      <c r="F24">
        <f>IF(C24="ITM",'2 Matériel'!$L28,"")</f>
        <v/>
      </c>
      <c r="G24">
        <f>IF(C24="ITM",IF(AND(AND('2 Matériel'!$K28="Oui",'3 Options'!$C$13="Oui"),'3 Options'!$C$18&lt;&gt;"Oui"),INDEX(Textes!$B$2:$C$60,MATCH("incl",Textes!$A$2:$A$60,0),Listes!$H$1),IF('2 Matériel'!$E28="","",'2 Matériel'!$E28)),"")</f>
        <v/>
      </c>
      <c r="H24">
        <f>IF(C24="ITM",IF(AND(AND('2 Matériel'!$K28="Oui",'3 Options'!$C$13="Oui"),'3 Options'!$C$18&lt;&gt;"Oui"),INDEX(Textes!$B$2:$C$60,MATCH("incl",Textes!$A$2:$A$60,0),Listes!$H$1),IF('2 Matériel'!$F28="","",'2 Matériel'!$F28)),"")</f>
        <v/>
      </c>
      <c r="I24">
        <f>IF(C24="ITM",IF(AND(AND('2 Matériel'!$K28="Oui",'3 Options'!$C$13="Oui"),'3 Options'!$C$18&lt;&gt;"Oui"),INDEX(Textes!$B$2:$C$60,MATCH("incl",Textes!$A$2:$A$60,0),Listes!$H$1),IF('2 Matériel'!$G28="","",'2 Matériel'!$G28)),"")</f>
        <v/>
      </c>
      <c r="J24">
        <f>IF(C24="ITM",IF(AND(AND('2 Matériel'!$K28="Oui",'3 Options'!$C$13="Oui"),'3 Options'!$C$18&lt;&gt;"Oui"),INDEX(Textes!$B$2:$C$60,MATCH("incl",Textes!$A$2:$A$60,0),Listes!$H$1),IF('2 Matériel'!$H28="","",'2 Matériel'!$H28)),"")</f>
        <v/>
      </c>
      <c r="K24">
        <f>IF(C24="ITM",IF(AND(AND('2 Matériel'!$K28="Oui",'3 Options'!$C$13="Oui"),'3 Options'!$C$18&lt;&gt;"Oui"),INDEX(Textes!$B$2:$C$60,MATCH("incl",Textes!$A$2:$A$60,0),Listes!$H$1),IF('2 Matériel'!$I28="","",'2 Matériel'!$I28)),"")</f>
        <v/>
      </c>
      <c r="L24">
        <f>IF(C24="ITM",IF(AND(AND('2 Matériel'!$K28="Oui",'3 Options'!$C$13="Oui"),'3 Options'!$C$18&lt;&gt;"Oui"),INDEX(Textes!$B$2:$C$60,MATCH("incl",Textes!$A$2:$A$60,0),Listes!$H$1),IF('2 Matériel'!$J28="","",'2 Matériel'!$J28)),"")</f>
        <v/>
      </c>
    </row>
    <row r="25">
      <c r="A25">
        <f>IF('2 Matériel'!$L29&gt;0,1,0)</f>
        <v/>
      </c>
      <c r="B25">
        <f>IF(A25=1,COUNTIF(A$2:A25,1),"")</f>
        <v/>
      </c>
      <c r="C25">
        <f>IF(A25=1,IF('2 Matériel'!$B29="Oui","BAN","ITM"),"")</f>
        <v/>
      </c>
      <c r="D25">
        <f>IF(C25="ITM",'2 Matériel'!$A29,"")</f>
        <v/>
      </c>
      <c r="E25">
        <f>IF(C25="BAN",UPPER('2 Matériel'!$C29),IF(C25="ITM",'2 Matériel'!$C29&amp;IF(AND('2 Matériel'!$K29="Oui",'3 Options'!$C$13="Oui"),"  ·  "&amp;INDEX(Textes!$B$2:$C$60,MATCH("incl_long",Textes!$A$2:$A$60,0),Listes!$H$1),""),""))</f>
        <v/>
      </c>
      <c r="F25">
        <f>IF(C25="ITM",'2 Matériel'!$L29,"")</f>
        <v/>
      </c>
      <c r="G25">
        <f>IF(C25="ITM",IF(AND(AND('2 Matériel'!$K29="Oui",'3 Options'!$C$13="Oui"),'3 Options'!$C$18&lt;&gt;"Oui"),INDEX(Textes!$B$2:$C$60,MATCH("incl",Textes!$A$2:$A$60,0),Listes!$H$1),IF('2 Matériel'!$E29="","",'2 Matériel'!$E29)),"")</f>
        <v/>
      </c>
      <c r="H25">
        <f>IF(C25="ITM",IF(AND(AND('2 Matériel'!$K29="Oui",'3 Options'!$C$13="Oui"),'3 Options'!$C$18&lt;&gt;"Oui"),INDEX(Textes!$B$2:$C$60,MATCH("incl",Textes!$A$2:$A$60,0),Listes!$H$1),IF('2 Matériel'!$F29="","",'2 Matériel'!$F29)),"")</f>
        <v/>
      </c>
      <c r="I25">
        <f>IF(C25="ITM",IF(AND(AND('2 Matériel'!$K29="Oui",'3 Options'!$C$13="Oui"),'3 Options'!$C$18&lt;&gt;"Oui"),INDEX(Textes!$B$2:$C$60,MATCH("incl",Textes!$A$2:$A$60,0),Listes!$H$1),IF('2 Matériel'!$G29="","",'2 Matériel'!$G29)),"")</f>
        <v/>
      </c>
      <c r="J25">
        <f>IF(C25="ITM",IF(AND(AND('2 Matériel'!$K29="Oui",'3 Options'!$C$13="Oui"),'3 Options'!$C$18&lt;&gt;"Oui"),INDEX(Textes!$B$2:$C$60,MATCH("incl",Textes!$A$2:$A$60,0),Listes!$H$1),IF('2 Matériel'!$H29="","",'2 Matériel'!$H29)),"")</f>
        <v/>
      </c>
      <c r="K25">
        <f>IF(C25="ITM",IF(AND(AND('2 Matériel'!$K29="Oui",'3 Options'!$C$13="Oui"),'3 Options'!$C$18&lt;&gt;"Oui"),INDEX(Textes!$B$2:$C$60,MATCH("incl",Textes!$A$2:$A$60,0),Listes!$H$1),IF('2 Matériel'!$I29="","",'2 Matériel'!$I29)),"")</f>
        <v/>
      </c>
      <c r="L25">
        <f>IF(C25="ITM",IF(AND(AND('2 Matériel'!$K29="Oui",'3 Options'!$C$13="Oui"),'3 Options'!$C$18&lt;&gt;"Oui"),INDEX(Textes!$B$2:$C$60,MATCH("incl",Textes!$A$2:$A$60,0),Listes!$H$1),IF('2 Matériel'!$J29="","",'2 Matériel'!$J29)),"")</f>
        <v/>
      </c>
    </row>
    <row r="26">
      <c r="A26">
        <f>IF('3 Options'!$C$8="Oui",1,0)</f>
        <v/>
      </c>
      <c r="B26">
        <f>IF(A26=1,COUNTIF(A$2:A26,1),"")</f>
        <v/>
      </c>
      <c r="C26">
        <f>IF(A26=1,"HDR","")</f>
        <v/>
      </c>
      <c r="D26">
        <f>""</f>
        <v/>
      </c>
      <c r="E26">
        <f>INDEX(Textes!$B$2:$C$60,MATCH("sec_tight",Textes!$A$2:$A$60,0),Listes!$H$1)</f>
        <v/>
      </c>
      <c r="F26">
        <f>INDEX(Textes!$B$2:$C$60,MATCH("h_qty",Textes!$A$2:$A$60,0),Listes!$H$1)</f>
        <v/>
      </c>
      <c r="G26">
        <f>INDEX(Textes!$B$2:$C$60,MATCH("h_unit",Textes!$A$2:$A$60,0),Listes!$H$1)</f>
        <v/>
      </c>
      <c r="H26">
        <f>INDEX(Textes!$B$2:$C$60,MATCH("h_pu",Textes!$A$2:$A$60,0),Listes!$H$1)</f>
        <v/>
      </c>
      <c r="I26">
        <f>INDEX(Textes!$B$2:$C$60,MATCH("h_tot",Textes!$A$2:$A$60,0),Listes!$H$1)</f>
        <v/>
      </c>
      <c r="J26">
        <f>""</f>
        <v/>
      </c>
      <c r="K26">
        <f>""</f>
        <v/>
      </c>
      <c r="L26">
        <f>""</f>
        <v/>
      </c>
    </row>
    <row r="27">
      <c r="A27">
        <f>IF('3 Options'!$C$8="Oui",1,0)</f>
        <v/>
      </c>
      <c r="B27">
        <f>IF(A27=1,COUNTIF(A$2:A27,1),"")</f>
        <v/>
      </c>
      <c r="C27">
        <f>IF(A27=1,"LIN","")</f>
        <v/>
      </c>
      <c r="D27">
        <f>""</f>
        <v/>
      </c>
      <c r="E27">
        <f>IF('3 Options'!$D$8&lt;&gt;"",'3 Options'!$D$8,INDEX(Textes!$B$2:$C$60,MATCH("tight",Textes!$A$2:$A$60,0),Listes!$H$1))&amp;IF(AND('3 Options'!$C$13="Oui",'3 Options'!$C$19="Oui"),"  ·  "&amp;INDEX(Textes!$B$2:$C$60,MATCH("incl_long",Textes!$A$2:$A$60,0),Listes!$H$1),"")</f>
        <v/>
      </c>
      <c r="F27">
        <f>IF('3 Options'!$G$8="Coût réel +15 %","",'3 Options'!$E$8)</f>
        <v/>
      </c>
      <c r="G27">
        <f>IF('3 Options'!$G$8="Coût réel +15 %","",IF(Listes!$H$1=2,SUBSTITUTE(SUBSTITUTE(SUBSTITUTE(SUBSTITUTE('3 Options'!$G$8,"jour","day"),"serrage","make-up"),"unité","unit"),"forfait","lump sum"),'3 Options'!$G$8))</f>
        <v/>
      </c>
      <c r="H27">
        <f>IF(AND(AND('3 Options'!$C$13="Oui",'3 Options'!$C$19="Oui"),'3 Options'!$C$18&lt;&gt;"Oui"),INDEX(Textes!$B$2:$C$60,MATCH("incl",Textes!$A$2:$A$60,0),Listes!$H$1),IF('3 Options'!$G$8="Coût réel +15 %",INDEX(Textes!$B$2:$C$60,MATCH("at_cost",Textes!$A$2:$A$60,0),Listes!$H$1),IF('3 Options'!$F$8="","",'3 Options'!$F$8)))</f>
        <v/>
      </c>
      <c r="I27">
        <f>IF(AND(AND('3 Options'!$C$13="Oui",'3 Options'!$C$19="Oui"),'3 Options'!$C$18&lt;&gt;"Oui"),INDEX(Textes!$B$2:$C$60,MATCH("incl",Textes!$A$2:$A$60,0),Listes!$H$1),IF('3 Options'!$G$8="Coût réel +15 %","—",'3 Options'!$H$8))</f>
        <v/>
      </c>
      <c r="J27">
        <f>""</f>
        <v/>
      </c>
      <c r="K27">
        <f>""</f>
        <v/>
      </c>
      <c r="L27">
        <f>""</f>
        <v/>
      </c>
    </row>
    <row r="28">
      <c r="A28">
        <f>IF(OR('3 Options'!$C$9="Oui",'3 Options'!$C$10="Oui"),1,0)</f>
        <v/>
      </c>
      <c r="B28">
        <f>IF(A28=1,COUNTIF(A$2:A28,1),"")</f>
        <v/>
      </c>
      <c r="C28">
        <f>IF(A28=1,"HDR","")</f>
        <v/>
      </c>
      <c r="D28">
        <f>""</f>
        <v/>
      </c>
      <c r="E28">
        <f>INDEX(Textes!$B$2:$C$60,MATCH("sec_tr",Textes!$A$2:$A$60,0),Listes!$H$1)</f>
        <v/>
      </c>
      <c r="F28">
        <f>INDEX(Textes!$B$2:$C$60,MATCH("h_qty",Textes!$A$2:$A$60,0),Listes!$H$1)</f>
        <v/>
      </c>
      <c r="G28">
        <f>INDEX(Textes!$B$2:$C$60,MATCH("h_unit",Textes!$A$2:$A$60,0),Listes!$H$1)</f>
        <v/>
      </c>
      <c r="H28">
        <f>INDEX(Textes!$B$2:$C$60,MATCH("h_pu",Textes!$A$2:$A$60,0),Listes!$H$1)</f>
        <v/>
      </c>
      <c r="I28">
        <f>INDEX(Textes!$B$2:$C$60,MATCH("h_tot",Textes!$A$2:$A$60,0),Listes!$H$1)</f>
        <v/>
      </c>
      <c r="J28">
        <f>""</f>
        <v/>
      </c>
      <c r="K28">
        <f>""</f>
        <v/>
      </c>
      <c r="L28">
        <f>""</f>
        <v/>
      </c>
    </row>
    <row r="29">
      <c r="A29">
        <f>IF('3 Options'!$C$9="Oui",1,0)</f>
        <v/>
      </c>
      <c r="B29">
        <f>IF(A29=1,COUNTIF(A$2:A29,1),"")</f>
        <v/>
      </c>
      <c r="C29">
        <f>IF(A29=1,"LIN","")</f>
        <v/>
      </c>
      <c r="D29">
        <f>""</f>
        <v/>
      </c>
      <c r="E29">
        <f>IF('3 Options'!$D$9&lt;&gt;"",'3 Options'!$D$9,INDEX(Textes!$B$2:$C$60,MATCH("tr_mob",Textes!$A$2:$A$60,0),Listes!$H$1))&amp;IF(AND('3 Options'!$C$13="Oui",'3 Options'!$C$20="Oui"),"  ·  "&amp;INDEX(Textes!$B$2:$C$60,MATCH("incl_long",Textes!$A$2:$A$60,0),Listes!$H$1),"")</f>
        <v/>
      </c>
      <c r="F29">
        <f>IF('3 Options'!$G$9="Coût réel +15 %","",'3 Options'!$E$9)</f>
        <v/>
      </c>
      <c r="G29">
        <f>IF('3 Options'!$G$9="Coût réel +15 %","",IF(Listes!$H$1=2,SUBSTITUTE(SUBSTITUTE(SUBSTITUTE(SUBSTITUTE('3 Options'!$G$9,"jour","day"),"serrage","make-up"),"unité","unit"),"forfait","lump sum"),'3 Options'!$G$9))</f>
        <v/>
      </c>
      <c r="H29">
        <f>IF(AND(AND('3 Options'!$C$13="Oui",'3 Options'!$C$20="Oui"),'3 Options'!$C$18&lt;&gt;"Oui"),INDEX(Textes!$B$2:$C$60,MATCH("incl",Textes!$A$2:$A$60,0),Listes!$H$1),IF('3 Options'!$G$9="Coût réel +15 %",INDEX(Textes!$B$2:$C$60,MATCH("at_cost",Textes!$A$2:$A$60,0),Listes!$H$1),IF('3 Options'!$F$9="","",'3 Options'!$F$9)))</f>
        <v/>
      </c>
      <c r="I29">
        <f>IF(AND(AND('3 Options'!$C$13="Oui",'3 Options'!$C$20="Oui"),'3 Options'!$C$18&lt;&gt;"Oui"),INDEX(Textes!$B$2:$C$60,MATCH("incl",Textes!$A$2:$A$60,0),Listes!$H$1),IF('3 Options'!$G$9="Coût réel +15 %","—",'3 Options'!$H$9))</f>
        <v/>
      </c>
      <c r="J29">
        <f>""</f>
        <v/>
      </c>
      <c r="K29">
        <f>""</f>
        <v/>
      </c>
      <c r="L29">
        <f>""</f>
        <v/>
      </c>
    </row>
    <row r="30">
      <c r="A30">
        <f>IF('3 Options'!$C$10="Oui",1,0)</f>
        <v/>
      </c>
      <c r="B30">
        <f>IF(A30=1,COUNTIF(A$2:A30,1),"")</f>
        <v/>
      </c>
      <c r="C30">
        <f>IF(A30=1,"LIN","")</f>
        <v/>
      </c>
      <c r="D30">
        <f>""</f>
        <v/>
      </c>
      <c r="E30">
        <f>IF('3 Options'!$D$10&lt;&gt;"",'3 Options'!$D$10,INDEX(Textes!$B$2:$C$60,MATCH("tr_dem",Textes!$A$2:$A$60,0),Listes!$H$1))&amp;IF(AND('3 Options'!$C$13="Oui",'3 Options'!$C$20="Oui"),"  ·  "&amp;INDEX(Textes!$B$2:$C$60,MATCH("incl_long",Textes!$A$2:$A$60,0),Listes!$H$1),"")</f>
        <v/>
      </c>
      <c r="F30">
        <f>IF('3 Options'!$G$10="Coût réel +15 %","",'3 Options'!$E$10)</f>
        <v/>
      </c>
      <c r="G30">
        <f>IF('3 Options'!$G$10="Coût réel +15 %","",IF(Listes!$H$1=2,SUBSTITUTE(SUBSTITUTE(SUBSTITUTE(SUBSTITUTE('3 Options'!$G$10,"jour","day"),"serrage","make-up"),"unité","unit"),"forfait","lump sum"),'3 Options'!$G$10))</f>
        <v/>
      </c>
      <c r="H30">
        <f>IF(AND(AND('3 Options'!$C$13="Oui",'3 Options'!$C$20="Oui"),'3 Options'!$C$18&lt;&gt;"Oui"),INDEX(Textes!$B$2:$C$60,MATCH("incl",Textes!$A$2:$A$60,0),Listes!$H$1),IF('3 Options'!$G$10="Coût réel +15 %",INDEX(Textes!$B$2:$C$60,MATCH("at_cost",Textes!$A$2:$A$60,0),Listes!$H$1),IF('3 Options'!$F$10="","",'3 Options'!$F$10)))</f>
        <v/>
      </c>
      <c r="I30">
        <f>IF(AND(AND('3 Options'!$C$13="Oui",'3 Options'!$C$20="Oui"),'3 Options'!$C$18&lt;&gt;"Oui"),INDEX(Textes!$B$2:$C$60,MATCH("incl",Textes!$A$2:$A$60,0),Listes!$H$1),IF('3 Options'!$G$10="Coût réel +15 %","—",'3 Options'!$H$10))</f>
        <v/>
      </c>
      <c r="J30">
        <f>""</f>
        <v/>
      </c>
      <c r="K30">
        <f>""</f>
        <v/>
      </c>
      <c r="L30">
        <f>""</f>
        <v/>
      </c>
    </row>
    <row r="31">
      <c r="A31">
        <f>IF(OR('3 Options'!$C$6="Oui",'3 Options'!$C$7="Oui"),1,0)</f>
        <v/>
      </c>
      <c r="B31">
        <f>IF(A31=1,COUNTIF(A$2:A31,1),"")</f>
        <v/>
      </c>
      <c r="C31">
        <f>IF(A31=1,"HDR","")</f>
        <v/>
      </c>
      <c r="D31">
        <f>""</f>
        <v/>
      </c>
      <c r="E31">
        <f>INDEX(Textes!$B$2:$C$60,MATCH("sec_op",Textes!$A$2:$A$60,0),Listes!$H$1)</f>
        <v/>
      </c>
      <c r="F31">
        <f>INDEX(Textes!$B$2:$C$60,MATCH("h_qty",Textes!$A$2:$A$60,0),Listes!$H$1)</f>
        <v/>
      </c>
      <c r="G31">
        <f>INDEX(Textes!$B$2:$C$60,MATCH("h_unit",Textes!$A$2:$A$60,0),Listes!$H$1)</f>
        <v/>
      </c>
      <c r="H31">
        <f>INDEX(Textes!$B$2:$C$60,MATCH("h_pu",Textes!$A$2:$A$60,0),Listes!$H$1)</f>
        <v/>
      </c>
      <c r="I31">
        <f>INDEX(Textes!$B$2:$C$60,MATCH("h_tot",Textes!$A$2:$A$60,0),Listes!$H$1)</f>
        <v/>
      </c>
      <c r="J31">
        <f>""</f>
        <v/>
      </c>
      <c r="K31">
        <f>""</f>
        <v/>
      </c>
      <c r="L31">
        <f>""</f>
        <v/>
      </c>
    </row>
    <row r="32">
      <c r="A32">
        <f>IF('3 Options'!$C$6="Oui",1,0)</f>
        <v/>
      </c>
      <c r="B32">
        <f>IF(A32=1,COUNTIF(A$2:A32,1),"")</f>
        <v/>
      </c>
      <c r="C32">
        <f>IF(A32=1,"LIN","")</f>
        <v/>
      </c>
      <c r="D32">
        <f>""</f>
        <v/>
      </c>
      <c r="E32">
        <f>IF('3 Options'!$D$6&lt;&gt;"",'3 Options'!$D$6,INDEX(Textes!$B$2:$C$60,MATCH("op_day",Textes!$A$2:$A$60,0),Listes!$H$1))&amp;IF(FALSE,"  ·  "&amp;INDEX(Textes!$B$2:$C$60,MATCH("incl_long",Textes!$A$2:$A$60,0),Listes!$H$1),"")</f>
        <v/>
      </c>
      <c r="F32">
        <f>IF('3 Options'!$G$6="Coût réel +15 %","",'3 Options'!$E$6)</f>
        <v/>
      </c>
      <c r="G32">
        <f>IF('3 Options'!$G$6="Coût réel +15 %","",IF(Listes!$H$1=2,SUBSTITUTE(SUBSTITUTE(SUBSTITUTE(SUBSTITUTE('3 Options'!$G$6,"jour","day"),"serrage","make-up"),"unité","unit"),"forfait","lump sum"),'3 Options'!$G$6))</f>
        <v/>
      </c>
      <c r="H32">
        <f>IF(AND(FALSE,'3 Options'!$C$18&lt;&gt;"Oui"),INDEX(Textes!$B$2:$C$60,MATCH("incl",Textes!$A$2:$A$60,0),Listes!$H$1),IF('3 Options'!$G$6="Coût réel +15 %",INDEX(Textes!$B$2:$C$60,MATCH("at_cost",Textes!$A$2:$A$60,0),Listes!$H$1),IF('3 Options'!$F$6="","",'3 Options'!$F$6)))</f>
        <v/>
      </c>
      <c r="I32">
        <f>IF(AND(FALSE,'3 Options'!$C$18&lt;&gt;"Oui"),INDEX(Textes!$B$2:$C$60,MATCH("incl",Textes!$A$2:$A$60,0),Listes!$H$1),IF('3 Options'!$G$6="Coût réel +15 %","—",'3 Options'!$H$6))</f>
        <v/>
      </c>
      <c r="J32">
        <f>""</f>
        <v/>
      </c>
      <c r="K32">
        <f>""</f>
        <v/>
      </c>
      <c r="L32">
        <f>""</f>
        <v/>
      </c>
    </row>
    <row r="33">
      <c r="A33">
        <f>IF('3 Options'!$C$7="Oui",1,0)</f>
        <v/>
      </c>
      <c r="B33">
        <f>IF(A33=1,COUNTIF(A$2:A33,1),"")</f>
        <v/>
      </c>
      <c r="C33">
        <f>IF(A33=1,"LIN","")</f>
        <v/>
      </c>
      <c r="D33">
        <f>""</f>
        <v/>
      </c>
      <c r="E33">
        <f>IF('3 Options'!$D$7&lt;&gt;"",'3 Options'!$D$7,INDEX(Textes!$B$2:$C$60,MATCH("op_mob",Textes!$A$2:$A$60,0),Listes!$H$1))&amp;IF(FALSE,"  ·  "&amp;INDEX(Textes!$B$2:$C$60,MATCH("incl_long",Textes!$A$2:$A$60,0),Listes!$H$1),"")</f>
        <v/>
      </c>
      <c r="F33">
        <f>IF('3 Options'!$G$7="Coût réel +15 %","",'3 Options'!$E$7)</f>
        <v/>
      </c>
      <c r="G33">
        <f>IF('3 Options'!$G$7="Coût réel +15 %","",IF(Listes!$H$1=2,SUBSTITUTE(SUBSTITUTE(SUBSTITUTE(SUBSTITUTE('3 Options'!$G$7,"jour","day"),"serrage","make-up"),"unité","unit"),"forfait","lump sum"),'3 Options'!$G$7))</f>
        <v/>
      </c>
      <c r="H33">
        <f>IF(AND(FALSE,'3 Options'!$C$18&lt;&gt;"Oui"),INDEX(Textes!$B$2:$C$60,MATCH("incl",Textes!$A$2:$A$60,0),Listes!$H$1),IF('3 Options'!$G$7="Coût réel +15 %",INDEX(Textes!$B$2:$C$60,MATCH("at_cost",Textes!$A$2:$A$60,0),Listes!$H$1),IF('3 Options'!$F$7="","",'3 Options'!$F$7)))</f>
        <v/>
      </c>
      <c r="I33">
        <f>IF(AND(FALSE,'3 Options'!$C$18&lt;&gt;"Oui"),INDEX(Textes!$B$2:$C$60,MATCH("incl",Textes!$A$2:$A$60,0),Listes!$H$1),IF('3 Options'!$G$7="Coût réel +15 %","—",'3 Options'!$H$7))</f>
        <v/>
      </c>
      <c r="J33">
        <f>""</f>
        <v/>
      </c>
      <c r="K33">
        <f>""</f>
        <v/>
      </c>
      <c r="L33">
        <f>""</f>
        <v/>
      </c>
    </row>
    <row r="34">
      <c r="A34">
        <f>IF('3 Options'!$C$13="Oui",1,0)</f>
        <v/>
      </c>
      <c r="B34">
        <f>IF(A34=1,COUNTIF(A$2:A34,1),"")</f>
        <v/>
      </c>
      <c r="C34">
        <f>IF(A34=1,"FB","")</f>
        <v/>
      </c>
      <c r="D34">
        <f>""</f>
        <v/>
      </c>
      <c r="E34">
        <f>UPPER(INDEX(Textes!$B$2:$C$60,MATCH("forfait",Textes!$A$2:$A$60,0),Listes!$H$1))&amp;IF(IF('3 Options'!$G$13="Forfait calculé (S + O + UC)",'3 Options'!$C$15+'3 Options'!$C$16,IF('3 Options'!$G$13="Forfait par jour",'3 Options'!$E$13,""))&lt;&gt;"","  "&amp;IF('3 Options'!$G$13="Forfait calculé (S + O + UC)",'3 Options'!$C$15+'3 Options'!$C$16,IF('3 Options'!$G$13="Forfait par jour",'3 Options'!$E$13,""))&amp;" "&amp;INDEX(Textes!$B$2:$C$60,MATCH("days",Textes!$A$2:$A$60,0),Listes!$H$1),"")&amp;IF(IF(AND(AND('3 Options'!$C$8="Oui",'3 Options'!$C$19="Oui"),AND(OR('3 Options'!$C$9="Oui",'3 Options'!$C$10="Oui"),'3 Options'!$C$20="Oui")),INDEX(Textes!$B$2:$C$60,MATCH("in_both",Textes!$A$2:$A$60,0),Listes!$H$1),IF(AND('3 Options'!$C$8="Oui",'3 Options'!$C$19="Oui"),INDEX(Textes!$B$2:$C$60,MATCH("in_tight",Textes!$A$2:$A$60,0),Listes!$H$1),IF(AND(OR('3 Options'!$C$9="Oui",'3 Options'!$C$10="Oui"),'3 Options'!$C$20="Oui"),INDEX(Textes!$B$2:$C$60,MATCH("in_tr",Textes!$A$2:$A$60,0),Listes!$H$1),"")))&lt;&gt;"","   ·   "&amp;IF(AND(AND('3 Options'!$C$8="Oui",'3 Options'!$C$19="Oui"),AND(OR('3 Options'!$C$9="Oui",'3 Options'!$C$10="Oui"),'3 Options'!$C$20="Oui")),INDEX(Textes!$B$2:$C$60,MATCH("in_both",Textes!$A$2:$A$60,0),Listes!$H$1),IF(AND('3 Options'!$C$8="Oui",'3 Options'!$C$19="Oui"),INDEX(Textes!$B$2:$C$60,MATCH("in_tight",Textes!$A$2:$A$60,0),Listes!$H$1),IF(AND(OR('3 Options'!$C$9="Oui",'3 Options'!$C$10="Oui"),'3 Options'!$C$20="Oui"),INDEX(Textes!$B$2:$C$60,MATCH("in_tr",Textes!$A$2:$A$60,0),Listes!$H$1),""))),"")&amp;IF('3 Options'!$D$13&lt;&gt;"","   ·   "&amp;'3 Options'!$D$13,"")</f>
        <v/>
      </c>
      <c r="F34">
        <f>""</f>
        <v/>
      </c>
      <c r="G34">
        <f>""</f>
        <v/>
      </c>
      <c r="H34">
        <f>""</f>
        <v/>
      </c>
      <c r="I34">
        <f>""</f>
        <v/>
      </c>
      <c r="J34">
        <f>""</f>
        <v/>
      </c>
      <c r="K34">
        <f>""</f>
        <v/>
      </c>
      <c r="L34">
        <f>TEXT('3 Options'!$H$13,"#,##0.00")&amp;" € HT"</f>
        <v/>
      </c>
    </row>
    <row r="35">
      <c r="A35">
        <f>IF(AND('3 Options'!$C$13="Oui",E35&lt;&gt;""),1,0)</f>
        <v/>
      </c>
      <c r="B35">
        <f>IF(A35=1,COUNTIF(A$2:A35,1),"")</f>
        <v/>
      </c>
      <c r="C35">
        <f>IF(A35=1,"FD","")</f>
        <v/>
      </c>
      <c r="D35">
        <f>""</f>
        <v/>
      </c>
      <c r="E35">
        <f>'3 Options'!$D$14</f>
        <v/>
      </c>
      <c r="F35">
        <f>""</f>
        <v/>
      </c>
      <c r="G35">
        <f>""</f>
        <v/>
      </c>
      <c r="H35">
        <f>""</f>
        <v/>
      </c>
      <c r="I35">
        <f>""</f>
        <v/>
      </c>
      <c r="J35">
        <f>""</f>
        <v/>
      </c>
      <c r="K35">
        <f>""</f>
        <v/>
      </c>
      <c r="L35">
        <f>""</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2026-10-28T14:31:26Z</dcterms:created>
  <dcterms:modified xmlns:dcterms="http://purl.org/dc/terms/" xmlns:xsi="http://www.w3.org/2001/XMLSchema-instance" xsi:type="dcterms:W3CDTF">2026-10-28T14:31:26Z</dcterms:modified>
</cp:coreProperties>
</file>