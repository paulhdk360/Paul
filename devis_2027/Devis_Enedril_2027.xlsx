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Devis'!$A$1:$K$68</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0">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
    </font>
    <font>
      <name val="Calibri"/>
      <b val="1"/>
      <color rgb="0008203F"/>
      <sz val="9"/>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26" fillId="0" borderId="0" applyAlignment="1" pivotButton="0" quotePrefix="0" xfId="0">
      <alignment vertical="center" indent="1"/>
    </xf>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5" fillId="0" borderId="0" pivotButton="0" quotePrefix="0" xfId="0"/>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7" fillId="0" borderId="0" applyAlignment="1" pivotButton="0" quotePrefix="0" xfId="0">
      <alignment vertical="top" wrapText="1" indent="1"/>
    </xf>
    <xf numFmtId="0" fontId="28" fillId="0" borderId="0" applyAlignment="1" pivotButton="0" quotePrefix="0" xfId="0">
      <alignment indent="1"/>
    </xf>
    <xf numFmtId="0" fontId="27"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29"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tool list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8"/>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29">
        <f>INDEX(Textes!$B$2:$C$59,MATCH("title",Textes!$A$2:$A$59,0),Listes!$H$1)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UPPER(INDEX(Textes!$B$2:$C$59,MATCH("client",Textes!$A$2:$A$59,0),Listes!$H$1))</f>
        <v/>
      </c>
      <c r="D5" s="31">
        <f>UPPER(INDEX(Textes!$B$2:$C$59,MATCH("offer",Textes!$A$2:$A$59,0),Listes!$H$1))</f>
        <v/>
      </c>
      <c r="H5" s="31">
        <f>UPPER(INDEX(Textes!$B$2:$C$59,MATCH("date",Textes!$A$2:$A$59,0),Listes!$H$1))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UPPER(INDEX(Textes!$B$2:$C$59,MATCH("attn",Textes!$A$2:$A$59,0),Listes!$H$1))</f>
        <v/>
      </c>
      <c r="D7" s="31">
        <f>UPPER(INDEX(Textes!$B$2:$C$59,MATCH("well",Textes!$A$2:$A$59,0),Listes!$H$1))</f>
        <v/>
      </c>
      <c r="H7" s="31">
        <f>UPPER(INDEX(Textes!$B$2:$C$59,MATCH("by",Textes!$A$2:$A$59,0),Listes!$H$1))</f>
        <v/>
      </c>
    </row>
    <row r="8" ht="19" customHeight="1">
      <c r="B8" s="32">
        <f>""&amp;'1 Affaire'!$C$9</f>
        <v/>
      </c>
      <c r="C8" s="33" t="n"/>
      <c r="D8" s="32">
        <f>""&amp;'1 Affaire'!$C$10</f>
        <v/>
      </c>
      <c r="E8" s="33" t="n"/>
      <c r="F8" s="33" t="n"/>
      <c r="G8" s="33" t="n"/>
      <c r="H8" s="32">
        <f>""&amp;'1 Affaire'!$F$6</f>
        <v/>
      </c>
      <c r="I8" s="33" t="n"/>
      <c r="J8" s="33" t="n"/>
    </row>
    <row r="9" ht="15" customHeight="1">
      <c r="B9" s="31">
        <f>UPPER(INDEX(Textes!$B$2:$C$59,MATCH("inco",Textes!$A$2:$A$59,0),Listes!$H$1))</f>
        <v/>
      </c>
      <c r="D9" s="31">
        <f>UPPER(INDEX(Textes!$B$2:$C$59,MATCH("valid",Textes!$A$2:$A$59,0),Listes!$H$1))</f>
        <v/>
      </c>
      <c r="H9" s="31">
        <f>UPPER(INDEX(Textes!$B$2:$C$59,MATCH("mail",Textes!$A$2:$A$59,0),Listes!$H$1))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UPPER(INDEX(Textes!$B$2:$C$59,MATCH("pay",Textes!$A$2:$A$59,0),Listes!$H$1))</f>
        <v/>
      </c>
      <c r="D11" s="31">
        <f>UPPER(INDEX(Textes!$B$2:$C$59,MATCH("we",Textes!$A$2:$A$59,0),Listes!$H$1))</f>
        <v/>
      </c>
      <c r="H11" s="31">
        <f>UPPER(INDEX(Textes!$B$2:$C$59,MATCH("tel",Textes!$A$2:$A$59,0),Listes!$H$1))</f>
        <v/>
      </c>
    </row>
    <row r="12" ht="19" customHeight="1">
      <c r="B12" s="32">
        <f>""&amp;'1 Affaire'!$F$11</f>
        <v/>
      </c>
      <c r="C12" s="33" t="n"/>
      <c r="D12" s="32">
        <f>""&amp;'1 Affaire'!$F$12</f>
        <v/>
      </c>
      <c r="E12" s="33" t="n"/>
      <c r="F12" s="33" t="n"/>
      <c r="G12" s="33" t="n"/>
      <c r="H12" s="32">
        <f>""&amp;'1 Affaire'!$F$8</f>
        <v/>
      </c>
      <c r="I12" s="33" t="n"/>
      <c r="J12" s="33" t="n"/>
    </row>
    <row r="13" ht="14" customHeight="1">
      <c r="B13" s="34">
        <f>IF(SUBTOTAL(103,B16:B55)&lt;&gt;SUM(N16:N55),"⚠  Appuyer sur Ctrl + Alt + L pour mettre à jour les lignes du devis (matériel ou options modifiés).","")</f>
        <v/>
      </c>
    </row>
    <row r="14" ht="20" customHeight="1">
      <c r="B14" s="35">
        <f>INDEX(Textes!$B$2:$C$59,MATCH("sec_eq",Textes!$A$2:$A$59,0),Listes!$H$1)</f>
        <v/>
      </c>
      <c r="C14" s="36" t="n"/>
      <c r="D14" s="36" t="n"/>
      <c r="E14" s="36" t="n"/>
      <c r="F14" s="36" t="n"/>
      <c r="G14" s="36" t="n"/>
      <c r="H14" s="36" t="n"/>
      <c r="I14" s="36" t="n"/>
      <c r="J14" s="36" t="n"/>
    </row>
    <row r="15" ht="46" customHeight="1">
      <c r="B15" s="37">
        <f>INDEX(Textes!$B$2:$C$59,MATCH("h_n",Textes!$A$2:$A$59,0),Listes!$H$1)</f>
        <v/>
      </c>
      <c r="C15" s="38">
        <f>INDEX(Textes!$B$2:$C$59,MATCH("h_desc",Textes!$A$2:$A$59,0),Listes!$H$1)</f>
        <v/>
      </c>
      <c r="D15" s="37">
        <f>INDEX(Textes!$B$2:$C$59,MATCH("h_qty",Textes!$A$2:$A$59,0),Listes!$H$1)</f>
        <v/>
      </c>
      <c r="E15" s="37">
        <f>INDEX(Textes!$B$2:$C$59,MATCH("h_s",Textes!$A$2:$A$59,0),Listes!$H$1)</f>
        <v/>
      </c>
      <c r="F15" s="37">
        <f>INDEX(Textes!$B$2:$C$59,MATCH("h_o",Textes!$A$2:$A$59,0),Listes!$H$1)</f>
        <v/>
      </c>
      <c r="G15" s="37">
        <f>INDEX(Textes!$B$2:$C$59,MATCH("h_uc",Textes!$A$2:$A$59,0),Listes!$H$1)</f>
        <v/>
      </c>
      <c r="H15" s="37">
        <f>INDEX(Textes!$B$2:$C$59,MATCH("h_lih",Textes!$A$2:$A$59,0),Listes!$H$1)</f>
        <v/>
      </c>
      <c r="I15" s="37">
        <f>INDEX(Textes!$B$2:$C$59,MATCH("h_insp",Textes!$A$2:$A$59,0),Listes!$H$1)</f>
        <v/>
      </c>
      <c r="J15" s="37">
        <f>INDEX(Textes!$B$2:$C$59,MATCH("h_rest",Textes!$A$2:$A$59,0),Listes!$H$1)</f>
        <v/>
      </c>
      <c r="L15" s="39" t="inlineStr">
        <is>
          <t>pos</t>
        </is>
      </c>
      <c r="M15" s="39" t="inlineStr">
        <is>
          <t>type</t>
        </is>
      </c>
      <c r="N15" s="39" t="inlineStr">
        <is>
          <t>actif</t>
        </is>
      </c>
    </row>
    <row r="16" ht="22" customHeight="1">
      <c r="B16" s="40">
        <f>IF($L16=0,"",INDEX(Flux!$D$2:$D$35,$L16))</f>
        <v/>
      </c>
      <c r="C16" s="41">
        <f>IF($L16=0,"",INDEX(Flux!$E$2:$E$35,$L16))</f>
        <v/>
      </c>
      <c r="D16" s="42">
        <f>IF($L16=0,"",INDEX(Flux!$F$2:$F$35,$L16))</f>
        <v/>
      </c>
      <c r="E16" s="43">
        <f>IF($L16=0,"",INDEX(Flux!$G$2:$G$35,$L16))</f>
        <v/>
      </c>
      <c r="F16" s="43">
        <f>IF($L16=0,"",INDEX(Flux!$H$2:$H$35,$L16))</f>
        <v/>
      </c>
      <c r="G16" s="43">
        <f>IF($L16=0,"",INDEX(Flux!$I$2:$I$35,$L16))</f>
        <v/>
      </c>
      <c r="H16" s="43">
        <f>IF($L16=0,"",INDEX(Flux!$J$2:$J$35,$L16))</f>
        <v/>
      </c>
      <c r="I16" s="43">
        <f>IF($L16=0,"",INDEX(Flux!$K$2:$K$35,$L16))</f>
        <v/>
      </c>
      <c r="J16" s="43">
        <f>IF($L16=0,"",INDEX(Flux!$L$2:$L$35,$L16))</f>
        <v/>
      </c>
      <c r="L16" s="39">
        <f>IFERROR(MATCH(1,Flux!$B$2:$B$35,0),0)</f>
        <v/>
      </c>
      <c r="M16" s="39">
        <f>IF(L16=0,"",INDEX(Flux!$C$2:$C$35,L16))</f>
        <v/>
      </c>
      <c r="N16" s="39">
        <f>IF(L16&gt;0,1,0)</f>
        <v/>
      </c>
    </row>
    <row r="17" ht="22" customHeight="1">
      <c r="B17" s="40">
        <f>IF($L17=0,"",INDEX(Flux!$D$2:$D$35,$L17))</f>
        <v/>
      </c>
      <c r="C17" s="41">
        <f>IF($L17=0,"",INDEX(Flux!$E$2:$E$35,$L17))</f>
        <v/>
      </c>
      <c r="D17" s="42">
        <f>IF($L17=0,"",INDEX(Flux!$F$2:$F$35,$L17))</f>
        <v/>
      </c>
      <c r="E17" s="43">
        <f>IF($L17=0,"",INDEX(Flux!$G$2:$G$35,$L17))</f>
        <v/>
      </c>
      <c r="F17" s="43">
        <f>IF($L17=0,"",INDEX(Flux!$H$2:$H$35,$L17))</f>
        <v/>
      </c>
      <c r="G17" s="43">
        <f>IF($L17=0,"",INDEX(Flux!$I$2:$I$35,$L17))</f>
        <v/>
      </c>
      <c r="H17" s="43">
        <f>IF($L17=0,"",INDEX(Flux!$J$2:$J$35,$L17))</f>
        <v/>
      </c>
      <c r="I17" s="43">
        <f>IF($L17=0,"",INDEX(Flux!$K$2:$K$35,$L17))</f>
        <v/>
      </c>
      <c r="J17" s="43">
        <f>IF($L17=0,"",INDEX(Flux!$L$2:$L$35,$L17))</f>
        <v/>
      </c>
      <c r="L17" s="39">
        <f>IFERROR(MATCH(2,Flux!$B$2:$B$35,0),0)</f>
        <v/>
      </c>
      <c r="M17" s="39">
        <f>IF(L17=0,"",INDEX(Flux!$C$2:$C$35,L17))</f>
        <v/>
      </c>
      <c r="N17" s="39">
        <f>IF(L17&gt;0,1,0)</f>
        <v/>
      </c>
    </row>
    <row r="18" ht="22" customHeight="1">
      <c r="B18" s="40">
        <f>IF($L18=0,"",INDEX(Flux!$D$2:$D$35,$L18))</f>
        <v/>
      </c>
      <c r="C18" s="41">
        <f>IF($L18=0,"",INDEX(Flux!$E$2:$E$35,$L18))</f>
        <v/>
      </c>
      <c r="D18" s="42">
        <f>IF($L18=0,"",INDEX(Flux!$F$2:$F$35,$L18))</f>
        <v/>
      </c>
      <c r="E18" s="43">
        <f>IF($L18=0,"",INDEX(Flux!$G$2:$G$35,$L18))</f>
        <v/>
      </c>
      <c r="F18" s="43">
        <f>IF($L18=0,"",INDEX(Flux!$H$2:$H$35,$L18))</f>
        <v/>
      </c>
      <c r="G18" s="43">
        <f>IF($L18=0,"",INDEX(Flux!$I$2:$I$35,$L18))</f>
        <v/>
      </c>
      <c r="H18" s="43">
        <f>IF($L18=0,"",INDEX(Flux!$J$2:$J$35,$L18))</f>
        <v/>
      </c>
      <c r="I18" s="43">
        <f>IF($L18=0,"",INDEX(Flux!$K$2:$K$35,$L18))</f>
        <v/>
      </c>
      <c r="J18" s="43">
        <f>IF($L18=0,"",INDEX(Flux!$L$2:$L$35,$L18))</f>
        <v/>
      </c>
      <c r="L18" s="39">
        <f>IFERROR(MATCH(3,Flux!$B$2:$B$35,0),0)</f>
        <v/>
      </c>
      <c r="M18" s="39">
        <f>IF(L18=0,"",INDEX(Flux!$C$2:$C$35,L18))</f>
        <v/>
      </c>
      <c r="N18" s="39">
        <f>IF(L18&gt;0,1,0)</f>
        <v/>
      </c>
    </row>
    <row r="19" hidden="1" ht="22" customHeight="1">
      <c r="B19" s="40">
        <f>IF($L19=0,"",INDEX(Flux!$D$2:$D$35,$L19))</f>
        <v/>
      </c>
      <c r="C19" s="41">
        <f>IF($L19=0,"",INDEX(Flux!$E$2:$E$35,$L19))</f>
        <v/>
      </c>
      <c r="D19" s="42">
        <f>IF($L19=0,"",INDEX(Flux!$F$2:$F$35,$L19))</f>
        <v/>
      </c>
      <c r="E19" s="43">
        <f>IF($L19=0,"",INDEX(Flux!$G$2:$G$35,$L19))</f>
        <v/>
      </c>
      <c r="F19" s="43">
        <f>IF($L19=0,"",INDEX(Flux!$H$2:$H$35,$L19))</f>
        <v/>
      </c>
      <c r="G19" s="43">
        <f>IF($L19=0,"",INDEX(Flux!$I$2:$I$35,$L19))</f>
        <v/>
      </c>
      <c r="H19" s="43">
        <f>IF($L19=0,"",INDEX(Flux!$J$2:$J$35,$L19))</f>
        <v/>
      </c>
      <c r="I19" s="43">
        <f>IF($L19=0,"",INDEX(Flux!$K$2:$K$35,$L19))</f>
        <v/>
      </c>
      <c r="J19" s="43">
        <f>IF($L19=0,"",INDEX(Flux!$L$2:$L$35,$L19))</f>
        <v/>
      </c>
      <c r="L19" s="39">
        <f>IFERROR(MATCH(4,Flux!$B$2:$B$35,0),0)</f>
        <v/>
      </c>
      <c r="M19" s="39">
        <f>IF(L19=0,"",INDEX(Flux!$C$2:$C$35,L19))</f>
        <v/>
      </c>
      <c r="N19" s="39">
        <f>IF(L19&gt;0,1,0)</f>
        <v/>
      </c>
    </row>
    <row r="20" hidden="1" ht="22" customHeight="1">
      <c r="B20" s="40">
        <f>IF($L20=0,"",INDEX(Flux!$D$2:$D$35,$L20))</f>
        <v/>
      </c>
      <c r="C20" s="41">
        <f>IF($L20=0,"",INDEX(Flux!$E$2:$E$35,$L20))</f>
        <v/>
      </c>
      <c r="D20" s="42">
        <f>IF($L20=0,"",INDEX(Flux!$F$2:$F$35,$L20))</f>
        <v/>
      </c>
      <c r="E20" s="43">
        <f>IF($L20=0,"",INDEX(Flux!$G$2:$G$35,$L20))</f>
        <v/>
      </c>
      <c r="F20" s="43">
        <f>IF($L20=0,"",INDEX(Flux!$H$2:$H$35,$L20))</f>
        <v/>
      </c>
      <c r="G20" s="43">
        <f>IF($L20=0,"",INDEX(Flux!$I$2:$I$35,$L20))</f>
        <v/>
      </c>
      <c r="H20" s="43">
        <f>IF($L20=0,"",INDEX(Flux!$J$2:$J$35,$L20))</f>
        <v/>
      </c>
      <c r="I20" s="43">
        <f>IF($L20=0,"",INDEX(Flux!$K$2:$K$35,$L20))</f>
        <v/>
      </c>
      <c r="J20" s="43">
        <f>IF($L20=0,"",INDEX(Flux!$L$2:$L$35,$L20))</f>
        <v/>
      </c>
      <c r="L20" s="39">
        <f>IFERROR(MATCH(5,Flux!$B$2:$B$35,0),0)</f>
        <v/>
      </c>
      <c r="M20" s="39">
        <f>IF(L20=0,"",INDEX(Flux!$C$2:$C$35,L20))</f>
        <v/>
      </c>
      <c r="N20" s="39">
        <f>IF(L20&gt;0,1,0)</f>
        <v/>
      </c>
    </row>
    <row r="21" hidden="1" ht="22" customHeight="1">
      <c r="B21" s="40">
        <f>IF($L21=0,"",INDEX(Flux!$D$2:$D$35,$L21))</f>
        <v/>
      </c>
      <c r="C21" s="41">
        <f>IF($L21=0,"",INDEX(Flux!$E$2:$E$35,$L21))</f>
        <v/>
      </c>
      <c r="D21" s="42">
        <f>IF($L21=0,"",INDEX(Flux!$F$2:$F$35,$L21))</f>
        <v/>
      </c>
      <c r="E21" s="43">
        <f>IF($L21=0,"",INDEX(Flux!$G$2:$G$35,$L21))</f>
        <v/>
      </c>
      <c r="F21" s="43">
        <f>IF($L21=0,"",INDEX(Flux!$H$2:$H$35,$L21))</f>
        <v/>
      </c>
      <c r="G21" s="43">
        <f>IF($L21=0,"",INDEX(Flux!$I$2:$I$35,$L21))</f>
        <v/>
      </c>
      <c r="H21" s="43">
        <f>IF($L21=0,"",INDEX(Flux!$J$2:$J$35,$L21))</f>
        <v/>
      </c>
      <c r="I21" s="43">
        <f>IF($L21=0,"",INDEX(Flux!$K$2:$K$35,$L21))</f>
        <v/>
      </c>
      <c r="J21" s="43">
        <f>IF($L21=0,"",INDEX(Flux!$L$2:$L$35,$L21))</f>
        <v/>
      </c>
      <c r="L21" s="39">
        <f>IFERROR(MATCH(6,Flux!$B$2:$B$35,0),0)</f>
        <v/>
      </c>
      <c r="M21" s="39">
        <f>IF(L21=0,"",INDEX(Flux!$C$2:$C$35,L21))</f>
        <v/>
      </c>
      <c r="N21" s="39">
        <f>IF(L21&gt;0,1,0)</f>
        <v/>
      </c>
    </row>
    <row r="22" hidden="1" ht="22" customHeight="1">
      <c r="B22" s="40">
        <f>IF($L22=0,"",INDEX(Flux!$D$2:$D$35,$L22))</f>
        <v/>
      </c>
      <c r="C22" s="41">
        <f>IF($L22=0,"",INDEX(Flux!$E$2:$E$35,$L22))</f>
        <v/>
      </c>
      <c r="D22" s="42">
        <f>IF($L22=0,"",INDEX(Flux!$F$2:$F$35,$L22))</f>
        <v/>
      </c>
      <c r="E22" s="43">
        <f>IF($L22=0,"",INDEX(Flux!$G$2:$G$35,$L22))</f>
        <v/>
      </c>
      <c r="F22" s="43">
        <f>IF($L22=0,"",INDEX(Flux!$H$2:$H$35,$L22))</f>
        <v/>
      </c>
      <c r="G22" s="43">
        <f>IF($L22=0,"",INDEX(Flux!$I$2:$I$35,$L22))</f>
        <v/>
      </c>
      <c r="H22" s="43">
        <f>IF($L22=0,"",INDEX(Flux!$J$2:$J$35,$L22))</f>
        <v/>
      </c>
      <c r="I22" s="43">
        <f>IF($L22=0,"",INDEX(Flux!$K$2:$K$35,$L22))</f>
        <v/>
      </c>
      <c r="J22" s="43">
        <f>IF($L22=0,"",INDEX(Flux!$L$2:$L$35,$L22))</f>
        <v/>
      </c>
      <c r="L22" s="39">
        <f>IFERROR(MATCH(7,Flux!$B$2:$B$35,0),0)</f>
        <v/>
      </c>
      <c r="M22" s="39">
        <f>IF(L22=0,"",INDEX(Flux!$C$2:$C$35,L22))</f>
        <v/>
      </c>
      <c r="N22" s="39">
        <f>IF(L22&gt;0,1,0)</f>
        <v/>
      </c>
    </row>
    <row r="23" hidden="1" ht="22" customHeight="1">
      <c r="B23" s="40">
        <f>IF($L23=0,"",INDEX(Flux!$D$2:$D$35,$L23))</f>
        <v/>
      </c>
      <c r="C23" s="41">
        <f>IF($L23=0,"",INDEX(Flux!$E$2:$E$35,$L23))</f>
        <v/>
      </c>
      <c r="D23" s="42">
        <f>IF($L23=0,"",INDEX(Flux!$F$2:$F$35,$L23))</f>
        <v/>
      </c>
      <c r="E23" s="43">
        <f>IF($L23=0,"",INDEX(Flux!$G$2:$G$35,$L23))</f>
        <v/>
      </c>
      <c r="F23" s="43">
        <f>IF($L23=0,"",INDEX(Flux!$H$2:$H$35,$L23))</f>
        <v/>
      </c>
      <c r="G23" s="43">
        <f>IF($L23=0,"",INDEX(Flux!$I$2:$I$35,$L23))</f>
        <v/>
      </c>
      <c r="H23" s="43">
        <f>IF($L23=0,"",INDEX(Flux!$J$2:$J$35,$L23))</f>
        <v/>
      </c>
      <c r="I23" s="43">
        <f>IF($L23=0,"",INDEX(Flux!$K$2:$K$35,$L23))</f>
        <v/>
      </c>
      <c r="J23" s="43">
        <f>IF($L23=0,"",INDEX(Flux!$L$2:$L$35,$L23))</f>
        <v/>
      </c>
      <c r="L23" s="39">
        <f>IFERROR(MATCH(8,Flux!$B$2:$B$35,0),0)</f>
        <v/>
      </c>
      <c r="M23" s="39">
        <f>IF(L23=0,"",INDEX(Flux!$C$2:$C$35,L23))</f>
        <v/>
      </c>
      <c r="N23" s="39">
        <f>IF(L23&gt;0,1,0)</f>
        <v/>
      </c>
    </row>
    <row r="24" hidden="1" ht="22" customHeight="1">
      <c r="B24" s="40">
        <f>IF($L24=0,"",INDEX(Flux!$D$2:$D$35,$L24))</f>
        <v/>
      </c>
      <c r="C24" s="41">
        <f>IF($L24=0,"",INDEX(Flux!$E$2:$E$35,$L24))</f>
        <v/>
      </c>
      <c r="D24" s="42">
        <f>IF($L24=0,"",INDEX(Flux!$F$2:$F$35,$L24))</f>
        <v/>
      </c>
      <c r="E24" s="43">
        <f>IF($L24=0,"",INDEX(Flux!$G$2:$G$35,$L24))</f>
        <v/>
      </c>
      <c r="F24" s="43">
        <f>IF($L24=0,"",INDEX(Flux!$H$2:$H$35,$L24))</f>
        <v/>
      </c>
      <c r="G24" s="43">
        <f>IF($L24=0,"",INDEX(Flux!$I$2:$I$35,$L24))</f>
        <v/>
      </c>
      <c r="H24" s="43">
        <f>IF($L24=0,"",INDEX(Flux!$J$2:$J$35,$L24))</f>
        <v/>
      </c>
      <c r="I24" s="43">
        <f>IF($L24=0,"",INDEX(Flux!$K$2:$K$35,$L24))</f>
        <v/>
      </c>
      <c r="J24" s="43">
        <f>IF($L24=0,"",INDEX(Flux!$L$2:$L$35,$L24))</f>
        <v/>
      </c>
      <c r="L24" s="39">
        <f>IFERROR(MATCH(9,Flux!$B$2:$B$35,0),0)</f>
        <v/>
      </c>
      <c r="M24" s="39">
        <f>IF(L24=0,"",INDEX(Flux!$C$2:$C$35,L24))</f>
        <v/>
      </c>
      <c r="N24" s="39">
        <f>IF(L24&gt;0,1,0)</f>
        <v/>
      </c>
    </row>
    <row r="25" hidden="1" ht="22" customHeight="1">
      <c r="B25" s="40">
        <f>IF($L25=0,"",INDEX(Flux!$D$2:$D$35,$L25))</f>
        <v/>
      </c>
      <c r="C25" s="41">
        <f>IF($L25=0,"",INDEX(Flux!$E$2:$E$35,$L25))</f>
        <v/>
      </c>
      <c r="D25" s="42">
        <f>IF($L25=0,"",INDEX(Flux!$F$2:$F$35,$L25))</f>
        <v/>
      </c>
      <c r="E25" s="43">
        <f>IF($L25=0,"",INDEX(Flux!$G$2:$G$35,$L25))</f>
        <v/>
      </c>
      <c r="F25" s="43">
        <f>IF($L25=0,"",INDEX(Flux!$H$2:$H$35,$L25))</f>
        <v/>
      </c>
      <c r="G25" s="43">
        <f>IF($L25=0,"",INDEX(Flux!$I$2:$I$35,$L25))</f>
        <v/>
      </c>
      <c r="H25" s="43">
        <f>IF($L25=0,"",INDEX(Flux!$J$2:$J$35,$L25))</f>
        <v/>
      </c>
      <c r="I25" s="43">
        <f>IF($L25=0,"",INDEX(Flux!$K$2:$K$35,$L25))</f>
        <v/>
      </c>
      <c r="J25" s="43">
        <f>IF($L25=0,"",INDEX(Flux!$L$2:$L$35,$L25))</f>
        <v/>
      </c>
      <c r="L25" s="39">
        <f>IFERROR(MATCH(10,Flux!$B$2:$B$35,0),0)</f>
        <v/>
      </c>
      <c r="M25" s="39">
        <f>IF(L25=0,"",INDEX(Flux!$C$2:$C$35,L25))</f>
        <v/>
      </c>
      <c r="N25" s="39">
        <f>IF(L25&gt;0,1,0)</f>
        <v/>
      </c>
    </row>
    <row r="26" hidden="1" ht="22" customHeight="1">
      <c r="B26" s="40">
        <f>IF($L26=0,"",INDEX(Flux!$D$2:$D$35,$L26))</f>
        <v/>
      </c>
      <c r="C26" s="41">
        <f>IF($L26=0,"",INDEX(Flux!$E$2:$E$35,$L26))</f>
        <v/>
      </c>
      <c r="D26" s="42">
        <f>IF($L26=0,"",INDEX(Flux!$F$2:$F$35,$L26))</f>
        <v/>
      </c>
      <c r="E26" s="43">
        <f>IF($L26=0,"",INDEX(Flux!$G$2:$G$35,$L26))</f>
        <v/>
      </c>
      <c r="F26" s="43">
        <f>IF($L26=0,"",INDEX(Flux!$H$2:$H$35,$L26))</f>
        <v/>
      </c>
      <c r="G26" s="43">
        <f>IF($L26=0,"",INDEX(Flux!$I$2:$I$35,$L26))</f>
        <v/>
      </c>
      <c r="H26" s="43">
        <f>IF($L26=0,"",INDEX(Flux!$J$2:$J$35,$L26))</f>
        <v/>
      </c>
      <c r="I26" s="43">
        <f>IF($L26=0,"",INDEX(Flux!$K$2:$K$35,$L26))</f>
        <v/>
      </c>
      <c r="J26" s="43">
        <f>IF($L26=0,"",INDEX(Flux!$L$2:$L$35,$L26))</f>
        <v/>
      </c>
      <c r="L26" s="39">
        <f>IFERROR(MATCH(11,Flux!$B$2:$B$35,0),0)</f>
        <v/>
      </c>
      <c r="M26" s="39">
        <f>IF(L26=0,"",INDEX(Flux!$C$2:$C$35,L26))</f>
        <v/>
      </c>
      <c r="N26" s="39">
        <f>IF(L26&gt;0,1,0)</f>
        <v/>
      </c>
    </row>
    <row r="27" hidden="1" ht="22" customHeight="1">
      <c r="B27" s="40">
        <f>IF($L27=0,"",INDEX(Flux!$D$2:$D$35,$L27))</f>
        <v/>
      </c>
      <c r="C27" s="41">
        <f>IF($L27=0,"",INDEX(Flux!$E$2:$E$35,$L27))</f>
        <v/>
      </c>
      <c r="D27" s="42">
        <f>IF($L27=0,"",INDEX(Flux!$F$2:$F$35,$L27))</f>
        <v/>
      </c>
      <c r="E27" s="43">
        <f>IF($L27=0,"",INDEX(Flux!$G$2:$G$35,$L27))</f>
        <v/>
      </c>
      <c r="F27" s="43">
        <f>IF($L27=0,"",INDEX(Flux!$H$2:$H$35,$L27))</f>
        <v/>
      </c>
      <c r="G27" s="43">
        <f>IF($L27=0,"",INDEX(Flux!$I$2:$I$35,$L27))</f>
        <v/>
      </c>
      <c r="H27" s="43">
        <f>IF($L27=0,"",INDEX(Flux!$J$2:$J$35,$L27))</f>
        <v/>
      </c>
      <c r="I27" s="43">
        <f>IF($L27=0,"",INDEX(Flux!$K$2:$K$35,$L27))</f>
        <v/>
      </c>
      <c r="J27" s="43">
        <f>IF($L27=0,"",INDEX(Flux!$L$2:$L$35,$L27))</f>
        <v/>
      </c>
      <c r="L27" s="39">
        <f>IFERROR(MATCH(12,Flux!$B$2:$B$35,0),0)</f>
        <v/>
      </c>
      <c r="M27" s="39">
        <f>IF(L27=0,"",INDEX(Flux!$C$2:$C$35,L27))</f>
        <v/>
      </c>
      <c r="N27" s="39">
        <f>IF(L27&gt;0,1,0)</f>
        <v/>
      </c>
    </row>
    <row r="28" hidden="1" ht="22" customHeight="1">
      <c r="B28" s="40">
        <f>IF($L28=0,"",INDEX(Flux!$D$2:$D$35,$L28))</f>
        <v/>
      </c>
      <c r="C28" s="41">
        <f>IF($L28=0,"",INDEX(Flux!$E$2:$E$35,$L28))</f>
        <v/>
      </c>
      <c r="D28" s="42">
        <f>IF($L28=0,"",INDEX(Flux!$F$2:$F$35,$L28))</f>
        <v/>
      </c>
      <c r="E28" s="43">
        <f>IF($L28=0,"",INDEX(Flux!$G$2:$G$35,$L28))</f>
        <v/>
      </c>
      <c r="F28" s="43">
        <f>IF($L28=0,"",INDEX(Flux!$H$2:$H$35,$L28))</f>
        <v/>
      </c>
      <c r="G28" s="43">
        <f>IF($L28=0,"",INDEX(Flux!$I$2:$I$35,$L28))</f>
        <v/>
      </c>
      <c r="H28" s="43">
        <f>IF($L28=0,"",INDEX(Flux!$J$2:$J$35,$L28))</f>
        <v/>
      </c>
      <c r="I28" s="43">
        <f>IF($L28=0,"",INDEX(Flux!$K$2:$K$35,$L28))</f>
        <v/>
      </c>
      <c r="J28" s="43">
        <f>IF($L28=0,"",INDEX(Flux!$L$2:$L$35,$L28))</f>
        <v/>
      </c>
      <c r="L28" s="39">
        <f>IFERROR(MATCH(13,Flux!$B$2:$B$35,0),0)</f>
        <v/>
      </c>
      <c r="M28" s="39">
        <f>IF(L28=0,"",INDEX(Flux!$C$2:$C$35,L28))</f>
        <v/>
      </c>
      <c r="N28" s="39">
        <f>IF(L28&gt;0,1,0)</f>
        <v/>
      </c>
    </row>
    <row r="29" hidden="1" ht="22" customHeight="1">
      <c r="B29" s="40">
        <f>IF($L29=0,"",INDEX(Flux!$D$2:$D$35,$L29))</f>
        <v/>
      </c>
      <c r="C29" s="41">
        <f>IF($L29=0,"",INDEX(Flux!$E$2:$E$35,$L29))</f>
        <v/>
      </c>
      <c r="D29" s="42">
        <f>IF($L29=0,"",INDEX(Flux!$F$2:$F$35,$L29))</f>
        <v/>
      </c>
      <c r="E29" s="43">
        <f>IF($L29=0,"",INDEX(Flux!$G$2:$G$35,$L29))</f>
        <v/>
      </c>
      <c r="F29" s="43">
        <f>IF($L29=0,"",INDEX(Flux!$H$2:$H$35,$L29))</f>
        <v/>
      </c>
      <c r="G29" s="43">
        <f>IF($L29=0,"",INDEX(Flux!$I$2:$I$35,$L29))</f>
        <v/>
      </c>
      <c r="H29" s="43">
        <f>IF($L29=0,"",INDEX(Flux!$J$2:$J$35,$L29))</f>
        <v/>
      </c>
      <c r="I29" s="43">
        <f>IF($L29=0,"",INDEX(Flux!$K$2:$K$35,$L29))</f>
        <v/>
      </c>
      <c r="J29" s="43">
        <f>IF($L29=0,"",INDEX(Flux!$L$2:$L$35,$L29))</f>
        <v/>
      </c>
      <c r="L29" s="39">
        <f>IFERROR(MATCH(14,Flux!$B$2:$B$35,0),0)</f>
        <v/>
      </c>
      <c r="M29" s="39">
        <f>IF(L29=0,"",INDEX(Flux!$C$2:$C$35,L29))</f>
        <v/>
      </c>
      <c r="N29" s="39">
        <f>IF(L29&gt;0,1,0)</f>
        <v/>
      </c>
    </row>
    <row r="30" hidden="1" ht="22" customHeight="1">
      <c r="B30" s="40">
        <f>IF($L30=0,"",INDEX(Flux!$D$2:$D$35,$L30))</f>
        <v/>
      </c>
      <c r="C30" s="41">
        <f>IF($L30=0,"",INDEX(Flux!$E$2:$E$35,$L30))</f>
        <v/>
      </c>
      <c r="D30" s="42">
        <f>IF($L30=0,"",INDEX(Flux!$F$2:$F$35,$L30))</f>
        <v/>
      </c>
      <c r="E30" s="43">
        <f>IF($L30=0,"",INDEX(Flux!$G$2:$G$35,$L30))</f>
        <v/>
      </c>
      <c r="F30" s="43">
        <f>IF($L30=0,"",INDEX(Flux!$H$2:$H$35,$L30))</f>
        <v/>
      </c>
      <c r="G30" s="43">
        <f>IF($L30=0,"",INDEX(Flux!$I$2:$I$35,$L30))</f>
        <v/>
      </c>
      <c r="H30" s="43">
        <f>IF($L30=0,"",INDEX(Flux!$J$2:$J$35,$L30))</f>
        <v/>
      </c>
      <c r="I30" s="43">
        <f>IF($L30=0,"",INDEX(Flux!$K$2:$K$35,$L30))</f>
        <v/>
      </c>
      <c r="J30" s="43">
        <f>IF($L30=0,"",INDEX(Flux!$L$2:$L$35,$L30))</f>
        <v/>
      </c>
      <c r="L30" s="39">
        <f>IFERROR(MATCH(15,Flux!$B$2:$B$35,0),0)</f>
        <v/>
      </c>
      <c r="M30" s="39">
        <f>IF(L30=0,"",INDEX(Flux!$C$2:$C$35,L30))</f>
        <v/>
      </c>
      <c r="N30" s="39">
        <f>IF(L30&gt;0,1,0)</f>
        <v/>
      </c>
    </row>
    <row r="31" hidden="1" ht="22" customHeight="1">
      <c r="B31" s="40">
        <f>IF($L31=0,"",INDEX(Flux!$D$2:$D$35,$L31))</f>
        <v/>
      </c>
      <c r="C31" s="41">
        <f>IF($L31=0,"",INDEX(Flux!$E$2:$E$35,$L31))</f>
        <v/>
      </c>
      <c r="D31" s="42">
        <f>IF($L31=0,"",INDEX(Flux!$F$2:$F$35,$L31))</f>
        <v/>
      </c>
      <c r="E31" s="43">
        <f>IF($L31=0,"",INDEX(Flux!$G$2:$G$35,$L31))</f>
        <v/>
      </c>
      <c r="F31" s="43">
        <f>IF($L31=0,"",INDEX(Flux!$H$2:$H$35,$L31))</f>
        <v/>
      </c>
      <c r="G31" s="43">
        <f>IF($L31=0,"",INDEX(Flux!$I$2:$I$35,$L31))</f>
        <v/>
      </c>
      <c r="H31" s="43">
        <f>IF($L31=0,"",INDEX(Flux!$J$2:$J$35,$L31))</f>
        <v/>
      </c>
      <c r="I31" s="43">
        <f>IF($L31=0,"",INDEX(Flux!$K$2:$K$35,$L31))</f>
        <v/>
      </c>
      <c r="J31" s="43">
        <f>IF($L31=0,"",INDEX(Flux!$L$2:$L$35,$L31))</f>
        <v/>
      </c>
      <c r="L31" s="39">
        <f>IFERROR(MATCH(16,Flux!$B$2:$B$35,0),0)</f>
        <v/>
      </c>
      <c r="M31" s="39">
        <f>IF(L31=0,"",INDEX(Flux!$C$2:$C$35,L31))</f>
        <v/>
      </c>
      <c r="N31" s="39">
        <f>IF(L31&gt;0,1,0)</f>
        <v/>
      </c>
    </row>
    <row r="32" hidden="1" ht="22" customHeight="1">
      <c r="B32" s="40">
        <f>IF($L32=0,"",INDEX(Flux!$D$2:$D$35,$L32))</f>
        <v/>
      </c>
      <c r="C32" s="41">
        <f>IF($L32=0,"",INDEX(Flux!$E$2:$E$35,$L32))</f>
        <v/>
      </c>
      <c r="D32" s="42">
        <f>IF($L32=0,"",INDEX(Flux!$F$2:$F$35,$L32))</f>
        <v/>
      </c>
      <c r="E32" s="43">
        <f>IF($L32=0,"",INDEX(Flux!$G$2:$G$35,$L32))</f>
        <v/>
      </c>
      <c r="F32" s="43">
        <f>IF($L32=0,"",INDEX(Flux!$H$2:$H$35,$L32))</f>
        <v/>
      </c>
      <c r="G32" s="43">
        <f>IF($L32=0,"",INDEX(Flux!$I$2:$I$35,$L32))</f>
        <v/>
      </c>
      <c r="H32" s="43">
        <f>IF($L32=0,"",INDEX(Flux!$J$2:$J$35,$L32))</f>
        <v/>
      </c>
      <c r="I32" s="43">
        <f>IF($L32=0,"",INDEX(Flux!$K$2:$K$35,$L32))</f>
        <v/>
      </c>
      <c r="J32" s="43">
        <f>IF($L32=0,"",INDEX(Flux!$L$2:$L$35,$L32))</f>
        <v/>
      </c>
      <c r="L32" s="39">
        <f>IFERROR(MATCH(17,Flux!$B$2:$B$35,0),0)</f>
        <v/>
      </c>
      <c r="M32" s="39">
        <f>IF(L32=0,"",INDEX(Flux!$C$2:$C$35,L32))</f>
        <v/>
      </c>
      <c r="N32" s="39">
        <f>IF(L32&gt;0,1,0)</f>
        <v/>
      </c>
    </row>
    <row r="33" hidden="1" ht="22" customHeight="1">
      <c r="B33" s="40">
        <f>IF($L33=0,"",INDEX(Flux!$D$2:$D$35,$L33))</f>
        <v/>
      </c>
      <c r="C33" s="41">
        <f>IF($L33=0,"",INDEX(Flux!$E$2:$E$35,$L33))</f>
        <v/>
      </c>
      <c r="D33" s="42">
        <f>IF($L33=0,"",INDEX(Flux!$F$2:$F$35,$L33))</f>
        <v/>
      </c>
      <c r="E33" s="43">
        <f>IF($L33=0,"",INDEX(Flux!$G$2:$G$35,$L33))</f>
        <v/>
      </c>
      <c r="F33" s="43">
        <f>IF($L33=0,"",INDEX(Flux!$H$2:$H$35,$L33))</f>
        <v/>
      </c>
      <c r="G33" s="43">
        <f>IF($L33=0,"",INDEX(Flux!$I$2:$I$35,$L33))</f>
        <v/>
      </c>
      <c r="H33" s="43">
        <f>IF($L33=0,"",INDEX(Flux!$J$2:$J$35,$L33))</f>
        <v/>
      </c>
      <c r="I33" s="43">
        <f>IF($L33=0,"",INDEX(Flux!$K$2:$K$35,$L33))</f>
        <v/>
      </c>
      <c r="J33" s="43">
        <f>IF($L33=0,"",INDEX(Flux!$L$2:$L$35,$L33))</f>
        <v/>
      </c>
      <c r="L33" s="39">
        <f>IFERROR(MATCH(18,Flux!$B$2:$B$35,0),0)</f>
        <v/>
      </c>
      <c r="M33" s="39">
        <f>IF(L33=0,"",INDEX(Flux!$C$2:$C$35,L33))</f>
        <v/>
      </c>
      <c r="N33" s="39">
        <f>IF(L33&gt;0,1,0)</f>
        <v/>
      </c>
    </row>
    <row r="34" hidden="1" ht="22" customHeight="1">
      <c r="B34" s="40">
        <f>IF($L34=0,"",INDEX(Flux!$D$2:$D$35,$L34))</f>
        <v/>
      </c>
      <c r="C34" s="41">
        <f>IF($L34=0,"",INDEX(Flux!$E$2:$E$35,$L34))</f>
        <v/>
      </c>
      <c r="D34" s="42">
        <f>IF($L34=0,"",INDEX(Flux!$F$2:$F$35,$L34))</f>
        <v/>
      </c>
      <c r="E34" s="43">
        <f>IF($L34=0,"",INDEX(Flux!$G$2:$G$35,$L34))</f>
        <v/>
      </c>
      <c r="F34" s="43">
        <f>IF($L34=0,"",INDEX(Flux!$H$2:$H$35,$L34))</f>
        <v/>
      </c>
      <c r="G34" s="43">
        <f>IF($L34=0,"",INDEX(Flux!$I$2:$I$35,$L34))</f>
        <v/>
      </c>
      <c r="H34" s="43">
        <f>IF($L34=0,"",INDEX(Flux!$J$2:$J$35,$L34))</f>
        <v/>
      </c>
      <c r="I34" s="43">
        <f>IF($L34=0,"",INDEX(Flux!$K$2:$K$35,$L34))</f>
        <v/>
      </c>
      <c r="J34" s="43">
        <f>IF($L34=0,"",INDEX(Flux!$L$2:$L$35,$L34))</f>
        <v/>
      </c>
      <c r="L34" s="39">
        <f>IFERROR(MATCH(19,Flux!$B$2:$B$35,0),0)</f>
        <v/>
      </c>
      <c r="M34" s="39">
        <f>IF(L34=0,"",INDEX(Flux!$C$2:$C$35,L34))</f>
        <v/>
      </c>
      <c r="N34" s="39">
        <f>IF(L34&gt;0,1,0)</f>
        <v/>
      </c>
    </row>
    <row r="35" hidden="1" ht="22" customHeight="1">
      <c r="B35" s="40">
        <f>IF($L35=0,"",INDEX(Flux!$D$2:$D$35,$L35))</f>
        <v/>
      </c>
      <c r="C35" s="41">
        <f>IF($L35=0,"",INDEX(Flux!$E$2:$E$35,$L35))</f>
        <v/>
      </c>
      <c r="D35" s="42">
        <f>IF($L35=0,"",INDEX(Flux!$F$2:$F$35,$L35))</f>
        <v/>
      </c>
      <c r="E35" s="43">
        <f>IF($L35=0,"",INDEX(Flux!$G$2:$G$35,$L35))</f>
        <v/>
      </c>
      <c r="F35" s="43">
        <f>IF($L35=0,"",INDEX(Flux!$H$2:$H$35,$L35))</f>
        <v/>
      </c>
      <c r="G35" s="43">
        <f>IF($L35=0,"",INDEX(Flux!$I$2:$I$35,$L35))</f>
        <v/>
      </c>
      <c r="H35" s="43">
        <f>IF($L35=0,"",INDEX(Flux!$J$2:$J$35,$L35))</f>
        <v/>
      </c>
      <c r="I35" s="43">
        <f>IF($L35=0,"",INDEX(Flux!$K$2:$K$35,$L35))</f>
        <v/>
      </c>
      <c r="J35" s="43">
        <f>IF($L35=0,"",INDEX(Flux!$L$2:$L$35,$L35))</f>
        <v/>
      </c>
      <c r="L35" s="39">
        <f>IFERROR(MATCH(20,Flux!$B$2:$B$35,0),0)</f>
        <v/>
      </c>
      <c r="M35" s="39">
        <f>IF(L35=0,"",INDEX(Flux!$C$2:$C$35,L35))</f>
        <v/>
      </c>
      <c r="N35" s="39">
        <f>IF(L35&gt;0,1,0)</f>
        <v/>
      </c>
    </row>
    <row r="36" hidden="1" ht="22" customHeight="1">
      <c r="B36" s="40">
        <f>IF($L36=0,"",INDEX(Flux!$D$2:$D$35,$L36))</f>
        <v/>
      </c>
      <c r="C36" s="41">
        <f>IF($L36=0,"",INDEX(Flux!$E$2:$E$35,$L36))</f>
        <v/>
      </c>
      <c r="D36" s="42">
        <f>IF($L36=0,"",INDEX(Flux!$F$2:$F$35,$L36))</f>
        <v/>
      </c>
      <c r="E36" s="43">
        <f>IF($L36=0,"",INDEX(Flux!$G$2:$G$35,$L36))</f>
        <v/>
      </c>
      <c r="F36" s="43">
        <f>IF($L36=0,"",INDEX(Flux!$H$2:$H$35,$L36))</f>
        <v/>
      </c>
      <c r="G36" s="43">
        <f>IF($L36=0,"",INDEX(Flux!$I$2:$I$35,$L36))</f>
        <v/>
      </c>
      <c r="H36" s="43">
        <f>IF($L36=0,"",INDEX(Flux!$J$2:$J$35,$L36))</f>
        <v/>
      </c>
      <c r="I36" s="43">
        <f>IF($L36=0,"",INDEX(Flux!$K$2:$K$35,$L36))</f>
        <v/>
      </c>
      <c r="J36" s="43">
        <f>IF($L36=0,"",INDEX(Flux!$L$2:$L$35,$L36))</f>
        <v/>
      </c>
      <c r="L36" s="39">
        <f>IFERROR(MATCH(21,Flux!$B$2:$B$35,0),0)</f>
        <v/>
      </c>
      <c r="M36" s="39">
        <f>IF(L36=0,"",INDEX(Flux!$C$2:$C$35,L36))</f>
        <v/>
      </c>
      <c r="N36" s="39">
        <f>IF(L36&gt;0,1,0)</f>
        <v/>
      </c>
    </row>
    <row r="37" hidden="1" ht="22" customHeight="1">
      <c r="B37" s="40">
        <f>IF($L37=0,"",INDEX(Flux!$D$2:$D$35,$L37))</f>
        <v/>
      </c>
      <c r="C37" s="41">
        <f>IF($L37=0,"",INDEX(Flux!$E$2:$E$35,$L37))</f>
        <v/>
      </c>
      <c r="D37" s="42">
        <f>IF($L37=0,"",INDEX(Flux!$F$2:$F$35,$L37))</f>
        <v/>
      </c>
      <c r="E37" s="43">
        <f>IF($L37=0,"",INDEX(Flux!$G$2:$G$35,$L37))</f>
        <v/>
      </c>
      <c r="F37" s="43">
        <f>IF($L37=0,"",INDEX(Flux!$H$2:$H$35,$L37))</f>
        <v/>
      </c>
      <c r="G37" s="43">
        <f>IF($L37=0,"",INDEX(Flux!$I$2:$I$35,$L37))</f>
        <v/>
      </c>
      <c r="H37" s="43">
        <f>IF($L37=0,"",INDEX(Flux!$J$2:$J$35,$L37))</f>
        <v/>
      </c>
      <c r="I37" s="43">
        <f>IF($L37=0,"",INDEX(Flux!$K$2:$K$35,$L37))</f>
        <v/>
      </c>
      <c r="J37" s="43">
        <f>IF($L37=0,"",INDEX(Flux!$L$2:$L$35,$L37))</f>
        <v/>
      </c>
      <c r="L37" s="39">
        <f>IFERROR(MATCH(22,Flux!$B$2:$B$35,0),0)</f>
        <v/>
      </c>
      <c r="M37" s="39">
        <f>IF(L37=0,"",INDEX(Flux!$C$2:$C$35,L37))</f>
        <v/>
      </c>
      <c r="N37" s="39">
        <f>IF(L37&gt;0,1,0)</f>
        <v/>
      </c>
    </row>
    <row r="38" hidden="1" ht="22" customHeight="1">
      <c r="B38" s="40">
        <f>IF($L38=0,"",INDEX(Flux!$D$2:$D$35,$L38))</f>
        <v/>
      </c>
      <c r="C38" s="41">
        <f>IF($L38=0,"",INDEX(Flux!$E$2:$E$35,$L38))</f>
        <v/>
      </c>
      <c r="D38" s="42">
        <f>IF($L38=0,"",INDEX(Flux!$F$2:$F$35,$L38))</f>
        <v/>
      </c>
      <c r="E38" s="43">
        <f>IF($L38=0,"",INDEX(Flux!$G$2:$G$35,$L38))</f>
        <v/>
      </c>
      <c r="F38" s="43">
        <f>IF($L38=0,"",INDEX(Flux!$H$2:$H$35,$L38))</f>
        <v/>
      </c>
      <c r="G38" s="43">
        <f>IF($L38=0,"",INDEX(Flux!$I$2:$I$35,$L38))</f>
        <v/>
      </c>
      <c r="H38" s="43">
        <f>IF($L38=0,"",INDEX(Flux!$J$2:$J$35,$L38))</f>
        <v/>
      </c>
      <c r="I38" s="43">
        <f>IF($L38=0,"",INDEX(Flux!$K$2:$K$35,$L38))</f>
        <v/>
      </c>
      <c r="J38" s="43">
        <f>IF($L38=0,"",INDEX(Flux!$L$2:$L$35,$L38))</f>
        <v/>
      </c>
      <c r="L38" s="39">
        <f>IFERROR(MATCH(23,Flux!$B$2:$B$35,0),0)</f>
        <v/>
      </c>
      <c r="M38" s="39">
        <f>IF(L38=0,"",INDEX(Flux!$C$2:$C$35,L38))</f>
        <v/>
      </c>
      <c r="N38" s="39">
        <f>IF(L38&gt;0,1,0)</f>
        <v/>
      </c>
    </row>
    <row r="39" hidden="1" ht="22" customHeight="1">
      <c r="B39" s="40">
        <f>IF($L39=0,"",INDEX(Flux!$D$2:$D$35,$L39))</f>
        <v/>
      </c>
      <c r="C39" s="41">
        <f>IF($L39=0,"",INDEX(Flux!$E$2:$E$35,$L39))</f>
        <v/>
      </c>
      <c r="D39" s="42">
        <f>IF($L39=0,"",INDEX(Flux!$F$2:$F$35,$L39))</f>
        <v/>
      </c>
      <c r="E39" s="43">
        <f>IF($L39=0,"",INDEX(Flux!$G$2:$G$35,$L39))</f>
        <v/>
      </c>
      <c r="F39" s="43">
        <f>IF($L39=0,"",INDEX(Flux!$H$2:$H$35,$L39))</f>
        <v/>
      </c>
      <c r="G39" s="43">
        <f>IF($L39=0,"",INDEX(Flux!$I$2:$I$35,$L39))</f>
        <v/>
      </c>
      <c r="H39" s="43">
        <f>IF($L39=0,"",INDEX(Flux!$J$2:$J$35,$L39))</f>
        <v/>
      </c>
      <c r="I39" s="43">
        <f>IF($L39=0,"",INDEX(Flux!$K$2:$K$35,$L39))</f>
        <v/>
      </c>
      <c r="J39" s="43">
        <f>IF($L39=0,"",INDEX(Flux!$L$2:$L$35,$L39))</f>
        <v/>
      </c>
      <c r="L39" s="39">
        <f>IFERROR(MATCH(24,Flux!$B$2:$B$35,0),0)</f>
        <v/>
      </c>
      <c r="M39" s="39">
        <f>IF(L39=0,"",INDEX(Flux!$C$2:$C$35,L39))</f>
        <v/>
      </c>
      <c r="N39" s="39">
        <f>IF(L39&gt;0,1,0)</f>
        <v/>
      </c>
    </row>
    <row r="40" hidden="1" ht="22" customHeight="1">
      <c r="B40" s="40">
        <f>IF($L40=0,"",INDEX(Flux!$D$2:$D$35,$L40))</f>
        <v/>
      </c>
      <c r="C40" s="41">
        <f>IF($L40=0,"",INDEX(Flux!$E$2:$E$35,$L40))</f>
        <v/>
      </c>
      <c r="D40" s="42">
        <f>IF($L40=0,"",INDEX(Flux!$F$2:$F$35,$L40))</f>
        <v/>
      </c>
      <c r="E40" s="43">
        <f>IF($L40=0,"",INDEX(Flux!$G$2:$G$35,$L40))</f>
        <v/>
      </c>
      <c r="F40" s="43">
        <f>IF($L40=0,"",INDEX(Flux!$H$2:$H$35,$L40))</f>
        <v/>
      </c>
      <c r="G40" s="43">
        <f>IF($L40=0,"",INDEX(Flux!$I$2:$I$35,$L40))</f>
        <v/>
      </c>
      <c r="H40" s="43">
        <f>IF($L40=0,"",INDEX(Flux!$J$2:$J$35,$L40))</f>
        <v/>
      </c>
      <c r="I40" s="43">
        <f>IF($L40=0,"",INDEX(Flux!$K$2:$K$35,$L40))</f>
        <v/>
      </c>
      <c r="J40" s="43">
        <f>IF($L40=0,"",INDEX(Flux!$L$2:$L$35,$L40))</f>
        <v/>
      </c>
      <c r="L40" s="39">
        <f>IFERROR(MATCH(25,Flux!$B$2:$B$35,0),0)</f>
        <v/>
      </c>
      <c r="M40" s="39">
        <f>IF(L40=0,"",INDEX(Flux!$C$2:$C$35,L40))</f>
        <v/>
      </c>
      <c r="N40" s="39">
        <f>IF(L40&gt;0,1,0)</f>
        <v/>
      </c>
    </row>
    <row r="41" hidden="1" ht="22" customHeight="1">
      <c r="B41" s="40">
        <f>IF($L41=0,"",INDEX(Flux!$D$2:$D$35,$L41))</f>
        <v/>
      </c>
      <c r="C41" s="41">
        <f>IF($L41=0,"",INDEX(Flux!$E$2:$E$35,$L41))</f>
        <v/>
      </c>
      <c r="D41" s="42">
        <f>IF($L41=0,"",INDEX(Flux!$F$2:$F$35,$L41))</f>
        <v/>
      </c>
      <c r="E41" s="43">
        <f>IF($L41=0,"",INDEX(Flux!$G$2:$G$35,$L41))</f>
        <v/>
      </c>
      <c r="F41" s="43">
        <f>IF($L41=0,"",INDEX(Flux!$H$2:$H$35,$L41))</f>
        <v/>
      </c>
      <c r="G41" s="43">
        <f>IF($L41=0,"",INDEX(Flux!$I$2:$I$35,$L41))</f>
        <v/>
      </c>
      <c r="H41" s="43">
        <f>IF($L41=0,"",INDEX(Flux!$J$2:$J$35,$L41))</f>
        <v/>
      </c>
      <c r="I41" s="43">
        <f>IF($L41=0,"",INDEX(Flux!$K$2:$K$35,$L41))</f>
        <v/>
      </c>
      <c r="J41" s="43">
        <f>IF($L41=0,"",INDEX(Flux!$L$2:$L$35,$L41))</f>
        <v/>
      </c>
      <c r="L41" s="39">
        <f>IFERROR(MATCH(26,Flux!$B$2:$B$35,0),0)</f>
        <v/>
      </c>
      <c r="M41" s="39">
        <f>IF(L41=0,"",INDEX(Flux!$C$2:$C$35,L41))</f>
        <v/>
      </c>
      <c r="N41" s="39">
        <f>IF(L41&gt;0,1,0)</f>
        <v/>
      </c>
    </row>
    <row r="42" hidden="1" ht="22" customHeight="1">
      <c r="B42" s="40">
        <f>IF($L42=0,"",INDEX(Flux!$D$2:$D$35,$L42))</f>
        <v/>
      </c>
      <c r="C42" s="41">
        <f>IF($L42=0,"",INDEX(Flux!$E$2:$E$35,$L42))</f>
        <v/>
      </c>
      <c r="D42" s="42">
        <f>IF($L42=0,"",INDEX(Flux!$F$2:$F$35,$L42))</f>
        <v/>
      </c>
      <c r="E42" s="43">
        <f>IF($L42=0,"",INDEX(Flux!$G$2:$G$35,$L42))</f>
        <v/>
      </c>
      <c r="F42" s="43">
        <f>IF($L42=0,"",INDEX(Flux!$H$2:$H$35,$L42))</f>
        <v/>
      </c>
      <c r="G42" s="43">
        <f>IF($L42=0,"",INDEX(Flux!$I$2:$I$35,$L42))</f>
        <v/>
      </c>
      <c r="H42" s="43">
        <f>IF($L42=0,"",INDEX(Flux!$J$2:$J$35,$L42))</f>
        <v/>
      </c>
      <c r="I42" s="43">
        <f>IF($L42=0,"",INDEX(Flux!$K$2:$K$35,$L42))</f>
        <v/>
      </c>
      <c r="J42" s="43">
        <f>IF($L42=0,"",INDEX(Flux!$L$2:$L$35,$L42))</f>
        <v/>
      </c>
      <c r="L42" s="39">
        <f>IFERROR(MATCH(27,Flux!$B$2:$B$35,0),0)</f>
        <v/>
      </c>
      <c r="M42" s="39">
        <f>IF(L42=0,"",INDEX(Flux!$C$2:$C$35,L42))</f>
        <v/>
      </c>
      <c r="N42" s="39">
        <f>IF(L42&gt;0,1,0)</f>
        <v/>
      </c>
    </row>
    <row r="43" hidden="1" ht="22" customHeight="1">
      <c r="B43" s="40">
        <f>IF($L43=0,"",INDEX(Flux!$D$2:$D$35,$L43))</f>
        <v/>
      </c>
      <c r="C43" s="41">
        <f>IF($L43=0,"",INDEX(Flux!$E$2:$E$35,$L43))</f>
        <v/>
      </c>
      <c r="D43" s="42">
        <f>IF($L43=0,"",INDEX(Flux!$F$2:$F$35,$L43))</f>
        <v/>
      </c>
      <c r="E43" s="43">
        <f>IF($L43=0,"",INDEX(Flux!$G$2:$G$35,$L43))</f>
        <v/>
      </c>
      <c r="F43" s="43">
        <f>IF($L43=0,"",INDEX(Flux!$H$2:$H$35,$L43))</f>
        <v/>
      </c>
      <c r="G43" s="43">
        <f>IF($L43=0,"",INDEX(Flux!$I$2:$I$35,$L43))</f>
        <v/>
      </c>
      <c r="H43" s="43">
        <f>IF($L43=0,"",INDEX(Flux!$J$2:$J$35,$L43))</f>
        <v/>
      </c>
      <c r="I43" s="43">
        <f>IF($L43=0,"",INDEX(Flux!$K$2:$K$35,$L43))</f>
        <v/>
      </c>
      <c r="J43" s="43">
        <f>IF($L43=0,"",INDEX(Flux!$L$2:$L$35,$L43))</f>
        <v/>
      </c>
      <c r="L43" s="39">
        <f>IFERROR(MATCH(28,Flux!$B$2:$B$35,0),0)</f>
        <v/>
      </c>
      <c r="M43" s="39">
        <f>IF(L43=0,"",INDEX(Flux!$C$2:$C$35,L43))</f>
        <v/>
      </c>
      <c r="N43" s="39">
        <f>IF(L43&gt;0,1,0)</f>
        <v/>
      </c>
    </row>
    <row r="44" hidden="1" ht="22" customHeight="1">
      <c r="B44" s="40">
        <f>IF($L44=0,"",INDEX(Flux!$D$2:$D$35,$L44))</f>
        <v/>
      </c>
      <c r="C44" s="41">
        <f>IF($L44=0,"",INDEX(Flux!$E$2:$E$35,$L44))</f>
        <v/>
      </c>
      <c r="D44" s="42">
        <f>IF($L44=0,"",INDEX(Flux!$F$2:$F$35,$L44))</f>
        <v/>
      </c>
      <c r="E44" s="43">
        <f>IF($L44=0,"",INDEX(Flux!$G$2:$G$35,$L44))</f>
        <v/>
      </c>
      <c r="F44" s="43">
        <f>IF($L44=0,"",INDEX(Flux!$H$2:$H$35,$L44))</f>
        <v/>
      </c>
      <c r="G44" s="43">
        <f>IF($L44=0,"",INDEX(Flux!$I$2:$I$35,$L44))</f>
        <v/>
      </c>
      <c r="H44" s="43">
        <f>IF($L44=0,"",INDEX(Flux!$J$2:$J$35,$L44))</f>
        <v/>
      </c>
      <c r="I44" s="43">
        <f>IF($L44=0,"",INDEX(Flux!$K$2:$K$35,$L44))</f>
        <v/>
      </c>
      <c r="J44" s="43">
        <f>IF($L44=0,"",INDEX(Flux!$L$2:$L$35,$L44))</f>
        <v/>
      </c>
      <c r="L44" s="39">
        <f>IFERROR(MATCH(29,Flux!$B$2:$B$35,0),0)</f>
        <v/>
      </c>
      <c r="M44" s="39">
        <f>IF(L44=0,"",INDEX(Flux!$C$2:$C$35,L44))</f>
        <v/>
      </c>
      <c r="N44" s="39">
        <f>IF(L44&gt;0,1,0)</f>
        <v/>
      </c>
    </row>
    <row r="45" hidden="1" ht="22" customHeight="1">
      <c r="B45" s="40">
        <f>IF($L45=0,"",INDEX(Flux!$D$2:$D$35,$L45))</f>
        <v/>
      </c>
      <c r="C45" s="41">
        <f>IF($L45=0,"",INDEX(Flux!$E$2:$E$35,$L45))</f>
        <v/>
      </c>
      <c r="D45" s="42">
        <f>IF($L45=0,"",INDEX(Flux!$F$2:$F$35,$L45))</f>
        <v/>
      </c>
      <c r="E45" s="43">
        <f>IF($L45=0,"",INDEX(Flux!$G$2:$G$35,$L45))</f>
        <v/>
      </c>
      <c r="F45" s="43">
        <f>IF($L45=0,"",INDEX(Flux!$H$2:$H$35,$L45))</f>
        <v/>
      </c>
      <c r="G45" s="43">
        <f>IF($L45=0,"",INDEX(Flux!$I$2:$I$35,$L45))</f>
        <v/>
      </c>
      <c r="H45" s="43">
        <f>IF($L45=0,"",INDEX(Flux!$J$2:$J$35,$L45))</f>
        <v/>
      </c>
      <c r="I45" s="43">
        <f>IF($L45=0,"",INDEX(Flux!$K$2:$K$35,$L45))</f>
        <v/>
      </c>
      <c r="J45" s="43">
        <f>IF($L45=0,"",INDEX(Flux!$L$2:$L$35,$L45))</f>
        <v/>
      </c>
      <c r="L45" s="39">
        <f>IFERROR(MATCH(30,Flux!$B$2:$B$35,0),0)</f>
        <v/>
      </c>
      <c r="M45" s="39">
        <f>IF(L45=0,"",INDEX(Flux!$C$2:$C$35,L45))</f>
        <v/>
      </c>
      <c r="N45" s="39">
        <f>IF(L45&gt;0,1,0)</f>
        <v/>
      </c>
    </row>
    <row r="46" hidden="1" ht="22" customHeight="1">
      <c r="B46" s="40">
        <f>IF($L46=0,"",INDEX(Flux!$D$2:$D$35,$L46))</f>
        <v/>
      </c>
      <c r="C46" s="41">
        <f>IF($L46=0,"",INDEX(Flux!$E$2:$E$35,$L46))</f>
        <v/>
      </c>
      <c r="D46" s="42">
        <f>IF($L46=0,"",INDEX(Flux!$F$2:$F$35,$L46))</f>
        <v/>
      </c>
      <c r="E46" s="43">
        <f>IF($L46=0,"",INDEX(Flux!$G$2:$G$35,$L46))</f>
        <v/>
      </c>
      <c r="F46" s="43">
        <f>IF($L46=0,"",INDEX(Flux!$H$2:$H$35,$L46))</f>
        <v/>
      </c>
      <c r="G46" s="43">
        <f>IF($L46=0,"",INDEX(Flux!$I$2:$I$35,$L46))</f>
        <v/>
      </c>
      <c r="H46" s="43">
        <f>IF($L46=0,"",INDEX(Flux!$J$2:$J$35,$L46))</f>
        <v/>
      </c>
      <c r="I46" s="43">
        <f>IF($L46=0,"",INDEX(Flux!$K$2:$K$35,$L46))</f>
        <v/>
      </c>
      <c r="J46" s="43">
        <f>IF($L46=0,"",INDEX(Flux!$L$2:$L$35,$L46))</f>
        <v/>
      </c>
      <c r="L46" s="39">
        <f>IFERROR(MATCH(31,Flux!$B$2:$B$35,0),0)</f>
        <v/>
      </c>
      <c r="M46" s="39">
        <f>IF(L46=0,"",INDEX(Flux!$C$2:$C$35,L46))</f>
        <v/>
      </c>
      <c r="N46" s="39">
        <f>IF(L46&gt;0,1,0)</f>
        <v/>
      </c>
    </row>
    <row r="47" hidden="1" ht="22" customHeight="1">
      <c r="B47" s="40">
        <f>IF($L47=0,"",INDEX(Flux!$D$2:$D$35,$L47))</f>
        <v/>
      </c>
      <c r="C47" s="41">
        <f>IF($L47=0,"",INDEX(Flux!$E$2:$E$35,$L47))</f>
        <v/>
      </c>
      <c r="D47" s="42">
        <f>IF($L47=0,"",INDEX(Flux!$F$2:$F$35,$L47))</f>
        <v/>
      </c>
      <c r="E47" s="43">
        <f>IF($L47=0,"",INDEX(Flux!$G$2:$G$35,$L47))</f>
        <v/>
      </c>
      <c r="F47" s="43">
        <f>IF($L47=0,"",INDEX(Flux!$H$2:$H$35,$L47))</f>
        <v/>
      </c>
      <c r="G47" s="43">
        <f>IF($L47=0,"",INDEX(Flux!$I$2:$I$35,$L47))</f>
        <v/>
      </c>
      <c r="H47" s="43">
        <f>IF($L47=0,"",INDEX(Flux!$J$2:$J$35,$L47))</f>
        <v/>
      </c>
      <c r="I47" s="43">
        <f>IF($L47=0,"",INDEX(Flux!$K$2:$K$35,$L47))</f>
        <v/>
      </c>
      <c r="J47" s="43">
        <f>IF($L47=0,"",INDEX(Flux!$L$2:$L$35,$L47))</f>
        <v/>
      </c>
      <c r="L47" s="39">
        <f>IFERROR(MATCH(32,Flux!$B$2:$B$35,0),0)</f>
        <v/>
      </c>
      <c r="M47" s="39">
        <f>IF(L47=0,"",INDEX(Flux!$C$2:$C$35,L47))</f>
        <v/>
      </c>
      <c r="N47" s="39">
        <f>IF(L47&gt;0,1,0)</f>
        <v/>
      </c>
    </row>
    <row r="48" hidden="1" ht="22" customHeight="1">
      <c r="B48" s="40">
        <f>IF($L48=0,"",INDEX(Flux!$D$2:$D$35,$L48))</f>
        <v/>
      </c>
      <c r="C48" s="41">
        <f>IF($L48=0,"",INDEX(Flux!$E$2:$E$35,$L48))</f>
        <v/>
      </c>
      <c r="D48" s="42">
        <f>IF($L48=0,"",INDEX(Flux!$F$2:$F$35,$L48))</f>
        <v/>
      </c>
      <c r="E48" s="43">
        <f>IF($L48=0,"",INDEX(Flux!$G$2:$G$35,$L48))</f>
        <v/>
      </c>
      <c r="F48" s="43">
        <f>IF($L48=0,"",INDEX(Flux!$H$2:$H$35,$L48))</f>
        <v/>
      </c>
      <c r="G48" s="43">
        <f>IF($L48=0,"",INDEX(Flux!$I$2:$I$35,$L48))</f>
        <v/>
      </c>
      <c r="H48" s="43">
        <f>IF($L48=0,"",INDEX(Flux!$J$2:$J$35,$L48))</f>
        <v/>
      </c>
      <c r="I48" s="43">
        <f>IF($L48=0,"",INDEX(Flux!$K$2:$K$35,$L48))</f>
        <v/>
      </c>
      <c r="J48" s="43">
        <f>IF($L48=0,"",INDEX(Flux!$L$2:$L$35,$L48))</f>
        <v/>
      </c>
      <c r="L48" s="39">
        <f>IFERROR(MATCH(33,Flux!$B$2:$B$35,0),0)</f>
        <v/>
      </c>
      <c r="M48" s="39">
        <f>IF(L48=0,"",INDEX(Flux!$C$2:$C$35,L48))</f>
        <v/>
      </c>
      <c r="N48" s="39">
        <f>IF(L48&gt;0,1,0)</f>
        <v/>
      </c>
    </row>
    <row r="49" hidden="1" ht="22" customHeight="1">
      <c r="B49" s="40">
        <f>IF($L49=0,"",INDEX(Flux!$D$2:$D$35,$L49))</f>
        <v/>
      </c>
      <c r="C49" s="41">
        <f>IF($L49=0,"",INDEX(Flux!$E$2:$E$35,$L49))</f>
        <v/>
      </c>
      <c r="D49" s="42">
        <f>IF($L49=0,"",INDEX(Flux!$F$2:$F$35,$L49))</f>
        <v/>
      </c>
      <c r="E49" s="43">
        <f>IF($L49=0,"",INDEX(Flux!$G$2:$G$35,$L49))</f>
        <v/>
      </c>
      <c r="F49" s="43">
        <f>IF($L49=0,"",INDEX(Flux!$H$2:$H$35,$L49))</f>
        <v/>
      </c>
      <c r="G49" s="43">
        <f>IF($L49=0,"",INDEX(Flux!$I$2:$I$35,$L49))</f>
        <v/>
      </c>
      <c r="H49" s="43">
        <f>IF($L49=0,"",INDEX(Flux!$J$2:$J$35,$L49))</f>
        <v/>
      </c>
      <c r="I49" s="43">
        <f>IF($L49=0,"",INDEX(Flux!$K$2:$K$35,$L49))</f>
        <v/>
      </c>
      <c r="J49" s="43">
        <f>IF($L49=0,"",INDEX(Flux!$L$2:$L$35,$L49))</f>
        <v/>
      </c>
      <c r="L49" s="39">
        <f>IFERROR(MATCH(34,Flux!$B$2:$B$35,0),0)</f>
        <v/>
      </c>
      <c r="M49" s="39">
        <f>IF(L49=0,"",INDEX(Flux!$C$2:$C$35,L49))</f>
        <v/>
      </c>
      <c r="N49" s="39">
        <f>IF(L49&gt;0,1,0)</f>
        <v/>
      </c>
    </row>
    <row r="50" hidden="1" ht="22" customHeight="1">
      <c r="B50" s="40">
        <f>IF($L50=0,"",INDEX(Flux!$D$2:$D$35,$L50))</f>
        <v/>
      </c>
      <c r="C50" s="41">
        <f>IF($L50=0,"",INDEX(Flux!$E$2:$E$35,$L50))</f>
        <v/>
      </c>
      <c r="D50" s="42">
        <f>IF($L50=0,"",INDEX(Flux!$F$2:$F$35,$L50))</f>
        <v/>
      </c>
      <c r="E50" s="43">
        <f>IF($L50=0,"",INDEX(Flux!$G$2:$G$35,$L50))</f>
        <v/>
      </c>
      <c r="F50" s="43">
        <f>IF($L50=0,"",INDEX(Flux!$H$2:$H$35,$L50))</f>
        <v/>
      </c>
      <c r="G50" s="43">
        <f>IF($L50=0,"",INDEX(Flux!$I$2:$I$35,$L50))</f>
        <v/>
      </c>
      <c r="H50" s="43">
        <f>IF($L50=0,"",INDEX(Flux!$J$2:$J$35,$L50))</f>
        <v/>
      </c>
      <c r="I50" s="43">
        <f>IF($L50=0,"",INDEX(Flux!$K$2:$K$35,$L50))</f>
        <v/>
      </c>
      <c r="J50" s="43">
        <f>IF($L50=0,"",INDEX(Flux!$L$2:$L$35,$L50))</f>
        <v/>
      </c>
      <c r="L50" s="39">
        <f>IFERROR(MATCH(35,Flux!$B$2:$B$35,0),0)</f>
        <v/>
      </c>
      <c r="M50" s="39">
        <f>IF(L50=0,"",INDEX(Flux!$C$2:$C$35,L50))</f>
        <v/>
      </c>
      <c r="N50" s="39">
        <f>IF(L50&gt;0,1,0)</f>
        <v/>
      </c>
    </row>
    <row r="51" hidden="1" ht="22" customHeight="1">
      <c r="B51" s="40">
        <f>IF($L51=0,"",INDEX(Flux!$D$2:$D$35,$L51))</f>
        <v/>
      </c>
      <c r="C51" s="41">
        <f>IF($L51=0,"",INDEX(Flux!$E$2:$E$35,$L51))</f>
        <v/>
      </c>
      <c r="D51" s="42">
        <f>IF($L51=0,"",INDEX(Flux!$F$2:$F$35,$L51))</f>
        <v/>
      </c>
      <c r="E51" s="43">
        <f>IF($L51=0,"",INDEX(Flux!$G$2:$G$35,$L51))</f>
        <v/>
      </c>
      <c r="F51" s="43">
        <f>IF($L51=0,"",INDEX(Flux!$H$2:$H$35,$L51))</f>
        <v/>
      </c>
      <c r="G51" s="43">
        <f>IF($L51=0,"",INDEX(Flux!$I$2:$I$35,$L51))</f>
        <v/>
      </c>
      <c r="H51" s="43">
        <f>IF($L51=0,"",INDEX(Flux!$J$2:$J$35,$L51))</f>
        <v/>
      </c>
      <c r="I51" s="43">
        <f>IF($L51=0,"",INDEX(Flux!$K$2:$K$35,$L51))</f>
        <v/>
      </c>
      <c r="J51" s="43">
        <f>IF($L51=0,"",INDEX(Flux!$L$2:$L$35,$L51))</f>
        <v/>
      </c>
      <c r="L51" s="39">
        <f>IFERROR(MATCH(36,Flux!$B$2:$B$35,0),0)</f>
        <v/>
      </c>
      <c r="M51" s="39">
        <f>IF(L51=0,"",INDEX(Flux!$C$2:$C$35,L51))</f>
        <v/>
      </c>
      <c r="N51" s="39">
        <f>IF(L51&gt;0,1,0)</f>
        <v/>
      </c>
    </row>
    <row r="52" hidden="1" ht="22" customHeight="1">
      <c r="B52" s="40">
        <f>IF($L52=0,"",INDEX(Flux!$D$2:$D$35,$L52))</f>
        <v/>
      </c>
      <c r="C52" s="41">
        <f>IF($L52=0,"",INDEX(Flux!$E$2:$E$35,$L52))</f>
        <v/>
      </c>
      <c r="D52" s="42">
        <f>IF($L52=0,"",INDEX(Flux!$F$2:$F$35,$L52))</f>
        <v/>
      </c>
      <c r="E52" s="43">
        <f>IF($L52=0,"",INDEX(Flux!$G$2:$G$35,$L52))</f>
        <v/>
      </c>
      <c r="F52" s="43">
        <f>IF($L52=0,"",INDEX(Flux!$H$2:$H$35,$L52))</f>
        <v/>
      </c>
      <c r="G52" s="43">
        <f>IF($L52=0,"",INDEX(Flux!$I$2:$I$35,$L52))</f>
        <v/>
      </c>
      <c r="H52" s="43">
        <f>IF($L52=0,"",INDEX(Flux!$J$2:$J$35,$L52))</f>
        <v/>
      </c>
      <c r="I52" s="43">
        <f>IF($L52=0,"",INDEX(Flux!$K$2:$K$35,$L52))</f>
        <v/>
      </c>
      <c r="J52" s="43">
        <f>IF($L52=0,"",INDEX(Flux!$L$2:$L$35,$L52))</f>
        <v/>
      </c>
      <c r="L52" s="39">
        <f>IFERROR(MATCH(37,Flux!$B$2:$B$35,0),0)</f>
        <v/>
      </c>
      <c r="M52" s="39">
        <f>IF(L52=0,"",INDEX(Flux!$C$2:$C$35,L52))</f>
        <v/>
      </c>
      <c r="N52" s="39">
        <f>IF(L52&gt;0,1,0)</f>
        <v/>
      </c>
    </row>
    <row r="53" hidden="1" ht="22" customHeight="1">
      <c r="B53" s="40">
        <f>IF($L53=0,"",INDEX(Flux!$D$2:$D$35,$L53))</f>
        <v/>
      </c>
      <c r="C53" s="41">
        <f>IF($L53=0,"",INDEX(Flux!$E$2:$E$35,$L53))</f>
        <v/>
      </c>
      <c r="D53" s="42">
        <f>IF($L53=0,"",INDEX(Flux!$F$2:$F$35,$L53))</f>
        <v/>
      </c>
      <c r="E53" s="43">
        <f>IF($L53=0,"",INDEX(Flux!$G$2:$G$35,$L53))</f>
        <v/>
      </c>
      <c r="F53" s="43">
        <f>IF($L53=0,"",INDEX(Flux!$H$2:$H$35,$L53))</f>
        <v/>
      </c>
      <c r="G53" s="43">
        <f>IF($L53=0,"",INDEX(Flux!$I$2:$I$35,$L53))</f>
        <v/>
      </c>
      <c r="H53" s="43">
        <f>IF($L53=0,"",INDEX(Flux!$J$2:$J$35,$L53))</f>
        <v/>
      </c>
      <c r="I53" s="43">
        <f>IF($L53=0,"",INDEX(Flux!$K$2:$K$35,$L53))</f>
        <v/>
      </c>
      <c r="J53" s="43">
        <f>IF($L53=0,"",INDEX(Flux!$L$2:$L$35,$L53))</f>
        <v/>
      </c>
      <c r="L53" s="39">
        <f>IFERROR(MATCH(38,Flux!$B$2:$B$35,0),0)</f>
        <v/>
      </c>
      <c r="M53" s="39">
        <f>IF(L53=0,"",INDEX(Flux!$C$2:$C$35,L53))</f>
        <v/>
      </c>
      <c r="N53" s="39">
        <f>IF(L53&gt;0,1,0)</f>
        <v/>
      </c>
    </row>
    <row r="54" hidden="1" ht="22" customHeight="1">
      <c r="B54" s="40">
        <f>IF($L54=0,"",INDEX(Flux!$D$2:$D$35,$L54))</f>
        <v/>
      </c>
      <c r="C54" s="41">
        <f>IF($L54=0,"",INDEX(Flux!$E$2:$E$35,$L54))</f>
        <v/>
      </c>
      <c r="D54" s="42">
        <f>IF($L54=0,"",INDEX(Flux!$F$2:$F$35,$L54))</f>
        <v/>
      </c>
      <c r="E54" s="43">
        <f>IF($L54=0,"",INDEX(Flux!$G$2:$G$35,$L54))</f>
        <v/>
      </c>
      <c r="F54" s="43">
        <f>IF($L54=0,"",INDEX(Flux!$H$2:$H$35,$L54))</f>
        <v/>
      </c>
      <c r="G54" s="43">
        <f>IF($L54=0,"",INDEX(Flux!$I$2:$I$35,$L54))</f>
        <v/>
      </c>
      <c r="H54" s="43">
        <f>IF($L54=0,"",INDEX(Flux!$J$2:$J$35,$L54))</f>
        <v/>
      </c>
      <c r="I54" s="43">
        <f>IF($L54=0,"",INDEX(Flux!$K$2:$K$35,$L54))</f>
        <v/>
      </c>
      <c r="J54" s="43">
        <f>IF($L54=0,"",INDEX(Flux!$L$2:$L$35,$L54))</f>
        <v/>
      </c>
      <c r="L54" s="39">
        <f>IFERROR(MATCH(39,Flux!$B$2:$B$35,0),0)</f>
        <v/>
      </c>
      <c r="M54" s="39">
        <f>IF(L54=0,"",INDEX(Flux!$C$2:$C$35,L54))</f>
        <v/>
      </c>
      <c r="N54" s="39">
        <f>IF(L54&gt;0,1,0)</f>
        <v/>
      </c>
    </row>
    <row r="55" hidden="1" ht="22" customHeight="1">
      <c r="B55" s="40">
        <f>IF($L55=0,"",INDEX(Flux!$D$2:$D$35,$L55))</f>
        <v/>
      </c>
      <c r="C55" s="41">
        <f>IF($L55=0,"",INDEX(Flux!$E$2:$E$35,$L55))</f>
        <v/>
      </c>
      <c r="D55" s="42">
        <f>IF($L55=0,"",INDEX(Flux!$F$2:$F$35,$L55))</f>
        <v/>
      </c>
      <c r="E55" s="43">
        <f>IF($L55=0,"",INDEX(Flux!$G$2:$G$35,$L55))</f>
        <v/>
      </c>
      <c r="F55" s="43">
        <f>IF($L55=0,"",INDEX(Flux!$H$2:$H$35,$L55))</f>
        <v/>
      </c>
      <c r="G55" s="43">
        <f>IF($L55=0,"",INDEX(Flux!$I$2:$I$35,$L55))</f>
        <v/>
      </c>
      <c r="H55" s="43">
        <f>IF($L55=0,"",INDEX(Flux!$J$2:$J$35,$L55))</f>
        <v/>
      </c>
      <c r="I55" s="43">
        <f>IF($L55=0,"",INDEX(Flux!$K$2:$K$35,$L55))</f>
        <v/>
      </c>
      <c r="J55" s="43">
        <f>IF($L55=0,"",INDEX(Flux!$L$2:$L$35,$L55))</f>
        <v/>
      </c>
      <c r="L55" s="39">
        <f>IFERROR(MATCH(40,Flux!$B$2:$B$35,0),0)</f>
        <v/>
      </c>
      <c r="M55" s="39">
        <f>IF(L55=0,"",INDEX(Flux!$C$2:$C$35,L55))</f>
        <v/>
      </c>
      <c r="N55" s="39">
        <f>IF(L55&gt;0,1,0)</f>
        <v/>
      </c>
    </row>
    <row r="56" ht="22" customHeight="1"/>
    <row r="57" ht="22" customHeight="1"/>
    <row r="58" ht="20" customHeight="1">
      <c r="B58" s="35">
        <f>INDEX(Textes!$B$2:$C$59,MATCH("sec_cond",Textes!$A$2:$A$59,0),Listes!$H$1)</f>
        <v/>
      </c>
      <c r="C58" s="36" t="n"/>
      <c r="D58" s="36" t="n"/>
      <c r="E58" s="36" t="n"/>
      <c r="F58" s="36" t="n"/>
      <c r="G58" s="36" t="n"/>
      <c r="H58" s="36" t="n"/>
      <c r="I58" s="36" t="n"/>
      <c r="J58" s="36" t="n"/>
    </row>
    <row r="59" ht="80" customHeight="1">
      <c r="B59" s="44"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row>
    <row r="60" ht="80" customHeight="1">
      <c r="B60" s="44"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61" ht="10" customHeight="1"/>
    <row r="62">
      <c r="B62" s="45">
        <f>INDEX(Textes!$B$2:$C$59,MATCH("accept",Textes!$A$2:$A$59,0),Listes!$H$1)</f>
        <v/>
      </c>
    </row>
    <row r="63" ht="17" customHeight="1">
      <c r="B63" s="46">
        <f>INDEX(Textes!$B$2:$C$59,MATCH("sig_name",Textes!$A$2:$A$59,0),Listes!$H$1)</f>
        <v/>
      </c>
      <c r="C63" s="47" t="n"/>
      <c r="D63" s="46">
        <f>INDEX(Textes!$B$2:$C$59,MATCH("sig_date",Textes!$A$2:$A$59,0),Listes!$H$1)</f>
        <v/>
      </c>
      <c r="E63" s="48" t="n"/>
      <c r="F63" s="48" t="n"/>
      <c r="G63" s="47" t="n"/>
      <c r="H63" s="46">
        <f>INDEX(Textes!$B$2:$C$59,MATCH("sig_sig",Textes!$A$2:$A$59,0),Listes!$H$1)</f>
        <v/>
      </c>
      <c r="I63" s="48" t="n"/>
      <c r="J63" s="47" t="n"/>
    </row>
    <row r="64" ht="17" customHeight="1">
      <c r="B64" s="49" t="n"/>
      <c r="C64" s="50" t="n"/>
      <c r="D64" s="49" t="n"/>
      <c r="E64" s="51" t="n"/>
      <c r="F64" s="51" t="n"/>
      <c r="G64" s="50" t="n"/>
      <c r="H64" s="49" t="n"/>
      <c r="I64" s="51" t="n"/>
      <c r="J64" s="50" t="n"/>
    </row>
    <row r="65" ht="17" customHeight="1">
      <c r="B65" s="49" t="n"/>
      <c r="C65" s="50" t="n"/>
      <c r="D65" s="49" t="n"/>
      <c r="E65" s="51" t="n"/>
      <c r="F65" s="51" t="n"/>
      <c r="G65" s="50" t="n"/>
      <c r="H65" s="49" t="n"/>
      <c r="I65" s="51" t="n"/>
      <c r="J65" s="50" t="n"/>
    </row>
    <row r="66" ht="17" customHeight="1">
      <c r="B66" s="52" t="n"/>
      <c r="C66" s="53" t="n"/>
      <c r="D66" s="52" t="n"/>
      <c r="E66" s="33" t="n"/>
      <c r="F66" s="33" t="n"/>
      <c r="G66" s="53" t="n"/>
      <c r="H66" s="52" t="n"/>
      <c r="I66" s="33" t="n"/>
      <c r="J66" s="53" t="n"/>
    </row>
    <row r="68" ht="26" customHeight="1">
      <c r="B68" s="54"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6">
    <mergeCell ref="D9:G9"/>
    <mergeCell ref="B7:C7"/>
    <mergeCell ref="D12:G12"/>
    <mergeCell ref="D8:G8"/>
    <mergeCell ref="B14:J14"/>
    <mergeCell ref="B60:J60"/>
    <mergeCell ref="D5:G5"/>
    <mergeCell ref="B13:J13"/>
    <mergeCell ref="H11:J11"/>
    <mergeCell ref="H7:J7"/>
    <mergeCell ref="B12:C12"/>
    <mergeCell ref="B11:C11"/>
    <mergeCell ref="H63:J66"/>
    <mergeCell ref="H12:J12"/>
    <mergeCell ref="D10:G10"/>
    <mergeCell ref="D1:J1"/>
    <mergeCell ref="B8:C8"/>
    <mergeCell ref="B68:J68"/>
    <mergeCell ref="D6:G6"/>
    <mergeCell ref="H5:J5"/>
    <mergeCell ref="B10:C10"/>
    <mergeCell ref="H8:J8"/>
    <mergeCell ref="B63:C66"/>
    <mergeCell ref="D2:J2"/>
    <mergeCell ref="D11:G11"/>
    <mergeCell ref="B9:C9"/>
    <mergeCell ref="B62:J62"/>
    <mergeCell ref="B6:C6"/>
    <mergeCell ref="H10:J10"/>
    <mergeCell ref="B59:J59"/>
    <mergeCell ref="B5:C5"/>
    <mergeCell ref="D7:G7"/>
    <mergeCell ref="H9:J9"/>
    <mergeCell ref="B58:J58"/>
    <mergeCell ref="D63:G66"/>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1</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Loose (vrac)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Loose</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59"/>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 · SPECIFIC CONDITIONS</t>
        </is>
      </c>
      <c r="C47" s="59" t="inlineStr">
        <is>
          <t>SPECIFIC CONDITIONS · CONDITIONS PARTICULIÈRES</t>
        </is>
      </c>
    </row>
    <row r="48">
      <c r="A48" s="59" t="inlineStr">
        <is>
          <t>accept</t>
        </is>
      </c>
      <c r="B48" s="59" t="inlineStr">
        <is>
          <t>BON POUR ACCORD</t>
        </is>
      </c>
      <c r="C48" s="59" t="inlineStr">
        <is>
          <t>ACCEPTED BY</t>
        </is>
      </c>
    </row>
    <row r="49">
      <c r="A49" s="59" t="inlineStr">
        <is>
          <t>sig_name</t>
        </is>
      </c>
      <c r="B49" s="59" t="inlineStr">
        <is>
          <t>Nom et qualité</t>
        </is>
      </c>
      <c r="C49" s="59" t="inlineStr">
        <is>
          <t>Name and title</t>
        </is>
      </c>
    </row>
    <row r="50">
      <c r="A50" s="59" t="inlineStr">
        <is>
          <t>sig_date</t>
        </is>
      </c>
      <c r="B50" s="59" t="inlineStr">
        <is>
          <t>Date</t>
        </is>
      </c>
      <c r="C50" s="59" t="inlineStr">
        <is>
          <t>Date</t>
        </is>
      </c>
    </row>
    <row r="51">
      <c r="A51" s="59" t="inlineStr">
        <is>
          <t>sig_sig</t>
        </is>
      </c>
      <c r="B51" s="59" t="inlineStr">
        <is>
          <t>Signature et cachet</t>
        </is>
      </c>
      <c r="C51" s="59" t="inlineStr">
        <is>
          <t>Signature and stamp</t>
        </is>
      </c>
    </row>
    <row r="52">
      <c r="A52" s="59" t="inlineStr">
        <is>
          <t>lump</t>
        </is>
      </c>
      <c r="B52" s="59" t="inlineStr">
        <is>
          <t>forfait</t>
        </is>
      </c>
      <c r="C52" s="59" t="inlineStr">
        <is>
          <t>lump sum</t>
        </is>
      </c>
    </row>
    <row r="53">
      <c r="A53" s="59" t="inlineStr">
        <is>
          <t>days</t>
        </is>
      </c>
      <c r="B53" s="59" t="inlineStr">
        <is>
          <t>JOURS</t>
        </is>
      </c>
      <c r="C53" s="59" t="inlineStr">
        <is>
          <t>DAYS</t>
        </is>
      </c>
    </row>
    <row r="54">
      <c r="A54" s="59" t="inlineStr">
        <is>
          <t>in_tight</t>
        </is>
      </c>
      <c r="B54" s="59" t="inlineStr">
        <is>
          <t>serrage compris</t>
        </is>
      </c>
      <c r="C54" s="59" t="inlineStr">
        <is>
          <t>make-up included</t>
        </is>
      </c>
    </row>
    <row r="55">
      <c r="A55" s="59" t="inlineStr">
        <is>
          <t>in_tr</t>
        </is>
      </c>
      <c r="B55" s="59" t="inlineStr">
        <is>
          <t>transport compris</t>
        </is>
      </c>
      <c r="C55" s="59" t="inlineStr">
        <is>
          <t>transport included</t>
        </is>
      </c>
    </row>
    <row r="56">
      <c r="A56" s="59" t="inlineStr">
        <is>
          <t>in_both</t>
        </is>
      </c>
      <c r="B56" s="59" t="inlineStr">
        <is>
          <t>serrage et transport compris</t>
        </is>
      </c>
      <c r="C56" s="59" t="inlineStr">
        <is>
          <t>make-up and transport included</t>
        </is>
      </c>
    </row>
    <row r="57">
      <c r="A57" s="59" t="inlineStr">
        <is>
          <t>sec_tight</t>
        </is>
      </c>
      <c r="B57" s="59" t="inlineStr">
        <is>
          <t>SERRAGE · TONG &amp; MAKE-UP</t>
        </is>
      </c>
      <c r="C57" s="59" t="inlineStr">
        <is>
          <t>TONG &amp; MAKE-UP SERVICE</t>
        </is>
      </c>
    </row>
    <row r="58">
      <c r="A58" s="59" t="inlineStr">
        <is>
          <t>sec_tr</t>
        </is>
      </c>
      <c r="B58" s="59" t="inlineStr">
        <is>
          <t>TRANSPORT</t>
        </is>
      </c>
      <c r="C58" s="59" t="inlineStr">
        <is>
          <t>TRANSPORT</t>
        </is>
      </c>
    </row>
    <row r="59">
      <c r="A59" s="59" t="inlineStr">
        <is>
          <t>sec_op</t>
        </is>
      </c>
      <c r="B59" s="59" t="inlineStr">
        <is>
          <t>OPÉRATEURS</t>
        </is>
      </c>
      <c r="C59"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"&amp;INDEX(Textes!$B$2:$C$59,MATCH("incl_long",Textes!$A$2:$A$59,0),Listes!$H$1),""),""))</f>
        <v/>
      </c>
      <c r="F2">
        <f>IF(C2="ITM",'2 Matériel'!$L6,"")</f>
        <v/>
      </c>
      <c r="G2">
        <f>IF(C2="ITM",IF(AND(AND('2 Matériel'!$K6="Oui",'3 Options'!$C$13="Oui"),'3 Options'!$C$18&lt;&gt;"Oui"),INDEX(Textes!$B$2:$C$59,MATCH("incl",Textes!$A$2:$A$59,0),Listes!$H$1),IF('2 Matériel'!$E6="","",'2 Matériel'!$E6)),"")</f>
        <v/>
      </c>
      <c r="H2">
        <f>IF(C2="ITM",IF(AND(AND('2 Matériel'!$K6="Oui",'3 Options'!$C$13="Oui"),'3 Options'!$C$18&lt;&gt;"Oui"),INDEX(Textes!$B$2:$C$59,MATCH("incl",Textes!$A$2:$A$59,0),Listes!$H$1),IF('2 Matériel'!$F6="","",'2 Matériel'!$F6)),"")</f>
        <v/>
      </c>
      <c r="I2">
        <f>IF(C2="ITM",IF(AND(AND('2 Matériel'!$K6="Oui",'3 Options'!$C$13="Oui"),'3 Options'!$C$18&lt;&gt;"Oui"),INDEX(Textes!$B$2:$C$59,MATCH("incl",Textes!$A$2:$A$59,0),Listes!$H$1),IF('2 Matériel'!$G6="","",'2 Matériel'!$G6)),"")</f>
        <v/>
      </c>
      <c r="J2">
        <f>IF(C2="ITM",IF(AND(AND('2 Matériel'!$K6="Oui",'3 Options'!$C$13="Oui"),'3 Options'!$C$18&lt;&gt;"Oui"),INDEX(Textes!$B$2:$C$59,MATCH("incl",Textes!$A$2:$A$59,0),Listes!$H$1),IF('2 Matériel'!$H6="","",'2 Matériel'!$H6)),"")</f>
        <v/>
      </c>
      <c r="K2">
        <f>IF(C2="ITM",IF(AND(AND('2 Matériel'!$K6="Oui",'3 Options'!$C$13="Oui"),'3 Options'!$C$18&lt;&gt;"Oui"),INDEX(Textes!$B$2:$C$59,MATCH("incl",Textes!$A$2:$A$59,0),Listes!$H$1),IF('2 Matériel'!$I6="","",'2 Matériel'!$I6)),"")</f>
        <v/>
      </c>
      <c r="L2">
        <f>IF(C2="ITM",IF(AND(AND('2 Matériel'!$K6="Oui",'3 Options'!$C$13="Oui"),'3 Options'!$C$18&lt;&gt;"Oui"),INDEX(Textes!$B$2:$C$59,MATCH("incl",Textes!$A$2:$A$59,0),Listes!$H$1),IF('2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"&amp;INDEX(Textes!$B$2:$C$59,MATCH("incl_long",Textes!$A$2:$A$59,0),Listes!$H$1),""),""))</f>
        <v/>
      </c>
      <c r="F3">
        <f>IF(C3="ITM",'2 Matériel'!$L7,"")</f>
        <v/>
      </c>
      <c r="G3">
        <f>IF(C3="ITM",IF(AND(AND('2 Matériel'!$K7="Oui",'3 Options'!$C$13="Oui"),'3 Options'!$C$18&lt;&gt;"Oui"),INDEX(Textes!$B$2:$C$59,MATCH("incl",Textes!$A$2:$A$59,0),Listes!$H$1),IF('2 Matériel'!$E7="","",'2 Matériel'!$E7)),"")</f>
        <v/>
      </c>
      <c r="H3">
        <f>IF(C3="ITM",IF(AND(AND('2 Matériel'!$K7="Oui",'3 Options'!$C$13="Oui"),'3 Options'!$C$18&lt;&gt;"Oui"),INDEX(Textes!$B$2:$C$59,MATCH("incl",Textes!$A$2:$A$59,0),Listes!$H$1),IF('2 Matériel'!$F7="","",'2 Matériel'!$F7)),"")</f>
        <v/>
      </c>
      <c r="I3">
        <f>IF(C3="ITM",IF(AND(AND('2 Matériel'!$K7="Oui",'3 Options'!$C$13="Oui"),'3 Options'!$C$18&lt;&gt;"Oui"),INDEX(Textes!$B$2:$C$59,MATCH("incl",Textes!$A$2:$A$59,0),Listes!$H$1),IF('2 Matériel'!$G7="","",'2 Matériel'!$G7)),"")</f>
        <v/>
      </c>
      <c r="J3">
        <f>IF(C3="ITM",IF(AND(AND('2 Matériel'!$K7="Oui",'3 Options'!$C$13="Oui"),'3 Options'!$C$18&lt;&gt;"Oui"),INDEX(Textes!$B$2:$C$59,MATCH("incl",Textes!$A$2:$A$59,0),Listes!$H$1),IF('2 Matériel'!$H7="","",'2 Matériel'!$H7)),"")</f>
        <v/>
      </c>
      <c r="K3">
        <f>IF(C3="ITM",IF(AND(AND('2 Matériel'!$K7="Oui",'3 Options'!$C$13="Oui"),'3 Options'!$C$18&lt;&gt;"Oui"),INDEX(Textes!$B$2:$C$59,MATCH("incl",Textes!$A$2:$A$59,0),Listes!$H$1),IF('2 Matériel'!$I7="","",'2 Matériel'!$I7)),"")</f>
        <v/>
      </c>
      <c r="L3">
        <f>IF(C3="ITM",IF(AND(AND('2 Matériel'!$K7="Oui",'3 Options'!$C$13="Oui"),'3 Options'!$C$18&lt;&gt;"Oui"),INDEX(Textes!$B$2:$C$59,MATCH("incl",Textes!$A$2:$A$59,0),Listes!$H$1),IF('2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"&amp;INDEX(Textes!$B$2:$C$59,MATCH("incl_long",Textes!$A$2:$A$59,0),Listes!$H$1),""),""))</f>
        <v/>
      </c>
      <c r="F4">
        <f>IF(C4="ITM",'2 Matériel'!$L8,"")</f>
        <v/>
      </c>
      <c r="G4">
        <f>IF(C4="ITM",IF(AND(AND('2 Matériel'!$K8="Oui",'3 Options'!$C$13="Oui"),'3 Options'!$C$18&lt;&gt;"Oui"),INDEX(Textes!$B$2:$C$59,MATCH("incl",Textes!$A$2:$A$59,0),Listes!$H$1),IF('2 Matériel'!$E8="","",'2 Matériel'!$E8)),"")</f>
        <v/>
      </c>
      <c r="H4">
        <f>IF(C4="ITM",IF(AND(AND('2 Matériel'!$K8="Oui",'3 Options'!$C$13="Oui"),'3 Options'!$C$18&lt;&gt;"Oui"),INDEX(Textes!$B$2:$C$59,MATCH("incl",Textes!$A$2:$A$59,0),Listes!$H$1),IF('2 Matériel'!$F8="","",'2 Matériel'!$F8)),"")</f>
        <v/>
      </c>
      <c r="I4">
        <f>IF(C4="ITM",IF(AND(AND('2 Matériel'!$K8="Oui",'3 Options'!$C$13="Oui"),'3 Options'!$C$18&lt;&gt;"Oui"),INDEX(Textes!$B$2:$C$59,MATCH("incl",Textes!$A$2:$A$59,0),Listes!$H$1),IF('2 Matériel'!$G8="","",'2 Matériel'!$G8)),"")</f>
        <v/>
      </c>
      <c r="J4">
        <f>IF(C4="ITM",IF(AND(AND('2 Matériel'!$K8="Oui",'3 Options'!$C$13="Oui"),'3 Options'!$C$18&lt;&gt;"Oui"),INDEX(Textes!$B$2:$C$59,MATCH("incl",Textes!$A$2:$A$59,0),Listes!$H$1),IF('2 Matériel'!$H8="","",'2 Matériel'!$H8)),"")</f>
        <v/>
      </c>
      <c r="K4">
        <f>IF(C4="ITM",IF(AND(AND('2 Matériel'!$K8="Oui",'3 Options'!$C$13="Oui"),'3 Options'!$C$18&lt;&gt;"Oui"),INDEX(Textes!$B$2:$C$59,MATCH("incl",Textes!$A$2:$A$59,0),Listes!$H$1),IF('2 Matériel'!$I8="","",'2 Matériel'!$I8)),"")</f>
        <v/>
      </c>
      <c r="L4">
        <f>IF(C4="ITM",IF(AND(AND('2 Matériel'!$K8="Oui",'3 Options'!$C$13="Oui"),'3 Options'!$C$18&lt;&gt;"Oui"),INDEX(Textes!$B$2:$C$59,MATCH("incl",Textes!$A$2:$A$59,0),Listes!$H$1),IF('2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"&amp;INDEX(Textes!$B$2:$C$59,MATCH("incl_long",Textes!$A$2:$A$59,0),Listes!$H$1),""),""))</f>
        <v/>
      </c>
      <c r="F5">
        <f>IF(C5="ITM",'2 Matériel'!$L9,"")</f>
        <v/>
      </c>
      <c r="G5">
        <f>IF(C5="ITM",IF(AND(AND('2 Matériel'!$K9="Oui",'3 Options'!$C$13="Oui"),'3 Options'!$C$18&lt;&gt;"Oui"),INDEX(Textes!$B$2:$C$59,MATCH("incl",Textes!$A$2:$A$59,0),Listes!$H$1),IF('2 Matériel'!$E9="","",'2 Matériel'!$E9)),"")</f>
        <v/>
      </c>
      <c r="H5">
        <f>IF(C5="ITM",IF(AND(AND('2 Matériel'!$K9="Oui",'3 Options'!$C$13="Oui"),'3 Options'!$C$18&lt;&gt;"Oui"),INDEX(Textes!$B$2:$C$59,MATCH("incl",Textes!$A$2:$A$59,0),Listes!$H$1),IF('2 Matériel'!$F9="","",'2 Matériel'!$F9)),"")</f>
        <v/>
      </c>
      <c r="I5">
        <f>IF(C5="ITM",IF(AND(AND('2 Matériel'!$K9="Oui",'3 Options'!$C$13="Oui"),'3 Options'!$C$18&lt;&gt;"Oui"),INDEX(Textes!$B$2:$C$59,MATCH("incl",Textes!$A$2:$A$59,0),Listes!$H$1),IF('2 Matériel'!$G9="","",'2 Matériel'!$G9)),"")</f>
        <v/>
      </c>
      <c r="J5">
        <f>IF(C5="ITM",IF(AND(AND('2 Matériel'!$K9="Oui",'3 Options'!$C$13="Oui"),'3 Options'!$C$18&lt;&gt;"Oui"),INDEX(Textes!$B$2:$C$59,MATCH("incl",Textes!$A$2:$A$59,0),Listes!$H$1),IF('2 Matériel'!$H9="","",'2 Matériel'!$H9)),"")</f>
        <v/>
      </c>
      <c r="K5">
        <f>IF(C5="ITM",IF(AND(AND('2 Matériel'!$K9="Oui",'3 Options'!$C$13="Oui"),'3 Options'!$C$18&lt;&gt;"Oui"),INDEX(Textes!$B$2:$C$59,MATCH("incl",Textes!$A$2:$A$59,0),Listes!$H$1),IF('2 Matériel'!$I9="","",'2 Matériel'!$I9)),"")</f>
        <v/>
      </c>
      <c r="L5">
        <f>IF(C5="ITM",IF(AND(AND('2 Matériel'!$K9="Oui",'3 Options'!$C$13="Oui"),'3 Options'!$C$18&lt;&gt;"Oui"),INDEX(Textes!$B$2:$C$59,MATCH("incl",Textes!$A$2:$A$59,0),Listes!$H$1),IF('2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"&amp;INDEX(Textes!$B$2:$C$59,MATCH("incl_long",Textes!$A$2:$A$59,0),Listes!$H$1),""),""))</f>
        <v/>
      </c>
      <c r="F6">
        <f>IF(C6="ITM",'2 Matériel'!$L10,"")</f>
        <v/>
      </c>
      <c r="G6">
        <f>IF(C6="ITM",IF(AND(AND('2 Matériel'!$K10="Oui",'3 Options'!$C$13="Oui"),'3 Options'!$C$18&lt;&gt;"Oui"),INDEX(Textes!$B$2:$C$59,MATCH("incl",Textes!$A$2:$A$59,0),Listes!$H$1),IF('2 Matériel'!$E10="","",'2 Matériel'!$E10)),"")</f>
        <v/>
      </c>
      <c r="H6">
        <f>IF(C6="ITM",IF(AND(AND('2 Matériel'!$K10="Oui",'3 Options'!$C$13="Oui"),'3 Options'!$C$18&lt;&gt;"Oui"),INDEX(Textes!$B$2:$C$59,MATCH("incl",Textes!$A$2:$A$59,0),Listes!$H$1),IF('2 Matériel'!$F10="","",'2 Matériel'!$F10)),"")</f>
        <v/>
      </c>
      <c r="I6">
        <f>IF(C6="ITM",IF(AND(AND('2 Matériel'!$K10="Oui",'3 Options'!$C$13="Oui"),'3 Options'!$C$18&lt;&gt;"Oui"),INDEX(Textes!$B$2:$C$59,MATCH("incl",Textes!$A$2:$A$59,0),Listes!$H$1),IF('2 Matériel'!$G10="","",'2 Matériel'!$G10)),"")</f>
        <v/>
      </c>
      <c r="J6">
        <f>IF(C6="ITM",IF(AND(AND('2 Matériel'!$K10="Oui",'3 Options'!$C$13="Oui"),'3 Options'!$C$18&lt;&gt;"Oui"),INDEX(Textes!$B$2:$C$59,MATCH("incl",Textes!$A$2:$A$59,0),Listes!$H$1),IF('2 Matériel'!$H10="","",'2 Matériel'!$H10)),"")</f>
        <v/>
      </c>
      <c r="K6">
        <f>IF(C6="ITM",IF(AND(AND('2 Matériel'!$K10="Oui",'3 Options'!$C$13="Oui"),'3 Options'!$C$18&lt;&gt;"Oui"),INDEX(Textes!$B$2:$C$59,MATCH("incl",Textes!$A$2:$A$59,0),Listes!$H$1),IF('2 Matériel'!$I10="","",'2 Matériel'!$I10)),"")</f>
        <v/>
      </c>
      <c r="L6">
        <f>IF(C6="ITM",IF(AND(AND('2 Matériel'!$K10="Oui",'3 Options'!$C$13="Oui"),'3 Options'!$C$18&lt;&gt;"Oui"),INDEX(Textes!$B$2:$C$59,MATCH("incl",Textes!$A$2:$A$59,0),Listes!$H$1),IF('2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"&amp;INDEX(Textes!$B$2:$C$59,MATCH("incl_long",Textes!$A$2:$A$59,0),Listes!$H$1),""),""))</f>
        <v/>
      </c>
      <c r="F7">
        <f>IF(C7="ITM",'2 Matériel'!$L11,"")</f>
        <v/>
      </c>
      <c r="G7">
        <f>IF(C7="ITM",IF(AND(AND('2 Matériel'!$K11="Oui",'3 Options'!$C$13="Oui"),'3 Options'!$C$18&lt;&gt;"Oui"),INDEX(Textes!$B$2:$C$59,MATCH("incl",Textes!$A$2:$A$59,0),Listes!$H$1),IF('2 Matériel'!$E11="","",'2 Matériel'!$E11)),"")</f>
        <v/>
      </c>
      <c r="H7">
        <f>IF(C7="ITM",IF(AND(AND('2 Matériel'!$K11="Oui",'3 Options'!$C$13="Oui"),'3 Options'!$C$18&lt;&gt;"Oui"),INDEX(Textes!$B$2:$C$59,MATCH("incl",Textes!$A$2:$A$59,0),Listes!$H$1),IF('2 Matériel'!$F11="","",'2 Matériel'!$F11)),"")</f>
        <v/>
      </c>
      <c r="I7">
        <f>IF(C7="ITM",IF(AND(AND('2 Matériel'!$K11="Oui",'3 Options'!$C$13="Oui"),'3 Options'!$C$18&lt;&gt;"Oui"),INDEX(Textes!$B$2:$C$59,MATCH("incl",Textes!$A$2:$A$59,0),Listes!$H$1),IF('2 Matériel'!$G11="","",'2 Matériel'!$G11)),"")</f>
        <v/>
      </c>
      <c r="J7">
        <f>IF(C7="ITM",IF(AND(AND('2 Matériel'!$K11="Oui",'3 Options'!$C$13="Oui"),'3 Options'!$C$18&lt;&gt;"Oui"),INDEX(Textes!$B$2:$C$59,MATCH("incl",Textes!$A$2:$A$59,0),Listes!$H$1),IF('2 Matériel'!$H11="","",'2 Matériel'!$H11)),"")</f>
        <v/>
      </c>
      <c r="K7">
        <f>IF(C7="ITM",IF(AND(AND('2 Matériel'!$K11="Oui",'3 Options'!$C$13="Oui"),'3 Options'!$C$18&lt;&gt;"Oui"),INDEX(Textes!$B$2:$C$59,MATCH("incl",Textes!$A$2:$A$59,0),Listes!$H$1),IF('2 Matériel'!$I11="","",'2 Matériel'!$I11)),"")</f>
        <v/>
      </c>
      <c r="L7">
        <f>IF(C7="ITM",IF(AND(AND('2 Matériel'!$K11="Oui",'3 Options'!$C$13="Oui"),'3 Options'!$C$18&lt;&gt;"Oui"),INDEX(Textes!$B$2:$C$59,MATCH("incl",Textes!$A$2:$A$59,0),Listes!$H$1),IF('2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"&amp;INDEX(Textes!$B$2:$C$59,MATCH("incl_long",Textes!$A$2:$A$59,0),Listes!$H$1),""),""))</f>
        <v/>
      </c>
      <c r="F8">
        <f>IF(C8="ITM",'2 Matériel'!$L12,"")</f>
        <v/>
      </c>
      <c r="G8">
        <f>IF(C8="ITM",IF(AND(AND('2 Matériel'!$K12="Oui",'3 Options'!$C$13="Oui"),'3 Options'!$C$18&lt;&gt;"Oui"),INDEX(Textes!$B$2:$C$59,MATCH("incl",Textes!$A$2:$A$59,0),Listes!$H$1),IF('2 Matériel'!$E12="","",'2 Matériel'!$E12)),"")</f>
        <v/>
      </c>
      <c r="H8">
        <f>IF(C8="ITM",IF(AND(AND('2 Matériel'!$K12="Oui",'3 Options'!$C$13="Oui"),'3 Options'!$C$18&lt;&gt;"Oui"),INDEX(Textes!$B$2:$C$59,MATCH("incl",Textes!$A$2:$A$59,0),Listes!$H$1),IF('2 Matériel'!$F12="","",'2 Matériel'!$F12)),"")</f>
        <v/>
      </c>
      <c r="I8">
        <f>IF(C8="ITM",IF(AND(AND('2 Matériel'!$K12="Oui",'3 Options'!$C$13="Oui"),'3 Options'!$C$18&lt;&gt;"Oui"),INDEX(Textes!$B$2:$C$59,MATCH("incl",Textes!$A$2:$A$59,0),Listes!$H$1),IF('2 Matériel'!$G12="","",'2 Matériel'!$G12)),"")</f>
        <v/>
      </c>
      <c r="J8">
        <f>IF(C8="ITM",IF(AND(AND('2 Matériel'!$K12="Oui",'3 Options'!$C$13="Oui"),'3 Options'!$C$18&lt;&gt;"Oui"),INDEX(Textes!$B$2:$C$59,MATCH("incl",Textes!$A$2:$A$59,0),Listes!$H$1),IF('2 Matériel'!$H12="","",'2 Matériel'!$H12)),"")</f>
        <v/>
      </c>
      <c r="K8">
        <f>IF(C8="ITM",IF(AND(AND('2 Matériel'!$K12="Oui",'3 Options'!$C$13="Oui"),'3 Options'!$C$18&lt;&gt;"Oui"),INDEX(Textes!$B$2:$C$59,MATCH("incl",Textes!$A$2:$A$59,0),Listes!$H$1),IF('2 Matériel'!$I12="","",'2 Matériel'!$I12)),"")</f>
        <v/>
      </c>
      <c r="L8">
        <f>IF(C8="ITM",IF(AND(AND('2 Matériel'!$K12="Oui",'3 Options'!$C$13="Oui"),'3 Options'!$C$18&lt;&gt;"Oui"),INDEX(Textes!$B$2:$C$59,MATCH("incl",Textes!$A$2:$A$59,0),Listes!$H$1),IF('2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"&amp;INDEX(Textes!$B$2:$C$59,MATCH("incl_long",Textes!$A$2:$A$59,0),Listes!$H$1),""),""))</f>
        <v/>
      </c>
      <c r="F9">
        <f>IF(C9="ITM",'2 Matériel'!$L13,"")</f>
        <v/>
      </c>
      <c r="G9">
        <f>IF(C9="ITM",IF(AND(AND('2 Matériel'!$K13="Oui",'3 Options'!$C$13="Oui"),'3 Options'!$C$18&lt;&gt;"Oui"),INDEX(Textes!$B$2:$C$59,MATCH("incl",Textes!$A$2:$A$59,0),Listes!$H$1),IF('2 Matériel'!$E13="","",'2 Matériel'!$E13)),"")</f>
        <v/>
      </c>
      <c r="H9">
        <f>IF(C9="ITM",IF(AND(AND('2 Matériel'!$K13="Oui",'3 Options'!$C$13="Oui"),'3 Options'!$C$18&lt;&gt;"Oui"),INDEX(Textes!$B$2:$C$59,MATCH("incl",Textes!$A$2:$A$59,0),Listes!$H$1),IF('2 Matériel'!$F13="","",'2 Matériel'!$F13)),"")</f>
        <v/>
      </c>
      <c r="I9">
        <f>IF(C9="ITM",IF(AND(AND('2 Matériel'!$K13="Oui",'3 Options'!$C$13="Oui"),'3 Options'!$C$18&lt;&gt;"Oui"),INDEX(Textes!$B$2:$C$59,MATCH("incl",Textes!$A$2:$A$59,0),Listes!$H$1),IF('2 Matériel'!$G13="","",'2 Matériel'!$G13)),"")</f>
        <v/>
      </c>
      <c r="J9">
        <f>IF(C9="ITM",IF(AND(AND('2 Matériel'!$K13="Oui",'3 Options'!$C$13="Oui"),'3 Options'!$C$18&lt;&gt;"Oui"),INDEX(Textes!$B$2:$C$59,MATCH("incl",Textes!$A$2:$A$59,0),Listes!$H$1),IF('2 Matériel'!$H13="","",'2 Matériel'!$H13)),"")</f>
        <v/>
      </c>
      <c r="K9">
        <f>IF(C9="ITM",IF(AND(AND('2 Matériel'!$K13="Oui",'3 Options'!$C$13="Oui"),'3 Options'!$C$18&lt;&gt;"Oui"),INDEX(Textes!$B$2:$C$59,MATCH("incl",Textes!$A$2:$A$59,0),Listes!$H$1),IF('2 Matériel'!$I13="","",'2 Matériel'!$I13)),"")</f>
        <v/>
      </c>
      <c r="L9">
        <f>IF(C9="ITM",IF(AND(AND('2 Matériel'!$K13="Oui",'3 Options'!$C$13="Oui"),'3 Options'!$C$18&lt;&gt;"Oui"),INDEX(Textes!$B$2:$C$59,MATCH("incl",Textes!$A$2:$A$59,0),Listes!$H$1),IF('2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"&amp;INDEX(Textes!$B$2:$C$59,MATCH("incl_long",Textes!$A$2:$A$59,0),Listes!$H$1),""),""))</f>
        <v/>
      </c>
      <c r="F10">
        <f>IF(C10="ITM",'2 Matériel'!$L14,"")</f>
        <v/>
      </c>
      <c r="G10">
        <f>IF(C10="ITM",IF(AND(AND('2 Matériel'!$K14="Oui",'3 Options'!$C$13="Oui"),'3 Options'!$C$18&lt;&gt;"Oui"),INDEX(Textes!$B$2:$C$59,MATCH("incl",Textes!$A$2:$A$59,0),Listes!$H$1),IF('2 Matériel'!$E14="","",'2 Matériel'!$E14)),"")</f>
        <v/>
      </c>
      <c r="H10">
        <f>IF(C10="ITM",IF(AND(AND('2 Matériel'!$K14="Oui",'3 Options'!$C$13="Oui"),'3 Options'!$C$18&lt;&gt;"Oui"),INDEX(Textes!$B$2:$C$59,MATCH("incl",Textes!$A$2:$A$59,0),Listes!$H$1),IF('2 Matériel'!$F14="","",'2 Matériel'!$F14)),"")</f>
        <v/>
      </c>
      <c r="I10">
        <f>IF(C10="ITM",IF(AND(AND('2 Matériel'!$K14="Oui",'3 Options'!$C$13="Oui"),'3 Options'!$C$18&lt;&gt;"Oui"),INDEX(Textes!$B$2:$C$59,MATCH("incl",Textes!$A$2:$A$59,0),Listes!$H$1),IF('2 Matériel'!$G14="","",'2 Matériel'!$G14)),"")</f>
        <v/>
      </c>
      <c r="J10">
        <f>IF(C10="ITM",IF(AND(AND('2 Matériel'!$K14="Oui",'3 Options'!$C$13="Oui"),'3 Options'!$C$18&lt;&gt;"Oui"),INDEX(Textes!$B$2:$C$59,MATCH("incl",Textes!$A$2:$A$59,0),Listes!$H$1),IF('2 Matériel'!$H14="","",'2 Matériel'!$H14)),"")</f>
        <v/>
      </c>
      <c r="K10">
        <f>IF(C10="ITM",IF(AND(AND('2 Matériel'!$K14="Oui",'3 Options'!$C$13="Oui"),'3 Options'!$C$18&lt;&gt;"Oui"),INDEX(Textes!$B$2:$C$59,MATCH("incl",Textes!$A$2:$A$59,0),Listes!$H$1),IF('2 Matériel'!$I14="","",'2 Matériel'!$I14)),"")</f>
        <v/>
      </c>
      <c r="L10">
        <f>IF(C10="ITM",IF(AND(AND('2 Matériel'!$K14="Oui",'3 Options'!$C$13="Oui"),'3 Options'!$C$18&lt;&gt;"Oui"),INDEX(Textes!$B$2:$C$59,MATCH("incl",Textes!$A$2:$A$59,0),Listes!$H$1),IF('2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"&amp;INDEX(Textes!$B$2:$C$59,MATCH("incl_long",Textes!$A$2:$A$59,0),Listes!$H$1),""),""))</f>
        <v/>
      </c>
      <c r="F11">
        <f>IF(C11="ITM",'2 Matériel'!$L15,"")</f>
        <v/>
      </c>
      <c r="G11">
        <f>IF(C11="ITM",IF(AND(AND('2 Matériel'!$K15="Oui",'3 Options'!$C$13="Oui"),'3 Options'!$C$18&lt;&gt;"Oui"),INDEX(Textes!$B$2:$C$59,MATCH("incl",Textes!$A$2:$A$59,0),Listes!$H$1),IF('2 Matériel'!$E15="","",'2 Matériel'!$E15)),"")</f>
        <v/>
      </c>
      <c r="H11">
        <f>IF(C11="ITM",IF(AND(AND('2 Matériel'!$K15="Oui",'3 Options'!$C$13="Oui"),'3 Options'!$C$18&lt;&gt;"Oui"),INDEX(Textes!$B$2:$C$59,MATCH("incl",Textes!$A$2:$A$59,0),Listes!$H$1),IF('2 Matériel'!$F15="","",'2 Matériel'!$F15)),"")</f>
        <v/>
      </c>
      <c r="I11">
        <f>IF(C11="ITM",IF(AND(AND('2 Matériel'!$K15="Oui",'3 Options'!$C$13="Oui"),'3 Options'!$C$18&lt;&gt;"Oui"),INDEX(Textes!$B$2:$C$59,MATCH("incl",Textes!$A$2:$A$59,0),Listes!$H$1),IF('2 Matériel'!$G15="","",'2 Matériel'!$G15)),"")</f>
        <v/>
      </c>
      <c r="J11">
        <f>IF(C11="ITM",IF(AND(AND('2 Matériel'!$K15="Oui",'3 Options'!$C$13="Oui"),'3 Options'!$C$18&lt;&gt;"Oui"),INDEX(Textes!$B$2:$C$59,MATCH("incl",Textes!$A$2:$A$59,0),Listes!$H$1),IF('2 Matériel'!$H15="","",'2 Matériel'!$H15)),"")</f>
        <v/>
      </c>
      <c r="K11">
        <f>IF(C11="ITM",IF(AND(AND('2 Matériel'!$K15="Oui",'3 Options'!$C$13="Oui"),'3 Options'!$C$18&lt;&gt;"Oui"),INDEX(Textes!$B$2:$C$59,MATCH("incl",Textes!$A$2:$A$59,0),Listes!$H$1),IF('2 Matériel'!$I15="","",'2 Matériel'!$I15)),"")</f>
        <v/>
      </c>
      <c r="L11">
        <f>IF(C11="ITM",IF(AND(AND('2 Matériel'!$K15="Oui",'3 Options'!$C$13="Oui"),'3 Options'!$C$18&lt;&gt;"Oui"),INDEX(Textes!$B$2:$C$59,MATCH("incl",Textes!$A$2:$A$59,0),Listes!$H$1),IF('2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"&amp;INDEX(Textes!$B$2:$C$59,MATCH("incl_long",Textes!$A$2:$A$59,0),Listes!$H$1),""),""))</f>
        <v/>
      </c>
      <c r="F12">
        <f>IF(C12="ITM",'2 Matériel'!$L16,"")</f>
        <v/>
      </c>
      <c r="G12">
        <f>IF(C12="ITM",IF(AND(AND('2 Matériel'!$K16="Oui",'3 Options'!$C$13="Oui"),'3 Options'!$C$18&lt;&gt;"Oui"),INDEX(Textes!$B$2:$C$59,MATCH("incl",Textes!$A$2:$A$59,0),Listes!$H$1),IF('2 Matériel'!$E16="","",'2 Matériel'!$E16)),"")</f>
        <v/>
      </c>
      <c r="H12">
        <f>IF(C12="ITM",IF(AND(AND('2 Matériel'!$K16="Oui",'3 Options'!$C$13="Oui"),'3 Options'!$C$18&lt;&gt;"Oui"),INDEX(Textes!$B$2:$C$59,MATCH("incl",Textes!$A$2:$A$59,0),Listes!$H$1),IF('2 Matériel'!$F16="","",'2 Matériel'!$F16)),"")</f>
        <v/>
      </c>
      <c r="I12">
        <f>IF(C12="ITM",IF(AND(AND('2 Matériel'!$K16="Oui",'3 Options'!$C$13="Oui"),'3 Options'!$C$18&lt;&gt;"Oui"),INDEX(Textes!$B$2:$C$59,MATCH("incl",Textes!$A$2:$A$59,0),Listes!$H$1),IF('2 Matériel'!$G16="","",'2 Matériel'!$G16)),"")</f>
        <v/>
      </c>
      <c r="J12">
        <f>IF(C12="ITM",IF(AND(AND('2 Matériel'!$K16="Oui",'3 Options'!$C$13="Oui"),'3 Options'!$C$18&lt;&gt;"Oui"),INDEX(Textes!$B$2:$C$59,MATCH("incl",Textes!$A$2:$A$59,0),Listes!$H$1),IF('2 Matériel'!$H16="","",'2 Matériel'!$H16)),"")</f>
        <v/>
      </c>
      <c r="K12">
        <f>IF(C12="ITM",IF(AND(AND('2 Matériel'!$K16="Oui",'3 Options'!$C$13="Oui"),'3 Options'!$C$18&lt;&gt;"Oui"),INDEX(Textes!$B$2:$C$59,MATCH("incl",Textes!$A$2:$A$59,0),Listes!$H$1),IF('2 Matériel'!$I16="","",'2 Matériel'!$I16)),"")</f>
        <v/>
      </c>
      <c r="L12">
        <f>IF(C12="ITM",IF(AND(AND('2 Matériel'!$K16="Oui",'3 Options'!$C$13="Oui"),'3 Options'!$C$18&lt;&gt;"Oui"),INDEX(Textes!$B$2:$C$59,MATCH("incl",Textes!$A$2:$A$59,0),Listes!$H$1),IF('2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"&amp;INDEX(Textes!$B$2:$C$59,MATCH("incl_long",Textes!$A$2:$A$59,0),Listes!$H$1),""),""))</f>
        <v/>
      </c>
      <c r="F13">
        <f>IF(C13="ITM",'2 Matériel'!$L17,"")</f>
        <v/>
      </c>
      <c r="G13">
        <f>IF(C13="ITM",IF(AND(AND('2 Matériel'!$K17="Oui",'3 Options'!$C$13="Oui"),'3 Options'!$C$18&lt;&gt;"Oui"),INDEX(Textes!$B$2:$C$59,MATCH("incl",Textes!$A$2:$A$59,0),Listes!$H$1),IF('2 Matériel'!$E17="","",'2 Matériel'!$E17)),"")</f>
        <v/>
      </c>
      <c r="H13">
        <f>IF(C13="ITM",IF(AND(AND('2 Matériel'!$K17="Oui",'3 Options'!$C$13="Oui"),'3 Options'!$C$18&lt;&gt;"Oui"),INDEX(Textes!$B$2:$C$59,MATCH("incl",Textes!$A$2:$A$59,0),Listes!$H$1),IF('2 Matériel'!$F17="","",'2 Matériel'!$F17)),"")</f>
        <v/>
      </c>
      <c r="I13">
        <f>IF(C13="ITM",IF(AND(AND('2 Matériel'!$K17="Oui",'3 Options'!$C$13="Oui"),'3 Options'!$C$18&lt;&gt;"Oui"),INDEX(Textes!$B$2:$C$59,MATCH("incl",Textes!$A$2:$A$59,0),Listes!$H$1),IF('2 Matériel'!$G17="","",'2 Matériel'!$G17)),"")</f>
        <v/>
      </c>
      <c r="J13">
        <f>IF(C13="ITM",IF(AND(AND('2 Matériel'!$K17="Oui",'3 Options'!$C$13="Oui"),'3 Options'!$C$18&lt;&gt;"Oui"),INDEX(Textes!$B$2:$C$59,MATCH("incl",Textes!$A$2:$A$59,0),Listes!$H$1),IF('2 Matériel'!$H17="","",'2 Matériel'!$H17)),"")</f>
        <v/>
      </c>
      <c r="K13">
        <f>IF(C13="ITM",IF(AND(AND('2 Matériel'!$K17="Oui",'3 Options'!$C$13="Oui"),'3 Options'!$C$18&lt;&gt;"Oui"),INDEX(Textes!$B$2:$C$59,MATCH("incl",Textes!$A$2:$A$59,0),Listes!$H$1),IF('2 Matériel'!$I17="","",'2 Matériel'!$I17)),"")</f>
        <v/>
      </c>
      <c r="L13">
        <f>IF(C13="ITM",IF(AND(AND('2 Matériel'!$K17="Oui",'3 Options'!$C$13="Oui"),'3 Options'!$C$18&lt;&gt;"Oui"),INDEX(Textes!$B$2:$C$59,MATCH("incl",Textes!$A$2:$A$59,0),Listes!$H$1),IF('2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"&amp;INDEX(Textes!$B$2:$C$59,MATCH("incl_long",Textes!$A$2:$A$59,0),Listes!$H$1),""),""))</f>
        <v/>
      </c>
      <c r="F14">
        <f>IF(C14="ITM",'2 Matériel'!$L18,"")</f>
        <v/>
      </c>
      <c r="G14">
        <f>IF(C14="ITM",IF(AND(AND('2 Matériel'!$K18="Oui",'3 Options'!$C$13="Oui"),'3 Options'!$C$18&lt;&gt;"Oui"),INDEX(Textes!$B$2:$C$59,MATCH("incl",Textes!$A$2:$A$59,0),Listes!$H$1),IF('2 Matériel'!$E18="","",'2 Matériel'!$E18)),"")</f>
        <v/>
      </c>
      <c r="H14">
        <f>IF(C14="ITM",IF(AND(AND('2 Matériel'!$K18="Oui",'3 Options'!$C$13="Oui"),'3 Options'!$C$18&lt;&gt;"Oui"),INDEX(Textes!$B$2:$C$59,MATCH("incl",Textes!$A$2:$A$59,0),Listes!$H$1),IF('2 Matériel'!$F18="","",'2 Matériel'!$F18)),"")</f>
        <v/>
      </c>
      <c r="I14">
        <f>IF(C14="ITM",IF(AND(AND('2 Matériel'!$K18="Oui",'3 Options'!$C$13="Oui"),'3 Options'!$C$18&lt;&gt;"Oui"),INDEX(Textes!$B$2:$C$59,MATCH("incl",Textes!$A$2:$A$59,0),Listes!$H$1),IF('2 Matériel'!$G18="","",'2 Matériel'!$G18)),"")</f>
        <v/>
      </c>
      <c r="J14">
        <f>IF(C14="ITM",IF(AND(AND('2 Matériel'!$K18="Oui",'3 Options'!$C$13="Oui"),'3 Options'!$C$18&lt;&gt;"Oui"),INDEX(Textes!$B$2:$C$59,MATCH("incl",Textes!$A$2:$A$59,0),Listes!$H$1),IF('2 Matériel'!$H18="","",'2 Matériel'!$H18)),"")</f>
        <v/>
      </c>
      <c r="K14">
        <f>IF(C14="ITM",IF(AND(AND('2 Matériel'!$K18="Oui",'3 Options'!$C$13="Oui"),'3 Options'!$C$18&lt;&gt;"Oui"),INDEX(Textes!$B$2:$C$59,MATCH("incl",Textes!$A$2:$A$59,0),Listes!$H$1),IF('2 Matériel'!$I18="","",'2 Matériel'!$I18)),"")</f>
        <v/>
      </c>
      <c r="L14">
        <f>IF(C14="ITM",IF(AND(AND('2 Matériel'!$K18="Oui",'3 Options'!$C$13="Oui"),'3 Options'!$C$18&lt;&gt;"Oui"),INDEX(Textes!$B$2:$C$59,MATCH("incl",Textes!$A$2:$A$59,0),Listes!$H$1),IF('2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"&amp;INDEX(Textes!$B$2:$C$59,MATCH("incl_long",Textes!$A$2:$A$59,0),Listes!$H$1),""),""))</f>
        <v/>
      </c>
      <c r="F15">
        <f>IF(C15="ITM",'2 Matériel'!$L19,"")</f>
        <v/>
      </c>
      <c r="G15">
        <f>IF(C15="ITM",IF(AND(AND('2 Matériel'!$K19="Oui",'3 Options'!$C$13="Oui"),'3 Options'!$C$18&lt;&gt;"Oui"),INDEX(Textes!$B$2:$C$59,MATCH("incl",Textes!$A$2:$A$59,0),Listes!$H$1),IF('2 Matériel'!$E19="","",'2 Matériel'!$E19)),"")</f>
        <v/>
      </c>
      <c r="H15">
        <f>IF(C15="ITM",IF(AND(AND('2 Matériel'!$K19="Oui",'3 Options'!$C$13="Oui"),'3 Options'!$C$18&lt;&gt;"Oui"),INDEX(Textes!$B$2:$C$59,MATCH("incl",Textes!$A$2:$A$59,0),Listes!$H$1),IF('2 Matériel'!$F19="","",'2 Matériel'!$F19)),"")</f>
        <v/>
      </c>
      <c r="I15">
        <f>IF(C15="ITM",IF(AND(AND('2 Matériel'!$K19="Oui",'3 Options'!$C$13="Oui"),'3 Options'!$C$18&lt;&gt;"Oui"),INDEX(Textes!$B$2:$C$59,MATCH("incl",Textes!$A$2:$A$59,0),Listes!$H$1),IF('2 Matériel'!$G19="","",'2 Matériel'!$G19)),"")</f>
        <v/>
      </c>
      <c r="J15">
        <f>IF(C15="ITM",IF(AND(AND('2 Matériel'!$K19="Oui",'3 Options'!$C$13="Oui"),'3 Options'!$C$18&lt;&gt;"Oui"),INDEX(Textes!$B$2:$C$59,MATCH("incl",Textes!$A$2:$A$59,0),Listes!$H$1),IF('2 Matériel'!$H19="","",'2 Matériel'!$H19)),"")</f>
        <v/>
      </c>
      <c r="K15">
        <f>IF(C15="ITM",IF(AND(AND('2 Matériel'!$K19="Oui",'3 Options'!$C$13="Oui"),'3 Options'!$C$18&lt;&gt;"Oui"),INDEX(Textes!$B$2:$C$59,MATCH("incl",Textes!$A$2:$A$59,0),Listes!$H$1),IF('2 Matériel'!$I19="","",'2 Matériel'!$I19)),"")</f>
        <v/>
      </c>
      <c r="L15">
        <f>IF(C15="ITM",IF(AND(AND('2 Matériel'!$K19="Oui",'3 Options'!$C$13="Oui"),'3 Options'!$C$18&lt;&gt;"Oui"),INDEX(Textes!$B$2:$C$59,MATCH("incl",Textes!$A$2:$A$59,0),Listes!$H$1),IF('2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"&amp;INDEX(Textes!$B$2:$C$59,MATCH("incl_long",Textes!$A$2:$A$59,0),Listes!$H$1),""),""))</f>
        <v/>
      </c>
      <c r="F16">
        <f>IF(C16="ITM",'2 Matériel'!$L20,"")</f>
        <v/>
      </c>
      <c r="G16">
        <f>IF(C16="ITM",IF(AND(AND('2 Matériel'!$K20="Oui",'3 Options'!$C$13="Oui"),'3 Options'!$C$18&lt;&gt;"Oui"),INDEX(Textes!$B$2:$C$59,MATCH("incl",Textes!$A$2:$A$59,0),Listes!$H$1),IF('2 Matériel'!$E20="","",'2 Matériel'!$E20)),"")</f>
        <v/>
      </c>
      <c r="H16">
        <f>IF(C16="ITM",IF(AND(AND('2 Matériel'!$K20="Oui",'3 Options'!$C$13="Oui"),'3 Options'!$C$18&lt;&gt;"Oui"),INDEX(Textes!$B$2:$C$59,MATCH("incl",Textes!$A$2:$A$59,0),Listes!$H$1),IF('2 Matériel'!$F20="","",'2 Matériel'!$F20)),"")</f>
        <v/>
      </c>
      <c r="I16">
        <f>IF(C16="ITM",IF(AND(AND('2 Matériel'!$K20="Oui",'3 Options'!$C$13="Oui"),'3 Options'!$C$18&lt;&gt;"Oui"),INDEX(Textes!$B$2:$C$59,MATCH("incl",Textes!$A$2:$A$59,0),Listes!$H$1),IF('2 Matériel'!$G20="","",'2 Matériel'!$G20)),"")</f>
        <v/>
      </c>
      <c r="J16">
        <f>IF(C16="ITM",IF(AND(AND('2 Matériel'!$K20="Oui",'3 Options'!$C$13="Oui"),'3 Options'!$C$18&lt;&gt;"Oui"),INDEX(Textes!$B$2:$C$59,MATCH("incl",Textes!$A$2:$A$59,0),Listes!$H$1),IF('2 Matériel'!$H20="","",'2 Matériel'!$H20)),"")</f>
        <v/>
      </c>
      <c r="K16">
        <f>IF(C16="ITM",IF(AND(AND('2 Matériel'!$K20="Oui",'3 Options'!$C$13="Oui"),'3 Options'!$C$18&lt;&gt;"Oui"),INDEX(Textes!$B$2:$C$59,MATCH("incl",Textes!$A$2:$A$59,0),Listes!$H$1),IF('2 Matériel'!$I20="","",'2 Matériel'!$I20)),"")</f>
        <v/>
      </c>
      <c r="L16">
        <f>IF(C16="ITM",IF(AND(AND('2 Matériel'!$K20="Oui",'3 Options'!$C$13="Oui"),'3 Options'!$C$18&lt;&gt;"Oui"),INDEX(Textes!$B$2:$C$59,MATCH("incl",Textes!$A$2:$A$59,0),Listes!$H$1),IF('2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"&amp;INDEX(Textes!$B$2:$C$59,MATCH("incl_long",Textes!$A$2:$A$59,0),Listes!$H$1),""),""))</f>
        <v/>
      </c>
      <c r="F17">
        <f>IF(C17="ITM",'2 Matériel'!$L21,"")</f>
        <v/>
      </c>
      <c r="G17">
        <f>IF(C17="ITM",IF(AND(AND('2 Matériel'!$K21="Oui",'3 Options'!$C$13="Oui"),'3 Options'!$C$18&lt;&gt;"Oui"),INDEX(Textes!$B$2:$C$59,MATCH("incl",Textes!$A$2:$A$59,0),Listes!$H$1),IF('2 Matériel'!$E21="","",'2 Matériel'!$E21)),"")</f>
        <v/>
      </c>
      <c r="H17">
        <f>IF(C17="ITM",IF(AND(AND('2 Matériel'!$K21="Oui",'3 Options'!$C$13="Oui"),'3 Options'!$C$18&lt;&gt;"Oui"),INDEX(Textes!$B$2:$C$59,MATCH("incl",Textes!$A$2:$A$59,0),Listes!$H$1),IF('2 Matériel'!$F21="","",'2 Matériel'!$F21)),"")</f>
        <v/>
      </c>
      <c r="I17">
        <f>IF(C17="ITM",IF(AND(AND('2 Matériel'!$K21="Oui",'3 Options'!$C$13="Oui"),'3 Options'!$C$18&lt;&gt;"Oui"),INDEX(Textes!$B$2:$C$59,MATCH("incl",Textes!$A$2:$A$59,0),Listes!$H$1),IF('2 Matériel'!$G21="","",'2 Matériel'!$G21)),"")</f>
        <v/>
      </c>
      <c r="J17">
        <f>IF(C17="ITM",IF(AND(AND('2 Matériel'!$K21="Oui",'3 Options'!$C$13="Oui"),'3 Options'!$C$18&lt;&gt;"Oui"),INDEX(Textes!$B$2:$C$59,MATCH("incl",Textes!$A$2:$A$59,0),Listes!$H$1),IF('2 Matériel'!$H21="","",'2 Matériel'!$H21)),"")</f>
        <v/>
      </c>
      <c r="K17">
        <f>IF(C17="ITM",IF(AND(AND('2 Matériel'!$K21="Oui",'3 Options'!$C$13="Oui"),'3 Options'!$C$18&lt;&gt;"Oui"),INDEX(Textes!$B$2:$C$59,MATCH("incl",Textes!$A$2:$A$59,0),Listes!$H$1),IF('2 Matériel'!$I21="","",'2 Matériel'!$I21)),"")</f>
        <v/>
      </c>
      <c r="L17">
        <f>IF(C17="ITM",IF(AND(AND('2 Matériel'!$K21="Oui",'3 Options'!$C$13="Oui"),'3 Options'!$C$18&lt;&gt;"Oui"),INDEX(Textes!$B$2:$C$59,MATCH("incl",Textes!$A$2:$A$59,0),Listes!$H$1),IF('2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"&amp;INDEX(Textes!$B$2:$C$59,MATCH("incl_long",Textes!$A$2:$A$59,0),Listes!$H$1),""),""))</f>
        <v/>
      </c>
      <c r="F18">
        <f>IF(C18="ITM",'2 Matériel'!$L22,"")</f>
        <v/>
      </c>
      <c r="G18">
        <f>IF(C18="ITM",IF(AND(AND('2 Matériel'!$K22="Oui",'3 Options'!$C$13="Oui"),'3 Options'!$C$18&lt;&gt;"Oui"),INDEX(Textes!$B$2:$C$59,MATCH("incl",Textes!$A$2:$A$59,0),Listes!$H$1),IF('2 Matériel'!$E22="","",'2 Matériel'!$E22)),"")</f>
        <v/>
      </c>
      <c r="H18">
        <f>IF(C18="ITM",IF(AND(AND('2 Matériel'!$K22="Oui",'3 Options'!$C$13="Oui"),'3 Options'!$C$18&lt;&gt;"Oui"),INDEX(Textes!$B$2:$C$59,MATCH("incl",Textes!$A$2:$A$59,0),Listes!$H$1),IF('2 Matériel'!$F22="","",'2 Matériel'!$F22)),"")</f>
        <v/>
      </c>
      <c r="I18">
        <f>IF(C18="ITM",IF(AND(AND('2 Matériel'!$K22="Oui",'3 Options'!$C$13="Oui"),'3 Options'!$C$18&lt;&gt;"Oui"),INDEX(Textes!$B$2:$C$59,MATCH("incl",Textes!$A$2:$A$59,0),Listes!$H$1),IF('2 Matériel'!$G22="","",'2 Matériel'!$G22)),"")</f>
        <v/>
      </c>
      <c r="J18">
        <f>IF(C18="ITM",IF(AND(AND('2 Matériel'!$K22="Oui",'3 Options'!$C$13="Oui"),'3 Options'!$C$18&lt;&gt;"Oui"),INDEX(Textes!$B$2:$C$59,MATCH("incl",Textes!$A$2:$A$59,0),Listes!$H$1),IF('2 Matériel'!$H22="","",'2 Matériel'!$H22)),"")</f>
        <v/>
      </c>
      <c r="K18">
        <f>IF(C18="ITM",IF(AND(AND('2 Matériel'!$K22="Oui",'3 Options'!$C$13="Oui"),'3 Options'!$C$18&lt;&gt;"Oui"),INDEX(Textes!$B$2:$C$59,MATCH("incl",Textes!$A$2:$A$59,0),Listes!$H$1),IF('2 Matériel'!$I22="","",'2 Matériel'!$I22)),"")</f>
        <v/>
      </c>
      <c r="L18">
        <f>IF(C18="ITM",IF(AND(AND('2 Matériel'!$K22="Oui",'3 Options'!$C$13="Oui"),'3 Options'!$C$18&lt;&gt;"Oui"),INDEX(Textes!$B$2:$C$59,MATCH("incl",Textes!$A$2:$A$59,0),Listes!$H$1),IF('2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"&amp;INDEX(Textes!$B$2:$C$59,MATCH("incl_long",Textes!$A$2:$A$59,0),Listes!$H$1),""),""))</f>
        <v/>
      </c>
      <c r="F19">
        <f>IF(C19="ITM",'2 Matériel'!$L23,"")</f>
        <v/>
      </c>
      <c r="G19">
        <f>IF(C19="ITM",IF(AND(AND('2 Matériel'!$K23="Oui",'3 Options'!$C$13="Oui"),'3 Options'!$C$18&lt;&gt;"Oui"),INDEX(Textes!$B$2:$C$59,MATCH("incl",Textes!$A$2:$A$59,0),Listes!$H$1),IF('2 Matériel'!$E23="","",'2 Matériel'!$E23)),"")</f>
        <v/>
      </c>
      <c r="H19">
        <f>IF(C19="ITM",IF(AND(AND('2 Matériel'!$K23="Oui",'3 Options'!$C$13="Oui"),'3 Options'!$C$18&lt;&gt;"Oui"),INDEX(Textes!$B$2:$C$59,MATCH("incl",Textes!$A$2:$A$59,0),Listes!$H$1),IF('2 Matériel'!$F23="","",'2 Matériel'!$F23)),"")</f>
        <v/>
      </c>
      <c r="I19">
        <f>IF(C19="ITM",IF(AND(AND('2 Matériel'!$K23="Oui",'3 Options'!$C$13="Oui"),'3 Options'!$C$18&lt;&gt;"Oui"),INDEX(Textes!$B$2:$C$59,MATCH("incl",Textes!$A$2:$A$59,0),Listes!$H$1),IF('2 Matériel'!$G23="","",'2 Matériel'!$G23)),"")</f>
        <v/>
      </c>
      <c r="J19">
        <f>IF(C19="ITM",IF(AND(AND('2 Matériel'!$K23="Oui",'3 Options'!$C$13="Oui"),'3 Options'!$C$18&lt;&gt;"Oui"),INDEX(Textes!$B$2:$C$59,MATCH("incl",Textes!$A$2:$A$59,0),Listes!$H$1),IF('2 Matériel'!$H23="","",'2 Matériel'!$H23)),"")</f>
        <v/>
      </c>
      <c r="K19">
        <f>IF(C19="ITM",IF(AND(AND('2 Matériel'!$K23="Oui",'3 Options'!$C$13="Oui"),'3 Options'!$C$18&lt;&gt;"Oui"),INDEX(Textes!$B$2:$C$59,MATCH("incl",Textes!$A$2:$A$59,0),Listes!$H$1),IF('2 Matériel'!$I23="","",'2 Matériel'!$I23)),"")</f>
        <v/>
      </c>
      <c r="L19">
        <f>IF(C19="ITM",IF(AND(AND('2 Matériel'!$K23="Oui",'3 Options'!$C$13="Oui"),'3 Options'!$C$18&lt;&gt;"Oui"),INDEX(Textes!$B$2:$C$59,MATCH("incl",Textes!$A$2:$A$59,0),Listes!$H$1),IF('2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"&amp;INDEX(Textes!$B$2:$C$59,MATCH("incl_long",Textes!$A$2:$A$59,0),Listes!$H$1),""),""))</f>
        <v/>
      </c>
      <c r="F20">
        <f>IF(C20="ITM",'2 Matériel'!$L24,"")</f>
        <v/>
      </c>
      <c r="G20">
        <f>IF(C20="ITM",IF(AND(AND('2 Matériel'!$K24="Oui",'3 Options'!$C$13="Oui"),'3 Options'!$C$18&lt;&gt;"Oui"),INDEX(Textes!$B$2:$C$59,MATCH("incl",Textes!$A$2:$A$59,0),Listes!$H$1),IF('2 Matériel'!$E24="","",'2 Matériel'!$E24)),"")</f>
        <v/>
      </c>
      <c r="H20">
        <f>IF(C20="ITM",IF(AND(AND('2 Matériel'!$K24="Oui",'3 Options'!$C$13="Oui"),'3 Options'!$C$18&lt;&gt;"Oui"),INDEX(Textes!$B$2:$C$59,MATCH("incl",Textes!$A$2:$A$59,0),Listes!$H$1),IF('2 Matériel'!$F24="","",'2 Matériel'!$F24)),"")</f>
        <v/>
      </c>
      <c r="I20">
        <f>IF(C20="ITM",IF(AND(AND('2 Matériel'!$K24="Oui",'3 Options'!$C$13="Oui"),'3 Options'!$C$18&lt;&gt;"Oui"),INDEX(Textes!$B$2:$C$59,MATCH("incl",Textes!$A$2:$A$59,0),Listes!$H$1),IF('2 Matériel'!$G24="","",'2 Matériel'!$G24)),"")</f>
        <v/>
      </c>
      <c r="J20">
        <f>IF(C20="ITM",IF(AND(AND('2 Matériel'!$K24="Oui",'3 Options'!$C$13="Oui"),'3 Options'!$C$18&lt;&gt;"Oui"),INDEX(Textes!$B$2:$C$59,MATCH("incl",Textes!$A$2:$A$59,0),Listes!$H$1),IF('2 Matériel'!$H24="","",'2 Matériel'!$H24)),"")</f>
        <v/>
      </c>
      <c r="K20">
        <f>IF(C20="ITM",IF(AND(AND('2 Matériel'!$K24="Oui",'3 Options'!$C$13="Oui"),'3 Options'!$C$18&lt;&gt;"Oui"),INDEX(Textes!$B$2:$C$59,MATCH("incl",Textes!$A$2:$A$59,0),Listes!$H$1),IF('2 Matériel'!$I24="","",'2 Matériel'!$I24)),"")</f>
        <v/>
      </c>
      <c r="L20">
        <f>IF(C20="ITM",IF(AND(AND('2 Matériel'!$K24="Oui",'3 Options'!$C$13="Oui"),'3 Options'!$C$18&lt;&gt;"Oui"),INDEX(Textes!$B$2:$C$59,MATCH("incl",Textes!$A$2:$A$59,0),Listes!$H$1),IF('2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"&amp;INDEX(Textes!$B$2:$C$59,MATCH("incl_long",Textes!$A$2:$A$59,0),Listes!$H$1),""),""))</f>
        <v/>
      </c>
      <c r="F21">
        <f>IF(C21="ITM",'2 Matériel'!$L25,"")</f>
        <v/>
      </c>
      <c r="G21">
        <f>IF(C21="ITM",IF(AND(AND('2 Matériel'!$K25="Oui",'3 Options'!$C$13="Oui"),'3 Options'!$C$18&lt;&gt;"Oui"),INDEX(Textes!$B$2:$C$59,MATCH("incl",Textes!$A$2:$A$59,0),Listes!$H$1),IF('2 Matériel'!$E25="","",'2 Matériel'!$E25)),"")</f>
        <v/>
      </c>
      <c r="H21">
        <f>IF(C21="ITM",IF(AND(AND('2 Matériel'!$K25="Oui",'3 Options'!$C$13="Oui"),'3 Options'!$C$18&lt;&gt;"Oui"),INDEX(Textes!$B$2:$C$59,MATCH("incl",Textes!$A$2:$A$59,0),Listes!$H$1),IF('2 Matériel'!$F25="","",'2 Matériel'!$F25)),"")</f>
        <v/>
      </c>
      <c r="I21">
        <f>IF(C21="ITM",IF(AND(AND('2 Matériel'!$K25="Oui",'3 Options'!$C$13="Oui"),'3 Options'!$C$18&lt;&gt;"Oui"),INDEX(Textes!$B$2:$C$59,MATCH("incl",Textes!$A$2:$A$59,0),Listes!$H$1),IF('2 Matériel'!$G25="","",'2 Matériel'!$G25)),"")</f>
        <v/>
      </c>
      <c r="J21">
        <f>IF(C21="ITM",IF(AND(AND('2 Matériel'!$K25="Oui",'3 Options'!$C$13="Oui"),'3 Options'!$C$18&lt;&gt;"Oui"),INDEX(Textes!$B$2:$C$59,MATCH("incl",Textes!$A$2:$A$59,0),Listes!$H$1),IF('2 Matériel'!$H25="","",'2 Matériel'!$H25)),"")</f>
        <v/>
      </c>
      <c r="K21">
        <f>IF(C21="ITM",IF(AND(AND('2 Matériel'!$K25="Oui",'3 Options'!$C$13="Oui"),'3 Options'!$C$18&lt;&gt;"Oui"),INDEX(Textes!$B$2:$C$59,MATCH("incl",Textes!$A$2:$A$59,0),Listes!$H$1),IF('2 Matériel'!$I25="","",'2 Matériel'!$I25)),"")</f>
        <v/>
      </c>
      <c r="L21">
        <f>IF(C21="ITM",IF(AND(AND('2 Matériel'!$K25="Oui",'3 Options'!$C$13="Oui"),'3 Options'!$C$18&lt;&gt;"Oui"),INDEX(Textes!$B$2:$C$59,MATCH("incl",Textes!$A$2:$A$59,0),Listes!$H$1),IF('2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"&amp;INDEX(Textes!$B$2:$C$59,MATCH("incl_long",Textes!$A$2:$A$59,0),Listes!$H$1),""),""))</f>
        <v/>
      </c>
      <c r="F22">
        <f>IF(C22="ITM",'2 Matériel'!$L26,"")</f>
        <v/>
      </c>
      <c r="G22">
        <f>IF(C22="ITM",IF(AND(AND('2 Matériel'!$K26="Oui",'3 Options'!$C$13="Oui"),'3 Options'!$C$18&lt;&gt;"Oui"),INDEX(Textes!$B$2:$C$59,MATCH("incl",Textes!$A$2:$A$59,0),Listes!$H$1),IF('2 Matériel'!$E26="","",'2 Matériel'!$E26)),"")</f>
        <v/>
      </c>
      <c r="H22">
        <f>IF(C22="ITM",IF(AND(AND('2 Matériel'!$K26="Oui",'3 Options'!$C$13="Oui"),'3 Options'!$C$18&lt;&gt;"Oui"),INDEX(Textes!$B$2:$C$59,MATCH("incl",Textes!$A$2:$A$59,0),Listes!$H$1),IF('2 Matériel'!$F26="","",'2 Matériel'!$F26)),"")</f>
        <v/>
      </c>
      <c r="I22">
        <f>IF(C22="ITM",IF(AND(AND('2 Matériel'!$K26="Oui",'3 Options'!$C$13="Oui"),'3 Options'!$C$18&lt;&gt;"Oui"),INDEX(Textes!$B$2:$C$59,MATCH("incl",Textes!$A$2:$A$59,0),Listes!$H$1),IF('2 Matériel'!$G26="","",'2 Matériel'!$G26)),"")</f>
        <v/>
      </c>
      <c r="J22">
        <f>IF(C22="ITM",IF(AND(AND('2 Matériel'!$K26="Oui",'3 Options'!$C$13="Oui"),'3 Options'!$C$18&lt;&gt;"Oui"),INDEX(Textes!$B$2:$C$59,MATCH("incl",Textes!$A$2:$A$59,0),Listes!$H$1),IF('2 Matériel'!$H26="","",'2 Matériel'!$H26)),"")</f>
        <v/>
      </c>
      <c r="K22">
        <f>IF(C22="ITM",IF(AND(AND('2 Matériel'!$K26="Oui",'3 Options'!$C$13="Oui"),'3 Options'!$C$18&lt;&gt;"Oui"),INDEX(Textes!$B$2:$C$59,MATCH("incl",Textes!$A$2:$A$59,0),Listes!$H$1),IF('2 Matériel'!$I26="","",'2 Matériel'!$I26)),"")</f>
        <v/>
      </c>
      <c r="L22">
        <f>IF(C22="ITM",IF(AND(AND('2 Matériel'!$K26="Oui",'3 Options'!$C$13="Oui"),'3 Options'!$C$18&lt;&gt;"Oui"),INDEX(Textes!$B$2:$C$59,MATCH("incl",Textes!$A$2:$A$59,0),Listes!$H$1),IF('2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"&amp;INDEX(Textes!$B$2:$C$59,MATCH("incl_long",Textes!$A$2:$A$59,0),Listes!$H$1),""),""))</f>
        <v/>
      </c>
      <c r="F23">
        <f>IF(C23="ITM",'2 Matériel'!$L27,"")</f>
        <v/>
      </c>
      <c r="G23">
        <f>IF(C23="ITM",IF(AND(AND('2 Matériel'!$K27="Oui",'3 Options'!$C$13="Oui"),'3 Options'!$C$18&lt;&gt;"Oui"),INDEX(Textes!$B$2:$C$59,MATCH("incl",Textes!$A$2:$A$59,0),Listes!$H$1),IF('2 Matériel'!$E27="","",'2 Matériel'!$E27)),"")</f>
        <v/>
      </c>
      <c r="H23">
        <f>IF(C23="ITM",IF(AND(AND('2 Matériel'!$K27="Oui",'3 Options'!$C$13="Oui"),'3 Options'!$C$18&lt;&gt;"Oui"),INDEX(Textes!$B$2:$C$59,MATCH("incl",Textes!$A$2:$A$59,0),Listes!$H$1),IF('2 Matériel'!$F27="","",'2 Matériel'!$F27)),"")</f>
        <v/>
      </c>
      <c r="I23">
        <f>IF(C23="ITM",IF(AND(AND('2 Matériel'!$K27="Oui",'3 Options'!$C$13="Oui"),'3 Options'!$C$18&lt;&gt;"Oui"),INDEX(Textes!$B$2:$C$59,MATCH("incl",Textes!$A$2:$A$59,0),Listes!$H$1),IF('2 Matériel'!$G27="","",'2 Matériel'!$G27)),"")</f>
        <v/>
      </c>
      <c r="J23">
        <f>IF(C23="ITM",IF(AND(AND('2 Matériel'!$K27="Oui",'3 Options'!$C$13="Oui"),'3 Options'!$C$18&lt;&gt;"Oui"),INDEX(Textes!$B$2:$C$59,MATCH("incl",Textes!$A$2:$A$59,0),Listes!$H$1),IF('2 Matériel'!$H27="","",'2 Matériel'!$H27)),"")</f>
        <v/>
      </c>
      <c r="K23">
        <f>IF(C23="ITM",IF(AND(AND('2 Matériel'!$K27="Oui",'3 Options'!$C$13="Oui"),'3 Options'!$C$18&lt;&gt;"Oui"),INDEX(Textes!$B$2:$C$59,MATCH("incl",Textes!$A$2:$A$59,0),Listes!$H$1),IF('2 Matériel'!$I27="","",'2 Matériel'!$I27)),"")</f>
        <v/>
      </c>
      <c r="L23">
        <f>IF(C23="ITM",IF(AND(AND('2 Matériel'!$K27="Oui",'3 Options'!$C$13="Oui"),'3 Options'!$C$18&lt;&gt;"Oui"),INDEX(Textes!$B$2:$C$59,MATCH("incl",Textes!$A$2:$A$59,0),Listes!$H$1),IF('2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"&amp;INDEX(Textes!$B$2:$C$59,MATCH("incl_long",Textes!$A$2:$A$59,0),Listes!$H$1),""),""))</f>
        <v/>
      </c>
      <c r="F24">
        <f>IF(C24="ITM",'2 Matériel'!$L28,"")</f>
        <v/>
      </c>
      <c r="G24">
        <f>IF(C24="ITM",IF(AND(AND('2 Matériel'!$K28="Oui",'3 Options'!$C$13="Oui"),'3 Options'!$C$18&lt;&gt;"Oui"),INDEX(Textes!$B$2:$C$59,MATCH("incl",Textes!$A$2:$A$59,0),Listes!$H$1),IF('2 Matériel'!$E28="","",'2 Matériel'!$E28)),"")</f>
        <v/>
      </c>
      <c r="H24">
        <f>IF(C24="ITM",IF(AND(AND('2 Matériel'!$K28="Oui",'3 Options'!$C$13="Oui"),'3 Options'!$C$18&lt;&gt;"Oui"),INDEX(Textes!$B$2:$C$59,MATCH("incl",Textes!$A$2:$A$59,0),Listes!$H$1),IF('2 Matériel'!$F28="","",'2 Matériel'!$F28)),"")</f>
        <v/>
      </c>
      <c r="I24">
        <f>IF(C24="ITM",IF(AND(AND('2 Matériel'!$K28="Oui",'3 Options'!$C$13="Oui"),'3 Options'!$C$18&lt;&gt;"Oui"),INDEX(Textes!$B$2:$C$59,MATCH("incl",Textes!$A$2:$A$59,0),Listes!$H$1),IF('2 Matériel'!$G28="","",'2 Matériel'!$G28)),"")</f>
        <v/>
      </c>
      <c r="J24">
        <f>IF(C24="ITM",IF(AND(AND('2 Matériel'!$K28="Oui",'3 Options'!$C$13="Oui"),'3 Options'!$C$18&lt;&gt;"Oui"),INDEX(Textes!$B$2:$C$59,MATCH("incl",Textes!$A$2:$A$59,0),Listes!$H$1),IF('2 Matériel'!$H28="","",'2 Matériel'!$H28)),"")</f>
        <v/>
      </c>
      <c r="K24">
        <f>IF(C24="ITM",IF(AND(AND('2 Matériel'!$K28="Oui",'3 Options'!$C$13="Oui"),'3 Options'!$C$18&lt;&gt;"Oui"),INDEX(Textes!$B$2:$C$59,MATCH("incl",Textes!$A$2:$A$59,0),Listes!$H$1),IF('2 Matériel'!$I28="","",'2 Matériel'!$I28)),"")</f>
        <v/>
      </c>
      <c r="L24">
        <f>IF(C24="ITM",IF(AND(AND('2 Matériel'!$K28="Oui",'3 Options'!$C$13="Oui"),'3 Options'!$C$18&lt;&gt;"Oui"),INDEX(Textes!$B$2:$C$59,MATCH("incl",Textes!$A$2:$A$59,0),Listes!$H$1),IF('2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"&amp;INDEX(Textes!$B$2:$C$59,MATCH("incl_long",Textes!$A$2:$A$59,0),Listes!$H$1),""),""))</f>
        <v/>
      </c>
      <c r="F25">
        <f>IF(C25="ITM",'2 Matériel'!$L29,"")</f>
        <v/>
      </c>
      <c r="G25">
        <f>IF(C25="ITM",IF(AND(AND('2 Matériel'!$K29="Oui",'3 Options'!$C$13="Oui"),'3 Options'!$C$18&lt;&gt;"Oui"),INDEX(Textes!$B$2:$C$59,MATCH("incl",Textes!$A$2:$A$59,0),Listes!$H$1),IF('2 Matériel'!$E29="","",'2 Matériel'!$E29)),"")</f>
        <v/>
      </c>
      <c r="H25">
        <f>IF(C25="ITM",IF(AND(AND('2 Matériel'!$K29="Oui",'3 Options'!$C$13="Oui"),'3 Options'!$C$18&lt;&gt;"Oui"),INDEX(Textes!$B$2:$C$59,MATCH("incl",Textes!$A$2:$A$59,0),Listes!$H$1),IF('2 Matériel'!$F29="","",'2 Matériel'!$F29)),"")</f>
        <v/>
      </c>
      <c r="I25">
        <f>IF(C25="ITM",IF(AND(AND('2 Matériel'!$K29="Oui",'3 Options'!$C$13="Oui"),'3 Options'!$C$18&lt;&gt;"Oui"),INDEX(Textes!$B$2:$C$59,MATCH("incl",Textes!$A$2:$A$59,0),Listes!$H$1),IF('2 Matériel'!$G29="","",'2 Matériel'!$G29)),"")</f>
        <v/>
      </c>
      <c r="J25">
        <f>IF(C25="ITM",IF(AND(AND('2 Matériel'!$K29="Oui",'3 Options'!$C$13="Oui"),'3 Options'!$C$18&lt;&gt;"Oui"),INDEX(Textes!$B$2:$C$59,MATCH("incl",Textes!$A$2:$A$59,0),Listes!$H$1),IF('2 Matériel'!$H29="","",'2 Matériel'!$H29)),"")</f>
        <v/>
      </c>
      <c r="K25">
        <f>IF(C25="ITM",IF(AND(AND('2 Matériel'!$K29="Oui",'3 Options'!$C$13="Oui"),'3 Options'!$C$18&lt;&gt;"Oui"),INDEX(Textes!$B$2:$C$59,MATCH("incl",Textes!$A$2:$A$59,0),Listes!$H$1),IF('2 Matériel'!$I29="","",'2 Matériel'!$I29)),"")</f>
        <v/>
      </c>
      <c r="L25">
        <f>IF(C25="ITM",IF(AND(AND('2 Matériel'!$K29="Oui",'3 Options'!$C$13="Oui"),'3 Options'!$C$18&lt;&gt;"Oui"),INDEX(Textes!$B$2:$C$59,MATCH("incl",Textes!$A$2:$A$59,0),Listes!$H$1),IF('2 Matériel'!$J29="","",'2 Matériel'!$J29)),"")</f>
        <v/>
      </c>
    </row>
    <row r="26">
      <c r="A26">
        <f>IF('3 Options'!$C$8="Oui",1,0)</f>
        <v/>
      </c>
      <c r="B26">
        <f>IF(A26=1,COUNTIF(A$2:A26,1),"")</f>
        <v/>
      </c>
      <c r="C26">
        <f>IF(A26=1,"HDR","")</f>
        <v/>
      </c>
      <c r="D26">
        <f>""</f>
        <v/>
      </c>
      <c r="E26">
        <f>INDEX(Textes!$B$2:$C$59,MATCH("sec_tight",Textes!$A$2:$A$59,0),Listes!$H$1)</f>
        <v/>
      </c>
      <c r="F26">
        <f>INDEX(Textes!$B$2:$C$59,MATCH("h_qty",Textes!$A$2:$A$59,0),Listes!$H$1)</f>
        <v/>
      </c>
      <c r="G26">
        <f>INDEX(Textes!$B$2:$C$59,MATCH("h_unit",Textes!$A$2:$A$59,0),Listes!$H$1)</f>
        <v/>
      </c>
      <c r="H26">
        <f>INDEX(Textes!$B$2:$C$59,MATCH("h_pu",Textes!$A$2:$A$59,0),Listes!$H$1)</f>
        <v/>
      </c>
      <c r="I26">
        <f>INDEX(Textes!$B$2:$C$59,MATCH("h_tot",Textes!$A$2:$A$59,0),Listes!$H$1)</f>
        <v/>
      </c>
      <c r="J26">
        <f>""</f>
        <v/>
      </c>
      <c r="K26">
        <f>""</f>
        <v/>
      </c>
      <c r="L26">
        <f>""</f>
        <v/>
      </c>
    </row>
    <row r="27">
      <c r="A27">
        <f>IF('3 Options'!$C$8="Oui",1,0)</f>
        <v/>
      </c>
      <c r="B27">
        <f>IF(A27=1,COUNTIF(A$2:A27,1),"")</f>
        <v/>
      </c>
      <c r="C27">
        <f>IF(A27=1,"LIN","")</f>
        <v/>
      </c>
      <c r="D27">
        <f>""</f>
        <v/>
      </c>
      <c r="E27">
        <f>IF('3 Options'!$D$8&lt;&gt;"",'3 Options'!$D$8,INDEX(Textes!$B$2:$C$59,MATCH("tight",Textes!$A$2:$A$59,0),Listes!$H$1))&amp;IF(AND('3 Options'!$C$13="Oui",'3 Options'!$C$19="Oui"),"  ·  "&amp;INDEX(Textes!$B$2:$C$59,MATCH("incl_long",Textes!$A$2:$A$59,0),Listes!$H$1),"")</f>
        <v/>
      </c>
      <c r="F27">
        <f>IF('3 Options'!$G$8="Coût réel +15 %","",'3 Options'!$E$8)</f>
        <v/>
      </c>
      <c r="G27">
        <f>IF('3 Options'!$G$8="Coût réel +15 %","",'3 Options'!$G$8)</f>
        <v/>
      </c>
      <c r="H27">
        <f>IF(AND(AND('3 Options'!$C$13="Oui",'3 Options'!$C$19="Oui"),'3 Options'!$C$18&lt;&gt;"Oui"),INDEX(Textes!$B$2:$C$59,MATCH("incl",Textes!$A$2:$A$59,0),Listes!$H$1),IF('3 Options'!$G$8="Coût réel +15 %",INDEX(Textes!$B$2:$C$59,MATCH("at_cost",Textes!$A$2:$A$59,0),Listes!$H$1),IF('3 Options'!$F$8="","",'3 Options'!$F$8)))</f>
        <v/>
      </c>
      <c r="I27">
        <f>IF(AND(AND('3 Options'!$C$13="Oui",'3 Options'!$C$19="Oui"),'3 Options'!$C$18&lt;&gt;"Oui"),INDEX(Textes!$B$2:$C$59,MATCH("incl",Textes!$A$2:$A$59,0),Listes!$H$1),IF('3 Options'!$G$8="Coût réel +15 %","—",'3 Options'!$H$8))</f>
        <v/>
      </c>
      <c r="J27">
        <f>""</f>
        <v/>
      </c>
      <c r="K27">
        <f>""</f>
        <v/>
      </c>
      <c r="L27">
        <f>""</f>
        <v/>
      </c>
    </row>
    <row r="28">
      <c r="A28">
        <f>IF(OR('3 Options'!$C$9="Oui",'3 Options'!$C$10="Oui"),1,0)</f>
        <v/>
      </c>
      <c r="B28">
        <f>IF(A28=1,COUNTIF(A$2:A28,1),"")</f>
        <v/>
      </c>
      <c r="C28">
        <f>IF(A28=1,"HDR","")</f>
        <v/>
      </c>
      <c r="D28">
        <f>""</f>
        <v/>
      </c>
      <c r="E28">
        <f>INDEX(Textes!$B$2:$C$59,MATCH("sec_tr",Textes!$A$2:$A$59,0),Listes!$H$1)</f>
        <v/>
      </c>
      <c r="F28">
        <f>INDEX(Textes!$B$2:$C$59,MATCH("h_qty",Textes!$A$2:$A$59,0),Listes!$H$1)</f>
        <v/>
      </c>
      <c r="G28">
        <f>INDEX(Textes!$B$2:$C$59,MATCH("h_unit",Textes!$A$2:$A$59,0),Listes!$H$1)</f>
        <v/>
      </c>
      <c r="H28">
        <f>INDEX(Textes!$B$2:$C$59,MATCH("h_pu",Textes!$A$2:$A$59,0),Listes!$H$1)</f>
        <v/>
      </c>
      <c r="I28">
        <f>INDEX(Textes!$B$2:$C$59,MATCH("h_tot",Textes!$A$2:$A$59,0),Listes!$H$1)</f>
        <v/>
      </c>
      <c r="J28">
        <f>""</f>
        <v/>
      </c>
      <c r="K28">
        <f>""</f>
        <v/>
      </c>
      <c r="L28">
        <f>""</f>
        <v/>
      </c>
    </row>
    <row r="29">
      <c r="A29">
        <f>IF('3 Options'!$C$9="Oui",1,0)</f>
        <v/>
      </c>
      <c r="B29">
        <f>IF(A29=1,COUNTIF(A$2:A29,1),"")</f>
        <v/>
      </c>
      <c r="C29">
        <f>IF(A29=1,"LIN","")</f>
        <v/>
      </c>
      <c r="D29">
        <f>""</f>
        <v/>
      </c>
      <c r="E29">
        <f>IF('3 Options'!$D$9&lt;&gt;"",'3 Options'!$D$9,INDEX(Textes!$B$2:$C$59,MATCH("tr_mob",Textes!$A$2:$A$59,0),Listes!$H$1))&amp;IF(AND('3 Options'!$C$13="Oui",'3 Options'!$C$20="Oui"),"  ·  "&amp;INDEX(Textes!$B$2:$C$59,MATCH("incl_long",Textes!$A$2:$A$59,0),Listes!$H$1),"")</f>
        <v/>
      </c>
      <c r="F29">
        <f>IF('3 Options'!$G$9="Coût réel +15 %","",'3 Options'!$E$9)</f>
        <v/>
      </c>
      <c r="G29">
        <f>IF('3 Options'!$G$9="Coût réel +15 %","",'3 Options'!$G$9)</f>
        <v/>
      </c>
      <c r="H29">
        <f>IF(AND(AND('3 Options'!$C$13="Oui",'3 Options'!$C$20="Oui"),'3 Options'!$C$18&lt;&gt;"Oui"),INDEX(Textes!$B$2:$C$59,MATCH("incl",Textes!$A$2:$A$59,0),Listes!$H$1),IF('3 Options'!$G$9="Coût réel +15 %",INDEX(Textes!$B$2:$C$59,MATCH("at_cost",Textes!$A$2:$A$59,0),Listes!$H$1),IF('3 Options'!$F$9="","",'3 Options'!$F$9)))</f>
        <v/>
      </c>
      <c r="I29">
        <f>IF(AND(AND('3 Options'!$C$13="Oui",'3 Options'!$C$20="Oui"),'3 Options'!$C$18&lt;&gt;"Oui"),INDEX(Textes!$B$2:$C$59,MATCH("incl",Textes!$A$2:$A$59,0),Listes!$H$1),IF('3 Options'!$G$9="Coût réel +15 %","—",'3 Options'!$H$9))</f>
        <v/>
      </c>
      <c r="J29">
        <f>""</f>
        <v/>
      </c>
      <c r="K29">
        <f>""</f>
        <v/>
      </c>
      <c r="L29">
        <f>""</f>
        <v/>
      </c>
    </row>
    <row r="30">
      <c r="A30">
        <f>IF('3 Options'!$C$10="Oui",1,0)</f>
        <v/>
      </c>
      <c r="B30">
        <f>IF(A30=1,COUNTIF(A$2:A30,1),"")</f>
        <v/>
      </c>
      <c r="C30">
        <f>IF(A30=1,"LIN","")</f>
        <v/>
      </c>
      <c r="D30">
        <f>""</f>
        <v/>
      </c>
      <c r="E30">
        <f>IF('3 Options'!$D$10&lt;&gt;"",'3 Options'!$D$10,INDEX(Textes!$B$2:$C$59,MATCH("tr_dem",Textes!$A$2:$A$59,0),Listes!$H$1))&amp;IF(AND('3 Options'!$C$13="Oui",'3 Options'!$C$20="Oui"),"  ·  "&amp;INDEX(Textes!$B$2:$C$59,MATCH("incl_long",Textes!$A$2:$A$59,0),Listes!$H$1),"")</f>
        <v/>
      </c>
      <c r="F30">
        <f>IF('3 Options'!$G$10="Coût réel +15 %","",'3 Options'!$E$10)</f>
        <v/>
      </c>
      <c r="G30">
        <f>IF('3 Options'!$G$10="Coût réel +15 %","",'3 Options'!$G$10)</f>
        <v/>
      </c>
      <c r="H30">
        <f>IF(AND(AND('3 Options'!$C$13="Oui",'3 Options'!$C$20="Oui"),'3 Options'!$C$18&lt;&gt;"Oui"),INDEX(Textes!$B$2:$C$59,MATCH("incl",Textes!$A$2:$A$59,0),Listes!$H$1),IF('3 Options'!$G$10="Coût réel +15 %",INDEX(Textes!$B$2:$C$59,MATCH("at_cost",Textes!$A$2:$A$59,0),Listes!$H$1),IF('3 Options'!$F$10="","",'3 Options'!$F$10)))</f>
        <v/>
      </c>
      <c r="I30">
        <f>IF(AND(AND('3 Options'!$C$13="Oui",'3 Options'!$C$20="Oui"),'3 Options'!$C$18&lt;&gt;"Oui"),INDEX(Textes!$B$2:$C$59,MATCH("incl",Textes!$A$2:$A$59,0),Listes!$H$1),IF('3 Options'!$G$10="Coût réel +15 %","—",'3 Options'!$H$10))</f>
        <v/>
      </c>
      <c r="J30">
        <f>""</f>
        <v/>
      </c>
      <c r="K30">
        <f>""</f>
        <v/>
      </c>
      <c r="L30">
        <f>""</f>
        <v/>
      </c>
    </row>
    <row r="31">
      <c r="A31">
        <f>IF(OR('3 Options'!$C$6="Oui",'3 Options'!$C$7="Oui"),1,0)</f>
        <v/>
      </c>
      <c r="B31">
        <f>IF(A31=1,COUNTIF(A$2:A31,1),"")</f>
        <v/>
      </c>
      <c r="C31">
        <f>IF(A31=1,"HDR","")</f>
        <v/>
      </c>
      <c r="D31">
        <f>""</f>
        <v/>
      </c>
      <c r="E31">
        <f>INDEX(Textes!$B$2:$C$59,MATCH("sec_op",Textes!$A$2:$A$59,0),Listes!$H$1)</f>
        <v/>
      </c>
      <c r="F31">
        <f>INDEX(Textes!$B$2:$C$59,MATCH("h_qty",Textes!$A$2:$A$59,0),Listes!$H$1)</f>
        <v/>
      </c>
      <c r="G31">
        <f>INDEX(Textes!$B$2:$C$59,MATCH("h_unit",Textes!$A$2:$A$59,0),Listes!$H$1)</f>
        <v/>
      </c>
      <c r="H31">
        <f>INDEX(Textes!$B$2:$C$59,MATCH("h_pu",Textes!$A$2:$A$59,0),Listes!$H$1)</f>
        <v/>
      </c>
      <c r="I31">
        <f>INDEX(Textes!$B$2:$C$59,MATCH("h_tot",Textes!$A$2:$A$59,0),Listes!$H$1)</f>
        <v/>
      </c>
      <c r="J31">
        <f>""</f>
        <v/>
      </c>
      <c r="K31">
        <f>""</f>
        <v/>
      </c>
      <c r="L31">
        <f>""</f>
        <v/>
      </c>
    </row>
    <row r="32">
      <c r="A32">
        <f>IF('3 Options'!$C$6="Oui",1,0)</f>
        <v/>
      </c>
      <c r="B32">
        <f>IF(A32=1,COUNTIF(A$2:A32,1),"")</f>
        <v/>
      </c>
      <c r="C32">
        <f>IF(A32=1,"LIN","")</f>
        <v/>
      </c>
      <c r="D32">
        <f>""</f>
        <v/>
      </c>
      <c r="E32">
        <f>IF('3 Options'!$D$6&lt;&gt;"",'3 Options'!$D$6,INDEX(Textes!$B$2:$C$59,MATCH("op_day",Textes!$A$2:$A$59,0),Listes!$H$1))&amp;IF(FALSE,"  ·  "&amp;INDEX(Textes!$B$2:$C$59,MATCH("incl_long",Textes!$A$2:$A$59,0),Listes!$H$1),"")</f>
        <v/>
      </c>
      <c r="F32">
        <f>IF('3 Options'!$G$6="Coût réel +15 %","",'3 Options'!$E$6)</f>
        <v/>
      </c>
      <c r="G32">
        <f>IF('3 Options'!$G$6="Coût réel +15 %","",'3 Options'!$G$6)</f>
        <v/>
      </c>
      <c r="H32">
        <f>IF(AND(FALSE,'3 Options'!$C$18&lt;&gt;"Oui"),INDEX(Textes!$B$2:$C$59,MATCH("incl",Textes!$A$2:$A$59,0),Listes!$H$1),IF('3 Options'!$G$6="Coût réel +15 %",INDEX(Textes!$B$2:$C$59,MATCH("at_cost",Textes!$A$2:$A$59,0),Listes!$H$1),IF('3 Options'!$F$6="","",'3 Options'!$F$6)))</f>
        <v/>
      </c>
      <c r="I32">
        <f>IF(AND(FALSE,'3 Options'!$C$18&lt;&gt;"Oui"),INDEX(Textes!$B$2:$C$59,MATCH("incl",Textes!$A$2:$A$59,0),Listes!$H$1),IF('3 Options'!$G$6="Coût réel +15 %","—",'3 Options'!$H$6))</f>
        <v/>
      </c>
      <c r="J32">
        <f>""</f>
        <v/>
      </c>
      <c r="K32">
        <f>""</f>
        <v/>
      </c>
      <c r="L32">
        <f>""</f>
        <v/>
      </c>
    </row>
    <row r="33">
      <c r="A33">
        <f>IF('3 Options'!$C$7="Oui",1,0)</f>
        <v/>
      </c>
      <c r="B33">
        <f>IF(A33=1,COUNTIF(A$2:A33,1),"")</f>
        <v/>
      </c>
      <c r="C33">
        <f>IF(A33=1,"LIN","")</f>
        <v/>
      </c>
      <c r="D33">
        <f>""</f>
        <v/>
      </c>
      <c r="E33">
        <f>IF('3 Options'!$D$7&lt;&gt;"",'3 Options'!$D$7,INDEX(Textes!$B$2:$C$59,MATCH("op_mob",Textes!$A$2:$A$59,0),Listes!$H$1))&amp;IF(FALSE,"  ·  "&amp;INDEX(Textes!$B$2:$C$59,MATCH("incl_long",Textes!$A$2:$A$59,0),Listes!$H$1),"")</f>
        <v/>
      </c>
      <c r="F33">
        <f>IF('3 Options'!$G$7="Coût réel +15 %","",'3 Options'!$E$7)</f>
        <v/>
      </c>
      <c r="G33">
        <f>IF('3 Options'!$G$7="Coût réel +15 %","",'3 Options'!$G$7)</f>
        <v/>
      </c>
      <c r="H33">
        <f>IF(AND(FALSE,'3 Options'!$C$18&lt;&gt;"Oui"),INDEX(Textes!$B$2:$C$59,MATCH("incl",Textes!$A$2:$A$59,0),Listes!$H$1),IF('3 Options'!$G$7="Coût réel +15 %",INDEX(Textes!$B$2:$C$59,MATCH("at_cost",Textes!$A$2:$A$59,0),Listes!$H$1),IF('3 Options'!$F$7="","",'3 Options'!$F$7)))</f>
        <v/>
      </c>
      <c r="I33">
        <f>IF(AND(FALSE,'3 Options'!$C$18&lt;&gt;"Oui"),INDEX(Textes!$B$2:$C$59,MATCH("incl",Textes!$A$2:$A$59,0),Listes!$H$1),IF('3 Options'!$G$7="Coût réel +15 %","—",'3 Options'!$H$7))</f>
        <v/>
      </c>
      <c r="J33">
        <f>""</f>
        <v/>
      </c>
      <c r="K33">
        <f>""</f>
        <v/>
      </c>
      <c r="L33">
        <f>""</f>
        <v/>
      </c>
    </row>
    <row r="34">
      <c r="A34">
        <f>IF('3 Options'!$C$13="Oui",1,0)</f>
        <v/>
      </c>
      <c r="B34">
        <f>IF(A34=1,COUNTIF(A$2:A34,1),"")</f>
        <v/>
      </c>
      <c r="C34">
        <f>IF(A34=1,"FB","")</f>
        <v/>
      </c>
      <c r="D34">
        <f>""</f>
        <v/>
      </c>
      <c r="E34">
        <f>UPPER(INDEX(Textes!$B$2:$C$59,MATCH("forfait",Textes!$A$2:$A$59,0),Listes!$H$1))&amp;IF(IF('3 Options'!$G$13="Forfait calculé (S + O + UC)",'3 Options'!$C$15+'3 Options'!$C$16,IF('3 Options'!$G$13="Forfait par jour",'3 Options'!$E$13,""))&lt;&gt;"","  "&amp;IF('3 Options'!$G$13="Forfait calculé (S + O + UC)",'3 Options'!$C$15+'3 Options'!$C$16,IF('3 Options'!$G$13="Forfait par jour",'3 Options'!$E$13,""))&amp;" "&amp;INDEX(Textes!$B$2:$C$59,MATCH("days",Textes!$A$2:$A$59,0),Listes!$H$1),"")&amp;IF(IF(AND(AND('3 Options'!$C$8="Oui",'3 Options'!$C$19="Oui"),AND(OR('3 Options'!$C$9="Oui",'3 Options'!$C$10="Oui"),'3 Options'!$C$20="Oui")),INDEX(Textes!$B$2:$C$59,MATCH("in_both",Textes!$A$2:$A$59,0),Listes!$H$1),IF(AND('3 Options'!$C$8="Oui",'3 Options'!$C$19="Oui"),INDEX(Textes!$B$2:$C$59,MATCH("in_tight",Textes!$A$2:$A$59,0),Listes!$H$1),IF(AND(OR('3 Options'!$C$9="Oui",'3 Options'!$C$10="Oui"),'3 Options'!$C$20="Oui"),INDEX(Textes!$B$2:$C$59,MATCH("in_tr",Textes!$A$2:$A$59,0),Listes!$H$1),"")))&lt;&gt;"","   ·   "&amp;IF(AND(AND('3 Options'!$C$8="Oui",'3 Options'!$C$19="Oui"),AND(OR('3 Options'!$C$9="Oui",'3 Options'!$C$10="Oui"),'3 Options'!$C$20="Oui")),INDEX(Textes!$B$2:$C$59,MATCH("in_both",Textes!$A$2:$A$59,0),Listes!$H$1),IF(AND('3 Options'!$C$8="Oui",'3 Options'!$C$19="Oui"),INDEX(Textes!$B$2:$C$59,MATCH("in_tight",Textes!$A$2:$A$59,0),Listes!$H$1),IF(AND(OR('3 Options'!$C$9="Oui",'3 Options'!$C$10="Oui"),'3 Options'!$C$20="Oui"),INDEX(Textes!$B$2:$C$59,MATCH("in_tr",Textes!$A$2:$A$59,0),Listes!$H$1),""))),"")&amp;IF('3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2026-10-28T14:11:16Z</dcterms:created>
  <dcterms:modified xmlns:dcterms="http://purl.org/dc/terms/" xmlns:xsi="http://www.w3.org/2001/XMLSchema-instance" xsi:type="dcterms:W3CDTF">2026-10-28T14:11:16Z</dcterms:modified>
</cp:coreProperties>
</file>