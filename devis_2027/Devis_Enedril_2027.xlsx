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Affaire" sheetId="1" state="visible" r:id="rId1"/>
    <sheet xmlns:r="http://schemas.openxmlformats.org/officeDocument/2006/relationships" name="2 Matériel" sheetId="2" state="visible" r:id="rId2"/>
    <sheet xmlns:r="http://schemas.openxmlformats.org/officeDocument/2006/relationships" name="3 Options" sheetId="3" state="visible" r:id="rId3"/>
    <sheet xmlns:r="http://schemas.openxmlformats.org/officeDocument/2006/relationships" name="4 Devis" sheetId="4" state="visible" r:id="rId4"/>
    <sheet xmlns:r="http://schemas.openxmlformats.org/officeDocument/2006/relationships" name="5 Tool List" sheetId="5" state="visible" r:id="rId5"/>
    <sheet xmlns:r="http://schemas.openxmlformats.org/officeDocument/2006/relationships" name="6 Page de garde" sheetId="6" state="visible" r:id="rId6"/>
    <sheet xmlns:r="http://schemas.openxmlformats.org/officeDocument/2006/relationships" name="Listes" sheetId="7" state="visible" r:id="rId7"/>
    <sheet xmlns:r="http://schemas.openxmlformats.org/officeDocument/2006/relationships" name="Textes" sheetId="8" state="visible" r:id="rId8"/>
  </sheets>
  <definedNames>
    <definedName name="_xlnm.Print_Area" localSheetId="3">'4 Devis'!$A$1:$L$67</definedName>
    <definedName name="_xlnm.Print_Area" localSheetId="4">'5 Tool List'!$A$1:$R$75</definedName>
    <definedName name="_xlnm.Print_Area" localSheetId="5">'6 Page de garde'!$A$1:$F$36</definedName>
  </definedNames>
  <calcPr calcId="124519" fullCalcOnLoad="1"/>
</workbook>
</file>

<file path=xl/styles.xml><?xml version="1.0" encoding="utf-8"?>
<styleSheet xmlns="http://schemas.openxmlformats.org/spreadsheetml/2006/main">
  <numFmts count="9">
    <numFmt numFmtId="164" formatCode="dd/mm/yyyy"/>
    <numFmt numFmtId="165" formatCode="#,##0;-#,##0;;@"/>
    <numFmt numFmtId="166" formatCode="0;-0;;@"/>
    <numFmt numFmtId="167" formatCode="#,##0.00 &quot;€&quot;"/>
    <numFmt numFmtId="168" formatCode="0.000"/>
    <numFmt numFmtId="169" formatCode="dd/mm"/>
    <numFmt numFmtId="170" formatCode="#,##0.0"/>
    <numFmt numFmtId="171" formatCode="#,##0.0 &quot;kg&quot;"/>
    <numFmt numFmtId="172" formatCode="0.000 &quot;m³&quot;"/>
  </numFmts>
  <fonts count="45">
    <font>
      <name val="Calibri"/>
      <family val="2"/>
      <color theme="1"/>
      <sz val="11"/>
      <scheme val="minor"/>
    </font>
    <font>
      <name val="Calibri"/>
      <b val="1"/>
      <color rgb="00FFFFFF"/>
      <sz val="9"/>
    </font>
    <font>
      <name val="Calibri"/>
      <color rgb="000B1B2E"/>
      <sz val="10"/>
    </font>
    <font>
      <name val="Calibri"/>
      <color rgb="0051647A"/>
      <sz val="9"/>
    </font>
    <font>
      <name val="Calibri"/>
      <i val="1"/>
      <color rgb="0051647A"/>
      <sz val="8"/>
    </font>
    <font>
      <name val="Calibri"/>
      <i val="1"/>
      <color rgb="0051647A"/>
      <sz val="9"/>
    </font>
    <font>
      <name val="Calibri"/>
      <b val="1"/>
      <color rgb="00FFFFFF"/>
      <sz val="18"/>
    </font>
    <font>
      <name val="Calibri"/>
      <color rgb="009FD8F5"/>
      <sz val="10"/>
    </font>
    <font>
      <name val="Calibri"/>
      <b val="1"/>
      <color rgb="00FFFFFF"/>
      <sz val="10"/>
    </font>
    <font>
      <name val="Calibri"/>
      <b val="1"/>
      <color rgb="0051647A"/>
      <sz val="9"/>
    </font>
    <font>
      <name val="Calibri"/>
      <color rgb="000A4FA0"/>
      <sz val="10.5"/>
    </font>
    <font>
      <name val="Calibri"/>
      <color rgb="0051647A"/>
      <sz val="10.5"/>
    </font>
    <font>
      <name val="Calibri"/>
      <i val="1"/>
      <color rgb="0051647A"/>
      <sz val="10"/>
    </font>
    <font>
      <name val="Calibri"/>
      <b val="1"/>
      <color rgb="000A4FA0"/>
      <sz val="11"/>
    </font>
    <font>
      <name val="Calibri"/>
      <b val="1"/>
      <color rgb="0051647A"/>
      <sz val="10"/>
    </font>
    <font>
      <name val="Calibri"/>
      <color rgb="007A8CA3"/>
      <sz val="9"/>
    </font>
    <font>
      <name val="Calibri"/>
      <b val="1"/>
      <color rgb="000A4FA0"/>
      <sz val="10"/>
    </font>
    <font>
      <name val="Calibri"/>
      <b val="1"/>
      <color rgb="0008203F"/>
      <sz val="10.5"/>
    </font>
    <font>
      <name val="Calibri"/>
      <b val="1"/>
      <color rgb="000B1B2E"/>
      <sz val="10.5"/>
    </font>
    <font>
      <name val="Calibri"/>
      <color rgb="0051647A"/>
      <sz val="9.5"/>
    </font>
    <font>
      <name val="Calibri"/>
      <b val="1"/>
      <color rgb="00FFFFFF"/>
      <sz val="17"/>
    </font>
    <font>
      <name val="Calibri"/>
      <color rgb="009FD8F5"/>
      <sz val="11"/>
    </font>
    <font>
      <name val="Calibri"/>
      <b val="1"/>
      <color rgb="0051647A"/>
      <sz val="7.5"/>
    </font>
    <font>
      <name val="Calibri"/>
      <b val="1"/>
      <color rgb="0008203F"/>
      <sz val="8"/>
    </font>
    <font>
      <name val="Calibri"/>
      <b val="1"/>
      <color rgb="00E2231A"/>
      <sz val="9.5"/>
    </font>
    <font>
      <name val="Calibri"/>
      <b val="1"/>
      <color rgb="000B1B2E"/>
      <sz val="10"/>
    </font>
    <font>
      <name val="Calibri"/>
      <color rgb="0051647A"/>
      <sz val="10"/>
    </font>
    <font>
      <name val="Calibri"/>
      <b val="1"/>
      <color rgb="0051647A"/>
      <sz val="8"/>
    </font>
    <font>
      <name val="Calibri"/>
      <b val="1"/>
      <color rgb="000A4FA0"/>
      <sz val="20"/>
    </font>
    <font>
      <name val="Calibri"/>
      <i val="1"/>
      <color rgb="0051647A"/>
      <sz val="8.5"/>
    </font>
    <font>
      <name val="Calibri"/>
      <color rgb="0051647A"/>
      <sz val="8.5"/>
    </font>
    <font>
      <name val="Calibri"/>
      <b val="1"/>
      <color rgb="0008203F"/>
      <sz val="9"/>
    </font>
    <font>
      <name val="Calibri"/>
      <color rgb="0051647A"/>
      <sz val="8"/>
    </font>
    <font>
      <name val="Calibri"/>
      <b val="1"/>
      <color rgb="00E2231A"/>
      <sz val="9"/>
    </font>
    <font>
      <name val="Calibri"/>
      <b val="1"/>
      <color rgb="00FFFFFF"/>
      <sz val="8.5"/>
    </font>
    <font>
      <name val="Calibri"/>
      <color rgb="007A8CA3"/>
      <sz val="8"/>
    </font>
    <font>
      <name val="Calibri"/>
      <color rgb="000B1B2E"/>
      <sz val="9.5"/>
    </font>
    <font>
      <name val="Calibri"/>
      <color rgb="00B8C4D2"/>
      <sz val="8"/>
    </font>
    <font>
      <name val="Calibri"/>
      <color rgb="000A4FA0"/>
      <sz val="9.5"/>
    </font>
    <font>
      <name val="Calibri"/>
      <b val="1"/>
      <color rgb="0008203F"/>
      <sz val="10"/>
    </font>
    <font>
      <name val="Calibri"/>
      <b val="1"/>
      <color rgb="0000AEEF"/>
      <sz val="10"/>
    </font>
    <font>
      <name val="Calibri"/>
      <b val="1"/>
      <color rgb="000A4FA0"/>
      <sz val="26"/>
    </font>
    <font>
      <name val="Calibri"/>
      <b val="1"/>
      <color rgb="0008203F"/>
      <sz val="15"/>
    </font>
    <font>
      <name val="Calibri"/>
      <b val="1"/>
      <color rgb="000B1B2E"/>
      <sz val="11"/>
    </font>
    <font>
      <name val="Calibri"/>
      <color rgb="000B1B2E"/>
      <sz val="11.5"/>
    </font>
  </fonts>
  <fills count="9">
    <fill>
      <patternFill/>
    </fill>
    <fill>
      <patternFill patternType="gray125"/>
    </fill>
    <fill>
      <patternFill patternType="solid">
        <fgColor rgb="0008203F"/>
        <bgColor rgb="0008203F"/>
      </patternFill>
    </fill>
    <fill>
      <patternFill patternType="solid">
        <fgColor rgb="0000AEEF"/>
        <bgColor rgb="0000AEEF"/>
      </patternFill>
    </fill>
    <fill>
      <patternFill patternType="solid">
        <fgColor rgb="00EAF6FD"/>
        <bgColor rgb="00EAF6FD"/>
      </patternFill>
    </fill>
    <fill>
      <patternFill patternType="solid">
        <fgColor rgb="000A4FA0"/>
        <bgColor rgb="000A4FA0"/>
      </patternFill>
    </fill>
    <fill>
      <patternFill patternType="solid">
        <fgColor rgb="007A8CA3"/>
        <bgColor rgb="007A8CA3"/>
      </patternFill>
    </fill>
    <fill>
      <patternFill patternType="solid">
        <fgColor rgb="00DCE8F5"/>
        <bgColor rgb="00DCE8F5"/>
      </patternFill>
    </fill>
    <fill>
      <patternFill patternType="solid">
        <fgColor rgb="00FAFCFE"/>
        <bgColor rgb="00FAFCFE"/>
      </patternFill>
    </fill>
  </fills>
  <borders count="12">
    <border>
      <left/>
      <right/>
      <top/>
      <bottom/>
      <diagonal/>
    </border>
    <border>
      <bottom style="thin">
        <color rgb="0000AEEF"/>
      </bottom>
    </border>
    <border>
      <bottom style="thin">
        <color rgb="00D5DEE8"/>
      </bottom>
    </border>
    <border>
      <left/>
      <right/>
      <top/>
      <bottom style="thin">
        <color rgb="0000AEEF"/>
      </bottom>
      <diagonal/>
    </border>
    <border>
      <left style="thin">
        <color rgb="00D5DEE8"/>
      </left>
      <top style="thin">
        <color rgb="00D5DEE8"/>
      </top>
    </border>
    <border>
      <top style="thin">
        <color rgb="00D5DEE8"/>
      </top>
    </border>
    <border>
      <right style="thin">
        <color rgb="00D5DEE8"/>
      </right>
      <top style="thin">
        <color rgb="00D5DEE8"/>
      </top>
    </border>
    <border>
      <left style="thin">
        <color rgb="00D5DEE8"/>
      </left>
    </border>
    <border/>
    <border>
      <right style="thin">
        <color rgb="00D5DEE8"/>
      </right>
    </border>
    <border>
      <left style="thin">
        <color rgb="00D5DEE8"/>
      </left>
      <bottom style="thin">
        <color rgb="00D5DEE8"/>
      </bottom>
    </border>
    <border>
      <right style="thin">
        <color rgb="00D5DEE8"/>
      </right>
      <bottom style="thin">
        <color rgb="00D5DEE8"/>
      </bottom>
    </border>
  </borders>
  <cellStyleXfs count="1">
    <xf numFmtId="0" fontId="0" fillId="0" borderId="0"/>
  </cellStyleXfs>
  <cellXfs count="108">
    <xf numFmtId="0" fontId="0" fillId="0" borderId="0" pivotButton="0" quotePrefix="0" xfId="0"/>
    <xf numFmtId="0" fontId="0" fillId="2" borderId="0" pivotButton="0" quotePrefix="0" xfId="0"/>
    <xf numFmtId="0" fontId="6" fillId="2" borderId="0" applyAlignment="1" pivotButton="0" quotePrefix="0" xfId="0">
      <alignment vertical="center"/>
    </xf>
    <xf numFmtId="0" fontId="7" fillId="2" borderId="0" applyAlignment="1" pivotButton="0" quotePrefix="0" xfId="0">
      <alignment vertical="center"/>
    </xf>
    <xf numFmtId="0" fontId="0" fillId="3" borderId="0" pivotButton="0" quotePrefix="0" xfId="0"/>
    <xf numFmtId="0" fontId="8" fillId="2" borderId="0" applyAlignment="1" pivotButton="0" quotePrefix="0" xfId="0">
      <alignment vertical="center" indent="1"/>
    </xf>
    <xf numFmtId="0" fontId="9" fillId="0" borderId="0" applyAlignment="1" pivotButton="0" quotePrefix="0" xfId="0">
      <alignment vertical="center" indent="1"/>
    </xf>
    <xf numFmtId="0" fontId="10" fillId="4" borderId="1" applyAlignment="1" pivotButton="0" quotePrefix="0" xfId="0">
      <alignment horizontal="left" vertical="center" wrapText="1" indent="1"/>
    </xf>
    <xf numFmtId="164" fontId="10" fillId="4" borderId="1" applyAlignment="1" pivotButton="0" quotePrefix="0" xfId="0">
      <alignment horizontal="left" vertical="center" wrapText="1" indent="1"/>
    </xf>
    <xf numFmtId="0" fontId="11" fillId="0" borderId="2" applyAlignment="1" pivotButton="0" quotePrefix="0" xfId="0">
      <alignment vertical="center" indent="1"/>
    </xf>
    <xf numFmtId="1" fontId="10" fillId="4" borderId="1" applyAlignment="1" pivotButton="0" quotePrefix="0" xfId="0">
      <alignment horizontal="left" vertical="center" wrapText="1" indent="1"/>
    </xf>
    <xf numFmtId="0" fontId="5" fillId="0" borderId="0" applyAlignment="1" pivotButton="0" quotePrefix="0" xfId="0">
      <alignment vertical="top" wrapText="1"/>
    </xf>
    <xf numFmtId="0" fontId="12" fillId="0" borderId="0" applyAlignment="1" pivotButton="0" quotePrefix="0" xfId="0">
      <alignment vertical="center" indent="1"/>
    </xf>
    <xf numFmtId="0" fontId="13" fillId="0" borderId="0" pivotButton="0" quotePrefix="0" xfId="0"/>
    <xf numFmtId="0" fontId="1" fillId="5" borderId="0" applyAlignment="1" pivotButton="0" quotePrefix="0" xfId="0">
      <alignment horizontal="center" vertical="center" wrapText="1"/>
    </xf>
    <xf numFmtId="0" fontId="1" fillId="6" borderId="0" applyAlignment="1" pivotButton="0" quotePrefix="0" xfId="0">
      <alignment horizontal="center" vertical="center" wrapText="1"/>
    </xf>
    <xf numFmtId="0" fontId="14" fillId="0" borderId="0" applyAlignment="1" pivotButton="0" quotePrefix="0" xfId="0">
      <alignment horizontal="center" vertical="center"/>
    </xf>
    <xf numFmtId="1" fontId="10" fillId="4" borderId="1" applyAlignment="1" pivotButton="0" quotePrefix="0" xfId="0">
      <alignment horizontal="center" vertical="center" wrapText="1"/>
    </xf>
    <xf numFmtId="4" fontId="10" fillId="4" borderId="1" applyAlignment="1" pivotButton="0" quotePrefix="0" xfId="0">
      <alignment horizontal="center" vertical="center" wrapText="1"/>
    </xf>
    <xf numFmtId="0" fontId="10" fillId="4" borderId="1" applyAlignment="1" pivotButton="0" quotePrefix="0" xfId="0">
      <alignment horizontal="center" vertical="center" wrapText="1"/>
    </xf>
    <xf numFmtId="165" fontId="15" fillId="0" borderId="0" applyAlignment="1" pivotButton="0" quotePrefix="0" xfId="0">
      <alignment horizontal="center" vertical="center"/>
    </xf>
    <xf numFmtId="166" fontId="15" fillId="0" borderId="0" applyAlignment="1" pivotButton="0" quotePrefix="0" xfId="0">
      <alignment horizontal="center" vertical="center"/>
    </xf>
    <xf numFmtId="0" fontId="15" fillId="0" borderId="0" applyAlignment="1" pivotButton="0" quotePrefix="0" xfId="0">
      <alignment horizontal="center" vertical="center"/>
    </xf>
    <xf numFmtId="0" fontId="16" fillId="0" borderId="0" pivotButton="0" quotePrefix="0" xfId="0"/>
    <xf numFmtId="0" fontId="5" fillId="0" borderId="0" pivotButton="0" quotePrefix="0" xfId="0"/>
    <xf numFmtId="0" fontId="17" fillId="0" borderId="0" applyAlignment="1" pivotButton="0" quotePrefix="0" xfId="0">
      <alignment vertical="center" indent="1"/>
    </xf>
    <xf numFmtId="4" fontId="18" fillId="0" borderId="0" applyAlignment="1" pivotButton="0" quotePrefix="0" xfId="0">
      <alignment horizontal="center" vertical="center"/>
    </xf>
    <xf numFmtId="0" fontId="10" fillId="4" borderId="1" applyAlignment="1" pivotButton="0" quotePrefix="0" xfId="0">
      <alignment vertical="center" wrapText="1" indent="1"/>
    </xf>
    <xf numFmtId="0" fontId="0" fillId="0" borderId="3" pivotButton="0" quotePrefix="0" xfId="0"/>
    <xf numFmtId="167" fontId="18" fillId="0" borderId="0" applyAlignment="1" pivotButton="0" quotePrefix="0" xfId="0">
      <alignment horizontal="center" vertical="center"/>
    </xf>
    <xf numFmtId="0" fontId="19" fillId="0" borderId="0" pivotButton="0" quotePrefix="0" xfId="0"/>
    <xf numFmtId="0" fontId="20" fillId="2" borderId="0" applyAlignment="1" pivotButton="0" quotePrefix="0" xfId="0">
      <alignment horizontal="right" vertical="center"/>
    </xf>
    <xf numFmtId="0" fontId="21" fillId="2" borderId="0" applyAlignment="1" pivotButton="0" quotePrefix="0" xfId="0">
      <alignment horizontal="right" vertical="center"/>
    </xf>
    <xf numFmtId="0" fontId="22" fillId="0" borderId="0" applyAlignment="1" pivotButton="0" quotePrefix="0" xfId="0">
      <alignment vertical="bottom" indent="1"/>
    </xf>
    <xf numFmtId="0" fontId="18" fillId="0" borderId="2" applyAlignment="1" pivotButton="0" quotePrefix="0" xfId="0">
      <alignment vertical="top" wrapText="1" indent="1"/>
    </xf>
    <xf numFmtId="0" fontId="0" fillId="0" borderId="2" pivotButton="0" quotePrefix="0" xfId="0"/>
    <xf numFmtId="0" fontId="8" fillId="5" borderId="0" applyAlignment="1" pivotButton="0" quotePrefix="0" xfId="0">
      <alignment vertical="center" indent="1"/>
    </xf>
    <xf numFmtId="0" fontId="0" fillId="5" borderId="0" pivotButton="0" quotePrefix="0" xfId="0"/>
    <xf numFmtId="0" fontId="23" fillId="7" borderId="0" applyAlignment="1" pivotButton="0" quotePrefix="0" xfId="0">
      <alignment horizontal="center" vertical="center" wrapText="1"/>
    </xf>
    <xf numFmtId="0" fontId="23" fillId="7" borderId="0" applyAlignment="1" pivotButton="0" quotePrefix="0" xfId="0">
      <alignment horizontal="left" vertical="center" wrapText="1" indent="1"/>
    </xf>
    <xf numFmtId="0" fontId="2" fillId="0" borderId="0" applyAlignment="1" pivotButton="0" quotePrefix="0" xfId="0">
      <alignment vertical="center" wrapText="1" indent="1"/>
    </xf>
    <xf numFmtId="0" fontId="2" fillId="0" borderId="0" applyAlignment="1" pivotButton="0" quotePrefix="0" xfId="0">
      <alignment horizontal="center" vertical="center"/>
    </xf>
    <xf numFmtId="4" fontId="2" fillId="0" borderId="0" applyAlignment="1" pivotButton="0" quotePrefix="0" xfId="0">
      <alignment horizontal="center" vertical="center"/>
    </xf>
    <xf numFmtId="0" fontId="3" fillId="0" borderId="0" applyAlignment="1" pivotButton="0" quotePrefix="0" xfId="0">
      <alignment vertical="center" wrapText="1" indent="1"/>
    </xf>
    <xf numFmtId="0" fontId="24" fillId="0" borderId="0" applyAlignment="1" pivotButton="0" quotePrefix="0" xfId="0">
      <alignment vertical="center" indent="1"/>
    </xf>
    <xf numFmtId="0" fontId="23" fillId="7" borderId="0" applyAlignment="1" pivotButton="0" quotePrefix="0" xfId="0">
      <alignment horizontal="center" vertical="center"/>
    </xf>
    <xf numFmtId="0" fontId="23" fillId="7" borderId="0" applyAlignment="1" pivotButton="0" quotePrefix="0" xfId="0">
      <alignment horizontal="left" vertical="center" indent="1"/>
    </xf>
    <xf numFmtId="0" fontId="25" fillId="0" borderId="0" applyAlignment="1" pivotButton="0" quotePrefix="0" xfId="0">
      <alignment vertical="center" indent="1"/>
    </xf>
    <xf numFmtId="4" fontId="25" fillId="0" borderId="0" applyAlignment="1" pivotButton="0" quotePrefix="0" xfId="0">
      <alignment horizontal="center" vertical="center"/>
    </xf>
    <xf numFmtId="0" fontId="26" fillId="0" borderId="0" applyAlignment="1" pivotButton="0" quotePrefix="0" xfId="0">
      <alignment vertical="center" wrapText="1" indent="1"/>
    </xf>
    <xf numFmtId="0" fontId="29" fillId="0" borderId="0" applyAlignment="1" pivotButton="0" quotePrefix="0" xfId="0">
      <alignment vertical="center" wrapText="1" indent="1"/>
    </xf>
    <xf numFmtId="0" fontId="27" fillId="0" borderId="0" applyAlignment="1" pivotButton="0" quotePrefix="0" xfId="0">
      <alignment horizontal="right" vertical="bottom"/>
    </xf>
    <xf numFmtId="167" fontId="28" fillId="0" borderId="0" applyAlignment="1" pivotButton="0" quotePrefix="0" xfId="0">
      <alignment horizontal="right" vertical="center"/>
    </xf>
    <xf numFmtId="0" fontId="30" fillId="8" borderId="0" applyAlignment="1" pivotButton="0" quotePrefix="0" xfId="0">
      <alignment vertical="top" wrapText="1" indent="1"/>
    </xf>
    <xf numFmtId="0" fontId="30" fillId="0" borderId="0" applyAlignment="1" pivotButton="0" quotePrefix="0" xfId="0">
      <alignment vertical="top" wrapText="1" indent="1"/>
    </xf>
    <xf numFmtId="0" fontId="31" fillId="0" borderId="0" applyAlignment="1" pivotButton="0" quotePrefix="0" xfId="0">
      <alignment indent="1"/>
    </xf>
    <xf numFmtId="0" fontId="32" fillId="0" borderId="4" applyAlignment="1" pivotButton="0" quotePrefix="0" xfId="0">
      <alignment vertical="top" indent="1"/>
    </xf>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32" fillId="0" borderId="0" applyAlignment="1" pivotButton="0" quotePrefix="0" xfId="0">
      <alignment horizontal="center"/>
    </xf>
    <xf numFmtId="0" fontId="33" fillId="0" borderId="0" applyAlignment="1" pivotButton="0" quotePrefix="0" xfId="0">
      <alignment vertical="center" indent="1"/>
    </xf>
    <xf numFmtId="0" fontId="34" fillId="2" borderId="0" applyAlignment="1" pivotButton="0" quotePrefix="0" xfId="0">
      <alignment horizontal="center" vertical="center"/>
    </xf>
    <xf numFmtId="0" fontId="34" fillId="5" borderId="0" applyAlignment="1" pivotButton="0" quotePrefix="0" xfId="0">
      <alignment horizontal="center" vertical="center"/>
    </xf>
    <xf numFmtId="0" fontId="35" fillId="0" borderId="0" pivotButton="0" quotePrefix="0" xfId="0"/>
    <xf numFmtId="0" fontId="38" fillId="0" borderId="0" applyAlignment="1" pivotButton="0" quotePrefix="0" xfId="0">
      <alignment horizontal="center" vertical="center" wrapText="1"/>
    </xf>
    <xf numFmtId="0" fontId="38" fillId="0" borderId="0" applyAlignment="1" pivotButton="0" quotePrefix="0" xfId="0">
      <alignment horizontal="left" vertical="center" wrapText="1" indent="1"/>
    </xf>
    <xf numFmtId="0" fontId="36" fillId="0" borderId="0" applyAlignment="1" pivotButton="0" quotePrefix="0" xfId="0">
      <alignment vertical="center" wrapText="1" indent="1"/>
    </xf>
    <xf numFmtId="168" fontId="38" fillId="0" borderId="0" applyAlignment="1" pivotButton="0" quotePrefix="0" xfId="0">
      <alignment horizontal="center" vertical="center" wrapText="1"/>
    </xf>
    <xf numFmtId="169" fontId="38" fillId="0" borderId="0" applyAlignment="1" pivotButton="0" quotePrefix="0" xfId="0">
      <alignment horizontal="center" vertical="center" wrapText="1"/>
    </xf>
    <xf numFmtId="0" fontId="37" fillId="0" borderId="0" pivotButton="0" quotePrefix="0" xfId="0"/>
    <xf numFmtId="0" fontId="0" fillId="7" borderId="0" pivotButton="0" quotePrefix="0" xfId="0"/>
    <xf numFmtId="0" fontId="39" fillId="0" borderId="2" applyAlignment="1" pivotButton="0" quotePrefix="0" xfId="0">
      <alignment horizontal="center" vertical="center"/>
    </xf>
    <xf numFmtId="0" fontId="10" fillId="4" borderId="2" applyAlignment="1" pivotButton="0" quotePrefix="0" xfId="0">
      <alignment horizontal="center" vertical="center" wrapText="1"/>
    </xf>
    <xf numFmtId="0" fontId="36" fillId="0" borderId="2" applyAlignment="1" pivotButton="0" quotePrefix="0" xfId="0">
      <alignment vertical="center" wrapText="1" indent="1"/>
    </xf>
    <xf numFmtId="1" fontId="10" fillId="4" borderId="2" applyAlignment="1" pivotButton="0" quotePrefix="0" xfId="0">
      <alignment horizontal="center" vertical="center" wrapText="1"/>
    </xf>
    <xf numFmtId="170" fontId="10" fillId="4" borderId="2" applyAlignment="1" pivotButton="0" quotePrefix="0" xfId="0">
      <alignment horizontal="center" vertical="center" wrapText="1"/>
    </xf>
    <xf numFmtId="168" fontId="2" fillId="0" borderId="2" applyAlignment="1" pivotButton="0" quotePrefix="0" xfId="0">
      <alignment horizontal="center" vertical="center"/>
    </xf>
    <xf numFmtId="0" fontId="10" fillId="4" borderId="2" applyAlignment="1" pivotButton="0" quotePrefix="0" xfId="0">
      <alignment horizontal="left" vertical="center" wrapText="1" indent="1"/>
    </xf>
    <xf numFmtId="0" fontId="19" fillId="0" borderId="2" applyAlignment="1" pivotButton="0" quotePrefix="0" xfId="0">
      <alignment horizontal="center" vertical="center"/>
    </xf>
    <xf numFmtId="0" fontId="8" fillId="2" borderId="0" applyAlignment="1" pivotButton="0" quotePrefix="0" xfId="0">
      <alignment horizontal="left" vertical="center" indent="1"/>
    </xf>
    <xf numFmtId="0" fontId="8" fillId="2" borderId="0" applyAlignment="1" pivotButton="0" quotePrefix="0" xfId="0">
      <alignment horizontal="left" vertical="center"/>
    </xf>
    <xf numFmtId="171" fontId="8" fillId="2" borderId="0" applyAlignment="1" pivotButton="0" quotePrefix="0" xfId="0">
      <alignment horizontal="center" vertical="center"/>
    </xf>
    <xf numFmtId="172" fontId="8" fillId="2" borderId="0" applyAlignment="1" pivotButton="0" quotePrefix="0" xfId="0">
      <alignment horizontal="center" vertical="center"/>
    </xf>
    <xf numFmtId="0" fontId="8" fillId="2" borderId="0" applyAlignment="1" pivotButton="0" quotePrefix="0" xfId="0">
      <alignment horizontal="center" vertical="center"/>
    </xf>
    <xf numFmtId="0" fontId="27" fillId="0" borderId="4" applyAlignment="1" pivotButton="0" quotePrefix="0" xfId="0">
      <alignment vertical="top" indent="1"/>
    </xf>
    <xf numFmtId="0" fontId="25" fillId="0" borderId="0" applyAlignment="1" pivotButton="0" quotePrefix="0" xfId="0">
      <alignment horizontal="right" vertical="center"/>
    </xf>
    <xf numFmtId="0" fontId="3" fillId="0" borderId="0" applyAlignment="1" pivotButton="0" quotePrefix="0" xfId="0">
      <alignment horizontal="right" vertical="center"/>
    </xf>
    <xf numFmtId="0" fontId="40" fillId="0" borderId="0" applyAlignment="1" pivotButton="0" quotePrefix="0" xfId="0">
      <alignment vertical="bottom"/>
    </xf>
    <xf numFmtId="0" fontId="41" fillId="0" borderId="0" applyAlignment="1" pivotButton="0" quotePrefix="0" xfId="0">
      <alignment vertical="center" wrapText="1"/>
    </xf>
    <xf numFmtId="0" fontId="1" fillId="5" borderId="0" applyAlignment="1" pivotButton="0" quotePrefix="0" xfId="0">
      <alignment vertical="center" indent="1"/>
    </xf>
    <xf numFmtId="0" fontId="42" fillId="7" borderId="0" applyAlignment="1" pivotButton="0" quotePrefix="0" xfId="0">
      <alignment vertical="center" wrapText="1" indent="1"/>
    </xf>
    <xf numFmtId="0" fontId="1" fillId="2" borderId="0" applyAlignment="1" pivotButton="0" quotePrefix="0" xfId="0">
      <alignment vertical="center" indent="1"/>
    </xf>
    <xf numFmtId="0" fontId="27" fillId="0" borderId="0" applyAlignment="1" pivotButton="0" quotePrefix="0" xfId="0">
      <alignment vertical="bottom" wrapText="1" indent="1"/>
    </xf>
    <xf numFmtId="0" fontId="43" fillId="0" borderId="2" applyAlignment="1" pivotButton="0" quotePrefix="0" xfId="0">
      <alignment vertical="top" wrapText="1" indent="1"/>
    </xf>
    <xf numFmtId="0" fontId="44" fillId="0" borderId="2" applyAlignment="1" pivotButton="0" quotePrefix="0" xfId="0">
      <alignment vertical="center" indent="1"/>
    </xf>
    <xf numFmtId="0" fontId="16" fillId="4" borderId="0" applyAlignment="1" pivotButton="0" quotePrefix="0" xfId="0">
      <alignment vertical="center" indent="1"/>
    </xf>
    <xf numFmtId="0" fontId="0" fillId="4" borderId="0" pivotButton="0" quotePrefix="0" xfId="0"/>
    <xf numFmtId="0" fontId="32" fillId="0" borderId="0" applyAlignment="1" pivotButton="0" quotePrefix="0" xfId="0">
      <alignment horizontal="center" wrapText="1"/>
    </xf>
    <xf numFmtId="0" fontId="1" fillId="2" borderId="0" pivotButton="0" quotePrefix="0" xfId="0"/>
    <xf numFmtId="0" fontId="3" fillId="0" borderId="0" pivotButton="0" quotePrefix="0" xfId="0"/>
    <xf numFmtId="0" fontId="2" fillId="0" borderId="0" pivotButton="0" quotePrefix="0" xfId="0"/>
    <xf numFmtId="0" fontId="4" fillId="0" borderId="0" pivotButton="0" quotePrefix="0" xfId="0"/>
    <xf numFmtId="0" fontId="0" fillId="0" borderId="0" applyAlignment="1" pivotButton="0" quotePrefix="0" xfId="0">
      <alignment vertical="top" wrapText="1"/>
    </xf>
  </cellXfs>
  <cellStyles count="1">
    <cellStyle name="Normal" xfId="0" builtinId="0" hidden="0"/>
  </cellStyles>
  <dxfs count="5">
    <dxf>
      <border>
        <bottom style="thin">
          <color rgb="00D5DEE8"/>
        </bottom>
      </border>
    </dxf>
    <dxf>
      <fill>
        <patternFill patternType="solid">
          <fgColor rgb="00F6F9FC"/>
          <bgColor rgb="00F6F9FC"/>
        </patternFill>
      </fill>
    </dxf>
    <dxf>
      <font>
        <name val="Calibri"/>
        <i val="1"/>
        <color rgb="0000AEEF"/>
      </font>
    </dxf>
    <dxf>
      <fill>
        <patternFill patternType="solid">
          <fgColor rgb="00EAF6FD"/>
          <bgColor rgb="00EAF6FD"/>
        </patternFill>
      </fill>
      <border>
        <bottom style="thin">
          <color rgb="00B7DDF2"/>
        </bottom>
      </border>
    </dxf>
    <dxf>
      <fill>
        <patternFill patternType="solid">
          <fgColor rgb="00DDF3E4"/>
          <bgColor rgb="00DDF3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1</col>
      <colOff>0</colOff>
      <row>0</row>
      <rowOff>0</rowOff>
    </from>
    <ext cx="14287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1333500" cy="304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1</col>
      <colOff>0</colOff>
      <row>0</row>
      <rowOff>0</rowOff>
    </from>
    <ext cx="2000250" cy="704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tabColor rgb="0000AEEF"/>
    <outlinePr summaryBelow="1" summaryRight="1"/>
    <pageSetUpPr fitToPage="1"/>
  </sheetPr>
  <dimension ref="A1:G35"/>
  <sheetViews>
    <sheetView showGridLines="0" workbookViewId="0">
      <pane ySplit="4" topLeftCell="A5" activePane="bottomLeft" state="frozen"/>
      <selection pane="bottomLeft" activeCell="A1" sqref="A1"/>
    </sheetView>
  </sheetViews>
  <sheetFormatPr baseColWidth="8" defaultRowHeight="15"/>
  <cols>
    <col width="2" customWidth="1" min="1" max="1"/>
    <col width="28" customWidth="1" min="2" max="2"/>
    <col width="38" customWidth="1" min="3" max="3"/>
    <col width="3" customWidth="1" min="4" max="4"/>
    <col width="30" customWidth="1" min="5" max="5"/>
    <col width="46" customWidth="1" min="6" max="6"/>
    <col width="2" customWidth="1" min="7" max="7"/>
  </cols>
  <sheetData>
    <row r="1" ht="30" customHeight="1">
      <c r="A1" s="1" t="n"/>
      <c r="B1" s="2" t="inlineStr">
        <is>
          <t>DEVIS &amp; TOOL LIST 2027</t>
        </is>
      </c>
      <c r="C1" s="1" t="n"/>
      <c r="D1" s="1" t="n"/>
      <c r="E1" s="1" t="n"/>
      <c r="F1" s="1" t="n"/>
      <c r="G1" s="1" t="n"/>
    </row>
    <row r="2" ht="20" customHeight="1">
      <c r="A2" s="1" t="n"/>
      <c r="B2" s="3" t="inlineStr">
        <is>
          <t>Remplir les onglets 1, 2 et 3 : le devis (4) et la tool list (5) se complètent tout seuls. Cases bleues = à saisir.</t>
        </is>
      </c>
      <c r="C2" s="1" t="n"/>
      <c r="D2" s="1" t="n"/>
      <c r="E2" s="1" t="n"/>
      <c r="F2" s="1" t="n"/>
      <c r="G2" s="1" t="n"/>
    </row>
    <row r="3" ht="6" customHeight="1">
      <c r="A3" s="4" t="n"/>
      <c r="B3" s="4" t="n"/>
      <c r="C3" s="4" t="n"/>
      <c r="D3" s="4" t="n"/>
      <c r="E3" s="4" t="n"/>
      <c r="F3" s="4" t="n"/>
      <c r="G3" s="4" t="n"/>
    </row>
    <row r="5" ht="20" customHeight="1">
      <c r="B5" s="5" t="inlineStr">
        <is>
          <t>L'AFFAIRE</t>
        </is>
      </c>
      <c r="C5" s="1" t="n"/>
      <c r="E5" s="5" t="inlineStr">
        <is>
          <t>L'OFFRE</t>
        </is>
      </c>
      <c r="F5" s="1" t="n"/>
    </row>
    <row r="6" ht="22" customHeight="1">
      <c r="B6" s="6" t="inlineStr">
        <is>
          <t>N° d'offre</t>
        </is>
      </c>
      <c r="C6" s="7" t="n"/>
      <c r="E6" s="6" t="inlineStr">
        <is>
          <t>Établi par</t>
        </is>
      </c>
      <c r="F6" s="7" t="n"/>
    </row>
    <row r="7" ht="22" customHeight="1">
      <c r="B7" s="6" t="inlineStr">
        <is>
          <t>Date</t>
        </is>
      </c>
      <c r="C7" s="8" t="n"/>
      <c r="E7" s="6" t="inlineStr">
        <is>
          <t>E-mail</t>
        </is>
      </c>
      <c r="F7" s="9">
        <f>IFERROR(VLOOKUP(F6,Listes!$A$2:$B$12,2,FALSE),"")</f>
        <v/>
      </c>
    </row>
    <row r="8" ht="22" customHeight="1">
      <c r="B8" s="6" t="inlineStr">
        <is>
          <t>Client</t>
        </is>
      </c>
      <c r="C8" s="7" t="n"/>
      <c r="E8" s="6" t="inlineStr">
        <is>
          <t>Téléphone</t>
        </is>
      </c>
      <c r="F8" s="9" t="inlineStr">
        <is>
          <t>+33 (0)5 59 04 50 45</t>
        </is>
      </c>
    </row>
    <row r="9" ht="22" customHeight="1">
      <c r="B9" s="6" t="inlineStr">
        <is>
          <t>À l'attention de</t>
        </is>
      </c>
      <c r="C9" s="7" t="n"/>
      <c r="E9" s="6" t="inlineStr">
        <is>
          <t>Validité de l'offre</t>
        </is>
      </c>
      <c r="F9" s="7" t="inlineStr">
        <is>
          <t>15 jours / 15 days</t>
        </is>
      </c>
    </row>
    <row r="10" ht="22" customHeight="1">
      <c r="B10" s="6" t="inlineStr">
        <is>
          <t>Puits / Chantier</t>
        </is>
      </c>
      <c r="C10" s="7" t="n"/>
      <c r="E10" s="6" t="inlineStr">
        <is>
          <t>Incoterm</t>
        </is>
      </c>
      <c r="F10" s="7" t="inlineStr">
        <is>
          <t>EXW Lons</t>
        </is>
      </c>
    </row>
    <row r="11" ht="22" customHeight="1">
      <c r="B11" s="6" t="inlineStr">
        <is>
          <t>Rig</t>
        </is>
      </c>
      <c r="C11" s="7" t="n"/>
      <c r="E11" s="6" t="inlineStr">
        <is>
          <t>Délai de mise à dispo</t>
        </is>
      </c>
      <c r="F11" s="7" t="n"/>
    </row>
    <row r="12" ht="22" customHeight="1">
      <c r="B12" s="6" t="inlineStr">
        <is>
          <t>N° de dossier (job)</t>
        </is>
      </c>
      <c r="C12" s="7" t="n"/>
      <c r="E12" s="6" t="inlineStr">
        <is>
          <t>Conditions de règlement</t>
        </is>
      </c>
      <c r="F12" s="7" t="inlineStr">
        <is>
          <t>30 jours date de facture / 30 days invoice date</t>
        </is>
      </c>
    </row>
    <row r="13" ht="22" customHeight="1">
      <c r="B13" s="6" t="inlineStr">
        <is>
          <t>PO client</t>
        </is>
      </c>
      <c r="C13" s="7" t="n"/>
      <c r="E13" s="6" t="inlineStr">
        <is>
          <t>Facturation WE et jours fériés</t>
        </is>
      </c>
      <c r="F13" s="7" t="inlineStr">
        <is>
          <t>Non</t>
        </is>
      </c>
    </row>
    <row r="14" ht="22" customHeight="1">
      <c r="B14" s="6" t="inlineStr">
        <is>
          <t>Description générale</t>
        </is>
      </c>
      <c r="C14" s="7" t="n"/>
      <c r="E14" s="6" t="inlineStr">
        <is>
          <t>Langue du devis</t>
        </is>
      </c>
      <c r="F14" s="7" t="inlineStr">
        <is>
          <t>FR</t>
        </is>
      </c>
    </row>
    <row r="15" ht="22" customHeight="1"/>
    <row r="17" ht="20" customHeight="1">
      <c r="B17" s="5" t="inlineStr">
        <is>
          <t>TOOL LIST</t>
        </is>
      </c>
      <c r="C17" s="1" t="n"/>
      <c r="E17" s="5" t="inlineStr">
        <is>
          <t>TOOL LIST (suite)</t>
        </is>
      </c>
      <c r="F17" s="1" t="n"/>
    </row>
    <row r="18" ht="22" customHeight="1">
      <c r="B18" s="6" t="inlineStr">
        <is>
          <t>N° de tool list</t>
        </is>
      </c>
      <c r="C18" s="7" t="n"/>
      <c r="E18" s="6" t="inlineStr">
        <is>
          <t>Révisée le</t>
        </is>
      </c>
      <c r="F18" s="8" t="n"/>
    </row>
    <row r="19" ht="22" customHeight="1">
      <c r="B19" s="6" t="inlineStr">
        <is>
          <t>Faite le</t>
        </is>
      </c>
      <c r="C19" s="8" t="n"/>
      <c r="E19" s="6" t="inlineStr">
        <is>
          <t>Révisée par</t>
        </is>
      </c>
      <c r="F19" s="7" t="n"/>
    </row>
    <row r="20" ht="22" customHeight="1">
      <c r="B20" s="6" t="inlineStr">
        <is>
          <t>Faite par</t>
        </is>
      </c>
      <c r="C20" s="7" t="n"/>
      <c r="E20" s="6" t="inlineStr">
        <is>
          <t>Colisage</t>
        </is>
      </c>
      <c r="F20" s="7" t="inlineStr">
        <is>
          <t>A communiquer dès que possible</t>
        </is>
      </c>
    </row>
    <row r="21" ht="22" customHeight="1">
      <c r="B21" s="6" t="inlineStr">
        <is>
          <t>Date de départ</t>
        </is>
      </c>
      <c r="C21" s="8" t="n"/>
    </row>
    <row r="22" ht="22" customHeight="1">
      <c r="B22" s="6" t="inlineStr">
        <is>
          <t>Destination (A/at)</t>
        </is>
      </c>
      <c r="C22" s="7" t="n"/>
    </row>
    <row r="24" ht="20" customHeight="1">
      <c r="B24" s="5" t="inlineStr">
        <is>
          <t>ESTIMATION BUDGÉTAIRE SUR LE DEVIS (facultatif)</t>
        </is>
      </c>
      <c r="C24" s="1" t="n"/>
      <c r="D24" s="1" t="n"/>
      <c r="E24" s="1" t="n"/>
      <c r="F24" s="1" t="n"/>
    </row>
    <row r="25" ht="22" customHeight="1">
      <c r="B25" s="6" t="inlineStr">
        <is>
          <t>Jours de stand-by estimés</t>
        </is>
      </c>
      <c r="C25" s="10" t="n"/>
      <c r="E25" s="6" t="inlineStr">
        <is>
          <t>Afficher l'estimation sur le devis</t>
        </is>
      </c>
      <c r="F25" s="7" t="inlineStr">
        <is>
          <t>Non</t>
        </is>
      </c>
    </row>
    <row r="26" ht="22" customHeight="1">
      <c r="B26" s="6" t="inlineStr">
        <is>
          <t>Jours d'opérations estimés</t>
        </is>
      </c>
      <c r="C26" s="10" t="n"/>
      <c r="E26" s="11" t="inlineStr">
        <is>
          <t>Calcul indicatif : (S × jours stand-by + O × jours opérations + UC) × quantité, plus les options.</t>
        </is>
      </c>
    </row>
    <row r="27"/>
    <row r="28" ht="20" customHeight="1">
      <c r="B28" s="5" t="inlineStr">
        <is>
          <t>DOSSIER COMMERCIAL (page de garde et pièces jointes)</t>
        </is>
      </c>
      <c r="C28" s="1" t="n"/>
      <c r="D28" s="1" t="n"/>
      <c r="E28" s="1" t="n"/>
      <c r="F28" s="1" t="n"/>
    </row>
    <row r="29" ht="22" customHeight="1">
      <c r="B29" s="6" t="inlineStr">
        <is>
          <t>Type de prestation</t>
        </is>
      </c>
      <c r="C29" s="7" t="n"/>
      <c r="E29" s="6" t="inlineStr">
        <is>
          <t>Joindre : présentation de l’entreprise</t>
        </is>
      </c>
      <c r="F29" s="7" t="inlineStr">
        <is>
          <t>Oui</t>
        </is>
      </c>
    </row>
    <row r="30" ht="22" customHeight="1">
      <c r="B30" s="6" t="inlineStr">
        <is>
          <t>Périmètre du contrat</t>
        </is>
      </c>
      <c r="C30" s="7" t="n"/>
      <c r="E30" s="6" t="inlineStr">
        <is>
          <t>Joindre : nos engagements (politique QHSE et RSE)</t>
        </is>
      </c>
      <c r="F30" s="7" t="inlineStr">
        <is>
          <t>Oui</t>
        </is>
      </c>
    </row>
    <row r="31" ht="22" customHeight="1">
      <c r="B31" s="6" t="inlineStr">
        <is>
          <t>Type de proposition</t>
        </is>
      </c>
      <c r="C31" s="7" t="inlineStr">
        <is>
          <t>Technique et commerciale</t>
        </is>
      </c>
      <c r="E31" s="6" t="inlineStr">
        <is>
          <t>Joindre : certificat ISO 9001</t>
        </is>
      </c>
      <c r="F31" s="7" t="inlineStr">
        <is>
          <t>Oui</t>
        </is>
      </c>
    </row>
    <row r="32" ht="22" customHeight="1">
      <c r="B32" s="6" t="inlineStr">
        <is>
          <t>Titre du projet (sinon : puits / chantier)</t>
        </is>
      </c>
      <c r="C32" s="7" t="n"/>
      <c r="E32" s="6" t="inlineStr">
        <is>
          <t>Joindre : proposition technique</t>
        </is>
      </c>
      <c r="F32" s="7" t="inlineStr">
        <is>
          <t>Oui</t>
        </is>
      </c>
    </row>
    <row r="33">
      <c r="E33" s="6" t="inlineStr">
        <is>
          <t>Proposition commerciale (le devis)</t>
        </is>
      </c>
      <c r="F33" s="12" t="inlineStr">
        <is>
          <t>toujours jointe</t>
        </is>
      </c>
    </row>
    <row r="35">
      <c r="B35" s="13" t="inlineStr">
        <is>
          <t>➜ Étape suivante : onglet « 2 Matériel »</t>
        </is>
      </c>
    </row>
  </sheetData>
  <mergeCells count="7">
    <mergeCell ref="B24:F24"/>
    <mergeCell ref="B5:C5"/>
    <mergeCell ref="B28:F28"/>
    <mergeCell ref="E26:F27"/>
    <mergeCell ref="E5:F5"/>
    <mergeCell ref="B17:C17"/>
    <mergeCell ref="E17:F17"/>
  </mergeCells>
  <dataValidations count="15">
    <dataValidation sqref="F6" showDropDown="0" showInputMessage="0" showErrorMessage="0" allowBlank="1" errorTitle="Valeur" error="Choisir une valeur de la liste." type="list" errorStyle="warning">
      <formula1>=Listes!$A$2:$A$12</formula1>
    </dataValidation>
    <dataValidation sqref="F9" showDropDown="0" showInputMessage="0" showErrorMessage="0" allowBlank="1" errorTitle="Valeur" error="Choisir une valeur de la liste." type="list" errorStyle="warning">
      <formula1>=Listes!$E$2:$E$12</formula1>
    </dataValidation>
    <dataValidation sqref="F10" showDropDown="0" showInputMessage="0" showErrorMessage="0" allowBlank="1" errorTitle="Valeur" error="Choisir une valeur de la liste." type="list" errorStyle="warning">
      <formula1>=Listes!$D$2:$D$12</formula1>
    </dataValidation>
    <dataValidation sqref="F12" showDropDown="0" showInputMessage="0" showErrorMessage="0" allowBlank="1" errorTitle="Valeur" error="Choisir une valeur de la liste." type="list" errorStyle="warning">
      <formula1>=Listes!$F$2:$F$12</formula1>
    </dataValidation>
    <dataValidation sqref="F13" showDropDown="0" showInputMessage="0" showErrorMessage="1" allowBlank="1" errorTitle="Valeur" error="Choisir une valeur de la liste." type="list" errorStyle="stop">
      <formula1>=Listes!$G$2:$G$12</formula1>
    </dataValidation>
    <dataValidation sqref="F14" showDropDown="0" showInputMessage="0" showErrorMessage="1" allowBlank="1" errorTitle="Valeur" error="Choisir une valeur de la liste." type="list" errorStyle="stop">
      <formula1>=Listes!$O$2:$O$12</formula1>
    </dataValidation>
    <dataValidation sqref="C20" showDropDown="0" showInputMessage="0" showErrorMessage="0" allowBlank="1" errorTitle="Valeur" error="Choisir une valeur de la liste." type="list" errorStyle="warning">
      <formula1>=Listes!$A$2:$A$12</formula1>
    </dataValidation>
    <dataValidation sqref="F19" showDropDown="0" showInputMessage="0" showErrorMessage="0" allowBlank="1" errorTitle="Valeur" error="Choisir une valeur de la liste." type="list" errorStyle="warning">
      <formula1>=Listes!$A$2:$A$12</formula1>
    </dataValidation>
    <dataValidation sqref="F25" showDropDown="0" showInputMessage="0" showErrorMessage="1" allowBlank="1" errorTitle="Valeur" error="Choisir une valeur de la liste." type="list" errorStyle="stop">
      <formula1>=Listes!$G$2:$G$12</formula1>
    </dataValidation>
    <dataValidation sqref="C29" showDropDown="0" showInputMessage="0" showErrorMessage="0" allowBlank="1" errorTitle="Valeur" error="Choisir une valeur de la liste." type="list" errorStyle="warning">
      <formula1>=Listes!$R$2:$R$12</formula1>
    </dataValidation>
    <dataValidation sqref="C31" showDropDown="0" showInputMessage="0" showErrorMessage="1" allowBlank="1" errorTitle="Valeur" error="Choisir une valeur de la liste." type="list" errorStyle="stop">
      <formula1>=Listes!$S$2:$S$12</formula1>
    </dataValidation>
    <dataValidation sqref="F29" showDropDown="0" showInputMessage="0" showErrorMessage="1" allowBlank="1" errorTitle="Valeur" error="Choisir une valeur de la liste." type="list" errorStyle="stop">
      <formula1>=Listes!$G$2:$G$12</formula1>
    </dataValidation>
    <dataValidation sqref="F30" showDropDown="0" showInputMessage="0" showErrorMessage="1" allowBlank="1" errorTitle="Valeur" error="Choisir une valeur de la liste." type="list" errorStyle="stop">
      <formula1>=Listes!$G$2:$G$12</formula1>
    </dataValidation>
    <dataValidation sqref="F31" showDropDown="0" showInputMessage="0" showErrorMessage="1" allowBlank="1" errorTitle="Valeur" error="Choisir une valeur de la liste." type="list" errorStyle="stop">
      <formula1>=Listes!$G$2:$G$12</formula1>
    </dataValidation>
    <dataValidation sqref="F32"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tabColor rgb="0000AEEF"/>
    <outlinePr summaryBelow="1" summaryRight="1"/>
    <pageSetUpPr fitToPage="1"/>
  </sheetPr>
  <dimension ref="A1:O32"/>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30" customWidth="1" min="2" max="2"/>
    <col width="52" customWidth="1" min="3" max="3"/>
    <col width="7" customWidth="1" min="4" max="4"/>
    <col width="12" customWidth="1" min="5" max="5"/>
    <col width="12" customWidth="1" min="6" max="6"/>
    <col width="12" customWidth="1" min="7" max="7"/>
    <col width="14" customWidth="1" min="8" max="8"/>
    <col width="12" customWidth="1" min="9" max="9"/>
    <col width="12" customWidth="1" min="10" max="10"/>
    <col width="11" customWidth="1" min="11" max="11"/>
    <col width="12" customWidth="1" min="12" max="12"/>
    <col width="8" customWidth="1" min="13" max="13"/>
    <col width="8" customWidth="1" min="14" max="14"/>
    <col width="12" customWidth="1" min="15" max="15"/>
  </cols>
  <sheetData>
    <row r="1" ht="30" customHeight="1">
      <c r="A1" s="1" t="n"/>
      <c r="B1" s="2" t="inlineStr">
        <is>
          <t>MATÉRIEL DU DEVIS</t>
        </is>
      </c>
      <c r="C1" s="1" t="n"/>
      <c r="D1" s="1" t="n"/>
      <c r="E1" s="1" t="n"/>
      <c r="F1" s="1" t="n"/>
      <c r="G1" s="1" t="n"/>
      <c r="H1" s="1" t="n"/>
      <c r="I1" s="1" t="n"/>
      <c r="J1" s="1" t="n"/>
      <c r="K1" s="1" t="n"/>
      <c r="L1" s="1" t="n"/>
      <c r="M1" s="1" t="n"/>
      <c r="N1" s="1" t="n"/>
      <c r="O1" s="1" t="n"/>
    </row>
    <row r="2" ht="20" customHeight="1">
      <c r="A2" s="1" t="n"/>
      <c r="B2" s="3" t="inlineStr">
        <is>
          <t>Une ligne par référence. Si la quantité est 2, la tool list contiendra automatiquement 2 lignes.</t>
        </is>
      </c>
      <c r="C2" s="1" t="n"/>
      <c r="D2" s="1" t="n"/>
      <c r="E2" s="1" t="n"/>
      <c r="F2" s="1" t="n"/>
      <c r="G2" s="1" t="n"/>
      <c r="H2" s="1" t="n"/>
      <c r="I2" s="1" t="n"/>
      <c r="J2" s="1" t="n"/>
      <c r="K2" s="1" t="n"/>
      <c r="L2" s="1" t="n"/>
      <c r="M2" s="1" t="n"/>
      <c r="N2" s="1" t="n"/>
      <c r="O2" s="1" t="n"/>
    </row>
    <row r="3" ht="6" customHeight="1">
      <c r="A3" s="4" t="n"/>
      <c r="B3" s="4" t="n"/>
      <c r="C3" s="4" t="n"/>
      <c r="D3" s="4" t="n"/>
      <c r="E3" s="4" t="n"/>
      <c r="F3" s="4" t="n"/>
      <c r="G3" s="4" t="n"/>
      <c r="H3" s="4" t="n"/>
      <c r="I3" s="4" t="n"/>
      <c r="J3" s="4" t="n"/>
      <c r="K3" s="4" t="n"/>
      <c r="L3" s="4" t="n"/>
      <c r="M3" s="4" t="n"/>
      <c r="N3" s="4" t="n"/>
      <c r="O3" s="4" t="n"/>
    </row>
    <row r="5" ht="34" customHeight="1">
      <c r="A5" s="14" t="inlineStr">
        <is>
          <t>#</t>
        </is>
      </c>
      <c r="B5" s="14" t="inlineStr">
        <is>
          <t>Note pour la tool list</t>
        </is>
      </c>
      <c r="C5" s="14" t="inlineStr">
        <is>
          <t>Description</t>
        </is>
      </c>
      <c r="D5" s="14" t="inlineStr">
        <is>
          <t>Qté</t>
        </is>
      </c>
      <c r="E5" s="14" t="inlineStr">
        <is>
          <t>Stand-by (S)
€ / jour</t>
        </is>
      </c>
      <c r="F5" s="14" t="inlineStr">
        <is>
          <t>Opérations (O)
€ / jour</t>
        </is>
      </c>
      <c r="G5" s="14" t="inlineStr">
        <is>
          <t>UC
€ / item</t>
        </is>
      </c>
      <c r="H5" s="14" t="inlineStr">
        <is>
          <t>LIH / DBR
€ / item</t>
        </is>
      </c>
      <c r="I5" s="14" t="inlineStr">
        <is>
          <t>Inspection
€ / item</t>
        </is>
      </c>
      <c r="J5" s="14" t="inlineStr">
        <is>
          <t>Restocking
€</t>
        </is>
      </c>
      <c r="K5" s="14" t="inlineStr">
        <is>
          <t>Inclus au
forfait ?</t>
        </is>
      </c>
      <c r="L5" s="15" t="inlineStr">
        <is>
          <t>Forfait
€ (calc.)</t>
        </is>
      </c>
      <c r="M5" s="15" t="inlineStr">
        <is>
          <t>Qté
retenue</t>
        </is>
      </c>
      <c r="N5" s="15" t="inlineStr">
        <is>
          <t>Cumul</t>
        </is>
      </c>
      <c r="O5" s="15" t="inlineStr">
        <is>
          <t>Estim.
€ (calc.)</t>
        </is>
      </c>
    </row>
    <row r="6" ht="21" customHeight="1">
      <c r="A6" s="16">
        <f>IF(M6&gt;0,COUNTIF(M$6:M6,"&gt;0"),"")</f>
        <v/>
      </c>
      <c r="B6" s="7" t="n"/>
      <c r="C6" s="7" t="n"/>
      <c r="D6" s="17" t="n"/>
      <c r="E6" s="18" t="n"/>
      <c r="F6" s="18" t="n"/>
      <c r="G6" s="18" t="n"/>
      <c r="H6" s="18" t="n"/>
      <c r="I6" s="18" t="n"/>
      <c r="J6" s="18" t="n"/>
      <c r="K6" s="19" t="n"/>
      <c r="L6" s="20">
        <f>IF(AND(M6&gt;0,K6="Oui"),M6*(N(E6)*N('3 Options'!$C$16)+N(F6)*N('3 Options'!$C$17)+N(G6)),0)</f>
        <v/>
      </c>
      <c r="M6" s="21">
        <f>IF($C6="",0,IF(N($D6)&gt;0,INT($D6),1))</f>
        <v/>
      </c>
      <c r="N6" s="22">
        <f>SUM(M$6:M6)</f>
        <v/>
      </c>
      <c r="O6" s="20">
        <f>IF(OR(M6=0,AND(K6="Oui",'3 Options'!$C$14="Oui")),0,M6*(N(E6)*N('1 Affaire'!$C$25)+N(F6)*N('1 Affaire'!$C$26)+N(G6)))</f>
        <v/>
      </c>
    </row>
    <row r="7" ht="21" customHeight="1">
      <c r="A7" s="16">
        <f>IF(M7&gt;0,COUNTIF(M$6:M7,"&gt;0"),"")</f>
        <v/>
      </c>
      <c r="B7" s="7" t="n"/>
      <c r="C7" s="7" t="n"/>
      <c r="D7" s="17" t="n"/>
      <c r="E7" s="18" t="n"/>
      <c r="F7" s="18" t="n"/>
      <c r="G7" s="18" t="n"/>
      <c r="H7" s="18" t="n"/>
      <c r="I7" s="18" t="n"/>
      <c r="J7" s="18" t="n"/>
      <c r="K7" s="19" t="n"/>
      <c r="L7" s="20">
        <f>IF(AND(M7&gt;0,K7="Oui"),M7*(N(E7)*N('3 Options'!$C$16)+N(F7)*N('3 Options'!$C$17)+N(G7)),0)</f>
        <v/>
      </c>
      <c r="M7" s="21">
        <f>IF($C7="",0,IF(N($D7)&gt;0,INT($D7),1))</f>
        <v/>
      </c>
      <c r="N7" s="22">
        <f>SUM(M$6:M7)</f>
        <v/>
      </c>
      <c r="O7" s="20">
        <f>IF(OR(M7=0,AND(K7="Oui",'3 Options'!$C$14="Oui")),0,M7*(N(E7)*N('1 Affaire'!$C$25)+N(F7)*N('1 Affaire'!$C$26)+N(G7)))</f>
        <v/>
      </c>
    </row>
    <row r="8" ht="21" customHeight="1">
      <c r="A8" s="16">
        <f>IF(M8&gt;0,COUNTIF(M$6:M8,"&gt;0"),"")</f>
        <v/>
      </c>
      <c r="B8" s="7" t="n"/>
      <c r="C8" s="7" t="n"/>
      <c r="D8" s="17" t="n"/>
      <c r="E8" s="18" t="n"/>
      <c r="F8" s="18" t="n"/>
      <c r="G8" s="18" t="n"/>
      <c r="H8" s="18" t="n"/>
      <c r="I8" s="18" t="n"/>
      <c r="J8" s="18" t="n"/>
      <c r="K8" s="19" t="n"/>
      <c r="L8" s="20">
        <f>IF(AND(M8&gt;0,K8="Oui"),M8*(N(E8)*N('3 Options'!$C$16)+N(F8)*N('3 Options'!$C$17)+N(G8)),0)</f>
        <v/>
      </c>
      <c r="M8" s="21">
        <f>IF($C8="",0,IF(N($D8)&gt;0,INT($D8),1))</f>
        <v/>
      </c>
      <c r="N8" s="22">
        <f>SUM(M$6:M8)</f>
        <v/>
      </c>
      <c r="O8" s="20">
        <f>IF(OR(M8=0,AND(K8="Oui",'3 Options'!$C$14="Oui")),0,M8*(N(E8)*N('1 Affaire'!$C$25)+N(F8)*N('1 Affaire'!$C$26)+N(G8)))</f>
        <v/>
      </c>
    </row>
    <row r="9" ht="21" customHeight="1">
      <c r="A9" s="16">
        <f>IF(M9&gt;0,COUNTIF(M$6:M9,"&gt;0"),"")</f>
        <v/>
      </c>
      <c r="B9" s="7" t="n"/>
      <c r="C9" s="7" t="n"/>
      <c r="D9" s="17" t="n"/>
      <c r="E9" s="18" t="n"/>
      <c r="F9" s="18" t="n"/>
      <c r="G9" s="18" t="n"/>
      <c r="H9" s="18" t="n"/>
      <c r="I9" s="18" t="n"/>
      <c r="J9" s="18" t="n"/>
      <c r="K9" s="19" t="n"/>
      <c r="L9" s="20">
        <f>IF(AND(M9&gt;0,K9="Oui"),M9*(N(E9)*N('3 Options'!$C$16)+N(F9)*N('3 Options'!$C$17)+N(G9)),0)</f>
        <v/>
      </c>
      <c r="M9" s="21">
        <f>IF($C9="",0,IF(N($D9)&gt;0,INT($D9),1))</f>
        <v/>
      </c>
      <c r="N9" s="22">
        <f>SUM(M$6:M9)</f>
        <v/>
      </c>
      <c r="O9" s="20">
        <f>IF(OR(M9=0,AND(K9="Oui",'3 Options'!$C$14="Oui")),0,M9*(N(E9)*N('1 Affaire'!$C$25)+N(F9)*N('1 Affaire'!$C$26)+N(G9)))</f>
        <v/>
      </c>
    </row>
    <row r="10" ht="21" customHeight="1">
      <c r="A10" s="16">
        <f>IF(M10&gt;0,COUNTIF(M$6:M10,"&gt;0"),"")</f>
        <v/>
      </c>
      <c r="B10" s="7" t="n"/>
      <c r="C10" s="7" t="n"/>
      <c r="D10" s="17" t="n"/>
      <c r="E10" s="18" t="n"/>
      <c r="F10" s="18" t="n"/>
      <c r="G10" s="18" t="n"/>
      <c r="H10" s="18" t="n"/>
      <c r="I10" s="18" t="n"/>
      <c r="J10" s="18" t="n"/>
      <c r="K10" s="19" t="n"/>
      <c r="L10" s="20">
        <f>IF(AND(M10&gt;0,K10="Oui"),M10*(N(E10)*N('3 Options'!$C$16)+N(F10)*N('3 Options'!$C$17)+N(G10)),0)</f>
        <v/>
      </c>
      <c r="M10" s="21">
        <f>IF($C10="",0,IF(N($D10)&gt;0,INT($D10),1))</f>
        <v/>
      </c>
      <c r="N10" s="22">
        <f>SUM(M$6:M10)</f>
        <v/>
      </c>
      <c r="O10" s="20">
        <f>IF(OR(M10=0,AND(K10="Oui",'3 Options'!$C$14="Oui")),0,M10*(N(E10)*N('1 Affaire'!$C$25)+N(F10)*N('1 Affaire'!$C$26)+N(G10)))</f>
        <v/>
      </c>
    </row>
    <row r="11" ht="21" customHeight="1">
      <c r="A11" s="16">
        <f>IF(M11&gt;0,COUNTIF(M$6:M11,"&gt;0"),"")</f>
        <v/>
      </c>
      <c r="B11" s="7" t="n"/>
      <c r="C11" s="7" t="n"/>
      <c r="D11" s="17" t="n"/>
      <c r="E11" s="18" t="n"/>
      <c r="F11" s="18" t="n"/>
      <c r="G11" s="18" t="n"/>
      <c r="H11" s="18" t="n"/>
      <c r="I11" s="18" t="n"/>
      <c r="J11" s="18" t="n"/>
      <c r="K11" s="19" t="n"/>
      <c r="L11" s="20">
        <f>IF(AND(M11&gt;0,K11="Oui"),M11*(N(E11)*N('3 Options'!$C$16)+N(F11)*N('3 Options'!$C$17)+N(G11)),0)</f>
        <v/>
      </c>
      <c r="M11" s="21">
        <f>IF($C11="",0,IF(N($D11)&gt;0,INT($D11),1))</f>
        <v/>
      </c>
      <c r="N11" s="22">
        <f>SUM(M$6:M11)</f>
        <v/>
      </c>
      <c r="O11" s="20">
        <f>IF(OR(M11=0,AND(K11="Oui",'3 Options'!$C$14="Oui")),0,M11*(N(E11)*N('1 Affaire'!$C$25)+N(F11)*N('1 Affaire'!$C$26)+N(G11)))</f>
        <v/>
      </c>
    </row>
    <row r="12" ht="21" customHeight="1">
      <c r="A12" s="16">
        <f>IF(M12&gt;0,COUNTIF(M$6:M12,"&gt;0"),"")</f>
        <v/>
      </c>
      <c r="B12" s="7" t="n"/>
      <c r="C12" s="7" t="n"/>
      <c r="D12" s="17" t="n"/>
      <c r="E12" s="18" t="n"/>
      <c r="F12" s="18" t="n"/>
      <c r="G12" s="18" t="n"/>
      <c r="H12" s="18" t="n"/>
      <c r="I12" s="18" t="n"/>
      <c r="J12" s="18" t="n"/>
      <c r="K12" s="19" t="n"/>
      <c r="L12" s="20">
        <f>IF(AND(M12&gt;0,K12="Oui"),M12*(N(E12)*N('3 Options'!$C$16)+N(F12)*N('3 Options'!$C$17)+N(G12)),0)</f>
        <v/>
      </c>
      <c r="M12" s="21">
        <f>IF($C12="",0,IF(N($D12)&gt;0,INT($D12),1))</f>
        <v/>
      </c>
      <c r="N12" s="22">
        <f>SUM(M$6:M12)</f>
        <v/>
      </c>
      <c r="O12" s="20">
        <f>IF(OR(M12=0,AND(K12="Oui",'3 Options'!$C$14="Oui")),0,M12*(N(E12)*N('1 Affaire'!$C$25)+N(F12)*N('1 Affaire'!$C$26)+N(G12)))</f>
        <v/>
      </c>
    </row>
    <row r="13" ht="21" customHeight="1">
      <c r="A13" s="16">
        <f>IF(M13&gt;0,COUNTIF(M$6:M13,"&gt;0"),"")</f>
        <v/>
      </c>
      <c r="B13" s="7" t="n"/>
      <c r="C13" s="7" t="n"/>
      <c r="D13" s="17" t="n"/>
      <c r="E13" s="18" t="n"/>
      <c r="F13" s="18" t="n"/>
      <c r="G13" s="18" t="n"/>
      <c r="H13" s="18" t="n"/>
      <c r="I13" s="18" t="n"/>
      <c r="J13" s="18" t="n"/>
      <c r="K13" s="19" t="n"/>
      <c r="L13" s="20">
        <f>IF(AND(M13&gt;0,K13="Oui"),M13*(N(E13)*N('3 Options'!$C$16)+N(F13)*N('3 Options'!$C$17)+N(G13)),0)</f>
        <v/>
      </c>
      <c r="M13" s="21">
        <f>IF($C13="",0,IF(N($D13)&gt;0,INT($D13),1))</f>
        <v/>
      </c>
      <c r="N13" s="22">
        <f>SUM(M$6:M13)</f>
        <v/>
      </c>
      <c r="O13" s="20">
        <f>IF(OR(M13=0,AND(K13="Oui",'3 Options'!$C$14="Oui")),0,M13*(N(E13)*N('1 Affaire'!$C$25)+N(F13)*N('1 Affaire'!$C$26)+N(G13)))</f>
        <v/>
      </c>
    </row>
    <row r="14" ht="21" customHeight="1">
      <c r="A14" s="16">
        <f>IF(M14&gt;0,COUNTIF(M$6:M14,"&gt;0"),"")</f>
        <v/>
      </c>
      <c r="B14" s="7" t="n"/>
      <c r="C14" s="7" t="n"/>
      <c r="D14" s="17" t="n"/>
      <c r="E14" s="18" t="n"/>
      <c r="F14" s="18" t="n"/>
      <c r="G14" s="18" t="n"/>
      <c r="H14" s="18" t="n"/>
      <c r="I14" s="18" t="n"/>
      <c r="J14" s="18" t="n"/>
      <c r="K14" s="19" t="n"/>
      <c r="L14" s="20">
        <f>IF(AND(M14&gt;0,K14="Oui"),M14*(N(E14)*N('3 Options'!$C$16)+N(F14)*N('3 Options'!$C$17)+N(G14)),0)</f>
        <v/>
      </c>
      <c r="M14" s="21">
        <f>IF($C14="",0,IF(N($D14)&gt;0,INT($D14),1))</f>
        <v/>
      </c>
      <c r="N14" s="22">
        <f>SUM(M$6:M14)</f>
        <v/>
      </c>
      <c r="O14" s="20">
        <f>IF(OR(M14=0,AND(K14="Oui",'3 Options'!$C$14="Oui")),0,M14*(N(E14)*N('1 Affaire'!$C$25)+N(F14)*N('1 Affaire'!$C$26)+N(G14)))</f>
        <v/>
      </c>
    </row>
    <row r="15" ht="21" customHeight="1">
      <c r="A15" s="16">
        <f>IF(M15&gt;0,COUNTIF(M$6:M15,"&gt;0"),"")</f>
        <v/>
      </c>
      <c r="B15" s="7" t="n"/>
      <c r="C15" s="7" t="n"/>
      <c r="D15" s="17" t="n"/>
      <c r="E15" s="18" t="n"/>
      <c r="F15" s="18" t="n"/>
      <c r="G15" s="18" t="n"/>
      <c r="H15" s="18" t="n"/>
      <c r="I15" s="18" t="n"/>
      <c r="J15" s="18" t="n"/>
      <c r="K15" s="19" t="n"/>
      <c r="L15" s="20">
        <f>IF(AND(M15&gt;0,K15="Oui"),M15*(N(E15)*N('3 Options'!$C$16)+N(F15)*N('3 Options'!$C$17)+N(G15)),0)</f>
        <v/>
      </c>
      <c r="M15" s="21">
        <f>IF($C15="",0,IF(N($D15)&gt;0,INT($D15),1))</f>
        <v/>
      </c>
      <c r="N15" s="22">
        <f>SUM(M$6:M15)</f>
        <v/>
      </c>
      <c r="O15" s="20">
        <f>IF(OR(M15=0,AND(K15="Oui",'3 Options'!$C$14="Oui")),0,M15*(N(E15)*N('1 Affaire'!$C$25)+N(F15)*N('1 Affaire'!$C$26)+N(G15)))</f>
        <v/>
      </c>
    </row>
    <row r="16" ht="21" customHeight="1">
      <c r="A16" s="16">
        <f>IF(M16&gt;0,COUNTIF(M$6:M16,"&gt;0"),"")</f>
        <v/>
      </c>
      <c r="B16" s="7" t="n"/>
      <c r="C16" s="7" t="n"/>
      <c r="D16" s="17" t="n"/>
      <c r="E16" s="18" t="n"/>
      <c r="F16" s="18" t="n"/>
      <c r="G16" s="18" t="n"/>
      <c r="H16" s="18" t="n"/>
      <c r="I16" s="18" t="n"/>
      <c r="J16" s="18" t="n"/>
      <c r="K16" s="19" t="n"/>
      <c r="L16" s="20">
        <f>IF(AND(M16&gt;0,K16="Oui"),M16*(N(E16)*N('3 Options'!$C$16)+N(F16)*N('3 Options'!$C$17)+N(G16)),0)</f>
        <v/>
      </c>
      <c r="M16" s="21">
        <f>IF($C16="",0,IF(N($D16)&gt;0,INT($D16),1))</f>
        <v/>
      </c>
      <c r="N16" s="22">
        <f>SUM(M$6:M16)</f>
        <v/>
      </c>
      <c r="O16" s="20">
        <f>IF(OR(M16=0,AND(K16="Oui",'3 Options'!$C$14="Oui")),0,M16*(N(E16)*N('1 Affaire'!$C$25)+N(F16)*N('1 Affaire'!$C$26)+N(G16)))</f>
        <v/>
      </c>
    </row>
    <row r="17" ht="21" customHeight="1">
      <c r="A17" s="16">
        <f>IF(M17&gt;0,COUNTIF(M$6:M17,"&gt;0"),"")</f>
        <v/>
      </c>
      <c r="B17" s="7" t="n"/>
      <c r="C17" s="7" t="n"/>
      <c r="D17" s="17" t="n"/>
      <c r="E17" s="18" t="n"/>
      <c r="F17" s="18" t="n"/>
      <c r="G17" s="18" t="n"/>
      <c r="H17" s="18" t="n"/>
      <c r="I17" s="18" t="n"/>
      <c r="J17" s="18" t="n"/>
      <c r="K17" s="19" t="n"/>
      <c r="L17" s="20">
        <f>IF(AND(M17&gt;0,K17="Oui"),M17*(N(E17)*N('3 Options'!$C$16)+N(F17)*N('3 Options'!$C$17)+N(G17)),0)</f>
        <v/>
      </c>
      <c r="M17" s="21">
        <f>IF($C17="",0,IF(N($D17)&gt;0,INT($D17),1))</f>
        <v/>
      </c>
      <c r="N17" s="22">
        <f>SUM(M$6:M17)</f>
        <v/>
      </c>
      <c r="O17" s="20">
        <f>IF(OR(M17=0,AND(K17="Oui",'3 Options'!$C$14="Oui")),0,M17*(N(E17)*N('1 Affaire'!$C$25)+N(F17)*N('1 Affaire'!$C$26)+N(G17)))</f>
        <v/>
      </c>
    </row>
    <row r="18" ht="21" customHeight="1">
      <c r="A18" s="16">
        <f>IF(M18&gt;0,COUNTIF(M$6:M18,"&gt;0"),"")</f>
        <v/>
      </c>
      <c r="B18" s="7" t="n"/>
      <c r="C18" s="7" t="n"/>
      <c r="D18" s="17" t="n"/>
      <c r="E18" s="18" t="n"/>
      <c r="F18" s="18" t="n"/>
      <c r="G18" s="18" t="n"/>
      <c r="H18" s="18" t="n"/>
      <c r="I18" s="18" t="n"/>
      <c r="J18" s="18" t="n"/>
      <c r="K18" s="19" t="n"/>
      <c r="L18" s="20">
        <f>IF(AND(M18&gt;0,K18="Oui"),M18*(N(E18)*N('3 Options'!$C$16)+N(F18)*N('3 Options'!$C$17)+N(G18)),0)</f>
        <v/>
      </c>
      <c r="M18" s="21">
        <f>IF($C18="",0,IF(N($D18)&gt;0,INT($D18),1))</f>
        <v/>
      </c>
      <c r="N18" s="22">
        <f>SUM(M$6:M18)</f>
        <v/>
      </c>
      <c r="O18" s="20">
        <f>IF(OR(M18=0,AND(K18="Oui",'3 Options'!$C$14="Oui")),0,M18*(N(E18)*N('1 Affaire'!$C$25)+N(F18)*N('1 Affaire'!$C$26)+N(G18)))</f>
        <v/>
      </c>
    </row>
    <row r="19" ht="21" customHeight="1">
      <c r="A19" s="16">
        <f>IF(M19&gt;0,COUNTIF(M$6:M19,"&gt;0"),"")</f>
        <v/>
      </c>
      <c r="B19" s="7" t="n"/>
      <c r="C19" s="7" t="n"/>
      <c r="D19" s="17" t="n"/>
      <c r="E19" s="18" t="n"/>
      <c r="F19" s="18" t="n"/>
      <c r="G19" s="18" t="n"/>
      <c r="H19" s="18" t="n"/>
      <c r="I19" s="18" t="n"/>
      <c r="J19" s="18" t="n"/>
      <c r="K19" s="19" t="n"/>
      <c r="L19" s="20">
        <f>IF(AND(M19&gt;0,K19="Oui"),M19*(N(E19)*N('3 Options'!$C$16)+N(F19)*N('3 Options'!$C$17)+N(G19)),0)</f>
        <v/>
      </c>
      <c r="M19" s="21">
        <f>IF($C19="",0,IF(N($D19)&gt;0,INT($D19),1))</f>
        <v/>
      </c>
      <c r="N19" s="22">
        <f>SUM(M$6:M19)</f>
        <v/>
      </c>
      <c r="O19" s="20">
        <f>IF(OR(M19=0,AND(K19="Oui",'3 Options'!$C$14="Oui")),0,M19*(N(E19)*N('1 Affaire'!$C$25)+N(F19)*N('1 Affaire'!$C$26)+N(G19)))</f>
        <v/>
      </c>
    </row>
    <row r="20" ht="21" customHeight="1">
      <c r="A20" s="16">
        <f>IF(M20&gt;0,COUNTIF(M$6:M20,"&gt;0"),"")</f>
        <v/>
      </c>
      <c r="B20" s="7" t="n"/>
      <c r="C20" s="7" t="n"/>
      <c r="D20" s="17" t="n"/>
      <c r="E20" s="18" t="n"/>
      <c r="F20" s="18" t="n"/>
      <c r="G20" s="18" t="n"/>
      <c r="H20" s="18" t="n"/>
      <c r="I20" s="18" t="n"/>
      <c r="J20" s="18" t="n"/>
      <c r="K20" s="19" t="n"/>
      <c r="L20" s="20">
        <f>IF(AND(M20&gt;0,K20="Oui"),M20*(N(E20)*N('3 Options'!$C$16)+N(F20)*N('3 Options'!$C$17)+N(G20)),0)</f>
        <v/>
      </c>
      <c r="M20" s="21">
        <f>IF($C20="",0,IF(N($D20)&gt;0,INT($D20),1))</f>
        <v/>
      </c>
      <c r="N20" s="22">
        <f>SUM(M$6:M20)</f>
        <v/>
      </c>
      <c r="O20" s="20">
        <f>IF(OR(M20=0,AND(K20="Oui",'3 Options'!$C$14="Oui")),0,M20*(N(E20)*N('1 Affaire'!$C$25)+N(F20)*N('1 Affaire'!$C$26)+N(G20)))</f>
        <v/>
      </c>
    </row>
    <row r="21" ht="21" customHeight="1">
      <c r="A21" s="16">
        <f>IF(M21&gt;0,COUNTIF(M$6:M21,"&gt;0"),"")</f>
        <v/>
      </c>
      <c r="B21" s="7" t="n"/>
      <c r="C21" s="7" t="n"/>
      <c r="D21" s="17" t="n"/>
      <c r="E21" s="18" t="n"/>
      <c r="F21" s="18" t="n"/>
      <c r="G21" s="18" t="n"/>
      <c r="H21" s="18" t="n"/>
      <c r="I21" s="18" t="n"/>
      <c r="J21" s="18" t="n"/>
      <c r="K21" s="19" t="n"/>
      <c r="L21" s="20">
        <f>IF(AND(M21&gt;0,K21="Oui"),M21*(N(E21)*N('3 Options'!$C$16)+N(F21)*N('3 Options'!$C$17)+N(G21)),0)</f>
        <v/>
      </c>
      <c r="M21" s="21">
        <f>IF($C21="",0,IF(N($D21)&gt;0,INT($D21),1))</f>
        <v/>
      </c>
      <c r="N21" s="22">
        <f>SUM(M$6:M21)</f>
        <v/>
      </c>
      <c r="O21" s="20">
        <f>IF(OR(M21=0,AND(K21="Oui",'3 Options'!$C$14="Oui")),0,M21*(N(E21)*N('1 Affaire'!$C$25)+N(F21)*N('1 Affaire'!$C$26)+N(G21)))</f>
        <v/>
      </c>
    </row>
    <row r="22" ht="21" customHeight="1">
      <c r="A22" s="16">
        <f>IF(M22&gt;0,COUNTIF(M$6:M22,"&gt;0"),"")</f>
        <v/>
      </c>
      <c r="B22" s="7" t="n"/>
      <c r="C22" s="7" t="n"/>
      <c r="D22" s="17" t="n"/>
      <c r="E22" s="18" t="n"/>
      <c r="F22" s="18" t="n"/>
      <c r="G22" s="18" t="n"/>
      <c r="H22" s="18" t="n"/>
      <c r="I22" s="18" t="n"/>
      <c r="J22" s="18" t="n"/>
      <c r="K22" s="19" t="n"/>
      <c r="L22" s="20">
        <f>IF(AND(M22&gt;0,K22="Oui"),M22*(N(E22)*N('3 Options'!$C$16)+N(F22)*N('3 Options'!$C$17)+N(G22)),0)</f>
        <v/>
      </c>
      <c r="M22" s="21">
        <f>IF($C22="",0,IF(N($D22)&gt;0,INT($D22),1))</f>
        <v/>
      </c>
      <c r="N22" s="22">
        <f>SUM(M$6:M22)</f>
        <v/>
      </c>
      <c r="O22" s="20">
        <f>IF(OR(M22=0,AND(K22="Oui",'3 Options'!$C$14="Oui")),0,M22*(N(E22)*N('1 Affaire'!$C$25)+N(F22)*N('1 Affaire'!$C$26)+N(G22)))</f>
        <v/>
      </c>
    </row>
    <row r="23" ht="21" customHeight="1">
      <c r="A23" s="16">
        <f>IF(M23&gt;0,COUNTIF(M$6:M23,"&gt;0"),"")</f>
        <v/>
      </c>
      <c r="B23" s="7" t="n"/>
      <c r="C23" s="7" t="n"/>
      <c r="D23" s="17" t="n"/>
      <c r="E23" s="18" t="n"/>
      <c r="F23" s="18" t="n"/>
      <c r="G23" s="18" t="n"/>
      <c r="H23" s="18" t="n"/>
      <c r="I23" s="18" t="n"/>
      <c r="J23" s="18" t="n"/>
      <c r="K23" s="19" t="n"/>
      <c r="L23" s="20">
        <f>IF(AND(M23&gt;0,K23="Oui"),M23*(N(E23)*N('3 Options'!$C$16)+N(F23)*N('3 Options'!$C$17)+N(G23)),0)</f>
        <v/>
      </c>
      <c r="M23" s="21">
        <f>IF($C23="",0,IF(N($D23)&gt;0,INT($D23),1))</f>
        <v/>
      </c>
      <c r="N23" s="22">
        <f>SUM(M$6:M23)</f>
        <v/>
      </c>
      <c r="O23" s="20">
        <f>IF(OR(M23=0,AND(K23="Oui",'3 Options'!$C$14="Oui")),0,M23*(N(E23)*N('1 Affaire'!$C$25)+N(F23)*N('1 Affaire'!$C$26)+N(G23)))</f>
        <v/>
      </c>
    </row>
    <row r="24" ht="21" customHeight="1">
      <c r="A24" s="16">
        <f>IF(M24&gt;0,COUNTIF(M$6:M24,"&gt;0"),"")</f>
        <v/>
      </c>
      <c r="B24" s="7" t="n"/>
      <c r="C24" s="7" t="n"/>
      <c r="D24" s="17" t="n"/>
      <c r="E24" s="18" t="n"/>
      <c r="F24" s="18" t="n"/>
      <c r="G24" s="18" t="n"/>
      <c r="H24" s="18" t="n"/>
      <c r="I24" s="18" t="n"/>
      <c r="J24" s="18" t="n"/>
      <c r="K24" s="19" t="n"/>
      <c r="L24" s="20">
        <f>IF(AND(M24&gt;0,K24="Oui"),M24*(N(E24)*N('3 Options'!$C$16)+N(F24)*N('3 Options'!$C$17)+N(G24)),0)</f>
        <v/>
      </c>
      <c r="M24" s="21">
        <f>IF($C24="",0,IF(N($D24)&gt;0,INT($D24),1))</f>
        <v/>
      </c>
      <c r="N24" s="22">
        <f>SUM(M$6:M24)</f>
        <v/>
      </c>
      <c r="O24" s="20">
        <f>IF(OR(M24=0,AND(K24="Oui",'3 Options'!$C$14="Oui")),0,M24*(N(E24)*N('1 Affaire'!$C$25)+N(F24)*N('1 Affaire'!$C$26)+N(G24)))</f>
        <v/>
      </c>
    </row>
    <row r="25" ht="21" customHeight="1">
      <c r="A25" s="16">
        <f>IF(M25&gt;0,COUNTIF(M$6:M25,"&gt;0"),"")</f>
        <v/>
      </c>
      <c r="B25" s="7" t="n"/>
      <c r="C25" s="7" t="n"/>
      <c r="D25" s="17" t="n"/>
      <c r="E25" s="18" t="n"/>
      <c r="F25" s="18" t="n"/>
      <c r="G25" s="18" t="n"/>
      <c r="H25" s="18" t="n"/>
      <c r="I25" s="18" t="n"/>
      <c r="J25" s="18" t="n"/>
      <c r="K25" s="19" t="n"/>
      <c r="L25" s="20">
        <f>IF(AND(M25&gt;0,K25="Oui"),M25*(N(E25)*N('3 Options'!$C$16)+N(F25)*N('3 Options'!$C$17)+N(G25)),0)</f>
        <v/>
      </c>
      <c r="M25" s="21">
        <f>IF($C25="",0,IF(N($D25)&gt;0,INT($D25),1))</f>
        <v/>
      </c>
      <c r="N25" s="22">
        <f>SUM(M$6:M25)</f>
        <v/>
      </c>
      <c r="O25" s="20">
        <f>IF(OR(M25=0,AND(K25="Oui",'3 Options'!$C$14="Oui")),0,M25*(N(E25)*N('1 Affaire'!$C$25)+N(F25)*N('1 Affaire'!$C$26)+N(G25)))</f>
        <v/>
      </c>
    </row>
    <row r="26" ht="21" customHeight="1">
      <c r="A26" s="16">
        <f>IF(M26&gt;0,COUNTIF(M$6:M26,"&gt;0"),"")</f>
        <v/>
      </c>
      <c r="B26" s="7" t="n"/>
      <c r="C26" s="7" t="n"/>
      <c r="D26" s="17" t="n"/>
      <c r="E26" s="18" t="n"/>
      <c r="F26" s="18" t="n"/>
      <c r="G26" s="18" t="n"/>
      <c r="H26" s="18" t="n"/>
      <c r="I26" s="18" t="n"/>
      <c r="J26" s="18" t="n"/>
      <c r="K26" s="19" t="n"/>
      <c r="L26" s="20">
        <f>IF(AND(M26&gt;0,K26="Oui"),M26*(N(E26)*N('3 Options'!$C$16)+N(F26)*N('3 Options'!$C$17)+N(G26)),0)</f>
        <v/>
      </c>
      <c r="M26" s="21">
        <f>IF($C26="",0,IF(N($D26)&gt;0,INT($D26),1))</f>
        <v/>
      </c>
      <c r="N26" s="22">
        <f>SUM(M$6:M26)</f>
        <v/>
      </c>
      <c r="O26" s="20">
        <f>IF(OR(M26=0,AND(K26="Oui",'3 Options'!$C$14="Oui")),0,M26*(N(E26)*N('1 Affaire'!$C$25)+N(F26)*N('1 Affaire'!$C$26)+N(G26)))</f>
        <v/>
      </c>
    </row>
    <row r="27" ht="21" customHeight="1">
      <c r="A27" s="16">
        <f>IF(M27&gt;0,COUNTIF(M$6:M27,"&gt;0"),"")</f>
        <v/>
      </c>
      <c r="B27" s="7" t="n"/>
      <c r="C27" s="7" t="n"/>
      <c r="D27" s="17" t="n"/>
      <c r="E27" s="18" t="n"/>
      <c r="F27" s="18" t="n"/>
      <c r="G27" s="18" t="n"/>
      <c r="H27" s="18" t="n"/>
      <c r="I27" s="18" t="n"/>
      <c r="J27" s="18" t="n"/>
      <c r="K27" s="19" t="n"/>
      <c r="L27" s="20">
        <f>IF(AND(M27&gt;0,K27="Oui"),M27*(N(E27)*N('3 Options'!$C$16)+N(F27)*N('3 Options'!$C$17)+N(G27)),0)</f>
        <v/>
      </c>
      <c r="M27" s="21">
        <f>IF($C27="",0,IF(N($D27)&gt;0,INT($D27),1))</f>
        <v/>
      </c>
      <c r="N27" s="22">
        <f>SUM(M$6:M27)</f>
        <v/>
      </c>
      <c r="O27" s="20">
        <f>IF(OR(M27=0,AND(K27="Oui",'3 Options'!$C$14="Oui")),0,M27*(N(E27)*N('1 Affaire'!$C$25)+N(F27)*N('1 Affaire'!$C$26)+N(G27)))</f>
        <v/>
      </c>
    </row>
    <row r="28" ht="21" customHeight="1">
      <c r="A28" s="16">
        <f>IF(M28&gt;0,COUNTIF(M$6:M28,"&gt;0"),"")</f>
        <v/>
      </c>
      <c r="B28" s="7" t="n"/>
      <c r="C28" s="7" t="n"/>
      <c r="D28" s="17" t="n"/>
      <c r="E28" s="18" t="n"/>
      <c r="F28" s="18" t="n"/>
      <c r="G28" s="18" t="n"/>
      <c r="H28" s="18" t="n"/>
      <c r="I28" s="18" t="n"/>
      <c r="J28" s="18" t="n"/>
      <c r="K28" s="19" t="n"/>
      <c r="L28" s="20">
        <f>IF(AND(M28&gt;0,K28="Oui"),M28*(N(E28)*N('3 Options'!$C$16)+N(F28)*N('3 Options'!$C$17)+N(G28)),0)</f>
        <v/>
      </c>
      <c r="M28" s="21">
        <f>IF($C28="",0,IF(N($D28)&gt;0,INT($D28),1))</f>
        <v/>
      </c>
      <c r="N28" s="22">
        <f>SUM(M$6:M28)</f>
        <v/>
      </c>
      <c r="O28" s="20">
        <f>IF(OR(M28=0,AND(K28="Oui",'3 Options'!$C$14="Oui")),0,M28*(N(E28)*N('1 Affaire'!$C$25)+N(F28)*N('1 Affaire'!$C$26)+N(G28)))</f>
        <v/>
      </c>
    </row>
    <row r="29" ht="21" customHeight="1">
      <c r="A29" s="16">
        <f>IF(M29&gt;0,COUNTIF(M$6:M29,"&gt;0"),"")</f>
        <v/>
      </c>
      <c r="B29" s="7" t="n"/>
      <c r="C29" s="7" t="n"/>
      <c r="D29" s="17" t="n"/>
      <c r="E29" s="18" t="n"/>
      <c r="F29" s="18" t="n"/>
      <c r="G29" s="18" t="n"/>
      <c r="H29" s="18" t="n"/>
      <c r="I29" s="18" t="n"/>
      <c r="J29" s="18" t="n"/>
      <c r="K29" s="19" t="n"/>
      <c r="L29" s="20">
        <f>IF(AND(M29&gt;0,K29="Oui"),M29*(N(E29)*N('3 Options'!$C$16)+N(F29)*N('3 Options'!$C$17)+N(G29)),0)</f>
        <v/>
      </c>
      <c r="M29" s="21">
        <f>IF($C29="",0,IF(N($D29)&gt;0,INT($D29),1))</f>
        <v/>
      </c>
      <c r="N29" s="22">
        <f>SUM(M$6:M29)</f>
        <v/>
      </c>
      <c r="O29" s="20">
        <f>IF(OR(M29=0,AND(K29="Oui",'3 Options'!$C$14="Oui")),0,M29*(N(E29)*N('1 Affaire'!$C$25)+N(F29)*N('1 Affaire'!$C$26)+N(G29)))</f>
        <v/>
      </c>
    </row>
    <row r="31">
      <c r="C31" s="23">
        <f>SUM(M6:M29)&amp;" ligne(s) sur la tool list  ·  "&amp;COUNTIF(M6:M29,"&gt;0")&amp;" référence(s) au devis"</f>
        <v/>
      </c>
    </row>
    <row r="32">
      <c r="C32" s="24" t="inlineStr">
        <is>
          <t>Le devis affiche les 14 premières lignes (les suivantes sont repliées dans l’onglet 4, avec une alerte). Colonnes grises (L à O) : calculs, ne pas modifier. « Inclus au forfait » ne s’applique que si l’option Forfait est activée dans l’onglet 3.</t>
        </is>
      </c>
    </row>
  </sheetData>
  <dataValidations count="2">
    <dataValidation sqref="K6:K29" showDropDown="0" showInputMessage="0" showErrorMessage="1" allowBlank="1" errorTitle="Valeur" error="Choisir une valeur de la liste." type="list" errorStyle="stop">
      <formula1>=Listes!$G$2:$G$12</formula1>
    </dataValidation>
    <dataValidation sqref="D6:D29" showDropDown="0" showInputMessage="0" showErrorMessage="1" allowBlank="1" error="Quantité entière entre 1 et 99." type="whole" operator="between">
      <formula1>1</formula1>
      <formula2>99</formula2>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tabColor rgb="0000AEEF"/>
    <outlinePr summaryBelow="1" summaryRight="1"/>
    <pageSetUpPr fitToPage="1"/>
  </sheetPr>
  <dimension ref="A1:J24"/>
  <sheetViews>
    <sheetView showGridLines="0" workbookViewId="0">
      <pane ySplit="5" topLeftCell="A6" activePane="bottomLeft" state="frozen"/>
      <selection pane="bottomLeft" activeCell="A1" sqref="A1"/>
    </sheetView>
  </sheetViews>
  <sheetFormatPr baseColWidth="8" defaultRowHeight="15"/>
  <cols>
    <col width="2" customWidth="1" min="1" max="1"/>
    <col width="52" customWidth="1" min="2" max="2"/>
    <col width="12" customWidth="1" min="3" max="3"/>
    <col width="40" customWidth="1" min="4" max="4"/>
    <col width="9" customWidth="1" min="5" max="5"/>
    <col width="14" customWidth="1" min="6" max="6"/>
    <col width="20" customWidth="1" min="7" max="7"/>
    <col width="14" customWidth="1" min="8" max="8"/>
    <col width="8" customWidth="1" min="9" max="9"/>
    <col width="36" customWidth="1" min="10" max="10"/>
  </cols>
  <sheetData>
    <row r="1" ht="30" customHeight="1">
      <c r="A1" s="1" t="n"/>
      <c r="B1" s="2" t="inlineStr">
        <is>
          <t>OPTIONS DU DEVIS</t>
        </is>
      </c>
      <c r="C1" s="1" t="n"/>
      <c r="D1" s="1" t="n"/>
      <c r="E1" s="1" t="n"/>
      <c r="F1" s="1" t="n"/>
      <c r="G1" s="1" t="n"/>
      <c r="H1" s="1" t="n"/>
      <c r="I1" s="1" t="n"/>
      <c r="J1" s="1" t="n"/>
    </row>
    <row r="2" ht="20" customHeight="1">
      <c r="A2" s="1" t="n"/>
      <c r="B2" s="3" t="inlineStr">
        <is>
          <t>Activez uniquement ce qui doit apparaître : une option sur « Non » disparaît du devis. Le transport reste activé par défaut.</t>
        </is>
      </c>
      <c r="C2" s="1" t="n"/>
      <c r="D2" s="1" t="n"/>
      <c r="E2" s="1" t="n"/>
      <c r="F2" s="1" t="n"/>
      <c r="G2" s="1" t="n"/>
      <c r="H2" s="1" t="n"/>
      <c r="I2" s="1" t="n"/>
      <c r="J2" s="1" t="n"/>
    </row>
    <row r="3" ht="6" customHeight="1">
      <c r="A3" s="4" t="n"/>
      <c r="B3" s="4" t="n"/>
      <c r="C3" s="4" t="n"/>
      <c r="D3" s="4" t="n"/>
      <c r="E3" s="4" t="n"/>
      <c r="F3" s="4" t="n"/>
      <c r="G3" s="4" t="n"/>
      <c r="H3" s="4" t="n"/>
      <c r="I3" s="4" t="n"/>
      <c r="J3" s="4" t="n"/>
    </row>
    <row r="5" ht="28" customHeight="1">
      <c r="B5" s="14" t="inlineStr">
        <is>
          <t>Option</t>
        </is>
      </c>
      <c r="C5" s="14" t="inlineStr">
        <is>
          <t>Inclure ?</t>
        </is>
      </c>
      <c r="D5" s="14" t="inlineStr">
        <is>
          <t>Intitulé affiché (facultatif)</t>
        </is>
      </c>
      <c r="E5" s="14" t="inlineStr">
        <is>
          <t>Qté</t>
        </is>
      </c>
      <c r="F5" s="14" t="inlineStr">
        <is>
          <t>Prix €</t>
        </is>
      </c>
      <c r="G5" s="14" t="inlineStr">
        <is>
          <t>Unité / mode</t>
        </is>
      </c>
      <c r="H5" s="14" t="inlineStr">
        <is>
          <t>Total €</t>
        </is>
      </c>
      <c r="I5" s="15" t="inlineStr">
        <is>
          <t>Rang</t>
        </is>
      </c>
      <c r="J5" s="15" t="inlineStr">
        <is>
          <t>Détail affiché sur le devis</t>
        </is>
      </c>
    </row>
    <row r="6" ht="26" customHeight="1">
      <c r="B6" s="25" t="inlineStr">
        <is>
          <t>👷  Opérateur · tarif journalier</t>
        </is>
      </c>
      <c r="C6" s="19" t="inlineStr">
        <is>
          <t>Non</t>
        </is>
      </c>
      <c r="D6" s="7" t="n"/>
      <c r="E6" s="17" t="n">
        <v>1</v>
      </c>
      <c r="F6" s="18" t="n"/>
      <c r="G6" s="19" t="inlineStr">
        <is>
          <t>€/jour/pers</t>
        </is>
      </c>
      <c r="H6" s="26">
        <f>IF(C6="Oui",IF(AND(OR(G6="Coût réel +15 %"),F6=""),0,N(E6)*N(F6)),0)</f>
        <v/>
      </c>
      <c r="I6" s="22">
        <f>IF(C6="Oui",COUNTIF(C$6:C6,"Oui"),"")</f>
        <v/>
      </c>
      <c r="J6" s="7" t="n"/>
    </row>
    <row r="7" ht="26" customHeight="1">
      <c r="B7" s="25" t="inlineStr">
        <is>
          <t>👷  Opérateur · Mob / Demob</t>
        </is>
      </c>
      <c r="C7" s="19" t="inlineStr">
        <is>
          <t>Non</t>
        </is>
      </c>
      <c r="D7" s="7" t="n"/>
      <c r="E7" s="17" t="n">
        <v>1</v>
      </c>
      <c r="F7" s="18" t="n"/>
      <c r="G7" s="19" t="inlineStr">
        <is>
          <t>€/pers</t>
        </is>
      </c>
      <c r="H7" s="26">
        <f>IF(C7="Oui",IF(AND(OR(G7="Coût réel +15 %"),F7=""),0,N(E7)*N(F7)),0)</f>
        <v/>
      </c>
      <c r="I7" s="22">
        <f>IF(C7="Oui",COUNTIF(C$6:C7,"Oui"),"")</f>
        <v/>
      </c>
      <c r="J7" s="7" t="n"/>
    </row>
    <row r="8" ht="26" customHeight="1">
      <c r="B8" s="25" t="inlineStr">
        <is>
          <t>🔧  Serrage · Make-up</t>
        </is>
      </c>
      <c r="C8" s="19" t="inlineStr">
        <is>
          <t>Non</t>
        </is>
      </c>
      <c r="D8" s="7" t="n"/>
      <c r="E8" s="17" t="n">
        <v>1</v>
      </c>
      <c r="F8" s="18" t="n"/>
      <c r="G8" s="19" t="inlineStr">
        <is>
          <t>forfait</t>
        </is>
      </c>
      <c r="H8" s="26">
        <f>IF(C8="Oui",IF(AND(OR(G8="Coût réel +15 %"),F8=""),0,N(E8)*N(F8)),0)</f>
        <v/>
      </c>
      <c r="I8" s="22">
        <f>IF(C8="Oui",COUNTIF(C$6:C8,"Oui"),"")</f>
        <v/>
      </c>
      <c r="J8" s="7" t="n"/>
    </row>
    <row r="9" ht="26" customHeight="1">
      <c r="B9" s="25" t="inlineStr">
        <is>
          <t>🚚  Transport MOB</t>
        </is>
      </c>
      <c r="C9" s="19" t="inlineStr">
        <is>
          <t>Oui</t>
        </is>
      </c>
      <c r="D9" s="7" t="n"/>
      <c r="E9" s="17" t="n">
        <v>1</v>
      </c>
      <c r="F9" s="18" t="n"/>
      <c r="G9" s="19" t="inlineStr">
        <is>
          <t>Coût réel +15 %</t>
        </is>
      </c>
      <c r="H9" s="26">
        <f>IF(C9="Oui",IF(AND(OR(G9="Coût réel +15 %"),F9=""),0,N(E9)*N(F9)),0)</f>
        <v/>
      </c>
      <c r="I9" s="22">
        <f>IF(C9="Oui",COUNTIF(C$6:C9,"Oui"),"")</f>
        <v/>
      </c>
      <c r="J9" s="7" t="n"/>
    </row>
    <row r="10" ht="26" customHeight="1">
      <c r="B10" s="25" t="inlineStr">
        <is>
          <t>🚚  Transport DEMOB</t>
        </is>
      </c>
      <c r="C10" s="19" t="inlineStr">
        <is>
          <t>Oui</t>
        </is>
      </c>
      <c r="D10" s="7" t="n"/>
      <c r="E10" s="17" t="n">
        <v>1</v>
      </c>
      <c r="F10" s="18" t="n"/>
      <c r="G10" s="19" t="inlineStr">
        <is>
          <t>Coût réel +15 %</t>
        </is>
      </c>
      <c r="H10" s="26">
        <f>IF(C10="Oui",IF(AND(OR(G10="Coût réel +15 %"),F10=""),0,N(E10)*N(F10)),0)</f>
        <v/>
      </c>
      <c r="I10" s="22">
        <f>IF(C10="Oui",COUNTIF(C$6:C10,"Oui"),"")</f>
        <v/>
      </c>
      <c r="J10" s="7" t="n"/>
    </row>
    <row r="11" ht="26" customHeight="1">
      <c r="B11" s="25" t="inlineStr">
        <is>
          <t>➕  Option libre 1</t>
        </is>
      </c>
      <c r="C11" s="19" t="inlineStr">
        <is>
          <t>Non</t>
        </is>
      </c>
      <c r="D11" s="7" t="n"/>
      <c r="E11" s="17" t="n">
        <v>1</v>
      </c>
      <c r="F11" s="18" t="n"/>
      <c r="G11" s="19" t="inlineStr">
        <is>
          <t>forfait</t>
        </is>
      </c>
      <c r="H11" s="26">
        <f>IF(C11="Oui",IF(AND(OR(G11="Coût réel +15 %"),F11=""),0,N(E11)*N(F11)),0)</f>
        <v/>
      </c>
      <c r="I11" s="22">
        <f>IF(C11="Oui",COUNTIF(C$6:C11,"Oui"),"")</f>
        <v/>
      </c>
      <c r="J11" s="7" t="n"/>
    </row>
    <row r="12" ht="26" customHeight="1">
      <c r="B12" s="25" t="inlineStr">
        <is>
          <t>➕  Option libre 2</t>
        </is>
      </c>
      <c r="C12" s="19" t="inlineStr">
        <is>
          <t>Non</t>
        </is>
      </c>
      <c r="D12" s="7" t="n"/>
      <c r="E12" s="17" t="n">
        <v>1</v>
      </c>
      <c r="F12" s="18" t="n"/>
      <c r="G12" s="19" t="inlineStr">
        <is>
          <t>forfait</t>
        </is>
      </c>
      <c r="H12" s="26">
        <f>IF(C12="Oui",IF(AND(OR(G12="Coût réel +15 %"),F12=""),0,N(E12)*N(F12)),0)</f>
        <v/>
      </c>
      <c r="I12" s="22">
        <f>IF(C12="Oui",COUNTIF(C$6:C12,"Oui"),"")</f>
        <v/>
      </c>
      <c r="J12" s="7" t="n"/>
    </row>
    <row r="13" ht="26" customHeight="1">
      <c r="B13" s="25" t="inlineStr">
        <is>
          <t>➕  Option libre 3</t>
        </is>
      </c>
      <c r="C13" s="19" t="inlineStr">
        <is>
          <t>Non</t>
        </is>
      </c>
      <c r="D13" s="7" t="n"/>
      <c r="E13" s="17" t="n">
        <v>1</v>
      </c>
      <c r="F13" s="18" t="n"/>
      <c r="G13" s="19" t="inlineStr">
        <is>
          <t>forfait</t>
        </is>
      </c>
      <c r="H13" s="26">
        <f>IF(C13="Oui",IF(AND(OR(G13="Coût réel +15 %"),F13=""),0,N(E13)*N(F13)),0)</f>
        <v/>
      </c>
      <c r="I13" s="22">
        <f>IF(C13="Oui",COUNTIF(C$6:C13,"Oui"),"")</f>
        <v/>
      </c>
      <c r="J13" s="7" t="n"/>
    </row>
    <row r="14" ht="30" customHeight="1">
      <c r="B14" s="25" t="inlineStr">
        <is>
          <t>📦  FORFAIT (remplace les tarifs des lignes cochées)</t>
        </is>
      </c>
      <c r="C14" s="19" t="inlineStr">
        <is>
          <t>Non</t>
        </is>
      </c>
      <c r="D14" s="7" t="n"/>
      <c r="E14" s="17" t="n">
        <v>1</v>
      </c>
      <c r="F14" s="18" t="n"/>
      <c r="G14" s="19" t="inlineStr">
        <is>
          <t>Forfait calculé (S + O + UC)</t>
        </is>
      </c>
      <c r="H14" s="26">
        <f>IF(C14="Oui",IF(G14="Forfait calculé (S + O + UC)",IF(F14&lt;&gt;"",F14,SUM('2 Matériel'!$L$6:$L$29)),N(E14)*N(F14)),0)</f>
        <v/>
      </c>
      <c r="I14" s="22">
        <f>IF(C14="Oui",COUNTIF(C$6:C14,"Oui"),"")</f>
        <v/>
      </c>
      <c r="J14" s="7" t="n"/>
    </row>
    <row r="15" ht="34" customHeight="1">
      <c r="B15" s="6" t="inlineStr">
        <is>
          <t>Forfait · intitulé et périmètre</t>
        </is>
      </c>
      <c r="D15" s="27" t="n"/>
      <c r="E15" s="28" t="n"/>
      <c r="F15" s="28" t="n"/>
      <c r="G15" s="28" t="n"/>
      <c r="H15" s="28" t="n"/>
      <c r="I15" s="28" t="n"/>
      <c r="J15" s="28" t="n"/>
    </row>
    <row r="16">
      <c r="B16" s="6" t="inlineStr">
        <is>
          <t>Forfait calculé · jours de stand-by (S)</t>
        </is>
      </c>
      <c r="C16" s="17" t="n">
        <v>3</v>
      </c>
      <c r="D16" s="11" t="inlineStr">
        <is>
          <t>Forfait habituel : 3 jours de stand-by + 2 jours d’opérations + toutes les utilisations de charge (UC). Laisser « Prix € » de la ligne forfait vide pour utiliser ce calcul, ou saisir un prix pour le remplacer.</t>
        </is>
      </c>
    </row>
    <row r="17">
      <c r="B17" s="6" t="inlineStr">
        <is>
          <t>Forfait calculé · jours d’opérations (O)</t>
        </is>
      </c>
      <c r="C17" s="17" t="n">
        <v>2</v>
      </c>
    </row>
    <row r="18">
      <c r="B18" s="6" t="inlineStr">
        <is>
          <t>Montant calculé des lignes « Inclus au forfait »</t>
        </is>
      </c>
      <c r="C18" s="29">
        <f>SUM('2 Matériel'!$L$6:$L$29)</f>
        <v/>
      </c>
    </row>
    <row r="20">
      <c r="B20" s="23" t="inlineStr">
        <is>
          <t>Comment utiliser le forfait</t>
        </is>
      </c>
    </row>
    <row r="21">
      <c r="B21" s="30" t="inlineStr">
        <is>
          <t>1. Option « Forfait » sur Oui. Mode « calculé » (3 S + 2 O + UC, jours modifiables), « global » (prix total) ou « par jour » (Qté = nombre de jours).</t>
        </is>
      </c>
    </row>
    <row r="22">
      <c r="B22" s="30" t="inlineStr">
        <is>
          <t>2. Dans l'onglet 2, mettre « Oui » dans « Inclus au forfait » sur chaque ligne couverte : elles s'affichent « incl. » sur le devis et restent sur la tool list.</t>
        </is>
      </c>
    </row>
    <row r="23">
      <c r="B23" s="30" t="inlineStr">
        <is>
          <t>3. Écrire le périmètre ci-dessus (ex. « Location 10 jours stab + 2 XO, transport inclus »). Il apparaît sous le forfait.</t>
        </is>
      </c>
    </row>
    <row r="24">
      <c r="B24" s="30" t="inlineStr">
        <is>
          <t>Transport : « Coût réel +15 % » n'affiche aucun montant. Choisir « Forfait » pour imposer un prix.</t>
        </is>
      </c>
    </row>
  </sheetData>
  <mergeCells count="2">
    <mergeCell ref="D15:J15"/>
    <mergeCell ref="D16:J18"/>
  </mergeCells>
  <dataValidations count="18">
    <dataValidation sqref="G6" showDropDown="0" showInputMessage="0" showErrorMessage="0" allowBlank="1" errorTitle="Valeur" error="Choisir une valeur de la liste." type="list" errorStyle="warning">
      <formula1>=Listes!$L$2:$L$12</formula1>
    </dataValidation>
    <dataValidation sqref="C6" showDropDown="0" showInputMessage="0" showErrorMessage="1" allowBlank="1" errorTitle="Valeur" error="Choisir une valeur de la liste." type="list" errorStyle="stop">
      <formula1>=Listes!$G$2:$G$12</formula1>
    </dataValidation>
    <dataValidation sqref="G7" showDropDown="0" showInputMessage="0" showErrorMessage="0" allowBlank="1" errorTitle="Valeur" error="Choisir une valeur de la liste." type="list" errorStyle="warning">
      <formula1>=Listes!$L$2:$L$12</formula1>
    </dataValidation>
    <dataValidation sqref="C7" showDropDown="0" showInputMessage="0" showErrorMessage="1" allowBlank="1" errorTitle="Valeur" error="Choisir une valeur de la liste." type="list" errorStyle="stop">
      <formula1>=Listes!$G$2:$G$12</formula1>
    </dataValidation>
    <dataValidation sqref="G8" showDropDown="0" showInputMessage="0" showErrorMessage="0" allowBlank="1" errorTitle="Valeur" error="Choisir une valeur de la liste." type="list" errorStyle="warning">
      <formula1>=Listes!$L$2:$L$12</formula1>
    </dataValidation>
    <dataValidation sqref="C8" showDropDown="0" showInputMessage="0" showErrorMessage="1" allowBlank="1" errorTitle="Valeur" error="Choisir une valeur de la liste." type="list" errorStyle="stop">
      <formula1>=Listes!$G$2:$G$12</formula1>
    </dataValidation>
    <dataValidation sqref="G9" showDropDown="0" showInputMessage="0" showErrorMessage="1" allowBlank="1" errorTitle="Valeur" error="Choisir une valeur de la liste." type="list" errorStyle="stop">
      <formula1>=Listes!$M$2:$M$12</formula1>
    </dataValidation>
    <dataValidation sqref="C9" showDropDown="0" showInputMessage="0" showErrorMessage="1" allowBlank="1" errorTitle="Valeur" error="Choisir une valeur de la liste." type="list" errorStyle="stop">
      <formula1>=Listes!$G$2:$G$12</formula1>
    </dataValidation>
    <dataValidation sqref="G10" showDropDown="0" showInputMessage="0" showErrorMessage="1" allowBlank="1" errorTitle="Valeur" error="Choisir une valeur de la liste." type="list" errorStyle="stop">
      <formula1>=Listes!$M$2:$M$12</formula1>
    </dataValidation>
    <dataValidation sqref="C10" showDropDown="0" showInputMessage="0" showErrorMessage="1" allowBlank="1" errorTitle="Valeur" error="Choisir une valeur de la liste." type="list" errorStyle="stop">
      <formula1>=Listes!$G$2:$G$12</formula1>
    </dataValidation>
    <dataValidation sqref="G11" showDropDown="0" showInputMessage="0" showErrorMessage="0" allowBlank="1" errorTitle="Valeur" error="Choisir une valeur de la liste." type="list" errorStyle="warning">
      <formula1>=Listes!$L$2:$L$12</formula1>
    </dataValidation>
    <dataValidation sqref="C11" showDropDown="0" showInputMessage="0" showErrorMessage="1" allowBlank="1" errorTitle="Valeur" error="Choisir une valeur de la liste." type="list" errorStyle="stop">
      <formula1>=Listes!$G$2:$G$12</formula1>
    </dataValidation>
    <dataValidation sqref="G12" showDropDown="0" showInputMessage="0" showErrorMessage="0" allowBlank="1" errorTitle="Valeur" error="Choisir une valeur de la liste." type="list" errorStyle="warning">
      <formula1>=Listes!$L$2:$L$12</formula1>
    </dataValidation>
    <dataValidation sqref="C12" showDropDown="0" showInputMessage="0" showErrorMessage="1" allowBlank="1" errorTitle="Valeur" error="Choisir une valeur de la liste." type="list" errorStyle="stop">
      <formula1>=Listes!$G$2:$G$12</formula1>
    </dataValidation>
    <dataValidation sqref="G13" showDropDown="0" showInputMessage="0" showErrorMessage="0" allowBlank="1" errorTitle="Valeur" error="Choisir une valeur de la liste." type="list" errorStyle="warning">
      <formula1>=Listes!$L$2:$L$12</formula1>
    </dataValidation>
    <dataValidation sqref="C13" showDropDown="0" showInputMessage="0" showErrorMessage="1" allowBlank="1" errorTitle="Valeur" error="Choisir une valeur de la liste." type="list" errorStyle="stop">
      <formula1>=Listes!$G$2:$G$12</formula1>
    </dataValidation>
    <dataValidation sqref="G14" showDropDown="0" showInputMessage="0" showErrorMessage="1" allowBlank="1" errorTitle="Valeur" error="Choisir une valeur de la liste." type="list" errorStyle="stop">
      <formula1>=Listes!$N$2:$N$12</formula1>
    </dataValidation>
    <dataValidation sqref="C14"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4.xml><?xml version="1.0" encoding="utf-8"?>
<worksheet xmlns="http://schemas.openxmlformats.org/spreadsheetml/2006/main">
  <sheetPr>
    <tabColor rgb="000A4FA0"/>
    <outlinePr summaryBelow="1" summaryRight="1"/>
    <pageSetUpPr fitToPage="1"/>
  </sheetPr>
  <dimension ref="A1:L67"/>
  <sheetViews>
    <sheetView showGridLines="0" workbookViewId="0">
      <selection activeCell="A1" sqref="A1"/>
    </sheetView>
  </sheetViews>
  <sheetFormatPr baseColWidth="8" defaultRowHeight="15"/>
  <cols>
    <col width="1.5" customWidth="1" min="1" max="1"/>
    <col width="5" customWidth="1" min="2" max="2"/>
    <col width="46" customWidth="1" min="3" max="3"/>
    <col width="6" customWidth="1" min="4" max="4"/>
    <col width="13" customWidth="1" min="5" max="5"/>
    <col width="13" customWidth="1" min="6" max="6"/>
    <col width="12" customWidth="1" min="7" max="7"/>
    <col width="15" customWidth="1" min="8" max="8"/>
    <col width="11" customWidth="1" min="9" max="9"/>
    <col width="11" customWidth="1" min="10" max="10"/>
    <col width="24" customWidth="1" min="11" max="11"/>
    <col width="1.5" customWidth="1" min="12" max="12"/>
  </cols>
  <sheetData>
    <row r="1" ht="34" customHeight="1">
      <c r="A1" s="1" t="n"/>
      <c r="B1" s="1" t="n"/>
      <c r="C1" s="1" t="n"/>
      <c r="D1" s="1" t="n"/>
      <c r="E1" s="31">
        <f>INDEX(Textes!$B$2:$C$54,MATCH("title",Textes!$A$2:$A$54,0),Listes!$H$1)</f>
        <v/>
      </c>
      <c r="L1" s="1" t="n"/>
    </row>
    <row r="2" ht="22" customHeight="1">
      <c r="A2" s="1" t="n"/>
      <c r="B2" s="1" t="n"/>
      <c r="C2" s="1" t="n"/>
      <c r="D2" s="1" t="n"/>
      <c r="E2" s="32">
        <f>"N° "&amp;'1 Affaire'!$C$6&amp;"   ·   "&amp;IF('1 Affaire'!$C$7="","",TEXT('1 Affaire'!$C$7,"dd/mm/yyyy"))</f>
        <v/>
      </c>
      <c r="L2" s="1" t="n"/>
    </row>
    <row r="3" ht="5" customHeight="1">
      <c r="A3" s="4" t="n"/>
      <c r="B3" s="4" t="n"/>
      <c r="C3" s="4" t="n"/>
      <c r="D3" s="4" t="n"/>
      <c r="E3" s="4" t="n"/>
      <c r="F3" s="4" t="n"/>
      <c r="G3" s="4" t="n"/>
      <c r="H3" s="4" t="n"/>
      <c r="I3" s="4" t="n"/>
      <c r="J3" s="4" t="n"/>
      <c r="K3" s="4" t="n"/>
      <c r="L3" s="4" t="n"/>
    </row>
    <row r="4" ht="8" customHeight="1"/>
    <row r="5" ht="15" customHeight="1">
      <c r="B5" s="33">
        <f>UPPER(INDEX(Textes!$B$2:$C$54,MATCH("client",Textes!$A$2:$A$54,0),Listes!$H$1))</f>
        <v/>
      </c>
      <c r="D5" s="33">
        <f>UPPER(INDEX(Textes!$B$2:$C$54,MATCH("offer",Textes!$A$2:$A$54,0),Listes!$H$1))</f>
        <v/>
      </c>
      <c r="G5" s="33">
        <f>UPPER(INDEX(Textes!$B$2:$C$54,MATCH("date",Textes!$A$2:$A$54,0),Listes!$H$1))</f>
        <v/>
      </c>
      <c r="I5" s="33">
        <f>UPPER(INDEX(Textes!$B$2:$C$54,MATCH("by",Textes!$A$2:$A$54,0),Listes!$H$1))</f>
        <v/>
      </c>
    </row>
    <row r="6" ht="19" customHeight="1">
      <c r="B6" s="34">
        <f>""&amp;'1 Affaire'!$C$8</f>
        <v/>
      </c>
      <c r="C6" s="35" t="n"/>
      <c r="D6" s="34">
        <f>""&amp;'1 Affaire'!$C$6</f>
        <v/>
      </c>
      <c r="E6" s="35" t="n"/>
      <c r="F6" s="35" t="n"/>
      <c r="G6" s="34">
        <f>IF('1 Affaire'!$C$7="","",TEXT('1 Affaire'!$C$7,"dd/mm/yyyy"))</f>
        <v/>
      </c>
      <c r="H6" s="35" t="n"/>
      <c r="I6" s="34">
        <f>""&amp;'1 Affaire'!$F$6</f>
        <v/>
      </c>
      <c r="J6" s="35" t="n"/>
      <c r="K6" s="35" t="n"/>
    </row>
    <row r="7" ht="15" customHeight="1">
      <c r="B7" s="33">
        <f>UPPER(INDEX(Textes!$B$2:$C$54,MATCH("attn",Textes!$A$2:$A$54,0),Listes!$H$1))</f>
        <v/>
      </c>
      <c r="D7" s="33">
        <f>UPPER(INDEX(Textes!$B$2:$C$54,MATCH("well",Textes!$A$2:$A$54,0),Listes!$H$1))</f>
        <v/>
      </c>
      <c r="G7" s="33">
        <f>UPPER(INDEX(Textes!$B$2:$C$54,MATCH("rigjob",Textes!$A$2:$A$54,0),Listes!$H$1))</f>
        <v/>
      </c>
      <c r="I7" s="33">
        <f>UPPER(INDEX(Textes!$B$2:$C$54,MATCH("mail",Textes!$A$2:$A$54,0),Listes!$H$1))</f>
        <v/>
      </c>
    </row>
    <row r="8" ht="19" customHeight="1">
      <c r="B8" s="34">
        <f>""&amp;'1 Affaire'!$C$9</f>
        <v/>
      </c>
      <c r="C8" s="35" t="n"/>
      <c r="D8" s="34">
        <f>""&amp;'1 Affaire'!$C$10</f>
        <v/>
      </c>
      <c r="E8" s="35" t="n"/>
      <c r="F8" s="35" t="n"/>
      <c r="G8" s="34">
        <f>'1 Affaire'!$C$11&amp;IF('1 Affaire'!$C$12&lt;&gt;""," · "&amp;'1 Affaire'!$C$12,"")</f>
        <v/>
      </c>
      <c r="H8" s="35" t="n"/>
      <c r="I8" s="34">
        <f>""&amp;'1 Affaire'!$F$7</f>
        <v/>
      </c>
      <c r="J8" s="35" t="n"/>
      <c r="K8" s="35" t="n"/>
    </row>
    <row r="9" ht="15" customHeight="1">
      <c r="B9" s="33">
        <f>UPPER(INDEX(Textes!$B$2:$C$54,MATCH("po",Textes!$A$2:$A$54,0),Listes!$H$1))</f>
        <v/>
      </c>
      <c r="D9" s="33">
        <f>UPPER(INDEX(Textes!$B$2:$C$54,MATCH("inco",Textes!$A$2:$A$54,0),Listes!$H$1))</f>
        <v/>
      </c>
      <c r="G9" s="33">
        <f>UPPER(INDEX(Textes!$B$2:$C$54,MATCH("valid",Textes!$A$2:$A$54,0),Listes!$H$1))</f>
        <v/>
      </c>
      <c r="I9" s="33">
        <f>UPPER(INDEX(Textes!$B$2:$C$54,MATCH("tel",Textes!$A$2:$A$54,0),Listes!$H$1))</f>
        <v/>
      </c>
    </row>
    <row r="10" ht="19" customHeight="1">
      <c r="B10" s="34">
        <f>""&amp;'1 Affaire'!$C$13</f>
        <v/>
      </c>
      <c r="C10" s="35" t="n"/>
      <c r="D10" s="34">
        <f>""&amp;'1 Affaire'!$F$10</f>
        <v/>
      </c>
      <c r="E10" s="35" t="n"/>
      <c r="F10" s="35" t="n"/>
      <c r="G10" s="34">
        <f>""&amp;'1 Affaire'!$F$9</f>
        <v/>
      </c>
      <c r="H10" s="35" t="n"/>
      <c r="I10" s="34">
        <f>""&amp;'1 Affaire'!$F$8</f>
        <v/>
      </c>
      <c r="J10" s="35" t="n"/>
      <c r="K10" s="35" t="n"/>
    </row>
    <row r="11" ht="15" customHeight="1">
      <c r="B11" s="33">
        <f>UPPER(INDEX(Textes!$B$2:$C$54,MATCH("pay",Textes!$A$2:$A$54,0),Listes!$H$1))</f>
        <v/>
      </c>
      <c r="D11" s="33">
        <f>UPPER(INDEX(Textes!$B$2:$C$54,MATCH("lead",Textes!$A$2:$A$54,0),Listes!$H$1))</f>
        <v/>
      </c>
      <c r="G11" s="33">
        <f>UPPER(INDEX(Textes!$B$2:$C$54,MATCH("we",Textes!$A$2:$A$54,0),Listes!$H$1))</f>
        <v/>
      </c>
    </row>
    <row r="12" ht="19" customHeight="1">
      <c r="B12" s="34">
        <f>""&amp;'1 Affaire'!$F$12</f>
        <v/>
      </c>
      <c r="C12" s="35" t="n"/>
      <c r="D12" s="34">
        <f>""&amp;'1 Affaire'!$F$11</f>
        <v/>
      </c>
      <c r="E12" s="35" t="n"/>
      <c r="F12" s="35" t="n"/>
      <c r="G12" s="34">
        <f>""&amp;'1 Affaire'!$F$13</f>
        <v/>
      </c>
      <c r="H12" s="35" t="n"/>
    </row>
    <row r="13" ht="8" customHeight="1"/>
    <row r="14" ht="20" customHeight="1">
      <c r="B14" s="36">
        <f>INDEX(Textes!$B$2:$C$54,MATCH("sec_eq",Textes!$A$2:$A$54,0),Listes!$H$1)</f>
        <v/>
      </c>
      <c r="C14" s="37" t="n"/>
      <c r="D14" s="37" t="n"/>
      <c r="E14" s="37" t="n"/>
      <c r="F14" s="37" t="n"/>
      <c r="G14" s="37" t="n"/>
      <c r="H14" s="37" t="n"/>
      <c r="I14" s="37" t="n"/>
      <c r="J14" s="37" t="n"/>
      <c r="K14" s="37" t="n"/>
    </row>
    <row r="15" ht="44" customHeight="1">
      <c r="B15" s="38">
        <f>INDEX(Textes!$B$2:$C$54,MATCH("h_n",Textes!$A$2:$A$54,0),Listes!$H$1)</f>
        <v/>
      </c>
      <c r="C15" s="39">
        <f>INDEX(Textes!$B$2:$C$54,MATCH("h_desc",Textes!$A$2:$A$54,0),Listes!$H$1)</f>
        <v/>
      </c>
      <c r="D15" s="38">
        <f>INDEX(Textes!$B$2:$C$54,MATCH("h_qty",Textes!$A$2:$A$54,0),Listes!$H$1)</f>
        <v/>
      </c>
      <c r="E15" s="38">
        <f>INDEX(Textes!$B$2:$C$54,MATCH("h_s",Textes!$A$2:$A$54,0),Listes!$H$1)</f>
        <v/>
      </c>
      <c r="F15" s="38">
        <f>INDEX(Textes!$B$2:$C$54,MATCH("h_o",Textes!$A$2:$A$54,0),Listes!$H$1)</f>
        <v/>
      </c>
      <c r="G15" s="38">
        <f>INDEX(Textes!$B$2:$C$54,MATCH("h_uc",Textes!$A$2:$A$54,0),Listes!$H$1)</f>
        <v/>
      </c>
      <c r="H15" s="38">
        <f>INDEX(Textes!$B$2:$C$54,MATCH("h_lih",Textes!$A$2:$A$54,0),Listes!$H$1)</f>
        <v/>
      </c>
      <c r="I15" s="38">
        <f>INDEX(Textes!$B$2:$C$54,MATCH("h_insp",Textes!$A$2:$A$54,0),Listes!$H$1)</f>
        <v/>
      </c>
      <c r="J15" s="38">
        <f>INDEX(Textes!$B$2:$C$54,MATCH("h_rest",Textes!$A$2:$A$54,0),Listes!$H$1)</f>
        <v/>
      </c>
      <c r="K15" s="38">
        <f>INDEX(Textes!$B$2:$C$54,MATCH("h_ref",Textes!$A$2:$A$54,0),Listes!$H$1)</f>
        <v/>
      </c>
    </row>
    <row r="16" ht="21" customHeight="1">
      <c r="B16" s="16">
        <f>IF('2 Matériel'!$M6&gt;0,'2 Matériel'!$A6,"")</f>
        <v/>
      </c>
      <c r="C16" s="40">
        <f>IF('2 Matériel'!$M6&gt;0,'2 Matériel'!$C6,"")</f>
        <v/>
      </c>
      <c r="D16" s="41">
        <f>IF('2 Matériel'!$M6&gt;0,'2 Matériel'!$M6,"")</f>
        <v/>
      </c>
      <c r="E16" s="42">
        <f>IF('2 Matériel'!$M6&gt;0,IF(AND('2 Matériel'!$K6="Oui",'3 Options'!$C$14="Oui"),INDEX(Textes!$B$2:$C$54,MATCH("incl",Textes!$A$2:$A$54,0),Listes!$H$1),IF('2 Matériel'!$E6="","",'2 Matériel'!$E6)),"")</f>
        <v/>
      </c>
      <c r="F16" s="42">
        <f>IF('2 Matériel'!$M6&gt;0,IF(AND('2 Matériel'!$K6="Oui",'3 Options'!$C$14="Oui"),INDEX(Textes!$B$2:$C$54,MATCH("incl",Textes!$A$2:$A$54,0),Listes!$H$1),IF('2 Matériel'!$F6="","",'2 Matériel'!$F6)),"")</f>
        <v/>
      </c>
      <c r="G16" s="42">
        <f>IF('2 Matériel'!$M6&gt;0,IF(AND('2 Matériel'!$K6="Oui",'3 Options'!$C$14="Oui"),INDEX(Textes!$B$2:$C$54,MATCH("incl",Textes!$A$2:$A$54,0),Listes!$H$1),IF('2 Matériel'!$G6="","",'2 Matériel'!$G6)),"")</f>
        <v/>
      </c>
      <c r="H16" s="42">
        <f>IF('2 Matériel'!$M6&gt;0,IF(AND('2 Matériel'!$K6="Oui",'3 Options'!$C$14="Oui"),INDEX(Textes!$B$2:$C$54,MATCH("incl",Textes!$A$2:$A$54,0),Listes!$H$1),IF('2 Matériel'!$H6="","",'2 Matériel'!$H6)),"")</f>
        <v/>
      </c>
      <c r="I16" s="42">
        <f>IF('2 Matériel'!$M6&gt;0,IF(AND('2 Matériel'!$K6="Oui",'3 Options'!$C$14="Oui"),INDEX(Textes!$B$2:$C$54,MATCH("incl",Textes!$A$2:$A$54,0),Listes!$H$1),IF('2 Matériel'!$I6="","",'2 Matériel'!$I6)),"")</f>
        <v/>
      </c>
      <c r="J16" s="42">
        <f>IF('2 Matériel'!$M6&gt;0,IF(AND('2 Matériel'!$K6="Oui",'3 Options'!$C$14="Oui"),INDEX(Textes!$B$2:$C$54,MATCH("incl",Textes!$A$2:$A$54,0),Listes!$H$1),IF('2 Matériel'!$J6="","",'2 Matériel'!$J6)),"")</f>
        <v/>
      </c>
      <c r="K16" s="43">
        <f>IF('2 Matériel'!$M6&gt;0,IF(AND('2 Matériel'!$K6="Oui",'3 Options'!$C$14="Oui"),INDEX(Textes!$B$2:$C$54,MATCH("incl_long",Textes!$A$2:$A$54,0),Listes!$H$1),""),"")</f>
        <v/>
      </c>
    </row>
    <row r="17" ht="21" customHeight="1">
      <c r="B17" s="16">
        <f>IF('2 Matériel'!$M7&gt;0,'2 Matériel'!$A7,"")</f>
        <v/>
      </c>
      <c r="C17" s="40">
        <f>IF('2 Matériel'!$M7&gt;0,'2 Matériel'!$C7,"")</f>
        <v/>
      </c>
      <c r="D17" s="41">
        <f>IF('2 Matériel'!$M7&gt;0,'2 Matériel'!$M7,"")</f>
        <v/>
      </c>
      <c r="E17" s="42">
        <f>IF('2 Matériel'!$M7&gt;0,IF(AND('2 Matériel'!$K7="Oui",'3 Options'!$C$14="Oui"),INDEX(Textes!$B$2:$C$54,MATCH("incl",Textes!$A$2:$A$54,0),Listes!$H$1),IF('2 Matériel'!$E7="","",'2 Matériel'!$E7)),"")</f>
        <v/>
      </c>
      <c r="F17" s="42">
        <f>IF('2 Matériel'!$M7&gt;0,IF(AND('2 Matériel'!$K7="Oui",'3 Options'!$C$14="Oui"),INDEX(Textes!$B$2:$C$54,MATCH("incl",Textes!$A$2:$A$54,0),Listes!$H$1),IF('2 Matériel'!$F7="","",'2 Matériel'!$F7)),"")</f>
        <v/>
      </c>
      <c r="G17" s="42">
        <f>IF('2 Matériel'!$M7&gt;0,IF(AND('2 Matériel'!$K7="Oui",'3 Options'!$C$14="Oui"),INDEX(Textes!$B$2:$C$54,MATCH("incl",Textes!$A$2:$A$54,0),Listes!$H$1),IF('2 Matériel'!$G7="","",'2 Matériel'!$G7)),"")</f>
        <v/>
      </c>
      <c r="H17" s="42">
        <f>IF('2 Matériel'!$M7&gt;0,IF(AND('2 Matériel'!$K7="Oui",'3 Options'!$C$14="Oui"),INDEX(Textes!$B$2:$C$54,MATCH("incl",Textes!$A$2:$A$54,0),Listes!$H$1),IF('2 Matériel'!$H7="","",'2 Matériel'!$H7)),"")</f>
        <v/>
      </c>
      <c r="I17" s="42">
        <f>IF('2 Matériel'!$M7&gt;0,IF(AND('2 Matériel'!$K7="Oui",'3 Options'!$C$14="Oui"),INDEX(Textes!$B$2:$C$54,MATCH("incl",Textes!$A$2:$A$54,0),Listes!$H$1),IF('2 Matériel'!$I7="","",'2 Matériel'!$I7)),"")</f>
        <v/>
      </c>
      <c r="J17" s="42">
        <f>IF('2 Matériel'!$M7&gt;0,IF(AND('2 Matériel'!$K7="Oui",'3 Options'!$C$14="Oui"),INDEX(Textes!$B$2:$C$54,MATCH("incl",Textes!$A$2:$A$54,0),Listes!$H$1),IF('2 Matériel'!$J7="","",'2 Matériel'!$J7)),"")</f>
        <v/>
      </c>
      <c r="K17" s="43">
        <f>IF('2 Matériel'!$M7&gt;0,IF(AND('2 Matériel'!$K7="Oui",'3 Options'!$C$14="Oui"),INDEX(Textes!$B$2:$C$54,MATCH("incl_long",Textes!$A$2:$A$54,0),Listes!$H$1),""),"")</f>
        <v/>
      </c>
    </row>
    <row r="18" ht="21" customHeight="1">
      <c r="B18" s="16">
        <f>IF('2 Matériel'!$M8&gt;0,'2 Matériel'!$A8,"")</f>
        <v/>
      </c>
      <c r="C18" s="40">
        <f>IF('2 Matériel'!$M8&gt;0,'2 Matériel'!$C8,"")</f>
        <v/>
      </c>
      <c r="D18" s="41">
        <f>IF('2 Matériel'!$M8&gt;0,'2 Matériel'!$M8,"")</f>
        <v/>
      </c>
      <c r="E18" s="42">
        <f>IF('2 Matériel'!$M8&gt;0,IF(AND('2 Matériel'!$K8="Oui",'3 Options'!$C$14="Oui"),INDEX(Textes!$B$2:$C$54,MATCH("incl",Textes!$A$2:$A$54,0),Listes!$H$1),IF('2 Matériel'!$E8="","",'2 Matériel'!$E8)),"")</f>
        <v/>
      </c>
      <c r="F18" s="42">
        <f>IF('2 Matériel'!$M8&gt;0,IF(AND('2 Matériel'!$K8="Oui",'3 Options'!$C$14="Oui"),INDEX(Textes!$B$2:$C$54,MATCH("incl",Textes!$A$2:$A$54,0),Listes!$H$1),IF('2 Matériel'!$F8="","",'2 Matériel'!$F8)),"")</f>
        <v/>
      </c>
      <c r="G18" s="42">
        <f>IF('2 Matériel'!$M8&gt;0,IF(AND('2 Matériel'!$K8="Oui",'3 Options'!$C$14="Oui"),INDEX(Textes!$B$2:$C$54,MATCH("incl",Textes!$A$2:$A$54,0),Listes!$H$1),IF('2 Matériel'!$G8="","",'2 Matériel'!$G8)),"")</f>
        <v/>
      </c>
      <c r="H18" s="42">
        <f>IF('2 Matériel'!$M8&gt;0,IF(AND('2 Matériel'!$K8="Oui",'3 Options'!$C$14="Oui"),INDEX(Textes!$B$2:$C$54,MATCH("incl",Textes!$A$2:$A$54,0),Listes!$H$1),IF('2 Matériel'!$H8="","",'2 Matériel'!$H8)),"")</f>
        <v/>
      </c>
      <c r="I18" s="42">
        <f>IF('2 Matériel'!$M8&gt;0,IF(AND('2 Matériel'!$K8="Oui",'3 Options'!$C$14="Oui"),INDEX(Textes!$B$2:$C$54,MATCH("incl",Textes!$A$2:$A$54,0),Listes!$H$1),IF('2 Matériel'!$I8="","",'2 Matériel'!$I8)),"")</f>
        <v/>
      </c>
      <c r="J18" s="42">
        <f>IF('2 Matériel'!$M8&gt;0,IF(AND('2 Matériel'!$K8="Oui",'3 Options'!$C$14="Oui"),INDEX(Textes!$B$2:$C$54,MATCH("incl",Textes!$A$2:$A$54,0),Listes!$H$1),IF('2 Matériel'!$J8="","",'2 Matériel'!$J8)),"")</f>
        <v/>
      </c>
      <c r="K18" s="43">
        <f>IF('2 Matériel'!$M8&gt;0,IF(AND('2 Matériel'!$K8="Oui",'3 Options'!$C$14="Oui"),INDEX(Textes!$B$2:$C$54,MATCH("incl_long",Textes!$A$2:$A$54,0),Listes!$H$1),""),"")</f>
        <v/>
      </c>
    </row>
    <row r="19" ht="21" customHeight="1">
      <c r="B19" s="16">
        <f>IF('2 Matériel'!$M9&gt;0,'2 Matériel'!$A9,"")</f>
        <v/>
      </c>
      <c r="C19" s="40">
        <f>IF('2 Matériel'!$M9&gt;0,'2 Matériel'!$C9,"")</f>
        <v/>
      </c>
      <c r="D19" s="41">
        <f>IF('2 Matériel'!$M9&gt;0,'2 Matériel'!$M9,"")</f>
        <v/>
      </c>
      <c r="E19" s="42">
        <f>IF('2 Matériel'!$M9&gt;0,IF(AND('2 Matériel'!$K9="Oui",'3 Options'!$C$14="Oui"),INDEX(Textes!$B$2:$C$54,MATCH("incl",Textes!$A$2:$A$54,0),Listes!$H$1),IF('2 Matériel'!$E9="","",'2 Matériel'!$E9)),"")</f>
        <v/>
      </c>
      <c r="F19" s="42">
        <f>IF('2 Matériel'!$M9&gt;0,IF(AND('2 Matériel'!$K9="Oui",'3 Options'!$C$14="Oui"),INDEX(Textes!$B$2:$C$54,MATCH("incl",Textes!$A$2:$A$54,0),Listes!$H$1),IF('2 Matériel'!$F9="","",'2 Matériel'!$F9)),"")</f>
        <v/>
      </c>
      <c r="G19" s="42">
        <f>IF('2 Matériel'!$M9&gt;0,IF(AND('2 Matériel'!$K9="Oui",'3 Options'!$C$14="Oui"),INDEX(Textes!$B$2:$C$54,MATCH("incl",Textes!$A$2:$A$54,0),Listes!$H$1),IF('2 Matériel'!$G9="","",'2 Matériel'!$G9)),"")</f>
        <v/>
      </c>
      <c r="H19" s="42">
        <f>IF('2 Matériel'!$M9&gt;0,IF(AND('2 Matériel'!$K9="Oui",'3 Options'!$C$14="Oui"),INDEX(Textes!$B$2:$C$54,MATCH("incl",Textes!$A$2:$A$54,0),Listes!$H$1),IF('2 Matériel'!$H9="","",'2 Matériel'!$H9)),"")</f>
        <v/>
      </c>
      <c r="I19" s="42">
        <f>IF('2 Matériel'!$M9&gt;0,IF(AND('2 Matériel'!$K9="Oui",'3 Options'!$C$14="Oui"),INDEX(Textes!$B$2:$C$54,MATCH("incl",Textes!$A$2:$A$54,0),Listes!$H$1),IF('2 Matériel'!$I9="","",'2 Matériel'!$I9)),"")</f>
        <v/>
      </c>
      <c r="J19" s="42">
        <f>IF('2 Matériel'!$M9&gt;0,IF(AND('2 Matériel'!$K9="Oui",'3 Options'!$C$14="Oui"),INDEX(Textes!$B$2:$C$54,MATCH("incl",Textes!$A$2:$A$54,0),Listes!$H$1),IF('2 Matériel'!$J9="","",'2 Matériel'!$J9)),"")</f>
        <v/>
      </c>
      <c r="K19" s="43">
        <f>IF('2 Matériel'!$M9&gt;0,IF(AND('2 Matériel'!$K9="Oui",'3 Options'!$C$14="Oui"),INDEX(Textes!$B$2:$C$54,MATCH("incl_long",Textes!$A$2:$A$54,0),Listes!$H$1),""),"")</f>
        <v/>
      </c>
    </row>
    <row r="20" ht="21" customHeight="1">
      <c r="B20" s="16">
        <f>IF('2 Matériel'!$M10&gt;0,'2 Matériel'!$A10,"")</f>
        <v/>
      </c>
      <c r="C20" s="40">
        <f>IF('2 Matériel'!$M10&gt;0,'2 Matériel'!$C10,"")</f>
        <v/>
      </c>
      <c r="D20" s="41">
        <f>IF('2 Matériel'!$M10&gt;0,'2 Matériel'!$M10,"")</f>
        <v/>
      </c>
      <c r="E20" s="42">
        <f>IF('2 Matériel'!$M10&gt;0,IF(AND('2 Matériel'!$K10="Oui",'3 Options'!$C$14="Oui"),INDEX(Textes!$B$2:$C$54,MATCH("incl",Textes!$A$2:$A$54,0),Listes!$H$1),IF('2 Matériel'!$E10="","",'2 Matériel'!$E10)),"")</f>
        <v/>
      </c>
      <c r="F20" s="42">
        <f>IF('2 Matériel'!$M10&gt;0,IF(AND('2 Matériel'!$K10="Oui",'3 Options'!$C$14="Oui"),INDEX(Textes!$B$2:$C$54,MATCH("incl",Textes!$A$2:$A$54,0),Listes!$H$1),IF('2 Matériel'!$F10="","",'2 Matériel'!$F10)),"")</f>
        <v/>
      </c>
      <c r="G20" s="42">
        <f>IF('2 Matériel'!$M10&gt;0,IF(AND('2 Matériel'!$K10="Oui",'3 Options'!$C$14="Oui"),INDEX(Textes!$B$2:$C$54,MATCH("incl",Textes!$A$2:$A$54,0),Listes!$H$1),IF('2 Matériel'!$G10="","",'2 Matériel'!$G10)),"")</f>
        <v/>
      </c>
      <c r="H20" s="42">
        <f>IF('2 Matériel'!$M10&gt;0,IF(AND('2 Matériel'!$K10="Oui",'3 Options'!$C$14="Oui"),INDEX(Textes!$B$2:$C$54,MATCH("incl",Textes!$A$2:$A$54,0),Listes!$H$1),IF('2 Matériel'!$H10="","",'2 Matériel'!$H10)),"")</f>
        <v/>
      </c>
      <c r="I20" s="42">
        <f>IF('2 Matériel'!$M10&gt;0,IF(AND('2 Matériel'!$K10="Oui",'3 Options'!$C$14="Oui"),INDEX(Textes!$B$2:$C$54,MATCH("incl",Textes!$A$2:$A$54,0),Listes!$H$1),IF('2 Matériel'!$I10="","",'2 Matériel'!$I10)),"")</f>
        <v/>
      </c>
      <c r="J20" s="42">
        <f>IF('2 Matériel'!$M10&gt;0,IF(AND('2 Matériel'!$K10="Oui",'3 Options'!$C$14="Oui"),INDEX(Textes!$B$2:$C$54,MATCH("incl",Textes!$A$2:$A$54,0),Listes!$H$1),IF('2 Matériel'!$J10="","",'2 Matériel'!$J10)),"")</f>
        <v/>
      </c>
      <c r="K20" s="43">
        <f>IF('2 Matériel'!$M10&gt;0,IF(AND('2 Matériel'!$K10="Oui",'3 Options'!$C$14="Oui"),INDEX(Textes!$B$2:$C$54,MATCH("incl_long",Textes!$A$2:$A$54,0),Listes!$H$1),""),"")</f>
        <v/>
      </c>
    </row>
    <row r="21" ht="21" customHeight="1">
      <c r="B21" s="16">
        <f>IF('2 Matériel'!$M11&gt;0,'2 Matériel'!$A11,"")</f>
        <v/>
      </c>
      <c r="C21" s="40">
        <f>IF('2 Matériel'!$M11&gt;0,'2 Matériel'!$C11,"")</f>
        <v/>
      </c>
      <c r="D21" s="41">
        <f>IF('2 Matériel'!$M11&gt;0,'2 Matériel'!$M11,"")</f>
        <v/>
      </c>
      <c r="E21" s="42">
        <f>IF('2 Matériel'!$M11&gt;0,IF(AND('2 Matériel'!$K11="Oui",'3 Options'!$C$14="Oui"),INDEX(Textes!$B$2:$C$54,MATCH("incl",Textes!$A$2:$A$54,0),Listes!$H$1),IF('2 Matériel'!$E11="","",'2 Matériel'!$E11)),"")</f>
        <v/>
      </c>
      <c r="F21" s="42">
        <f>IF('2 Matériel'!$M11&gt;0,IF(AND('2 Matériel'!$K11="Oui",'3 Options'!$C$14="Oui"),INDEX(Textes!$B$2:$C$54,MATCH("incl",Textes!$A$2:$A$54,0),Listes!$H$1),IF('2 Matériel'!$F11="","",'2 Matériel'!$F11)),"")</f>
        <v/>
      </c>
      <c r="G21" s="42">
        <f>IF('2 Matériel'!$M11&gt;0,IF(AND('2 Matériel'!$K11="Oui",'3 Options'!$C$14="Oui"),INDEX(Textes!$B$2:$C$54,MATCH("incl",Textes!$A$2:$A$54,0),Listes!$H$1),IF('2 Matériel'!$G11="","",'2 Matériel'!$G11)),"")</f>
        <v/>
      </c>
      <c r="H21" s="42">
        <f>IF('2 Matériel'!$M11&gt;0,IF(AND('2 Matériel'!$K11="Oui",'3 Options'!$C$14="Oui"),INDEX(Textes!$B$2:$C$54,MATCH("incl",Textes!$A$2:$A$54,0),Listes!$H$1),IF('2 Matériel'!$H11="","",'2 Matériel'!$H11)),"")</f>
        <v/>
      </c>
      <c r="I21" s="42">
        <f>IF('2 Matériel'!$M11&gt;0,IF(AND('2 Matériel'!$K11="Oui",'3 Options'!$C$14="Oui"),INDEX(Textes!$B$2:$C$54,MATCH("incl",Textes!$A$2:$A$54,0),Listes!$H$1),IF('2 Matériel'!$I11="","",'2 Matériel'!$I11)),"")</f>
        <v/>
      </c>
      <c r="J21" s="42">
        <f>IF('2 Matériel'!$M11&gt;0,IF(AND('2 Matériel'!$K11="Oui",'3 Options'!$C$14="Oui"),INDEX(Textes!$B$2:$C$54,MATCH("incl",Textes!$A$2:$A$54,0),Listes!$H$1),IF('2 Matériel'!$J11="","",'2 Matériel'!$J11)),"")</f>
        <v/>
      </c>
      <c r="K21" s="43">
        <f>IF('2 Matériel'!$M11&gt;0,IF(AND('2 Matériel'!$K11="Oui",'3 Options'!$C$14="Oui"),INDEX(Textes!$B$2:$C$54,MATCH("incl_long",Textes!$A$2:$A$54,0),Listes!$H$1),""),"")</f>
        <v/>
      </c>
    </row>
    <row r="22" ht="21" customHeight="1">
      <c r="B22" s="16">
        <f>IF('2 Matériel'!$M12&gt;0,'2 Matériel'!$A12,"")</f>
        <v/>
      </c>
      <c r="C22" s="40">
        <f>IF('2 Matériel'!$M12&gt;0,'2 Matériel'!$C12,"")</f>
        <v/>
      </c>
      <c r="D22" s="41">
        <f>IF('2 Matériel'!$M12&gt;0,'2 Matériel'!$M12,"")</f>
        <v/>
      </c>
      <c r="E22" s="42">
        <f>IF('2 Matériel'!$M12&gt;0,IF(AND('2 Matériel'!$K12="Oui",'3 Options'!$C$14="Oui"),INDEX(Textes!$B$2:$C$54,MATCH("incl",Textes!$A$2:$A$54,0),Listes!$H$1),IF('2 Matériel'!$E12="","",'2 Matériel'!$E12)),"")</f>
        <v/>
      </c>
      <c r="F22" s="42">
        <f>IF('2 Matériel'!$M12&gt;0,IF(AND('2 Matériel'!$K12="Oui",'3 Options'!$C$14="Oui"),INDEX(Textes!$B$2:$C$54,MATCH("incl",Textes!$A$2:$A$54,0),Listes!$H$1),IF('2 Matériel'!$F12="","",'2 Matériel'!$F12)),"")</f>
        <v/>
      </c>
      <c r="G22" s="42">
        <f>IF('2 Matériel'!$M12&gt;0,IF(AND('2 Matériel'!$K12="Oui",'3 Options'!$C$14="Oui"),INDEX(Textes!$B$2:$C$54,MATCH("incl",Textes!$A$2:$A$54,0),Listes!$H$1),IF('2 Matériel'!$G12="","",'2 Matériel'!$G12)),"")</f>
        <v/>
      </c>
      <c r="H22" s="42">
        <f>IF('2 Matériel'!$M12&gt;0,IF(AND('2 Matériel'!$K12="Oui",'3 Options'!$C$14="Oui"),INDEX(Textes!$B$2:$C$54,MATCH("incl",Textes!$A$2:$A$54,0),Listes!$H$1),IF('2 Matériel'!$H12="","",'2 Matériel'!$H12)),"")</f>
        <v/>
      </c>
      <c r="I22" s="42">
        <f>IF('2 Matériel'!$M12&gt;0,IF(AND('2 Matériel'!$K12="Oui",'3 Options'!$C$14="Oui"),INDEX(Textes!$B$2:$C$54,MATCH("incl",Textes!$A$2:$A$54,0),Listes!$H$1),IF('2 Matériel'!$I12="","",'2 Matériel'!$I12)),"")</f>
        <v/>
      </c>
      <c r="J22" s="42">
        <f>IF('2 Matériel'!$M12&gt;0,IF(AND('2 Matériel'!$K12="Oui",'3 Options'!$C$14="Oui"),INDEX(Textes!$B$2:$C$54,MATCH("incl",Textes!$A$2:$A$54,0),Listes!$H$1),IF('2 Matériel'!$J12="","",'2 Matériel'!$J12)),"")</f>
        <v/>
      </c>
      <c r="K22" s="43">
        <f>IF('2 Matériel'!$M12&gt;0,IF(AND('2 Matériel'!$K12="Oui",'3 Options'!$C$14="Oui"),INDEX(Textes!$B$2:$C$54,MATCH("incl_long",Textes!$A$2:$A$54,0),Listes!$H$1),""),"")</f>
        <v/>
      </c>
    </row>
    <row r="23" ht="21" customHeight="1">
      <c r="B23" s="16">
        <f>IF('2 Matériel'!$M13&gt;0,'2 Matériel'!$A13,"")</f>
        <v/>
      </c>
      <c r="C23" s="40">
        <f>IF('2 Matériel'!$M13&gt;0,'2 Matériel'!$C13,"")</f>
        <v/>
      </c>
      <c r="D23" s="41">
        <f>IF('2 Matériel'!$M13&gt;0,'2 Matériel'!$M13,"")</f>
        <v/>
      </c>
      <c r="E23" s="42">
        <f>IF('2 Matériel'!$M13&gt;0,IF(AND('2 Matériel'!$K13="Oui",'3 Options'!$C$14="Oui"),INDEX(Textes!$B$2:$C$54,MATCH("incl",Textes!$A$2:$A$54,0),Listes!$H$1),IF('2 Matériel'!$E13="","",'2 Matériel'!$E13)),"")</f>
        <v/>
      </c>
      <c r="F23" s="42">
        <f>IF('2 Matériel'!$M13&gt;0,IF(AND('2 Matériel'!$K13="Oui",'3 Options'!$C$14="Oui"),INDEX(Textes!$B$2:$C$54,MATCH("incl",Textes!$A$2:$A$54,0),Listes!$H$1),IF('2 Matériel'!$F13="","",'2 Matériel'!$F13)),"")</f>
        <v/>
      </c>
      <c r="G23" s="42">
        <f>IF('2 Matériel'!$M13&gt;0,IF(AND('2 Matériel'!$K13="Oui",'3 Options'!$C$14="Oui"),INDEX(Textes!$B$2:$C$54,MATCH("incl",Textes!$A$2:$A$54,0),Listes!$H$1),IF('2 Matériel'!$G13="","",'2 Matériel'!$G13)),"")</f>
        <v/>
      </c>
      <c r="H23" s="42">
        <f>IF('2 Matériel'!$M13&gt;0,IF(AND('2 Matériel'!$K13="Oui",'3 Options'!$C$14="Oui"),INDEX(Textes!$B$2:$C$54,MATCH("incl",Textes!$A$2:$A$54,0),Listes!$H$1),IF('2 Matériel'!$H13="","",'2 Matériel'!$H13)),"")</f>
        <v/>
      </c>
      <c r="I23" s="42">
        <f>IF('2 Matériel'!$M13&gt;0,IF(AND('2 Matériel'!$K13="Oui",'3 Options'!$C$14="Oui"),INDEX(Textes!$B$2:$C$54,MATCH("incl",Textes!$A$2:$A$54,0),Listes!$H$1),IF('2 Matériel'!$I13="","",'2 Matériel'!$I13)),"")</f>
        <v/>
      </c>
      <c r="J23" s="42">
        <f>IF('2 Matériel'!$M13&gt;0,IF(AND('2 Matériel'!$K13="Oui",'3 Options'!$C$14="Oui"),INDEX(Textes!$B$2:$C$54,MATCH("incl",Textes!$A$2:$A$54,0),Listes!$H$1),IF('2 Matériel'!$J13="","",'2 Matériel'!$J13)),"")</f>
        <v/>
      </c>
      <c r="K23" s="43">
        <f>IF('2 Matériel'!$M13&gt;0,IF(AND('2 Matériel'!$K13="Oui",'3 Options'!$C$14="Oui"),INDEX(Textes!$B$2:$C$54,MATCH("incl_long",Textes!$A$2:$A$54,0),Listes!$H$1),""),"")</f>
        <v/>
      </c>
    </row>
    <row r="24" ht="21" customHeight="1">
      <c r="B24" s="16">
        <f>IF('2 Matériel'!$M14&gt;0,'2 Matériel'!$A14,"")</f>
        <v/>
      </c>
      <c r="C24" s="40">
        <f>IF('2 Matériel'!$M14&gt;0,'2 Matériel'!$C14,"")</f>
        <v/>
      </c>
      <c r="D24" s="41">
        <f>IF('2 Matériel'!$M14&gt;0,'2 Matériel'!$M14,"")</f>
        <v/>
      </c>
      <c r="E24" s="42">
        <f>IF('2 Matériel'!$M14&gt;0,IF(AND('2 Matériel'!$K14="Oui",'3 Options'!$C$14="Oui"),INDEX(Textes!$B$2:$C$54,MATCH("incl",Textes!$A$2:$A$54,0),Listes!$H$1),IF('2 Matériel'!$E14="","",'2 Matériel'!$E14)),"")</f>
        <v/>
      </c>
      <c r="F24" s="42">
        <f>IF('2 Matériel'!$M14&gt;0,IF(AND('2 Matériel'!$K14="Oui",'3 Options'!$C$14="Oui"),INDEX(Textes!$B$2:$C$54,MATCH("incl",Textes!$A$2:$A$54,0),Listes!$H$1),IF('2 Matériel'!$F14="","",'2 Matériel'!$F14)),"")</f>
        <v/>
      </c>
      <c r="G24" s="42">
        <f>IF('2 Matériel'!$M14&gt;0,IF(AND('2 Matériel'!$K14="Oui",'3 Options'!$C$14="Oui"),INDEX(Textes!$B$2:$C$54,MATCH("incl",Textes!$A$2:$A$54,0),Listes!$H$1),IF('2 Matériel'!$G14="","",'2 Matériel'!$G14)),"")</f>
        <v/>
      </c>
      <c r="H24" s="42">
        <f>IF('2 Matériel'!$M14&gt;0,IF(AND('2 Matériel'!$K14="Oui",'3 Options'!$C$14="Oui"),INDEX(Textes!$B$2:$C$54,MATCH("incl",Textes!$A$2:$A$54,0),Listes!$H$1),IF('2 Matériel'!$H14="","",'2 Matériel'!$H14)),"")</f>
        <v/>
      </c>
      <c r="I24" s="42">
        <f>IF('2 Matériel'!$M14&gt;0,IF(AND('2 Matériel'!$K14="Oui",'3 Options'!$C$14="Oui"),INDEX(Textes!$B$2:$C$54,MATCH("incl",Textes!$A$2:$A$54,0),Listes!$H$1),IF('2 Matériel'!$I14="","",'2 Matériel'!$I14)),"")</f>
        <v/>
      </c>
      <c r="J24" s="42">
        <f>IF('2 Matériel'!$M14&gt;0,IF(AND('2 Matériel'!$K14="Oui",'3 Options'!$C$14="Oui"),INDEX(Textes!$B$2:$C$54,MATCH("incl",Textes!$A$2:$A$54,0),Listes!$H$1),IF('2 Matériel'!$J14="","",'2 Matériel'!$J14)),"")</f>
        <v/>
      </c>
      <c r="K24" s="43">
        <f>IF('2 Matériel'!$M14&gt;0,IF(AND('2 Matériel'!$K14="Oui",'3 Options'!$C$14="Oui"),INDEX(Textes!$B$2:$C$54,MATCH("incl_long",Textes!$A$2:$A$54,0),Listes!$H$1),""),"")</f>
        <v/>
      </c>
    </row>
    <row r="25" ht="21" customHeight="1">
      <c r="B25" s="16">
        <f>IF('2 Matériel'!$M15&gt;0,'2 Matériel'!$A15,"")</f>
        <v/>
      </c>
      <c r="C25" s="40">
        <f>IF('2 Matériel'!$M15&gt;0,'2 Matériel'!$C15,"")</f>
        <v/>
      </c>
      <c r="D25" s="41">
        <f>IF('2 Matériel'!$M15&gt;0,'2 Matériel'!$M15,"")</f>
        <v/>
      </c>
      <c r="E25" s="42">
        <f>IF('2 Matériel'!$M15&gt;0,IF(AND('2 Matériel'!$K15="Oui",'3 Options'!$C$14="Oui"),INDEX(Textes!$B$2:$C$54,MATCH("incl",Textes!$A$2:$A$54,0),Listes!$H$1),IF('2 Matériel'!$E15="","",'2 Matériel'!$E15)),"")</f>
        <v/>
      </c>
      <c r="F25" s="42">
        <f>IF('2 Matériel'!$M15&gt;0,IF(AND('2 Matériel'!$K15="Oui",'3 Options'!$C$14="Oui"),INDEX(Textes!$B$2:$C$54,MATCH("incl",Textes!$A$2:$A$54,0),Listes!$H$1),IF('2 Matériel'!$F15="","",'2 Matériel'!$F15)),"")</f>
        <v/>
      </c>
      <c r="G25" s="42">
        <f>IF('2 Matériel'!$M15&gt;0,IF(AND('2 Matériel'!$K15="Oui",'3 Options'!$C$14="Oui"),INDEX(Textes!$B$2:$C$54,MATCH("incl",Textes!$A$2:$A$54,0),Listes!$H$1),IF('2 Matériel'!$G15="","",'2 Matériel'!$G15)),"")</f>
        <v/>
      </c>
      <c r="H25" s="42">
        <f>IF('2 Matériel'!$M15&gt;0,IF(AND('2 Matériel'!$K15="Oui",'3 Options'!$C$14="Oui"),INDEX(Textes!$B$2:$C$54,MATCH("incl",Textes!$A$2:$A$54,0),Listes!$H$1),IF('2 Matériel'!$H15="","",'2 Matériel'!$H15)),"")</f>
        <v/>
      </c>
      <c r="I25" s="42">
        <f>IF('2 Matériel'!$M15&gt;0,IF(AND('2 Matériel'!$K15="Oui",'3 Options'!$C$14="Oui"),INDEX(Textes!$B$2:$C$54,MATCH("incl",Textes!$A$2:$A$54,0),Listes!$H$1),IF('2 Matériel'!$I15="","",'2 Matériel'!$I15)),"")</f>
        <v/>
      </c>
      <c r="J25" s="42">
        <f>IF('2 Matériel'!$M15&gt;0,IF(AND('2 Matériel'!$K15="Oui",'3 Options'!$C$14="Oui"),INDEX(Textes!$B$2:$C$54,MATCH("incl",Textes!$A$2:$A$54,0),Listes!$H$1),IF('2 Matériel'!$J15="","",'2 Matériel'!$J15)),"")</f>
        <v/>
      </c>
      <c r="K25" s="43">
        <f>IF('2 Matériel'!$M15&gt;0,IF(AND('2 Matériel'!$K15="Oui",'3 Options'!$C$14="Oui"),INDEX(Textes!$B$2:$C$54,MATCH("incl_long",Textes!$A$2:$A$54,0),Listes!$H$1),""),"")</f>
        <v/>
      </c>
    </row>
    <row r="26" ht="21" customHeight="1">
      <c r="B26" s="16">
        <f>IF('2 Matériel'!$M16&gt;0,'2 Matériel'!$A16,"")</f>
        <v/>
      </c>
      <c r="C26" s="40">
        <f>IF('2 Matériel'!$M16&gt;0,'2 Matériel'!$C16,"")</f>
        <v/>
      </c>
      <c r="D26" s="41">
        <f>IF('2 Matériel'!$M16&gt;0,'2 Matériel'!$M16,"")</f>
        <v/>
      </c>
      <c r="E26" s="42">
        <f>IF('2 Matériel'!$M16&gt;0,IF(AND('2 Matériel'!$K16="Oui",'3 Options'!$C$14="Oui"),INDEX(Textes!$B$2:$C$54,MATCH("incl",Textes!$A$2:$A$54,0),Listes!$H$1),IF('2 Matériel'!$E16="","",'2 Matériel'!$E16)),"")</f>
        <v/>
      </c>
      <c r="F26" s="42">
        <f>IF('2 Matériel'!$M16&gt;0,IF(AND('2 Matériel'!$K16="Oui",'3 Options'!$C$14="Oui"),INDEX(Textes!$B$2:$C$54,MATCH("incl",Textes!$A$2:$A$54,0),Listes!$H$1),IF('2 Matériel'!$F16="","",'2 Matériel'!$F16)),"")</f>
        <v/>
      </c>
      <c r="G26" s="42">
        <f>IF('2 Matériel'!$M16&gt;0,IF(AND('2 Matériel'!$K16="Oui",'3 Options'!$C$14="Oui"),INDEX(Textes!$B$2:$C$54,MATCH("incl",Textes!$A$2:$A$54,0),Listes!$H$1),IF('2 Matériel'!$G16="","",'2 Matériel'!$G16)),"")</f>
        <v/>
      </c>
      <c r="H26" s="42">
        <f>IF('2 Matériel'!$M16&gt;0,IF(AND('2 Matériel'!$K16="Oui",'3 Options'!$C$14="Oui"),INDEX(Textes!$B$2:$C$54,MATCH("incl",Textes!$A$2:$A$54,0),Listes!$H$1),IF('2 Matériel'!$H16="","",'2 Matériel'!$H16)),"")</f>
        <v/>
      </c>
      <c r="I26" s="42">
        <f>IF('2 Matériel'!$M16&gt;0,IF(AND('2 Matériel'!$K16="Oui",'3 Options'!$C$14="Oui"),INDEX(Textes!$B$2:$C$54,MATCH("incl",Textes!$A$2:$A$54,0),Listes!$H$1),IF('2 Matériel'!$I16="","",'2 Matériel'!$I16)),"")</f>
        <v/>
      </c>
      <c r="J26" s="42">
        <f>IF('2 Matériel'!$M16&gt;0,IF(AND('2 Matériel'!$K16="Oui",'3 Options'!$C$14="Oui"),INDEX(Textes!$B$2:$C$54,MATCH("incl",Textes!$A$2:$A$54,0),Listes!$H$1),IF('2 Matériel'!$J16="","",'2 Matériel'!$J16)),"")</f>
        <v/>
      </c>
      <c r="K26" s="43">
        <f>IF('2 Matériel'!$M16&gt;0,IF(AND('2 Matériel'!$K16="Oui",'3 Options'!$C$14="Oui"),INDEX(Textes!$B$2:$C$54,MATCH("incl_long",Textes!$A$2:$A$54,0),Listes!$H$1),""),"")</f>
        <v/>
      </c>
    </row>
    <row r="27" ht="21" customHeight="1">
      <c r="B27" s="16">
        <f>IF('2 Matériel'!$M17&gt;0,'2 Matériel'!$A17,"")</f>
        <v/>
      </c>
      <c r="C27" s="40">
        <f>IF('2 Matériel'!$M17&gt;0,'2 Matériel'!$C17,"")</f>
        <v/>
      </c>
      <c r="D27" s="41">
        <f>IF('2 Matériel'!$M17&gt;0,'2 Matériel'!$M17,"")</f>
        <v/>
      </c>
      <c r="E27" s="42">
        <f>IF('2 Matériel'!$M17&gt;0,IF(AND('2 Matériel'!$K17="Oui",'3 Options'!$C$14="Oui"),INDEX(Textes!$B$2:$C$54,MATCH("incl",Textes!$A$2:$A$54,0),Listes!$H$1),IF('2 Matériel'!$E17="","",'2 Matériel'!$E17)),"")</f>
        <v/>
      </c>
      <c r="F27" s="42">
        <f>IF('2 Matériel'!$M17&gt;0,IF(AND('2 Matériel'!$K17="Oui",'3 Options'!$C$14="Oui"),INDEX(Textes!$B$2:$C$54,MATCH("incl",Textes!$A$2:$A$54,0),Listes!$H$1),IF('2 Matériel'!$F17="","",'2 Matériel'!$F17)),"")</f>
        <v/>
      </c>
      <c r="G27" s="42">
        <f>IF('2 Matériel'!$M17&gt;0,IF(AND('2 Matériel'!$K17="Oui",'3 Options'!$C$14="Oui"),INDEX(Textes!$B$2:$C$54,MATCH("incl",Textes!$A$2:$A$54,0),Listes!$H$1),IF('2 Matériel'!$G17="","",'2 Matériel'!$G17)),"")</f>
        <v/>
      </c>
      <c r="H27" s="42">
        <f>IF('2 Matériel'!$M17&gt;0,IF(AND('2 Matériel'!$K17="Oui",'3 Options'!$C$14="Oui"),INDEX(Textes!$B$2:$C$54,MATCH("incl",Textes!$A$2:$A$54,0),Listes!$H$1),IF('2 Matériel'!$H17="","",'2 Matériel'!$H17)),"")</f>
        <v/>
      </c>
      <c r="I27" s="42">
        <f>IF('2 Matériel'!$M17&gt;0,IF(AND('2 Matériel'!$K17="Oui",'3 Options'!$C$14="Oui"),INDEX(Textes!$B$2:$C$54,MATCH("incl",Textes!$A$2:$A$54,0),Listes!$H$1),IF('2 Matériel'!$I17="","",'2 Matériel'!$I17)),"")</f>
        <v/>
      </c>
      <c r="J27" s="42">
        <f>IF('2 Matériel'!$M17&gt;0,IF(AND('2 Matériel'!$K17="Oui",'3 Options'!$C$14="Oui"),INDEX(Textes!$B$2:$C$54,MATCH("incl",Textes!$A$2:$A$54,0),Listes!$H$1),IF('2 Matériel'!$J17="","",'2 Matériel'!$J17)),"")</f>
        <v/>
      </c>
      <c r="K27" s="43">
        <f>IF('2 Matériel'!$M17&gt;0,IF(AND('2 Matériel'!$K17="Oui",'3 Options'!$C$14="Oui"),INDEX(Textes!$B$2:$C$54,MATCH("incl_long",Textes!$A$2:$A$54,0),Listes!$H$1),""),"")</f>
        <v/>
      </c>
    </row>
    <row r="28" ht="21" customHeight="1">
      <c r="B28" s="16">
        <f>IF('2 Matériel'!$M18&gt;0,'2 Matériel'!$A18,"")</f>
        <v/>
      </c>
      <c r="C28" s="40">
        <f>IF('2 Matériel'!$M18&gt;0,'2 Matériel'!$C18,"")</f>
        <v/>
      </c>
      <c r="D28" s="41">
        <f>IF('2 Matériel'!$M18&gt;0,'2 Matériel'!$M18,"")</f>
        <v/>
      </c>
      <c r="E28" s="42">
        <f>IF('2 Matériel'!$M18&gt;0,IF(AND('2 Matériel'!$K18="Oui",'3 Options'!$C$14="Oui"),INDEX(Textes!$B$2:$C$54,MATCH("incl",Textes!$A$2:$A$54,0),Listes!$H$1),IF('2 Matériel'!$E18="","",'2 Matériel'!$E18)),"")</f>
        <v/>
      </c>
      <c r="F28" s="42">
        <f>IF('2 Matériel'!$M18&gt;0,IF(AND('2 Matériel'!$K18="Oui",'3 Options'!$C$14="Oui"),INDEX(Textes!$B$2:$C$54,MATCH("incl",Textes!$A$2:$A$54,0),Listes!$H$1),IF('2 Matériel'!$F18="","",'2 Matériel'!$F18)),"")</f>
        <v/>
      </c>
      <c r="G28" s="42">
        <f>IF('2 Matériel'!$M18&gt;0,IF(AND('2 Matériel'!$K18="Oui",'3 Options'!$C$14="Oui"),INDEX(Textes!$B$2:$C$54,MATCH("incl",Textes!$A$2:$A$54,0),Listes!$H$1),IF('2 Matériel'!$G18="","",'2 Matériel'!$G18)),"")</f>
        <v/>
      </c>
      <c r="H28" s="42">
        <f>IF('2 Matériel'!$M18&gt;0,IF(AND('2 Matériel'!$K18="Oui",'3 Options'!$C$14="Oui"),INDEX(Textes!$B$2:$C$54,MATCH("incl",Textes!$A$2:$A$54,0),Listes!$H$1),IF('2 Matériel'!$H18="","",'2 Matériel'!$H18)),"")</f>
        <v/>
      </c>
      <c r="I28" s="42">
        <f>IF('2 Matériel'!$M18&gt;0,IF(AND('2 Matériel'!$K18="Oui",'3 Options'!$C$14="Oui"),INDEX(Textes!$B$2:$C$54,MATCH("incl",Textes!$A$2:$A$54,0),Listes!$H$1),IF('2 Matériel'!$I18="","",'2 Matériel'!$I18)),"")</f>
        <v/>
      </c>
      <c r="J28" s="42">
        <f>IF('2 Matériel'!$M18&gt;0,IF(AND('2 Matériel'!$K18="Oui",'3 Options'!$C$14="Oui"),INDEX(Textes!$B$2:$C$54,MATCH("incl",Textes!$A$2:$A$54,0),Listes!$H$1),IF('2 Matériel'!$J18="","",'2 Matériel'!$J18)),"")</f>
        <v/>
      </c>
      <c r="K28" s="43">
        <f>IF('2 Matériel'!$M18&gt;0,IF(AND('2 Matériel'!$K18="Oui",'3 Options'!$C$14="Oui"),INDEX(Textes!$B$2:$C$54,MATCH("incl_long",Textes!$A$2:$A$54,0),Listes!$H$1),""),"")</f>
        <v/>
      </c>
    </row>
    <row r="29" ht="21" customHeight="1">
      <c r="B29" s="16">
        <f>IF('2 Matériel'!$M19&gt;0,'2 Matériel'!$A19,"")</f>
        <v/>
      </c>
      <c r="C29" s="40">
        <f>IF('2 Matériel'!$M19&gt;0,'2 Matériel'!$C19,"")</f>
        <v/>
      </c>
      <c r="D29" s="41">
        <f>IF('2 Matériel'!$M19&gt;0,'2 Matériel'!$M19,"")</f>
        <v/>
      </c>
      <c r="E29" s="42">
        <f>IF('2 Matériel'!$M19&gt;0,IF(AND('2 Matériel'!$K19="Oui",'3 Options'!$C$14="Oui"),INDEX(Textes!$B$2:$C$54,MATCH("incl",Textes!$A$2:$A$54,0),Listes!$H$1),IF('2 Matériel'!$E19="","",'2 Matériel'!$E19)),"")</f>
        <v/>
      </c>
      <c r="F29" s="42">
        <f>IF('2 Matériel'!$M19&gt;0,IF(AND('2 Matériel'!$K19="Oui",'3 Options'!$C$14="Oui"),INDEX(Textes!$B$2:$C$54,MATCH("incl",Textes!$A$2:$A$54,0),Listes!$H$1),IF('2 Matériel'!$F19="","",'2 Matériel'!$F19)),"")</f>
        <v/>
      </c>
      <c r="G29" s="42">
        <f>IF('2 Matériel'!$M19&gt;0,IF(AND('2 Matériel'!$K19="Oui",'3 Options'!$C$14="Oui"),INDEX(Textes!$B$2:$C$54,MATCH("incl",Textes!$A$2:$A$54,0),Listes!$H$1),IF('2 Matériel'!$G19="","",'2 Matériel'!$G19)),"")</f>
        <v/>
      </c>
      <c r="H29" s="42">
        <f>IF('2 Matériel'!$M19&gt;0,IF(AND('2 Matériel'!$K19="Oui",'3 Options'!$C$14="Oui"),INDEX(Textes!$B$2:$C$54,MATCH("incl",Textes!$A$2:$A$54,0),Listes!$H$1),IF('2 Matériel'!$H19="","",'2 Matériel'!$H19)),"")</f>
        <v/>
      </c>
      <c r="I29" s="42">
        <f>IF('2 Matériel'!$M19&gt;0,IF(AND('2 Matériel'!$K19="Oui",'3 Options'!$C$14="Oui"),INDEX(Textes!$B$2:$C$54,MATCH("incl",Textes!$A$2:$A$54,0),Listes!$H$1),IF('2 Matériel'!$I19="","",'2 Matériel'!$I19)),"")</f>
        <v/>
      </c>
      <c r="J29" s="42">
        <f>IF('2 Matériel'!$M19&gt;0,IF(AND('2 Matériel'!$K19="Oui",'3 Options'!$C$14="Oui"),INDEX(Textes!$B$2:$C$54,MATCH("incl",Textes!$A$2:$A$54,0),Listes!$H$1),IF('2 Matériel'!$J19="","",'2 Matériel'!$J19)),"")</f>
        <v/>
      </c>
      <c r="K29" s="43">
        <f>IF('2 Matériel'!$M19&gt;0,IF(AND('2 Matériel'!$K19="Oui",'3 Options'!$C$14="Oui"),INDEX(Textes!$B$2:$C$54,MATCH("incl_long",Textes!$A$2:$A$54,0),Listes!$H$1),""),"")</f>
        <v/>
      </c>
    </row>
    <row r="30" hidden="1" outlineLevel="1" ht="21" customHeight="1">
      <c r="B30" s="16">
        <f>IF('2 Matériel'!$M20&gt;0,'2 Matériel'!$A20,"")</f>
        <v/>
      </c>
      <c r="C30" s="40">
        <f>IF('2 Matériel'!$M20&gt;0,'2 Matériel'!$C20,"")</f>
        <v/>
      </c>
      <c r="D30" s="41">
        <f>IF('2 Matériel'!$M20&gt;0,'2 Matériel'!$M20,"")</f>
        <v/>
      </c>
      <c r="E30" s="42">
        <f>IF('2 Matériel'!$M20&gt;0,IF(AND('2 Matériel'!$K20="Oui",'3 Options'!$C$14="Oui"),INDEX(Textes!$B$2:$C$54,MATCH("incl",Textes!$A$2:$A$54,0),Listes!$H$1),IF('2 Matériel'!$E20="","",'2 Matériel'!$E20)),"")</f>
        <v/>
      </c>
      <c r="F30" s="42">
        <f>IF('2 Matériel'!$M20&gt;0,IF(AND('2 Matériel'!$K20="Oui",'3 Options'!$C$14="Oui"),INDEX(Textes!$B$2:$C$54,MATCH("incl",Textes!$A$2:$A$54,0),Listes!$H$1),IF('2 Matériel'!$F20="","",'2 Matériel'!$F20)),"")</f>
        <v/>
      </c>
      <c r="G30" s="42">
        <f>IF('2 Matériel'!$M20&gt;0,IF(AND('2 Matériel'!$K20="Oui",'3 Options'!$C$14="Oui"),INDEX(Textes!$B$2:$C$54,MATCH("incl",Textes!$A$2:$A$54,0),Listes!$H$1),IF('2 Matériel'!$G20="","",'2 Matériel'!$G20)),"")</f>
        <v/>
      </c>
      <c r="H30" s="42">
        <f>IF('2 Matériel'!$M20&gt;0,IF(AND('2 Matériel'!$K20="Oui",'3 Options'!$C$14="Oui"),INDEX(Textes!$B$2:$C$54,MATCH("incl",Textes!$A$2:$A$54,0),Listes!$H$1),IF('2 Matériel'!$H20="","",'2 Matériel'!$H20)),"")</f>
        <v/>
      </c>
      <c r="I30" s="42">
        <f>IF('2 Matériel'!$M20&gt;0,IF(AND('2 Matériel'!$K20="Oui",'3 Options'!$C$14="Oui"),INDEX(Textes!$B$2:$C$54,MATCH("incl",Textes!$A$2:$A$54,0),Listes!$H$1),IF('2 Matériel'!$I20="","",'2 Matériel'!$I20)),"")</f>
        <v/>
      </c>
      <c r="J30" s="42">
        <f>IF('2 Matériel'!$M20&gt;0,IF(AND('2 Matériel'!$K20="Oui",'3 Options'!$C$14="Oui"),INDEX(Textes!$B$2:$C$54,MATCH("incl",Textes!$A$2:$A$54,0),Listes!$H$1),IF('2 Matériel'!$J20="","",'2 Matériel'!$J20)),"")</f>
        <v/>
      </c>
      <c r="K30" s="43">
        <f>IF('2 Matériel'!$M20&gt;0,IF(AND('2 Matériel'!$K20="Oui",'3 Options'!$C$14="Oui"),INDEX(Textes!$B$2:$C$54,MATCH("incl_long",Textes!$A$2:$A$54,0),Listes!$H$1),""),"")</f>
        <v/>
      </c>
    </row>
    <row r="31" hidden="1" outlineLevel="1" ht="21" customHeight="1">
      <c r="B31" s="16">
        <f>IF('2 Matériel'!$M21&gt;0,'2 Matériel'!$A21,"")</f>
        <v/>
      </c>
      <c r="C31" s="40">
        <f>IF('2 Matériel'!$M21&gt;0,'2 Matériel'!$C21,"")</f>
        <v/>
      </c>
      <c r="D31" s="41">
        <f>IF('2 Matériel'!$M21&gt;0,'2 Matériel'!$M21,"")</f>
        <v/>
      </c>
      <c r="E31" s="42">
        <f>IF('2 Matériel'!$M21&gt;0,IF(AND('2 Matériel'!$K21="Oui",'3 Options'!$C$14="Oui"),INDEX(Textes!$B$2:$C$54,MATCH("incl",Textes!$A$2:$A$54,0),Listes!$H$1),IF('2 Matériel'!$E21="","",'2 Matériel'!$E21)),"")</f>
        <v/>
      </c>
      <c r="F31" s="42">
        <f>IF('2 Matériel'!$M21&gt;0,IF(AND('2 Matériel'!$K21="Oui",'3 Options'!$C$14="Oui"),INDEX(Textes!$B$2:$C$54,MATCH("incl",Textes!$A$2:$A$54,0),Listes!$H$1),IF('2 Matériel'!$F21="","",'2 Matériel'!$F21)),"")</f>
        <v/>
      </c>
      <c r="G31" s="42">
        <f>IF('2 Matériel'!$M21&gt;0,IF(AND('2 Matériel'!$K21="Oui",'3 Options'!$C$14="Oui"),INDEX(Textes!$B$2:$C$54,MATCH("incl",Textes!$A$2:$A$54,0),Listes!$H$1),IF('2 Matériel'!$G21="","",'2 Matériel'!$G21)),"")</f>
        <v/>
      </c>
      <c r="H31" s="42">
        <f>IF('2 Matériel'!$M21&gt;0,IF(AND('2 Matériel'!$K21="Oui",'3 Options'!$C$14="Oui"),INDEX(Textes!$B$2:$C$54,MATCH("incl",Textes!$A$2:$A$54,0),Listes!$H$1),IF('2 Matériel'!$H21="","",'2 Matériel'!$H21)),"")</f>
        <v/>
      </c>
      <c r="I31" s="42">
        <f>IF('2 Matériel'!$M21&gt;0,IF(AND('2 Matériel'!$K21="Oui",'3 Options'!$C$14="Oui"),INDEX(Textes!$B$2:$C$54,MATCH("incl",Textes!$A$2:$A$54,0),Listes!$H$1),IF('2 Matériel'!$I21="","",'2 Matériel'!$I21)),"")</f>
        <v/>
      </c>
      <c r="J31" s="42">
        <f>IF('2 Matériel'!$M21&gt;0,IF(AND('2 Matériel'!$K21="Oui",'3 Options'!$C$14="Oui"),INDEX(Textes!$B$2:$C$54,MATCH("incl",Textes!$A$2:$A$54,0),Listes!$H$1),IF('2 Matériel'!$J21="","",'2 Matériel'!$J21)),"")</f>
        <v/>
      </c>
      <c r="K31" s="43">
        <f>IF('2 Matériel'!$M21&gt;0,IF(AND('2 Matériel'!$K21="Oui",'3 Options'!$C$14="Oui"),INDEX(Textes!$B$2:$C$54,MATCH("incl_long",Textes!$A$2:$A$54,0),Listes!$H$1),""),"")</f>
        <v/>
      </c>
    </row>
    <row r="32" hidden="1" outlineLevel="1" ht="21" customHeight="1">
      <c r="B32" s="16">
        <f>IF('2 Matériel'!$M22&gt;0,'2 Matériel'!$A22,"")</f>
        <v/>
      </c>
      <c r="C32" s="40">
        <f>IF('2 Matériel'!$M22&gt;0,'2 Matériel'!$C22,"")</f>
        <v/>
      </c>
      <c r="D32" s="41">
        <f>IF('2 Matériel'!$M22&gt;0,'2 Matériel'!$M22,"")</f>
        <v/>
      </c>
      <c r="E32" s="42">
        <f>IF('2 Matériel'!$M22&gt;0,IF(AND('2 Matériel'!$K22="Oui",'3 Options'!$C$14="Oui"),INDEX(Textes!$B$2:$C$54,MATCH("incl",Textes!$A$2:$A$54,0),Listes!$H$1),IF('2 Matériel'!$E22="","",'2 Matériel'!$E22)),"")</f>
        <v/>
      </c>
      <c r="F32" s="42">
        <f>IF('2 Matériel'!$M22&gt;0,IF(AND('2 Matériel'!$K22="Oui",'3 Options'!$C$14="Oui"),INDEX(Textes!$B$2:$C$54,MATCH("incl",Textes!$A$2:$A$54,0),Listes!$H$1),IF('2 Matériel'!$F22="","",'2 Matériel'!$F22)),"")</f>
        <v/>
      </c>
      <c r="G32" s="42">
        <f>IF('2 Matériel'!$M22&gt;0,IF(AND('2 Matériel'!$K22="Oui",'3 Options'!$C$14="Oui"),INDEX(Textes!$B$2:$C$54,MATCH("incl",Textes!$A$2:$A$54,0),Listes!$H$1),IF('2 Matériel'!$G22="","",'2 Matériel'!$G22)),"")</f>
        <v/>
      </c>
      <c r="H32" s="42">
        <f>IF('2 Matériel'!$M22&gt;0,IF(AND('2 Matériel'!$K22="Oui",'3 Options'!$C$14="Oui"),INDEX(Textes!$B$2:$C$54,MATCH("incl",Textes!$A$2:$A$54,0),Listes!$H$1),IF('2 Matériel'!$H22="","",'2 Matériel'!$H22)),"")</f>
        <v/>
      </c>
      <c r="I32" s="42">
        <f>IF('2 Matériel'!$M22&gt;0,IF(AND('2 Matériel'!$K22="Oui",'3 Options'!$C$14="Oui"),INDEX(Textes!$B$2:$C$54,MATCH("incl",Textes!$A$2:$A$54,0),Listes!$H$1),IF('2 Matériel'!$I22="","",'2 Matériel'!$I22)),"")</f>
        <v/>
      </c>
      <c r="J32" s="42">
        <f>IF('2 Matériel'!$M22&gt;0,IF(AND('2 Matériel'!$K22="Oui",'3 Options'!$C$14="Oui"),INDEX(Textes!$B$2:$C$54,MATCH("incl",Textes!$A$2:$A$54,0),Listes!$H$1),IF('2 Matériel'!$J22="","",'2 Matériel'!$J22)),"")</f>
        <v/>
      </c>
      <c r="K32" s="43">
        <f>IF('2 Matériel'!$M22&gt;0,IF(AND('2 Matériel'!$K22="Oui",'3 Options'!$C$14="Oui"),INDEX(Textes!$B$2:$C$54,MATCH("incl_long",Textes!$A$2:$A$54,0),Listes!$H$1),""),"")</f>
        <v/>
      </c>
    </row>
    <row r="33" hidden="1" outlineLevel="1" ht="21" customHeight="1">
      <c r="B33" s="16">
        <f>IF('2 Matériel'!$M23&gt;0,'2 Matériel'!$A23,"")</f>
        <v/>
      </c>
      <c r="C33" s="40">
        <f>IF('2 Matériel'!$M23&gt;0,'2 Matériel'!$C23,"")</f>
        <v/>
      </c>
      <c r="D33" s="41">
        <f>IF('2 Matériel'!$M23&gt;0,'2 Matériel'!$M23,"")</f>
        <v/>
      </c>
      <c r="E33" s="42">
        <f>IF('2 Matériel'!$M23&gt;0,IF(AND('2 Matériel'!$K23="Oui",'3 Options'!$C$14="Oui"),INDEX(Textes!$B$2:$C$54,MATCH("incl",Textes!$A$2:$A$54,0),Listes!$H$1),IF('2 Matériel'!$E23="","",'2 Matériel'!$E23)),"")</f>
        <v/>
      </c>
      <c r="F33" s="42">
        <f>IF('2 Matériel'!$M23&gt;0,IF(AND('2 Matériel'!$K23="Oui",'3 Options'!$C$14="Oui"),INDEX(Textes!$B$2:$C$54,MATCH("incl",Textes!$A$2:$A$54,0),Listes!$H$1),IF('2 Matériel'!$F23="","",'2 Matériel'!$F23)),"")</f>
        <v/>
      </c>
      <c r="G33" s="42">
        <f>IF('2 Matériel'!$M23&gt;0,IF(AND('2 Matériel'!$K23="Oui",'3 Options'!$C$14="Oui"),INDEX(Textes!$B$2:$C$54,MATCH("incl",Textes!$A$2:$A$54,0),Listes!$H$1),IF('2 Matériel'!$G23="","",'2 Matériel'!$G23)),"")</f>
        <v/>
      </c>
      <c r="H33" s="42">
        <f>IF('2 Matériel'!$M23&gt;0,IF(AND('2 Matériel'!$K23="Oui",'3 Options'!$C$14="Oui"),INDEX(Textes!$B$2:$C$54,MATCH("incl",Textes!$A$2:$A$54,0),Listes!$H$1),IF('2 Matériel'!$H23="","",'2 Matériel'!$H23)),"")</f>
        <v/>
      </c>
      <c r="I33" s="42">
        <f>IF('2 Matériel'!$M23&gt;0,IF(AND('2 Matériel'!$K23="Oui",'3 Options'!$C$14="Oui"),INDEX(Textes!$B$2:$C$54,MATCH("incl",Textes!$A$2:$A$54,0),Listes!$H$1),IF('2 Matériel'!$I23="","",'2 Matériel'!$I23)),"")</f>
        <v/>
      </c>
      <c r="J33" s="42">
        <f>IF('2 Matériel'!$M23&gt;0,IF(AND('2 Matériel'!$K23="Oui",'3 Options'!$C$14="Oui"),INDEX(Textes!$B$2:$C$54,MATCH("incl",Textes!$A$2:$A$54,0),Listes!$H$1),IF('2 Matériel'!$J23="","",'2 Matériel'!$J23)),"")</f>
        <v/>
      </c>
      <c r="K33" s="43">
        <f>IF('2 Matériel'!$M23&gt;0,IF(AND('2 Matériel'!$K23="Oui",'3 Options'!$C$14="Oui"),INDEX(Textes!$B$2:$C$54,MATCH("incl_long",Textes!$A$2:$A$54,0),Listes!$H$1),""),"")</f>
        <v/>
      </c>
    </row>
    <row r="34" hidden="1" outlineLevel="1" ht="21" customHeight="1">
      <c r="B34" s="16">
        <f>IF('2 Matériel'!$M24&gt;0,'2 Matériel'!$A24,"")</f>
        <v/>
      </c>
      <c r="C34" s="40">
        <f>IF('2 Matériel'!$M24&gt;0,'2 Matériel'!$C24,"")</f>
        <v/>
      </c>
      <c r="D34" s="41">
        <f>IF('2 Matériel'!$M24&gt;0,'2 Matériel'!$M24,"")</f>
        <v/>
      </c>
      <c r="E34" s="42">
        <f>IF('2 Matériel'!$M24&gt;0,IF(AND('2 Matériel'!$K24="Oui",'3 Options'!$C$14="Oui"),INDEX(Textes!$B$2:$C$54,MATCH("incl",Textes!$A$2:$A$54,0),Listes!$H$1),IF('2 Matériel'!$E24="","",'2 Matériel'!$E24)),"")</f>
        <v/>
      </c>
      <c r="F34" s="42">
        <f>IF('2 Matériel'!$M24&gt;0,IF(AND('2 Matériel'!$K24="Oui",'3 Options'!$C$14="Oui"),INDEX(Textes!$B$2:$C$54,MATCH("incl",Textes!$A$2:$A$54,0),Listes!$H$1),IF('2 Matériel'!$F24="","",'2 Matériel'!$F24)),"")</f>
        <v/>
      </c>
      <c r="G34" s="42">
        <f>IF('2 Matériel'!$M24&gt;0,IF(AND('2 Matériel'!$K24="Oui",'3 Options'!$C$14="Oui"),INDEX(Textes!$B$2:$C$54,MATCH("incl",Textes!$A$2:$A$54,0),Listes!$H$1),IF('2 Matériel'!$G24="","",'2 Matériel'!$G24)),"")</f>
        <v/>
      </c>
      <c r="H34" s="42">
        <f>IF('2 Matériel'!$M24&gt;0,IF(AND('2 Matériel'!$K24="Oui",'3 Options'!$C$14="Oui"),INDEX(Textes!$B$2:$C$54,MATCH("incl",Textes!$A$2:$A$54,0),Listes!$H$1),IF('2 Matériel'!$H24="","",'2 Matériel'!$H24)),"")</f>
        <v/>
      </c>
      <c r="I34" s="42">
        <f>IF('2 Matériel'!$M24&gt;0,IF(AND('2 Matériel'!$K24="Oui",'3 Options'!$C$14="Oui"),INDEX(Textes!$B$2:$C$54,MATCH("incl",Textes!$A$2:$A$54,0),Listes!$H$1),IF('2 Matériel'!$I24="","",'2 Matériel'!$I24)),"")</f>
        <v/>
      </c>
      <c r="J34" s="42">
        <f>IF('2 Matériel'!$M24&gt;0,IF(AND('2 Matériel'!$K24="Oui",'3 Options'!$C$14="Oui"),INDEX(Textes!$B$2:$C$54,MATCH("incl",Textes!$A$2:$A$54,0),Listes!$H$1),IF('2 Matériel'!$J24="","",'2 Matériel'!$J24)),"")</f>
        <v/>
      </c>
      <c r="K34" s="43">
        <f>IF('2 Matériel'!$M24&gt;0,IF(AND('2 Matériel'!$K24="Oui",'3 Options'!$C$14="Oui"),INDEX(Textes!$B$2:$C$54,MATCH("incl_long",Textes!$A$2:$A$54,0),Listes!$H$1),""),"")</f>
        <v/>
      </c>
    </row>
    <row r="35" hidden="1" outlineLevel="1" ht="21" customHeight="1">
      <c r="B35" s="16">
        <f>IF('2 Matériel'!$M25&gt;0,'2 Matériel'!$A25,"")</f>
        <v/>
      </c>
      <c r="C35" s="40">
        <f>IF('2 Matériel'!$M25&gt;0,'2 Matériel'!$C25,"")</f>
        <v/>
      </c>
      <c r="D35" s="41">
        <f>IF('2 Matériel'!$M25&gt;0,'2 Matériel'!$M25,"")</f>
        <v/>
      </c>
      <c r="E35" s="42">
        <f>IF('2 Matériel'!$M25&gt;0,IF(AND('2 Matériel'!$K25="Oui",'3 Options'!$C$14="Oui"),INDEX(Textes!$B$2:$C$54,MATCH("incl",Textes!$A$2:$A$54,0),Listes!$H$1),IF('2 Matériel'!$E25="","",'2 Matériel'!$E25)),"")</f>
        <v/>
      </c>
      <c r="F35" s="42">
        <f>IF('2 Matériel'!$M25&gt;0,IF(AND('2 Matériel'!$K25="Oui",'3 Options'!$C$14="Oui"),INDEX(Textes!$B$2:$C$54,MATCH("incl",Textes!$A$2:$A$54,0),Listes!$H$1),IF('2 Matériel'!$F25="","",'2 Matériel'!$F25)),"")</f>
        <v/>
      </c>
      <c r="G35" s="42">
        <f>IF('2 Matériel'!$M25&gt;0,IF(AND('2 Matériel'!$K25="Oui",'3 Options'!$C$14="Oui"),INDEX(Textes!$B$2:$C$54,MATCH("incl",Textes!$A$2:$A$54,0),Listes!$H$1),IF('2 Matériel'!$G25="","",'2 Matériel'!$G25)),"")</f>
        <v/>
      </c>
      <c r="H35" s="42">
        <f>IF('2 Matériel'!$M25&gt;0,IF(AND('2 Matériel'!$K25="Oui",'3 Options'!$C$14="Oui"),INDEX(Textes!$B$2:$C$54,MATCH("incl",Textes!$A$2:$A$54,0),Listes!$H$1),IF('2 Matériel'!$H25="","",'2 Matériel'!$H25)),"")</f>
        <v/>
      </c>
      <c r="I35" s="42">
        <f>IF('2 Matériel'!$M25&gt;0,IF(AND('2 Matériel'!$K25="Oui",'3 Options'!$C$14="Oui"),INDEX(Textes!$B$2:$C$54,MATCH("incl",Textes!$A$2:$A$54,0),Listes!$H$1),IF('2 Matériel'!$I25="","",'2 Matériel'!$I25)),"")</f>
        <v/>
      </c>
      <c r="J35" s="42">
        <f>IF('2 Matériel'!$M25&gt;0,IF(AND('2 Matériel'!$K25="Oui",'3 Options'!$C$14="Oui"),INDEX(Textes!$B$2:$C$54,MATCH("incl",Textes!$A$2:$A$54,0),Listes!$H$1),IF('2 Matériel'!$J25="","",'2 Matériel'!$J25)),"")</f>
        <v/>
      </c>
      <c r="K35" s="43">
        <f>IF('2 Matériel'!$M25&gt;0,IF(AND('2 Matériel'!$K25="Oui",'3 Options'!$C$14="Oui"),INDEX(Textes!$B$2:$C$54,MATCH("incl_long",Textes!$A$2:$A$54,0),Listes!$H$1),""),"")</f>
        <v/>
      </c>
    </row>
    <row r="36" hidden="1" outlineLevel="1" ht="21" customHeight="1">
      <c r="B36" s="16">
        <f>IF('2 Matériel'!$M26&gt;0,'2 Matériel'!$A26,"")</f>
        <v/>
      </c>
      <c r="C36" s="40">
        <f>IF('2 Matériel'!$M26&gt;0,'2 Matériel'!$C26,"")</f>
        <v/>
      </c>
      <c r="D36" s="41">
        <f>IF('2 Matériel'!$M26&gt;0,'2 Matériel'!$M26,"")</f>
        <v/>
      </c>
      <c r="E36" s="42">
        <f>IF('2 Matériel'!$M26&gt;0,IF(AND('2 Matériel'!$K26="Oui",'3 Options'!$C$14="Oui"),INDEX(Textes!$B$2:$C$54,MATCH("incl",Textes!$A$2:$A$54,0),Listes!$H$1),IF('2 Matériel'!$E26="","",'2 Matériel'!$E26)),"")</f>
        <v/>
      </c>
      <c r="F36" s="42">
        <f>IF('2 Matériel'!$M26&gt;0,IF(AND('2 Matériel'!$K26="Oui",'3 Options'!$C$14="Oui"),INDEX(Textes!$B$2:$C$54,MATCH("incl",Textes!$A$2:$A$54,0),Listes!$H$1),IF('2 Matériel'!$F26="","",'2 Matériel'!$F26)),"")</f>
        <v/>
      </c>
      <c r="G36" s="42">
        <f>IF('2 Matériel'!$M26&gt;0,IF(AND('2 Matériel'!$K26="Oui",'3 Options'!$C$14="Oui"),INDEX(Textes!$B$2:$C$54,MATCH("incl",Textes!$A$2:$A$54,0),Listes!$H$1),IF('2 Matériel'!$G26="","",'2 Matériel'!$G26)),"")</f>
        <v/>
      </c>
      <c r="H36" s="42">
        <f>IF('2 Matériel'!$M26&gt;0,IF(AND('2 Matériel'!$K26="Oui",'3 Options'!$C$14="Oui"),INDEX(Textes!$B$2:$C$54,MATCH("incl",Textes!$A$2:$A$54,0),Listes!$H$1),IF('2 Matériel'!$H26="","",'2 Matériel'!$H26)),"")</f>
        <v/>
      </c>
      <c r="I36" s="42">
        <f>IF('2 Matériel'!$M26&gt;0,IF(AND('2 Matériel'!$K26="Oui",'3 Options'!$C$14="Oui"),INDEX(Textes!$B$2:$C$54,MATCH("incl",Textes!$A$2:$A$54,0),Listes!$H$1),IF('2 Matériel'!$I26="","",'2 Matériel'!$I26)),"")</f>
        <v/>
      </c>
      <c r="J36" s="42">
        <f>IF('2 Matériel'!$M26&gt;0,IF(AND('2 Matériel'!$K26="Oui",'3 Options'!$C$14="Oui"),INDEX(Textes!$B$2:$C$54,MATCH("incl",Textes!$A$2:$A$54,0),Listes!$H$1),IF('2 Matériel'!$J26="","",'2 Matériel'!$J26)),"")</f>
        <v/>
      </c>
      <c r="K36" s="43">
        <f>IF('2 Matériel'!$M26&gt;0,IF(AND('2 Matériel'!$K26="Oui",'3 Options'!$C$14="Oui"),INDEX(Textes!$B$2:$C$54,MATCH("incl_long",Textes!$A$2:$A$54,0),Listes!$H$1),""),"")</f>
        <v/>
      </c>
    </row>
    <row r="37" hidden="1" outlineLevel="1" ht="21" customHeight="1">
      <c r="B37" s="16">
        <f>IF('2 Matériel'!$M27&gt;0,'2 Matériel'!$A27,"")</f>
        <v/>
      </c>
      <c r="C37" s="40">
        <f>IF('2 Matériel'!$M27&gt;0,'2 Matériel'!$C27,"")</f>
        <v/>
      </c>
      <c r="D37" s="41">
        <f>IF('2 Matériel'!$M27&gt;0,'2 Matériel'!$M27,"")</f>
        <v/>
      </c>
      <c r="E37" s="42">
        <f>IF('2 Matériel'!$M27&gt;0,IF(AND('2 Matériel'!$K27="Oui",'3 Options'!$C$14="Oui"),INDEX(Textes!$B$2:$C$54,MATCH("incl",Textes!$A$2:$A$54,0),Listes!$H$1),IF('2 Matériel'!$E27="","",'2 Matériel'!$E27)),"")</f>
        <v/>
      </c>
      <c r="F37" s="42">
        <f>IF('2 Matériel'!$M27&gt;0,IF(AND('2 Matériel'!$K27="Oui",'3 Options'!$C$14="Oui"),INDEX(Textes!$B$2:$C$54,MATCH("incl",Textes!$A$2:$A$54,0),Listes!$H$1),IF('2 Matériel'!$F27="","",'2 Matériel'!$F27)),"")</f>
        <v/>
      </c>
      <c r="G37" s="42">
        <f>IF('2 Matériel'!$M27&gt;0,IF(AND('2 Matériel'!$K27="Oui",'3 Options'!$C$14="Oui"),INDEX(Textes!$B$2:$C$54,MATCH("incl",Textes!$A$2:$A$54,0),Listes!$H$1),IF('2 Matériel'!$G27="","",'2 Matériel'!$G27)),"")</f>
        <v/>
      </c>
      <c r="H37" s="42">
        <f>IF('2 Matériel'!$M27&gt;0,IF(AND('2 Matériel'!$K27="Oui",'3 Options'!$C$14="Oui"),INDEX(Textes!$B$2:$C$54,MATCH("incl",Textes!$A$2:$A$54,0),Listes!$H$1),IF('2 Matériel'!$H27="","",'2 Matériel'!$H27)),"")</f>
        <v/>
      </c>
      <c r="I37" s="42">
        <f>IF('2 Matériel'!$M27&gt;0,IF(AND('2 Matériel'!$K27="Oui",'3 Options'!$C$14="Oui"),INDEX(Textes!$B$2:$C$54,MATCH("incl",Textes!$A$2:$A$54,0),Listes!$H$1),IF('2 Matériel'!$I27="","",'2 Matériel'!$I27)),"")</f>
        <v/>
      </c>
      <c r="J37" s="42">
        <f>IF('2 Matériel'!$M27&gt;0,IF(AND('2 Matériel'!$K27="Oui",'3 Options'!$C$14="Oui"),INDEX(Textes!$B$2:$C$54,MATCH("incl",Textes!$A$2:$A$54,0),Listes!$H$1),IF('2 Matériel'!$J27="","",'2 Matériel'!$J27)),"")</f>
        <v/>
      </c>
      <c r="K37" s="43">
        <f>IF('2 Matériel'!$M27&gt;0,IF(AND('2 Matériel'!$K27="Oui",'3 Options'!$C$14="Oui"),INDEX(Textes!$B$2:$C$54,MATCH("incl_long",Textes!$A$2:$A$54,0),Listes!$H$1),""),"")</f>
        <v/>
      </c>
    </row>
    <row r="38" hidden="1" outlineLevel="1" ht="21" customHeight="1">
      <c r="B38" s="16">
        <f>IF('2 Matériel'!$M28&gt;0,'2 Matériel'!$A28,"")</f>
        <v/>
      </c>
      <c r="C38" s="40">
        <f>IF('2 Matériel'!$M28&gt;0,'2 Matériel'!$C28,"")</f>
        <v/>
      </c>
      <c r="D38" s="41">
        <f>IF('2 Matériel'!$M28&gt;0,'2 Matériel'!$M28,"")</f>
        <v/>
      </c>
      <c r="E38" s="42">
        <f>IF('2 Matériel'!$M28&gt;0,IF(AND('2 Matériel'!$K28="Oui",'3 Options'!$C$14="Oui"),INDEX(Textes!$B$2:$C$54,MATCH("incl",Textes!$A$2:$A$54,0),Listes!$H$1),IF('2 Matériel'!$E28="","",'2 Matériel'!$E28)),"")</f>
        <v/>
      </c>
      <c r="F38" s="42">
        <f>IF('2 Matériel'!$M28&gt;0,IF(AND('2 Matériel'!$K28="Oui",'3 Options'!$C$14="Oui"),INDEX(Textes!$B$2:$C$54,MATCH("incl",Textes!$A$2:$A$54,0),Listes!$H$1),IF('2 Matériel'!$F28="","",'2 Matériel'!$F28)),"")</f>
        <v/>
      </c>
      <c r="G38" s="42">
        <f>IF('2 Matériel'!$M28&gt;0,IF(AND('2 Matériel'!$K28="Oui",'3 Options'!$C$14="Oui"),INDEX(Textes!$B$2:$C$54,MATCH("incl",Textes!$A$2:$A$54,0),Listes!$H$1),IF('2 Matériel'!$G28="","",'2 Matériel'!$G28)),"")</f>
        <v/>
      </c>
      <c r="H38" s="42">
        <f>IF('2 Matériel'!$M28&gt;0,IF(AND('2 Matériel'!$K28="Oui",'3 Options'!$C$14="Oui"),INDEX(Textes!$B$2:$C$54,MATCH("incl",Textes!$A$2:$A$54,0),Listes!$H$1),IF('2 Matériel'!$H28="","",'2 Matériel'!$H28)),"")</f>
        <v/>
      </c>
      <c r="I38" s="42">
        <f>IF('2 Matériel'!$M28&gt;0,IF(AND('2 Matériel'!$K28="Oui",'3 Options'!$C$14="Oui"),INDEX(Textes!$B$2:$C$54,MATCH("incl",Textes!$A$2:$A$54,0),Listes!$H$1),IF('2 Matériel'!$I28="","",'2 Matériel'!$I28)),"")</f>
        <v/>
      </c>
      <c r="J38" s="42">
        <f>IF('2 Matériel'!$M28&gt;0,IF(AND('2 Matériel'!$K28="Oui",'3 Options'!$C$14="Oui"),INDEX(Textes!$B$2:$C$54,MATCH("incl",Textes!$A$2:$A$54,0),Listes!$H$1),IF('2 Matériel'!$J28="","",'2 Matériel'!$J28)),"")</f>
        <v/>
      </c>
      <c r="K38" s="43">
        <f>IF('2 Matériel'!$M28&gt;0,IF(AND('2 Matériel'!$K28="Oui",'3 Options'!$C$14="Oui"),INDEX(Textes!$B$2:$C$54,MATCH("incl_long",Textes!$A$2:$A$54,0),Listes!$H$1),""),"")</f>
        <v/>
      </c>
    </row>
    <row r="39" hidden="1" outlineLevel="1" ht="21" customHeight="1">
      <c r="B39" s="16">
        <f>IF('2 Matériel'!$M29&gt;0,'2 Matériel'!$A29,"")</f>
        <v/>
      </c>
      <c r="C39" s="40">
        <f>IF('2 Matériel'!$M29&gt;0,'2 Matériel'!$C29,"")</f>
        <v/>
      </c>
      <c r="D39" s="41">
        <f>IF('2 Matériel'!$M29&gt;0,'2 Matériel'!$M29,"")</f>
        <v/>
      </c>
      <c r="E39" s="42">
        <f>IF('2 Matériel'!$M29&gt;0,IF(AND('2 Matériel'!$K29="Oui",'3 Options'!$C$14="Oui"),INDEX(Textes!$B$2:$C$54,MATCH("incl",Textes!$A$2:$A$54,0),Listes!$H$1),IF('2 Matériel'!$E29="","",'2 Matériel'!$E29)),"")</f>
        <v/>
      </c>
      <c r="F39" s="42">
        <f>IF('2 Matériel'!$M29&gt;0,IF(AND('2 Matériel'!$K29="Oui",'3 Options'!$C$14="Oui"),INDEX(Textes!$B$2:$C$54,MATCH("incl",Textes!$A$2:$A$54,0),Listes!$H$1),IF('2 Matériel'!$F29="","",'2 Matériel'!$F29)),"")</f>
        <v/>
      </c>
      <c r="G39" s="42">
        <f>IF('2 Matériel'!$M29&gt;0,IF(AND('2 Matériel'!$K29="Oui",'3 Options'!$C$14="Oui"),INDEX(Textes!$B$2:$C$54,MATCH("incl",Textes!$A$2:$A$54,0),Listes!$H$1),IF('2 Matériel'!$G29="","",'2 Matériel'!$G29)),"")</f>
        <v/>
      </c>
      <c r="H39" s="42">
        <f>IF('2 Matériel'!$M29&gt;0,IF(AND('2 Matériel'!$K29="Oui",'3 Options'!$C$14="Oui"),INDEX(Textes!$B$2:$C$54,MATCH("incl",Textes!$A$2:$A$54,0),Listes!$H$1),IF('2 Matériel'!$H29="","",'2 Matériel'!$H29)),"")</f>
        <v/>
      </c>
      <c r="I39" s="42">
        <f>IF('2 Matériel'!$M29&gt;0,IF(AND('2 Matériel'!$K29="Oui",'3 Options'!$C$14="Oui"),INDEX(Textes!$B$2:$C$54,MATCH("incl",Textes!$A$2:$A$54,0),Listes!$H$1),IF('2 Matériel'!$I29="","",'2 Matériel'!$I29)),"")</f>
        <v/>
      </c>
      <c r="J39" s="42">
        <f>IF('2 Matériel'!$M29&gt;0,IF(AND('2 Matériel'!$K29="Oui",'3 Options'!$C$14="Oui"),INDEX(Textes!$B$2:$C$54,MATCH("incl",Textes!$A$2:$A$54,0),Listes!$H$1),IF('2 Matériel'!$J29="","",'2 Matériel'!$J29)),"")</f>
        <v/>
      </c>
      <c r="K39" s="43">
        <f>IF('2 Matériel'!$M29&gt;0,IF(AND('2 Matériel'!$K29="Oui",'3 Options'!$C$14="Oui"),INDEX(Textes!$B$2:$C$54,MATCH("incl_long",Textes!$A$2:$A$54,0),Listes!$H$1),""),"")</f>
        <v/>
      </c>
    </row>
    <row r="40" ht="18" customHeight="1">
      <c r="B40" s="44">
        <f>IF(SUM('2 Matériel'!$M$20:$M$29)&gt;0,"⚠  Des lignes de matériel au-delà de la ligne 14 sont masquées : cliquer sur le [+] dans la marge gauche pour les afficher.","")</f>
        <v/>
      </c>
    </row>
    <row r="41" ht="10" customHeight="1"/>
    <row r="42" ht="20" customHeight="1">
      <c r="B42" s="36">
        <f>INDEX(Textes!$B$2:$C$54,MATCH("sec_opt",Textes!$A$2:$A$54,0),Listes!$H$1)</f>
        <v/>
      </c>
      <c r="C42" s="37" t="n"/>
      <c r="D42" s="37" t="n"/>
      <c r="E42" s="37" t="n"/>
      <c r="F42" s="37" t="n"/>
      <c r="G42" s="37" t="n"/>
      <c r="H42" s="37" t="n"/>
      <c r="I42" s="37" t="n"/>
      <c r="J42" s="37" t="n"/>
      <c r="K42" s="37" t="n"/>
    </row>
    <row r="43" ht="20" customHeight="1">
      <c r="B43" s="45" t="n"/>
      <c r="C43" s="46">
        <f>INDEX(Textes!$B$2:$C$54,MATCH("h_label",Textes!$A$2:$A$54,0),Listes!$H$1)</f>
        <v/>
      </c>
      <c r="D43" s="45">
        <f>INDEX(Textes!$B$2:$C$54,MATCH("h_qty",Textes!$A$2:$A$54,0),Listes!$H$1)</f>
        <v/>
      </c>
      <c r="E43" s="45">
        <f>INDEX(Textes!$B$2:$C$54,MATCH("h_unit",Textes!$A$2:$A$54,0),Listes!$H$1)</f>
        <v/>
      </c>
      <c r="F43" s="45">
        <f>INDEX(Textes!$B$2:$C$54,MATCH("h_pu",Textes!$A$2:$A$54,0),Listes!$H$1)</f>
        <v/>
      </c>
      <c r="G43" s="45">
        <f>INDEX(Textes!$B$2:$C$54,MATCH("h_tot",Textes!$A$2:$A$54,0),Listes!$H$1)</f>
        <v/>
      </c>
      <c r="H43" s="46">
        <f>INDEX(Textes!$B$2:$C$54,MATCH("h_det",Textes!$A$2:$A$54,0),Listes!$H$1)</f>
        <v/>
      </c>
    </row>
    <row r="44" ht="21" customHeight="1">
      <c r="C44" s="47">
        <f>IF(ISNUMBER(MATCH(1,'3 Options'!$I$6:$I$14,0)),IF(INDEX('3 Options'!$D$6:$D$14,MATCH(1,'3 Options'!$I$6:$I$14,0))&lt;&gt;"",INDEX('3 Options'!$D$6:$D$14,MATCH(1,'3 Options'!$I$6:$I$14,0)),CHOOSE(MATCH(1,'3 Options'!$I$6:$I$14,0),INDEX(Textes!$B$2:$C$54,MATCH("op_day",Textes!$A$2:$A$54,0),Listes!$H$1),INDEX(Textes!$B$2:$C$54,MATCH("op_mob",Textes!$A$2:$A$54,0),Listes!$H$1),INDEX(Textes!$B$2:$C$54,MATCH("tight",Textes!$A$2:$A$54,0),Listes!$H$1),INDEX(Textes!$B$2:$C$54,MATCH("tr_mob",Textes!$A$2:$A$54,0),Listes!$H$1),INDEX(Textes!$B$2:$C$54,MATCH("tr_dem",Textes!$A$2:$A$54,0),Listes!$H$1),INDEX(Textes!$B$2:$C$54,MATCH("free",Textes!$A$2:$A$54,0),Listes!$H$1)&amp;" 1",INDEX(Textes!$B$2:$C$54,MATCH("free",Textes!$A$2:$A$54,0),Listes!$H$1)&amp;" 2",INDEX(Textes!$B$2:$C$54,MATCH("free",Textes!$A$2:$A$54,0),Listes!$H$1)&amp;" 3",INDEX(Textes!$B$2:$C$54,MATCH("forfait",Textes!$A$2:$A$54,0),Listes!$H$1))),"")</f>
        <v/>
      </c>
      <c r="D44" s="41">
        <f>IF(ISNUMBER(MATCH(1,'3 Options'!$I$6:$I$14,0)),IF(INDEX('3 Options'!$G$6:$G$14,MATCH(1,'3 Options'!$I$6:$I$14,0))="Coût réel +15 %","",IF(AND(MATCH(1,'3 Options'!$I$6:$I$14,0)=9,'3 Options'!$G$14="Forfait calculé (S + O + UC)"),1,INDEX('3 Options'!$E$6:$E$14,MATCH(1,'3 Options'!$I$6:$I$14,0)))),"")</f>
        <v/>
      </c>
      <c r="E44" s="41">
        <f>IF(ISNUMBER(MATCH(1,'3 Options'!$I$6:$I$14,0)),IF(INDEX('3 Options'!$G$6:$G$14,MATCH(1,'3 Options'!$I$6:$I$14,0))="Coût réel +15 %","",IF(AND(MATCH(1,'3 Options'!$I$6:$I$14,0)=9,'3 Options'!$G$14="Forfait calculé (S + O + UC)"),INDEX(Textes!$B$2:$C$54,MATCH("lump",Textes!$A$2:$A$54,0),Listes!$H$1),INDEX('3 Options'!$G$6:$G$14,MATCH(1,'3 Options'!$I$6:$I$14,0)))),"")</f>
        <v/>
      </c>
      <c r="F44" s="42">
        <f>IF(ISNUMBER(MATCH(1,'3 Options'!$I$6:$I$14,0)),IF(INDEX('3 Options'!$G$6:$G$14,MATCH(1,'3 Options'!$I$6:$I$14,0))="Coût réel +15 %",INDEX(Textes!$B$2:$C$54,MATCH("at_cost",Textes!$A$2:$A$54,0),Listes!$H$1),IF(AND(MATCH(1,'3 Options'!$I$6:$I$14,0)=9,'3 Options'!$G$14="Forfait calculé (S + O + UC)"),IF('3 Options'!$F$14="",SUM('2 Matériel'!$L$6:$L$29),'3 Options'!$F$14),IF(INDEX('3 Options'!$F$6:$F$14,MATCH(1,'3 Options'!$I$6:$I$14,0))="","",INDEX('3 Options'!$F$6:$F$14,MATCH(1,'3 Options'!$I$6:$I$14,0))))),"")</f>
        <v/>
      </c>
      <c r="G44" s="48">
        <f>IF(ISNUMBER(MATCH(1,'3 Options'!$I$6:$I$14,0)),IF(INDEX('3 Options'!$G$6:$G$14,MATCH(1,'3 Options'!$I$6:$I$14,0))="Coût réel +15 %","—",INDEX('3 Options'!$H$6:$H$14,MATCH(1,'3 Options'!$I$6:$I$14,0))),"")</f>
        <v/>
      </c>
      <c r="H44" s="49">
        <f>IF(ISNUMBER(MATCH(1,'3 Options'!$I$6:$I$14,0)),IF(MATCH(1,'3 Options'!$I$6:$I$14,0)=9,IF('3 Options'!$G$14="Forfait calculé (S + O + UC)",IF(Listes!$H$1=1,'3 Options'!$C$16&amp;" j stand-by + "&amp;'3 Options'!$C$17&amp;" j opérations + UC",'3 Options'!$C$16&amp;" stand-by days + "&amp;'3 Options'!$C$17&amp;" operation days + UC")&amp;IF('3 Options'!$D$15&lt;&gt;"","  ·  "&amp;'3 Options'!$D$15,""),'3 Options'!$D$15),IF(OR(MATCH(1,'3 Options'!$I$6:$I$14,0)=4,MATCH(1,'3 Options'!$I$6:$I$14,0)=5),INDEX(Textes!$B$2:$C$54,MATCH("tr_note",Textes!$A$2:$A$54,0),Listes!$H$1),"")),"")</f>
        <v/>
      </c>
    </row>
    <row r="45" ht="21" customHeight="1">
      <c r="C45" s="47">
        <f>IF(ISNUMBER(MATCH(2,'3 Options'!$I$6:$I$14,0)),IF(INDEX('3 Options'!$D$6:$D$14,MATCH(2,'3 Options'!$I$6:$I$14,0))&lt;&gt;"",INDEX('3 Options'!$D$6:$D$14,MATCH(2,'3 Options'!$I$6:$I$14,0)),CHOOSE(MATCH(2,'3 Options'!$I$6:$I$14,0),INDEX(Textes!$B$2:$C$54,MATCH("op_day",Textes!$A$2:$A$54,0),Listes!$H$1),INDEX(Textes!$B$2:$C$54,MATCH("op_mob",Textes!$A$2:$A$54,0),Listes!$H$1),INDEX(Textes!$B$2:$C$54,MATCH("tight",Textes!$A$2:$A$54,0),Listes!$H$1),INDEX(Textes!$B$2:$C$54,MATCH("tr_mob",Textes!$A$2:$A$54,0),Listes!$H$1),INDEX(Textes!$B$2:$C$54,MATCH("tr_dem",Textes!$A$2:$A$54,0),Listes!$H$1),INDEX(Textes!$B$2:$C$54,MATCH("free",Textes!$A$2:$A$54,0),Listes!$H$1)&amp;" 1",INDEX(Textes!$B$2:$C$54,MATCH("free",Textes!$A$2:$A$54,0),Listes!$H$1)&amp;" 2",INDEX(Textes!$B$2:$C$54,MATCH("free",Textes!$A$2:$A$54,0),Listes!$H$1)&amp;" 3",INDEX(Textes!$B$2:$C$54,MATCH("forfait",Textes!$A$2:$A$54,0),Listes!$H$1))),"")</f>
        <v/>
      </c>
      <c r="D45" s="41">
        <f>IF(ISNUMBER(MATCH(2,'3 Options'!$I$6:$I$14,0)),IF(INDEX('3 Options'!$G$6:$G$14,MATCH(2,'3 Options'!$I$6:$I$14,0))="Coût réel +15 %","",IF(AND(MATCH(2,'3 Options'!$I$6:$I$14,0)=9,'3 Options'!$G$14="Forfait calculé (S + O + UC)"),1,INDEX('3 Options'!$E$6:$E$14,MATCH(2,'3 Options'!$I$6:$I$14,0)))),"")</f>
        <v/>
      </c>
      <c r="E45" s="41">
        <f>IF(ISNUMBER(MATCH(2,'3 Options'!$I$6:$I$14,0)),IF(INDEX('3 Options'!$G$6:$G$14,MATCH(2,'3 Options'!$I$6:$I$14,0))="Coût réel +15 %","",IF(AND(MATCH(2,'3 Options'!$I$6:$I$14,0)=9,'3 Options'!$G$14="Forfait calculé (S + O + UC)"),INDEX(Textes!$B$2:$C$54,MATCH("lump",Textes!$A$2:$A$54,0),Listes!$H$1),INDEX('3 Options'!$G$6:$G$14,MATCH(2,'3 Options'!$I$6:$I$14,0)))),"")</f>
        <v/>
      </c>
      <c r="F45" s="42">
        <f>IF(ISNUMBER(MATCH(2,'3 Options'!$I$6:$I$14,0)),IF(INDEX('3 Options'!$G$6:$G$14,MATCH(2,'3 Options'!$I$6:$I$14,0))="Coût réel +15 %",INDEX(Textes!$B$2:$C$54,MATCH("at_cost",Textes!$A$2:$A$54,0),Listes!$H$1),IF(AND(MATCH(2,'3 Options'!$I$6:$I$14,0)=9,'3 Options'!$G$14="Forfait calculé (S + O + UC)"),IF('3 Options'!$F$14="",SUM('2 Matériel'!$L$6:$L$29),'3 Options'!$F$14),IF(INDEX('3 Options'!$F$6:$F$14,MATCH(2,'3 Options'!$I$6:$I$14,0))="","",INDEX('3 Options'!$F$6:$F$14,MATCH(2,'3 Options'!$I$6:$I$14,0))))),"")</f>
        <v/>
      </c>
      <c r="G45" s="48">
        <f>IF(ISNUMBER(MATCH(2,'3 Options'!$I$6:$I$14,0)),IF(INDEX('3 Options'!$G$6:$G$14,MATCH(2,'3 Options'!$I$6:$I$14,0))="Coût réel +15 %","—",INDEX('3 Options'!$H$6:$H$14,MATCH(2,'3 Options'!$I$6:$I$14,0))),"")</f>
        <v/>
      </c>
      <c r="H45" s="49">
        <f>IF(ISNUMBER(MATCH(2,'3 Options'!$I$6:$I$14,0)),IF(MATCH(2,'3 Options'!$I$6:$I$14,0)=9,IF('3 Options'!$G$14="Forfait calculé (S + O + UC)",IF(Listes!$H$1=1,'3 Options'!$C$16&amp;" j stand-by + "&amp;'3 Options'!$C$17&amp;" j opérations + UC",'3 Options'!$C$16&amp;" stand-by days + "&amp;'3 Options'!$C$17&amp;" operation days + UC")&amp;IF('3 Options'!$D$15&lt;&gt;"","  ·  "&amp;'3 Options'!$D$15,""),'3 Options'!$D$15),IF(OR(MATCH(2,'3 Options'!$I$6:$I$14,0)=4,MATCH(2,'3 Options'!$I$6:$I$14,0)=5),INDEX(Textes!$B$2:$C$54,MATCH("tr_note",Textes!$A$2:$A$54,0),Listes!$H$1),"")),"")</f>
        <v/>
      </c>
    </row>
    <row r="46" ht="21" customHeight="1">
      <c r="C46" s="47">
        <f>IF(ISNUMBER(MATCH(3,'3 Options'!$I$6:$I$14,0)),IF(INDEX('3 Options'!$D$6:$D$14,MATCH(3,'3 Options'!$I$6:$I$14,0))&lt;&gt;"",INDEX('3 Options'!$D$6:$D$14,MATCH(3,'3 Options'!$I$6:$I$14,0)),CHOOSE(MATCH(3,'3 Options'!$I$6:$I$14,0),INDEX(Textes!$B$2:$C$54,MATCH("op_day",Textes!$A$2:$A$54,0),Listes!$H$1),INDEX(Textes!$B$2:$C$54,MATCH("op_mob",Textes!$A$2:$A$54,0),Listes!$H$1),INDEX(Textes!$B$2:$C$54,MATCH("tight",Textes!$A$2:$A$54,0),Listes!$H$1),INDEX(Textes!$B$2:$C$54,MATCH("tr_mob",Textes!$A$2:$A$54,0),Listes!$H$1),INDEX(Textes!$B$2:$C$54,MATCH("tr_dem",Textes!$A$2:$A$54,0),Listes!$H$1),INDEX(Textes!$B$2:$C$54,MATCH("free",Textes!$A$2:$A$54,0),Listes!$H$1)&amp;" 1",INDEX(Textes!$B$2:$C$54,MATCH("free",Textes!$A$2:$A$54,0),Listes!$H$1)&amp;" 2",INDEX(Textes!$B$2:$C$54,MATCH("free",Textes!$A$2:$A$54,0),Listes!$H$1)&amp;" 3",INDEX(Textes!$B$2:$C$54,MATCH("forfait",Textes!$A$2:$A$54,0),Listes!$H$1))),"")</f>
        <v/>
      </c>
      <c r="D46" s="41">
        <f>IF(ISNUMBER(MATCH(3,'3 Options'!$I$6:$I$14,0)),IF(INDEX('3 Options'!$G$6:$G$14,MATCH(3,'3 Options'!$I$6:$I$14,0))="Coût réel +15 %","",IF(AND(MATCH(3,'3 Options'!$I$6:$I$14,0)=9,'3 Options'!$G$14="Forfait calculé (S + O + UC)"),1,INDEX('3 Options'!$E$6:$E$14,MATCH(3,'3 Options'!$I$6:$I$14,0)))),"")</f>
        <v/>
      </c>
      <c r="E46" s="41">
        <f>IF(ISNUMBER(MATCH(3,'3 Options'!$I$6:$I$14,0)),IF(INDEX('3 Options'!$G$6:$G$14,MATCH(3,'3 Options'!$I$6:$I$14,0))="Coût réel +15 %","",IF(AND(MATCH(3,'3 Options'!$I$6:$I$14,0)=9,'3 Options'!$G$14="Forfait calculé (S + O + UC)"),INDEX(Textes!$B$2:$C$54,MATCH("lump",Textes!$A$2:$A$54,0),Listes!$H$1),INDEX('3 Options'!$G$6:$G$14,MATCH(3,'3 Options'!$I$6:$I$14,0)))),"")</f>
        <v/>
      </c>
      <c r="F46" s="42">
        <f>IF(ISNUMBER(MATCH(3,'3 Options'!$I$6:$I$14,0)),IF(INDEX('3 Options'!$G$6:$G$14,MATCH(3,'3 Options'!$I$6:$I$14,0))="Coût réel +15 %",INDEX(Textes!$B$2:$C$54,MATCH("at_cost",Textes!$A$2:$A$54,0),Listes!$H$1),IF(AND(MATCH(3,'3 Options'!$I$6:$I$14,0)=9,'3 Options'!$G$14="Forfait calculé (S + O + UC)"),IF('3 Options'!$F$14="",SUM('2 Matériel'!$L$6:$L$29),'3 Options'!$F$14),IF(INDEX('3 Options'!$F$6:$F$14,MATCH(3,'3 Options'!$I$6:$I$14,0))="","",INDEX('3 Options'!$F$6:$F$14,MATCH(3,'3 Options'!$I$6:$I$14,0))))),"")</f>
        <v/>
      </c>
      <c r="G46" s="48">
        <f>IF(ISNUMBER(MATCH(3,'3 Options'!$I$6:$I$14,0)),IF(INDEX('3 Options'!$G$6:$G$14,MATCH(3,'3 Options'!$I$6:$I$14,0))="Coût réel +15 %","—",INDEX('3 Options'!$H$6:$H$14,MATCH(3,'3 Options'!$I$6:$I$14,0))),"")</f>
        <v/>
      </c>
      <c r="H46" s="49">
        <f>IF(ISNUMBER(MATCH(3,'3 Options'!$I$6:$I$14,0)),IF(MATCH(3,'3 Options'!$I$6:$I$14,0)=9,IF('3 Options'!$G$14="Forfait calculé (S + O + UC)",IF(Listes!$H$1=1,'3 Options'!$C$16&amp;" j stand-by + "&amp;'3 Options'!$C$17&amp;" j opérations + UC",'3 Options'!$C$16&amp;" stand-by days + "&amp;'3 Options'!$C$17&amp;" operation days + UC")&amp;IF('3 Options'!$D$15&lt;&gt;"","  ·  "&amp;'3 Options'!$D$15,""),'3 Options'!$D$15),IF(OR(MATCH(3,'3 Options'!$I$6:$I$14,0)=4,MATCH(3,'3 Options'!$I$6:$I$14,0)=5),INDEX(Textes!$B$2:$C$54,MATCH("tr_note",Textes!$A$2:$A$54,0),Listes!$H$1),"")),"")</f>
        <v/>
      </c>
    </row>
    <row r="47" ht="21" customHeight="1">
      <c r="C47" s="47">
        <f>IF(ISNUMBER(MATCH(4,'3 Options'!$I$6:$I$14,0)),IF(INDEX('3 Options'!$D$6:$D$14,MATCH(4,'3 Options'!$I$6:$I$14,0))&lt;&gt;"",INDEX('3 Options'!$D$6:$D$14,MATCH(4,'3 Options'!$I$6:$I$14,0)),CHOOSE(MATCH(4,'3 Options'!$I$6:$I$14,0),INDEX(Textes!$B$2:$C$54,MATCH("op_day",Textes!$A$2:$A$54,0),Listes!$H$1),INDEX(Textes!$B$2:$C$54,MATCH("op_mob",Textes!$A$2:$A$54,0),Listes!$H$1),INDEX(Textes!$B$2:$C$54,MATCH("tight",Textes!$A$2:$A$54,0),Listes!$H$1),INDEX(Textes!$B$2:$C$54,MATCH("tr_mob",Textes!$A$2:$A$54,0),Listes!$H$1),INDEX(Textes!$B$2:$C$54,MATCH("tr_dem",Textes!$A$2:$A$54,0),Listes!$H$1),INDEX(Textes!$B$2:$C$54,MATCH("free",Textes!$A$2:$A$54,0),Listes!$H$1)&amp;" 1",INDEX(Textes!$B$2:$C$54,MATCH("free",Textes!$A$2:$A$54,0),Listes!$H$1)&amp;" 2",INDEX(Textes!$B$2:$C$54,MATCH("free",Textes!$A$2:$A$54,0),Listes!$H$1)&amp;" 3",INDEX(Textes!$B$2:$C$54,MATCH("forfait",Textes!$A$2:$A$54,0),Listes!$H$1))),"")</f>
        <v/>
      </c>
      <c r="D47" s="41">
        <f>IF(ISNUMBER(MATCH(4,'3 Options'!$I$6:$I$14,0)),IF(INDEX('3 Options'!$G$6:$G$14,MATCH(4,'3 Options'!$I$6:$I$14,0))="Coût réel +15 %","",IF(AND(MATCH(4,'3 Options'!$I$6:$I$14,0)=9,'3 Options'!$G$14="Forfait calculé (S + O + UC)"),1,INDEX('3 Options'!$E$6:$E$14,MATCH(4,'3 Options'!$I$6:$I$14,0)))),"")</f>
        <v/>
      </c>
      <c r="E47" s="41">
        <f>IF(ISNUMBER(MATCH(4,'3 Options'!$I$6:$I$14,0)),IF(INDEX('3 Options'!$G$6:$G$14,MATCH(4,'3 Options'!$I$6:$I$14,0))="Coût réel +15 %","",IF(AND(MATCH(4,'3 Options'!$I$6:$I$14,0)=9,'3 Options'!$G$14="Forfait calculé (S + O + UC)"),INDEX(Textes!$B$2:$C$54,MATCH("lump",Textes!$A$2:$A$54,0),Listes!$H$1),INDEX('3 Options'!$G$6:$G$14,MATCH(4,'3 Options'!$I$6:$I$14,0)))),"")</f>
        <v/>
      </c>
      <c r="F47" s="42">
        <f>IF(ISNUMBER(MATCH(4,'3 Options'!$I$6:$I$14,0)),IF(INDEX('3 Options'!$G$6:$G$14,MATCH(4,'3 Options'!$I$6:$I$14,0))="Coût réel +15 %",INDEX(Textes!$B$2:$C$54,MATCH("at_cost",Textes!$A$2:$A$54,0),Listes!$H$1),IF(AND(MATCH(4,'3 Options'!$I$6:$I$14,0)=9,'3 Options'!$G$14="Forfait calculé (S + O + UC)"),IF('3 Options'!$F$14="",SUM('2 Matériel'!$L$6:$L$29),'3 Options'!$F$14),IF(INDEX('3 Options'!$F$6:$F$14,MATCH(4,'3 Options'!$I$6:$I$14,0))="","",INDEX('3 Options'!$F$6:$F$14,MATCH(4,'3 Options'!$I$6:$I$14,0))))),"")</f>
        <v/>
      </c>
      <c r="G47" s="48">
        <f>IF(ISNUMBER(MATCH(4,'3 Options'!$I$6:$I$14,0)),IF(INDEX('3 Options'!$G$6:$G$14,MATCH(4,'3 Options'!$I$6:$I$14,0))="Coût réel +15 %","—",INDEX('3 Options'!$H$6:$H$14,MATCH(4,'3 Options'!$I$6:$I$14,0))),"")</f>
        <v/>
      </c>
      <c r="H47" s="49">
        <f>IF(ISNUMBER(MATCH(4,'3 Options'!$I$6:$I$14,0)),IF(MATCH(4,'3 Options'!$I$6:$I$14,0)=9,IF('3 Options'!$G$14="Forfait calculé (S + O + UC)",IF(Listes!$H$1=1,'3 Options'!$C$16&amp;" j stand-by + "&amp;'3 Options'!$C$17&amp;" j opérations + UC",'3 Options'!$C$16&amp;" stand-by days + "&amp;'3 Options'!$C$17&amp;" operation days + UC")&amp;IF('3 Options'!$D$15&lt;&gt;"","  ·  "&amp;'3 Options'!$D$15,""),'3 Options'!$D$15),IF(OR(MATCH(4,'3 Options'!$I$6:$I$14,0)=4,MATCH(4,'3 Options'!$I$6:$I$14,0)=5),INDEX(Textes!$B$2:$C$54,MATCH("tr_note",Textes!$A$2:$A$54,0),Listes!$H$1),"")),"")</f>
        <v/>
      </c>
    </row>
    <row r="48" ht="21" customHeight="1">
      <c r="C48" s="47">
        <f>IF(ISNUMBER(MATCH(5,'3 Options'!$I$6:$I$14,0)),IF(INDEX('3 Options'!$D$6:$D$14,MATCH(5,'3 Options'!$I$6:$I$14,0))&lt;&gt;"",INDEX('3 Options'!$D$6:$D$14,MATCH(5,'3 Options'!$I$6:$I$14,0)),CHOOSE(MATCH(5,'3 Options'!$I$6:$I$14,0),INDEX(Textes!$B$2:$C$54,MATCH("op_day",Textes!$A$2:$A$54,0),Listes!$H$1),INDEX(Textes!$B$2:$C$54,MATCH("op_mob",Textes!$A$2:$A$54,0),Listes!$H$1),INDEX(Textes!$B$2:$C$54,MATCH("tight",Textes!$A$2:$A$54,0),Listes!$H$1),INDEX(Textes!$B$2:$C$54,MATCH("tr_mob",Textes!$A$2:$A$54,0),Listes!$H$1),INDEX(Textes!$B$2:$C$54,MATCH("tr_dem",Textes!$A$2:$A$54,0),Listes!$H$1),INDEX(Textes!$B$2:$C$54,MATCH("free",Textes!$A$2:$A$54,0),Listes!$H$1)&amp;" 1",INDEX(Textes!$B$2:$C$54,MATCH("free",Textes!$A$2:$A$54,0),Listes!$H$1)&amp;" 2",INDEX(Textes!$B$2:$C$54,MATCH("free",Textes!$A$2:$A$54,0),Listes!$H$1)&amp;" 3",INDEX(Textes!$B$2:$C$54,MATCH("forfait",Textes!$A$2:$A$54,0),Listes!$H$1))),"")</f>
        <v/>
      </c>
      <c r="D48" s="41">
        <f>IF(ISNUMBER(MATCH(5,'3 Options'!$I$6:$I$14,0)),IF(INDEX('3 Options'!$G$6:$G$14,MATCH(5,'3 Options'!$I$6:$I$14,0))="Coût réel +15 %","",IF(AND(MATCH(5,'3 Options'!$I$6:$I$14,0)=9,'3 Options'!$G$14="Forfait calculé (S + O + UC)"),1,INDEX('3 Options'!$E$6:$E$14,MATCH(5,'3 Options'!$I$6:$I$14,0)))),"")</f>
        <v/>
      </c>
      <c r="E48" s="41">
        <f>IF(ISNUMBER(MATCH(5,'3 Options'!$I$6:$I$14,0)),IF(INDEX('3 Options'!$G$6:$G$14,MATCH(5,'3 Options'!$I$6:$I$14,0))="Coût réel +15 %","",IF(AND(MATCH(5,'3 Options'!$I$6:$I$14,0)=9,'3 Options'!$G$14="Forfait calculé (S + O + UC)"),INDEX(Textes!$B$2:$C$54,MATCH("lump",Textes!$A$2:$A$54,0),Listes!$H$1),INDEX('3 Options'!$G$6:$G$14,MATCH(5,'3 Options'!$I$6:$I$14,0)))),"")</f>
        <v/>
      </c>
      <c r="F48" s="42">
        <f>IF(ISNUMBER(MATCH(5,'3 Options'!$I$6:$I$14,0)),IF(INDEX('3 Options'!$G$6:$G$14,MATCH(5,'3 Options'!$I$6:$I$14,0))="Coût réel +15 %",INDEX(Textes!$B$2:$C$54,MATCH("at_cost",Textes!$A$2:$A$54,0),Listes!$H$1),IF(AND(MATCH(5,'3 Options'!$I$6:$I$14,0)=9,'3 Options'!$G$14="Forfait calculé (S + O + UC)"),IF('3 Options'!$F$14="",SUM('2 Matériel'!$L$6:$L$29),'3 Options'!$F$14),IF(INDEX('3 Options'!$F$6:$F$14,MATCH(5,'3 Options'!$I$6:$I$14,0))="","",INDEX('3 Options'!$F$6:$F$14,MATCH(5,'3 Options'!$I$6:$I$14,0))))),"")</f>
        <v/>
      </c>
      <c r="G48" s="48">
        <f>IF(ISNUMBER(MATCH(5,'3 Options'!$I$6:$I$14,0)),IF(INDEX('3 Options'!$G$6:$G$14,MATCH(5,'3 Options'!$I$6:$I$14,0))="Coût réel +15 %","—",INDEX('3 Options'!$H$6:$H$14,MATCH(5,'3 Options'!$I$6:$I$14,0))),"")</f>
        <v/>
      </c>
      <c r="H48" s="49">
        <f>IF(ISNUMBER(MATCH(5,'3 Options'!$I$6:$I$14,0)),IF(MATCH(5,'3 Options'!$I$6:$I$14,0)=9,IF('3 Options'!$G$14="Forfait calculé (S + O + UC)",IF(Listes!$H$1=1,'3 Options'!$C$16&amp;" j stand-by + "&amp;'3 Options'!$C$17&amp;" j opérations + UC",'3 Options'!$C$16&amp;" stand-by days + "&amp;'3 Options'!$C$17&amp;" operation days + UC")&amp;IF('3 Options'!$D$15&lt;&gt;"","  ·  "&amp;'3 Options'!$D$15,""),'3 Options'!$D$15),IF(OR(MATCH(5,'3 Options'!$I$6:$I$14,0)=4,MATCH(5,'3 Options'!$I$6:$I$14,0)=5),INDEX(Textes!$B$2:$C$54,MATCH("tr_note",Textes!$A$2:$A$54,0),Listes!$H$1),"")),"")</f>
        <v/>
      </c>
    </row>
    <row r="49" ht="21" customHeight="1">
      <c r="C49" s="47">
        <f>IF(ISNUMBER(MATCH(6,'3 Options'!$I$6:$I$14,0)),IF(INDEX('3 Options'!$D$6:$D$14,MATCH(6,'3 Options'!$I$6:$I$14,0))&lt;&gt;"",INDEX('3 Options'!$D$6:$D$14,MATCH(6,'3 Options'!$I$6:$I$14,0)),CHOOSE(MATCH(6,'3 Options'!$I$6:$I$14,0),INDEX(Textes!$B$2:$C$54,MATCH("op_day",Textes!$A$2:$A$54,0),Listes!$H$1),INDEX(Textes!$B$2:$C$54,MATCH("op_mob",Textes!$A$2:$A$54,0),Listes!$H$1),INDEX(Textes!$B$2:$C$54,MATCH("tight",Textes!$A$2:$A$54,0),Listes!$H$1),INDEX(Textes!$B$2:$C$54,MATCH("tr_mob",Textes!$A$2:$A$54,0),Listes!$H$1),INDEX(Textes!$B$2:$C$54,MATCH("tr_dem",Textes!$A$2:$A$54,0),Listes!$H$1),INDEX(Textes!$B$2:$C$54,MATCH("free",Textes!$A$2:$A$54,0),Listes!$H$1)&amp;" 1",INDEX(Textes!$B$2:$C$54,MATCH("free",Textes!$A$2:$A$54,0),Listes!$H$1)&amp;" 2",INDEX(Textes!$B$2:$C$54,MATCH("free",Textes!$A$2:$A$54,0),Listes!$H$1)&amp;" 3",INDEX(Textes!$B$2:$C$54,MATCH("forfait",Textes!$A$2:$A$54,0),Listes!$H$1))),"")</f>
        <v/>
      </c>
      <c r="D49" s="41">
        <f>IF(ISNUMBER(MATCH(6,'3 Options'!$I$6:$I$14,0)),IF(INDEX('3 Options'!$G$6:$G$14,MATCH(6,'3 Options'!$I$6:$I$14,0))="Coût réel +15 %","",IF(AND(MATCH(6,'3 Options'!$I$6:$I$14,0)=9,'3 Options'!$G$14="Forfait calculé (S + O + UC)"),1,INDEX('3 Options'!$E$6:$E$14,MATCH(6,'3 Options'!$I$6:$I$14,0)))),"")</f>
        <v/>
      </c>
      <c r="E49" s="41">
        <f>IF(ISNUMBER(MATCH(6,'3 Options'!$I$6:$I$14,0)),IF(INDEX('3 Options'!$G$6:$G$14,MATCH(6,'3 Options'!$I$6:$I$14,0))="Coût réel +15 %","",IF(AND(MATCH(6,'3 Options'!$I$6:$I$14,0)=9,'3 Options'!$G$14="Forfait calculé (S + O + UC)"),INDEX(Textes!$B$2:$C$54,MATCH("lump",Textes!$A$2:$A$54,0),Listes!$H$1),INDEX('3 Options'!$G$6:$G$14,MATCH(6,'3 Options'!$I$6:$I$14,0)))),"")</f>
        <v/>
      </c>
      <c r="F49" s="42">
        <f>IF(ISNUMBER(MATCH(6,'3 Options'!$I$6:$I$14,0)),IF(INDEX('3 Options'!$G$6:$G$14,MATCH(6,'3 Options'!$I$6:$I$14,0))="Coût réel +15 %",INDEX(Textes!$B$2:$C$54,MATCH("at_cost",Textes!$A$2:$A$54,0),Listes!$H$1),IF(AND(MATCH(6,'3 Options'!$I$6:$I$14,0)=9,'3 Options'!$G$14="Forfait calculé (S + O + UC)"),IF('3 Options'!$F$14="",SUM('2 Matériel'!$L$6:$L$29),'3 Options'!$F$14),IF(INDEX('3 Options'!$F$6:$F$14,MATCH(6,'3 Options'!$I$6:$I$14,0))="","",INDEX('3 Options'!$F$6:$F$14,MATCH(6,'3 Options'!$I$6:$I$14,0))))),"")</f>
        <v/>
      </c>
      <c r="G49" s="48">
        <f>IF(ISNUMBER(MATCH(6,'3 Options'!$I$6:$I$14,0)),IF(INDEX('3 Options'!$G$6:$G$14,MATCH(6,'3 Options'!$I$6:$I$14,0))="Coût réel +15 %","—",INDEX('3 Options'!$H$6:$H$14,MATCH(6,'3 Options'!$I$6:$I$14,0))),"")</f>
        <v/>
      </c>
      <c r="H49" s="49">
        <f>IF(ISNUMBER(MATCH(6,'3 Options'!$I$6:$I$14,0)),IF(MATCH(6,'3 Options'!$I$6:$I$14,0)=9,IF('3 Options'!$G$14="Forfait calculé (S + O + UC)",IF(Listes!$H$1=1,'3 Options'!$C$16&amp;" j stand-by + "&amp;'3 Options'!$C$17&amp;" j opérations + UC",'3 Options'!$C$16&amp;" stand-by days + "&amp;'3 Options'!$C$17&amp;" operation days + UC")&amp;IF('3 Options'!$D$15&lt;&gt;"","  ·  "&amp;'3 Options'!$D$15,""),'3 Options'!$D$15),IF(OR(MATCH(6,'3 Options'!$I$6:$I$14,0)=4,MATCH(6,'3 Options'!$I$6:$I$14,0)=5),INDEX(Textes!$B$2:$C$54,MATCH("tr_note",Textes!$A$2:$A$54,0),Listes!$H$1),"")),"")</f>
        <v/>
      </c>
    </row>
    <row r="50" ht="21" customHeight="1">
      <c r="C50" s="47">
        <f>IF(ISNUMBER(MATCH(7,'3 Options'!$I$6:$I$14,0)),IF(INDEX('3 Options'!$D$6:$D$14,MATCH(7,'3 Options'!$I$6:$I$14,0))&lt;&gt;"",INDEX('3 Options'!$D$6:$D$14,MATCH(7,'3 Options'!$I$6:$I$14,0)),CHOOSE(MATCH(7,'3 Options'!$I$6:$I$14,0),INDEX(Textes!$B$2:$C$54,MATCH("op_day",Textes!$A$2:$A$54,0),Listes!$H$1),INDEX(Textes!$B$2:$C$54,MATCH("op_mob",Textes!$A$2:$A$54,0),Listes!$H$1),INDEX(Textes!$B$2:$C$54,MATCH("tight",Textes!$A$2:$A$54,0),Listes!$H$1),INDEX(Textes!$B$2:$C$54,MATCH("tr_mob",Textes!$A$2:$A$54,0),Listes!$H$1),INDEX(Textes!$B$2:$C$54,MATCH("tr_dem",Textes!$A$2:$A$54,0),Listes!$H$1),INDEX(Textes!$B$2:$C$54,MATCH("free",Textes!$A$2:$A$54,0),Listes!$H$1)&amp;" 1",INDEX(Textes!$B$2:$C$54,MATCH("free",Textes!$A$2:$A$54,0),Listes!$H$1)&amp;" 2",INDEX(Textes!$B$2:$C$54,MATCH("free",Textes!$A$2:$A$54,0),Listes!$H$1)&amp;" 3",INDEX(Textes!$B$2:$C$54,MATCH("forfait",Textes!$A$2:$A$54,0),Listes!$H$1))),"")</f>
        <v/>
      </c>
      <c r="D50" s="41">
        <f>IF(ISNUMBER(MATCH(7,'3 Options'!$I$6:$I$14,0)),IF(INDEX('3 Options'!$G$6:$G$14,MATCH(7,'3 Options'!$I$6:$I$14,0))="Coût réel +15 %","",IF(AND(MATCH(7,'3 Options'!$I$6:$I$14,0)=9,'3 Options'!$G$14="Forfait calculé (S + O + UC)"),1,INDEX('3 Options'!$E$6:$E$14,MATCH(7,'3 Options'!$I$6:$I$14,0)))),"")</f>
        <v/>
      </c>
      <c r="E50" s="41">
        <f>IF(ISNUMBER(MATCH(7,'3 Options'!$I$6:$I$14,0)),IF(INDEX('3 Options'!$G$6:$G$14,MATCH(7,'3 Options'!$I$6:$I$14,0))="Coût réel +15 %","",IF(AND(MATCH(7,'3 Options'!$I$6:$I$14,0)=9,'3 Options'!$G$14="Forfait calculé (S + O + UC)"),INDEX(Textes!$B$2:$C$54,MATCH("lump",Textes!$A$2:$A$54,0),Listes!$H$1),INDEX('3 Options'!$G$6:$G$14,MATCH(7,'3 Options'!$I$6:$I$14,0)))),"")</f>
        <v/>
      </c>
      <c r="F50" s="42">
        <f>IF(ISNUMBER(MATCH(7,'3 Options'!$I$6:$I$14,0)),IF(INDEX('3 Options'!$G$6:$G$14,MATCH(7,'3 Options'!$I$6:$I$14,0))="Coût réel +15 %",INDEX(Textes!$B$2:$C$54,MATCH("at_cost",Textes!$A$2:$A$54,0),Listes!$H$1),IF(AND(MATCH(7,'3 Options'!$I$6:$I$14,0)=9,'3 Options'!$G$14="Forfait calculé (S + O + UC)"),IF('3 Options'!$F$14="",SUM('2 Matériel'!$L$6:$L$29),'3 Options'!$F$14),IF(INDEX('3 Options'!$F$6:$F$14,MATCH(7,'3 Options'!$I$6:$I$14,0))="","",INDEX('3 Options'!$F$6:$F$14,MATCH(7,'3 Options'!$I$6:$I$14,0))))),"")</f>
        <v/>
      </c>
      <c r="G50" s="48">
        <f>IF(ISNUMBER(MATCH(7,'3 Options'!$I$6:$I$14,0)),IF(INDEX('3 Options'!$G$6:$G$14,MATCH(7,'3 Options'!$I$6:$I$14,0))="Coût réel +15 %","—",INDEX('3 Options'!$H$6:$H$14,MATCH(7,'3 Options'!$I$6:$I$14,0))),"")</f>
        <v/>
      </c>
      <c r="H50" s="49">
        <f>IF(ISNUMBER(MATCH(7,'3 Options'!$I$6:$I$14,0)),IF(MATCH(7,'3 Options'!$I$6:$I$14,0)=9,IF('3 Options'!$G$14="Forfait calculé (S + O + UC)",IF(Listes!$H$1=1,'3 Options'!$C$16&amp;" j stand-by + "&amp;'3 Options'!$C$17&amp;" j opérations + UC",'3 Options'!$C$16&amp;" stand-by days + "&amp;'3 Options'!$C$17&amp;" operation days + UC")&amp;IF('3 Options'!$D$15&lt;&gt;"","  ·  "&amp;'3 Options'!$D$15,""),'3 Options'!$D$15),IF(OR(MATCH(7,'3 Options'!$I$6:$I$14,0)=4,MATCH(7,'3 Options'!$I$6:$I$14,0)=5),INDEX(Textes!$B$2:$C$54,MATCH("tr_note",Textes!$A$2:$A$54,0),Listes!$H$1),"")),"")</f>
        <v/>
      </c>
    </row>
    <row r="51" ht="21" customHeight="1">
      <c r="C51" s="47">
        <f>IF(ISNUMBER(MATCH(8,'3 Options'!$I$6:$I$14,0)),IF(INDEX('3 Options'!$D$6:$D$14,MATCH(8,'3 Options'!$I$6:$I$14,0))&lt;&gt;"",INDEX('3 Options'!$D$6:$D$14,MATCH(8,'3 Options'!$I$6:$I$14,0)),CHOOSE(MATCH(8,'3 Options'!$I$6:$I$14,0),INDEX(Textes!$B$2:$C$54,MATCH("op_day",Textes!$A$2:$A$54,0),Listes!$H$1),INDEX(Textes!$B$2:$C$54,MATCH("op_mob",Textes!$A$2:$A$54,0),Listes!$H$1),INDEX(Textes!$B$2:$C$54,MATCH("tight",Textes!$A$2:$A$54,0),Listes!$H$1),INDEX(Textes!$B$2:$C$54,MATCH("tr_mob",Textes!$A$2:$A$54,0),Listes!$H$1),INDEX(Textes!$B$2:$C$54,MATCH("tr_dem",Textes!$A$2:$A$54,0),Listes!$H$1),INDEX(Textes!$B$2:$C$54,MATCH("free",Textes!$A$2:$A$54,0),Listes!$H$1)&amp;" 1",INDEX(Textes!$B$2:$C$54,MATCH("free",Textes!$A$2:$A$54,0),Listes!$H$1)&amp;" 2",INDEX(Textes!$B$2:$C$54,MATCH("free",Textes!$A$2:$A$54,0),Listes!$H$1)&amp;" 3",INDEX(Textes!$B$2:$C$54,MATCH("forfait",Textes!$A$2:$A$54,0),Listes!$H$1))),"")</f>
        <v/>
      </c>
      <c r="D51" s="41">
        <f>IF(ISNUMBER(MATCH(8,'3 Options'!$I$6:$I$14,0)),IF(INDEX('3 Options'!$G$6:$G$14,MATCH(8,'3 Options'!$I$6:$I$14,0))="Coût réel +15 %","",IF(AND(MATCH(8,'3 Options'!$I$6:$I$14,0)=9,'3 Options'!$G$14="Forfait calculé (S + O + UC)"),1,INDEX('3 Options'!$E$6:$E$14,MATCH(8,'3 Options'!$I$6:$I$14,0)))),"")</f>
        <v/>
      </c>
      <c r="E51" s="41">
        <f>IF(ISNUMBER(MATCH(8,'3 Options'!$I$6:$I$14,0)),IF(INDEX('3 Options'!$G$6:$G$14,MATCH(8,'3 Options'!$I$6:$I$14,0))="Coût réel +15 %","",IF(AND(MATCH(8,'3 Options'!$I$6:$I$14,0)=9,'3 Options'!$G$14="Forfait calculé (S + O + UC)"),INDEX(Textes!$B$2:$C$54,MATCH("lump",Textes!$A$2:$A$54,0),Listes!$H$1),INDEX('3 Options'!$G$6:$G$14,MATCH(8,'3 Options'!$I$6:$I$14,0)))),"")</f>
        <v/>
      </c>
      <c r="F51" s="42">
        <f>IF(ISNUMBER(MATCH(8,'3 Options'!$I$6:$I$14,0)),IF(INDEX('3 Options'!$G$6:$G$14,MATCH(8,'3 Options'!$I$6:$I$14,0))="Coût réel +15 %",INDEX(Textes!$B$2:$C$54,MATCH("at_cost",Textes!$A$2:$A$54,0),Listes!$H$1),IF(AND(MATCH(8,'3 Options'!$I$6:$I$14,0)=9,'3 Options'!$G$14="Forfait calculé (S + O + UC)"),IF('3 Options'!$F$14="",SUM('2 Matériel'!$L$6:$L$29),'3 Options'!$F$14),IF(INDEX('3 Options'!$F$6:$F$14,MATCH(8,'3 Options'!$I$6:$I$14,0))="","",INDEX('3 Options'!$F$6:$F$14,MATCH(8,'3 Options'!$I$6:$I$14,0))))),"")</f>
        <v/>
      </c>
      <c r="G51" s="48">
        <f>IF(ISNUMBER(MATCH(8,'3 Options'!$I$6:$I$14,0)),IF(INDEX('3 Options'!$G$6:$G$14,MATCH(8,'3 Options'!$I$6:$I$14,0))="Coût réel +15 %","—",INDEX('3 Options'!$H$6:$H$14,MATCH(8,'3 Options'!$I$6:$I$14,0))),"")</f>
        <v/>
      </c>
      <c r="H51" s="49">
        <f>IF(ISNUMBER(MATCH(8,'3 Options'!$I$6:$I$14,0)),IF(MATCH(8,'3 Options'!$I$6:$I$14,0)=9,IF('3 Options'!$G$14="Forfait calculé (S + O + UC)",IF(Listes!$H$1=1,'3 Options'!$C$16&amp;" j stand-by + "&amp;'3 Options'!$C$17&amp;" j opérations + UC",'3 Options'!$C$16&amp;" stand-by days + "&amp;'3 Options'!$C$17&amp;" operation days + UC")&amp;IF('3 Options'!$D$15&lt;&gt;"","  ·  "&amp;'3 Options'!$D$15,""),'3 Options'!$D$15),IF(OR(MATCH(8,'3 Options'!$I$6:$I$14,0)=4,MATCH(8,'3 Options'!$I$6:$I$14,0)=5),INDEX(Textes!$B$2:$C$54,MATCH("tr_note",Textes!$A$2:$A$54,0),Listes!$H$1),"")),"")</f>
        <v/>
      </c>
    </row>
    <row r="52" ht="21" customHeight="1">
      <c r="C52" s="47">
        <f>IF(ISNUMBER(MATCH(9,'3 Options'!$I$6:$I$14,0)),IF(INDEX('3 Options'!$D$6:$D$14,MATCH(9,'3 Options'!$I$6:$I$14,0))&lt;&gt;"",INDEX('3 Options'!$D$6:$D$14,MATCH(9,'3 Options'!$I$6:$I$14,0)),CHOOSE(MATCH(9,'3 Options'!$I$6:$I$14,0),INDEX(Textes!$B$2:$C$54,MATCH("op_day",Textes!$A$2:$A$54,0),Listes!$H$1),INDEX(Textes!$B$2:$C$54,MATCH("op_mob",Textes!$A$2:$A$54,0),Listes!$H$1),INDEX(Textes!$B$2:$C$54,MATCH("tight",Textes!$A$2:$A$54,0),Listes!$H$1),INDEX(Textes!$B$2:$C$54,MATCH("tr_mob",Textes!$A$2:$A$54,0),Listes!$H$1),INDEX(Textes!$B$2:$C$54,MATCH("tr_dem",Textes!$A$2:$A$54,0),Listes!$H$1),INDEX(Textes!$B$2:$C$54,MATCH("free",Textes!$A$2:$A$54,0),Listes!$H$1)&amp;" 1",INDEX(Textes!$B$2:$C$54,MATCH("free",Textes!$A$2:$A$54,0),Listes!$H$1)&amp;" 2",INDEX(Textes!$B$2:$C$54,MATCH("free",Textes!$A$2:$A$54,0),Listes!$H$1)&amp;" 3",INDEX(Textes!$B$2:$C$54,MATCH("forfait",Textes!$A$2:$A$54,0),Listes!$H$1))),"")</f>
        <v/>
      </c>
      <c r="D52" s="41">
        <f>IF(ISNUMBER(MATCH(9,'3 Options'!$I$6:$I$14,0)),IF(INDEX('3 Options'!$G$6:$G$14,MATCH(9,'3 Options'!$I$6:$I$14,0))="Coût réel +15 %","",IF(AND(MATCH(9,'3 Options'!$I$6:$I$14,0)=9,'3 Options'!$G$14="Forfait calculé (S + O + UC)"),1,INDEX('3 Options'!$E$6:$E$14,MATCH(9,'3 Options'!$I$6:$I$14,0)))),"")</f>
        <v/>
      </c>
      <c r="E52" s="41">
        <f>IF(ISNUMBER(MATCH(9,'3 Options'!$I$6:$I$14,0)),IF(INDEX('3 Options'!$G$6:$G$14,MATCH(9,'3 Options'!$I$6:$I$14,0))="Coût réel +15 %","",IF(AND(MATCH(9,'3 Options'!$I$6:$I$14,0)=9,'3 Options'!$G$14="Forfait calculé (S + O + UC)"),INDEX(Textes!$B$2:$C$54,MATCH("lump",Textes!$A$2:$A$54,0),Listes!$H$1),INDEX('3 Options'!$G$6:$G$14,MATCH(9,'3 Options'!$I$6:$I$14,0)))),"")</f>
        <v/>
      </c>
      <c r="F52" s="42">
        <f>IF(ISNUMBER(MATCH(9,'3 Options'!$I$6:$I$14,0)),IF(INDEX('3 Options'!$G$6:$G$14,MATCH(9,'3 Options'!$I$6:$I$14,0))="Coût réel +15 %",INDEX(Textes!$B$2:$C$54,MATCH("at_cost",Textes!$A$2:$A$54,0),Listes!$H$1),IF(AND(MATCH(9,'3 Options'!$I$6:$I$14,0)=9,'3 Options'!$G$14="Forfait calculé (S + O + UC)"),IF('3 Options'!$F$14="",SUM('2 Matériel'!$L$6:$L$29),'3 Options'!$F$14),IF(INDEX('3 Options'!$F$6:$F$14,MATCH(9,'3 Options'!$I$6:$I$14,0))="","",INDEX('3 Options'!$F$6:$F$14,MATCH(9,'3 Options'!$I$6:$I$14,0))))),"")</f>
        <v/>
      </c>
      <c r="G52" s="48">
        <f>IF(ISNUMBER(MATCH(9,'3 Options'!$I$6:$I$14,0)),IF(INDEX('3 Options'!$G$6:$G$14,MATCH(9,'3 Options'!$I$6:$I$14,0))="Coût réel +15 %","—",INDEX('3 Options'!$H$6:$H$14,MATCH(9,'3 Options'!$I$6:$I$14,0))),"")</f>
        <v/>
      </c>
      <c r="H52" s="49">
        <f>IF(ISNUMBER(MATCH(9,'3 Options'!$I$6:$I$14,0)),IF(MATCH(9,'3 Options'!$I$6:$I$14,0)=9,IF('3 Options'!$G$14="Forfait calculé (S + O + UC)",IF(Listes!$H$1=1,'3 Options'!$C$16&amp;" j stand-by + "&amp;'3 Options'!$C$17&amp;" j opérations + UC",'3 Options'!$C$16&amp;" stand-by days + "&amp;'3 Options'!$C$17&amp;" operation days + UC")&amp;IF('3 Options'!$D$15&lt;&gt;"","  ·  "&amp;'3 Options'!$D$15,""),'3 Options'!$D$15),IF(OR(MATCH(9,'3 Options'!$I$6:$I$14,0)=4,MATCH(9,'3 Options'!$I$6:$I$14,0)=5),INDEX(Textes!$B$2:$C$54,MATCH("tr_note",Textes!$A$2:$A$54,0),Listes!$H$1),"")),"")</f>
        <v/>
      </c>
    </row>
    <row r="53" ht="8" customHeight="1"/>
    <row r="54" ht="18" customHeight="1">
      <c r="C54" s="50">
        <f>IF('1 Affaire'!$F$25="Oui",IF(Listes!$H$1=1,"Basée sur "&amp;'1 Affaire'!$C$25&amp;" j de stand-by et "&amp;'1 Affaire'!$C$26&amp;" j d'opérations. Les options « €/jour » sont comptées sur les jours d’opérations. Hors valeur de remplacement, inspection, restocking et transport au coût réel.","Based on "&amp;'1 Affaire'!$C$25&amp;" stand-by days and "&amp;'1 Affaire'!$C$26&amp;" operation days. Option day rates are counted on operation days. Excluding replacement value, inspection, restocking and transport at cost."),"")</f>
        <v/>
      </c>
      <c r="H54" s="51">
        <f>IF('1 Affaire'!$F$25="Oui",INDEX(Textes!$B$2:$C$54,MATCH("est",Textes!$A$2:$A$54,0),Listes!$H$1),"")</f>
        <v/>
      </c>
    </row>
    <row r="55" ht="30" customHeight="1">
      <c r="H55" s="52">
        <f>IF('1 Affaire'!$F$25="Oui",SUM('2 Matériel'!$O$6:$O$29)+SUM('3 Options'!$H$6:$H$14)-SUMPRODUCT(('3 Options'!$C$6:$C$14="Oui")*ISNUMBER(SEARCH("€/jour",'3 Options'!$G$6:$G$14))*'3 Options'!$E$6:$E$14*'3 Options'!$F$6:$F$14)+SUMPRODUCT(('3 Options'!$C$6:$C$14="Oui")*ISNUMBER(SEARCH("€/jour",'3 Options'!$G$6:$G$14))*'3 Options'!$E$6:$E$14*'3 Options'!$F$6:$F$14)*N('1 Affaire'!$C$26),"")</f>
        <v/>
      </c>
    </row>
    <row r="56" ht="8" customHeight="1"/>
    <row r="57" ht="20" customHeight="1">
      <c r="B57" s="36">
        <f>INDEX(Textes!$B$2:$C$54,MATCH("sec_cond",Textes!$A$2:$A$54,0),Listes!$H$1)</f>
        <v/>
      </c>
      <c r="C57" s="37" t="n"/>
      <c r="D57" s="37" t="n"/>
      <c r="E57" s="37" t="n"/>
      <c r="F57" s="37" t="n"/>
      <c r="G57" s="37" t="n"/>
      <c r="H57" s="37" t="n"/>
      <c r="I57" s="37" t="n"/>
      <c r="J57" s="37" t="n"/>
      <c r="K57" s="37" t="n"/>
    </row>
    <row r="58" ht="66" customHeight="1">
      <c r="B58" s="53" t="inlineStr">
        <is>
          <t>La location s'entend depuis le jour de départ de la base d'origine jusqu'à son retour au même endroit.
Le Wear Charge s'applique pour toute usure liée à un usage normal des équipements. En cas de dommages plus importants liés à un usage anormal, la valeur de remplacement sera facturée sur documentation.
Charges additionnelles à prévoir pour le colisage d'outils destinés à une expédition en aérien ou maritime.
Conditions générales de vente disponibles sur demande ou sur notre site internet www.enedril.com</t>
        </is>
      </c>
    </row>
    <row r="59" ht="66" customHeight="1">
      <c r="B59" s="54" t="inlineStr">
        <is>
          <t>The rental is from the day of departure from the base of origin until its return to the same place.
Wear Charge applies to all wear and tear related to normal use of equipment. In case of greater damage due to abnormal use, the replacement value will be charged based on supporting documentation.
Additional charges may apply for packing tools intended for air or ocean shipment.
General conditions of sale available upon request or on our website www.enedril.com</t>
        </is>
      </c>
    </row>
    <row r="60" ht="10" customHeight="1"/>
    <row r="61">
      <c r="B61" s="55">
        <f>INDEX(Textes!$B$2:$C$54,MATCH("accept",Textes!$A$2:$A$54,0),Listes!$H$1)</f>
        <v/>
      </c>
    </row>
    <row r="62" ht="16" customHeight="1">
      <c r="B62" s="56">
        <f>INDEX(Textes!$B$2:$C$54,MATCH("sig_name",Textes!$A$2:$A$54,0),Listes!$H$1)</f>
        <v/>
      </c>
      <c r="C62" s="57" t="n"/>
      <c r="D62" s="58" t="n"/>
      <c r="E62" s="56">
        <f>INDEX(Textes!$B$2:$C$54,MATCH("sig_date",Textes!$A$2:$A$54,0),Listes!$H$1)</f>
        <v/>
      </c>
      <c r="F62" s="57" t="n"/>
      <c r="G62" s="58" t="n"/>
      <c r="H62" s="56">
        <f>INDEX(Textes!$B$2:$C$54,MATCH("sig_sig",Textes!$A$2:$A$54,0),Listes!$H$1)</f>
        <v/>
      </c>
      <c r="I62" s="57" t="n"/>
      <c r="J62" s="57" t="n"/>
      <c r="K62" s="58" t="n"/>
    </row>
    <row r="63" ht="16" customHeight="1">
      <c r="B63" s="59" t="n"/>
      <c r="C63" s="60" t="n"/>
      <c r="D63" s="61" t="n"/>
      <c r="E63" s="59" t="n"/>
      <c r="F63" s="60" t="n"/>
      <c r="G63" s="61" t="n"/>
      <c r="H63" s="59" t="n"/>
      <c r="I63" s="60" t="n"/>
      <c r="J63" s="60" t="n"/>
      <c r="K63" s="61" t="n"/>
    </row>
    <row r="64" ht="16" customHeight="1">
      <c r="B64" s="59" t="n"/>
      <c r="C64" s="60" t="n"/>
      <c r="D64" s="61" t="n"/>
      <c r="E64" s="59" t="n"/>
      <c r="F64" s="60" t="n"/>
      <c r="G64" s="61" t="n"/>
      <c r="H64" s="59" t="n"/>
      <c r="I64" s="60" t="n"/>
      <c r="J64" s="60" t="n"/>
      <c r="K64" s="61" t="n"/>
    </row>
    <row r="65" ht="16" customHeight="1">
      <c r="B65" s="62" t="n"/>
      <c r="C65" s="35" t="n"/>
      <c r="D65" s="63" t="n"/>
      <c r="E65" s="62" t="n"/>
      <c r="F65" s="35" t="n"/>
      <c r="G65" s="63" t="n"/>
      <c r="H65" s="62" t="n"/>
      <c r="I65" s="35" t="n"/>
      <c r="J65" s="35" t="n"/>
      <c r="K65" s="63" t="n"/>
    </row>
    <row r="67">
      <c r="B67" s="64" t="inlineStr">
        <is>
          <t>ENEDRIL · Z-Induspal · 3 Av. des Lacs · 64140 LONS (France) · SIRET 79464246200020 · TVA FR11794642462</t>
        </is>
      </c>
    </row>
  </sheetData>
  <mergeCells count="56">
    <mergeCell ref="D11:F11"/>
    <mergeCell ref="G12:H12"/>
    <mergeCell ref="B7:C7"/>
    <mergeCell ref="B40:K40"/>
    <mergeCell ref="H47:K47"/>
    <mergeCell ref="G11:H11"/>
    <mergeCell ref="H48:K48"/>
    <mergeCell ref="G8:H8"/>
    <mergeCell ref="D7:F7"/>
    <mergeCell ref="B12:C12"/>
    <mergeCell ref="G9:H9"/>
    <mergeCell ref="G7:H7"/>
    <mergeCell ref="B11:C11"/>
    <mergeCell ref="E62:G65"/>
    <mergeCell ref="I5:K5"/>
    <mergeCell ref="G10:H10"/>
    <mergeCell ref="I8:K8"/>
    <mergeCell ref="D12:F12"/>
    <mergeCell ref="D9:F9"/>
    <mergeCell ref="G6:H6"/>
    <mergeCell ref="H54:K54"/>
    <mergeCell ref="H43:K43"/>
    <mergeCell ref="D8:F8"/>
    <mergeCell ref="B8:C8"/>
    <mergeCell ref="B59:K59"/>
    <mergeCell ref="H55:K55"/>
    <mergeCell ref="H50:K50"/>
    <mergeCell ref="H44:K44"/>
    <mergeCell ref="I10:K10"/>
    <mergeCell ref="D5:F5"/>
    <mergeCell ref="B62:D65"/>
    <mergeCell ref="B58:K58"/>
    <mergeCell ref="B10:C10"/>
    <mergeCell ref="I9:K9"/>
    <mergeCell ref="G5:H5"/>
    <mergeCell ref="H46:K46"/>
    <mergeCell ref="B9:C9"/>
    <mergeCell ref="E1:K1"/>
    <mergeCell ref="B42:K42"/>
    <mergeCell ref="H49:K49"/>
    <mergeCell ref="H51:K51"/>
    <mergeCell ref="I6:K6"/>
    <mergeCell ref="D10:F10"/>
    <mergeCell ref="H62:K65"/>
    <mergeCell ref="B6:C6"/>
    <mergeCell ref="B61:K61"/>
    <mergeCell ref="B67:K67"/>
    <mergeCell ref="B57:K57"/>
    <mergeCell ref="B14:K14"/>
    <mergeCell ref="H52:K52"/>
    <mergeCell ref="B5:C5"/>
    <mergeCell ref="C54:G55"/>
    <mergeCell ref="H45:K45"/>
    <mergeCell ref="E2:K2"/>
    <mergeCell ref="D6:F6"/>
    <mergeCell ref="I7:K7"/>
  </mergeCells>
  <conditionalFormatting sqref="B16:K39">
    <cfRule type="expression" priority="1" dxfId="0">
      <formula>$C16&lt;&gt;""</formula>
    </cfRule>
    <cfRule type="expression" priority="2" dxfId="1">
      <formula>AND($C16&lt;&gt;"",MOD(ROW(),2)=0)</formula>
    </cfRule>
  </conditionalFormatting>
  <conditionalFormatting sqref="E16:J39">
    <cfRule type="expression" priority="3" dxfId="2">
      <formula>E16="incl."</formula>
    </cfRule>
  </conditionalFormatting>
  <conditionalFormatting sqref="B44:K52">
    <cfRule type="expression" priority="4" dxfId="0">
      <formula>$C44&lt;&gt;""</formula>
    </cfRule>
  </conditionalFormatting>
  <printOptions horizontalCentered="1"/>
  <pageMargins left="0.3" right="0.3" top="0.35" bottom="0.4" header="0.5" footer="0.5"/>
  <pageSetup orientation="landscape" paperSize="9" fitToHeight="0" fitToWidth="1"/>
  <headerFooter>
    <oddHeader/>
    <oddFooter>&amp;C&amp;8 Enedril · Devis &amp;P / &amp;N</oddFooter>
    <evenHeader/>
    <evenFooter/>
    <firstHeader/>
    <firstFooter/>
  </headerFooter>
  <rowBreaks count="1" manualBreakCount="1">
    <brk id="40" min="0" max="16383" man="1"/>
  </rowBreaks>
  <drawing xmlns:r="http://schemas.openxmlformats.org/officeDocument/2006/relationships" r:id="rId1"/>
</worksheet>
</file>

<file path=xl/worksheets/sheet5.xml><?xml version="1.0" encoding="utf-8"?>
<worksheet xmlns="http://schemas.openxmlformats.org/spreadsheetml/2006/main">
  <sheetPr>
    <tabColor rgb="000A4FA0"/>
    <outlinePr summaryBelow="1" summaryRight="1"/>
    <pageSetUpPr fitToPage="1"/>
  </sheetPr>
  <dimension ref="A1:T75"/>
  <sheetViews>
    <sheetView showGridLines="0" zoomScale="90" workbookViewId="0">
      <pane xSplit="4" ySplit="14" topLeftCell="E15" activePane="bottomRight" state="frozen"/>
      <selection pane="topRight"/>
      <selection pane="bottomLeft"/>
      <selection pane="bottomRight" activeCell="A1" sqref="A1"/>
    </sheetView>
  </sheetViews>
  <sheetFormatPr baseColWidth="8" defaultRowHeight="15"/>
  <cols>
    <col width="5.5" customWidth="1" min="1" max="1"/>
    <col width="8" customWidth="1" min="2" max="2"/>
    <col width="15" customWidth="1" min="3" max="3"/>
    <col width="40" customWidth="1" min="4" max="4"/>
    <col width="8" customWidth="1" min="5" max="5"/>
    <col width="8" customWidth="1" min="6" max="6"/>
    <col width="10" customWidth="1" min="7" max="7"/>
    <col width="11" customWidth="1" min="8" max="8"/>
    <col width="13" customWidth="1" min="9" max="9"/>
    <col width="8" customWidth="1" min="10" max="10"/>
    <col width="28" customWidth="1" min="11" max="11"/>
    <col width="8" customWidth="1" min="12" max="12"/>
    <col width="10" customWidth="1" min="13" max="13"/>
    <col width="8" customWidth="1" min="14" max="14"/>
    <col width="9" customWidth="1" min="15" max="15"/>
    <col width="8" customWidth="1" min="16" max="16"/>
    <col width="10" customWidth="1" min="17" max="17"/>
    <col width="8" customWidth="1" min="18" max="18"/>
    <col width="1.5" customWidth="1" min="19" max="19"/>
    <col width="6" customWidth="1" min="20" max="20"/>
  </cols>
  <sheetData>
    <row r="1" ht="32" customHeight="1">
      <c r="A1" s="1" t="n"/>
      <c r="B1" s="1" t="n"/>
      <c r="C1" s="1" t="n"/>
      <c r="D1" s="1" t="n"/>
      <c r="E1" s="1" t="n"/>
      <c r="F1" s="31" t="inlineStr">
        <is>
          <t>TOOL LIST  ·  LISTE DE MATÉRIEL</t>
        </is>
      </c>
    </row>
    <row r="2" ht="20" customHeight="1">
      <c r="A2" s="1" t="n"/>
      <c r="B2" s="1" t="n"/>
      <c r="C2" s="1" t="n"/>
      <c r="D2" s="1" t="n"/>
      <c r="E2" s="1" t="n"/>
      <c r="F2" s="32">
        <f>"N° "&amp;'1 Affaire'!$C$18&amp;IF('1 Affaire'!$C$12="","","   ·   Dossier "&amp;'1 Affaire'!$C$12)</f>
        <v/>
      </c>
    </row>
    <row r="3" ht="5" customHeight="1">
      <c r="A3" s="4" t="n"/>
      <c r="B3" s="4" t="n"/>
      <c r="C3" s="4" t="n"/>
      <c r="D3" s="4" t="n"/>
      <c r="E3" s="4" t="n"/>
      <c r="F3" s="4" t="n"/>
      <c r="G3" s="4" t="n"/>
      <c r="H3" s="4" t="n"/>
      <c r="I3" s="4" t="n"/>
      <c r="J3" s="4" t="n"/>
      <c r="K3" s="4" t="n"/>
      <c r="L3" s="4" t="n"/>
      <c r="M3" s="4" t="n"/>
      <c r="N3" s="4" t="n"/>
      <c r="O3" s="4" t="n"/>
      <c r="P3" s="4" t="n"/>
      <c r="Q3" s="4" t="n"/>
      <c r="R3" s="4" t="n"/>
    </row>
    <row r="4" ht="8" customHeight="1"/>
    <row r="5" ht="15" customHeight="1">
      <c r="A5" s="33" t="inlineStr">
        <is>
          <t>CLIENT</t>
        </is>
      </c>
      <c r="E5" s="33" t="inlineStr">
        <is>
          <t>DOSSIER N°</t>
        </is>
      </c>
      <c r="I5" s="33" t="inlineStr">
        <is>
          <t>RIG / PUITS</t>
        </is>
      </c>
      <c r="L5" s="33" t="inlineStr">
        <is>
          <t>A / AT (DESTINATION)</t>
        </is>
      </c>
    </row>
    <row r="6" ht="19" customHeight="1">
      <c r="A6" s="34">
        <f>""&amp;'1 Affaire'!$C$8</f>
        <v/>
      </c>
      <c r="B6" s="35" t="n"/>
      <c r="C6" s="35" t="n"/>
      <c r="D6" s="35" t="n"/>
      <c r="E6" s="34">
        <f>""&amp;'1 Affaire'!$C$12</f>
        <v/>
      </c>
      <c r="F6" s="35" t="n"/>
      <c r="G6" s="35" t="n"/>
      <c r="H6" s="35" t="n"/>
      <c r="I6" s="34">
        <f>'1 Affaire'!$C$11&amp;IF('1 Affaire'!$C$10&lt;&gt;""," · "&amp;'1 Affaire'!$C$10,"")</f>
        <v/>
      </c>
      <c r="J6" s="35" t="n"/>
      <c r="K6" s="35" t="n"/>
      <c r="L6" s="34">
        <f>""&amp;'1 Affaire'!$C$22</f>
        <v/>
      </c>
      <c r="M6" s="35" t="n"/>
      <c r="N6" s="35" t="n"/>
      <c r="O6" s="35" t="n"/>
      <c r="P6" s="35" t="n"/>
      <c r="Q6" s="35" t="n"/>
      <c r="R6" s="35" t="n"/>
    </row>
    <row r="7" ht="15" customHeight="1">
      <c r="A7" s="33" t="inlineStr">
        <is>
          <t>DATE DE DÉPART</t>
        </is>
      </c>
      <c r="E7" s="33" t="inlineStr">
        <is>
          <t>FAITE LE</t>
        </is>
      </c>
      <c r="I7" s="33" t="inlineStr">
        <is>
          <t>FAITE PAR</t>
        </is>
      </c>
      <c r="L7" s="33" t="inlineStr">
        <is>
          <t>RÉVISÉE LE · PAR</t>
        </is>
      </c>
    </row>
    <row r="8" ht="19" customHeight="1">
      <c r="A8" s="34">
        <f>IF('1 Affaire'!$C$21="","",TEXT('1 Affaire'!$C$21,"dd/mm/yyyy"))</f>
        <v/>
      </c>
      <c r="B8" s="35" t="n"/>
      <c r="C8" s="35" t="n"/>
      <c r="D8" s="35" t="n"/>
      <c r="E8" s="34">
        <f>IF('1 Affaire'!$C$19="","",TEXT('1 Affaire'!$C$19,"dd/mm/yyyy"))</f>
        <v/>
      </c>
      <c r="F8" s="35" t="n"/>
      <c r="G8" s="35" t="n"/>
      <c r="H8" s="35" t="n"/>
      <c r="I8" s="34">
        <f>""&amp;'1 Affaire'!$C$20</f>
        <v/>
      </c>
      <c r="J8" s="35" t="n"/>
      <c r="K8" s="35" t="n"/>
      <c r="L8" s="34">
        <f>IF('1 Affaire'!$F$18="","",TEXT('1 Affaire'!$F$18,"dd/mm/yyyy")&amp;"  ·  "&amp;'1 Affaire'!$F$19)</f>
        <v/>
      </c>
      <c r="M8" s="35" t="n"/>
      <c r="N8" s="35" t="n"/>
      <c r="O8" s="35" t="n"/>
      <c r="P8" s="35" t="n"/>
      <c r="Q8" s="35" t="n"/>
      <c r="R8" s="35" t="n"/>
    </row>
    <row r="9" ht="15" customHeight="1">
      <c r="A9" s="33" t="inlineStr">
        <is>
          <t>DESCRIPTION GÉNÉRALE</t>
        </is>
      </c>
      <c r="L9" s="33" t="inlineStr">
        <is>
          <t>COLISAGE</t>
        </is>
      </c>
    </row>
    <row r="10" ht="19" customHeight="1">
      <c r="A10" s="34">
        <f>""&amp;'1 Affaire'!$C$14</f>
        <v/>
      </c>
      <c r="B10" s="35" t="n"/>
      <c r="C10" s="35" t="n"/>
      <c r="D10" s="35" t="n"/>
      <c r="E10" s="35" t="n"/>
      <c r="F10" s="35" t="n"/>
      <c r="G10" s="35" t="n"/>
      <c r="H10" s="35" t="n"/>
      <c r="I10" s="35" t="n"/>
      <c r="J10" s="35" t="n"/>
      <c r="K10" s="35" t="n"/>
      <c r="L10" s="34">
        <f>""&amp;'1 Affaire'!$F$20</f>
        <v/>
      </c>
      <c r="M10" s="35" t="n"/>
      <c r="N10" s="35" t="n"/>
      <c r="O10" s="35" t="n"/>
      <c r="P10" s="35" t="n"/>
      <c r="Q10" s="35" t="n"/>
      <c r="R10" s="35" t="n"/>
    </row>
    <row r="11" ht="20" customHeight="1">
      <c r="A11" s="65" t="inlineStr">
        <is>
          <t>Toute modification par rapport à la liste ci-dessous doit être évitée, et impérativement signalée si pas le choix.</t>
        </is>
      </c>
    </row>
    <row r="12" ht="4" customHeight="1"/>
    <row r="13">
      <c r="A13" s="66" t="inlineStr">
        <is>
          <t>ÉQUIPEMENT</t>
        </is>
      </c>
      <c r="B13" s="1" t="n"/>
      <c r="C13" s="1" t="n"/>
      <c r="D13" s="1" t="n"/>
      <c r="E13" s="67" t="inlineStr">
        <is>
          <t>RELEVÉS · MEASUREMENTS (in / pouces)</t>
        </is>
      </c>
      <c r="F13" s="37" t="n"/>
      <c r="G13" s="37" t="n"/>
      <c r="H13" s="37" t="n"/>
      <c r="I13" s="37" t="n"/>
      <c r="J13" s="66" t="inlineStr">
        <is>
          <t>STOCK ET REMARQUES</t>
        </is>
      </c>
      <c r="K13" s="1" t="n"/>
      <c r="L13" s="67" t="inlineStr">
        <is>
          <t>AVANCEMENT PRÉPARATION</t>
        </is>
      </c>
      <c r="M13" s="37" t="n"/>
      <c r="N13" s="37" t="n"/>
      <c r="O13" s="37" t="n"/>
      <c r="P13" s="66" t="inlineStr">
        <is>
          <t>CONTRÔLE SUPERVISEUR</t>
        </is>
      </c>
      <c r="Q13" s="1" t="n"/>
      <c r="R13" s="1" t="n"/>
    </row>
    <row r="14" ht="34" customHeight="1">
      <c r="A14" s="38" t="inlineStr">
        <is>
          <t>Item</t>
        </is>
      </c>
      <c r="B14" s="38" t="inlineStr">
        <is>
          <t>Référence
(PL)</t>
        </is>
      </c>
      <c r="C14" s="38" t="inlineStr">
        <is>
          <t>Serial Number</t>
        </is>
      </c>
      <c r="D14" s="38" t="inlineStr">
        <is>
          <t>Description</t>
        </is>
      </c>
      <c r="E14" s="38" t="inlineStr">
        <is>
          <t>OD</t>
        </is>
      </c>
      <c r="F14" s="38" t="inlineStr">
        <is>
          <t>ID</t>
        </is>
      </c>
      <c r="G14" s="38" t="inlineStr">
        <is>
          <t>Ouverture
blades</t>
        </is>
      </c>
      <c r="H14" s="38" t="inlineStr">
        <is>
          <t>Ouverture max
couteaux</t>
        </is>
      </c>
      <c r="I14" s="38" t="inlineStr">
        <is>
          <t>Taille / test
confirmé</t>
        </is>
      </c>
      <c r="J14" s="38" t="inlineStr">
        <is>
          <t>Stock
@CC</t>
        </is>
      </c>
      <c r="K14" s="38" t="inlineStr">
        <is>
          <t>Commentaire</t>
        </is>
      </c>
      <c r="L14" s="38" t="inlineStr">
        <is>
          <t>Prêt à
partir</t>
        </is>
      </c>
      <c r="M14" s="38" t="inlineStr">
        <is>
          <t>Le</t>
        </is>
      </c>
      <c r="N14" s="38" t="inlineStr">
        <is>
          <t>Par</t>
        </is>
      </c>
      <c r="O14" s="38" t="inlineStr">
        <is>
          <t>Colisage
(n° colis)</t>
        </is>
      </c>
      <c r="P14" s="38" t="inlineStr">
        <is>
          <t>Check</t>
        </is>
      </c>
      <c r="Q14" s="38" t="inlineStr">
        <is>
          <t>Le</t>
        </is>
      </c>
      <c r="R14" s="38" t="inlineStr">
        <is>
          <t>Par</t>
        </is>
      </c>
      <c r="T14" s="68" t="inlineStr">
        <is>
          <t>ptr</t>
        </is>
      </c>
    </row>
    <row r="15" ht="27" customHeight="1">
      <c r="A15" s="16">
        <f>IF(1&lt;=SUM('2 Matériel'!$M$6:$M$29),1,"")</f>
        <v/>
      </c>
      <c r="B15" s="69" t="n"/>
      <c r="C15" s="70" t="n"/>
      <c r="D15" s="71">
        <f>IF(A15="","",INDEX('2 Matériel'!$C$6:$C$29,$T15)&amp;IF(INDEX('2 Matériel'!$M$6:$M$29,$T15)&gt;1,"  ("&amp;(A15-INDEX('2 Matériel'!$N$6:$N$29,$T15)+INDEX('2 Matériel'!$M$6:$M$29,$T15))&amp;"/"&amp;INDEX('2 Matériel'!$M$6:$M$29,$T15)&amp;")","")&amp;IF(INDEX('2 Matériel'!$B$6:$B$29,$T15)&lt;&gt;"",CHAR(10)&amp;"→ "&amp;INDEX('2 Matériel'!$B$6:$B$29,$T15),""))</f>
        <v/>
      </c>
      <c r="E15" s="72" t="n"/>
      <c r="F15" s="72" t="n"/>
      <c r="G15" s="72" t="n"/>
      <c r="H15" s="72" t="n"/>
      <c r="I15" s="69" t="n"/>
      <c r="J15" s="69" t="n"/>
      <c r="K15" s="70" t="n"/>
      <c r="L15" s="69" t="n"/>
      <c r="M15" s="73" t="n"/>
      <c r="N15" s="69" t="n"/>
      <c r="O15" s="69" t="n"/>
      <c r="P15" s="69" t="n"/>
      <c r="Q15" s="73" t="n"/>
      <c r="R15" s="69" t="n"/>
      <c r="T15" s="74">
        <f>IF(A15="","",COUNTIF('2 Matériel'!$N$6:$N$29,"&lt;"&amp;A15)+1)</f>
        <v/>
      </c>
    </row>
    <row r="16" ht="27" customHeight="1">
      <c r="A16" s="16">
        <f>IF(2&lt;=SUM('2 Matériel'!$M$6:$M$29),2,"")</f>
        <v/>
      </c>
      <c r="B16" s="69" t="n"/>
      <c r="C16" s="70" t="n"/>
      <c r="D16" s="71">
        <f>IF(A16="","",INDEX('2 Matériel'!$C$6:$C$29,$T16)&amp;IF(INDEX('2 Matériel'!$M$6:$M$29,$T16)&gt;1,"  ("&amp;(A16-INDEX('2 Matériel'!$N$6:$N$29,$T16)+INDEX('2 Matériel'!$M$6:$M$29,$T16))&amp;"/"&amp;INDEX('2 Matériel'!$M$6:$M$29,$T16)&amp;")","")&amp;IF(INDEX('2 Matériel'!$B$6:$B$29,$T16)&lt;&gt;"",CHAR(10)&amp;"→ "&amp;INDEX('2 Matériel'!$B$6:$B$29,$T16),""))</f>
        <v/>
      </c>
      <c r="E16" s="72" t="n"/>
      <c r="F16" s="72" t="n"/>
      <c r="G16" s="72" t="n"/>
      <c r="H16" s="72" t="n"/>
      <c r="I16" s="69" t="n"/>
      <c r="J16" s="69" t="n"/>
      <c r="K16" s="70" t="n"/>
      <c r="L16" s="69" t="n"/>
      <c r="M16" s="73" t="n"/>
      <c r="N16" s="69" t="n"/>
      <c r="O16" s="69" t="n"/>
      <c r="P16" s="69" t="n"/>
      <c r="Q16" s="73" t="n"/>
      <c r="R16" s="69" t="n"/>
      <c r="T16" s="74">
        <f>IF(A16="","",COUNTIF('2 Matériel'!$N$6:$N$29,"&lt;"&amp;A16)+1)</f>
        <v/>
      </c>
    </row>
    <row r="17" ht="27" customHeight="1">
      <c r="A17" s="16">
        <f>IF(3&lt;=SUM('2 Matériel'!$M$6:$M$29),3,"")</f>
        <v/>
      </c>
      <c r="B17" s="69" t="n"/>
      <c r="C17" s="70" t="n"/>
      <c r="D17" s="71">
        <f>IF(A17="","",INDEX('2 Matériel'!$C$6:$C$29,$T17)&amp;IF(INDEX('2 Matériel'!$M$6:$M$29,$T17)&gt;1,"  ("&amp;(A17-INDEX('2 Matériel'!$N$6:$N$29,$T17)+INDEX('2 Matériel'!$M$6:$M$29,$T17))&amp;"/"&amp;INDEX('2 Matériel'!$M$6:$M$29,$T17)&amp;")","")&amp;IF(INDEX('2 Matériel'!$B$6:$B$29,$T17)&lt;&gt;"",CHAR(10)&amp;"→ "&amp;INDEX('2 Matériel'!$B$6:$B$29,$T17),""))</f>
        <v/>
      </c>
      <c r="E17" s="72" t="n"/>
      <c r="F17" s="72" t="n"/>
      <c r="G17" s="72" t="n"/>
      <c r="H17" s="72" t="n"/>
      <c r="I17" s="69" t="n"/>
      <c r="J17" s="69" t="n"/>
      <c r="K17" s="70" t="n"/>
      <c r="L17" s="69" t="n"/>
      <c r="M17" s="73" t="n"/>
      <c r="N17" s="69" t="n"/>
      <c r="O17" s="69" t="n"/>
      <c r="P17" s="69" t="n"/>
      <c r="Q17" s="73" t="n"/>
      <c r="R17" s="69" t="n"/>
      <c r="T17" s="74">
        <f>IF(A17="","",COUNTIF('2 Matériel'!$N$6:$N$29,"&lt;"&amp;A17)+1)</f>
        <v/>
      </c>
    </row>
    <row r="18" ht="27" customHeight="1">
      <c r="A18" s="16">
        <f>IF(4&lt;=SUM('2 Matériel'!$M$6:$M$29),4,"")</f>
        <v/>
      </c>
      <c r="B18" s="69" t="n"/>
      <c r="C18" s="70" t="n"/>
      <c r="D18" s="71">
        <f>IF(A18="","",INDEX('2 Matériel'!$C$6:$C$29,$T18)&amp;IF(INDEX('2 Matériel'!$M$6:$M$29,$T18)&gt;1,"  ("&amp;(A18-INDEX('2 Matériel'!$N$6:$N$29,$T18)+INDEX('2 Matériel'!$M$6:$M$29,$T18))&amp;"/"&amp;INDEX('2 Matériel'!$M$6:$M$29,$T18)&amp;")","")&amp;IF(INDEX('2 Matériel'!$B$6:$B$29,$T18)&lt;&gt;"",CHAR(10)&amp;"→ "&amp;INDEX('2 Matériel'!$B$6:$B$29,$T18),""))</f>
        <v/>
      </c>
      <c r="E18" s="72" t="n"/>
      <c r="F18" s="72" t="n"/>
      <c r="G18" s="72" t="n"/>
      <c r="H18" s="72" t="n"/>
      <c r="I18" s="69" t="n"/>
      <c r="J18" s="69" t="n"/>
      <c r="K18" s="70" t="n"/>
      <c r="L18" s="69" t="n"/>
      <c r="M18" s="73" t="n"/>
      <c r="N18" s="69" t="n"/>
      <c r="O18" s="69" t="n"/>
      <c r="P18" s="69" t="n"/>
      <c r="Q18" s="73" t="n"/>
      <c r="R18" s="69" t="n"/>
      <c r="T18" s="74">
        <f>IF(A18="","",COUNTIF('2 Matériel'!$N$6:$N$29,"&lt;"&amp;A18)+1)</f>
        <v/>
      </c>
    </row>
    <row r="19" ht="27" customHeight="1">
      <c r="A19" s="16">
        <f>IF(5&lt;=SUM('2 Matériel'!$M$6:$M$29),5,"")</f>
        <v/>
      </c>
      <c r="B19" s="69" t="n"/>
      <c r="C19" s="70" t="n"/>
      <c r="D19" s="71">
        <f>IF(A19="","",INDEX('2 Matériel'!$C$6:$C$29,$T19)&amp;IF(INDEX('2 Matériel'!$M$6:$M$29,$T19)&gt;1,"  ("&amp;(A19-INDEX('2 Matériel'!$N$6:$N$29,$T19)+INDEX('2 Matériel'!$M$6:$M$29,$T19))&amp;"/"&amp;INDEX('2 Matériel'!$M$6:$M$29,$T19)&amp;")","")&amp;IF(INDEX('2 Matériel'!$B$6:$B$29,$T19)&lt;&gt;"",CHAR(10)&amp;"→ "&amp;INDEX('2 Matériel'!$B$6:$B$29,$T19),""))</f>
        <v/>
      </c>
      <c r="E19" s="72" t="n"/>
      <c r="F19" s="72" t="n"/>
      <c r="G19" s="72" t="n"/>
      <c r="H19" s="72" t="n"/>
      <c r="I19" s="69" t="n"/>
      <c r="J19" s="69" t="n"/>
      <c r="K19" s="70" t="n"/>
      <c r="L19" s="69" t="n"/>
      <c r="M19" s="73" t="n"/>
      <c r="N19" s="69" t="n"/>
      <c r="O19" s="69" t="n"/>
      <c r="P19" s="69" t="n"/>
      <c r="Q19" s="73" t="n"/>
      <c r="R19" s="69" t="n"/>
      <c r="T19" s="74">
        <f>IF(A19="","",COUNTIF('2 Matériel'!$N$6:$N$29,"&lt;"&amp;A19)+1)</f>
        <v/>
      </c>
    </row>
    <row r="20" ht="27" customHeight="1">
      <c r="A20" s="16">
        <f>IF(6&lt;=SUM('2 Matériel'!$M$6:$M$29),6,"")</f>
        <v/>
      </c>
      <c r="B20" s="69" t="n"/>
      <c r="C20" s="70" t="n"/>
      <c r="D20" s="71">
        <f>IF(A20="","",INDEX('2 Matériel'!$C$6:$C$29,$T20)&amp;IF(INDEX('2 Matériel'!$M$6:$M$29,$T20)&gt;1,"  ("&amp;(A20-INDEX('2 Matériel'!$N$6:$N$29,$T20)+INDEX('2 Matériel'!$M$6:$M$29,$T20))&amp;"/"&amp;INDEX('2 Matériel'!$M$6:$M$29,$T20)&amp;")","")&amp;IF(INDEX('2 Matériel'!$B$6:$B$29,$T20)&lt;&gt;"",CHAR(10)&amp;"→ "&amp;INDEX('2 Matériel'!$B$6:$B$29,$T20),""))</f>
        <v/>
      </c>
      <c r="E20" s="72" t="n"/>
      <c r="F20" s="72" t="n"/>
      <c r="G20" s="72" t="n"/>
      <c r="H20" s="72" t="n"/>
      <c r="I20" s="69" t="n"/>
      <c r="J20" s="69" t="n"/>
      <c r="K20" s="70" t="n"/>
      <c r="L20" s="69" t="n"/>
      <c r="M20" s="73" t="n"/>
      <c r="N20" s="69" t="n"/>
      <c r="O20" s="69" t="n"/>
      <c r="P20" s="69" t="n"/>
      <c r="Q20" s="73" t="n"/>
      <c r="R20" s="69" t="n"/>
      <c r="T20" s="74">
        <f>IF(A20="","",COUNTIF('2 Matériel'!$N$6:$N$29,"&lt;"&amp;A20)+1)</f>
        <v/>
      </c>
    </row>
    <row r="21" ht="27" customHeight="1">
      <c r="A21" s="16">
        <f>IF(7&lt;=SUM('2 Matériel'!$M$6:$M$29),7,"")</f>
        <v/>
      </c>
      <c r="B21" s="69" t="n"/>
      <c r="C21" s="70" t="n"/>
      <c r="D21" s="71">
        <f>IF(A21="","",INDEX('2 Matériel'!$C$6:$C$29,$T21)&amp;IF(INDEX('2 Matériel'!$M$6:$M$29,$T21)&gt;1,"  ("&amp;(A21-INDEX('2 Matériel'!$N$6:$N$29,$T21)+INDEX('2 Matériel'!$M$6:$M$29,$T21))&amp;"/"&amp;INDEX('2 Matériel'!$M$6:$M$29,$T21)&amp;")","")&amp;IF(INDEX('2 Matériel'!$B$6:$B$29,$T21)&lt;&gt;"",CHAR(10)&amp;"→ "&amp;INDEX('2 Matériel'!$B$6:$B$29,$T21),""))</f>
        <v/>
      </c>
      <c r="E21" s="72" t="n"/>
      <c r="F21" s="72" t="n"/>
      <c r="G21" s="72" t="n"/>
      <c r="H21" s="72" t="n"/>
      <c r="I21" s="69" t="n"/>
      <c r="J21" s="69" t="n"/>
      <c r="K21" s="70" t="n"/>
      <c r="L21" s="69" t="n"/>
      <c r="M21" s="73" t="n"/>
      <c r="N21" s="69" t="n"/>
      <c r="O21" s="69" t="n"/>
      <c r="P21" s="69" t="n"/>
      <c r="Q21" s="73" t="n"/>
      <c r="R21" s="69" t="n"/>
      <c r="T21" s="74">
        <f>IF(A21="","",COUNTIF('2 Matériel'!$N$6:$N$29,"&lt;"&amp;A21)+1)</f>
        <v/>
      </c>
    </row>
    <row r="22" ht="27" customHeight="1">
      <c r="A22" s="16">
        <f>IF(8&lt;=SUM('2 Matériel'!$M$6:$M$29),8,"")</f>
        <v/>
      </c>
      <c r="B22" s="69" t="n"/>
      <c r="C22" s="70" t="n"/>
      <c r="D22" s="71">
        <f>IF(A22="","",INDEX('2 Matériel'!$C$6:$C$29,$T22)&amp;IF(INDEX('2 Matériel'!$M$6:$M$29,$T22)&gt;1,"  ("&amp;(A22-INDEX('2 Matériel'!$N$6:$N$29,$T22)+INDEX('2 Matériel'!$M$6:$M$29,$T22))&amp;"/"&amp;INDEX('2 Matériel'!$M$6:$M$29,$T22)&amp;")","")&amp;IF(INDEX('2 Matériel'!$B$6:$B$29,$T22)&lt;&gt;"",CHAR(10)&amp;"→ "&amp;INDEX('2 Matériel'!$B$6:$B$29,$T22),""))</f>
        <v/>
      </c>
      <c r="E22" s="72" t="n"/>
      <c r="F22" s="72" t="n"/>
      <c r="G22" s="72" t="n"/>
      <c r="H22" s="72" t="n"/>
      <c r="I22" s="69" t="n"/>
      <c r="J22" s="69" t="n"/>
      <c r="K22" s="70" t="n"/>
      <c r="L22" s="69" t="n"/>
      <c r="M22" s="73" t="n"/>
      <c r="N22" s="69" t="n"/>
      <c r="O22" s="69" t="n"/>
      <c r="P22" s="69" t="n"/>
      <c r="Q22" s="73" t="n"/>
      <c r="R22" s="69" t="n"/>
      <c r="T22" s="74">
        <f>IF(A22="","",COUNTIF('2 Matériel'!$N$6:$N$29,"&lt;"&amp;A22)+1)</f>
        <v/>
      </c>
    </row>
    <row r="23" ht="27" customHeight="1">
      <c r="A23" s="16">
        <f>IF(9&lt;=SUM('2 Matériel'!$M$6:$M$29),9,"")</f>
        <v/>
      </c>
      <c r="B23" s="69" t="n"/>
      <c r="C23" s="70" t="n"/>
      <c r="D23" s="71">
        <f>IF(A23="","",INDEX('2 Matériel'!$C$6:$C$29,$T23)&amp;IF(INDEX('2 Matériel'!$M$6:$M$29,$T23)&gt;1,"  ("&amp;(A23-INDEX('2 Matériel'!$N$6:$N$29,$T23)+INDEX('2 Matériel'!$M$6:$M$29,$T23))&amp;"/"&amp;INDEX('2 Matériel'!$M$6:$M$29,$T23)&amp;")","")&amp;IF(INDEX('2 Matériel'!$B$6:$B$29,$T23)&lt;&gt;"",CHAR(10)&amp;"→ "&amp;INDEX('2 Matériel'!$B$6:$B$29,$T23),""))</f>
        <v/>
      </c>
      <c r="E23" s="72" t="n"/>
      <c r="F23" s="72" t="n"/>
      <c r="G23" s="72" t="n"/>
      <c r="H23" s="72" t="n"/>
      <c r="I23" s="69" t="n"/>
      <c r="J23" s="69" t="n"/>
      <c r="K23" s="70" t="n"/>
      <c r="L23" s="69" t="n"/>
      <c r="M23" s="73" t="n"/>
      <c r="N23" s="69" t="n"/>
      <c r="O23" s="69" t="n"/>
      <c r="P23" s="69" t="n"/>
      <c r="Q23" s="73" t="n"/>
      <c r="R23" s="69" t="n"/>
      <c r="T23" s="74">
        <f>IF(A23="","",COUNTIF('2 Matériel'!$N$6:$N$29,"&lt;"&amp;A23)+1)</f>
        <v/>
      </c>
    </row>
    <row r="24" ht="27" customHeight="1">
      <c r="A24" s="16">
        <f>IF(10&lt;=SUM('2 Matériel'!$M$6:$M$29),10,"")</f>
        <v/>
      </c>
      <c r="B24" s="69" t="n"/>
      <c r="C24" s="70" t="n"/>
      <c r="D24" s="71">
        <f>IF(A24="","",INDEX('2 Matériel'!$C$6:$C$29,$T24)&amp;IF(INDEX('2 Matériel'!$M$6:$M$29,$T24)&gt;1,"  ("&amp;(A24-INDEX('2 Matériel'!$N$6:$N$29,$T24)+INDEX('2 Matériel'!$M$6:$M$29,$T24))&amp;"/"&amp;INDEX('2 Matériel'!$M$6:$M$29,$T24)&amp;")","")&amp;IF(INDEX('2 Matériel'!$B$6:$B$29,$T24)&lt;&gt;"",CHAR(10)&amp;"→ "&amp;INDEX('2 Matériel'!$B$6:$B$29,$T24),""))</f>
        <v/>
      </c>
      <c r="E24" s="72" t="n"/>
      <c r="F24" s="72" t="n"/>
      <c r="G24" s="72" t="n"/>
      <c r="H24" s="72" t="n"/>
      <c r="I24" s="69" t="n"/>
      <c r="J24" s="69" t="n"/>
      <c r="K24" s="70" t="n"/>
      <c r="L24" s="69" t="n"/>
      <c r="M24" s="73" t="n"/>
      <c r="N24" s="69" t="n"/>
      <c r="O24" s="69" t="n"/>
      <c r="P24" s="69" t="n"/>
      <c r="Q24" s="73" t="n"/>
      <c r="R24" s="69" t="n"/>
      <c r="T24" s="74">
        <f>IF(A24="","",COUNTIF('2 Matériel'!$N$6:$N$29,"&lt;"&amp;A24)+1)</f>
        <v/>
      </c>
    </row>
    <row r="25" ht="27" customHeight="1">
      <c r="A25" s="16">
        <f>IF(11&lt;=SUM('2 Matériel'!$M$6:$M$29),11,"")</f>
        <v/>
      </c>
      <c r="B25" s="69" t="n"/>
      <c r="C25" s="70" t="n"/>
      <c r="D25" s="71">
        <f>IF(A25="","",INDEX('2 Matériel'!$C$6:$C$29,$T25)&amp;IF(INDEX('2 Matériel'!$M$6:$M$29,$T25)&gt;1,"  ("&amp;(A25-INDEX('2 Matériel'!$N$6:$N$29,$T25)+INDEX('2 Matériel'!$M$6:$M$29,$T25))&amp;"/"&amp;INDEX('2 Matériel'!$M$6:$M$29,$T25)&amp;")","")&amp;IF(INDEX('2 Matériel'!$B$6:$B$29,$T25)&lt;&gt;"",CHAR(10)&amp;"→ "&amp;INDEX('2 Matériel'!$B$6:$B$29,$T25),""))</f>
        <v/>
      </c>
      <c r="E25" s="72" t="n"/>
      <c r="F25" s="72" t="n"/>
      <c r="G25" s="72" t="n"/>
      <c r="H25" s="72" t="n"/>
      <c r="I25" s="69" t="n"/>
      <c r="J25" s="69" t="n"/>
      <c r="K25" s="70" t="n"/>
      <c r="L25" s="69" t="n"/>
      <c r="M25" s="73" t="n"/>
      <c r="N25" s="69" t="n"/>
      <c r="O25" s="69" t="n"/>
      <c r="P25" s="69" t="n"/>
      <c r="Q25" s="73" t="n"/>
      <c r="R25" s="69" t="n"/>
      <c r="T25" s="74">
        <f>IF(A25="","",COUNTIF('2 Matériel'!$N$6:$N$29,"&lt;"&amp;A25)+1)</f>
        <v/>
      </c>
    </row>
    <row r="26" ht="27" customHeight="1">
      <c r="A26" s="16">
        <f>IF(12&lt;=SUM('2 Matériel'!$M$6:$M$29),12,"")</f>
        <v/>
      </c>
      <c r="B26" s="69" t="n"/>
      <c r="C26" s="70" t="n"/>
      <c r="D26" s="71">
        <f>IF(A26="","",INDEX('2 Matériel'!$C$6:$C$29,$T26)&amp;IF(INDEX('2 Matériel'!$M$6:$M$29,$T26)&gt;1,"  ("&amp;(A26-INDEX('2 Matériel'!$N$6:$N$29,$T26)+INDEX('2 Matériel'!$M$6:$M$29,$T26))&amp;"/"&amp;INDEX('2 Matériel'!$M$6:$M$29,$T26)&amp;")","")&amp;IF(INDEX('2 Matériel'!$B$6:$B$29,$T26)&lt;&gt;"",CHAR(10)&amp;"→ "&amp;INDEX('2 Matériel'!$B$6:$B$29,$T26),""))</f>
        <v/>
      </c>
      <c r="E26" s="72" t="n"/>
      <c r="F26" s="72" t="n"/>
      <c r="G26" s="72" t="n"/>
      <c r="H26" s="72" t="n"/>
      <c r="I26" s="69" t="n"/>
      <c r="J26" s="69" t="n"/>
      <c r="K26" s="70" t="n"/>
      <c r="L26" s="69" t="n"/>
      <c r="M26" s="73" t="n"/>
      <c r="N26" s="69" t="n"/>
      <c r="O26" s="69" t="n"/>
      <c r="P26" s="69" t="n"/>
      <c r="Q26" s="73" t="n"/>
      <c r="R26" s="69" t="n"/>
      <c r="T26" s="74">
        <f>IF(A26="","",COUNTIF('2 Matériel'!$N$6:$N$29,"&lt;"&amp;A26)+1)</f>
        <v/>
      </c>
    </row>
    <row r="27" ht="27" customHeight="1">
      <c r="A27" s="16">
        <f>IF(13&lt;=SUM('2 Matériel'!$M$6:$M$29),13,"")</f>
        <v/>
      </c>
      <c r="B27" s="69" t="n"/>
      <c r="C27" s="70" t="n"/>
      <c r="D27" s="71">
        <f>IF(A27="","",INDEX('2 Matériel'!$C$6:$C$29,$T27)&amp;IF(INDEX('2 Matériel'!$M$6:$M$29,$T27)&gt;1,"  ("&amp;(A27-INDEX('2 Matériel'!$N$6:$N$29,$T27)+INDEX('2 Matériel'!$M$6:$M$29,$T27))&amp;"/"&amp;INDEX('2 Matériel'!$M$6:$M$29,$T27)&amp;")","")&amp;IF(INDEX('2 Matériel'!$B$6:$B$29,$T27)&lt;&gt;"",CHAR(10)&amp;"→ "&amp;INDEX('2 Matériel'!$B$6:$B$29,$T27),""))</f>
        <v/>
      </c>
      <c r="E27" s="72" t="n"/>
      <c r="F27" s="72" t="n"/>
      <c r="G27" s="72" t="n"/>
      <c r="H27" s="72" t="n"/>
      <c r="I27" s="69" t="n"/>
      <c r="J27" s="69" t="n"/>
      <c r="K27" s="70" t="n"/>
      <c r="L27" s="69" t="n"/>
      <c r="M27" s="73" t="n"/>
      <c r="N27" s="69" t="n"/>
      <c r="O27" s="69" t="n"/>
      <c r="P27" s="69" t="n"/>
      <c r="Q27" s="73" t="n"/>
      <c r="R27" s="69" t="n"/>
      <c r="T27" s="74">
        <f>IF(A27="","",COUNTIF('2 Matériel'!$N$6:$N$29,"&lt;"&amp;A27)+1)</f>
        <v/>
      </c>
    </row>
    <row r="28" ht="27" customHeight="1">
      <c r="A28" s="16">
        <f>IF(14&lt;=SUM('2 Matériel'!$M$6:$M$29),14,"")</f>
        <v/>
      </c>
      <c r="B28" s="69" t="n"/>
      <c r="C28" s="70" t="n"/>
      <c r="D28" s="71">
        <f>IF(A28="","",INDEX('2 Matériel'!$C$6:$C$29,$T28)&amp;IF(INDEX('2 Matériel'!$M$6:$M$29,$T28)&gt;1,"  ("&amp;(A28-INDEX('2 Matériel'!$N$6:$N$29,$T28)+INDEX('2 Matériel'!$M$6:$M$29,$T28))&amp;"/"&amp;INDEX('2 Matériel'!$M$6:$M$29,$T28)&amp;")","")&amp;IF(INDEX('2 Matériel'!$B$6:$B$29,$T28)&lt;&gt;"",CHAR(10)&amp;"→ "&amp;INDEX('2 Matériel'!$B$6:$B$29,$T28),""))</f>
        <v/>
      </c>
      <c r="E28" s="72" t="n"/>
      <c r="F28" s="72" t="n"/>
      <c r="G28" s="72" t="n"/>
      <c r="H28" s="72" t="n"/>
      <c r="I28" s="69" t="n"/>
      <c r="J28" s="69" t="n"/>
      <c r="K28" s="70" t="n"/>
      <c r="L28" s="69" t="n"/>
      <c r="M28" s="73" t="n"/>
      <c r="N28" s="69" t="n"/>
      <c r="O28" s="69" t="n"/>
      <c r="P28" s="69" t="n"/>
      <c r="Q28" s="73" t="n"/>
      <c r="R28" s="69" t="n"/>
      <c r="T28" s="74">
        <f>IF(A28="","",COUNTIF('2 Matériel'!$N$6:$N$29,"&lt;"&amp;A28)+1)</f>
        <v/>
      </c>
    </row>
    <row r="29" ht="27" customHeight="1">
      <c r="A29" s="16">
        <f>IF(15&lt;=SUM('2 Matériel'!$M$6:$M$29),15,"")</f>
        <v/>
      </c>
      <c r="B29" s="69" t="n"/>
      <c r="C29" s="70" t="n"/>
      <c r="D29" s="71">
        <f>IF(A29="","",INDEX('2 Matériel'!$C$6:$C$29,$T29)&amp;IF(INDEX('2 Matériel'!$M$6:$M$29,$T29)&gt;1,"  ("&amp;(A29-INDEX('2 Matériel'!$N$6:$N$29,$T29)+INDEX('2 Matériel'!$M$6:$M$29,$T29))&amp;"/"&amp;INDEX('2 Matériel'!$M$6:$M$29,$T29)&amp;")","")&amp;IF(INDEX('2 Matériel'!$B$6:$B$29,$T29)&lt;&gt;"",CHAR(10)&amp;"→ "&amp;INDEX('2 Matériel'!$B$6:$B$29,$T29),""))</f>
        <v/>
      </c>
      <c r="E29" s="72" t="n"/>
      <c r="F29" s="72" t="n"/>
      <c r="G29" s="72" t="n"/>
      <c r="H29" s="72" t="n"/>
      <c r="I29" s="69" t="n"/>
      <c r="J29" s="69" t="n"/>
      <c r="K29" s="70" t="n"/>
      <c r="L29" s="69" t="n"/>
      <c r="M29" s="73" t="n"/>
      <c r="N29" s="69" t="n"/>
      <c r="O29" s="69" t="n"/>
      <c r="P29" s="69" t="n"/>
      <c r="Q29" s="73" t="n"/>
      <c r="R29" s="69" t="n"/>
      <c r="T29" s="74">
        <f>IF(A29="","",COUNTIF('2 Matériel'!$N$6:$N$29,"&lt;"&amp;A29)+1)</f>
        <v/>
      </c>
    </row>
    <row r="30" ht="27" customHeight="1">
      <c r="A30" s="16">
        <f>IF(16&lt;=SUM('2 Matériel'!$M$6:$M$29),16,"")</f>
        <v/>
      </c>
      <c r="B30" s="69" t="n"/>
      <c r="C30" s="70" t="n"/>
      <c r="D30" s="71">
        <f>IF(A30="","",INDEX('2 Matériel'!$C$6:$C$29,$T30)&amp;IF(INDEX('2 Matériel'!$M$6:$M$29,$T30)&gt;1,"  ("&amp;(A30-INDEX('2 Matériel'!$N$6:$N$29,$T30)+INDEX('2 Matériel'!$M$6:$M$29,$T30))&amp;"/"&amp;INDEX('2 Matériel'!$M$6:$M$29,$T30)&amp;")","")&amp;IF(INDEX('2 Matériel'!$B$6:$B$29,$T30)&lt;&gt;"",CHAR(10)&amp;"→ "&amp;INDEX('2 Matériel'!$B$6:$B$29,$T30),""))</f>
        <v/>
      </c>
      <c r="E30" s="72" t="n"/>
      <c r="F30" s="72" t="n"/>
      <c r="G30" s="72" t="n"/>
      <c r="H30" s="72" t="n"/>
      <c r="I30" s="69" t="n"/>
      <c r="J30" s="69" t="n"/>
      <c r="K30" s="70" t="n"/>
      <c r="L30" s="69" t="n"/>
      <c r="M30" s="73" t="n"/>
      <c r="N30" s="69" t="n"/>
      <c r="O30" s="69" t="n"/>
      <c r="P30" s="69" t="n"/>
      <c r="Q30" s="73" t="n"/>
      <c r="R30" s="69" t="n"/>
      <c r="T30" s="74">
        <f>IF(A30="","",COUNTIF('2 Matériel'!$N$6:$N$29,"&lt;"&amp;A30)+1)</f>
        <v/>
      </c>
    </row>
    <row r="31" ht="27" customHeight="1">
      <c r="A31" s="16">
        <f>IF(17&lt;=SUM('2 Matériel'!$M$6:$M$29),17,"")</f>
        <v/>
      </c>
      <c r="B31" s="69" t="n"/>
      <c r="C31" s="70" t="n"/>
      <c r="D31" s="71">
        <f>IF(A31="","",INDEX('2 Matériel'!$C$6:$C$29,$T31)&amp;IF(INDEX('2 Matériel'!$M$6:$M$29,$T31)&gt;1,"  ("&amp;(A31-INDEX('2 Matériel'!$N$6:$N$29,$T31)+INDEX('2 Matériel'!$M$6:$M$29,$T31))&amp;"/"&amp;INDEX('2 Matériel'!$M$6:$M$29,$T31)&amp;")","")&amp;IF(INDEX('2 Matériel'!$B$6:$B$29,$T31)&lt;&gt;"",CHAR(10)&amp;"→ "&amp;INDEX('2 Matériel'!$B$6:$B$29,$T31),""))</f>
        <v/>
      </c>
      <c r="E31" s="72" t="n"/>
      <c r="F31" s="72" t="n"/>
      <c r="G31" s="72" t="n"/>
      <c r="H31" s="72" t="n"/>
      <c r="I31" s="69" t="n"/>
      <c r="J31" s="69" t="n"/>
      <c r="K31" s="70" t="n"/>
      <c r="L31" s="69" t="n"/>
      <c r="M31" s="73" t="n"/>
      <c r="N31" s="69" t="n"/>
      <c r="O31" s="69" t="n"/>
      <c r="P31" s="69" t="n"/>
      <c r="Q31" s="73" t="n"/>
      <c r="R31" s="69" t="n"/>
      <c r="T31" s="74">
        <f>IF(A31="","",COUNTIF('2 Matériel'!$N$6:$N$29,"&lt;"&amp;A31)+1)</f>
        <v/>
      </c>
    </row>
    <row r="32" ht="27" customHeight="1">
      <c r="A32" s="16">
        <f>IF(18&lt;=SUM('2 Matériel'!$M$6:$M$29),18,"")</f>
        <v/>
      </c>
      <c r="B32" s="69" t="n"/>
      <c r="C32" s="70" t="n"/>
      <c r="D32" s="71">
        <f>IF(A32="","",INDEX('2 Matériel'!$C$6:$C$29,$T32)&amp;IF(INDEX('2 Matériel'!$M$6:$M$29,$T32)&gt;1,"  ("&amp;(A32-INDEX('2 Matériel'!$N$6:$N$29,$T32)+INDEX('2 Matériel'!$M$6:$M$29,$T32))&amp;"/"&amp;INDEX('2 Matériel'!$M$6:$M$29,$T32)&amp;")","")&amp;IF(INDEX('2 Matériel'!$B$6:$B$29,$T32)&lt;&gt;"",CHAR(10)&amp;"→ "&amp;INDEX('2 Matériel'!$B$6:$B$29,$T32),""))</f>
        <v/>
      </c>
      <c r="E32" s="72" t="n"/>
      <c r="F32" s="72" t="n"/>
      <c r="G32" s="72" t="n"/>
      <c r="H32" s="72" t="n"/>
      <c r="I32" s="69" t="n"/>
      <c r="J32" s="69" t="n"/>
      <c r="K32" s="70" t="n"/>
      <c r="L32" s="69" t="n"/>
      <c r="M32" s="73" t="n"/>
      <c r="N32" s="69" t="n"/>
      <c r="O32" s="69" t="n"/>
      <c r="P32" s="69" t="n"/>
      <c r="Q32" s="73" t="n"/>
      <c r="R32" s="69" t="n"/>
      <c r="T32" s="74">
        <f>IF(A32="","",COUNTIF('2 Matériel'!$N$6:$N$29,"&lt;"&amp;A32)+1)</f>
        <v/>
      </c>
    </row>
    <row r="33" ht="27" customHeight="1">
      <c r="A33" s="16">
        <f>IF(19&lt;=SUM('2 Matériel'!$M$6:$M$29),19,"")</f>
        <v/>
      </c>
      <c r="B33" s="69" t="n"/>
      <c r="C33" s="70" t="n"/>
      <c r="D33" s="71">
        <f>IF(A33="","",INDEX('2 Matériel'!$C$6:$C$29,$T33)&amp;IF(INDEX('2 Matériel'!$M$6:$M$29,$T33)&gt;1,"  ("&amp;(A33-INDEX('2 Matériel'!$N$6:$N$29,$T33)+INDEX('2 Matériel'!$M$6:$M$29,$T33))&amp;"/"&amp;INDEX('2 Matériel'!$M$6:$M$29,$T33)&amp;")","")&amp;IF(INDEX('2 Matériel'!$B$6:$B$29,$T33)&lt;&gt;"",CHAR(10)&amp;"→ "&amp;INDEX('2 Matériel'!$B$6:$B$29,$T33),""))</f>
        <v/>
      </c>
      <c r="E33" s="72" t="n"/>
      <c r="F33" s="72" t="n"/>
      <c r="G33" s="72" t="n"/>
      <c r="H33" s="72" t="n"/>
      <c r="I33" s="69" t="n"/>
      <c r="J33" s="69" t="n"/>
      <c r="K33" s="70" t="n"/>
      <c r="L33" s="69" t="n"/>
      <c r="M33" s="73" t="n"/>
      <c r="N33" s="69" t="n"/>
      <c r="O33" s="69" t="n"/>
      <c r="P33" s="69" t="n"/>
      <c r="Q33" s="73" t="n"/>
      <c r="R33" s="69" t="n"/>
      <c r="T33" s="74">
        <f>IF(A33="","",COUNTIF('2 Matériel'!$N$6:$N$29,"&lt;"&amp;A33)+1)</f>
        <v/>
      </c>
    </row>
    <row r="34" ht="27" customHeight="1">
      <c r="A34" s="16">
        <f>IF(20&lt;=SUM('2 Matériel'!$M$6:$M$29),20,"")</f>
        <v/>
      </c>
      <c r="B34" s="69" t="n"/>
      <c r="C34" s="70" t="n"/>
      <c r="D34" s="71">
        <f>IF(A34="","",INDEX('2 Matériel'!$C$6:$C$29,$T34)&amp;IF(INDEX('2 Matériel'!$M$6:$M$29,$T34)&gt;1,"  ("&amp;(A34-INDEX('2 Matériel'!$N$6:$N$29,$T34)+INDEX('2 Matériel'!$M$6:$M$29,$T34))&amp;"/"&amp;INDEX('2 Matériel'!$M$6:$M$29,$T34)&amp;")","")&amp;IF(INDEX('2 Matériel'!$B$6:$B$29,$T34)&lt;&gt;"",CHAR(10)&amp;"→ "&amp;INDEX('2 Matériel'!$B$6:$B$29,$T34),""))</f>
        <v/>
      </c>
      <c r="E34" s="72" t="n"/>
      <c r="F34" s="72" t="n"/>
      <c r="G34" s="72" t="n"/>
      <c r="H34" s="72" t="n"/>
      <c r="I34" s="69" t="n"/>
      <c r="J34" s="69" t="n"/>
      <c r="K34" s="70" t="n"/>
      <c r="L34" s="69" t="n"/>
      <c r="M34" s="73" t="n"/>
      <c r="N34" s="69" t="n"/>
      <c r="O34" s="69" t="n"/>
      <c r="P34" s="69" t="n"/>
      <c r="Q34" s="73" t="n"/>
      <c r="R34" s="69" t="n"/>
      <c r="T34" s="74">
        <f>IF(A34="","",COUNTIF('2 Matériel'!$N$6:$N$29,"&lt;"&amp;A34)+1)</f>
        <v/>
      </c>
    </row>
    <row r="35" hidden="1" outlineLevel="1" ht="27" customHeight="1">
      <c r="A35" s="16">
        <f>IF(21&lt;=SUM('2 Matériel'!$M$6:$M$29),21,"")</f>
        <v/>
      </c>
      <c r="B35" s="69" t="n"/>
      <c r="C35" s="70" t="n"/>
      <c r="D35" s="71">
        <f>IF(A35="","",INDEX('2 Matériel'!$C$6:$C$29,$T35)&amp;IF(INDEX('2 Matériel'!$M$6:$M$29,$T35)&gt;1,"  ("&amp;(A35-INDEX('2 Matériel'!$N$6:$N$29,$T35)+INDEX('2 Matériel'!$M$6:$M$29,$T35))&amp;"/"&amp;INDEX('2 Matériel'!$M$6:$M$29,$T35)&amp;")","")&amp;IF(INDEX('2 Matériel'!$B$6:$B$29,$T35)&lt;&gt;"",CHAR(10)&amp;"→ "&amp;INDEX('2 Matériel'!$B$6:$B$29,$T35),""))</f>
        <v/>
      </c>
      <c r="E35" s="72" t="n"/>
      <c r="F35" s="72" t="n"/>
      <c r="G35" s="72" t="n"/>
      <c r="H35" s="72" t="n"/>
      <c r="I35" s="69" t="n"/>
      <c r="J35" s="69" t="n"/>
      <c r="K35" s="70" t="n"/>
      <c r="L35" s="69" t="n"/>
      <c r="M35" s="73" t="n"/>
      <c r="N35" s="69" t="n"/>
      <c r="O35" s="69" t="n"/>
      <c r="P35" s="69" t="n"/>
      <c r="Q35" s="73" t="n"/>
      <c r="R35" s="69" t="n"/>
      <c r="T35" s="74">
        <f>IF(A35="","",COUNTIF('2 Matériel'!$N$6:$N$29,"&lt;"&amp;A35)+1)</f>
        <v/>
      </c>
    </row>
    <row r="36" hidden="1" outlineLevel="1" ht="27" customHeight="1">
      <c r="A36" s="16">
        <f>IF(22&lt;=SUM('2 Matériel'!$M$6:$M$29),22,"")</f>
        <v/>
      </c>
      <c r="B36" s="69" t="n"/>
      <c r="C36" s="70" t="n"/>
      <c r="D36" s="71">
        <f>IF(A36="","",INDEX('2 Matériel'!$C$6:$C$29,$T36)&amp;IF(INDEX('2 Matériel'!$M$6:$M$29,$T36)&gt;1,"  ("&amp;(A36-INDEX('2 Matériel'!$N$6:$N$29,$T36)+INDEX('2 Matériel'!$M$6:$M$29,$T36))&amp;"/"&amp;INDEX('2 Matériel'!$M$6:$M$29,$T36)&amp;")","")&amp;IF(INDEX('2 Matériel'!$B$6:$B$29,$T36)&lt;&gt;"",CHAR(10)&amp;"→ "&amp;INDEX('2 Matériel'!$B$6:$B$29,$T36),""))</f>
        <v/>
      </c>
      <c r="E36" s="72" t="n"/>
      <c r="F36" s="72" t="n"/>
      <c r="G36" s="72" t="n"/>
      <c r="H36" s="72" t="n"/>
      <c r="I36" s="69" t="n"/>
      <c r="J36" s="69" t="n"/>
      <c r="K36" s="70" t="n"/>
      <c r="L36" s="69" t="n"/>
      <c r="M36" s="73" t="n"/>
      <c r="N36" s="69" t="n"/>
      <c r="O36" s="69" t="n"/>
      <c r="P36" s="69" t="n"/>
      <c r="Q36" s="73" t="n"/>
      <c r="R36" s="69" t="n"/>
      <c r="T36" s="74">
        <f>IF(A36="","",COUNTIF('2 Matériel'!$N$6:$N$29,"&lt;"&amp;A36)+1)</f>
        <v/>
      </c>
    </row>
    <row r="37" hidden="1" outlineLevel="1" ht="27" customHeight="1">
      <c r="A37" s="16">
        <f>IF(23&lt;=SUM('2 Matériel'!$M$6:$M$29),23,"")</f>
        <v/>
      </c>
      <c r="B37" s="69" t="n"/>
      <c r="C37" s="70" t="n"/>
      <c r="D37" s="71">
        <f>IF(A37="","",INDEX('2 Matériel'!$C$6:$C$29,$T37)&amp;IF(INDEX('2 Matériel'!$M$6:$M$29,$T37)&gt;1,"  ("&amp;(A37-INDEX('2 Matériel'!$N$6:$N$29,$T37)+INDEX('2 Matériel'!$M$6:$M$29,$T37))&amp;"/"&amp;INDEX('2 Matériel'!$M$6:$M$29,$T37)&amp;")","")&amp;IF(INDEX('2 Matériel'!$B$6:$B$29,$T37)&lt;&gt;"",CHAR(10)&amp;"→ "&amp;INDEX('2 Matériel'!$B$6:$B$29,$T37),""))</f>
        <v/>
      </c>
      <c r="E37" s="72" t="n"/>
      <c r="F37" s="72" t="n"/>
      <c r="G37" s="72" t="n"/>
      <c r="H37" s="72" t="n"/>
      <c r="I37" s="69" t="n"/>
      <c r="J37" s="69" t="n"/>
      <c r="K37" s="70" t="n"/>
      <c r="L37" s="69" t="n"/>
      <c r="M37" s="73" t="n"/>
      <c r="N37" s="69" t="n"/>
      <c r="O37" s="69" t="n"/>
      <c r="P37" s="69" t="n"/>
      <c r="Q37" s="73" t="n"/>
      <c r="R37" s="69" t="n"/>
      <c r="T37" s="74">
        <f>IF(A37="","",COUNTIF('2 Matériel'!$N$6:$N$29,"&lt;"&amp;A37)+1)</f>
        <v/>
      </c>
    </row>
    <row r="38" hidden="1" outlineLevel="1" ht="27" customHeight="1">
      <c r="A38" s="16">
        <f>IF(24&lt;=SUM('2 Matériel'!$M$6:$M$29),24,"")</f>
        <v/>
      </c>
      <c r="B38" s="69" t="n"/>
      <c r="C38" s="70" t="n"/>
      <c r="D38" s="71">
        <f>IF(A38="","",INDEX('2 Matériel'!$C$6:$C$29,$T38)&amp;IF(INDEX('2 Matériel'!$M$6:$M$29,$T38)&gt;1,"  ("&amp;(A38-INDEX('2 Matériel'!$N$6:$N$29,$T38)+INDEX('2 Matériel'!$M$6:$M$29,$T38))&amp;"/"&amp;INDEX('2 Matériel'!$M$6:$M$29,$T38)&amp;")","")&amp;IF(INDEX('2 Matériel'!$B$6:$B$29,$T38)&lt;&gt;"",CHAR(10)&amp;"→ "&amp;INDEX('2 Matériel'!$B$6:$B$29,$T38),""))</f>
        <v/>
      </c>
      <c r="E38" s="72" t="n"/>
      <c r="F38" s="72" t="n"/>
      <c r="G38" s="72" t="n"/>
      <c r="H38" s="72" t="n"/>
      <c r="I38" s="69" t="n"/>
      <c r="J38" s="69" t="n"/>
      <c r="K38" s="70" t="n"/>
      <c r="L38" s="69" t="n"/>
      <c r="M38" s="73" t="n"/>
      <c r="N38" s="69" t="n"/>
      <c r="O38" s="69" t="n"/>
      <c r="P38" s="69" t="n"/>
      <c r="Q38" s="73" t="n"/>
      <c r="R38" s="69" t="n"/>
      <c r="T38" s="74">
        <f>IF(A38="","",COUNTIF('2 Matériel'!$N$6:$N$29,"&lt;"&amp;A38)+1)</f>
        <v/>
      </c>
    </row>
    <row r="39" hidden="1" outlineLevel="1" ht="27" customHeight="1">
      <c r="A39" s="16">
        <f>IF(25&lt;=SUM('2 Matériel'!$M$6:$M$29),25,"")</f>
        <v/>
      </c>
      <c r="B39" s="69" t="n"/>
      <c r="C39" s="70" t="n"/>
      <c r="D39" s="71">
        <f>IF(A39="","",INDEX('2 Matériel'!$C$6:$C$29,$T39)&amp;IF(INDEX('2 Matériel'!$M$6:$M$29,$T39)&gt;1,"  ("&amp;(A39-INDEX('2 Matériel'!$N$6:$N$29,$T39)+INDEX('2 Matériel'!$M$6:$M$29,$T39))&amp;"/"&amp;INDEX('2 Matériel'!$M$6:$M$29,$T39)&amp;")","")&amp;IF(INDEX('2 Matériel'!$B$6:$B$29,$T39)&lt;&gt;"",CHAR(10)&amp;"→ "&amp;INDEX('2 Matériel'!$B$6:$B$29,$T39),""))</f>
        <v/>
      </c>
      <c r="E39" s="72" t="n"/>
      <c r="F39" s="72" t="n"/>
      <c r="G39" s="72" t="n"/>
      <c r="H39" s="72" t="n"/>
      <c r="I39" s="69" t="n"/>
      <c r="J39" s="69" t="n"/>
      <c r="K39" s="70" t="n"/>
      <c r="L39" s="69" t="n"/>
      <c r="M39" s="73" t="n"/>
      <c r="N39" s="69" t="n"/>
      <c r="O39" s="69" t="n"/>
      <c r="P39" s="69" t="n"/>
      <c r="Q39" s="73" t="n"/>
      <c r="R39" s="69" t="n"/>
      <c r="T39" s="74">
        <f>IF(A39="","",COUNTIF('2 Matériel'!$N$6:$N$29,"&lt;"&amp;A39)+1)</f>
        <v/>
      </c>
    </row>
    <row r="40" hidden="1" outlineLevel="1" ht="27" customHeight="1">
      <c r="A40" s="16">
        <f>IF(26&lt;=SUM('2 Matériel'!$M$6:$M$29),26,"")</f>
        <v/>
      </c>
      <c r="B40" s="69" t="n"/>
      <c r="C40" s="70" t="n"/>
      <c r="D40" s="71">
        <f>IF(A40="","",INDEX('2 Matériel'!$C$6:$C$29,$T40)&amp;IF(INDEX('2 Matériel'!$M$6:$M$29,$T40)&gt;1,"  ("&amp;(A40-INDEX('2 Matériel'!$N$6:$N$29,$T40)+INDEX('2 Matériel'!$M$6:$M$29,$T40))&amp;"/"&amp;INDEX('2 Matériel'!$M$6:$M$29,$T40)&amp;")","")&amp;IF(INDEX('2 Matériel'!$B$6:$B$29,$T40)&lt;&gt;"",CHAR(10)&amp;"→ "&amp;INDEX('2 Matériel'!$B$6:$B$29,$T40),""))</f>
        <v/>
      </c>
      <c r="E40" s="72" t="n"/>
      <c r="F40" s="72" t="n"/>
      <c r="G40" s="72" t="n"/>
      <c r="H40" s="72" t="n"/>
      <c r="I40" s="69" t="n"/>
      <c r="J40" s="69" t="n"/>
      <c r="K40" s="70" t="n"/>
      <c r="L40" s="69" t="n"/>
      <c r="M40" s="73" t="n"/>
      <c r="N40" s="69" t="n"/>
      <c r="O40" s="69" t="n"/>
      <c r="P40" s="69" t="n"/>
      <c r="Q40" s="73" t="n"/>
      <c r="R40" s="69" t="n"/>
      <c r="T40" s="74">
        <f>IF(A40="","",COUNTIF('2 Matériel'!$N$6:$N$29,"&lt;"&amp;A40)+1)</f>
        <v/>
      </c>
    </row>
    <row r="41" hidden="1" outlineLevel="1" ht="27" customHeight="1">
      <c r="A41" s="16">
        <f>IF(27&lt;=SUM('2 Matériel'!$M$6:$M$29),27,"")</f>
        <v/>
      </c>
      <c r="B41" s="69" t="n"/>
      <c r="C41" s="70" t="n"/>
      <c r="D41" s="71">
        <f>IF(A41="","",INDEX('2 Matériel'!$C$6:$C$29,$T41)&amp;IF(INDEX('2 Matériel'!$M$6:$M$29,$T41)&gt;1,"  ("&amp;(A41-INDEX('2 Matériel'!$N$6:$N$29,$T41)+INDEX('2 Matériel'!$M$6:$M$29,$T41))&amp;"/"&amp;INDEX('2 Matériel'!$M$6:$M$29,$T41)&amp;")","")&amp;IF(INDEX('2 Matériel'!$B$6:$B$29,$T41)&lt;&gt;"",CHAR(10)&amp;"→ "&amp;INDEX('2 Matériel'!$B$6:$B$29,$T41),""))</f>
        <v/>
      </c>
      <c r="E41" s="72" t="n"/>
      <c r="F41" s="72" t="n"/>
      <c r="G41" s="72" t="n"/>
      <c r="H41" s="72" t="n"/>
      <c r="I41" s="69" t="n"/>
      <c r="J41" s="69" t="n"/>
      <c r="K41" s="70" t="n"/>
      <c r="L41" s="69" t="n"/>
      <c r="M41" s="73" t="n"/>
      <c r="N41" s="69" t="n"/>
      <c r="O41" s="69" t="n"/>
      <c r="P41" s="69" t="n"/>
      <c r="Q41" s="73" t="n"/>
      <c r="R41" s="69" t="n"/>
      <c r="T41" s="74">
        <f>IF(A41="","",COUNTIF('2 Matériel'!$N$6:$N$29,"&lt;"&amp;A41)+1)</f>
        <v/>
      </c>
    </row>
    <row r="42" hidden="1" outlineLevel="1" ht="27" customHeight="1">
      <c r="A42" s="16">
        <f>IF(28&lt;=SUM('2 Matériel'!$M$6:$M$29),28,"")</f>
        <v/>
      </c>
      <c r="B42" s="69" t="n"/>
      <c r="C42" s="70" t="n"/>
      <c r="D42" s="71">
        <f>IF(A42="","",INDEX('2 Matériel'!$C$6:$C$29,$T42)&amp;IF(INDEX('2 Matériel'!$M$6:$M$29,$T42)&gt;1,"  ("&amp;(A42-INDEX('2 Matériel'!$N$6:$N$29,$T42)+INDEX('2 Matériel'!$M$6:$M$29,$T42))&amp;"/"&amp;INDEX('2 Matériel'!$M$6:$M$29,$T42)&amp;")","")&amp;IF(INDEX('2 Matériel'!$B$6:$B$29,$T42)&lt;&gt;"",CHAR(10)&amp;"→ "&amp;INDEX('2 Matériel'!$B$6:$B$29,$T42),""))</f>
        <v/>
      </c>
      <c r="E42" s="72" t="n"/>
      <c r="F42" s="72" t="n"/>
      <c r="G42" s="72" t="n"/>
      <c r="H42" s="72" t="n"/>
      <c r="I42" s="69" t="n"/>
      <c r="J42" s="69" t="n"/>
      <c r="K42" s="70" t="n"/>
      <c r="L42" s="69" t="n"/>
      <c r="M42" s="73" t="n"/>
      <c r="N42" s="69" t="n"/>
      <c r="O42" s="69" t="n"/>
      <c r="P42" s="69" t="n"/>
      <c r="Q42" s="73" t="n"/>
      <c r="R42" s="69" t="n"/>
      <c r="T42" s="74">
        <f>IF(A42="","",COUNTIF('2 Matériel'!$N$6:$N$29,"&lt;"&amp;A42)+1)</f>
        <v/>
      </c>
    </row>
    <row r="43" hidden="1" outlineLevel="1" ht="27" customHeight="1">
      <c r="A43" s="16">
        <f>IF(29&lt;=SUM('2 Matériel'!$M$6:$M$29),29,"")</f>
        <v/>
      </c>
      <c r="B43" s="69" t="n"/>
      <c r="C43" s="70" t="n"/>
      <c r="D43" s="71">
        <f>IF(A43="","",INDEX('2 Matériel'!$C$6:$C$29,$T43)&amp;IF(INDEX('2 Matériel'!$M$6:$M$29,$T43)&gt;1,"  ("&amp;(A43-INDEX('2 Matériel'!$N$6:$N$29,$T43)+INDEX('2 Matériel'!$M$6:$M$29,$T43))&amp;"/"&amp;INDEX('2 Matériel'!$M$6:$M$29,$T43)&amp;")","")&amp;IF(INDEX('2 Matériel'!$B$6:$B$29,$T43)&lt;&gt;"",CHAR(10)&amp;"→ "&amp;INDEX('2 Matériel'!$B$6:$B$29,$T43),""))</f>
        <v/>
      </c>
      <c r="E43" s="72" t="n"/>
      <c r="F43" s="72" t="n"/>
      <c r="G43" s="72" t="n"/>
      <c r="H43" s="72" t="n"/>
      <c r="I43" s="69" t="n"/>
      <c r="J43" s="69" t="n"/>
      <c r="K43" s="70" t="n"/>
      <c r="L43" s="69" t="n"/>
      <c r="M43" s="73" t="n"/>
      <c r="N43" s="69" t="n"/>
      <c r="O43" s="69" t="n"/>
      <c r="P43" s="69" t="n"/>
      <c r="Q43" s="73" t="n"/>
      <c r="R43" s="69" t="n"/>
      <c r="T43" s="74">
        <f>IF(A43="","",COUNTIF('2 Matériel'!$N$6:$N$29,"&lt;"&amp;A43)+1)</f>
        <v/>
      </c>
    </row>
    <row r="44" hidden="1" outlineLevel="1" ht="27" customHeight="1">
      <c r="A44" s="16">
        <f>IF(30&lt;=SUM('2 Matériel'!$M$6:$M$29),30,"")</f>
        <v/>
      </c>
      <c r="B44" s="69" t="n"/>
      <c r="C44" s="70" t="n"/>
      <c r="D44" s="71">
        <f>IF(A44="","",INDEX('2 Matériel'!$C$6:$C$29,$T44)&amp;IF(INDEX('2 Matériel'!$M$6:$M$29,$T44)&gt;1,"  ("&amp;(A44-INDEX('2 Matériel'!$N$6:$N$29,$T44)+INDEX('2 Matériel'!$M$6:$M$29,$T44))&amp;"/"&amp;INDEX('2 Matériel'!$M$6:$M$29,$T44)&amp;")","")&amp;IF(INDEX('2 Matériel'!$B$6:$B$29,$T44)&lt;&gt;"",CHAR(10)&amp;"→ "&amp;INDEX('2 Matériel'!$B$6:$B$29,$T44),""))</f>
        <v/>
      </c>
      <c r="E44" s="72" t="n"/>
      <c r="F44" s="72" t="n"/>
      <c r="G44" s="72" t="n"/>
      <c r="H44" s="72" t="n"/>
      <c r="I44" s="69" t="n"/>
      <c r="J44" s="69" t="n"/>
      <c r="K44" s="70" t="n"/>
      <c r="L44" s="69" t="n"/>
      <c r="M44" s="73" t="n"/>
      <c r="N44" s="69" t="n"/>
      <c r="O44" s="69" t="n"/>
      <c r="P44" s="69" t="n"/>
      <c r="Q44" s="73" t="n"/>
      <c r="R44" s="69" t="n"/>
      <c r="T44" s="74">
        <f>IF(A44="","",COUNTIF('2 Matériel'!$N$6:$N$29,"&lt;"&amp;A44)+1)</f>
        <v/>
      </c>
    </row>
    <row r="45" hidden="1" outlineLevel="1" ht="27" customHeight="1">
      <c r="A45" s="16">
        <f>IF(31&lt;=SUM('2 Matériel'!$M$6:$M$29),31,"")</f>
        <v/>
      </c>
      <c r="B45" s="69" t="n"/>
      <c r="C45" s="70" t="n"/>
      <c r="D45" s="71">
        <f>IF(A45="","",INDEX('2 Matériel'!$C$6:$C$29,$T45)&amp;IF(INDEX('2 Matériel'!$M$6:$M$29,$T45)&gt;1,"  ("&amp;(A45-INDEX('2 Matériel'!$N$6:$N$29,$T45)+INDEX('2 Matériel'!$M$6:$M$29,$T45))&amp;"/"&amp;INDEX('2 Matériel'!$M$6:$M$29,$T45)&amp;")","")&amp;IF(INDEX('2 Matériel'!$B$6:$B$29,$T45)&lt;&gt;"",CHAR(10)&amp;"→ "&amp;INDEX('2 Matériel'!$B$6:$B$29,$T45),""))</f>
        <v/>
      </c>
      <c r="E45" s="72" t="n"/>
      <c r="F45" s="72" t="n"/>
      <c r="G45" s="72" t="n"/>
      <c r="H45" s="72" t="n"/>
      <c r="I45" s="69" t="n"/>
      <c r="J45" s="69" t="n"/>
      <c r="K45" s="70" t="n"/>
      <c r="L45" s="69" t="n"/>
      <c r="M45" s="73" t="n"/>
      <c r="N45" s="69" t="n"/>
      <c r="O45" s="69" t="n"/>
      <c r="P45" s="69" t="n"/>
      <c r="Q45" s="73" t="n"/>
      <c r="R45" s="69" t="n"/>
      <c r="T45" s="74">
        <f>IF(A45="","",COUNTIF('2 Matériel'!$N$6:$N$29,"&lt;"&amp;A45)+1)</f>
        <v/>
      </c>
    </row>
    <row r="46" hidden="1" outlineLevel="1" ht="27" customHeight="1">
      <c r="A46" s="16">
        <f>IF(32&lt;=SUM('2 Matériel'!$M$6:$M$29),32,"")</f>
        <v/>
      </c>
      <c r="B46" s="69" t="n"/>
      <c r="C46" s="70" t="n"/>
      <c r="D46" s="71">
        <f>IF(A46="","",INDEX('2 Matériel'!$C$6:$C$29,$T46)&amp;IF(INDEX('2 Matériel'!$M$6:$M$29,$T46)&gt;1,"  ("&amp;(A46-INDEX('2 Matériel'!$N$6:$N$29,$T46)+INDEX('2 Matériel'!$M$6:$M$29,$T46))&amp;"/"&amp;INDEX('2 Matériel'!$M$6:$M$29,$T46)&amp;")","")&amp;IF(INDEX('2 Matériel'!$B$6:$B$29,$T46)&lt;&gt;"",CHAR(10)&amp;"→ "&amp;INDEX('2 Matériel'!$B$6:$B$29,$T46),""))</f>
        <v/>
      </c>
      <c r="E46" s="72" t="n"/>
      <c r="F46" s="72" t="n"/>
      <c r="G46" s="72" t="n"/>
      <c r="H46" s="72" t="n"/>
      <c r="I46" s="69" t="n"/>
      <c r="J46" s="69" t="n"/>
      <c r="K46" s="70" t="n"/>
      <c r="L46" s="69" t="n"/>
      <c r="M46" s="73" t="n"/>
      <c r="N46" s="69" t="n"/>
      <c r="O46" s="69" t="n"/>
      <c r="P46" s="69" t="n"/>
      <c r="Q46" s="73" t="n"/>
      <c r="R46" s="69" t="n"/>
      <c r="T46" s="74">
        <f>IF(A46="","",COUNTIF('2 Matériel'!$N$6:$N$29,"&lt;"&amp;A46)+1)</f>
        <v/>
      </c>
    </row>
    <row r="47" hidden="1" outlineLevel="1" ht="27" customHeight="1">
      <c r="A47" s="16">
        <f>IF(33&lt;=SUM('2 Matériel'!$M$6:$M$29),33,"")</f>
        <v/>
      </c>
      <c r="B47" s="69" t="n"/>
      <c r="C47" s="70" t="n"/>
      <c r="D47" s="71">
        <f>IF(A47="","",INDEX('2 Matériel'!$C$6:$C$29,$T47)&amp;IF(INDEX('2 Matériel'!$M$6:$M$29,$T47)&gt;1,"  ("&amp;(A47-INDEX('2 Matériel'!$N$6:$N$29,$T47)+INDEX('2 Matériel'!$M$6:$M$29,$T47))&amp;"/"&amp;INDEX('2 Matériel'!$M$6:$M$29,$T47)&amp;")","")&amp;IF(INDEX('2 Matériel'!$B$6:$B$29,$T47)&lt;&gt;"",CHAR(10)&amp;"→ "&amp;INDEX('2 Matériel'!$B$6:$B$29,$T47),""))</f>
        <v/>
      </c>
      <c r="E47" s="72" t="n"/>
      <c r="F47" s="72" t="n"/>
      <c r="G47" s="72" t="n"/>
      <c r="H47" s="72" t="n"/>
      <c r="I47" s="69" t="n"/>
      <c r="J47" s="69" t="n"/>
      <c r="K47" s="70" t="n"/>
      <c r="L47" s="69" t="n"/>
      <c r="M47" s="73" t="n"/>
      <c r="N47" s="69" t="n"/>
      <c r="O47" s="69" t="n"/>
      <c r="P47" s="69" t="n"/>
      <c r="Q47" s="73" t="n"/>
      <c r="R47" s="69" t="n"/>
      <c r="T47" s="74">
        <f>IF(A47="","",COUNTIF('2 Matériel'!$N$6:$N$29,"&lt;"&amp;A47)+1)</f>
        <v/>
      </c>
    </row>
    <row r="48" hidden="1" outlineLevel="1" ht="27" customHeight="1">
      <c r="A48" s="16">
        <f>IF(34&lt;=SUM('2 Matériel'!$M$6:$M$29),34,"")</f>
        <v/>
      </c>
      <c r="B48" s="69" t="n"/>
      <c r="C48" s="70" t="n"/>
      <c r="D48" s="71">
        <f>IF(A48="","",INDEX('2 Matériel'!$C$6:$C$29,$T48)&amp;IF(INDEX('2 Matériel'!$M$6:$M$29,$T48)&gt;1,"  ("&amp;(A48-INDEX('2 Matériel'!$N$6:$N$29,$T48)+INDEX('2 Matériel'!$M$6:$M$29,$T48))&amp;"/"&amp;INDEX('2 Matériel'!$M$6:$M$29,$T48)&amp;")","")&amp;IF(INDEX('2 Matériel'!$B$6:$B$29,$T48)&lt;&gt;"",CHAR(10)&amp;"→ "&amp;INDEX('2 Matériel'!$B$6:$B$29,$T48),""))</f>
        <v/>
      </c>
      <c r="E48" s="72" t="n"/>
      <c r="F48" s="72" t="n"/>
      <c r="G48" s="72" t="n"/>
      <c r="H48" s="72" t="n"/>
      <c r="I48" s="69" t="n"/>
      <c r="J48" s="69" t="n"/>
      <c r="K48" s="70" t="n"/>
      <c r="L48" s="69" t="n"/>
      <c r="M48" s="73" t="n"/>
      <c r="N48" s="69" t="n"/>
      <c r="O48" s="69" t="n"/>
      <c r="P48" s="69" t="n"/>
      <c r="Q48" s="73" t="n"/>
      <c r="R48" s="69" t="n"/>
      <c r="T48" s="74">
        <f>IF(A48="","",COUNTIF('2 Matériel'!$N$6:$N$29,"&lt;"&amp;A48)+1)</f>
        <v/>
      </c>
    </row>
    <row r="49" hidden="1" outlineLevel="1" ht="27" customHeight="1">
      <c r="A49" s="16">
        <f>IF(35&lt;=SUM('2 Matériel'!$M$6:$M$29),35,"")</f>
        <v/>
      </c>
      <c r="B49" s="69" t="n"/>
      <c r="C49" s="70" t="n"/>
      <c r="D49" s="71">
        <f>IF(A49="","",INDEX('2 Matériel'!$C$6:$C$29,$T49)&amp;IF(INDEX('2 Matériel'!$M$6:$M$29,$T49)&gt;1,"  ("&amp;(A49-INDEX('2 Matériel'!$N$6:$N$29,$T49)+INDEX('2 Matériel'!$M$6:$M$29,$T49))&amp;"/"&amp;INDEX('2 Matériel'!$M$6:$M$29,$T49)&amp;")","")&amp;IF(INDEX('2 Matériel'!$B$6:$B$29,$T49)&lt;&gt;"",CHAR(10)&amp;"→ "&amp;INDEX('2 Matériel'!$B$6:$B$29,$T49),""))</f>
        <v/>
      </c>
      <c r="E49" s="72" t="n"/>
      <c r="F49" s="72" t="n"/>
      <c r="G49" s="72" t="n"/>
      <c r="H49" s="72" t="n"/>
      <c r="I49" s="69" t="n"/>
      <c r="J49" s="69" t="n"/>
      <c r="K49" s="70" t="n"/>
      <c r="L49" s="69" t="n"/>
      <c r="M49" s="73" t="n"/>
      <c r="N49" s="69" t="n"/>
      <c r="O49" s="69" t="n"/>
      <c r="P49" s="69" t="n"/>
      <c r="Q49" s="73" t="n"/>
      <c r="R49" s="69" t="n"/>
      <c r="T49" s="74">
        <f>IF(A49="","",COUNTIF('2 Matériel'!$N$6:$N$29,"&lt;"&amp;A49)+1)</f>
        <v/>
      </c>
    </row>
    <row r="50" hidden="1" outlineLevel="1" ht="27" customHeight="1">
      <c r="A50" s="16">
        <f>IF(36&lt;=SUM('2 Matériel'!$M$6:$M$29),36,"")</f>
        <v/>
      </c>
      <c r="B50" s="69" t="n"/>
      <c r="C50" s="70" t="n"/>
      <c r="D50" s="71">
        <f>IF(A50="","",INDEX('2 Matériel'!$C$6:$C$29,$T50)&amp;IF(INDEX('2 Matériel'!$M$6:$M$29,$T50)&gt;1,"  ("&amp;(A50-INDEX('2 Matériel'!$N$6:$N$29,$T50)+INDEX('2 Matériel'!$M$6:$M$29,$T50))&amp;"/"&amp;INDEX('2 Matériel'!$M$6:$M$29,$T50)&amp;")","")&amp;IF(INDEX('2 Matériel'!$B$6:$B$29,$T50)&lt;&gt;"",CHAR(10)&amp;"→ "&amp;INDEX('2 Matériel'!$B$6:$B$29,$T50),""))</f>
        <v/>
      </c>
      <c r="E50" s="72" t="n"/>
      <c r="F50" s="72" t="n"/>
      <c r="G50" s="72" t="n"/>
      <c r="H50" s="72" t="n"/>
      <c r="I50" s="69" t="n"/>
      <c r="J50" s="69" t="n"/>
      <c r="K50" s="70" t="n"/>
      <c r="L50" s="69" t="n"/>
      <c r="M50" s="73" t="n"/>
      <c r="N50" s="69" t="n"/>
      <c r="O50" s="69" t="n"/>
      <c r="P50" s="69" t="n"/>
      <c r="Q50" s="73" t="n"/>
      <c r="R50" s="69" t="n"/>
      <c r="T50" s="74">
        <f>IF(A50="","",COUNTIF('2 Matériel'!$N$6:$N$29,"&lt;"&amp;A50)+1)</f>
        <v/>
      </c>
    </row>
    <row r="51" hidden="1" outlineLevel="1" ht="27" customHeight="1">
      <c r="A51" s="16">
        <f>IF(37&lt;=SUM('2 Matériel'!$M$6:$M$29),37,"")</f>
        <v/>
      </c>
      <c r="B51" s="69" t="n"/>
      <c r="C51" s="70" t="n"/>
      <c r="D51" s="71">
        <f>IF(A51="","",INDEX('2 Matériel'!$C$6:$C$29,$T51)&amp;IF(INDEX('2 Matériel'!$M$6:$M$29,$T51)&gt;1,"  ("&amp;(A51-INDEX('2 Matériel'!$N$6:$N$29,$T51)+INDEX('2 Matériel'!$M$6:$M$29,$T51))&amp;"/"&amp;INDEX('2 Matériel'!$M$6:$M$29,$T51)&amp;")","")&amp;IF(INDEX('2 Matériel'!$B$6:$B$29,$T51)&lt;&gt;"",CHAR(10)&amp;"→ "&amp;INDEX('2 Matériel'!$B$6:$B$29,$T51),""))</f>
        <v/>
      </c>
      <c r="E51" s="72" t="n"/>
      <c r="F51" s="72" t="n"/>
      <c r="G51" s="72" t="n"/>
      <c r="H51" s="72" t="n"/>
      <c r="I51" s="69" t="n"/>
      <c r="J51" s="69" t="n"/>
      <c r="K51" s="70" t="n"/>
      <c r="L51" s="69" t="n"/>
      <c r="M51" s="73" t="n"/>
      <c r="N51" s="69" t="n"/>
      <c r="O51" s="69" t="n"/>
      <c r="P51" s="69" t="n"/>
      <c r="Q51" s="73" t="n"/>
      <c r="R51" s="69" t="n"/>
      <c r="T51" s="74">
        <f>IF(A51="","",COUNTIF('2 Matériel'!$N$6:$N$29,"&lt;"&amp;A51)+1)</f>
        <v/>
      </c>
    </row>
    <row r="52" hidden="1" outlineLevel="1" ht="27" customHeight="1">
      <c r="A52" s="16">
        <f>IF(38&lt;=SUM('2 Matériel'!$M$6:$M$29),38,"")</f>
        <v/>
      </c>
      <c r="B52" s="69" t="n"/>
      <c r="C52" s="70" t="n"/>
      <c r="D52" s="71">
        <f>IF(A52="","",INDEX('2 Matériel'!$C$6:$C$29,$T52)&amp;IF(INDEX('2 Matériel'!$M$6:$M$29,$T52)&gt;1,"  ("&amp;(A52-INDEX('2 Matériel'!$N$6:$N$29,$T52)+INDEX('2 Matériel'!$M$6:$M$29,$T52))&amp;"/"&amp;INDEX('2 Matériel'!$M$6:$M$29,$T52)&amp;")","")&amp;IF(INDEX('2 Matériel'!$B$6:$B$29,$T52)&lt;&gt;"",CHAR(10)&amp;"→ "&amp;INDEX('2 Matériel'!$B$6:$B$29,$T52),""))</f>
        <v/>
      </c>
      <c r="E52" s="72" t="n"/>
      <c r="F52" s="72" t="n"/>
      <c r="G52" s="72" t="n"/>
      <c r="H52" s="72" t="n"/>
      <c r="I52" s="69" t="n"/>
      <c r="J52" s="69" t="n"/>
      <c r="K52" s="70" t="n"/>
      <c r="L52" s="69" t="n"/>
      <c r="M52" s="73" t="n"/>
      <c r="N52" s="69" t="n"/>
      <c r="O52" s="69" t="n"/>
      <c r="P52" s="69" t="n"/>
      <c r="Q52" s="73" t="n"/>
      <c r="R52" s="69" t="n"/>
      <c r="T52" s="74">
        <f>IF(A52="","",COUNTIF('2 Matériel'!$N$6:$N$29,"&lt;"&amp;A52)+1)</f>
        <v/>
      </c>
    </row>
    <row r="53" hidden="1" outlineLevel="1" ht="27" customHeight="1">
      <c r="A53" s="16">
        <f>IF(39&lt;=SUM('2 Matériel'!$M$6:$M$29),39,"")</f>
        <v/>
      </c>
      <c r="B53" s="69" t="n"/>
      <c r="C53" s="70" t="n"/>
      <c r="D53" s="71">
        <f>IF(A53="","",INDEX('2 Matériel'!$C$6:$C$29,$T53)&amp;IF(INDEX('2 Matériel'!$M$6:$M$29,$T53)&gt;1,"  ("&amp;(A53-INDEX('2 Matériel'!$N$6:$N$29,$T53)+INDEX('2 Matériel'!$M$6:$M$29,$T53))&amp;"/"&amp;INDEX('2 Matériel'!$M$6:$M$29,$T53)&amp;")","")&amp;IF(INDEX('2 Matériel'!$B$6:$B$29,$T53)&lt;&gt;"",CHAR(10)&amp;"→ "&amp;INDEX('2 Matériel'!$B$6:$B$29,$T53),""))</f>
        <v/>
      </c>
      <c r="E53" s="72" t="n"/>
      <c r="F53" s="72" t="n"/>
      <c r="G53" s="72" t="n"/>
      <c r="H53" s="72" t="n"/>
      <c r="I53" s="69" t="n"/>
      <c r="J53" s="69" t="n"/>
      <c r="K53" s="70" t="n"/>
      <c r="L53" s="69" t="n"/>
      <c r="M53" s="73" t="n"/>
      <c r="N53" s="69" t="n"/>
      <c r="O53" s="69" t="n"/>
      <c r="P53" s="69" t="n"/>
      <c r="Q53" s="73" t="n"/>
      <c r="R53" s="69" t="n"/>
      <c r="T53" s="74">
        <f>IF(A53="","",COUNTIF('2 Matériel'!$N$6:$N$29,"&lt;"&amp;A53)+1)</f>
        <v/>
      </c>
    </row>
    <row r="54" hidden="1" outlineLevel="1" ht="27" customHeight="1">
      <c r="A54" s="16">
        <f>IF(40&lt;=SUM('2 Matériel'!$M$6:$M$29),40,"")</f>
        <v/>
      </c>
      <c r="B54" s="69" t="n"/>
      <c r="C54" s="70" t="n"/>
      <c r="D54" s="71">
        <f>IF(A54="","",INDEX('2 Matériel'!$C$6:$C$29,$T54)&amp;IF(INDEX('2 Matériel'!$M$6:$M$29,$T54)&gt;1,"  ("&amp;(A54-INDEX('2 Matériel'!$N$6:$N$29,$T54)+INDEX('2 Matériel'!$M$6:$M$29,$T54))&amp;"/"&amp;INDEX('2 Matériel'!$M$6:$M$29,$T54)&amp;")","")&amp;IF(INDEX('2 Matériel'!$B$6:$B$29,$T54)&lt;&gt;"",CHAR(10)&amp;"→ "&amp;INDEX('2 Matériel'!$B$6:$B$29,$T54),""))</f>
        <v/>
      </c>
      <c r="E54" s="72" t="n"/>
      <c r="F54" s="72" t="n"/>
      <c r="G54" s="72" t="n"/>
      <c r="H54" s="72" t="n"/>
      <c r="I54" s="69" t="n"/>
      <c r="J54" s="69" t="n"/>
      <c r="K54" s="70" t="n"/>
      <c r="L54" s="69" t="n"/>
      <c r="M54" s="73" t="n"/>
      <c r="N54" s="69" t="n"/>
      <c r="O54" s="69" t="n"/>
      <c r="P54" s="69" t="n"/>
      <c r="Q54" s="73" t="n"/>
      <c r="R54" s="69" t="n"/>
      <c r="T54" s="74">
        <f>IF(A54="","",COUNTIF('2 Matériel'!$N$6:$N$29,"&lt;"&amp;A54)+1)</f>
        <v/>
      </c>
    </row>
    <row r="55">
      <c r="A55" s="44">
        <f>IF(SUM('2 Matériel'!$M$6:$M$29)&gt;20,"⚠  "&amp;(SUM('2 Matériel'!$M$6:$M$29)-20)&amp;" ligne(s) au-delà de la ligne 20 sont masquées : cliquer sur le [+] dans la marge gauche pour les afficher.","")</f>
        <v/>
      </c>
    </row>
    <row r="57" ht="20" customHeight="1">
      <c r="A57" s="66" t="inlineStr">
        <is>
          <t>COLISAGE  ·  PACKING</t>
        </is>
      </c>
      <c r="B57" s="1" t="n"/>
      <c r="C57" s="1" t="n"/>
      <c r="D57" s="1" t="n"/>
      <c r="E57" s="1" t="n"/>
      <c r="F57" s="1" t="n"/>
      <c r="G57" s="1" t="n"/>
      <c r="H57" s="1" t="n"/>
      <c r="I57" s="1" t="n"/>
      <c r="J57" s="1" t="n"/>
      <c r="K57" s="1" t="n"/>
      <c r="L57" s="1" t="n"/>
      <c r="M57" s="1" t="n"/>
      <c r="N57" s="1" t="n"/>
      <c r="O57" s="1" t="n"/>
      <c r="P57" s="1" t="n"/>
      <c r="Q57" s="1" t="n"/>
      <c r="R57" s="1" t="n"/>
    </row>
    <row r="58" ht="22" customHeight="1">
      <c r="A58" s="38" t="inlineStr">
        <is>
          <t>Colis</t>
        </is>
      </c>
      <c r="B58" s="75" t="n"/>
      <c r="C58" s="38" t="inlineStr">
        <is>
          <t>Support</t>
        </is>
      </c>
      <c r="D58" s="38" t="inlineStr">
        <is>
          <t>Contenu (items de la tool list)</t>
        </is>
      </c>
      <c r="E58" s="38" t="inlineStr">
        <is>
          <t>L (cm)</t>
        </is>
      </c>
      <c r="F58" s="38" t="inlineStr">
        <is>
          <t>l (cm)</t>
        </is>
      </c>
      <c r="G58" s="38" t="inlineStr">
        <is>
          <t>h (cm)</t>
        </is>
      </c>
      <c r="H58" s="38" t="inlineStr">
        <is>
          <t>Poids (kg)</t>
        </is>
      </c>
      <c r="I58" s="38" t="inlineStr">
        <is>
          <t>Volume (m³)</t>
        </is>
      </c>
      <c r="J58" s="38" t="inlineStr">
        <is>
          <t>Remarques</t>
        </is>
      </c>
      <c r="K58" s="75" t="n"/>
    </row>
    <row r="59" ht="22" customHeight="1">
      <c r="A59" s="76" t="inlineStr">
        <is>
          <t>P1</t>
        </is>
      </c>
      <c r="B59" s="35" t="n"/>
      <c r="C59" s="77" t="n"/>
      <c r="D59" s="78">
        <f t="array" ref="D59">_xlfn.TEXTJOIN(", ",TRUE,IF($O$15:$O$54=$A59,$A$15:$A$54,""))</f>
        <v/>
      </c>
      <c r="E59" s="79" t="n"/>
      <c r="F59" s="79" t="n"/>
      <c r="G59" s="79" t="n"/>
      <c r="H59" s="80" t="n"/>
      <c r="I59" s="81">
        <f>IF(COUNT(E59:G59)=3,E59*F59*G59/1000000,"")</f>
        <v/>
      </c>
      <c r="J59" s="82" t="n"/>
      <c r="K59" s="35" t="n"/>
    </row>
    <row r="60" ht="22" customHeight="1">
      <c r="A60" s="76" t="inlineStr">
        <is>
          <t>P2</t>
        </is>
      </c>
      <c r="B60" s="35" t="n"/>
      <c r="C60" s="77" t="n"/>
      <c r="D60" s="78">
        <f t="array" ref="D60">_xlfn.TEXTJOIN(", ",TRUE,IF($O$15:$O$54=$A60,$A$15:$A$54,""))</f>
        <v/>
      </c>
      <c r="E60" s="79" t="n"/>
      <c r="F60" s="79" t="n"/>
      <c r="G60" s="79" t="n"/>
      <c r="H60" s="80" t="n"/>
      <c r="I60" s="81">
        <f>IF(COUNT(E60:G60)=3,E60*F60*G60/1000000,"")</f>
        <v/>
      </c>
      <c r="J60" s="82" t="n"/>
      <c r="K60" s="35" t="n"/>
    </row>
    <row r="61" ht="22" customHeight="1">
      <c r="A61" s="76" t="inlineStr">
        <is>
          <t>P3</t>
        </is>
      </c>
      <c r="B61" s="35" t="n"/>
      <c r="C61" s="77" t="n"/>
      <c r="D61" s="78">
        <f t="array" ref="D61">_xlfn.TEXTJOIN(", ",TRUE,IF($O$15:$O$54=$A61,$A$15:$A$54,""))</f>
        <v/>
      </c>
      <c r="E61" s="79" t="n"/>
      <c r="F61" s="79" t="n"/>
      <c r="G61" s="79" t="n"/>
      <c r="H61" s="80" t="n"/>
      <c r="I61" s="81">
        <f>IF(COUNT(E61:G61)=3,E61*F61*G61/1000000,"")</f>
        <v/>
      </c>
      <c r="J61" s="82" t="n"/>
      <c r="K61" s="35" t="n"/>
    </row>
    <row r="62" ht="22" customHeight="1">
      <c r="A62" s="76" t="inlineStr">
        <is>
          <t>P4</t>
        </is>
      </c>
      <c r="B62" s="35" t="n"/>
      <c r="C62" s="77" t="n"/>
      <c r="D62" s="78">
        <f t="array" ref="D62">_xlfn.TEXTJOIN(", ",TRUE,IF($O$15:$O$54=$A62,$A$15:$A$54,""))</f>
        <v/>
      </c>
      <c r="E62" s="79" t="n"/>
      <c r="F62" s="79" t="n"/>
      <c r="G62" s="79" t="n"/>
      <c r="H62" s="80" t="n"/>
      <c r="I62" s="81">
        <f>IF(COUNT(E62:G62)=3,E62*F62*G62/1000000,"")</f>
        <v/>
      </c>
      <c r="J62" s="82" t="n"/>
      <c r="K62" s="35" t="n"/>
    </row>
    <row r="63" ht="22" customHeight="1">
      <c r="A63" s="76" t="inlineStr">
        <is>
          <t>P5</t>
        </is>
      </c>
      <c r="B63" s="35" t="n"/>
      <c r="C63" s="77" t="n"/>
      <c r="D63" s="78">
        <f t="array" ref="D63">_xlfn.TEXTJOIN(", ",TRUE,IF($O$15:$O$54=$A63,$A$15:$A$54,""))</f>
        <v/>
      </c>
      <c r="E63" s="79" t="n"/>
      <c r="F63" s="79" t="n"/>
      <c r="G63" s="79" t="n"/>
      <c r="H63" s="80" t="n"/>
      <c r="I63" s="81">
        <f>IF(COUNT(E63:G63)=3,E63*F63*G63/1000000,"")</f>
        <v/>
      </c>
      <c r="J63" s="82" t="n"/>
      <c r="K63" s="35" t="n"/>
    </row>
    <row r="64" ht="22" customHeight="1">
      <c r="A64" s="76" t="inlineStr">
        <is>
          <t>P6</t>
        </is>
      </c>
      <c r="B64" s="35" t="n"/>
      <c r="C64" s="77" t="n"/>
      <c r="D64" s="78">
        <f t="array" ref="D64">_xlfn.TEXTJOIN(", ",TRUE,IF($O$15:$O$54=$A64,$A$15:$A$54,""))</f>
        <v/>
      </c>
      <c r="E64" s="79" t="n"/>
      <c r="F64" s="79" t="n"/>
      <c r="G64" s="79" t="n"/>
      <c r="H64" s="80" t="n"/>
      <c r="I64" s="81">
        <f>IF(COUNT(E64:G64)=3,E64*F64*G64/1000000,"")</f>
        <v/>
      </c>
      <c r="J64" s="82" t="n"/>
      <c r="K64" s="35" t="n"/>
    </row>
    <row r="65" ht="22" customHeight="1">
      <c r="A65" s="76" t="inlineStr">
        <is>
          <t>P7</t>
        </is>
      </c>
      <c r="B65" s="35" t="n"/>
      <c r="C65" s="77" t="n"/>
      <c r="D65" s="78">
        <f t="array" ref="D65">_xlfn.TEXTJOIN(", ",TRUE,IF($O$15:$O$54=$A65,$A$15:$A$54,""))</f>
        <v/>
      </c>
      <c r="E65" s="79" t="n"/>
      <c r="F65" s="79" t="n"/>
      <c r="G65" s="79" t="n"/>
      <c r="H65" s="80" t="n"/>
      <c r="I65" s="81">
        <f>IF(COUNT(E65:G65)=3,E65*F65*G65/1000000,"")</f>
        <v/>
      </c>
      <c r="J65" s="82" t="n"/>
      <c r="K65" s="35" t="n"/>
    </row>
    <row r="66" ht="22" customHeight="1">
      <c r="A66" s="76" t="inlineStr">
        <is>
          <t>P8</t>
        </is>
      </c>
      <c r="B66" s="35" t="n"/>
      <c r="C66" s="77" t="n"/>
      <c r="D66" s="78">
        <f t="array" ref="D66">_xlfn.TEXTJOIN(", ",TRUE,IF($O$15:$O$54=$A66,$A$15:$A$54,""))</f>
        <v/>
      </c>
      <c r="E66" s="79" t="n"/>
      <c r="F66" s="79" t="n"/>
      <c r="G66" s="79" t="n"/>
      <c r="H66" s="80" t="n"/>
      <c r="I66" s="81">
        <f>IF(COUNT(E66:G66)=3,E66*F66*G66/1000000,"")</f>
        <v/>
      </c>
      <c r="J66" s="82" t="n"/>
      <c r="K66" s="35" t="n"/>
    </row>
    <row r="67" ht="22" customHeight="1">
      <c r="A67" s="76" t="inlineStr">
        <is>
          <t>P9</t>
        </is>
      </c>
      <c r="B67" s="35" t="n"/>
      <c r="C67" s="77" t="n"/>
      <c r="D67" s="78">
        <f t="array" ref="D67">_xlfn.TEXTJOIN(", ",TRUE,IF($O$15:$O$54=$A67,$A$15:$A$54,""))</f>
        <v/>
      </c>
      <c r="E67" s="79" t="n"/>
      <c r="F67" s="79" t="n"/>
      <c r="G67" s="79" t="n"/>
      <c r="H67" s="80" t="n"/>
      <c r="I67" s="81">
        <f>IF(COUNT(E67:G67)=3,E67*F67*G67/1000000,"")</f>
        <v/>
      </c>
      <c r="J67" s="82" t="n"/>
      <c r="K67" s="35" t="n"/>
    </row>
    <row r="68" ht="22" customHeight="1">
      <c r="A68" s="76" t="inlineStr">
        <is>
          <t>P10</t>
        </is>
      </c>
      <c r="B68" s="35" t="n"/>
      <c r="C68" s="77" t="n"/>
      <c r="D68" s="78">
        <f t="array" ref="D68">_xlfn.TEXTJOIN(", ",TRUE,IF($O$15:$O$54=$A68,$A$15:$A$54,""))</f>
        <v/>
      </c>
      <c r="E68" s="79" t="n"/>
      <c r="F68" s="79" t="n"/>
      <c r="G68" s="79" t="n"/>
      <c r="H68" s="80" t="n"/>
      <c r="I68" s="81">
        <f>IF(COUNT(E68:G68)=3,E68*F68*G68/1000000,"")</f>
        <v/>
      </c>
      <c r="J68" s="82" t="n"/>
      <c r="K68" s="35" t="n"/>
    </row>
    <row r="69" ht="22" customHeight="1">
      <c r="A69" s="76" t="inlineStr">
        <is>
          <t>Loose</t>
        </is>
      </c>
      <c r="B69" s="35" t="n"/>
      <c r="C69" s="83" t="inlineStr">
        <is>
          <t>Loose (vrac)</t>
        </is>
      </c>
      <c r="D69" s="78">
        <f t="array" ref="D69">_xlfn.TEXTJOIN(", ",TRUE,IF($O$15:$O$54=$A69,$A$15:$A$54,""))</f>
        <v/>
      </c>
      <c r="E69" s="35" t="n"/>
      <c r="F69" s="35" t="n"/>
      <c r="G69" s="35" t="n"/>
      <c r="H69" s="80" t="n"/>
      <c r="I69" s="35" t="n"/>
      <c r="J69" s="35" t="n"/>
      <c r="K69" s="35" t="n"/>
    </row>
    <row r="70" ht="22" customHeight="1">
      <c r="A70" s="84">
        <f>"TOTAL  ·  "&amp;COUNTA(C59:C68)&amp;" colis  ·  "&amp;SUM('2 Matériel'!$M$6:$M$29)&amp;" outil(s)"</f>
        <v/>
      </c>
      <c r="B70" s="85" t="n"/>
      <c r="C70" s="85" t="n"/>
      <c r="D70" s="85" t="n"/>
      <c r="E70" s="85" t="n"/>
      <c r="F70" s="85" t="n"/>
      <c r="G70" s="85" t="n"/>
      <c r="H70" s="86">
        <f>SUM(H59:H69)</f>
        <v/>
      </c>
      <c r="I70" s="87">
        <f>SUM(I59:I68)</f>
        <v/>
      </c>
      <c r="J70" s="88" t="n"/>
      <c r="K70" s="88" t="n"/>
    </row>
    <row r="72" ht="16" customHeight="1">
      <c r="A72" s="89" t="inlineStr">
        <is>
          <t>PRÉPARÉ PAR · Nom, date, signature</t>
        </is>
      </c>
      <c r="B72" s="57" t="n"/>
      <c r="C72" s="57" t="n"/>
      <c r="D72" s="58" t="n"/>
      <c r="E72" s="89" t="inlineStr">
        <is>
          <t>CONTRÔLÉ PAR (superviseur) · Nom, date, signature</t>
        </is>
      </c>
      <c r="F72" s="57" t="n"/>
      <c r="G72" s="57" t="n"/>
      <c r="H72" s="57" t="n"/>
      <c r="I72" s="57" t="n"/>
      <c r="J72" s="57" t="n"/>
      <c r="K72" s="58" t="n"/>
      <c r="L72" s="89" t="inlineStr">
        <is>
          <t>COLISAGE VÉRIFIÉ PAR · Nom, date</t>
        </is>
      </c>
      <c r="M72" s="57" t="n"/>
      <c r="N72" s="57" t="n"/>
      <c r="O72" s="57" t="n"/>
      <c r="P72" s="57" t="n"/>
      <c r="Q72" s="57" t="n"/>
      <c r="R72" s="58" t="n"/>
    </row>
    <row r="73" ht="16" customHeight="1">
      <c r="A73" s="59" t="n"/>
      <c r="B73" s="60" t="n"/>
      <c r="C73" s="60" t="n"/>
      <c r="D73" s="61" t="n"/>
      <c r="E73" s="59" t="n"/>
      <c r="F73" s="60" t="n"/>
      <c r="G73" s="60" t="n"/>
      <c r="H73" s="60" t="n"/>
      <c r="I73" s="60" t="n"/>
      <c r="J73" s="60" t="n"/>
      <c r="K73" s="61" t="n"/>
      <c r="L73" s="59" t="n"/>
      <c r="M73" s="60" t="n"/>
      <c r="N73" s="60" t="n"/>
      <c r="O73" s="60" t="n"/>
      <c r="P73" s="60" t="n"/>
      <c r="Q73" s="60" t="n"/>
      <c r="R73" s="61" t="n"/>
    </row>
    <row r="74" ht="16" customHeight="1">
      <c r="A74" s="59" t="n"/>
      <c r="B74" s="60" t="n"/>
      <c r="C74" s="60" t="n"/>
      <c r="D74" s="61" t="n"/>
      <c r="E74" s="59" t="n"/>
      <c r="F74" s="60" t="n"/>
      <c r="G74" s="60" t="n"/>
      <c r="H74" s="60" t="n"/>
      <c r="I74" s="60" t="n"/>
      <c r="J74" s="60" t="n"/>
      <c r="K74" s="61" t="n"/>
      <c r="L74" s="59" t="n"/>
      <c r="M74" s="60" t="n"/>
      <c r="N74" s="60" t="n"/>
      <c r="O74" s="60" t="n"/>
      <c r="P74" s="60" t="n"/>
      <c r="Q74" s="60" t="n"/>
      <c r="R74" s="61" t="n"/>
    </row>
    <row r="75" ht="16" customHeight="1">
      <c r="A75" s="62" t="n"/>
      <c r="B75" s="35" t="n"/>
      <c r="C75" s="35" t="n"/>
      <c r="D75" s="63" t="n"/>
      <c r="E75" s="62" t="n"/>
      <c r="F75" s="35" t="n"/>
      <c r="G75" s="35" t="n"/>
      <c r="H75" s="35" t="n"/>
      <c r="I75" s="35" t="n"/>
      <c r="J75" s="35" t="n"/>
      <c r="K75" s="63" t="n"/>
      <c r="L75" s="62" t="n"/>
      <c r="M75" s="35" t="n"/>
      <c r="N75" s="35" t="n"/>
      <c r="O75" s="35" t="n"/>
      <c r="P75" s="35" t="n"/>
      <c r="Q75" s="35" t="n"/>
      <c r="R75" s="63" t="n"/>
    </row>
  </sheetData>
  <mergeCells count="57">
    <mergeCell ref="A5:D5"/>
    <mergeCell ref="J64:K64"/>
    <mergeCell ref="A8:D8"/>
    <mergeCell ref="A64:B64"/>
    <mergeCell ref="A59:B59"/>
    <mergeCell ref="J67:K67"/>
    <mergeCell ref="A60:B60"/>
    <mergeCell ref="A58:B58"/>
    <mergeCell ref="L9:R9"/>
    <mergeCell ref="E7:H7"/>
    <mergeCell ref="J59:K59"/>
    <mergeCell ref="L6:R6"/>
    <mergeCell ref="J13:K13"/>
    <mergeCell ref="A61:B61"/>
    <mergeCell ref="A13:D13"/>
    <mergeCell ref="J60:K60"/>
    <mergeCell ref="A69:B69"/>
    <mergeCell ref="J68:K68"/>
    <mergeCell ref="A55:R55"/>
    <mergeCell ref="A57:R57"/>
    <mergeCell ref="A65:B65"/>
    <mergeCell ref="F1:R1"/>
    <mergeCell ref="I5:K5"/>
    <mergeCell ref="I8:K8"/>
    <mergeCell ref="E13:I13"/>
    <mergeCell ref="P13:R13"/>
    <mergeCell ref="A66:B66"/>
    <mergeCell ref="L7:R7"/>
    <mergeCell ref="J65:K65"/>
    <mergeCell ref="E5:H5"/>
    <mergeCell ref="I7:K7"/>
    <mergeCell ref="A6:D6"/>
    <mergeCell ref="E8:H8"/>
    <mergeCell ref="L13:O13"/>
    <mergeCell ref="A70:G70"/>
    <mergeCell ref="J63:K63"/>
    <mergeCell ref="A7:D7"/>
    <mergeCell ref="A72:D75"/>
    <mergeCell ref="J66:K66"/>
    <mergeCell ref="L72:R75"/>
    <mergeCell ref="I6:K6"/>
    <mergeCell ref="A62:B62"/>
    <mergeCell ref="L5:R5"/>
    <mergeCell ref="L8:R8"/>
    <mergeCell ref="A11:R11"/>
    <mergeCell ref="A63:B63"/>
    <mergeCell ref="A68:B68"/>
    <mergeCell ref="J62:K62"/>
    <mergeCell ref="E6:H6"/>
    <mergeCell ref="F2:R2"/>
    <mergeCell ref="A10:K10"/>
    <mergeCell ref="E72:K75"/>
    <mergeCell ref="J61:K61"/>
    <mergeCell ref="J58:K58"/>
    <mergeCell ref="A67:B67"/>
    <mergeCell ref="L10:R10"/>
    <mergeCell ref="A9:K9"/>
  </mergeCells>
  <conditionalFormatting sqref="A15:R54">
    <cfRule type="expression" priority="1" dxfId="3">
      <formula>$A15&lt;&gt;""</formula>
    </cfRule>
  </conditionalFormatting>
  <conditionalFormatting sqref="L15:L54">
    <cfRule type="expression" priority="2" dxfId="4">
      <formula>$L15="Oui"</formula>
    </cfRule>
  </conditionalFormatting>
  <dataValidations count="17">
    <dataValidation sqref="I15:I54" showDropDown="0" showInputMessage="0" showErrorMessage="0" allowBlank="1" errorTitle="Valeur" error="Choisir une valeur de la liste." type="list" errorStyle="warning">
      <formula1>=Listes!$Q$2:$Q$12</formula1>
    </dataValidation>
    <dataValidation sqref="L15:L54" showDropDown="0" showInputMessage="0" showErrorMessage="0" allowBlank="1" errorTitle="Valeur" error="Choisir une valeur de la liste." type="list" errorStyle="warning">
      <formula1>=Listes!$P$2:$P$12</formula1>
    </dataValidation>
    <dataValidation sqref="O15:O54" showDropDown="0" showInputMessage="0" showErrorMessage="0" allowBlank="1" errorTitle="Valeur" error="Choisir une valeur de la liste." type="list" errorStyle="warning">
      <formula1>=Listes!$K$2:$K$12</formula1>
    </dataValidation>
    <dataValidation sqref="J15:J54" showDropDown="0" showInputMessage="0" showErrorMessage="0" allowBlank="1" errorTitle="Valeur" error="Choisir une valeur de la liste." type="list" errorStyle="warning">
      <formula1>=Listes!$G$2:$G$12</formula1>
    </dataValidation>
    <dataValidation sqref="P15:P54" showDropDown="0" showInputMessage="0" showErrorMessage="0" allowBlank="1" errorTitle="Valeur" error="Choisir une valeur de la liste." type="list" errorStyle="warning">
      <formula1>=Listes!$G$2:$G$12</formula1>
    </dataValidation>
    <dataValidation sqref="N15:N54" showDropDown="0" showInputMessage="0" showErrorMessage="0" allowBlank="1" errorTitle="Valeur" error="Choisir une valeur de la liste." type="list" errorStyle="warning">
      <formula1>=Listes!$A$2:$A$12</formula1>
    </dataValidation>
    <dataValidation sqref="R15:R54" showDropDown="0" showInputMessage="0" showErrorMessage="0" allowBlank="1" errorTitle="Valeur" error="Choisir une valeur de la liste." type="list" errorStyle="warning">
      <formula1>=Listes!$A$2:$A$12</formula1>
    </dataValidation>
    <dataValidation sqref="C59" showDropDown="0" showInputMessage="0" showErrorMessage="0" allowBlank="1" errorTitle="Valeur" error="Choisir une valeur de la liste." type="list" errorStyle="warning">
      <formula1>=Listes!$J$2:$J$12</formula1>
    </dataValidation>
    <dataValidation sqref="C60" showDropDown="0" showInputMessage="0" showErrorMessage="0" allowBlank="1" errorTitle="Valeur" error="Choisir une valeur de la liste." type="list" errorStyle="warning">
      <formula1>=Listes!$J$2:$J$12</formula1>
    </dataValidation>
    <dataValidation sqref="C61" showDropDown="0" showInputMessage="0" showErrorMessage="0" allowBlank="1" errorTitle="Valeur" error="Choisir une valeur de la liste." type="list" errorStyle="warning">
      <formula1>=Listes!$J$2:$J$12</formula1>
    </dataValidation>
    <dataValidation sqref="C62" showDropDown="0" showInputMessage="0" showErrorMessage="0" allowBlank="1" errorTitle="Valeur" error="Choisir une valeur de la liste." type="list" errorStyle="warning">
      <formula1>=Listes!$J$2:$J$12</formula1>
    </dataValidation>
    <dataValidation sqref="C63" showDropDown="0" showInputMessage="0" showErrorMessage="0" allowBlank="1" errorTitle="Valeur" error="Choisir une valeur de la liste." type="list" errorStyle="warning">
      <formula1>=Listes!$J$2:$J$12</formula1>
    </dataValidation>
    <dataValidation sqref="C64" showDropDown="0" showInputMessage="0" showErrorMessage="0" allowBlank="1" errorTitle="Valeur" error="Choisir une valeur de la liste." type="list" errorStyle="warning">
      <formula1>=Listes!$J$2:$J$12</formula1>
    </dataValidation>
    <dataValidation sqref="C65" showDropDown="0" showInputMessage="0" showErrorMessage="0" allowBlank="1" errorTitle="Valeur" error="Choisir une valeur de la liste." type="list" errorStyle="warning">
      <formula1>=Listes!$J$2:$J$12</formula1>
    </dataValidation>
    <dataValidation sqref="C66" showDropDown="0" showInputMessage="0" showErrorMessage="0" allowBlank="1" errorTitle="Valeur" error="Choisir une valeur de la liste." type="list" errorStyle="warning">
      <formula1>=Listes!$J$2:$J$12</formula1>
    </dataValidation>
    <dataValidation sqref="C67" showDropDown="0" showInputMessage="0" showErrorMessage="0" allowBlank="1" errorTitle="Valeur" error="Choisir une valeur de la liste." type="list" errorStyle="warning">
      <formula1>=Listes!$J$2:$J$12</formula1>
    </dataValidation>
    <dataValidation sqref="C68" showDropDown="0" showInputMessage="0" showErrorMessage="0" allowBlank="1" errorTitle="Valeur" error="Choisir une valeur de la liste." type="list" errorStyle="warning">
      <formula1>=Listes!$J$2:$J$12</formula1>
    </dataValidation>
  </dataValidations>
  <pageMargins left="0.25" right="0.25" top="0.3" bottom="0.4" header="0.5" footer="0.5"/>
  <pageSetup orientation="landscape" paperSize="9" fitToHeight="0" fitToWidth="1"/>
  <headerFooter>
    <oddHeader/>
    <oddFooter>&amp;C&amp;8 Enedril · Tool List &amp;P / &amp;N</oddFooter>
    <evenHeader/>
    <evenFooter/>
    <firstHeader/>
    <firstFooter/>
  </headerFooter>
  <rowBreaks count="1" manualBreakCount="1">
    <brk id="56" min="0" max="16383" man="1"/>
  </rowBreaks>
  <drawing xmlns:r="http://schemas.openxmlformats.org/officeDocument/2006/relationships" r:id="rId1"/>
</worksheet>
</file>

<file path=xl/worksheets/sheet6.xml><?xml version="1.0" encoding="utf-8"?>
<worksheet xmlns="http://schemas.openxmlformats.org/spreadsheetml/2006/main">
  <sheetPr>
    <tabColor rgb="000A4FA0"/>
    <outlinePr summaryBelow="1" summaryRight="1"/>
    <pageSetUpPr fitToPage="1"/>
  </sheetPr>
  <dimension ref="B1:I44"/>
  <sheetViews>
    <sheetView showGridLines="0" workbookViewId="0">
      <selection activeCell="A1" sqref="A1"/>
    </sheetView>
  </sheetViews>
  <sheetFormatPr baseColWidth="8" defaultRowHeight="15"/>
  <cols>
    <col width="2" customWidth="1" min="1" max="1"/>
    <col width="25" customWidth="1" min="2" max="2"/>
    <col width="25" customWidth="1" min="3" max="3"/>
    <col width="25" customWidth="1" min="4" max="4"/>
    <col width="25" customWidth="1" min="5" max="5"/>
    <col width="2" customWidth="1" min="6" max="6"/>
    <col width="13" customWidth="1" min="7" max="7"/>
  </cols>
  <sheetData>
    <row r="1" ht="20" customHeight="1">
      <c r="D1" s="90">
        <f>"Réf. : "&amp;'1 Affaire'!$C$6</f>
        <v/>
      </c>
    </row>
    <row r="2" ht="20" customHeight="1">
      <c r="D2" s="91">
        <f>IF(Listes!$H$1=1,"Date : ","Date: ")&amp;IF('1 Affaire'!$C$7="","",TEXT('1 Affaire'!$C$7,"dd/mm/yyyy"))</f>
        <v/>
      </c>
    </row>
    <row r="3" ht="20" customHeight="1">
      <c r="D3" s="91">
        <f>IF(Listes!$H$1=1,"Validité : ","Valid: ")&amp;'1 Affaire'!$F$9</f>
        <v/>
      </c>
    </row>
    <row r="4" ht="20" customHeight="1">
      <c r="D4" s="91">
        <f>IF(Listes!$H$1=1,"Contact : ","Contact: ")&amp;'1 Affaire'!$F$6&amp;IF('1 Affaire'!$F$7="","","  ·  "&amp;'1 Affaire'!$F$7)</f>
        <v/>
      </c>
    </row>
    <row r="5" ht="20" customHeight="1"/>
    <row r="6" ht="30" customHeight="1"/>
    <row r="7">
      <c r="B7" s="92">
        <f>UPPER(IF(Listes!$H$1=1,"Dossier commercial","Commercial folder"))</f>
        <v/>
      </c>
    </row>
    <row r="8" ht="30" customHeight="1">
      <c r="B8" s="93">
        <f>UPPER(IF('1 Affaire'!$C$31="Commerciale",IF(Listes!$H$1=1,"Proposition commerciale","Commercial proposal"),IF(Listes!$H$1=1,"Proposition technique et commerciale","Technical and commercial proposal")))</f>
        <v/>
      </c>
    </row>
    <row r="9" ht="30" customHeight="1"/>
    <row r="10" ht="4" customHeight="1">
      <c r="B10" s="4" t="n"/>
      <c r="C10" s="4" t="n"/>
      <c r="D10" s="4" t="n"/>
      <c r="E10" s="4" t="n"/>
    </row>
    <row r="11" ht="16" customHeight="1"/>
    <row r="12" ht="20" customHeight="1">
      <c r="B12" s="94" t="inlineStr">
        <is>
          <t>CLIENT</t>
        </is>
      </c>
      <c r="C12" s="37" t="n"/>
      <c r="D12" s="94" t="inlineStr">
        <is>
          <t>PROJET · PROJECT</t>
        </is>
      </c>
      <c r="E12" s="37" t="n"/>
    </row>
    <row r="13" ht="24" customHeight="1">
      <c r="B13" s="95">
        <f>""&amp;'1 Affaire'!$C$8</f>
        <v/>
      </c>
      <c r="C13" s="75" t="n"/>
      <c r="D13" s="95">
        <f>IF('1 Affaire'!$C$32&lt;&gt;"",'1 Affaire'!$C$32,'1 Affaire'!$C$10)</f>
        <v/>
      </c>
      <c r="E13" s="75" t="n"/>
    </row>
    <row r="14" ht="24" customHeight="1">
      <c r="B14" s="75" t="n"/>
      <c r="C14" s="75" t="n"/>
      <c r="D14" s="75" t="n"/>
      <c r="E14" s="75" t="n"/>
    </row>
    <row r="15" ht="16" customHeight="1"/>
    <row r="16" ht="20" customHeight="1">
      <c r="B16" s="96">
        <f>UPPER(IF(Listes!$H$1=1,"Résumé du projet","Project summary"))</f>
        <v/>
      </c>
      <c r="C16" s="1" t="n"/>
      <c r="D16" s="1" t="n"/>
      <c r="E16" s="1" t="n"/>
    </row>
    <row r="17" ht="16" customHeight="1">
      <c r="B17" s="97">
        <f>UPPER(IF(Listes!$H$1=1,"Type de prestation","Service type"))</f>
        <v/>
      </c>
      <c r="D17" s="97">
        <f>UPPER(IF(Listes!$H$1=1,"Périmètre du contrat","Contract scope"))</f>
        <v/>
      </c>
    </row>
    <row r="18" ht="22" customHeight="1">
      <c r="B18" s="98">
        <f>""&amp;'1 Affaire'!$C$29</f>
        <v/>
      </c>
      <c r="C18" s="35" t="n"/>
      <c r="D18" s="98">
        <f>""&amp;'1 Affaire'!$C$30</f>
        <v/>
      </c>
      <c r="E18" s="35" t="n"/>
    </row>
    <row r="19" ht="16" customHeight="1">
      <c r="B19" s="97">
        <f>UPPER(IF(Listes!$H$1=1,"Lieu","Location"))</f>
        <v/>
      </c>
      <c r="D19" s="97">
        <f>UPPER(IF(Listes!$H$1=1,"Type de proposition","Proposal type"))</f>
        <v/>
      </c>
    </row>
    <row r="20" ht="22" customHeight="1">
      <c r="B20" s="98">
        <f>""&amp;'1 Affaire'!$C$10</f>
        <v/>
      </c>
      <c r="C20" s="35" t="n"/>
      <c r="D20" s="98">
        <f>""&amp;'1 Affaire'!$C$31</f>
        <v/>
      </c>
      <c r="E20" s="35" t="n"/>
    </row>
    <row r="21" ht="14" customHeight="1"/>
    <row r="22" ht="20" customHeight="1">
      <c r="B22" s="96">
        <f>UPPER(IF(Listes!$H$1=1,"Contenu du dossier","Folder contents"))</f>
        <v/>
      </c>
      <c r="C22" s="1" t="n"/>
      <c r="D22" s="1" t="n"/>
      <c r="E22" s="1" t="n"/>
    </row>
    <row r="23" ht="22" customHeight="1">
      <c r="B23" s="99">
        <f>IFERROR("1     "&amp;INDEX($H$40:$H$44,MATCH(1,$I$40:$I$44,0)),"")</f>
        <v/>
      </c>
      <c r="C23" s="35" t="n"/>
      <c r="D23" s="35" t="n"/>
      <c r="E23" s="35" t="n"/>
    </row>
    <row r="24" ht="22" customHeight="1">
      <c r="B24" s="99">
        <f>IFERROR("2     "&amp;INDEX($H$40:$H$44,MATCH(2,$I$40:$I$44,0)),"")</f>
        <v/>
      </c>
      <c r="C24" s="35" t="n"/>
      <c r="D24" s="35" t="n"/>
      <c r="E24" s="35" t="n"/>
    </row>
    <row r="25" ht="22" customHeight="1">
      <c r="B25" s="99">
        <f>IFERROR("3     "&amp;INDEX($H$40:$H$44,MATCH(3,$I$40:$I$44,0)),"")</f>
        <v/>
      </c>
      <c r="C25" s="35" t="n"/>
      <c r="D25" s="35" t="n"/>
      <c r="E25" s="35" t="n"/>
    </row>
    <row r="26" ht="22" customHeight="1">
      <c r="B26" s="99">
        <f>IFERROR("4     "&amp;INDEX($H$40:$H$44,MATCH(4,$I$40:$I$44,0)),"")</f>
        <v/>
      </c>
      <c r="C26" s="35" t="n"/>
      <c r="D26" s="35" t="n"/>
      <c r="E26" s="35" t="n"/>
    </row>
    <row r="27" ht="22" customHeight="1">
      <c r="B27" s="99">
        <f>IFERROR("5     "&amp;INDEX($H$40:$H$44,MATCH(5,$I$40:$I$44,0)),"")</f>
        <v/>
      </c>
      <c r="C27" s="35" t="n"/>
      <c r="D27" s="35" t="n"/>
      <c r="E27" s="35" t="n"/>
    </row>
    <row r="28" ht="16" customHeight="1"/>
    <row r="29" ht="26" customHeight="1">
      <c r="B29" s="100">
        <f>IF(Listes!$H$1=1,"Offre valable ","Offer valid for ")&amp;'1 Affaire'!$F$9&amp;"   ·   Incoterm "&amp;'1 Affaire'!$F$10</f>
        <v/>
      </c>
      <c r="C29" s="101" t="n"/>
      <c r="D29" s="101" t="n"/>
      <c r="E29" s="101" t="n"/>
    </row>
    <row r="36" ht="28" customHeight="1">
      <c r="B36" s="102" t="inlineStr">
        <is>
          <t>ENEDRIL · Z-Induspal · 3 Av. des Lacs · 64140 LONS (France) · SIRET 79464246200020 · TVA FR11794642462</t>
        </is>
      </c>
    </row>
    <row r="40">
      <c r="G40" s="74">
        <f>'1 Affaire'!$F$29</f>
        <v/>
      </c>
      <c r="H40" s="74">
        <f>IF(Listes!$H$1=1,"Présentation de l’entreprise","Company presentation")</f>
        <v/>
      </c>
      <c r="I40" s="74">
        <f>IF(G40="Oui",COUNTIF(G$40:G40,"Oui"),"")</f>
        <v/>
      </c>
    </row>
    <row r="41">
      <c r="G41" s="74">
        <f>'1 Affaire'!$F$30</f>
        <v/>
      </c>
      <c r="H41" s="74">
        <f>IF(Listes!$H$1=1,"Nos engagements : politique QHSE et RSE","Our commitments: QHSE and CSR policy")</f>
        <v/>
      </c>
      <c r="I41" s="74">
        <f>IF(G41="Oui",COUNTIF(G$40:G41,"Oui"),"")</f>
        <v/>
      </c>
    </row>
    <row r="42">
      <c r="G42" s="74">
        <f>'1 Affaire'!$F$31</f>
        <v/>
      </c>
      <c r="H42" s="74">
        <f>IF(Listes!$H$1=1,"Certificat ISO 9001","ISO 9001 certificate")</f>
        <v/>
      </c>
      <c r="I42" s="74">
        <f>IF(G42="Oui",COUNTIF(G$40:G42,"Oui"),"")</f>
        <v/>
      </c>
    </row>
    <row r="43">
      <c r="G43" s="74">
        <f>'1 Affaire'!$F$32</f>
        <v/>
      </c>
      <c r="H43" s="74">
        <f>IF(Listes!$H$1=1,"Proposition technique","Technical proposal")</f>
        <v/>
      </c>
      <c r="I43" s="74">
        <f>IF(G43="Oui",COUNTIF(G$40:G43,"Oui"),"")</f>
        <v/>
      </c>
    </row>
    <row r="44">
      <c r="G44" s="74">
        <f>"Oui"</f>
        <v/>
      </c>
      <c r="H44" s="74">
        <f>IF(Listes!$H$1=1,"Proposition commerciale (devis)","Commercial proposal (quotation)")</f>
        <v/>
      </c>
      <c r="I44" s="74">
        <f>IF(G44="Oui",COUNTIF(G$40:G44,"Oui"),"")</f>
        <v/>
      </c>
    </row>
  </sheetData>
  <mergeCells count="27">
    <mergeCell ref="D20:E20"/>
    <mergeCell ref="B13:C14"/>
    <mergeCell ref="D1:E1"/>
    <mergeCell ref="D19:E19"/>
    <mergeCell ref="B8:E9"/>
    <mergeCell ref="B24:E24"/>
    <mergeCell ref="B18:C18"/>
    <mergeCell ref="B36:E36"/>
    <mergeCell ref="B12:C12"/>
    <mergeCell ref="B26:E26"/>
    <mergeCell ref="D2:E2"/>
    <mergeCell ref="B16:E16"/>
    <mergeCell ref="B7:E7"/>
    <mergeCell ref="B25:E25"/>
    <mergeCell ref="B17:C17"/>
    <mergeCell ref="D17:E17"/>
    <mergeCell ref="B22:E22"/>
    <mergeCell ref="B27:E27"/>
    <mergeCell ref="B19:C19"/>
    <mergeCell ref="D4:E4"/>
    <mergeCell ref="D18:E18"/>
    <mergeCell ref="D3:E3"/>
    <mergeCell ref="D12:E12"/>
    <mergeCell ref="B23:E23"/>
    <mergeCell ref="B20:C20"/>
    <mergeCell ref="B29:E29"/>
    <mergeCell ref="D13:E14"/>
  </mergeCells>
  <printOptions horizontalCentered="1"/>
  <pageMargins left="0.75" right="0.75" top="1" bottom="1" header="0.5" footer="0.5"/>
  <pageSetup orientation="portrait" paperSize="9" fitToHeight="1" fitToWidth="1"/>
  <drawing xmlns:r="http://schemas.openxmlformats.org/officeDocument/2006/relationships" r:id="rId1"/>
</worksheet>
</file>

<file path=xl/worksheets/sheet7.xml><?xml version="1.0" encoding="utf-8"?>
<worksheet xmlns="http://schemas.openxmlformats.org/spreadsheetml/2006/main">
  <sheetPr>
    <tabColor rgb="009FB6CE"/>
    <outlinePr summaryBelow="1" summaryRight="1"/>
    <pageSetUpPr fitToPage="1"/>
  </sheetPr>
  <dimension ref="A1:S12"/>
  <sheetViews>
    <sheetView showGridLines="0" workbookViewId="0">
      <selection activeCell="A1" sqref="A1"/>
    </sheetView>
  </sheetViews>
  <sheetFormatPr baseColWidth="8" defaultRowHeight="15"/>
  <cols>
    <col width="30" customWidth="1" min="1" max="1"/>
    <col width="30" customWidth="1" min="2" max="2"/>
    <col width="30" customWidth="1" min="4" max="4"/>
    <col width="30" customWidth="1" min="5" max="5"/>
    <col width="30" customWidth="1" min="6" max="6"/>
    <col width="30" customWidth="1" min="7" max="7"/>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 width="30" customWidth="1" min="19" max="19"/>
  </cols>
  <sheetData>
    <row r="1">
      <c r="A1" s="103" t="inlineStr">
        <is>
          <t>Contact Enedril</t>
        </is>
      </c>
      <c r="B1" s="103" t="inlineStr">
        <is>
          <t>E-mail</t>
        </is>
      </c>
      <c r="D1" s="103" t="inlineStr">
        <is>
          <t>Incoterm</t>
        </is>
      </c>
      <c r="E1" s="103" t="inlineStr">
        <is>
          <t>Validité</t>
        </is>
      </c>
      <c r="F1" s="103" t="inlineStr">
        <is>
          <t>Règlement</t>
        </is>
      </c>
      <c r="G1" s="103" t="inlineStr">
        <is>
          <t>Oui / Non</t>
        </is>
      </c>
      <c r="H1" s="104">
        <f>IF('1 Affaire'!$F$14="EN",2,1)</f>
        <v/>
      </c>
      <c r="I1" s="103" t="inlineStr">
        <is>
          <t>Poste opérateur</t>
        </is>
      </c>
      <c r="J1" s="103" t="inlineStr">
        <is>
          <t>Support de colisage</t>
        </is>
      </c>
      <c r="K1" s="103" t="inlineStr">
        <is>
          <t>N° de colis</t>
        </is>
      </c>
      <c r="L1" s="103" t="inlineStr">
        <is>
          <t>Unité</t>
        </is>
      </c>
      <c r="M1" s="103" t="inlineStr">
        <is>
          <t>Mode transport</t>
        </is>
      </c>
      <c r="N1" s="103" t="inlineStr">
        <is>
          <t>Mode forfait</t>
        </is>
      </c>
      <c r="O1" s="103" t="inlineStr">
        <is>
          <t>Langue</t>
        </is>
      </c>
      <c r="P1" s="103" t="inlineStr">
        <is>
          <t>Statut</t>
        </is>
      </c>
      <c r="Q1" s="103" t="inlineStr">
        <is>
          <t>Test / Taille</t>
        </is>
      </c>
      <c r="R1" s="103" t="inlineStr">
        <is>
          <t>Type de prestation</t>
        </is>
      </c>
      <c r="S1" s="103" t="inlineStr">
        <is>
          <t>Type de proposition</t>
        </is>
      </c>
    </row>
    <row r="2">
      <c r="A2" s="105" t="inlineStr">
        <is>
          <t>Fabien JACQUOT</t>
        </is>
      </c>
      <c r="B2" s="105" t="inlineStr">
        <is>
          <t>fjacquot@enedril.fr</t>
        </is>
      </c>
      <c r="D2" s="105" t="inlineStr">
        <is>
          <t>EXW Lons</t>
        </is>
      </c>
      <c r="E2" s="105" t="inlineStr">
        <is>
          <t>15 jours / 15 days</t>
        </is>
      </c>
      <c r="F2" s="105" t="inlineStr">
        <is>
          <t>30 jours date de facture / 30 days invoice date</t>
        </is>
      </c>
      <c r="G2" s="105" t="inlineStr">
        <is>
          <t>Oui</t>
        </is>
      </c>
      <c r="H2" s="106" t="inlineStr">
        <is>
          <t>← index de langue (1 = FR, 2 = EN), ne pas modifier</t>
        </is>
      </c>
      <c r="I2" s="105" t="inlineStr">
        <is>
          <t>DD</t>
        </is>
      </c>
      <c r="J2" s="105" t="inlineStr">
        <is>
          <t>Palette</t>
        </is>
      </c>
      <c r="K2" s="105" t="inlineStr">
        <is>
          <t>P1</t>
        </is>
      </c>
      <c r="L2" s="105" t="inlineStr">
        <is>
          <t>forfait</t>
        </is>
      </c>
      <c r="M2" s="105" t="inlineStr">
        <is>
          <t>Coût réel +15 %</t>
        </is>
      </c>
      <c r="N2" s="105" t="inlineStr">
        <is>
          <t>Forfait calculé (S + O + UC)</t>
        </is>
      </c>
      <c r="O2" s="105" t="inlineStr">
        <is>
          <t>FR</t>
        </is>
      </c>
      <c r="P2" s="105" t="inlineStr">
        <is>
          <t>Oui</t>
        </is>
      </c>
      <c r="Q2" s="105" t="inlineStr">
        <is>
          <t>Taille OK</t>
        </is>
      </c>
      <c r="R2" s="105" t="inlineStr">
        <is>
          <t>Location d’outils de fishing</t>
        </is>
      </c>
      <c r="S2" s="105" t="inlineStr">
        <is>
          <t>Technique et commerciale</t>
        </is>
      </c>
    </row>
    <row r="3">
      <c r="A3" s="105" t="inlineStr">
        <is>
          <t>Alexis ESTINES</t>
        </is>
      </c>
      <c r="B3" s="105" t="inlineStr">
        <is>
          <t>aestines@enedril.fr</t>
        </is>
      </c>
      <c r="D3" s="105" t="inlineStr">
        <is>
          <t>FCA Lons</t>
        </is>
      </c>
      <c r="E3" s="105" t="inlineStr">
        <is>
          <t>30 jours / 30 days</t>
        </is>
      </c>
      <c r="F3" s="105" t="inlineStr">
        <is>
          <t>30 jours fin de mois / 30 days end of month</t>
        </is>
      </c>
      <c r="G3" s="105" t="inlineStr">
        <is>
          <t>Non</t>
        </is>
      </c>
      <c r="I3" s="105" t="inlineStr">
        <is>
          <t>MWD</t>
        </is>
      </c>
      <c r="J3" s="105" t="inlineStr">
        <is>
          <t>Fishing basket</t>
        </is>
      </c>
      <c r="K3" s="105" t="inlineStr">
        <is>
          <t>P2</t>
        </is>
      </c>
      <c r="L3" s="105" t="inlineStr">
        <is>
          <t>€/jour</t>
        </is>
      </c>
      <c r="M3" s="105" t="inlineStr">
        <is>
          <t>Forfait</t>
        </is>
      </c>
      <c r="N3" s="105" t="inlineStr">
        <is>
          <t>Forfait global</t>
        </is>
      </c>
      <c r="O3" s="105" t="inlineStr">
        <is>
          <t>EN</t>
        </is>
      </c>
      <c r="P3" s="105" t="inlineStr">
        <is>
          <t>En cours</t>
        </is>
      </c>
      <c r="Q3" s="105" t="inlineStr">
        <is>
          <t>Test OK</t>
        </is>
      </c>
      <c r="R3" s="105" t="inlineStr">
        <is>
          <t>Forage dirigé et MWD</t>
        </is>
      </c>
      <c r="S3" s="105" t="inlineStr">
        <is>
          <t>Commerciale</t>
        </is>
      </c>
    </row>
    <row r="4">
      <c r="A4" s="105" t="inlineStr">
        <is>
          <t>Paul HYNDERICK</t>
        </is>
      </c>
      <c r="B4" s="105" t="inlineStr">
        <is>
          <t>phynderick@enedril.fr</t>
        </is>
      </c>
      <c r="D4" s="105" t="inlineStr">
        <is>
          <t>DAP</t>
        </is>
      </c>
      <c r="E4" s="105" t="inlineStr">
        <is>
          <t>60 jours / 60 days</t>
        </is>
      </c>
      <c r="F4" s="105" t="inlineStr">
        <is>
          <t>45 jours fin de mois / 45 days end of month</t>
        </is>
      </c>
      <c r="I4" s="105" t="inlineStr">
        <is>
          <t>Opérateur outils</t>
        </is>
      </c>
      <c r="J4" s="105" t="inlineStr">
        <is>
          <t>Caisse</t>
        </is>
      </c>
      <c r="K4" s="105" t="inlineStr">
        <is>
          <t>P3</t>
        </is>
      </c>
      <c r="L4" s="105" t="inlineStr">
        <is>
          <t>€/jour/pers</t>
        </is>
      </c>
      <c r="N4" s="105" t="inlineStr">
        <is>
          <t>Forfait par jour</t>
        </is>
      </c>
      <c r="Q4" s="105" t="inlineStr">
        <is>
          <t>Taille + test OK</t>
        </is>
      </c>
      <c r="R4" s="105" t="inlineStr">
        <is>
          <t>Workover</t>
        </is>
      </c>
    </row>
    <row r="5">
      <c r="A5" s="105" t="inlineStr">
        <is>
          <t>Céline CARDONA</t>
        </is>
      </c>
      <c r="B5" s="105" t="inlineStr">
        <is>
          <t>ccardona@enedril.fr</t>
        </is>
      </c>
      <c r="D5" s="105" t="inlineStr">
        <is>
          <t>DDP</t>
        </is>
      </c>
      <c r="E5" s="105" t="inlineStr">
        <is>
          <t>90 jours / 90 days</t>
        </is>
      </c>
      <c r="F5" s="105" t="inlineStr">
        <is>
          <t>À la commande / Upon order</t>
        </is>
      </c>
      <c r="I5" s="105" t="inlineStr">
        <is>
          <t>Superviseur fishing</t>
        </is>
      </c>
      <c r="J5" s="105" t="inlineStr">
        <is>
          <t>Loose (vrac)</t>
        </is>
      </c>
      <c r="K5" s="105" t="inlineStr">
        <is>
          <t>P4</t>
        </is>
      </c>
      <c r="L5" s="105" t="inlineStr">
        <is>
          <t>€/pers</t>
        </is>
      </c>
      <c r="Q5" s="105" t="inlineStr">
        <is>
          <t>À contrôler</t>
        </is>
      </c>
      <c r="R5" s="105" t="inlineStr">
        <is>
          <t>Plug &amp; Abandonment</t>
        </is>
      </c>
    </row>
    <row r="6">
      <c r="A6" s="105" t="inlineStr">
        <is>
          <t>Koen MONDELAERS</t>
        </is>
      </c>
      <c r="B6" s="105" t="inlineStr">
        <is>
          <t>kmondelaers@enedril.fr</t>
        </is>
      </c>
      <c r="D6" s="105" t="inlineStr">
        <is>
          <t>FOB</t>
        </is>
      </c>
      <c r="I6" s="105" t="inlineStr">
        <is>
          <t>Mécanicien</t>
        </is>
      </c>
      <c r="K6" s="105" t="inlineStr">
        <is>
          <t>P5</t>
        </is>
      </c>
      <c r="L6" s="105" t="inlineStr">
        <is>
          <t>€/unité</t>
        </is>
      </c>
      <c r="R6" s="105" t="inlineStr">
        <is>
          <t>Fishing, workover et forage dirigé</t>
        </is>
      </c>
    </row>
    <row r="7">
      <c r="A7" s="105" t="inlineStr">
        <is>
          <t>Luigi LIBERATORE</t>
        </is>
      </c>
      <c r="B7" s="105" t="inlineStr">
        <is>
          <t>lliberatore@enedril.fr</t>
        </is>
      </c>
      <c r="K7" s="105" t="inlineStr">
        <is>
          <t>P6</t>
        </is>
      </c>
    </row>
    <row r="8">
      <c r="K8" s="105" t="inlineStr">
        <is>
          <t>P7</t>
        </is>
      </c>
    </row>
    <row r="9">
      <c r="K9" s="105" t="inlineStr">
        <is>
          <t>P8</t>
        </is>
      </c>
    </row>
    <row r="10">
      <c r="A10" s="24" t="inlineStr">
        <is>
          <t>Pour ajouter un contact, une validité, etc. : écrire à la suite dans la colonne (les listes déroulantes lisent les 12 premières lignes).</t>
        </is>
      </c>
      <c r="K10" s="105" t="inlineStr">
        <is>
          <t>P9</t>
        </is>
      </c>
    </row>
    <row r="11">
      <c r="K11" s="105" t="inlineStr">
        <is>
          <t>P10</t>
        </is>
      </c>
    </row>
    <row r="12">
      <c r="K12" s="105" t="inlineStr">
        <is>
          <t>Loose</t>
        </is>
      </c>
    </row>
  </sheetData>
  <pageMargins left="0.75" right="0.75" top="1" bottom="1" header="0.5" footer="0.5"/>
  <pageSetup orientation="landscape" paperSize="9" fitToHeight="0" fitToWidth="1"/>
</worksheet>
</file>

<file path=xl/worksheets/sheet8.xml><?xml version="1.0" encoding="utf-8"?>
<worksheet xmlns="http://schemas.openxmlformats.org/spreadsheetml/2006/main">
  <sheetPr>
    <tabColor rgb="009FB6CE"/>
    <outlinePr summaryBelow="1" summaryRight="1"/>
    <pageSetUpPr fitToPage="1"/>
  </sheetPr>
  <dimension ref="A1:C54"/>
  <sheetViews>
    <sheetView showGridLines="0" workbookViewId="0">
      <selection activeCell="A1" sqref="A1"/>
    </sheetView>
  </sheetViews>
  <sheetFormatPr baseColWidth="8" defaultRowHeight="15"/>
  <cols>
    <col width="14" customWidth="1" min="1" max="1"/>
    <col width="60" customWidth="1" min="2" max="2"/>
    <col width="60" customWidth="1" min="3" max="3"/>
  </cols>
  <sheetData>
    <row r="1">
      <c r="A1" s="103" t="inlineStr">
        <is>
          <t>Clé</t>
        </is>
      </c>
      <c r="B1" s="103" t="inlineStr">
        <is>
          <t>Français</t>
        </is>
      </c>
      <c r="C1" s="103" t="inlineStr">
        <is>
          <t>English</t>
        </is>
      </c>
    </row>
    <row r="2">
      <c r="A2" s="107" t="inlineStr">
        <is>
          <t>title</t>
        </is>
      </c>
      <c r="B2" s="107" t="inlineStr">
        <is>
          <t>OFFRE DE LOCATION</t>
        </is>
      </c>
      <c r="C2" s="107" t="inlineStr">
        <is>
          <t>EQUIPMENT RENTAL QUOTATION</t>
        </is>
      </c>
    </row>
    <row r="3">
      <c r="A3" s="107" t="inlineStr">
        <is>
          <t>client</t>
        </is>
      </c>
      <c r="B3" s="107" t="inlineStr">
        <is>
          <t>Client</t>
        </is>
      </c>
      <c r="C3" s="107" t="inlineStr">
        <is>
          <t>Company</t>
        </is>
      </c>
    </row>
    <row r="4">
      <c r="A4" s="107" t="inlineStr">
        <is>
          <t>attn</t>
        </is>
      </c>
      <c r="B4" s="107" t="inlineStr">
        <is>
          <t>À l'attention de</t>
        </is>
      </c>
      <c r="C4" s="107" t="inlineStr">
        <is>
          <t>Attention</t>
        </is>
      </c>
    </row>
    <row r="5">
      <c r="A5" s="107" t="inlineStr">
        <is>
          <t>well</t>
        </is>
      </c>
      <c r="B5" s="107" t="inlineStr">
        <is>
          <t>Puits / Chantier</t>
        </is>
      </c>
      <c r="C5" s="107" t="inlineStr">
        <is>
          <t>Well / Location</t>
        </is>
      </c>
    </row>
    <row r="6">
      <c r="A6" s="107" t="inlineStr">
        <is>
          <t>rigjob</t>
        </is>
      </c>
      <c r="B6" s="107" t="inlineStr">
        <is>
          <t>Rig · Dossier</t>
        </is>
      </c>
      <c r="C6" s="107" t="inlineStr">
        <is>
          <t>Rig · Job N°</t>
        </is>
      </c>
    </row>
    <row r="7">
      <c r="A7" s="107" t="inlineStr">
        <is>
          <t>po</t>
        </is>
      </c>
      <c r="B7" s="107" t="inlineStr">
        <is>
          <t>PO client</t>
        </is>
      </c>
      <c r="C7" s="107" t="inlineStr">
        <is>
          <t>Client PO</t>
        </is>
      </c>
    </row>
    <row r="8">
      <c r="A8" s="107" t="inlineStr">
        <is>
          <t>offer</t>
        </is>
      </c>
      <c r="B8" s="107" t="inlineStr">
        <is>
          <t>N° d'offre</t>
        </is>
      </c>
      <c r="C8" s="107" t="inlineStr">
        <is>
          <t>Offer N°</t>
        </is>
      </c>
    </row>
    <row r="9">
      <c r="A9" s="107" t="inlineStr">
        <is>
          <t>date</t>
        </is>
      </c>
      <c r="B9" s="107" t="inlineStr">
        <is>
          <t>Date</t>
        </is>
      </c>
      <c r="C9" s="107" t="inlineStr">
        <is>
          <t>Date</t>
        </is>
      </c>
    </row>
    <row r="10">
      <c r="A10" s="107" t="inlineStr">
        <is>
          <t>valid</t>
        </is>
      </c>
      <c r="B10" s="107" t="inlineStr">
        <is>
          <t>Validité de l'offre</t>
        </is>
      </c>
      <c r="C10" s="107" t="inlineStr">
        <is>
          <t>Validity</t>
        </is>
      </c>
    </row>
    <row r="11">
      <c r="A11" s="107" t="inlineStr">
        <is>
          <t>inco</t>
        </is>
      </c>
      <c r="B11" s="107" t="inlineStr">
        <is>
          <t>Incoterm</t>
        </is>
      </c>
      <c r="C11" s="107" t="inlineStr">
        <is>
          <t>Incoterm</t>
        </is>
      </c>
    </row>
    <row r="12">
      <c r="A12" s="107" t="inlineStr">
        <is>
          <t>lead</t>
        </is>
      </c>
      <c r="B12" s="107" t="inlineStr">
        <is>
          <t>Délai de mise à dispo</t>
        </is>
      </c>
      <c r="C12" s="107" t="inlineStr">
        <is>
          <t>Lead time</t>
        </is>
      </c>
    </row>
    <row r="13">
      <c r="A13" s="107" t="inlineStr">
        <is>
          <t>pay</t>
        </is>
      </c>
      <c r="B13" s="107" t="inlineStr">
        <is>
          <t>Conditions de règlement</t>
        </is>
      </c>
      <c r="C13" s="107" t="inlineStr">
        <is>
          <t>Payment terms</t>
        </is>
      </c>
    </row>
    <row r="14">
      <c r="A14" s="107" t="inlineStr">
        <is>
          <t>we</t>
        </is>
      </c>
      <c r="B14" s="107" t="inlineStr">
        <is>
          <t>Facturation WE et jours fériés</t>
        </is>
      </c>
      <c r="C14" s="107" t="inlineStr">
        <is>
          <t>Weekend &amp; holiday billing</t>
        </is>
      </c>
    </row>
    <row r="15">
      <c r="A15" s="107" t="inlineStr">
        <is>
          <t>by</t>
        </is>
      </c>
      <c r="B15" s="107" t="inlineStr">
        <is>
          <t>Établi par</t>
        </is>
      </c>
      <c r="C15" s="107" t="inlineStr">
        <is>
          <t>Established by</t>
        </is>
      </c>
    </row>
    <row r="16">
      <c r="A16" s="107" t="inlineStr">
        <is>
          <t>mail</t>
        </is>
      </c>
      <c r="B16" s="107" t="inlineStr">
        <is>
          <t>E-mail</t>
        </is>
      </c>
      <c r="C16" s="107" t="inlineStr">
        <is>
          <t>E-mail</t>
        </is>
      </c>
    </row>
    <row r="17">
      <c r="A17" s="107" t="inlineStr">
        <is>
          <t>tel</t>
        </is>
      </c>
      <c r="B17" s="107" t="inlineStr">
        <is>
          <t>Téléphone</t>
        </is>
      </c>
      <c r="C17" s="107" t="inlineStr">
        <is>
          <t>Phone</t>
        </is>
      </c>
    </row>
    <row r="18">
      <c r="A18" s="107" t="inlineStr">
        <is>
          <t>sec_eq</t>
        </is>
      </c>
      <c r="B18" s="107" t="inlineStr">
        <is>
          <t>MATÉRIEL</t>
        </is>
      </c>
      <c r="C18" s="107" t="inlineStr">
        <is>
          <t>EQUIPMENT</t>
        </is>
      </c>
    </row>
    <row r="19">
      <c r="A19" s="107" t="inlineStr">
        <is>
          <t>h_n</t>
        </is>
      </c>
      <c r="B19" s="107" t="inlineStr">
        <is>
          <t>#</t>
        </is>
      </c>
      <c r="C19" s="107" t="inlineStr">
        <is>
          <t>#</t>
        </is>
      </c>
    </row>
    <row r="20">
      <c r="A20" s="107" t="inlineStr">
        <is>
          <t>h_desc</t>
        </is>
      </c>
      <c r="B20" s="107" t="inlineStr">
        <is>
          <t>Description</t>
        </is>
      </c>
      <c r="C20" s="107" t="inlineStr">
        <is>
          <t>Description</t>
        </is>
      </c>
    </row>
    <row r="21">
      <c r="A21" s="107" t="inlineStr">
        <is>
          <t>h_qty</t>
        </is>
      </c>
      <c r="B21" s="107" t="inlineStr">
        <is>
          <t>Qté</t>
        </is>
      </c>
      <c r="C21" s="107" t="inlineStr">
        <is>
          <t>Qty</t>
        </is>
      </c>
    </row>
    <row r="22">
      <c r="A22" s="107" t="inlineStr">
        <is>
          <t>h_s</t>
        </is>
      </c>
      <c r="B22" s="107" t="inlineStr">
        <is>
          <t>Stand-by (S)
€ / jour / item</t>
        </is>
      </c>
      <c r="C22" s="107" t="inlineStr">
        <is>
          <t>Stand-by (S)
daily rate / item</t>
        </is>
      </c>
    </row>
    <row r="23">
      <c r="A23" s="107" t="inlineStr">
        <is>
          <t>h_o</t>
        </is>
      </c>
      <c r="B23" s="107" t="inlineStr">
        <is>
          <t>Opérations (O)
€ / jour / item</t>
        </is>
      </c>
      <c r="C23" s="107" t="inlineStr">
        <is>
          <t>Operations (O)
daily rate / item</t>
        </is>
      </c>
    </row>
    <row r="24">
      <c r="A24" s="107" t="inlineStr">
        <is>
          <t>h_uc</t>
        </is>
      </c>
      <c r="B24" s="107" t="inlineStr">
        <is>
          <t>Utilisation
Charge (UC)
€ / item</t>
        </is>
      </c>
      <c r="C24" s="107" t="inlineStr">
        <is>
          <t>Utilisation
Charge (UC)
per item</t>
        </is>
      </c>
    </row>
    <row r="25">
      <c r="A25" s="107" t="inlineStr">
        <is>
          <t>h_lih</t>
        </is>
      </c>
      <c r="B25" s="107" t="inlineStr">
        <is>
          <t>Valeur de remplacement
(LIH / DBR) € / item</t>
        </is>
      </c>
      <c r="C25" s="107" t="inlineStr">
        <is>
          <t>Replacement value
(LIH / DBR) per item</t>
        </is>
      </c>
    </row>
    <row r="26">
      <c r="A26" s="107" t="inlineStr">
        <is>
          <t>h_insp</t>
        </is>
      </c>
      <c r="B26" s="107" t="inlineStr">
        <is>
          <t>Inspection
€ / item</t>
        </is>
      </c>
      <c r="C26" s="107" t="inlineStr">
        <is>
          <t>Inspection
per item</t>
        </is>
      </c>
    </row>
    <row r="27">
      <c r="A27" s="107" t="inlineStr">
        <is>
          <t>h_rest</t>
        </is>
      </c>
      <c r="B27" s="107" t="inlineStr">
        <is>
          <t>Restocking
€</t>
        </is>
      </c>
      <c r="C27" s="107" t="inlineStr">
        <is>
          <t>Restocking
charge</t>
        </is>
      </c>
    </row>
    <row r="28">
      <c r="A28" s="107" t="inlineStr">
        <is>
          <t>h_ref</t>
        </is>
      </c>
      <c r="B28" s="107" t="inlineStr">
        <is>
          <t>Remarques</t>
        </is>
      </c>
      <c r="C28" s="107" t="inlineStr">
        <is>
          <t>Remarks</t>
        </is>
      </c>
    </row>
    <row r="29">
      <c r="A29" s="107" t="inlineStr">
        <is>
          <t>incl</t>
        </is>
      </c>
      <c r="B29" s="107" t="inlineStr">
        <is>
          <t>incl.</t>
        </is>
      </c>
      <c r="C29" s="107" t="inlineStr">
        <is>
          <t>incl.</t>
        </is>
      </c>
    </row>
    <row r="30">
      <c r="A30" s="107" t="inlineStr">
        <is>
          <t>incl_long</t>
        </is>
      </c>
      <c r="B30" s="107" t="inlineStr">
        <is>
          <t>Inclus au forfait</t>
        </is>
      </c>
      <c r="C30" s="107" t="inlineStr">
        <is>
          <t>Included in lump sum</t>
        </is>
      </c>
    </row>
    <row r="31">
      <c r="A31" s="107" t="inlineStr">
        <is>
          <t>sec_opt</t>
        </is>
      </c>
      <c r="B31" s="107" t="inlineStr">
        <is>
          <t>PRESTATIONS ET OPTIONS</t>
        </is>
      </c>
      <c r="C31" s="107" t="inlineStr">
        <is>
          <t>SERVICES AND OPTIONS</t>
        </is>
      </c>
    </row>
    <row r="32">
      <c r="A32" s="107" t="inlineStr">
        <is>
          <t>h_label</t>
        </is>
      </c>
      <c r="B32" s="107" t="inlineStr">
        <is>
          <t>Prestation</t>
        </is>
      </c>
      <c r="C32" s="107" t="inlineStr">
        <is>
          <t>Service</t>
        </is>
      </c>
    </row>
    <row r="33">
      <c r="A33" s="107" t="inlineStr">
        <is>
          <t>h_unit</t>
        </is>
      </c>
      <c r="B33" s="107" t="inlineStr">
        <is>
          <t>Unité</t>
        </is>
      </c>
      <c r="C33" s="107" t="inlineStr">
        <is>
          <t>Unit</t>
        </is>
      </c>
    </row>
    <row r="34">
      <c r="A34" s="107" t="inlineStr">
        <is>
          <t>h_pu</t>
        </is>
      </c>
      <c r="B34" s="107" t="inlineStr">
        <is>
          <t>Prix unitaire €</t>
        </is>
      </c>
      <c r="C34" s="107" t="inlineStr">
        <is>
          <t>Unit price €</t>
        </is>
      </c>
    </row>
    <row r="35">
      <c r="A35" s="107" t="inlineStr">
        <is>
          <t>h_tot</t>
        </is>
      </c>
      <c r="B35" s="107" t="inlineStr">
        <is>
          <t>Total €</t>
        </is>
      </c>
      <c r="C35" s="107" t="inlineStr">
        <is>
          <t>Total €</t>
        </is>
      </c>
    </row>
    <row r="36">
      <c r="A36" s="107" t="inlineStr">
        <is>
          <t>h_det</t>
        </is>
      </c>
      <c r="B36" s="107" t="inlineStr">
        <is>
          <t>Détail</t>
        </is>
      </c>
      <c r="C36" s="107" t="inlineStr">
        <is>
          <t>Details</t>
        </is>
      </c>
    </row>
    <row r="37">
      <c r="A37" s="107" t="inlineStr">
        <is>
          <t>op_day</t>
        </is>
      </c>
      <c r="B37" s="107" t="inlineStr">
        <is>
          <t>Opérateur · tarif journalier</t>
        </is>
      </c>
      <c r="C37" s="107" t="inlineStr">
        <is>
          <t>Operator · daily rate</t>
        </is>
      </c>
    </row>
    <row r="38">
      <c r="A38" s="107" t="inlineStr">
        <is>
          <t>op_mob</t>
        </is>
      </c>
      <c r="B38" s="107" t="inlineStr">
        <is>
          <t>Opérateur · Mob / Demob</t>
        </is>
      </c>
      <c r="C38" s="107" t="inlineStr">
        <is>
          <t>Operator · Mob / Demob</t>
        </is>
      </c>
    </row>
    <row r="39">
      <c r="A39" s="107" t="inlineStr">
        <is>
          <t>tight</t>
        </is>
      </c>
      <c r="B39" s="107" t="inlineStr">
        <is>
          <t>Serrage · Make-up (forfait)</t>
        </is>
      </c>
      <c r="C39" s="107" t="inlineStr">
        <is>
          <t>Tong &amp; make-up service (lump sum)</t>
        </is>
      </c>
    </row>
    <row r="40">
      <c r="A40" s="107" t="inlineStr">
        <is>
          <t>tr_mob</t>
        </is>
      </c>
      <c r="B40" s="107" t="inlineStr">
        <is>
          <t>Transport MOB (Lons → chantier)</t>
        </is>
      </c>
      <c r="C40" s="107" t="inlineStr">
        <is>
          <t>Transport MOB (Lons → site)</t>
        </is>
      </c>
    </row>
    <row r="41">
      <c r="A41" s="107" t="inlineStr">
        <is>
          <t>tr_dem</t>
        </is>
      </c>
      <c r="B41" s="107" t="inlineStr">
        <is>
          <t>Transport DEMOB (chantier → Lons)</t>
        </is>
      </c>
      <c r="C41" s="107" t="inlineStr">
        <is>
          <t>Transport DEMOB (site → Lons)</t>
        </is>
      </c>
    </row>
    <row r="42">
      <c r="A42" s="107" t="inlineStr">
        <is>
          <t>free</t>
        </is>
      </c>
      <c r="B42" s="107" t="inlineStr">
        <is>
          <t>Option</t>
        </is>
      </c>
      <c r="C42" s="107" t="inlineStr">
        <is>
          <t>Option</t>
        </is>
      </c>
    </row>
    <row r="43">
      <c r="A43" s="107" t="inlineStr">
        <is>
          <t>forfait</t>
        </is>
      </c>
      <c r="B43" s="107" t="inlineStr">
        <is>
          <t>Forfait</t>
        </is>
      </c>
      <c r="C43" s="107" t="inlineStr">
        <is>
          <t>Lump sum</t>
        </is>
      </c>
    </row>
    <row r="44">
      <c r="A44" s="107" t="inlineStr">
        <is>
          <t>at_cost</t>
        </is>
      </c>
      <c r="B44" s="107" t="inlineStr">
        <is>
          <t>au coût réel +15 %</t>
        </is>
      </c>
      <c r="C44" s="107" t="inlineStr">
        <is>
          <t>at cost +15%</t>
        </is>
      </c>
    </row>
    <row r="45">
      <c r="A45" s="107" t="inlineStr">
        <is>
          <t>tr_note</t>
        </is>
      </c>
      <c r="B45" s="107" t="inlineStr">
        <is>
          <t>Transport organisé par Enedril</t>
        </is>
      </c>
      <c r="C45" s="107" t="inlineStr">
        <is>
          <t>Transport organised by Enedril</t>
        </is>
      </c>
    </row>
    <row r="46">
      <c r="A46" s="107" t="inlineStr">
        <is>
          <t>est</t>
        </is>
      </c>
      <c r="B46" s="107" t="inlineStr">
        <is>
          <t>ESTIMATION BUDGÉTAIRE HT (indicative)</t>
        </is>
      </c>
      <c r="C46" s="107" t="inlineStr">
        <is>
          <t>BUDGET ESTIMATE EXCL. VAT (indicative)</t>
        </is>
      </c>
    </row>
    <row r="47">
      <c r="A47" s="107" t="inlineStr">
        <is>
          <t>est_note</t>
        </is>
      </c>
      <c r="B47" s="107" t="inlineStr">
        <is>
          <t>Basée sur %s j de stand-by et %s j d'opérations. Hors valeur de remplacement, inspection, restocking et transport au coût réel.</t>
        </is>
      </c>
      <c r="C47" s="107" t="inlineStr">
        <is>
          <t>Based on %s stand-by days and %s operation days. Excluding replacement value, inspection, restocking and transport at cost.</t>
        </is>
      </c>
    </row>
    <row r="48">
      <c r="A48" s="107" t="inlineStr">
        <is>
          <t>sec_cond</t>
        </is>
      </c>
      <c r="B48" s="107" t="inlineStr">
        <is>
          <t>CONDITIONS PARTICULIÈRES · SPECIFIC CONDITIONS</t>
        </is>
      </c>
      <c r="C48" s="107" t="inlineStr">
        <is>
          <t>SPECIFIC CONDITIONS · CONDITIONS PARTICULIÈRES</t>
        </is>
      </c>
    </row>
    <row r="49">
      <c r="A49" s="107" t="inlineStr">
        <is>
          <t>accept</t>
        </is>
      </c>
      <c r="B49" s="107" t="inlineStr">
        <is>
          <t>BON POUR ACCORD</t>
        </is>
      </c>
      <c r="C49" s="107" t="inlineStr">
        <is>
          <t>ACCEPTED BY</t>
        </is>
      </c>
    </row>
    <row r="50">
      <c r="A50" s="107" t="inlineStr">
        <is>
          <t>sig_name</t>
        </is>
      </c>
      <c r="B50" s="107" t="inlineStr">
        <is>
          <t>Nom et qualité</t>
        </is>
      </c>
      <c r="C50" s="107" t="inlineStr">
        <is>
          <t>Name and title</t>
        </is>
      </c>
    </row>
    <row r="51">
      <c r="A51" s="107" t="inlineStr">
        <is>
          <t>sig_date</t>
        </is>
      </c>
      <c r="B51" s="107" t="inlineStr">
        <is>
          <t>Date</t>
        </is>
      </c>
      <c r="C51" s="107" t="inlineStr">
        <is>
          <t>Date</t>
        </is>
      </c>
    </row>
    <row r="52">
      <c r="A52" s="107" t="inlineStr">
        <is>
          <t>sig_sig</t>
        </is>
      </c>
      <c r="B52" s="107" t="inlineStr">
        <is>
          <t>Signature et cachet</t>
        </is>
      </c>
      <c r="C52" s="107" t="inlineStr">
        <is>
          <t>Signature and stamp</t>
        </is>
      </c>
    </row>
    <row r="53">
      <c r="A53" s="107" t="inlineStr">
        <is>
          <t>per_day</t>
        </is>
      </c>
      <c r="B53" s="107" t="inlineStr">
        <is>
          <t>€/jour</t>
        </is>
      </c>
      <c r="C53" s="107" t="inlineStr">
        <is>
          <t>€/day</t>
        </is>
      </c>
    </row>
    <row r="54">
      <c r="A54" s="107" t="inlineStr">
        <is>
          <t>lump</t>
        </is>
      </c>
      <c r="B54" s="107" t="inlineStr">
        <is>
          <t>forfait</t>
        </is>
      </c>
      <c r="C54" s="107" t="inlineStr">
        <is>
          <t>lump sum</t>
        </is>
      </c>
    </row>
  </sheetData>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2026-10-28T13:14:27Z</dcterms:created>
  <dcterms:modified xmlns:dcterms="http://purl.org/dc/terms/" xmlns:xsi="http://www.w3.org/2001/XMLSchema-instance" xsi:type="dcterms:W3CDTF">2026-10-28T13:14:28Z</dcterms:modified>
</cp:coreProperties>
</file>