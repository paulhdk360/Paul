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Affaire" sheetId="1" state="visible" r:id="rId1"/>
    <sheet xmlns:r="http://schemas.openxmlformats.org/officeDocument/2006/relationships" name="2 Matériel" sheetId="2" state="visible" r:id="rId2"/>
    <sheet xmlns:r="http://schemas.openxmlformats.org/officeDocument/2006/relationships" name="3 Options" sheetId="3" state="visible" r:id="rId3"/>
    <sheet xmlns:r="http://schemas.openxmlformats.org/officeDocument/2006/relationships" name="4 Devis" sheetId="4" state="visible" r:id="rId4"/>
    <sheet xmlns:r="http://schemas.openxmlformats.org/officeDocument/2006/relationships" name="Listes" sheetId="5" state="visible" r:id="rId5"/>
    <sheet xmlns:r="http://schemas.openxmlformats.org/officeDocument/2006/relationships" name="Textes" sheetId="6" state="visible" r:id="rId6"/>
  </sheets>
  <definedNames>
    <definedName name="_xlnm.Print_Area" localSheetId="3">'4 Devis'!$A$1:$L$68</definedName>
  </definedNames>
  <calcPr calcId="124519" fullCalcOnLoad="1"/>
</workbook>
</file>

<file path=xl/styles.xml><?xml version="1.0" encoding="utf-8"?>
<styleSheet xmlns="http://schemas.openxmlformats.org/spreadsheetml/2006/main">
  <numFmts count="4">
    <numFmt numFmtId="164" formatCode="dd/mm/yyyy"/>
    <numFmt numFmtId="165" formatCode="0;-0;;@"/>
    <numFmt numFmtId="166" formatCode="#,##0;-#,##0;;@"/>
    <numFmt numFmtId="167" formatCode="#,##0.00 &quot;€&quot;"/>
  </numFmts>
  <fonts count="33">
    <font>
      <name val="Calibri"/>
      <family val="2"/>
      <color theme="1"/>
      <sz val="11"/>
      <scheme val="minor"/>
    </font>
    <font>
      <name val="Calibri"/>
      <b val="1"/>
      <color rgb="00FFFFFF"/>
      <sz val="9"/>
    </font>
    <font>
      <name val="Calibri"/>
      <color rgb="000B1B2E"/>
      <sz val="10"/>
    </font>
    <font>
      <name val="Calibri"/>
      <color rgb="0051647A"/>
      <sz val="9"/>
    </font>
    <font>
      <name val="Calibri"/>
      <i val="1"/>
      <color rgb="0051647A"/>
      <sz val="8"/>
    </font>
    <font>
      <name val="Calibri"/>
      <i val="1"/>
      <color rgb="0051647A"/>
      <sz val="9"/>
    </font>
    <font>
      <name val="Calibri"/>
      <b val="1"/>
      <color rgb="00FFFFFF"/>
      <sz val="18"/>
    </font>
    <font>
      <name val="Calibri"/>
      <color rgb="009FD8F5"/>
      <sz val="10"/>
    </font>
    <font>
      <name val="Calibri"/>
      <b val="1"/>
      <color rgb="00FFFFFF"/>
      <sz val="10"/>
    </font>
    <font>
      <name val="Calibri"/>
      <b val="1"/>
      <color rgb="0051647A"/>
      <sz val="9"/>
    </font>
    <font>
      <name val="Calibri"/>
      <color rgb="000A4FA0"/>
      <sz val="10.5"/>
    </font>
    <font>
      <name val="Calibri"/>
      <color rgb="0051647A"/>
      <sz val="10.5"/>
    </font>
    <font>
      <name val="Calibri"/>
      <b val="1"/>
      <color rgb="000A4FA0"/>
      <sz val="11"/>
    </font>
    <font>
      <name val="Calibri"/>
      <b val="1"/>
      <color rgb="0051647A"/>
      <sz val="10"/>
    </font>
    <font>
      <name val="Calibri"/>
      <color rgb="007A8CA3"/>
      <sz val="9"/>
    </font>
    <font>
      <name val="Calibri"/>
      <b val="1"/>
      <color rgb="000A4FA0"/>
      <sz val="10"/>
    </font>
    <font>
      <name val="Calibri"/>
      <b val="1"/>
      <color rgb="0008203F"/>
      <sz val="10.5"/>
    </font>
    <font>
      <name val="Calibri"/>
      <b val="1"/>
      <color rgb="000B1B2E"/>
      <sz val="10.5"/>
    </font>
    <font>
      <name val="Calibri"/>
      <color rgb="0051647A"/>
      <sz val="9.5"/>
    </font>
    <font>
      <name val="Calibri"/>
      <b val="1"/>
      <color rgb="00FFFFFF"/>
      <sz val="17"/>
    </font>
    <font>
      <name val="Calibri"/>
      <color rgb="009FD8F5"/>
      <sz val="11"/>
    </font>
    <font>
      <name val="Calibri"/>
      <b val="1"/>
      <color rgb="0051647A"/>
      <sz val="7.5"/>
    </font>
    <font>
      <name val="Calibri"/>
      <b val="1"/>
      <color rgb="0008203F"/>
      <sz val="8"/>
    </font>
    <font>
      <name val="Calibri"/>
      <color rgb="00B8C4D2"/>
      <sz val="7"/>
    </font>
    <font>
      <name val="Calibri"/>
      <b val="1"/>
      <color rgb="00E2231A"/>
      <sz val="9.5"/>
    </font>
    <font>
      <name val="Calibri"/>
      <b val="1"/>
      <color rgb="000A4FA0"/>
      <sz val="9"/>
    </font>
    <font>
      <name val="Calibri"/>
      <b val="1"/>
      <color rgb="0008203F"/>
      <sz val="19"/>
    </font>
    <font>
      <name val="Calibri"/>
      <b val="1"/>
      <color rgb="000A4FA0"/>
      <sz val="24"/>
    </font>
    <font>
      <name val="Calibri"/>
      <color rgb="0051647A"/>
      <sz val="10"/>
    </font>
    <font>
      <name val="Calibri"/>
      <b val="1"/>
      <color rgb="000B1B2E"/>
      <sz val="10"/>
    </font>
    <font>
      <name val="Calibri"/>
      <color rgb="0051647A"/>
      <sz val="8.5"/>
    </font>
    <font>
      <name val="Calibri"/>
      <b val="1"/>
      <color rgb="0008203F"/>
      <sz val="9"/>
    </font>
    <font>
      <name val="Calibri"/>
      <color rgb="0051647A"/>
      <sz val="8"/>
    </font>
  </fonts>
  <fills count="8">
    <fill>
      <patternFill/>
    </fill>
    <fill>
      <patternFill patternType="gray125"/>
    </fill>
    <fill>
      <patternFill patternType="solid">
        <fgColor rgb="0008203F"/>
        <bgColor rgb="0008203F"/>
      </patternFill>
    </fill>
    <fill>
      <patternFill patternType="solid">
        <fgColor rgb="0000AEEF"/>
        <bgColor rgb="0000AEEF"/>
      </patternFill>
    </fill>
    <fill>
      <patternFill patternType="solid">
        <fgColor rgb="00EAF6FD"/>
        <bgColor rgb="00EAF6FD"/>
      </patternFill>
    </fill>
    <fill>
      <patternFill patternType="solid">
        <fgColor rgb="000A4FA0"/>
        <bgColor rgb="000A4FA0"/>
      </patternFill>
    </fill>
    <fill>
      <patternFill patternType="solid">
        <fgColor rgb="007A8CA3"/>
        <bgColor rgb="007A8CA3"/>
      </patternFill>
    </fill>
    <fill>
      <patternFill patternType="solid">
        <fgColor rgb="00DCE8F5"/>
        <bgColor rgb="00DCE8F5"/>
      </patternFill>
    </fill>
  </fills>
  <borders count="12">
    <border>
      <left/>
      <right/>
      <top/>
      <bottom/>
      <diagonal/>
    </border>
    <border>
      <bottom style="thin">
        <color rgb="0000AEEF"/>
      </bottom>
    </border>
    <border>
      <bottom style="thin">
        <color rgb="00D5DEE8"/>
      </bottom>
    </border>
    <border>
      <left/>
      <right/>
      <top/>
      <bottom style="thin">
        <color rgb="0000AEEF"/>
      </bottom>
      <diagonal/>
    </border>
    <border/>
    <border>
      <left style="thin">
        <color rgb="00D5DEE8"/>
      </left>
      <top style="thin">
        <color rgb="00D5DEE8"/>
      </top>
    </border>
    <border>
      <top style="thin">
        <color rgb="00D5DEE8"/>
      </top>
    </border>
    <border>
      <right style="thin">
        <color rgb="00D5DEE8"/>
      </right>
      <top style="thin">
        <color rgb="00D5DEE8"/>
      </top>
    </border>
    <border>
      <left style="thin">
        <color rgb="00D5DEE8"/>
      </left>
    </border>
    <border>
      <right style="thin">
        <color rgb="00D5DEE8"/>
      </right>
    </border>
    <border>
      <left style="thin">
        <color rgb="00D5DEE8"/>
      </left>
      <bottom style="thin">
        <color rgb="00D5DEE8"/>
      </bottom>
    </border>
    <border>
      <right style="thin">
        <color rgb="00D5DEE8"/>
      </right>
      <bottom style="thin">
        <color rgb="00D5DEE8"/>
      </bottom>
    </border>
  </borders>
  <cellStyleXfs count="1">
    <xf numFmtId="0" fontId="0" fillId="0" borderId="0"/>
  </cellStyleXfs>
  <cellXfs count="69">
    <xf numFmtId="0" fontId="0" fillId="0" borderId="0" pivotButton="0" quotePrefix="0" xfId="0"/>
    <xf numFmtId="0" fontId="0" fillId="2" borderId="0" pivotButton="0" quotePrefix="0" xfId="0"/>
    <xf numFmtId="0" fontId="6" fillId="2" borderId="0" applyAlignment="1" pivotButton="0" quotePrefix="0" xfId="0">
      <alignment vertical="center"/>
    </xf>
    <xf numFmtId="0" fontId="7" fillId="2" borderId="0" applyAlignment="1" pivotButton="0" quotePrefix="0" xfId="0">
      <alignment vertical="center"/>
    </xf>
    <xf numFmtId="0" fontId="0" fillId="3" borderId="0" pivotButton="0" quotePrefix="0" xfId="0"/>
    <xf numFmtId="0" fontId="8" fillId="2" borderId="0" applyAlignment="1" pivotButton="0" quotePrefix="0" xfId="0">
      <alignment vertical="center" indent="1"/>
    </xf>
    <xf numFmtId="0" fontId="9" fillId="0" borderId="0" applyAlignment="1" pivotButton="0" quotePrefix="0" xfId="0">
      <alignment vertical="center" indent="1"/>
    </xf>
    <xf numFmtId="0" fontId="10" fillId="4" borderId="1" applyAlignment="1" pivotButton="0" quotePrefix="0" xfId="0">
      <alignment horizontal="left" vertical="center" wrapText="1" indent="1"/>
    </xf>
    <xf numFmtId="164" fontId="10" fillId="4" borderId="1" applyAlignment="1" pivotButton="0" quotePrefix="0" xfId="0">
      <alignment horizontal="left" vertical="center" wrapText="1" indent="1"/>
    </xf>
    <xf numFmtId="0" fontId="11" fillId="0" borderId="2" applyAlignment="1" pivotButton="0" quotePrefix="0" xfId="0">
      <alignment vertical="center" indent="1"/>
    </xf>
    <xf numFmtId="0" fontId="12" fillId="0" borderId="0" pivotButton="0" quotePrefix="0" xfId="0"/>
    <xf numFmtId="0" fontId="1" fillId="5" borderId="0" applyAlignment="1" pivotButton="0" quotePrefix="0" xfId="0">
      <alignment horizontal="center" vertical="center" wrapText="1"/>
    </xf>
    <xf numFmtId="0" fontId="1" fillId="6" borderId="0" applyAlignment="1" pivotButton="0" quotePrefix="0" xfId="0">
      <alignment horizontal="center" vertical="center" wrapText="1"/>
    </xf>
    <xf numFmtId="0" fontId="13" fillId="0" borderId="0" applyAlignment="1" pivotButton="0" quotePrefix="0" xfId="0">
      <alignment horizontal="center" vertical="center"/>
    </xf>
    <xf numFmtId="0" fontId="10" fillId="4" borderId="1" applyAlignment="1" pivotButton="0" quotePrefix="0" xfId="0">
      <alignment horizontal="center" vertical="center" wrapText="1"/>
    </xf>
    <xf numFmtId="1" fontId="10" fillId="4" borderId="1" applyAlignment="1" pivotButton="0" quotePrefix="0" xfId="0">
      <alignment horizontal="center" vertical="center" wrapText="1"/>
    </xf>
    <xf numFmtId="4" fontId="10" fillId="4" borderId="1" applyAlignment="1" pivotButton="0" quotePrefix="0" xfId="0">
      <alignment horizontal="center" vertical="center" wrapText="1"/>
    </xf>
    <xf numFmtId="165" fontId="14" fillId="0" borderId="0" applyAlignment="1" pivotButton="0" quotePrefix="0" xfId="0">
      <alignment horizontal="center" vertical="center"/>
    </xf>
    <xf numFmtId="0" fontId="14" fillId="0" borderId="0" applyAlignment="1" pivotButton="0" quotePrefix="0" xfId="0">
      <alignment horizontal="center" vertical="center"/>
    </xf>
    <xf numFmtId="166" fontId="14" fillId="0" borderId="0" applyAlignment="1" pivotButton="0" quotePrefix="0" xfId="0">
      <alignment horizontal="center" vertical="center"/>
    </xf>
    <xf numFmtId="0" fontId="15" fillId="0" borderId="0" pivotButton="0" quotePrefix="0" xfId="0"/>
    <xf numFmtId="0" fontId="5" fillId="0" borderId="0" pivotButton="0" quotePrefix="0" xfId="0"/>
    <xf numFmtId="0" fontId="16" fillId="0" borderId="0" applyAlignment="1" pivotButton="0" quotePrefix="0" xfId="0">
      <alignment vertical="center" indent="1"/>
    </xf>
    <xf numFmtId="4" fontId="17" fillId="0" borderId="0" applyAlignment="1" pivotButton="0" quotePrefix="0" xfId="0">
      <alignment horizontal="center" vertical="center"/>
    </xf>
    <xf numFmtId="0" fontId="0" fillId="0" borderId="3" pivotButton="0" quotePrefix="0" xfId="0"/>
    <xf numFmtId="0" fontId="5" fillId="0" borderId="0" applyAlignment="1" pivotButton="0" quotePrefix="0" xfId="0">
      <alignment vertical="top" wrapText="1" indent="1"/>
    </xf>
    <xf numFmtId="167" fontId="17" fillId="0" borderId="0" applyAlignment="1" pivotButton="0" quotePrefix="0" xfId="0">
      <alignment horizontal="center" vertical="center"/>
    </xf>
    <xf numFmtId="0" fontId="18" fillId="0" borderId="0" pivotButton="0" quotePrefix="0" xfId="0"/>
    <xf numFmtId="0" fontId="19" fillId="2" borderId="0" applyAlignment="1" pivotButton="0" quotePrefix="0" xfId="0">
      <alignment horizontal="right" vertical="center"/>
    </xf>
    <xf numFmtId="0" fontId="20" fillId="2" borderId="0" applyAlignment="1" pivotButton="0" quotePrefix="0" xfId="0">
      <alignment horizontal="right" vertical="center"/>
    </xf>
    <xf numFmtId="0" fontId="21" fillId="0" borderId="0" applyAlignment="1" pivotButton="0" quotePrefix="0" xfId="0">
      <alignment vertical="bottom" indent="1"/>
    </xf>
    <xf numFmtId="0" fontId="17" fillId="0" borderId="2" applyAlignment="1" pivotButton="0" quotePrefix="0" xfId="0">
      <alignment vertical="top" wrapText="1" indent="1"/>
    </xf>
    <xf numFmtId="0" fontId="0" fillId="0" borderId="2" pivotButton="0" quotePrefix="0" xfId="0"/>
    <xf numFmtId="0" fontId="8" fillId="5" borderId="0" applyAlignment="1" pivotButton="0" quotePrefix="0" xfId="0">
      <alignment vertical="center" indent="1"/>
    </xf>
    <xf numFmtId="0" fontId="0" fillId="5" borderId="0" pivotButton="0" quotePrefix="0" xfId="0"/>
    <xf numFmtId="0" fontId="22" fillId="7" borderId="0" applyAlignment="1" pivotButton="0" quotePrefix="0" xfId="0">
      <alignment horizontal="center" vertical="center" wrapText="1"/>
    </xf>
    <xf numFmtId="0" fontId="22" fillId="7" borderId="0" applyAlignment="1" pivotButton="0" quotePrefix="0" xfId="0">
      <alignment horizontal="left" vertical="center" wrapText="1" indent="1"/>
    </xf>
    <xf numFmtId="0" fontId="2" fillId="0" borderId="0" applyAlignment="1" pivotButton="0" quotePrefix="0" xfId="0">
      <alignment vertical="center" wrapText="1" indent="1"/>
    </xf>
    <xf numFmtId="0" fontId="2" fillId="0" borderId="0" applyAlignment="1" pivotButton="0" quotePrefix="0" xfId="0">
      <alignment horizontal="center" vertical="center"/>
    </xf>
    <xf numFmtId="4" fontId="2" fillId="0" borderId="0" applyAlignment="1" pivotButton="0" quotePrefix="0" xfId="0">
      <alignment horizontal="center" vertical="center"/>
    </xf>
    <xf numFmtId="0" fontId="3" fillId="0" borderId="0" applyAlignment="1" pivotButton="0" quotePrefix="0" xfId="0">
      <alignment vertical="center" wrapText="1" indent="1"/>
    </xf>
    <xf numFmtId="0" fontId="23" fillId="0" borderId="0" pivotButton="0" quotePrefix="0" xfId="0"/>
    <xf numFmtId="0" fontId="24" fillId="0" borderId="0" applyAlignment="1" pivotButton="0" quotePrefix="0" xfId="0">
      <alignment vertical="center" indent="1"/>
    </xf>
    <xf numFmtId="0" fontId="25" fillId="0" borderId="4" applyAlignment="1" pivotButton="0" quotePrefix="0" xfId="0">
      <alignment vertical="bottom" indent="1"/>
    </xf>
    <xf numFmtId="0" fontId="26" fillId="0" borderId="4" applyAlignment="1" pivotButton="0" quotePrefix="0" xfId="0">
      <alignment vertical="center" indent="1"/>
    </xf>
    <xf numFmtId="167" fontId="27" fillId="0" borderId="4" applyAlignment="1" pivotButton="0" quotePrefix="0" xfId="0">
      <alignment horizontal="right" vertical="center" indent="1"/>
    </xf>
    <xf numFmtId="0" fontId="28" fillId="0" borderId="4" applyAlignment="1" pivotButton="0" quotePrefix="0" xfId="0">
      <alignment vertical="top" wrapText="1" indent="1"/>
    </xf>
    <xf numFmtId="0" fontId="3" fillId="0" borderId="4" applyAlignment="1" pivotButton="0" quotePrefix="0" xfId="0">
      <alignment horizontal="right" vertical="top" indent="1"/>
    </xf>
    <xf numFmtId="0" fontId="0" fillId="0" borderId="4" pivotButton="0" quotePrefix="0" xfId="0"/>
    <xf numFmtId="0" fontId="22" fillId="7" borderId="0" applyAlignment="1" pivotButton="0" quotePrefix="0" xfId="0">
      <alignment horizontal="center" vertical="center"/>
    </xf>
    <xf numFmtId="0" fontId="22" fillId="7" borderId="0" applyAlignment="1" pivotButton="0" quotePrefix="0" xfId="0">
      <alignment horizontal="left" vertical="center" indent="1"/>
    </xf>
    <xf numFmtId="0" fontId="29" fillId="0" borderId="0" applyAlignment="1" pivotButton="0" quotePrefix="0" xfId="0">
      <alignment vertical="center" indent="1"/>
    </xf>
    <xf numFmtId="4" fontId="29" fillId="0" borderId="0" applyAlignment="1" pivotButton="0" quotePrefix="0" xfId="0">
      <alignment horizontal="center" vertical="center"/>
    </xf>
    <xf numFmtId="0" fontId="28" fillId="0" borderId="0" applyAlignment="1" pivotButton="0" quotePrefix="0" xfId="0">
      <alignment vertical="center" wrapText="1" indent="1"/>
    </xf>
    <xf numFmtId="0" fontId="30" fillId="0" borderId="0" applyAlignment="1" pivotButton="0" quotePrefix="0" xfId="0">
      <alignment vertical="top" wrapText="1" indent="1"/>
    </xf>
    <xf numFmtId="0" fontId="31" fillId="0" borderId="0" applyAlignment="1" pivotButton="0" quotePrefix="0" xfId="0">
      <alignment indent="1"/>
    </xf>
    <xf numFmtId="0" fontId="32" fillId="0" borderId="5" applyAlignment="1" pivotButton="0" quotePrefix="0" xfId="0">
      <alignment vertical="top" indent="1"/>
    </xf>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32" fillId="0" borderId="0" applyAlignment="1" pivotButton="0" quotePrefix="0" xfId="0">
      <alignment horizontal="center"/>
    </xf>
    <xf numFmtId="0" fontId="1" fillId="2" borderId="0" pivotButton="0" quotePrefix="0" xfId="0"/>
    <xf numFmtId="0" fontId="3" fillId="0" borderId="0" pivotButton="0" quotePrefix="0" xfId="0"/>
    <xf numFmtId="0" fontId="2" fillId="0" borderId="0" pivotButton="0" quotePrefix="0" xfId="0"/>
    <xf numFmtId="0" fontId="4" fillId="0" borderId="0" pivotButton="0" quotePrefix="0" xfId="0"/>
    <xf numFmtId="0" fontId="0" fillId="0" borderId="0" applyAlignment="1" pivotButton="0" quotePrefix="0" xfId="0">
      <alignment vertical="top" wrapText="1"/>
    </xf>
  </cellXfs>
  <cellStyles count="1">
    <cellStyle name="Normal" xfId="0" builtinId="0" hidden="0"/>
  </cellStyles>
  <dxfs count="7">
    <dxf>
      <font>
        <name val="Calibri"/>
        <b val="1"/>
        <color rgb="0008203F"/>
      </font>
      <fill>
        <patternFill patternType="solid">
          <fgColor rgb="00C9DAF0"/>
          <bgColor rgb="00C9DAF0"/>
        </patternFill>
      </fill>
    </dxf>
    <dxf>
      <font>
        <name val="Calibri"/>
        <b val="1"/>
        <color rgb="00FFFFFF"/>
      </font>
      <fill>
        <patternFill patternType="solid">
          <fgColor rgb="0008203F"/>
          <bgColor rgb="0008203F"/>
        </patternFill>
      </fill>
    </dxf>
    <dxf>
      <border>
        <bottom style="thin">
          <color rgb="00D5DEE8"/>
        </bottom>
      </border>
    </dxf>
    <dxf>
      <fill>
        <patternFill patternType="solid">
          <fgColor rgb="00F6F9FC"/>
          <bgColor rgb="00F6F9FC"/>
        </patternFill>
      </fill>
    </dxf>
    <dxf>
      <font>
        <name val="Calibri"/>
        <i val="1"/>
        <color rgb="0000AEEF"/>
      </font>
    </dxf>
    <dxf>
      <fill>
        <patternFill patternType="solid">
          <fgColor rgb="00EAF6FD"/>
          <bgColor rgb="00EAF6FD"/>
        </patternFill>
      </fill>
    </dxf>
    <dxf>
      <border>
        <left style="thick">
          <color rgb="0000AEEF"/>
        </left>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0</colOff>
      <row>0</row>
      <rowOff>0</rowOff>
    </from>
    <ext cx="1428750" cy="3238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00AEEF"/>
    <outlinePr summaryBelow="1" summaryRight="1"/>
    <pageSetUpPr fitToPage="1"/>
  </sheetPr>
  <dimension ref="A1:G16"/>
  <sheetViews>
    <sheetView showGridLines="0" workbookViewId="0">
      <selection activeCell="A1" sqref="A1"/>
    </sheetView>
  </sheetViews>
  <sheetFormatPr baseColWidth="8" defaultRowHeight="15"/>
  <cols>
    <col width="2" customWidth="1" min="1" max="1"/>
    <col width="28" customWidth="1" min="2" max="2"/>
    <col width="38" customWidth="1" min="3" max="3"/>
    <col width="3" customWidth="1" min="4" max="4"/>
    <col width="30" customWidth="1" min="5" max="5"/>
    <col width="46" customWidth="1" min="6" max="6"/>
    <col width="2" customWidth="1" min="7" max="7"/>
  </cols>
  <sheetData>
    <row r="1" ht="30" customHeight="1">
      <c r="A1" s="1" t="n"/>
      <c r="B1" s="2" t="inlineStr">
        <is>
          <t>DEVIS 2027</t>
        </is>
      </c>
      <c r="C1" s="1" t="n"/>
      <c r="D1" s="1" t="n"/>
      <c r="E1" s="1" t="n"/>
      <c r="F1" s="1" t="n"/>
      <c r="G1" s="1" t="n"/>
    </row>
    <row r="2" ht="20" customHeight="1">
      <c r="A2" s="1" t="n"/>
      <c r="B2" s="3" t="inlineStr">
        <is>
          <t>Remplir les onglets 1, 2 et 3 : le devis (4) se complète tout seul. Cases bleues = à saisir.</t>
        </is>
      </c>
      <c r="C2" s="1" t="n"/>
      <c r="D2" s="1" t="n"/>
      <c r="E2" s="1" t="n"/>
      <c r="F2" s="1" t="n"/>
      <c r="G2" s="1" t="n"/>
    </row>
    <row r="3" ht="6" customHeight="1">
      <c r="A3" s="4" t="n"/>
      <c r="B3" s="4" t="n"/>
      <c r="C3" s="4" t="n"/>
      <c r="D3" s="4" t="n"/>
      <c r="E3" s="4" t="n"/>
      <c r="F3" s="4" t="n"/>
      <c r="G3" s="4" t="n"/>
    </row>
    <row r="5" ht="20" customHeight="1">
      <c r="B5" s="5" t="inlineStr">
        <is>
          <t>L'AFFAIRE</t>
        </is>
      </c>
      <c r="C5" s="1" t="n"/>
      <c r="E5" s="5" t="inlineStr">
        <is>
          <t>L'OFFRE</t>
        </is>
      </c>
      <c r="F5" s="1" t="n"/>
    </row>
    <row r="6" ht="22" customHeight="1">
      <c r="B6" s="6" t="inlineStr">
        <is>
          <t>N° d'offre</t>
        </is>
      </c>
      <c r="C6" s="7" t="n"/>
      <c r="E6" s="6" t="inlineStr">
        <is>
          <t>Établi par</t>
        </is>
      </c>
      <c r="F6" s="7" t="n"/>
    </row>
    <row r="7" ht="22" customHeight="1">
      <c r="B7" s="6" t="inlineStr">
        <is>
          <t>Date</t>
        </is>
      </c>
      <c r="C7" s="8" t="n"/>
      <c r="E7" s="6" t="inlineStr">
        <is>
          <t>E-mail</t>
        </is>
      </c>
      <c r="F7" s="9">
        <f>IFERROR(VLOOKUP(F6,Listes!$A$2:$B$12,2,FALSE),"")</f>
        <v/>
      </c>
    </row>
    <row r="8" ht="22" customHeight="1">
      <c r="B8" s="6" t="inlineStr">
        <is>
          <t>Client</t>
        </is>
      </c>
      <c r="C8" s="7" t="n"/>
      <c r="E8" s="6" t="inlineStr">
        <is>
          <t>Téléphone</t>
        </is>
      </c>
      <c r="F8" s="9" t="inlineStr">
        <is>
          <t>+33 (0)5 59 04 50 45</t>
        </is>
      </c>
    </row>
    <row r="9" ht="22" customHeight="1">
      <c r="B9" s="6" t="inlineStr">
        <is>
          <t>À l'attention de</t>
        </is>
      </c>
      <c r="C9" s="7" t="n"/>
      <c r="E9" s="6" t="inlineStr">
        <is>
          <t>Validité de l'offre</t>
        </is>
      </c>
      <c r="F9" s="7" t="inlineStr">
        <is>
          <t>15 jours / 15 days</t>
        </is>
      </c>
    </row>
    <row r="10" ht="22" customHeight="1">
      <c r="B10" s="6" t="inlineStr">
        <is>
          <t>Puits / Chantier</t>
        </is>
      </c>
      <c r="C10" s="7" t="n"/>
      <c r="E10" s="6" t="inlineStr">
        <is>
          <t>Incoterm</t>
        </is>
      </c>
      <c r="F10" s="7" t="inlineStr">
        <is>
          <t>EXW Lons</t>
        </is>
      </c>
    </row>
    <row r="11" ht="22" customHeight="1">
      <c r="B11" s="6" t="inlineStr">
        <is>
          <t>Rig</t>
        </is>
      </c>
      <c r="C11" s="7" t="n"/>
      <c r="E11" s="6" t="inlineStr">
        <is>
          <t>Délai de mise à dispo</t>
        </is>
      </c>
      <c r="F11" s="7" t="n"/>
    </row>
    <row r="12" ht="22" customHeight="1">
      <c r="E12" s="6" t="inlineStr">
        <is>
          <t>Conditions de règlement</t>
        </is>
      </c>
      <c r="F12" s="7" t="inlineStr">
        <is>
          <t>30 jours date de facture / 30 days invoice date</t>
        </is>
      </c>
    </row>
    <row r="13" ht="22" customHeight="1">
      <c r="E13" s="6" t="inlineStr">
        <is>
          <t>Facturation WE et jours fériés</t>
        </is>
      </c>
      <c r="F13" s="7" t="inlineStr">
        <is>
          <t>Non</t>
        </is>
      </c>
    </row>
    <row r="16">
      <c r="B16" s="10" t="inlineStr">
        <is>
          <t>➜ Étape suivante : onglet « 2 Matériel »</t>
        </is>
      </c>
    </row>
  </sheetData>
  <mergeCells count="2">
    <mergeCell ref="E5:F5"/>
    <mergeCell ref="B5:C5"/>
  </mergeCells>
  <dataValidations count="5">
    <dataValidation sqref="F6" showDropDown="0" showInputMessage="0" showErrorMessage="1" allowBlank="1" errorTitle="Valeur" error="Choisir une valeur de la liste." type="list" errorStyle="warning">
      <formula1>=Listes!$A$2:$A$12</formula1>
    </dataValidation>
    <dataValidation sqref="F9" showDropDown="0" showInputMessage="0" showErrorMessage="1" allowBlank="1" errorTitle="Valeur" error="Choisir une valeur de la liste." type="list" errorStyle="warning">
      <formula1>=Listes!$E$2:$E$12</formula1>
    </dataValidation>
    <dataValidation sqref="F10" showDropDown="0" showInputMessage="0" showErrorMessage="1" allowBlank="1" errorTitle="Valeur" error="Choisir une valeur de la liste." type="list" errorStyle="warning">
      <formula1>=Listes!$D$2:$D$12</formula1>
    </dataValidation>
    <dataValidation sqref="F12" showDropDown="0" showInputMessage="0" showErrorMessage="1" allowBlank="1" errorTitle="Valeur" error="Choisir une valeur de la liste." type="list" errorStyle="warning">
      <formula1>=Listes!$F$2:$F$12</formula1>
    </dataValidation>
    <dataValidation sqref="F13" showDropDown="0" showInputMessage="0" showErrorMessage="1" allowBlank="1" errorTitle="Valeur" error="Choisir une valeur de la liste." type="list" errorStyle="stop">
      <formula1>=Listes!$G$2:$G$12</formula1>
    </dataValidation>
  </dataValidations>
  <pageMargins left="0.75" right="0.75" top="1" bottom="1" header="0.5" footer="0.5"/>
  <pageSetup orientation="landscape" paperSize="9" fitToHeight="0" fitToWidth="1"/>
</worksheet>
</file>

<file path=xl/worksheets/sheet2.xml><?xml version="1.0" encoding="utf-8"?>
<worksheet xmlns="http://schemas.openxmlformats.org/spreadsheetml/2006/main">
  <sheetPr>
    <tabColor rgb="0000AEEF"/>
    <outlinePr summaryBelow="1" summaryRight="1"/>
    <pageSetUpPr fitToPage="1"/>
  </sheetPr>
  <dimension ref="A1:O33"/>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52" customWidth="1" min="3" max="3"/>
    <col width="7" customWidth="1" min="4" max="4"/>
    <col width="30" customWidth="1" min="5" max="5"/>
    <col width="12" customWidth="1" min="6" max="6"/>
    <col width="12" customWidth="1" min="7" max="7"/>
    <col width="11" customWidth="1" min="8" max="8"/>
    <col width="14" customWidth="1" min="9" max="9"/>
    <col width="12" customWidth="1" min="10" max="10"/>
    <col width="11" customWidth="1" min="11" max="11"/>
    <col width="11" customWidth="1" min="12" max="12"/>
    <col width="8" customWidth="1" min="13" max="13"/>
    <col width="8" customWidth="1" min="14" max="14"/>
    <col width="12" customWidth="1" min="15" max="15"/>
  </cols>
  <sheetData>
    <row r="1" ht="30" customHeight="1">
      <c r="A1" s="1" t="n"/>
      <c r="B1" s="2" t="inlineStr">
        <is>
          <t>MATÉRIEL DU DEVIS</t>
        </is>
      </c>
      <c r="C1" s="1" t="n"/>
      <c r="D1" s="1" t="n"/>
      <c r="E1" s="1" t="n"/>
      <c r="F1" s="1" t="n"/>
      <c r="G1" s="1" t="n"/>
      <c r="H1" s="1" t="n"/>
      <c r="I1" s="1" t="n"/>
      <c r="J1" s="1" t="n"/>
      <c r="K1" s="1" t="n"/>
      <c r="L1" s="1" t="n"/>
      <c r="M1" s="1" t="n"/>
      <c r="N1" s="1" t="n"/>
      <c r="O1" s="1" t="n"/>
    </row>
    <row r="2" ht="20" customHeight="1">
      <c r="A2" s="1" t="n"/>
      <c r="B2" s="3" t="inlineStr">
        <is>
          <t>Une ligne par référence (quantité 2 = 2 lignes sur la tool list). Pour un titre de groupe (ex. BHA #1), mettre « Oui » dans Bannière et écrire le titre en Description.</t>
        </is>
      </c>
      <c r="C2" s="1" t="n"/>
      <c r="D2" s="1" t="n"/>
      <c r="E2" s="1" t="n"/>
      <c r="F2" s="1" t="n"/>
      <c r="G2" s="1" t="n"/>
      <c r="H2" s="1" t="n"/>
      <c r="I2" s="1" t="n"/>
      <c r="J2" s="1" t="n"/>
      <c r="K2" s="1" t="n"/>
      <c r="L2" s="1" t="n"/>
      <c r="M2" s="1" t="n"/>
      <c r="N2" s="1" t="n"/>
      <c r="O2" s="1" t="n"/>
    </row>
    <row r="3" ht="6" customHeight="1">
      <c r="A3" s="4" t="n"/>
      <c r="B3" s="4" t="n"/>
      <c r="C3" s="4" t="n"/>
      <c r="D3" s="4" t="n"/>
      <c r="E3" s="4" t="n"/>
      <c r="F3" s="4" t="n"/>
      <c r="G3" s="4" t="n"/>
      <c r="H3" s="4" t="n"/>
      <c r="I3" s="4" t="n"/>
      <c r="J3" s="4" t="n"/>
      <c r="K3" s="4" t="n"/>
      <c r="L3" s="4" t="n"/>
      <c r="M3" s="4" t="n"/>
      <c r="N3" s="4" t="n"/>
      <c r="O3" s="4" t="n"/>
    </row>
    <row r="5" ht="34" customHeight="1">
      <c r="A5" s="11" t="inlineStr">
        <is>
          <t>#</t>
        </is>
      </c>
      <c r="B5" s="11" t="inlineStr">
        <is>
          <t>Bannière ?</t>
        </is>
      </c>
      <c r="C5" s="11" t="inlineStr">
        <is>
          <t>Description  (ou titre de bannière)</t>
        </is>
      </c>
      <c r="D5" s="11" t="inlineStr">
        <is>
          <t>Qté</t>
        </is>
      </c>
      <c r="E5" s="11" t="inlineStr">
        <is>
          <t>Note pour la tool list</t>
        </is>
      </c>
      <c r="F5" s="11" t="inlineStr">
        <is>
          <t>Stand-by (S)
€ / jour</t>
        </is>
      </c>
      <c r="G5" s="11" t="inlineStr">
        <is>
          <t>Opérations (O)
€ / jour</t>
        </is>
      </c>
      <c r="H5" s="11" t="inlineStr">
        <is>
          <t>UC
€ / item</t>
        </is>
      </c>
      <c r="I5" s="11" t="inlineStr">
        <is>
          <t>LIH / DBR
€ / item</t>
        </is>
      </c>
      <c r="J5" s="11" t="inlineStr">
        <is>
          <t>Inspection
€ / item</t>
        </is>
      </c>
      <c r="K5" s="11" t="inlineStr">
        <is>
          <t>Restocking
€</t>
        </is>
      </c>
      <c r="L5" s="11" t="inlineStr">
        <is>
          <t>Inclus au
forfait ?</t>
        </is>
      </c>
      <c r="M5" s="12" t="inlineStr">
        <is>
          <t>Lignes
tool list</t>
        </is>
      </c>
      <c r="N5" s="12" t="inlineStr">
        <is>
          <t>Cumul</t>
        </is>
      </c>
      <c r="O5" s="12" t="inlineStr">
        <is>
          <t>Forfait
€ (calc.)</t>
        </is>
      </c>
    </row>
    <row r="6" ht="21" customHeight="1">
      <c r="A6" s="13">
        <f>IF(AND(M6&gt;0,B6&lt;&gt;"Oui"),COUNTIFS(M$6:M6,"&gt;0",B$6:B6,"&lt;&gt;Oui"),"")</f>
        <v/>
      </c>
      <c r="B6" s="14" t="n"/>
      <c r="C6" s="7" t="n"/>
      <c r="D6" s="15" t="n"/>
      <c r="E6" s="7" t="n"/>
      <c r="F6" s="16" t="n"/>
      <c r="G6" s="16" t="n"/>
      <c r="H6" s="16" t="n"/>
      <c r="I6" s="16" t="n"/>
      <c r="J6" s="16" t="n"/>
      <c r="K6" s="16" t="n"/>
      <c r="L6" s="14" t="n"/>
      <c r="M6" s="17">
        <f>IF($C6="",0,IF($B6="Oui",1,IF(N($D6)&gt;0,INT($D6),1)))</f>
        <v/>
      </c>
      <c r="N6" s="18">
        <f>SUM(M$6:M6)</f>
        <v/>
      </c>
      <c r="O6" s="19">
        <f>IF(AND(M6&gt;0,B6&lt;&gt;"Oui",L6="Oui"),M6*(N(F6)*N('3 Options'!$C$18)+N(G6)*N('3 Options'!$C$19)+N(H6)),0)</f>
        <v/>
      </c>
    </row>
    <row r="7" ht="21" customHeight="1">
      <c r="A7" s="13">
        <f>IF(AND(M7&gt;0,B7&lt;&gt;"Oui"),COUNTIFS(M$6:M7,"&gt;0",B$6:B7,"&lt;&gt;Oui"),"")</f>
        <v/>
      </c>
      <c r="B7" s="14" t="n"/>
      <c r="C7" s="7" t="n"/>
      <c r="D7" s="15" t="n"/>
      <c r="E7" s="7" t="n"/>
      <c r="F7" s="16" t="n"/>
      <c r="G7" s="16" t="n"/>
      <c r="H7" s="16" t="n"/>
      <c r="I7" s="16" t="n"/>
      <c r="J7" s="16" t="n"/>
      <c r="K7" s="16" t="n"/>
      <c r="L7" s="14" t="n"/>
      <c r="M7" s="17">
        <f>IF($C7="",0,IF($B7="Oui",1,IF(N($D7)&gt;0,INT($D7),1)))</f>
        <v/>
      </c>
      <c r="N7" s="18">
        <f>SUM(M$6:M7)</f>
        <v/>
      </c>
      <c r="O7" s="19">
        <f>IF(AND(M7&gt;0,B7&lt;&gt;"Oui",L7="Oui"),M7*(N(F7)*N('3 Options'!$C$18)+N(G7)*N('3 Options'!$C$19)+N(H7)),0)</f>
        <v/>
      </c>
    </row>
    <row r="8" ht="21" customHeight="1">
      <c r="A8" s="13">
        <f>IF(AND(M8&gt;0,B8&lt;&gt;"Oui"),COUNTIFS(M$6:M8,"&gt;0",B$6:B8,"&lt;&gt;Oui"),"")</f>
        <v/>
      </c>
      <c r="B8" s="14" t="n"/>
      <c r="C8" s="7" t="n"/>
      <c r="D8" s="15" t="n"/>
      <c r="E8" s="7" t="n"/>
      <c r="F8" s="16" t="n"/>
      <c r="G8" s="16" t="n"/>
      <c r="H8" s="16" t="n"/>
      <c r="I8" s="16" t="n"/>
      <c r="J8" s="16" t="n"/>
      <c r="K8" s="16" t="n"/>
      <c r="L8" s="14" t="n"/>
      <c r="M8" s="17">
        <f>IF($C8="",0,IF($B8="Oui",1,IF(N($D8)&gt;0,INT($D8),1)))</f>
        <v/>
      </c>
      <c r="N8" s="18">
        <f>SUM(M$6:M8)</f>
        <v/>
      </c>
      <c r="O8" s="19">
        <f>IF(AND(M8&gt;0,B8&lt;&gt;"Oui",L8="Oui"),M8*(N(F8)*N('3 Options'!$C$18)+N(G8)*N('3 Options'!$C$19)+N(H8)),0)</f>
        <v/>
      </c>
    </row>
    <row r="9" ht="21" customHeight="1">
      <c r="A9" s="13">
        <f>IF(AND(M9&gt;0,B9&lt;&gt;"Oui"),COUNTIFS(M$6:M9,"&gt;0",B$6:B9,"&lt;&gt;Oui"),"")</f>
        <v/>
      </c>
      <c r="B9" s="14" t="n"/>
      <c r="C9" s="7" t="n"/>
      <c r="D9" s="15" t="n"/>
      <c r="E9" s="7" t="n"/>
      <c r="F9" s="16" t="n"/>
      <c r="G9" s="16" t="n"/>
      <c r="H9" s="16" t="n"/>
      <c r="I9" s="16" t="n"/>
      <c r="J9" s="16" t="n"/>
      <c r="K9" s="16" t="n"/>
      <c r="L9" s="14" t="n"/>
      <c r="M9" s="17">
        <f>IF($C9="",0,IF($B9="Oui",1,IF(N($D9)&gt;0,INT($D9),1)))</f>
        <v/>
      </c>
      <c r="N9" s="18">
        <f>SUM(M$6:M9)</f>
        <v/>
      </c>
      <c r="O9" s="19">
        <f>IF(AND(M9&gt;0,B9&lt;&gt;"Oui",L9="Oui"),M9*(N(F9)*N('3 Options'!$C$18)+N(G9)*N('3 Options'!$C$19)+N(H9)),0)</f>
        <v/>
      </c>
    </row>
    <row r="10" ht="21" customHeight="1">
      <c r="A10" s="13">
        <f>IF(AND(M10&gt;0,B10&lt;&gt;"Oui"),COUNTIFS(M$6:M10,"&gt;0",B$6:B10,"&lt;&gt;Oui"),"")</f>
        <v/>
      </c>
      <c r="B10" s="14" t="n"/>
      <c r="C10" s="7" t="n"/>
      <c r="D10" s="15" t="n"/>
      <c r="E10" s="7" t="n"/>
      <c r="F10" s="16" t="n"/>
      <c r="G10" s="16" t="n"/>
      <c r="H10" s="16" t="n"/>
      <c r="I10" s="16" t="n"/>
      <c r="J10" s="16" t="n"/>
      <c r="K10" s="16" t="n"/>
      <c r="L10" s="14" t="n"/>
      <c r="M10" s="17">
        <f>IF($C10="",0,IF($B10="Oui",1,IF(N($D10)&gt;0,INT($D10),1)))</f>
        <v/>
      </c>
      <c r="N10" s="18">
        <f>SUM(M$6:M10)</f>
        <v/>
      </c>
      <c r="O10" s="19">
        <f>IF(AND(M10&gt;0,B10&lt;&gt;"Oui",L10="Oui"),M10*(N(F10)*N('3 Options'!$C$18)+N(G10)*N('3 Options'!$C$19)+N(H10)),0)</f>
        <v/>
      </c>
    </row>
    <row r="11" ht="21" customHeight="1">
      <c r="A11" s="13">
        <f>IF(AND(M11&gt;0,B11&lt;&gt;"Oui"),COUNTIFS(M$6:M11,"&gt;0",B$6:B11,"&lt;&gt;Oui"),"")</f>
        <v/>
      </c>
      <c r="B11" s="14" t="n"/>
      <c r="C11" s="7" t="n"/>
      <c r="D11" s="15" t="n"/>
      <c r="E11" s="7" t="n"/>
      <c r="F11" s="16" t="n"/>
      <c r="G11" s="16" t="n"/>
      <c r="H11" s="16" t="n"/>
      <c r="I11" s="16" t="n"/>
      <c r="J11" s="16" t="n"/>
      <c r="K11" s="16" t="n"/>
      <c r="L11" s="14" t="n"/>
      <c r="M11" s="17">
        <f>IF($C11="",0,IF($B11="Oui",1,IF(N($D11)&gt;0,INT($D11),1)))</f>
        <v/>
      </c>
      <c r="N11" s="18">
        <f>SUM(M$6:M11)</f>
        <v/>
      </c>
      <c r="O11" s="19">
        <f>IF(AND(M11&gt;0,B11&lt;&gt;"Oui",L11="Oui"),M11*(N(F11)*N('3 Options'!$C$18)+N(G11)*N('3 Options'!$C$19)+N(H11)),0)</f>
        <v/>
      </c>
    </row>
    <row r="12" ht="21" customHeight="1">
      <c r="A12" s="13">
        <f>IF(AND(M12&gt;0,B12&lt;&gt;"Oui"),COUNTIFS(M$6:M12,"&gt;0",B$6:B12,"&lt;&gt;Oui"),"")</f>
        <v/>
      </c>
      <c r="B12" s="14" t="n"/>
      <c r="C12" s="7" t="n"/>
      <c r="D12" s="15" t="n"/>
      <c r="E12" s="7" t="n"/>
      <c r="F12" s="16" t="n"/>
      <c r="G12" s="16" t="n"/>
      <c r="H12" s="16" t="n"/>
      <c r="I12" s="16" t="n"/>
      <c r="J12" s="16" t="n"/>
      <c r="K12" s="16" t="n"/>
      <c r="L12" s="14" t="n"/>
      <c r="M12" s="17">
        <f>IF($C12="",0,IF($B12="Oui",1,IF(N($D12)&gt;0,INT($D12),1)))</f>
        <v/>
      </c>
      <c r="N12" s="18">
        <f>SUM(M$6:M12)</f>
        <v/>
      </c>
      <c r="O12" s="19">
        <f>IF(AND(M12&gt;0,B12&lt;&gt;"Oui",L12="Oui"),M12*(N(F12)*N('3 Options'!$C$18)+N(G12)*N('3 Options'!$C$19)+N(H12)),0)</f>
        <v/>
      </c>
    </row>
    <row r="13" ht="21" customHeight="1">
      <c r="A13" s="13">
        <f>IF(AND(M13&gt;0,B13&lt;&gt;"Oui"),COUNTIFS(M$6:M13,"&gt;0",B$6:B13,"&lt;&gt;Oui"),"")</f>
        <v/>
      </c>
      <c r="B13" s="14" t="n"/>
      <c r="C13" s="7" t="n"/>
      <c r="D13" s="15" t="n"/>
      <c r="E13" s="7" t="n"/>
      <c r="F13" s="16" t="n"/>
      <c r="G13" s="16" t="n"/>
      <c r="H13" s="16" t="n"/>
      <c r="I13" s="16" t="n"/>
      <c r="J13" s="16" t="n"/>
      <c r="K13" s="16" t="n"/>
      <c r="L13" s="14" t="n"/>
      <c r="M13" s="17">
        <f>IF($C13="",0,IF($B13="Oui",1,IF(N($D13)&gt;0,INT($D13),1)))</f>
        <v/>
      </c>
      <c r="N13" s="18">
        <f>SUM(M$6:M13)</f>
        <v/>
      </c>
      <c r="O13" s="19">
        <f>IF(AND(M13&gt;0,B13&lt;&gt;"Oui",L13="Oui"),M13*(N(F13)*N('3 Options'!$C$18)+N(G13)*N('3 Options'!$C$19)+N(H13)),0)</f>
        <v/>
      </c>
    </row>
    <row r="14" ht="21" customHeight="1">
      <c r="A14" s="13">
        <f>IF(AND(M14&gt;0,B14&lt;&gt;"Oui"),COUNTIFS(M$6:M14,"&gt;0",B$6:B14,"&lt;&gt;Oui"),"")</f>
        <v/>
      </c>
      <c r="B14" s="14" t="n"/>
      <c r="C14" s="7" t="n"/>
      <c r="D14" s="15" t="n"/>
      <c r="E14" s="7" t="n"/>
      <c r="F14" s="16" t="n"/>
      <c r="G14" s="16" t="n"/>
      <c r="H14" s="16" t="n"/>
      <c r="I14" s="16" t="n"/>
      <c r="J14" s="16" t="n"/>
      <c r="K14" s="16" t="n"/>
      <c r="L14" s="14" t="n"/>
      <c r="M14" s="17">
        <f>IF($C14="",0,IF($B14="Oui",1,IF(N($D14)&gt;0,INT($D14),1)))</f>
        <v/>
      </c>
      <c r="N14" s="18">
        <f>SUM(M$6:M14)</f>
        <v/>
      </c>
      <c r="O14" s="19">
        <f>IF(AND(M14&gt;0,B14&lt;&gt;"Oui",L14="Oui"),M14*(N(F14)*N('3 Options'!$C$18)+N(G14)*N('3 Options'!$C$19)+N(H14)),0)</f>
        <v/>
      </c>
    </row>
    <row r="15" ht="21" customHeight="1">
      <c r="A15" s="13">
        <f>IF(AND(M15&gt;0,B15&lt;&gt;"Oui"),COUNTIFS(M$6:M15,"&gt;0",B$6:B15,"&lt;&gt;Oui"),"")</f>
        <v/>
      </c>
      <c r="B15" s="14" t="n"/>
      <c r="C15" s="7" t="n"/>
      <c r="D15" s="15" t="n"/>
      <c r="E15" s="7" t="n"/>
      <c r="F15" s="16" t="n"/>
      <c r="G15" s="16" t="n"/>
      <c r="H15" s="16" t="n"/>
      <c r="I15" s="16" t="n"/>
      <c r="J15" s="16" t="n"/>
      <c r="K15" s="16" t="n"/>
      <c r="L15" s="14" t="n"/>
      <c r="M15" s="17">
        <f>IF($C15="",0,IF($B15="Oui",1,IF(N($D15)&gt;0,INT($D15),1)))</f>
        <v/>
      </c>
      <c r="N15" s="18">
        <f>SUM(M$6:M15)</f>
        <v/>
      </c>
      <c r="O15" s="19">
        <f>IF(AND(M15&gt;0,B15&lt;&gt;"Oui",L15="Oui"),M15*(N(F15)*N('3 Options'!$C$18)+N(G15)*N('3 Options'!$C$19)+N(H15)),0)</f>
        <v/>
      </c>
    </row>
    <row r="16" ht="21" customHeight="1">
      <c r="A16" s="13">
        <f>IF(AND(M16&gt;0,B16&lt;&gt;"Oui"),COUNTIFS(M$6:M16,"&gt;0",B$6:B16,"&lt;&gt;Oui"),"")</f>
        <v/>
      </c>
      <c r="B16" s="14" t="n"/>
      <c r="C16" s="7" t="n"/>
      <c r="D16" s="15" t="n"/>
      <c r="E16" s="7" t="n"/>
      <c r="F16" s="16" t="n"/>
      <c r="G16" s="16" t="n"/>
      <c r="H16" s="16" t="n"/>
      <c r="I16" s="16" t="n"/>
      <c r="J16" s="16" t="n"/>
      <c r="K16" s="16" t="n"/>
      <c r="L16" s="14" t="n"/>
      <c r="M16" s="17">
        <f>IF($C16="",0,IF($B16="Oui",1,IF(N($D16)&gt;0,INT($D16),1)))</f>
        <v/>
      </c>
      <c r="N16" s="18">
        <f>SUM(M$6:M16)</f>
        <v/>
      </c>
      <c r="O16" s="19">
        <f>IF(AND(M16&gt;0,B16&lt;&gt;"Oui",L16="Oui"),M16*(N(F16)*N('3 Options'!$C$18)+N(G16)*N('3 Options'!$C$19)+N(H16)),0)</f>
        <v/>
      </c>
    </row>
    <row r="17" ht="21" customHeight="1">
      <c r="A17" s="13">
        <f>IF(AND(M17&gt;0,B17&lt;&gt;"Oui"),COUNTIFS(M$6:M17,"&gt;0",B$6:B17,"&lt;&gt;Oui"),"")</f>
        <v/>
      </c>
      <c r="B17" s="14" t="n"/>
      <c r="C17" s="7" t="n"/>
      <c r="D17" s="15" t="n"/>
      <c r="E17" s="7" t="n"/>
      <c r="F17" s="16" t="n"/>
      <c r="G17" s="16" t="n"/>
      <c r="H17" s="16" t="n"/>
      <c r="I17" s="16" t="n"/>
      <c r="J17" s="16" t="n"/>
      <c r="K17" s="16" t="n"/>
      <c r="L17" s="14" t="n"/>
      <c r="M17" s="17">
        <f>IF($C17="",0,IF($B17="Oui",1,IF(N($D17)&gt;0,INT($D17),1)))</f>
        <v/>
      </c>
      <c r="N17" s="18">
        <f>SUM(M$6:M17)</f>
        <v/>
      </c>
      <c r="O17" s="19">
        <f>IF(AND(M17&gt;0,B17&lt;&gt;"Oui",L17="Oui"),M17*(N(F17)*N('3 Options'!$C$18)+N(G17)*N('3 Options'!$C$19)+N(H17)),0)</f>
        <v/>
      </c>
    </row>
    <row r="18" ht="21" customHeight="1">
      <c r="A18" s="13">
        <f>IF(AND(M18&gt;0,B18&lt;&gt;"Oui"),COUNTIFS(M$6:M18,"&gt;0",B$6:B18,"&lt;&gt;Oui"),"")</f>
        <v/>
      </c>
      <c r="B18" s="14" t="n"/>
      <c r="C18" s="7" t="n"/>
      <c r="D18" s="15" t="n"/>
      <c r="E18" s="7" t="n"/>
      <c r="F18" s="16" t="n"/>
      <c r="G18" s="16" t="n"/>
      <c r="H18" s="16" t="n"/>
      <c r="I18" s="16" t="n"/>
      <c r="J18" s="16" t="n"/>
      <c r="K18" s="16" t="n"/>
      <c r="L18" s="14" t="n"/>
      <c r="M18" s="17">
        <f>IF($C18="",0,IF($B18="Oui",1,IF(N($D18)&gt;0,INT($D18),1)))</f>
        <v/>
      </c>
      <c r="N18" s="18">
        <f>SUM(M$6:M18)</f>
        <v/>
      </c>
      <c r="O18" s="19">
        <f>IF(AND(M18&gt;0,B18&lt;&gt;"Oui",L18="Oui"),M18*(N(F18)*N('3 Options'!$C$18)+N(G18)*N('3 Options'!$C$19)+N(H18)),0)</f>
        <v/>
      </c>
    </row>
    <row r="19" ht="21" customHeight="1">
      <c r="A19" s="13">
        <f>IF(AND(M19&gt;0,B19&lt;&gt;"Oui"),COUNTIFS(M$6:M19,"&gt;0",B$6:B19,"&lt;&gt;Oui"),"")</f>
        <v/>
      </c>
      <c r="B19" s="14" t="n"/>
      <c r="C19" s="7" t="n"/>
      <c r="D19" s="15" t="n"/>
      <c r="E19" s="7" t="n"/>
      <c r="F19" s="16" t="n"/>
      <c r="G19" s="16" t="n"/>
      <c r="H19" s="16" t="n"/>
      <c r="I19" s="16" t="n"/>
      <c r="J19" s="16" t="n"/>
      <c r="K19" s="16" t="n"/>
      <c r="L19" s="14" t="n"/>
      <c r="M19" s="17">
        <f>IF($C19="",0,IF($B19="Oui",1,IF(N($D19)&gt;0,INT($D19),1)))</f>
        <v/>
      </c>
      <c r="N19" s="18">
        <f>SUM(M$6:M19)</f>
        <v/>
      </c>
      <c r="O19" s="19">
        <f>IF(AND(M19&gt;0,B19&lt;&gt;"Oui",L19="Oui"),M19*(N(F19)*N('3 Options'!$C$18)+N(G19)*N('3 Options'!$C$19)+N(H19)),0)</f>
        <v/>
      </c>
    </row>
    <row r="20" ht="21" customHeight="1">
      <c r="A20" s="13">
        <f>IF(AND(M20&gt;0,B20&lt;&gt;"Oui"),COUNTIFS(M$6:M20,"&gt;0",B$6:B20,"&lt;&gt;Oui"),"")</f>
        <v/>
      </c>
      <c r="B20" s="14" t="n"/>
      <c r="C20" s="7" t="n"/>
      <c r="D20" s="15" t="n"/>
      <c r="E20" s="7" t="n"/>
      <c r="F20" s="16" t="n"/>
      <c r="G20" s="16" t="n"/>
      <c r="H20" s="16" t="n"/>
      <c r="I20" s="16" t="n"/>
      <c r="J20" s="16" t="n"/>
      <c r="K20" s="16" t="n"/>
      <c r="L20" s="14" t="n"/>
      <c r="M20" s="17">
        <f>IF($C20="",0,IF($B20="Oui",1,IF(N($D20)&gt;0,INT($D20),1)))</f>
        <v/>
      </c>
      <c r="N20" s="18">
        <f>SUM(M$6:M20)</f>
        <v/>
      </c>
      <c r="O20" s="19">
        <f>IF(AND(M20&gt;0,B20&lt;&gt;"Oui",L20="Oui"),M20*(N(F20)*N('3 Options'!$C$18)+N(G20)*N('3 Options'!$C$19)+N(H20)),0)</f>
        <v/>
      </c>
    </row>
    <row r="21" ht="21" customHeight="1">
      <c r="A21" s="13">
        <f>IF(AND(M21&gt;0,B21&lt;&gt;"Oui"),COUNTIFS(M$6:M21,"&gt;0",B$6:B21,"&lt;&gt;Oui"),"")</f>
        <v/>
      </c>
      <c r="B21" s="14" t="n"/>
      <c r="C21" s="7" t="n"/>
      <c r="D21" s="15" t="n"/>
      <c r="E21" s="7" t="n"/>
      <c r="F21" s="16" t="n"/>
      <c r="G21" s="16" t="n"/>
      <c r="H21" s="16" t="n"/>
      <c r="I21" s="16" t="n"/>
      <c r="J21" s="16" t="n"/>
      <c r="K21" s="16" t="n"/>
      <c r="L21" s="14" t="n"/>
      <c r="M21" s="17">
        <f>IF($C21="",0,IF($B21="Oui",1,IF(N($D21)&gt;0,INT($D21),1)))</f>
        <v/>
      </c>
      <c r="N21" s="18">
        <f>SUM(M$6:M21)</f>
        <v/>
      </c>
      <c r="O21" s="19">
        <f>IF(AND(M21&gt;0,B21&lt;&gt;"Oui",L21="Oui"),M21*(N(F21)*N('3 Options'!$C$18)+N(G21)*N('3 Options'!$C$19)+N(H21)),0)</f>
        <v/>
      </c>
    </row>
    <row r="22" ht="21" customHeight="1">
      <c r="A22" s="13">
        <f>IF(AND(M22&gt;0,B22&lt;&gt;"Oui"),COUNTIFS(M$6:M22,"&gt;0",B$6:B22,"&lt;&gt;Oui"),"")</f>
        <v/>
      </c>
      <c r="B22" s="14" t="n"/>
      <c r="C22" s="7" t="n"/>
      <c r="D22" s="15" t="n"/>
      <c r="E22" s="7" t="n"/>
      <c r="F22" s="16" t="n"/>
      <c r="G22" s="16" t="n"/>
      <c r="H22" s="16" t="n"/>
      <c r="I22" s="16" t="n"/>
      <c r="J22" s="16" t="n"/>
      <c r="K22" s="16" t="n"/>
      <c r="L22" s="14" t="n"/>
      <c r="M22" s="17">
        <f>IF($C22="",0,IF($B22="Oui",1,IF(N($D22)&gt;0,INT($D22),1)))</f>
        <v/>
      </c>
      <c r="N22" s="18">
        <f>SUM(M$6:M22)</f>
        <v/>
      </c>
      <c r="O22" s="19">
        <f>IF(AND(M22&gt;0,B22&lt;&gt;"Oui",L22="Oui"),M22*(N(F22)*N('3 Options'!$C$18)+N(G22)*N('3 Options'!$C$19)+N(H22)),0)</f>
        <v/>
      </c>
    </row>
    <row r="23" ht="21" customHeight="1">
      <c r="A23" s="13">
        <f>IF(AND(M23&gt;0,B23&lt;&gt;"Oui"),COUNTIFS(M$6:M23,"&gt;0",B$6:B23,"&lt;&gt;Oui"),"")</f>
        <v/>
      </c>
      <c r="B23" s="14" t="n"/>
      <c r="C23" s="7" t="n"/>
      <c r="D23" s="15" t="n"/>
      <c r="E23" s="7" t="n"/>
      <c r="F23" s="16" t="n"/>
      <c r="G23" s="16" t="n"/>
      <c r="H23" s="16" t="n"/>
      <c r="I23" s="16" t="n"/>
      <c r="J23" s="16" t="n"/>
      <c r="K23" s="16" t="n"/>
      <c r="L23" s="14" t="n"/>
      <c r="M23" s="17">
        <f>IF($C23="",0,IF($B23="Oui",1,IF(N($D23)&gt;0,INT($D23),1)))</f>
        <v/>
      </c>
      <c r="N23" s="18">
        <f>SUM(M$6:M23)</f>
        <v/>
      </c>
      <c r="O23" s="19">
        <f>IF(AND(M23&gt;0,B23&lt;&gt;"Oui",L23="Oui"),M23*(N(F23)*N('3 Options'!$C$18)+N(G23)*N('3 Options'!$C$19)+N(H23)),0)</f>
        <v/>
      </c>
    </row>
    <row r="24" ht="21" customHeight="1">
      <c r="A24" s="13">
        <f>IF(AND(M24&gt;0,B24&lt;&gt;"Oui"),COUNTIFS(M$6:M24,"&gt;0",B$6:B24,"&lt;&gt;Oui"),"")</f>
        <v/>
      </c>
      <c r="B24" s="14" t="n"/>
      <c r="C24" s="7" t="n"/>
      <c r="D24" s="15" t="n"/>
      <c r="E24" s="7" t="n"/>
      <c r="F24" s="16" t="n"/>
      <c r="G24" s="16" t="n"/>
      <c r="H24" s="16" t="n"/>
      <c r="I24" s="16" t="n"/>
      <c r="J24" s="16" t="n"/>
      <c r="K24" s="16" t="n"/>
      <c r="L24" s="14" t="n"/>
      <c r="M24" s="17">
        <f>IF($C24="",0,IF($B24="Oui",1,IF(N($D24)&gt;0,INT($D24),1)))</f>
        <v/>
      </c>
      <c r="N24" s="18">
        <f>SUM(M$6:M24)</f>
        <v/>
      </c>
      <c r="O24" s="19">
        <f>IF(AND(M24&gt;0,B24&lt;&gt;"Oui",L24="Oui"),M24*(N(F24)*N('3 Options'!$C$18)+N(G24)*N('3 Options'!$C$19)+N(H24)),0)</f>
        <v/>
      </c>
    </row>
    <row r="25" ht="21" customHeight="1">
      <c r="A25" s="13">
        <f>IF(AND(M25&gt;0,B25&lt;&gt;"Oui"),COUNTIFS(M$6:M25,"&gt;0",B$6:B25,"&lt;&gt;Oui"),"")</f>
        <v/>
      </c>
      <c r="B25" s="14" t="n"/>
      <c r="C25" s="7" t="n"/>
      <c r="D25" s="15" t="n"/>
      <c r="E25" s="7" t="n"/>
      <c r="F25" s="16" t="n"/>
      <c r="G25" s="16" t="n"/>
      <c r="H25" s="16" t="n"/>
      <c r="I25" s="16" t="n"/>
      <c r="J25" s="16" t="n"/>
      <c r="K25" s="16" t="n"/>
      <c r="L25" s="14" t="n"/>
      <c r="M25" s="17">
        <f>IF($C25="",0,IF($B25="Oui",1,IF(N($D25)&gt;0,INT($D25),1)))</f>
        <v/>
      </c>
      <c r="N25" s="18">
        <f>SUM(M$6:M25)</f>
        <v/>
      </c>
      <c r="O25" s="19">
        <f>IF(AND(M25&gt;0,B25&lt;&gt;"Oui",L25="Oui"),M25*(N(F25)*N('3 Options'!$C$18)+N(G25)*N('3 Options'!$C$19)+N(H25)),0)</f>
        <v/>
      </c>
    </row>
    <row r="26" ht="21" customHeight="1">
      <c r="A26" s="13">
        <f>IF(AND(M26&gt;0,B26&lt;&gt;"Oui"),COUNTIFS(M$6:M26,"&gt;0",B$6:B26,"&lt;&gt;Oui"),"")</f>
        <v/>
      </c>
      <c r="B26" s="14" t="n"/>
      <c r="C26" s="7" t="n"/>
      <c r="D26" s="15" t="n"/>
      <c r="E26" s="7" t="n"/>
      <c r="F26" s="16" t="n"/>
      <c r="G26" s="16" t="n"/>
      <c r="H26" s="16" t="n"/>
      <c r="I26" s="16" t="n"/>
      <c r="J26" s="16" t="n"/>
      <c r="K26" s="16" t="n"/>
      <c r="L26" s="14" t="n"/>
      <c r="M26" s="17">
        <f>IF($C26="",0,IF($B26="Oui",1,IF(N($D26)&gt;0,INT($D26),1)))</f>
        <v/>
      </c>
      <c r="N26" s="18">
        <f>SUM(M$6:M26)</f>
        <v/>
      </c>
      <c r="O26" s="19">
        <f>IF(AND(M26&gt;0,B26&lt;&gt;"Oui",L26="Oui"),M26*(N(F26)*N('3 Options'!$C$18)+N(G26)*N('3 Options'!$C$19)+N(H26)),0)</f>
        <v/>
      </c>
    </row>
    <row r="27" ht="21" customHeight="1">
      <c r="A27" s="13">
        <f>IF(AND(M27&gt;0,B27&lt;&gt;"Oui"),COUNTIFS(M$6:M27,"&gt;0",B$6:B27,"&lt;&gt;Oui"),"")</f>
        <v/>
      </c>
      <c r="B27" s="14" t="n"/>
      <c r="C27" s="7" t="n"/>
      <c r="D27" s="15" t="n"/>
      <c r="E27" s="7" t="n"/>
      <c r="F27" s="16" t="n"/>
      <c r="G27" s="16" t="n"/>
      <c r="H27" s="16" t="n"/>
      <c r="I27" s="16" t="n"/>
      <c r="J27" s="16" t="n"/>
      <c r="K27" s="16" t="n"/>
      <c r="L27" s="14" t="n"/>
      <c r="M27" s="17">
        <f>IF($C27="",0,IF($B27="Oui",1,IF(N($D27)&gt;0,INT($D27),1)))</f>
        <v/>
      </c>
      <c r="N27" s="18">
        <f>SUM(M$6:M27)</f>
        <v/>
      </c>
      <c r="O27" s="19">
        <f>IF(AND(M27&gt;0,B27&lt;&gt;"Oui",L27="Oui"),M27*(N(F27)*N('3 Options'!$C$18)+N(G27)*N('3 Options'!$C$19)+N(H27)),0)</f>
        <v/>
      </c>
    </row>
    <row r="28" ht="21" customHeight="1">
      <c r="A28" s="13">
        <f>IF(AND(M28&gt;0,B28&lt;&gt;"Oui"),COUNTIFS(M$6:M28,"&gt;0",B$6:B28,"&lt;&gt;Oui"),"")</f>
        <v/>
      </c>
      <c r="B28" s="14" t="n"/>
      <c r="C28" s="7" t="n"/>
      <c r="D28" s="15" t="n"/>
      <c r="E28" s="7" t="n"/>
      <c r="F28" s="16" t="n"/>
      <c r="G28" s="16" t="n"/>
      <c r="H28" s="16" t="n"/>
      <c r="I28" s="16" t="n"/>
      <c r="J28" s="16" t="n"/>
      <c r="K28" s="16" t="n"/>
      <c r="L28" s="14" t="n"/>
      <c r="M28" s="17">
        <f>IF($C28="",0,IF($B28="Oui",1,IF(N($D28)&gt;0,INT($D28),1)))</f>
        <v/>
      </c>
      <c r="N28" s="18">
        <f>SUM(M$6:M28)</f>
        <v/>
      </c>
      <c r="O28" s="19">
        <f>IF(AND(M28&gt;0,B28&lt;&gt;"Oui",L28="Oui"),M28*(N(F28)*N('3 Options'!$C$18)+N(G28)*N('3 Options'!$C$19)+N(H28)),0)</f>
        <v/>
      </c>
    </row>
    <row r="29" ht="21" customHeight="1">
      <c r="A29" s="13">
        <f>IF(AND(M29&gt;0,B29&lt;&gt;"Oui"),COUNTIFS(M$6:M29,"&gt;0",B$6:B29,"&lt;&gt;Oui"),"")</f>
        <v/>
      </c>
      <c r="B29" s="14" t="n"/>
      <c r="C29" s="7" t="n"/>
      <c r="D29" s="15" t="n"/>
      <c r="E29" s="7" t="n"/>
      <c r="F29" s="16" t="n"/>
      <c r="G29" s="16" t="n"/>
      <c r="H29" s="16" t="n"/>
      <c r="I29" s="16" t="n"/>
      <c r="J29" s="16" t="n"/>
      <c r="K29" s="16" t="n"/>
      <c r="L29" s="14" t="n"/>
      <c r="M29" s="17">
        <f>IF($C29="",0,IF($B29="Oui",1,IF(N($D29)&gt;0,INT($D29),1)))</f>
        <v/>
      </c>
      <c r="N29" s="18">
        <f>SUM(M$6:M29)</f>
        <v/>
      </c>
      <c r="O29" s="19">
        <f>IF(AND(M29&gt;0,B29&lt;&gt;"Oui",L29="Oui"),M29*(N(F29)*N('3 Options'!$C$18)+N(G29)*N('3 Options'!$C$19)+N(H29)),0)</f>
        <v/>
      </c>
    </row>
    <row r="31">
      <c r="C31" s="20">
        <f>SUM(M6:M29)&amp;" ligne(s) sur la tool list  ·  "&amp;COUNTIFS(M6:M29,"&gt;0",B6:B29,"&lt;&gt;Oui")&amp;" outil(s) au devis"</f>
        <v/>
      </c>
    </row>
    <row r="32">
      <c r="C32" s="21" t="inlineStr">
        <is>
          <t>Pour la tool list : copier les colonnes B à E (Bannière, Description, Qté, Note) et les coller dans le classeur « Tool List » (sans les prix).</t>
        </is>
      </c>
    </row>
    <row r="33">
      <c r="C33" s="21" t="inlineStr">
        <is>
          <t>Le devis affiche les 14 premières lignes (les suivantes sont repliées dans l’onglet 4, avec une alerte). Colonnes grises (M à O) : calculs, ne pas modifier.</t>
        </is>
      </c>
    </row>
  </sheetData>
  <conditionalFormatting sqref="A6:L29">
    <cfRule type="expression" priority="1" dxfId="0">
      <formula>$B6="Oui"</formula>
    </cfRule>
  </conditionalFormatting>
  <dataValidations count="3">
    <dataValidation sqref="L6:L29" showDropDown="0" showInputMessage="0" showErrorMessage="1" allowBlank="1" errorTitle="Valeur" error="Choisir une valeur de la liste." type="list" errorStyle="stop">
      <formula1>=Listes!$G$2:$G$12</formula1>
    </dataValidation>
    <dataValidation sqref="B6:B29" showDropDown="0" showInputMessage="0" showErrorMessage="1" allowBlank="1" errorTitle="Valeur" error="Choisir une valeur de la liste." type="list" errorStyle="stop">
      <formula1>=Listes!$G$2:$G$12</formula1>
    </dataValidation>
    <dataValidation sqref="D6:D29" showDropDown="0" showInputMessage="0" showErrorMessage="1" allowBlank="1" error="Quantité entière entre 1 et 99." type="whole" operator="between">
      <formula1>1</formula1>
      <formula2>99</formula2>
    </dataValidation>
  </dataValidations>
  <pageMargins left="0.75" right="0.75" top="1" bottom="1" header="0.5" footer="0.5"/>
  <pageSetup orientation="landscape" paperSize="9" fitToHeight="0" fitToWidth="1"/>
</worksheet>
</file>

<file path=xl/worksheets/sheet3.xml><?xml version="1.0" encoding="utf-8"?>
<worksheet xmlns="http://schemas.openxmlformats.org/spreadsheetml/2006/main">
  <sheetPr>
    <tabColor rgb="0000AEEF"/>
    <outlinePr summaryBelow="1" summaryRight="1"/>
    <pageSetUpPr fitToPage="1"/>
  </sheetPr>
  <dimension ref="A1:J25"/>
  <sheetViews>
    <sheetView showGridLines="0" workbookViewId="0">
      <pane ySplit="5" topLeftCell="A6" activePane="bottomLeft" state="frozen"/>
      <selection pane="bottomLeft" activeCell="A1" sqref="A1"/>
    </sheetView>
  </sheetViews>
  <sheetFormatPr baseColWidth="8" defaultRowHeight="15"/>
  <cols>
    <col width="2" customWidth="1" min="1" max="1"/>
    <col width="52" customWidth="1" min="2" max="2"/>
    <col width="12" customWidth="1" min="3" max="3"/>
    <col width="40" customWidth="1" min="4" max="4"/>
    <col width="9" customWidth="1" min="5" max="5"/>
    <col width="14" customWidth="1" min="6" max="6"/>
    <col width="28" customWidth="1" min="7" max="7"/>
    <col width="14" customWidth="1" min="8" max="8"/>
    <col width="8" customWidth="1" min="9" max="9"/>
    <col width="36" customWidth="1" min="10" max="10"/>
  </cols>
  <sheetData>
    <row r="1" ht="30" customHeight="1">
      <c r="A1" s="1" t="n"/>
      <c r="B1" s="2" t="inlineStr">
        <is>
          <t>OPTIONS ET FORFAIT</t>
        </is>
      </c>
      <c r="C1" s="1" t="n"/>
      <c r="D1" s="1" t="n"/>
      <c r="E1" s="1" t="n"/>
      <c r="F1" s="1" t="n"/>
      <c r="G1" s="1" t="n"/>
      <c r="H1" s="1" t="n"/>
      <c r="I1" s="1" t="n"/>
      <c r="J1" s="1" t="n"/>
    </row>
    <row r="2" ht="20" customHeight="1">
      <c r="A2" s="1" t="n"/>
      <c r="B2" s="3" t="inlineStr">
        <is>
          <t>Une option sur « Non » disparaît du devis. Le forfait s'affiche à part, en grand, sous la liste du matériel. Le transport reste activé par défaut.</t>
        </is>
      </c>
      <c r="C2" s="1" t="n"/>
      <c r="D2" s="1" t="n"/>
      <c r="E2" s="1" t="n"/>
      <c r="F2" s="1" t="n"/>
      <c r="G2" s="1" t="n"/>
      <c r="H2" s="1" t="n"/>
      <c r="I2" s="1" t="n"/>
      <c r="J2" s="1" t="n"/>
    </row>
    <row r="3" ht="6" customHeight="1">
      <c r="A3" s="4" t="n"/>
      <c r="B3" s="4" t="n"/>
      <c r="C3" s="4" t="n"/>
      <c r="D3" s="4" t="n"/>
      <c r="E3" s="4" t="n"/>
      <c r="F3" s="4" t="n"/>
      <c r="G3" s="4" t="n"/>
      <c r="H3" s="4" t="n"/>
      <c r="I3" s="4" t="n"/>
      <c r="J3" s="4" t="n"/>
    </row>
    <row r="5" ht="28" customHeight="1">
      <c r="B5" s="11" t="inlineStr">
        <is>
          <t>Option</t>
        </is>
      </c>
      <c r="C5" s="11" t="inlineStr">
        <is>
          <t>Inclure ?</t>
        </is>
      </c>
      <c r="D5" s="11" t="inlineStr">
        <is>
          <t>Intitulé affiché (facultatif)</t>
        </is>
      </c>
      <c r="E5" s="11" t="inlineStr">
        <is>
          <t>Qté</t>
        </is>
      </c>
      <c r="F5" s="11" t="inlineStr">
        <is>
          <t>Prix €</t>
        </is>
      </c>
      <c r="G5" s="11" t="inlineStr">
        <is>
          <t>Unité / mode</t>
        </is>
      </c>
      <c r="H5" s="11" t="inlineStr">
        <is>
          <t>Total €</t>
        </is>
      </c>
      <c r="I5" s="12" t="inlineStr">
        <is>
          <t>Rang</t>
        </is>
      </c>
      <c r="J5" s="12" t="inlineStr">
        <is>
          <t>Détail affiché sur le devis</t>
        </is>
      </c>
    </row>
    <row r="6" ht="26" customHeight="1">
      <c r="B6" s="22" t="inlineStr">
        <is>
          <t>👷  Opérateur · tarif journalier</t>
        </is>
      </c>
      <c r="C6" s="14" t="inlineStr">
        <is>
          <t>Non</t>
        </is>
      </c>
      <c r="D6" s="7" t="n"/>
      <c r="E6" s="15" t="n">
        <v>1</v>
      </c>
      <c r="F6" s="16" t="n"/>
      <c r="G6" s="14" t="inlineStr">
        <is>
          <t>€/jour/pers</t>
        </is>
      </c>
      <c r="H6" s="23">
        <f>IF(C6="Oui",IF(AND(G6="Coût réel +15 %",F6=""),0,N(E6)*N(F6)),0)</f>
        <v/>
      </c>
      <c r="I6" s="18">
        <f>IF(C6="Oui",COUNTIF(C$6:C6,"Oui"),"")</f>
        <v/>
      </c>
      <c r="J6" s="7" t="n"/>
    </row>
    <row r="7" ht="26" customHeight="1">
      <c r="B7" s="22" t="inlineStr">
        <is>
          <t>👷  Opérateur · Mob / Demob</t>
        </is>
      </c>
      <c r="C7" s="14" t="inlineStr">
        <is>
          <t>Non</t>
        </is>
      </c>
      <c r="D7" s="7" t="n"/>
      <c r="E7" s="15" t="n">
        <v>1</v>
      </c>
      <c r="F7" s="16" t="n"/>
      <c r="G7" s="14" t="inlineStr">
        <is>
          <t>€/pers</t>
        </is>
      </c>
      <c r="H7" s="23">
        <f>IF(C7="Oui",IF(AND(G7="Coût réel +15 %",F7=""),0,N(E7)*N(F7)),0)</f>
        <v/>
      </c>
      <c r="I7" s="18">
        <f>IF(C7="Oui",COUNTIF(C$6:C7,"Oui"),"")</f>
        <v/>
      </c>
      <c r="J7" s="7" t="n"/>
    </row>
    <row r="8" ht="26" customHeight="1">
      <c r="B8" s="22" t="inlineStr">
        <is>
          <t>🔧  Serrage · Make-up</t>
        </is>
      </c>
      <c r="C8" s="14" t="inlineStr">
        <is>
          <t>Non</t>
        </is>
      </c>
      <c r="D8" s="7" t="n"/>
      <c r="E8" s="15" t="n">
        <v>1</v>
      </c>
      <c r="F8" s="16" t="n"/>
      <c r="G8" s="14" t="inlineStr">
        <is>
          <t>forfait</t>
        </is>
      </c>
      <c r="H8" s="23">
        <f>IF(C8="Oui",IF(AND(G8="Coût réel +15 %",F8=""),0,N(E8)*N(F8)),0)</f>
        <v/>
      </c>
      <c r="I8" s="18">
        <f>IF(C8="Oui",COUNTIF(C$6:C8,"Oui"),"")</f>
        <v/>
      </c>
      <c r="J8" s="7" t="n"/>
    </row>
    <row r="9" ht="26" customHeight="1">
      <c r="B9" s="22" t="inlineStr">
        <is>
          <t>🚚  Transport MOB</t>
        </is>
      </c>
      <c r="C9" s="14" t="inlineStr">
        <is>
          <t>Oui</t>
        </is>
      </c>
      <c r="D9" s="7" t="n"/>
      <c r="E9" s="15" t="n">
        <v>1</v>
      </c>
      <c r="F9" s="16" t="n"/>
      <c r="G9" s="14" t="inlineStr">
        <is>
          <t>Coût réel +15 %</t>
        </is>
      </c>
      <c r="H9" s="23">
        <f>IF(C9="Oui",IF(AND(G9="Coût réel +15 %",F9=""),0,N(E9)*N(F9)),0)</f>
        <v/>
      </c>
      <c r="I9" s="18">
        <f>IF(C9="Oui",COUNTIF(C$6:C9,"Oui"),"")</f>
        <v/>
      </c>
      <c r="J9" s="7" t="n"/>
    </row>
    <row r="10" ht="26" customHeight="1">
      <c r="B10" s="22" t="inlineStr">
        <is>
          <t>🚚  Transport DEMOB</t>
        </is>
      </c>
      <c r="C10" s="14" t="inlineStr">
        <is>
          <t>Oui</t>
        </is>
      </c>
      <c r="D10" s="7" t="n"/>
      <c r="E10" s="15" t="n">
        <v>1</v>
      </c>
      <c r="F10" s="16" t="n"/>
      <c r="G10" s="14" t="inlineStr">
        <is>
          <t>Coût réel +15 %</t>
        </is>
      </c>
      <c r="H10" s="23">
        <f>IF(C10="Oui",IF(AND(G10="Coût réel +15 %",F10=""),0,N(E10)*N(F10)),0)</f>
        <v/>
      </c>
      <c r="I10" s="18">
        <f>IF(C10="Oui",COUNTIF(C$6:C10,"Oui"),"")</f>
        <v/>
      </c>
      <c r="J10" s="7" t="n"/>
    </row>
    <row r="11" ht="26" customHeight="1">
      <c r="B11" s="22" t="inlineStr">
        <is>
          <t>➕  Option libre 1</t>
        </is>
      </c>
      <c r="C11" s="14" t="inlineStr">
        <is>
          <t>Non</t>
        </is>
      </c>
      <c r="D11" s="7" t="n"/>
      <c r="E11" s="15" t="n">
        <v>1</v>
      </c>
      <c r="F11" s="16" t="n"/>
      <c r="G11" s="14" t="inlineStr">
        <is>
          <t>forfait</t>
        </is>
      </c>
      <c r="H11" s="23">
        <f>IF(C11="Oui",IF(AND(G11="Coût réel +15 %",F11=""),0,N(E11)*N(F11)),0)</f>
        <v/>
      </c>
      <c r="I11" s="18">
        <f>IF(C11="Oui",COUNTIF(C$6:C11,"Oui"),"")</f>
        <v/>
      </c>
      <c r="J11" s="7" t="n"/>
    </row>
    <row r="12" ht="26" customHeight="1">
      <c r="B12" s="22" t="inlineStr">
        <is>
          <t>➕  Option libre 2</t>
        </is>
      </c>
      <c r="C12" s="14" t="inlineStr">
        <is>
          <t>Non</t>
        </is>
      </c>
      <c r="D12" s="7" t="n"/>
      <c r="E12" s="15" t="n">
        <v>1</v>
      </c>
      <c r="F12" s="16" t="n"/>
      <c r="G12" s="14" t="inlineStr">
        <is>
          <t>forfait</t>
        </is>
      </c>
      <c r="H12" s="23">
        <f>IF(C12="Oui",IF(AND(G12="Coût réel +15 %",F12=""),0,N(E12)*N(F12)),0)</f>
        <v/>
      </c>
      <c r="I12" s="18">
        <f>IF(C12="Oui",COUNTIF(C$6:C12,"Oui"),"")</f>
        <v/>
      </c>
      <c r="J12" s="7" t="n"/>
    </row>
    <row r="13" ht="26" customHeight="1">
      <c r="B13" s="22" t="inlineStr">
        <is>
          <t>➕  Option libre 3</t>
        </is>
      </c>
      <c r="C13" s="14" t="inlineStr">
        <is>
          <t>Non</t>
        </is>
      </c>
      <c r="D13" s="7" t="n"/>
      <c r="E13" s="15" t="n">
        <v>1</v>
      </c>
      <c r="F13" s="16" t="n"/>
      <c r="G13" s="14" t="inlineStr">
        <is>
          <t>forfait</t>
        </is>
      </c>
      <c r="H13" s="23">
        <f>IF(C13="Oui",IF(AND(G13="Coût réel +15 %",F13=""),0,N(E13)*N(F13)),0)</f>
        <v/>
      </c>
      <c r="I13" s="18">
        <f>IF(C13="Oui",COUNTIF(C$6:C13,"Oui"),"")</f>
        <v/>
      </c>
      <c r="J13" s="7" t="n"/>
    </row>
    <row r="15" ht="20" customHeight="1">
      <c r="B15" s="5" t="inlineStr">
        <is>
          <t>📦  FORFAIT · bloc détaché, affiché en grand sous la liste du matériel</t>
        </is>
      </c>
      <c r="C15" s="1" t="n"/>
      <c r="D15" s="1" t="n"/>
      <c r="E15" s="1" t="n"/>
      <c r="F15" s="1" t="n"/>
      <c r="G15" s="1" t="n"/>
      <c r="H15" s="1" t="n"/>
      <c r="I15" s="1" t="n"/>
      <c r="J15" s="1" t="n"/>
    </row>
    <row r="16" ht="26" customHeight="1">
      <c r="B16" s="22" t="inlineStr">
        <is>
          <t>Forfait</t>
        </is>
      </c>
      <c r="C16" s="14" t="inlineStr">
        <is>
          <t>Non</t>
        </is>
      </c>
      <c r="D16" s="7" t="n"/>
      <c r="E16" s="15" t="n">
        <v>1</v>
      </c>
      <c r="F16" s="16" t="n"/>
      <c r="G16" s="14" t="inlineStr">
        <is>
          <t>Forfait calculé (S + O + UC)</t>
        </is>
      </c>
      <c r="H16" s="23">
        <f>IF(C16="Oui",IF(G16="Forfait calculé (S + O + UC)",IF(F16&lt;&gt;"",F16,C20),N(E16)*N(F16)),0)</f>
        <v/>
      </c>
    </row>
    <row r="17" ht="30" customHeight="1">
      <c r="B17" s="6" t="inlineStr">
        <is>
          <t>Périmètre affiché sous le forfait</t>
        </is>
      </c>
      <c r="D17" s="7" t="n"/>
      <c r="E17" s="24" t="n"/>
      <c r="F17" s="24" t="n"/>
      <c r="G17" s="24" t="n"/>
      <c r="H17" s="24" t="n"/>
      <c r="I17" s="24" t="n"/>
      <c r="J17" s="24" t="n"/>
    </row>
    <row r="18">
      <c r="B18" s="6" t="inlineStr">
        <is>
          <t>Forfait calculé · jours de stand-by (S)</t>
        </is>
      </c>
      <c r="C18" s="15" t="n">
        <v>3</v>
      </c>
      <c r="D18" s="25" t="inlineStr">
        <is>
          <t>Forfait habituel : 3 jours de stand-by + 2 jours d’opérations + toutes les utilisations de charge (UC), sur les lignes « Inclus au forfait » de l’onglet 2. Laisser « Prix € » vide pour utiliser ce calcul, ou saisir un prix pour le remplacer. Qté sert pour le mode « par jour » (nombre de jours).</t>
        </is>
      </c>
    </row>
    <row r="19">
      <c r="B19" s="6" t="inlineStr">
        <is>
          <t>Forfait calculé · jours d’opérations (O)</t>
        </is>
      </c>
      <c r="C19" s="15" t="n">
        <v>2</v>
      </c>
    </row>
    <row r="20">
      <c r="B20" s="6" t="inlineStr">
        <is>
          <t>Montant calculé des lignes « Inclus au forfait »</t>
        </is>
      </c>
      <c r="C20" s="26">
        <f>SUM('2 Matériel'!$O$6:$O$29)</f>
        <v/>
      </c>
    </row>
    <row r="22">
      <c r="B22" s="20" t="inlineStr">
        <is>
          <t>Rappels</t>
        </is>
      </c>
    </row>
    <row r="23">
      <c r="B23" s="27" t="inlineStr">
        <is>
          <t>Transport « Coût réel +15 % » : aucun montant affiché. Choisir « Forfait » pour imposer un prix.</t>
        </is>
      </c>
    </row>
    <row r="24">
      <c r="B24" s="27" t="inlineStr">
        <is>
          <t>Lignes couvertes par le forfait : mettre « Oui » dans « Inclus au forfait » (onglet 2). Elles s’affichent « incl. » sur le devis.</t>
        </is>
      </c>
    </row>
    <row r="25">
      <c r="B25" s="27" t="inlineStr">
        <is>
          <t>Une option libre : écrire son intitulé, son unité et son prix, puis « Oui ».</t>
        </is>
      </c>
    </row>
  </sheetData>
  <mergeCells count="3">
    <mergeCell ref="B15:J15"/>
    <mergeCell ref="D17:J17"/>
    <mergeCell ref="D18:J20"/>
  </mergeCells>
  <dataValidations count="18">
    <dataValidation sqref="C6" showDropDown="0" showInputMessage="0" showErrorMessage="1" allowBlank="1" errorTitle="Valeur" error="Choisir une valeur de la liste." type="list" errorStyle="stop">
      <formula1>=Listes!$G$2:$G$12</formula1>
    </dataValidation>
    <dataValidation sqref="G6" showDropDown="0" showInputMessage="0" showErrorMessage="1" allowBlank="1" errorTitle="Valeur" error="Choisir une valeur de la liste." type="list" errorStyle="warning">
      <formula1>=Listes!$L$2:$L$12</formula1>
    </dataValidation>
    <dataValidation sqref="C7" showDropDown="0" showInputMessage="0" showErrorMessage="1" allowBlank="1" errorTitle="Valeur" error="Choisir une valeur de la liste." type="list" errorStyle="stop">
      <formula1>=Listes!$G$2:$G$12</formula1>
    </dataValidation>
    <dataValidation sqref="G7" showDropDown="0" showInputMessage="0" showErrorMessage="1" allowBlank="1" errorTitle="Valeur" error="Choisir une valeur de la liste." type="list" errorStyle="warning">
      <formula1>=Listes!$L$2:$L$12</formula1>
    </dataValidation>
    <dataValidation sqref="C8" showDropDown="0" showInputMessage="0" showErrorMessage="1" allowBlank="1" errorTitle="Valeur" error="Choisir une valeur de la liste." type="list" errorStyle="stop">
      <formula1>=Listes!$G$2:$G$12</formula1>
    </dataValidation>
    <dataValidation sqref="G8" showDropDown="0" showInputMessage="0" showErrorMessage="1" allowBlank="1" errorTitle="Valeur" error="Choisir une valeur de la liste." type="list" errorStyle="warning">
      <formula1>=Listes!$L$2:$L$12</formula1>
    </dataValidation>
    <dataValidation sqref="C9" showDropDown="0" showInputMessage="0" showErrorMessage="1" allowBlank="1" errorTitle="Valeur" error="Choisir une valeur de la liste." type="list" errorStyle="stop">
      <formula1>=Listes!$G$2:$G$12</formula1>
    </dataValidation>
    <dataValidation sqref="G9" showDropDown="0" showInputMessage="0" showErrorMessage="1" allowBlank="1" errorTitle="Valeur" error="Choisir une valeur de la liste." type="list" errorStyle="stop">
      <formula1>=Listes!$M$2:$M$12</formula1>
    </dataValidation>
    <dataValidation sqref="C10" showDropDown="0" showInputMessage="0" showErrorMessage="1" allowBlank="1" errorTitle="Valeur" error="Choisir une valeur de la liste." type="list" errorStyle="stop">
      <formula1>=Listes!$G$2:$G$12</formula1>
    </dataValidation>
    <dataValidation sqref="G10" showDropDown="0" showInputMessage="0" showErrorMessage="1" allowBlank="1" errorTitle="Valeur" error="Choisir une valeur de la liste." type="list" errorStyle="stop">
      <formula1>=Listes!$M$2:$M$12</formula1>
    </dataValidation>
    <dataValidation sqref="C11" showDropDown="0" showInputMessage="0" showErrorMessage="1" allowBlank="1" errorTitle="Valeur" error="Choisir une valeur de la liste." type="list" errorStyle="stop">
      <formula1>=Listes!$G$2:$G$12</formula1>
    </dataValidation>
    <dataValidation sqref="G11" showDropDown="0" showInputMessage="0" showErrorMessage="1" allowBlank="1" errorTitle="Valeur" error="Choisir une valeur de la liste." type="list" errorStyle="warning">
      <formula1>=Listes!$L$2:$L$12</formula1>
    </dataValidation>
    <dataValidation sqref="C12" showDropDown="0" showInputMessage="0" showErrorMessage="1" allowBlank="1" errorTitle="Valeur" error="Choisir une valeur de la liste." type="list" errorStyle="stop">
      <formula1>=Listes!$G$2:$G$12</formula1>
    </dataValidation>
    <dataValidation sqref="G12" showDropDown="0" showInputMessage="0" showErrorMessage="1" allowBlank="1" errorTitle="Valeur" error="Choisir une valeur de la liste." type="list" errorStyle="warning">
      <formula1>=Listes!$L$2:$L$12</formula1>
    </dataValidation>
    <dataValidation sqref="C13" showDropDown="0" showInputMessage="0" showErrorMessage="1" allowBlank="1" errorTitle="Valeur" error="Choisir une valeur de la liste." type="list" errorStyle="stop">
      <formula1>=Listes!$G$2:$G$12</formula1>
    </dataValidation>
    <dataValidation sqref="G13" showDropDown="0" showInputMessage="0" showErrorMessage="1" allowBlank="1" errorTitle="Valeur" error="Choisir une valeur de la liste." type="list" errorStyle="warning">
      <formula1>=Listes!$L$2:$L$12</formula1>
    </dataValidation>
    <dataValidation sqref="C16" showDropDown="0" showInputMessage="0" showErrorMessage="1" allowBlank="1" errorTitle="Valeur" error="Choisir une valeur de la liste." type="list" errorStyle="stop">
      <formula1>=Listes!$G$2:$G$12</formula1>
    </dataValidation>
    <dataValidation sqref="G16" showDropDown="0" showInputMessage="0" showErrorMessage="1" allowBlank="1" errorTitle="Valeur" error="Choisir une valeur de la liste." type="list" errorStyle="stop">
      <formula1>=Listes!$N$2:$N$12</formula1>
    </dataValidation>
  </dataValidations>
  <pageMargins left="0.75" right="0.75" top="1" bottom="1" header="0.5" footer="0.5"/>
  <pageSetup orientation="landscape" paperSize="9" fitToHeight="0" fitToWidth="1"/>
</worksheet>
</file>

<file path=xl/worksheets/sheet4.xml><?xml version="1.0" encoding="utf-8"?>
<worksheet xmlns="http://schemas.openxmlformats.org/spreadsheetml/2006/main">
  <sheetPr>
    <tabColor rgb="000A4FA0"/>
    <outlinePr summaryBelow="1" summaryRight="1"/>
    <pageSetUpPr fitToPage="1"/>
  </sheetPr>
  <dimension ref="A1:M68"/>
  <sheetViews>
    <sheetView showGridLines="0" workbookViewId="0">
      <selection activeCell="A1" sqref="A1"/>
    </sheetView>
  </sheetViews>
  <sheetFormatPr baseColWidth="8" defaultRowHeight="15"/>
  <cols>
    <col width="1.5" customWidth="1" min="1" max="1"/>
    <col width="5" customWidth="1" min="2" max="2"/>
    <col width="50" customWidth="1" min="3" max="3"/>
    <col width="6" customWidth="1" min="4" max="4"/>
    <col width="13" customWidth="1" min="5" max="5"/>
    <col width="13" customWidth="1" min="6" max="6"/>
    <col width="12" customWidth="1" min="7" max="7"/>
    <col width="15" customWidth="1" min="8" max="8"/>
    <col width="11" customWidth="1" min="9" max="9"/>
    <col width="11" customWidth="1" min="10" max="10"/>
    <col width="22" customWidth="1" min="11" max="11"/>
    <col width="1.5" customWidth="1" min="12" max="12"/>
    <col hidden="1" width="13" customWidth="1" min="13" max="13"/>
  </cols>
  <sheetData>
    <row r="1" ht="34" customHeight="1">
      <c r="A1" s="1" t="n"/>
      <c r="B1" s="1" t="n"/>
      <c r="C1" s="1" t="n"/>
      <c r="D1" s="1" t="n"/>
      <c r="E1" s="28">
        <f>INDEX(Textes!$B$2:$C$52,MATCH("title",Textes!$A$2:$A$52,0),Listes!$H$1)</f>
        <v/>
      </c>
      <c r="L1" s="1" t="n"/>
    </row>
    <row r="2" ht="22" customHeight="1">
      <c r="A2" s="1" t="n"/>
      <c r="B2" s="1" t="n"/>
      <c r="C2" s="1" t="n"/>
      <c r="D2" s="1" t="n"/>
      <c r="E2" s="29">
        <f>"N° "&amp;'1 Affaire'!$C$6&amp;"   ·   "&amp;IF('1 Affaire'!$C$7="","",TEXT('1 Affaire'!$C$7,"dd/mm/yyyy"))</f>
        <v/>
      </c>
      <c r="L2" s="1" t="n"/>
    </row>
    <row r="3" ht="5" customHeight="1">
      <c r="A3" s="4" t="n"/>
      <c r="B3" s="4" t="n"/>
      <c r="C3" s="4" t="n"/>
      <c r="D3" s="4" t="n"/>
      <c r="E3" s="4" t="n"/>
      <c r="F3" s="4" t="n"/>
      <c r="G3" s="4" t="n"/>
      <c r="H3" s="4" t="n"/>
      <c r="I3" s="4" t="n"/>
      <c r="J3" s="4" t="n"/>
      <c r="K3" s="4" t="n"/>
      <c r="L3" s="4" t="n"/>
    </row>
    <row r="4" ht="8" customHeight="1"/>
    <row r="5" ht="15" customHeight="1">
      <c r="B5" s="30">
        <f>UPPER(INDEX(Textes!$B$2:$C$52,MATCH("client",Textes!$A$2:$A$52,0),Listes!$H$1))</f>
        <v/>
      </c>
      <c r="D5" s="30">
        <f>UPPER(INDEX(Textes!$B$2:$C$52,MATCH("offer",Textes!$A$2:$A$52,0),Listes!$H$1))</f>
        <v/>
      </c>
      <c r="G5" s="30">
        <f>UPPER(INDEX(Textes!$B$2:$C$52,MATCH("date",Textes!$A$2:$A$52,0),Listes!$H$1))</f>
        <v/>
      </c>
      <c r="I5" s="30">
        <f>UPPER(INDEX(Textes!$B$2:$C$52,MATCH("by",Textes!$A$2:$A$52,0),Listes!$H$1))</f>
        <v/>
      </c>
    </row>
    <row r="6" ht="19" customHeight="1">
      <c r="B6" s="31">
        <f>""&amp;'1 Affaire'!$C$8</f>
        <v/>
      </c>
      <c r="C6" s="32" t="n"/>
      <c r="D6" s="31">
        <f>""&amp;'1 Affaire'!$C$6</f>
        <v/>
      </c>
      <c r="E6" s="32" t="n"/>
      <c r="F6" s="32" t="n"/>
      <c r="G6" s="31">
        <f>IF('1 Affaire'!$C$7="","",TEXT('1 Affaire'!$C$7,"dd/mm/yyyy"))</f>
        <v/>
      </c>
      <c r="H6" s="32" t="n"/>
      <c r="I6" s="31">
        <f>""&amp;'1 Affaire'!$F$6</f>
        <v/>
      </c>
      <c r="J6" s="32" t="n"/>
      <c r="K6" s="32" t="n"/>
    </row>
    <row r="7" ht="15" customHeight="1">
      <c r="B7" s="30">
        <f>UPPER(INDEX(Textes!$B$2:$C$52,MATCH("attn",Textes!$A$2:$A$52,0),Listes!$H$1))</f>
        <v/>
      </c>
      <c r="D7" s="30">
        <f>UPPER(INDEX(Textes!$B$2:$C$52,MATCH("well",Textes!$A$2:$A$52,0),Listes!$H$1))</f>
        <v/>
      </c>
      <c r="G7" s="30">
        <f>UPPER(INDEX(Textes!$B$2:$C$52,MATCH("rig",Textes!$A$2:$A$52,0),Listes!$H$1))</f>
        <v/>
      </c>
      <c r="I7" s="30">
        <f>UPPER(INDEX(Textes!$B$2:$C$52,MATCH("mail",Textes!$A$2:$A$52,0),Listes!$H$1))</f>
        <v/>
      </c>
    </row>
    <row r="8" ht="19" customHeight="1">
      <c r="B8" s="31">
        <f>""&amp;'1 Affaire'!$C$9</f>
        <v/>
      </c>
      <c r="C8" s="32" t="n"/>
      <c r="D8" s="31">
        <f>""&amp;'1 Affaire'!$C$10</f>
        <v/>
      </c>
      <c r="E8" s="32" t="n"/>
      <c r="F8" s="32" t="n"/>
      <c r="G8" s="31">
        <f>""&amp;'1 Affaire'!$C$11</f>
        <v/>
      </c>
      <c r="H8" s="32" t="n"/>
      <c r="I8" s="31">
        <f>""&amp;'1 Affaire'!$F$7</f>
        <v/>
      </c>
      <c r="J8" s="32" t="n"/>
      <c r="K8" s="32" t="n"/>
    </row>
    <row r="9" ht="15" customHeight="1">
      <c r="B9" s="30">
        <f>UPPER(INDEX(Textes!$B$2:$C$52,MATCH("inco",Textes!$A$2:$A$52,0),Listes!$H$1))</f>
        <v/>
      </c>
      <c r="D9" s="30">
        <f>UPPER(INDEX(Textes!$B$2:$C$52,MATCH("valid",Textes!$A$2:$A$52,0),Listes!$H$1))</f>
        <v/>
      </c>
      <c r="G9" s="30">
        <f>UPPER(INDEX(Textes!$B$2:$C$52,MATCH("lead",Textes!$A$2:$A$52,0),Listes!$H$1))</f>
        <v/>
      </c>
      <c r="I9" s="30">
        <f>UPPER(INDEX(Textes!$B$2:$C$52,MATCH("tel",Textes!$A$2:$A$52,0),Listes!$H$1))</f>
        <v/>
      </c>
    </row>
    <row r="10" ht="19" customHeight="1">
      <c r="B10" s="31">
        <f>""&amp;'1 Affaire'!$F$10</f>
        <v/>
      </c>
      <c r="C10" s="32" t="n"/>
      <c r="D10" s="31">
        <f>""&amp;'1 Affaire'!$F$9</f>
        <v/>
      </c>
      <c r="E10" s="32" t="n"/>
      <c r="F10" s="32" t="n"/>
      <c r="G10" s="31">
        <f>""&amp;'1 Affaire'!$F$11</f>
        <v/>
      </c>
      <c r="H10" s="32" t="n"/>
      <c r="I10" s="31">
        <f>""&amp;'1 Affaire'!$F$8</f>
        <v/>
      </c>
      <c r="J10" s="32" t="n"/>
      <c r="K10" s="32" t="n"/>
    </row>
    <row r="11" ht="15" customHeight="1">
      <c r="B11" s="30">
        <f>UPPER(INDEX(Textes!$B$2:$C$52,MATCH("pay",Textes!$A$2:$A$52,0),Listes!$H$1))</f>
        <v/>
      </c>
      <c r="D11" s="30">
        <f>UPPER(INDEX(Textes!$B$2:$C$52,MATCH("we",Textes!$A$2:$A$52,0),Listes!$H$1))</f>
        <v/>
      </c>
    </row>
    <row r="12" ht="19" customHeight="1">
      <c r="B12" s="31">
        <f>""&amp;'1 Affaire'!$F$12</f>
        <v/>
      </c>
      <c r="C12" s="32" t="n"/>
      <c r="D12" s="31">
        <f>""&amp;'1 Affaire'!$F$13</f>
        <v/>
      </c>
      <c r="E12" s="32" t="n"/>
      <c r="F12" s="32" t="n"/>
    </row>
    <row r="13" ht="8" customHeight="1"/>
    <row r="14" ht="20" customHeight="1">
      <c r="B14" s="33">
        <f>INDEX(Textes!$B$2:$C$52,MATCH("sec_eq",Textes!$A$2:$A$52,0),Listes!$H$1)</f>
        <v/>
      </c>
      <c r="C14" s="34" t="n"/>
      <c r="D14" s="34" t="n"/>
      <c r="E14" s="34" t="n"/>
      <c r="F14" s="34" t="n"/>
      <c r="G14" s="34" t="n"/>
      <c r="H14" s="34" t="n"/>
      <c r="I14" s="34" t="n"/>
      <c r="J14" s="34" t="n"/>
      <c r="K14" s="34" t="n"/>
    </row>
    <row r="15" ht="44" customHeight="1">
      <c r="B15" s="35">
        <f>INDEX(Textes!$B$2:$C$52,MATCH("h_n",Textes!$A$2:$A$52,0),Listes!$H$1)</f>
        <v/>
      </c>
      <c r="C15" s="36">
        <f>INDEX(Textes!$B$2:$C$52,MATCH("h_desc",Textes!$A$2:$A$52,0),Listes!$H$1)</f>
        <v/>
      </c>
      <c r="D15" s="35">
        <f>INDEX(Textes!$B$2:$C$52,MATCH("h_qty",Textes!$A$2:$A$52,0),Listes!$H$1)</f>
        <v/>
      </c>
      <c r="E15" s="35">
        <f>INDEX(Textes!$B$2:$C$52,MATCH("h_s",Textes!$A$2:$A$52,0),Listes!$H$1)</f>
        <v/>
      </c>
      <c r="F15" s="35">
        <f>INDEX(Textes!$B$2:$C$52,MATCH("h_o",Textes!$A$2:$A$52,0),Listes!$H$1)</f>
        <v/>
      </c>
      <c r="G15" s="35">
        <f>INDEX(Textes!$B$2:$C$52,MATCH("h_uc",Textes!$A$2:$A$52,0),Listes!$H$1)</f>
        <v/>
      </c>
      <c r="H15" s="35">
        <f>INDEX(Textes!$B$2:$C$52,MATCH("h_lih",Textes!$A$2:$A$52,0),Listes!$H$1)</f>
        <v/>
      </c>
      <c r="I15" s="35">
        <f>INDEX(Textes!$B$2:$C$52,MATCH("h_insp",Textes!$A$2:$A$52,0),Listes!$H$1)</f>
        <v/>
      </c>
      <c r="J15" s="35">
        <f>INDEX(Textes!$B$2:$C$52,MATCH("h_rest",Textes!$A$2:$A$52,0),Listes!$H$1)</f>
        <v/>
      </c>
      <c r="K15" s="35">
        <f>INDEX(Textes!$B$2:$C$52,MATCH("h_ref",Textes!$A$2:$A$52,0),Listes!$H$1)</f>
        <v/>
      </c>
    </row>
    <row r="16" ht="21" customHeight="1">
      <c r="B16" s="13">
        <f>IF(AND('2 Matériel'!$M6&gt;0,NOT('2 Matériel'!$B6="Oui")),'2 Matériel'!$A6,"")</f>
        <v/>
      </c>
      <c r="C16" s="37">
        <f>IF('2 Matériel'!$M6&gt;0,IF('2 Matériel'!$B6="Oui",UPPER('2 Matériel'!$C6),'2 Matériel'!$C6),"")</f>
        <v/>
      </c>
      <c r="D16" s="38">
        <f>IF(AND('2 Matériel'!$M6&gt;0,NOT('2 Matériel'!$B6="Oui")),'2 Matériel'!$M6,"")</f>
        <v/>
      </c>
      <c r="E16" s="39">
        <f>IF(AND('2 Matériel'!$M6&gt;0,NOT('2 Matériel'!$B6="Oui")),IF(AND('2 Matériel'!$L6="Oui",'3 Options'!$C$16="Oui"),INDEX(Textes!$B$2:$C$52,MATCH("incl",Textes!$A$2:$A$52,0),Listes!$H$1),IF('2 Matériel'!$F6="","",'2 Matériel'!$F6)),"")</f>
        <v/>
      </c>
      <c r="F16" s="39">
        <f>IF(AND('2 Matériel'!$M6&gt;0,NOT('2 Matériel'!$B6="Oui")),IF(AND('2 Matériel'!$L6="Oui",'3 Options'!$C$16="Oui"),INDEX(Textes!$B$2:$C$52,MATCH("incl",Textes!$A$2:$A$52,0),Listes!$H$1),IF('2 Matériel'!$G6="","",'2 Matériel'!$G6)),"")</f>
        <v/>
      </c>
      <c r="G16" s="39">
        <f>IF(AND('2 Matériel'!$M6&gt;0,NOT('2 Matériel'!$B6="Oui")),IF(AND('2 Matériel'!$L6="Oui",'3 Options'!$C$16="Oui"),INDEX(Textes!$B$2:$C$52,MATCH("incl",Textes!$A$2:$A$52,0),Listes!$H$1),IF('2 Matériel'!$H6="","",'2 Matériel'!$H6)),"")</f>
        <v/>
      </c>
      <c r="H16" s="39">
        <f>IF(AND('2 Matériel'!$M6&gt;0,NOT('2 Matériel'!$B6="Oui")),IF(AND('2 Matériel'!$L6="Oui",'3 Options'!$C$16="Oui"),INDEX(Textes!$B$2:$C$52,MATCH("incl",Textes!$A$2:$A$52,0),Listes!$H$1),IF('2 Matériel'!$I6="","",'2 Matériel'!$I6)),"")</f>
        <v/>
      </c>
      <c r="I16" s="39">
        <f>IF(AND('2 Matériel'!$M6&gt;0,NOT('2 Matériel'!$B6="Oui")),IF(AND('2 Matériel'!$L6="Oui",'3 Options'!$C$16="Oui"),INDEX(Textes!$B$2:$C$52,MATCH("incl",Textes!$A$2:$A$52,0),Listes!$H$1),IF('2 Matériel'!$J6="","",'2 Matériel'!$J6)),"")</f>
        <v/>
      </c>
      <c r="J16" s="39">
        <f>IF(AND('2 Matériel'!$M6&gt;0,NOT('2 Matériel'!$B6="Oui")),IF(AND('2 Matériel'!$L6="Oui",'3 Options'!$C$16="Oui"),INDEX(Textes!$B$2:$C$52,MATCH("incl",Textes!$A$2:$A$52,0),Listes!$H$1),IF('2 Matériel'!$K6="","",'2 Matériel'!$K6)),"")</f>
        <v/>
      </c>
      <c r="K16" s="40">
        <f>IF(AND('2 Matériel'!$M6&gt;0,NOT('2 Matériel'!$B6="Oui")),IF(AND('2 Matériel'!$L6="Oui",'3 Options'!$C$16="Oui"),INDEX(Textes!$B$2:$C$52,MATCH("incl_long",Textes!$A$2:$A$52,0),Listes!$H$1),""),"")</f>
        <v/>
      </c>
      <c r="M16" s="41">
        <f>IF(AND('2 Matériel'!$M6&gt;0,'2 Matériel'!$B6="Oui"),1,0)</f>
        <v/>
      </c>
    </row>
    <row r="17" ht="21" customHeight="1">
      <c r="B17" s="13">
        <f>IF(AND('2 Matériel'!$M7&gt;0,NOT('2 Matériel'!$B7="Oui")),'2 Matériel'!$A7,"")</f>
        <v/>
      </c>
      <c r="C17" s="37">
        <f>IF('2 Matériel'!$M7&gt;0,IF('2 Matériel'!$B7="Oui",UPPER('2 Matériel'!$C7),'2 Matériel'!$C7),"")</f>
        <v/>
      </c>
      <c r="D17" s="38">
        <f>IF(AND('2 Matériel'!$M7&gt;0,NOT('2 Matériel'!$B7="Oui")),'2 Matériel'!$M7,"")</f>
        <v/>
      </c>
      <c r="E17" s="39">
        <f>IF(AND('2 Matériel'!$M7&gt;0,NOT('2 Matériel'!$B7="Oui")),IF(AND('2 Matériel'!$L7="Oui",'3 Options'!$C$16="Oui"),INDEX(Textes!$B$2:$C$52,MATCH("incl",Textes!$A$2:$A$52,0),Listes!$H$1),IF('2 Matériel'!$F7="","",'2 Matériel'!$F7)),"")</f>
        <v/>
      </c>
      <c r="F17" s="39">
        <f>IF(AND('2 Matériel'!$M7&gt;0,NOT('2 Matériel'!$B7="Oui")),IF(AND('2 Matériel'!$L7="Oui",'3 Options'!$C$16="Oui"),INDEX(Textes!$B$2:$C$52,MATCH("incl",Textes!$A$2:$A$52,0),Listes!$H$1),IF('2 Matériel'!$G7="","",'2 Matériel'!$G7)),"")</f>
        <v/>
      </c>
      <c r="G17" s="39">
        <f>IF(AND('2 Matériel'!$M7&gt;0,NOT('2 Matériel'!$B7="Oui")),IF(AND('2 Matériel'!$L7="Oui",'3 Options'!$C$16="Oui"),INDEX(Textes!$B$2:$C$52,MATCH("incl",Textes!$A$2:$A$52,0),Listes!$H$1),IF('2 Matériel'!$H7="","",'2 Matériel'!$H7)),"")</f>
        <v/>
      </c>
      <c r="H17" s="39">
        <f>IF(AND('2 Matériel'!$M7&gt;0,NOT('2 Matériel'!$B7="Oui")),IF(AND('2 Matériel'!$L7="Oui",'3 Options'!$C$16="Oui"),INDEX(Textes!$B$2:$C$52,MATCH("incl",Textes!$A$2:$A$52,0),Listes!$H$1),IF('2 Matériel'!$I7="","",'2 Matériel'!$I7)),"")</f>
        <v/>
      </c>
      <c r="I17" s="39">
        <f>IF(AND('2 Matériel'!$M7&gt;0,NOT('2 Matériel'!$B7="Oui")),IF(AND('2 Matériel'!$L7="Oui",'3 Options'!$C$16="Oui"),INDEX(Textes!$B$2:$C$52,MATCH("incl",Textes!$A$2:$A$52,0),Listes!$H$1),IF('2 Matériel'!$J7="","",'2 Matériel'!$J7)),"")</f>
        <v/>
      </c>
      <c r="J17" s="39">
        <f>IF(AND('2 Matériel'!$M7&gt;0,NOT('2 Matériel'!$B7="Oui")),IF(AND('2 Matériel'!$L7="Oui",'3 Options'!$C$16="Oui"),INDEX(Textes!$B$2:$C$52,MATCH("incl",Textes!$A$2:$A$52,0),Listes!$H$1),IF('2 Matériel'!$K7="","",'2 Matériel'!$K7)),"")</f>
        <v/>
      </c>
      <c r="K17" s="40">
        <f>IF(AND('2 Matériel'!$M7&gt;0,NOT('2 Matériel'!$B7="Oui")),IF(AND('2 Matériel'!$L7="Oui",'3 Options'!$C$16="Oui"),INDEX(Textes!$B$2:$C$52,MATCH("incl_long",Textes!$A$2:$A$52,0),Listes!$H$1),""),"")</f>
        <v/>
      </c>
      <c r="M17" s="41">
        <f>IF(AND('2 Matériel'!$M7&gt;0,'2 Matériel'!$B7="Oui"),1,0)</f>
        <v/>
      </c>
    </row>
    <row r="18" ht="21" customHeight="1">
      <c r="B18" s="13">
        <f>IF(AND('2 Matériel'!$M8&gt;0,NOT('2 Matériel'!$B8="Oui")),'2 Matériel'!$A8,"")</f>
        <v/>
      </c>
      <c r="C18" s="37">
        <f>IF('2 Matériel'!$M8&gt;0,IF('2 Matériel'!$B8="Oui",UPPER('2 Matériel'!$C8),'2 Matériel'!$C8),"")</f>
        <v/>
      </c>
      <c r="D18" s="38">
        <f>IF(AND('2 Matériel'!$M8&gt;0,NOT('2 Matériel'!$B8="Oui")),'2 Matériel'!$M8,"")</f>
        <v/>
      </c>
      <c r="E18" s="39">
        <f>IF(AND('2 Matériel'!$M8&gt;0,NOT('2 Matériel'!$B8="Oui")),IF(AND('2 Matériel'!$L8="Oui",'3 Options'!$C$16="Oui"),INDEX(Textes!$B$2:$C$52,MATCH("incl",Textes!$A$2:$A$52,0),Listes!$H$1),IF('2 Matériel'!$F8="","",'2 Matériel'!$F8)),"")</f>
        <v/>
      </c>
      <c r="F18" s="39">
        <f>IF(AND('2 Matériel'!$M8&gt;0,NOT('2 Matériel'!$B8="Oui")),IF(AND('2 Matériel'!$L8="Oui",'3 Options'!$C$16="Oui"),INDEX(Textes!$B$2:$C$52,MATCH("incl",Textes!$A$2:$A$52,0),Listes!$H$1),IF('2 Matériel'!$G8="","",'2 Matériel'!$G8)),"")</f>
        <v/>
      </c>
      <c r="G18" s="39">
        <f>IF(AND('2 Matériel'!$M8&gt;0,NOT('2 Matériel'!$B8="Oui")),IF(AND('2 Matériel'!$L8="Oui",'3 Options'!$C$16="Oui"),INDEX(Textes!$B$2:$C$52,MATCH("incl",Textes!$A$2:$A$52,0),Listes!$H$1),IF('2 Matériel'!$H8="","",'2 Matériel'!$H8)),"")</f>
        <v/>
      </c>
      <c r="H18" s="39">
        <f>IF(AND('2 Matériel'!$M8&gt;0,NOT('2 Matériel'!$B8="Oui")),IF(AND('2 Matériel'!$L8="Oui",'3 Options'!$C$16="Oui"),INDEX(Textes!$B$2:$C$52,MATCH("incl",Textes!$A$2:$A$52,0),Listes!$H$1),IF('2 Matériel'!$I8="","",'2 Matériel'!$I8)),"")</f>
        <v/>
      </c>
      <c r="I18" s="39">
        <f>IF(AND('2 Matériel'!$M8&gt;0,NOT('2 Matériel'!$B8="Oui")),IF(AND('2 Matériel'!$L8="Oui",'3 Options'!$C$16="Oui"),INDEX(Textes!$B$2:$C$52,MATCH("incl",Textes!$A$2:$A$52,0),Listes!$H$1),IF('2 Matériel'!$J8="","",'2 Matériel'!$J8)),"")</f>
        <v/>
      </c>
      <c r="J18" s="39">
        <f>IF(AND('2 Matériel'!$M8&gt;0,NOT('2 Matériel'!$B8="Oui")),IF(AND('2 Matériel'!$L8="Oui",'3 Options'!$C$16="Oui"),INDEX(Textes!$B$2:$C$52,MATCH("incl",Textes!$A$2:$A$52,0),Listes!$H$1),IF('2 Matériel'!$K8="","",'2 Matériel'!$K8)),"")</f>
        <v/>
      </c>
      <c r="K18" s="40">
        <f>IF(AND('2 Matériel'!$M8&gt;0,NOT('2 Matériel'!$B8="Oui")),IF(AND('2 Matériel'!$L8="Oui",'3 Options'!$C$16="Oui"),INDEX(Textes!$B$2:$C$52,MATCH("incl_long",Textes!$A$2:$A$52,0),Listes!$H$1),""),"")</f>
        <v/>
      </c>
      <c r="M18" s="41">
        <f>IF(AND('2 Matériel'!$M8&gt;0,'2 Matériel'!$B8="Oui"),1,0)</f>
        <v/>
      </c>
    </row>
    <row r="19" ht="21" customHeight="1">
      <c r="B19" s="13">
        <f>IF(AND('2 Matériel'!$M9&gt;0,NOT('2 Matériel'!$B9="Oui")),'2 Matériel'!$A9,"")</f>
        <v/>
      </c>
      <c r="C19" s="37">
        <f>IF('2 Matériel'!$M9&gt;0,IF('2 Matériel'!$B9="Oui",UPPER('2 Matériel'!$C9),'2 Matériel'!$C9),"")</f>
        <v/>
      </c>
      <c r="D19" s="38">
        <f>IF(AND('2 Matériel'!$M9&gt;0,NOT('2 Matériel'!$B9="Oui")),'2 Matériel'!$M9,"")</f>
        <v/>
      </c>
      <c r="E19" s="39">
        <f>IF(AND('2 Matériel'!$M9&gt;0,NOT('2 Matériel'!$B9="Oui")),IF(AND('2 Matériel'!$L9="Oui",'3 Options'!$C$16="Oui"),INDEX(Textes!$B$2:$C$52,MATCH("incl",Textes!$A$2:$A$52,0),Listes!$H$1),IF('2 Matériel'!$F9="","",'2 Matériel'!$F9)),"")</f>
        <v/>
      </c>
      <c r="F19" s="39">
        <f>IF(AND('2 Matériel'!$M9&gt;0,NOT('2 Matériel'!$B9="Oui")),IF(AND('2 Matériel'!$L9="Oui",'3 Options'!$C$16="Oui"),INDEX(Textes!$B$2:$C$52,MATCH("incl",Textes!$A$2:$A$52,0),Listes!$H$1),IF('2 Matériel'!$G9="","",'2 Matériel'!$G9)),"")</f>
        <v/>
      </c>
      <c r="G19" s="39">
        <f>IF(AND('2 Matériel'!$M9&gt;0,NOT('2 Matériel'!$B9="Oui")),IF(AND('2 Matériel'!$L9="Oui",'3 Options'!$C$16="Oui"),INDEX(Textes!$B$2:$C$52,MATCH("incl",Textes!$A$2:$A$52,0),Listes!$H$1),IF('2 Matériel'!$H9="","",'2 Matériel'!$H9)),"")</f>
        <v/>
      </c>
      <c r="H19" s="39">
        <f>IF(AND('2 Matériel'!$M9&gt;0,NOT('2 Matériel'!$B9="Oui")),IF(AND('2 Matériel'!$L9="Oui",'3 Options'!$C$16="Oui"),INDEX(Textes!$B$2:$C$52,MATCH("incl",Textes!$A$2:$A$52,0),Listes!$H$1),IF('2 Matériel'!$I9="","",'2 Matériel'!$I9)),"")</f>
        <v/>
      </c>
      <c r="I19" s="39">
        <f>IF(AND('2 Matériel'!$M9&gt;0,NOT('2 Matériel'!$B9="Oui")),IF(AND('2 Matériel'!$L9="Oui",'3 Options'!$C$16="Oui"),INDEX(Textes!$B$2:$C$52,MATCH("incl",Textes!$A$2:$A$52,0),Listes!$H$1),IF('2 Matériel'!$J9="","",'2 Matériel'!$J9)),"")</f>
        <v/>
      </c>
      <c r="J19" s="39">
        <f>IF(AND('2 Matériel'!$M9&gt;0,NOT('2 Matériel'!$B9="Oui")),IF(AND('2 Matériel'!$L9="Oui",'3 Options'!$C$16="Oui"),INDEX(Textes!$B$2:$C$52,MATCH("incl",Textes!$A$2:$A$52,0),Listes!$H$1),IF('2 Matériel'!$K9="","",'2 Matériel'!$K9)),"")</f>
        <v/>
      </c>
      <c r="K19" s="40">
        <f>IF(AND('2 Matériel'!$M9&gt;0,NOT('2 Matériel'!$B9="Oui")),IF(AND('2 Matériel'!$L9="Oui",'3 Options'!$C$16="Oui"),INDEX(Textes!$B$2:$C$52,MATCH("incl_long",Textes!$A$2:$A$52,0),Listes!$H$1),""),"")</f>
        <v/>
      </c>
      <c r="M19" s="41">
        <f>IF(AND('2 Matériel'!$M9&gt;0,'2 Matériel'!$B9="Oui"),1,0)</f>
        <v/>
      </c>
    </row>
    <row r="20" ht="21" customHeight="1">
      <c r="B20" s="13">
        <f>IF(AND('2 Matériel'!$M10&gt;0,NOT('2 Matériel'!$B10="Oui")),'2 Matériel'!$A10,"")</f>
        <v/>
      </c>
      <c r="C20" s="37">
        <f>IF('2 Matériel'!$M10&gt;0,IF('2 Matériel'!$B10="Oui",UPPER('2 Matériel'!$C10),'2 Matériel'!$C10),"")</f>
        <v/>
      </c>
      <c r="D20" s="38">
        <f>IF(AND('2 Matériel'!$M10&gt;0,NOT('2 Matériel'!$B10="Oui")),'2 Matériel'!$M10,"")</f>
        <v/>
      </c>
      <c r="E20" s="39">
        <f>IF(AND('2 Matériel'!$M10&gt;0,NOT('2 Matériel'!$B10="Oui")),IF(AND('2 Matériel'!$L10="Oui",'3 Options'!$C$16="Oui"),INDEX(Textes!$B$2:$C$52,MATCH("incl",Textes!$A$2:$A$52,0),Listes!$H$1),IF('2 Matériel'!$F10="","",'2 Matériel'!$F10)),"")</f>
        <v/>
      </c>
      <c r="F20" s="39">
        <f>IF(AND('2 Matériel'!$M10&gt;0,NOT('2 Matériel'!$B10="Oui")),IF(AND('2 Matériel'!$L10="Oui",'3 Options'!$C$16="Oui"),INDEX(Textes!$B$2:$C$52,MATCH("incl",Textes!$A$2:$A$52,0),Listes!$H$1),IF('2 Matériel'!$G10="","",'2 Matériel'!$G10)),"")</f>
        <v/>
      </c>
      <c r="G20" s="39">
        <f>IF(AND('2 Matériel'!$M10&gt;0,NOT('2 Matériel'!$B10="Oui")),IF(AND('2 Matériel'!$L10="Oui",'3 Options'!$C$16="Oui"),INDEX(Textes!$B$2:$C$52,MATCH("incl",Textes!$A$2:$A$52,0),Listes!$H$1),IF('2 Matériel'!$H10="","",'2 Matériel'!$H10)),"")</f>
        <v/>
      </c>
      <c r="H20" s="39">
        <f>IF(AND('2 Matériel'!$M10&gt;0,NOT('2 Matériel'!$B10="Oui")),IF(AND('2 Matériel'!$L10="Oui",'3 Options'!$C$16="Oui"),INDEX(Textes!$B$2:$C$52,MATCH("incl",Textes!$A$2:$A$52,0),Listes!$H$1),IF('2 Matériel'!$I10="","",'2 Matériel'!$I10)),"")</f>
        <v/>
      </c>
      <c r="I20" s="39">
        <f>IF(AND('2 Matériel'!$M10&gt;0,NOT('2 Matériel'!$B10="Oui")),IF(AND('2 Matériel'!$L10="Oui",'3 Options'!$C$16="Oui"),INDEX(Textes!$B$2:$C$52,MATCH("incl",Textes!$A$2:$A$52,0),Listes!$H$1),IF('2 Matériel'!$J10="","",'2 Matériel'!$J10)),"")</f>
        <v/>
      </c>
      <c r="J20" s="39">
        <f>IF(AND('2 Matériel'!$M10&gt;0,NOT('2 Matériel'!$B10="Oui")),IF(AND('2 Matériel'!$L10="Oui",'3 Options'!$C$16="Oui"),INDEX(Textes!$B$2:$C$52,MATCH("incl",Textes!$A$2:$A$52,0),Listes!$H$1),IF('2 Matériel'!$K10="","",'2 Matériel'!$K10)),"")</f>
        <v/>
      </c>
      <c r="K20" s="40">
        <f>IF(AND('2 Matériel'!$M10&gt;0,NOT('2 Matériel'!$B10="Oui")),IF(AND('2 Matériel'!$L10="Oui",'3 Options'!$C$16="Oui"),INDEX(Textes!$B$2:$C$52,MATCH("incl_long",Textes!$A$2:$A$52,0),Listes!$H$1),""),"")</f>
        <v/>
      </c>
      <c r="M20" s="41">
        <f>IF(AND('2 Matériel'!$M10&gt;0,'2 Matériel'!$B10="Oui"),1,0)</f>
        <v/>
      </c>
    </row>
    <row r="21" ht="21" customHeight="1">
      <c r="B21" s="13">
        <f>IF(AND('2 Matériel'!$M11&gt;0,NOT('2 Matériel'!$B11="Oui")),'2 Matériel'!$A11,"")</f>
        <v/>
      </c>
      <c r="C21" s="37">
        <f>IF('2 Matériel'!$M11&gt;0,IF('2 Matériel'!$B11="Oui",UPPER('2 Matériel'!$C11),'2 Matériel'!$C11),"")</f>
        <v/>
      </c>
      <c r="D21" s="38">
        <f>IF(AND('2 Matériel'!$M11&gt;0,NOT('2 Matériel'!$B11="Oui")),'2 Matériel'!$M11,"")</f>
        <v/>
      </c>
      <c r="E21" s="39">
        <f>IF(AND('2 Matériel'!$M11&gt;0,NOT('2 Matériel'!$B11="Oui")),IF(AND('2 Matériel'!$L11="Oui",'3 Options'!$C$16="Oui"),INDEX(Textes!$B$2:$C$52,MATCH("incl",Textes!$A$2:$A$52,0),Listes!$H$1),IF('2 Matériel'!$F11="","",'2 Matériel'!$F11)),"")</f>
        <v/>
      </c>
      <c r="F21" s="39">
        <f>IF(AND('2 Matériel'!$M11&gt;0,NOT('2 Matériel'!$B11="Oui")),IF(AND('2 Matériel'!$L11="Oui",'3 Options'!$C$16="Oui"),INDEX(Textes!$B$2:$C$52,MATCH("incl",Textes!$A$2:$A$52,0),Listes!$H$1),IF('2 Matériel'!$G11="","",'2 Matériel'!$G11)),"")</f>
        <v/>
      </c>
      <c r="G21" s="39">
        <f>IF(AND('2 Matériel'!$M11&gt;0,NOT('2 Matériel'!$B11="Oui")),IF(AND('2 Matériel'!$L11="Oui",'3 Options'!$C$16="Oui"),INDEX(Textes!$B$2:$C$52,MATCH("incl",Textes!$A$2:$A$52,0),Listes!$H$1),IF('2 Matériel'!$H11="","",'2 Matériel'!$H11)),"")</f>
        <v/>
      </c>
      <c r="H21" s="39">
        <f>IF(AND('2 Matériel'!$M11&gt;0,NOT('2 Matériel'!$B11="Oui")),IF(AND('2 Matériel'!$L11="Oui",'3 Options'!$C$16="Oui"),INDEX(Textes!$B$2:$C$52,MATCH("incl",Textes!$A$2:$A$52,0),Listes!$H$1),IF('2 Matériel'!$I11="","",'2 Matériel'!$I11)),"")</f>
        <v/>
      </c>
      <c r="I21" s="39">
        <f>IF(AND('2 Matériel'!$M11&gt;0,NOT('2 Matériel'!$B11="Oui")),IF(AND('2 Matériel'!$L11="Oui",'3 Options'!$C$16="Oui"),INDEX(Textes!$B$2:$C$52,MATCH("incl",Textes!$A$2:$A$52,0),Listes!$H$1),IF('2 Matériel'!$J11="","",'2 Matériel'!$J11)),"")</f>
        <v/>
      </c>
      <c r="J21" s="39">
        <f>IF(AND('2 Matériel'!$M11&gt;0,NOT('2 Matériel'!$B11="Oui")),IF(AND('2 Matériel'!$L11="Oui",'3 Options'!$C$16="Oui"),INDEX(Textes!$B$2:$C$52,MATCH("incl",Textes!$A$2:$A$52,0),Listes!$H$1),IF('2 Matériel'!$K11="","",'2 Matériel'!$K11)),"")</f>
        <v/>
      </c>
      <c r="K21" s="40">
        <f>IF(AND('2 Matériel'!$M11&gt;0,NOT('2 Matériel'!$B11="Oui")),IF(AND('2 Matériel'!$L11="Oui",'3 Options'!$C$16="Oui"),INDEX(Textes!$B$2:$C$52,MATCH("incl_long",Textes!$A$2:$A$52,0),Listes!$H$1),""),"")</f>
        <v/>
      </c>
      <c r="M21" s="41">
        <f>IF(AND('2 Matériel'!$M11&gt;0,'2 Matériel'!$B11="Oui"),1,0)</f>
        <v/>
      </c>
    </row>
    <row r="22" ht="21" customHeight="1">
      <c r="B22" s="13">
        <f>IF(AND('2 Matériel'!$M12&gt;0,NOT('2 Matériel'!$B12="Oui")),'2 Matériel'!$A12,"")</f>
        <v/>
      </c>
      <c r="C22" s="37">
        <f>IF('2 Matériel'!$M12&gt;0,IF('2 Matériel'!$B12="Oui",UPPER('2 Matériel'!$C12),'2 Matériel'!$C12),"")</f>
        <v/>
      </c>
      <c r="D22" s="38">
        <f>IF(AND('2 Matériel'!$M12&gt;0,NOT('2 Matériel'!$B12="Oui")),'2 Matériel'!$M12,"")</f>
        <v/>
      </c>
      <c r="E22" s="39">
        <f>IF(AND('2 Matériel'!$M12&gt;0,NOT('2 Matériel'!$B12="Oui")),IF(AND('2 Matériel'!$L12="Oui",'3 Options'!$C$16="Oui"),INDEX(Textes!$B$2:$C$52,MATCH("incl",Textes!$A$2:$A$52,0),Listes!$H$1),IF('2 Matériel'!$F12="","",'2 Matériel'!$F12)),"")</f>
        <v/>
      </c>
      <c r="F22" s="39">
        <f>IF(AND('2 Matériel'!$M12&gt;0,NOT('2 Matériel'!$B12="Oui")),IF(AND('2 Matériel'!$L12="Oui",'3 Options'!$C$16="Oui"),INDEX(Textes!$B$2:$C$52,MATCH("incl",Textes!$A$2:$A$52,0),Listes!$H$1),IF('2 Matériel'!$G12="","",'2 Matériel'!$G12)),"")</f>
        <v/>
      </c>
      <c r="G22" s="39">
        <f>IF(AND('2 Matériel'!$M12&gt;0,NOT('2 Matériel'!$B12="Oui")),IF(AND('2 Matériel'!$L12="Oui",'3 Options'!$C$16="Oui"),INDEX(Textes!$B$2:$C$52,MATCH("incl",Textes!$A$2:$A$52,0),Listes!$H$1),IF('2 Matériel'!$H12="","",'2 Matériel'!$H12)),"")</f>
        <v/>
      </c>
      <c r="H22" s="39">
        <f>IF(AND('2 Matériel'!$M12&gt;0,NOT('2 Matériel'!$B12="Oui")),IF(AND('2 Matériel'!$L12="Oui",'3 Options'!$C$16="Oui"),INDEX(Textes!$B$2:$C$52,MATCH("incl",Textes!$A$2:$A$52,0),Listes!$H$1),IF('2 Matériel'!$I12="","",'2 Matériel'!$I12)),"")</f>
        <v/>
      </c>
      <c r="I22" s="39">
        <f>IF(AND('2 Matériel'!$M12&gt;0,NOT('2 Matériel'!$B12="Oui")),IF(AND('2 Matériel'!$L12="Oui",'3 Options'!$C$16="Oui"),INDEX(Textes!$B$2:$C$52,MATCH("incl",Textes!$A$2:$A$52,0),Listes!$H$1),IF('2 Matériel'!$J12="","",'2 Matériel'!$J12)),"")</f>
        <v/>
      </c>
      <c r="J22" s="39">
        <f>IF(AND('2 Matériel'!$M12&gt;0,NOT('2 Matériel'!$B12="Oui")),IF(AND('2 Matériel'!$L12="Oui",'3 Options'!$C$16="Oui"),INDEX(Textes!$B$2:$C$52,MATCH("incl",Textes!$A$2:$A$52,0),Listes!$H$1),IF('2 Matériel'!$K12="","",'2 Matériel'!$K12)),"")</f>
        <v/>
      </c>
      <c r="K22" s="40">
        <f>IF(AND('2 Matériel'!$M12&gt;0,NOT('2 Matériel'!$B12="Oui")),IF(AND('2 Matériel'!$L12="Oui",'3 Options'!$C$16="Oui"),INDEX(Textes!$B$2:$C$52,MATCH("incl_long",Textes!$A$2:$A$52,0),Listes!$H$1),""),"")</f>
        <v/>
      </c>
      <c r="M22" s="41">
        <f>IF(AND('2 Matériel'!$M12&gt;0,'2 Matériel'!$B12="Oui"),1,0)</f>
        <v/>
      </c>
    </row>
    <row r="23" ht="21" customHeight="1">
      <c r="B23" s="13">
        <f>IF(AND('2 Matériel'!$M13&gt;0,NOT('2 Matériel'!$B13="Oui")),'2 Matériel'!$A13,"")</f>
        <v/>
      </c>
      <c r="C23" s="37">
        <f>IF('2 Matériel'!$M13&gt;0,IF('2 Matériel'!$B13="Oui",UPPER('2 Matériel'!$C13),'2 Matériel'!$C13),"")</f>
        <v/>
      </c>
      <c r="D23" s="38">
        <f>IF(AND('2 Matériel'!$M13&gt;0,NOT('2 Matériel'!$B13="Oui")),'2 Matériel'!$M13,"")</f>
        <v/>
      </c>
      <c r="E23" s="39">
        <f>IF(AND('2 Matériel'!$M13&gt;0,NOT('2 Matériel'!$B13="Oui")),IF(AND('2 Matériel'!$L13="Oui",'3 Options'!$C$16="Oui"),INDEX(Textes!$B$2:$C$52,MATCH("incl",Textes!$A$2:$A$52,0),Listes!$H$1),IF('2 Matériel'!$F13="","",'2 Matériel'!$F13)),"")</f>
        <v/>
      </c>
      <c r="F23" s="39">
        <f>IF(AND('2 Matériel'!$M13&gt;0,NOT('2 Matériel'!$B13="Oui")),IF(AND('2 Matériel'!$L13="Oui",'3 Options'!$C$16="Oui"),INDEX(Textes!$B$2:$C$52,MATCH("incl",Textes!$A$2:$A$52,0),Listes!$H$1),IF('2 Matériel'!$G13="","",'2 Matériel'!$G13)),"")</f>
        <v/>
      </c>
      <c r="G23" s="39">
        <f>IF(AND('2 Matériel'!$M13&gt;0,NOT('2 Matériel'!$B13="Oui")),IF(AND('2 Matériel'!$L13="Oui",'3 Options'!$C$16="Oui"),INDEX(Textes!$B$2:$C$52,MATCH("incl",Textes!$A$2:$A$52,0),Listes!$H$1),IF('2 Matériel'!$H13="","",'2 Matériel'!$H13)),"")</f>
        <v/>
      </c>
      <c r="H23" s="39">
        <f>IF(AND('2 Matériel'!$M13&gt;0,NOT('2 Matériel'!$B13="Oui")),IF(AND('2 Matériel'!$L13="Oui",'3 Options'!$C$16="Oui"),INDEX(Textes!$B$2:$C$52,MATCH("incl",Textes!$A$2:$A$52,0),Listes!$H$1),IF('2 Matériel'!$I13="","",'2 Matériel'!$I13)),"")</f>
        <v/>
      </c>
      <c r="I23" s="39">
        <f>IF(AND('2 Matériel'!$M13&gt;0,NOT('2 Matériel'!$B13="Oui")),IF(AND('2 Matériel'!$L13="Oui",'3 Options'!$C$16="Oui"),INDEX(Textes!$B$2:$C$52,MATCH("incl",Textes!$A$2:$A$52,0),Listes!$H$1),IF('2 Matériel'!$J13="","",'2 Matériel'!$J13)),"")</f>
        <v/>
      </c>
      <c r="J23" s="39">
        <f>IF(AND('2 Matériel'!$M13&gt;0,NOT('2 Matériel'!$B13="Oui")),IF(AND('2 Matériel'!$L13="Oui",'3 Options'!$C$16="Oui"),INDEX(Textes!$B$2:$C$52,MATCH("incl",Textes!$A$2:$A$52,0),Listes!$H$1),IF('2 Matériel'!$K13="","",'2 Matériel'!$K13)),"")</f>
        <v/>
      </c>
      <c r="K23" s="40">
        <f>IF(AND('2 Matériel'!$M13&gt;0,NOT('2 Matériel'!$B13="Oui")),IF(AND('2 Matériel'!$L13="Oui",'3 Options'!$C$16="Oui"),INDEX(Textes!$B$2:$C$52,MATCH("incl_long",Textes!$A$2:$A$52,0),Listes!$H$1),""),"")</f>
        <v/>
      </c>
      <c r="M23" s="41">
        <f>IF(AND('2 Matériel'!$M13&gt;0,'2 Matériel'!$B13="Oui"),1,0)</f>
        <v/>
      </c>
    </row>
    <row r="24" ht="21" customHeight="1">
      <c r="B24" s="13">
        <f>IF(AND('2 Matériel'!$M14&gt;0,NOT('2 Matériel'!$B14="Oui")),'2 Matériel'!$A14,"")</f>
        <v/>
      </c>
      <c r="C24" s="37">
        <f>IF('2 Matériel'!$M14&gt;0,IF('2 Matériel'!$B14="Oui",UPPER('2 Matériel'!$C14),'2 Matériel'!$C14),"")</f>
        <v/>
      </c>
      <c r="D24" s="38">
        <f>IF(AND('2 Matériel'!$M14&gt;0,NOT('2 Matériel'!$B14="Oui")),'2 Matériel'!$M14,"")</f>
        <v/>
      </c>
      <c r="E24" s="39">
        <f>IF(AND('2 Matériel'!$M14&gt;0,NOT('2 Matériel'!$B14="Oui")),IF(AND('2 Matériel'!$L14="Oui",'3 Options'!$C$16="Oui"),INDEX(Textes!$B$2:$C$52,MATCH("incl",Textes!$A$2:$A$52,0),Listes!$H$1),IF('2 Matériel'!$F14="","",'2 Matériel'!$F14)),"")</f>
        <v/>
      </c>
      <c r="F24" s="39">
        <f>IF(AND('2 Matériel'!$M14&gt;0,NOT('2 Matériel'!$B14="Oui")),IF(AND('2 Matériel'!$L14="Oui",'3 Options'!$C$16="Oui"),INDEX(Textes!$B$2:$C$52,MATCH("incl",Textes!$A$2:$A$52,0),Listes!$H$1),IF('2 Matériel'!$G14="","",'2 Matériel'!$G14)),"")</f>
        <v/>
      </c>
      <c r="G24" s="39">
        <f>IF(AND('2 Matériel'!$M14&gt;0,NOT('2 Matériel'!$B14="Oui")),IF(AND('2 Matériel'!$L14="Oui",'3 Options'!$C$16="Oui"),INDEX(Textes!$B$2:$C$52,MATCH("incl",Textes!$A$2:$A$52,0),Listes!$H$1),IF('2 Matériel'!$H14="","",'2 Matériel'!$H14)),"")</f>
        <v/>
      </c>
      <c r="H24" s="39">
        <f>IF(AND('2 Matériel'!$M14&gt;0,NOT('2 Matériel'!$B14="Oui")),IF(AND('2 Matériel'!$L14="Oui",'3 Options'!$C$16="Oui"),INDEX(Textes!$B$2:$C$52,MATCH("incl",Textes!$A$2:$A$52,0),Listes!$H$1),IF('2 Matériel'!$I14="","",'2 Matériel'!$I14)),"")</f>
        <v/>
      </c>
      <c r="I24" s="39">
        <f>IF(AND('2 Matériel'!$M14&gt;0,NOT('2 Matériel'!$B14="Oui")),IF(AND('2 Matériel'!$L14="Oui",'3 Options'!$C$16="Oui"),INDEX(Textes!$B$2:$C$52,MATCH("incl",Textes!$A$2:$A$52,0),Listes!$H$1),IF('2 Matériel'!$J14="","",'2 Matériel'!$J14)),"")</f>
        <v/>
      </c>
      <c r="J24" s="39">
        <f>IF(AND('2 Matériel'!$M14&gt;0,NOT('2 Matériel'!$B14="Oui")),IF(AND('2 Matériel'!$L14="Oui",'3 Options'!$C$16="Oui"),INDEX(Textes!$B$2:$C$52,MATCH("incl",Textes!$A$2:$A$52,0),Listes!$H$1),IF('2 Matériel'!$K14="","",'2 Matériel'!$K14)),"")</f>
        <v/>
      </c>
      <c r="K24" s="40">
        <f>IF(AND('2 Matériel'!$M14&gt;0,NOT('2 Matériel'!$B14="Oui")),IF(AND('2 Matériel'!$L14="Oui",'3 Options'!$C$16="Oui"),INDEX(Textes!$B$2:$C$52,MATCH("incl_long",Textes!$A$2:$A$52,0),Listes!$H$1),""),"")</f>
        <v/>
      </c>
      <c r="M24" s="41">
        <f>IF(AND('2 Matériel'!$M14&gt;0,'2 Matériel'!$B14="Oui"),1,0)</f>
        <v/>
      </c>
    </row>
    <row r="25" ht="21" customHeight="1">
      <c r="B25" s="13">
        <f>IF(AND('2 Matériel'!$M15&gt;0,NOT('2 Matériel'!$B15="Oui")),'2 Matériel'!$A15,"")</f>
        <v/>
      </c>
      <c r="C25" s="37">
        <f>IF('2 Matériel'!$M15&gt;0,IF('2 Matériel'!$B15="Oui",UPPER('2 Matériel'!$C15),'2 Matériel'!$C15),"")</f>
        <v/>
      </c>
      <c r="D25" s="38">
        <f>IF(AND('2 Matériel'!$M15&gt;0,NOT('2 Matériel'!$B15="Oui")),'2 Matériel'!$M15,"")</f>
        <v/>
      </c>
      <c r="E25" s="39">
        <f>IF(AND('2 Matériel'!$M15&gt;0,NOT('2 Matériel'!$B15="Oui")),IF(AND('2 Matériel'!$L15="Oui",'3 Options'!$C$16="Oui"),INDEX(Textes!$B$2:$C$52,MATCH("incl",Textes!$A$2:$A$52,0),Listes!$H$1),IF('2 Matériel'!$F15="","",'2 Matériel'!$F15)),"")</f>
        <v/>
      </c>
      <c r="F25" s="39">
        <f>IF(AND('2 Matériel'!$M15&gt;0,NOT('2 Matériel'!$B15="Oui")),IF(AND('2 Matériel'!$L15="Oui",'3 Options'!$C$16="Oui"),INDEX(Textes!$B$2:$C$52,MATCH("incl",Textes!$A$2:$A$52,0),Listes!$H$1),IF('2 Matériel'!$G15="","",'2 Matériel'!$G15)),"")</f>
        <v/>
      </c>
      <c r="G25" s="39">
        <f>IF(AND('2 Matériel'!$M15&gt;0,NOT('2 Matériel'!$B15="Oui")),IF(AND('2 Matériel'!$L15="Oui",'3 Options'!$C$16="Oui"),INDEX(Textes!$B$2:$C$52,MATCH("incl",Textes!$A$2:$A$52,0),Listes!$H$1),IF('2 Matériel'!$H15="","",'2 Matériel'!$H15)),"")</f>
        <v/>
      </c>
      <c r="H25" s="39">
        <f>IF(AND('2 Matériel'!$M15&gt;0,NOT('2 Matériel'!$B15="Oui")),IF(AND('2 Matériel'!$L15="Oui",'3 Options'!$C$16="Oui"),INDEX(Textes!$B$2:$C$52,MATCH("incl",Textes!$A$2:$A$52,0),Listes!$H$1),IF('2 Matériel'!$I15="","",'2 Matériel'!$I15)),"")</f>
        <v/>
      </c>
      <c r="I25" s="39">
        <f>IF(AND('2 Matériel'!$M15&gt;0,NOT('2 Matériel'!$B15="Oui")),IF(AND('2 Matériel'!$L15="Oui",'3 Options'!$C$16="Oui"),INDEX(Textes!$B$2:$C$52,MATCH("incl",Textes!$A$2:$A$52,0),Listes!$H$1),IF('2 Matériel'!$J15="","",'2 Matériel'!$J15)),"")</f>
        <v/>
      </c>
      <c r="J25" s="39">
        <f>IF(AND('2 Matériel'!$M15&gt;0,NOT('2 Matériel'!$B15="Oui")),IF(AND('2 Matériel'!$L15="Oui",'3 Options'!$C$16="Oui"),INDEX(Textes!$B$2:$C$52,MATCH("incl",Textes!$A$2:$A$52,0),Listes!$H$1),IF('2 Matériel'!$K15="","",'2 Matériel'!$K15)),"")</f>
        <v/>
      </c>
      <c r="K25" s="40">
        <f>IF(AND('2 Matériel'!$M15&gt;0,NOT('2 Matériel'!$B15="Oui")),IF(AND('2 Matériel'!$L15="Oui",'3 Options'!$C$16="Oui"),INDEX(Textes!$B$2:$C$52,MATCH("incl_long",Textes!$A$2:$A$52,0),Listes!$H$1),""),"")</f>
        <v/>
      </c>
      <c r="M25" s="41">
        <f>IF(AND('2 Matériel'!$M15&gt;0,'2 Matériel'!$B15="Oui"),1,0)</f>
        <v/>
      </c>
    </row>
    <row r="26" ht="21" customHeight="1">
      <c r="B26" s="13">
        <f>IF(AND('2 Matériel'!$M16&gt;0,NOT('2 Matériel'!$B16="Oui")),'2 Matériel'!$A16,"")</f>
        <v/>
      </c>
      <c r="C26" s="37">
        <f>IF('2 Matériel'!$M16&gt;0,IF('2 Matériel'!$B16="Oui",UPPER('2 Matériel'!$C16),'2 Matériel'!$C16),"")</f>
        <v/>
      </c>
      <c r="D26" s="38">
        <f>IF(AND('2 Matériel'!$M16&gt;0,NOT('2 Matériel'!$B16="Oui")),'2 Matériel'!$M16,"")</f>
        <v/>
      </c>
      <c r="E26" s="39">
        <f>IF(AND('2 Matériel'!$M16&gt;0,NOT('2 Matériel'!$B16="Oui")),IF(AND('2 Matériel'!$L16="Oui",'3 Options'!$C$16="Oui"),INDEX(Textes!$B$2:$C$52,MATCH("incl",Textes!$A$2:$A$52,0),Listes!$H$1),IF('2 Matériel'!$F16="","",'2 Matériel'!$F16)),"")</f>
        <v/>
      </c>
      <c r="F26" s="39">
        <f>IF(AND('2 Matériel'!$M16&gt;0,NOT('2 Matériel'!$B16="Oui")),IF(AND('2 Matériel'!$L16="Oui",'3 Options'!$C$16="Oui"),INDEX(Textes!$B$2:$C$52,MATCH("incl",Textes!$A$2:$A$52,0),Listes!$H$1),IF('2 Matériel'!$G16="","",'2 Matériel'!$G16)),"")</f>
        <v/>
      </c>
      <c r="G26" s="39">
        <f>IF(AND('2 Matériel'!$M16&gt;0,NOT('2 Matériel'!$B16="Oui")),IF(AND('2 Matériel'!$L16="Oui",'3 Options'!$C$16="Oui"),INDEX(Textes!$B$2:$C$52,MATCH("incl",Textes!$A$2:$A$52,0),Listes!$H$1),IF('2 Matériel'!$H16="","",'2 Matériel'!$H16)),"")</f>
        <v/>
      </c>
      <c r="H26" s="39">
        <f>IF(AND('2 Matériel'!$M16&gt;0,NOT('2 Matériel'!$B16="Oui")),IF(AND('2 Matériel'!$L16="Oui",'3 Options'!$C$16="Oui"),INDEX(Textes!$B$2:$C$52,MATCH("incl",Textes!$A$2:$A$52,0),Listes!$H$1),IF('2 Matériel'!$I16="","",'2 Matériel'!$I16)),"")</f>
        <v/>
      </c>
      <c r="I26" s="39">
        <f>IF(AND('2 Matériel'!$M16&gt;0,NOT('2 Matériel'!$B16="Oui")),IF(AND('2 Matériel'!$L16="Oui",'3 Options'!$C$16="Oui"),INDEX(Textes!$B$2:$C$52,MATCH("incl",Textes!$A$2:$A$52,0),Listes!$H$1),IF('2 Matériel'!$J16="","",'2 Matériel'!$J16)),"")</f>
        <v/>
      </c>
      <c r="J26" s="39">
        <f>IF(AND('2 Matériel'!$M16&gt;0,NOT('2 Matériel'!$B16="Oui")),IF(AND('2 Matériel'!$L16="Oui",'3 Options'!$C$16="Oui"),INDEX(Textes!$B$2:$C$52,MATCH("incl",Textes!$A$2:$A$52,0),Listes!$H$1),IF('2 Matériel'!$K16="","",'2 Matériel'!$K16)),"")</f>
        <v/>
      </c>
      <c r="K26" s="40">
        <f>IF(AND('2 Matériel'!$M16&gt;0,NOT('2 Matériel'!$B16="Oui")),IF(AND('2 Matériel'!$L16="Oui",'3 Options'!$C$16="Oui"),INDEX(Textes!$B$2:$C$52,MATCH("incl_long",Textes!$A$2:$A$52,0),Listes!$H$1),""),"")</f>
        <v/>
      </c>
      <c r="M26" s="41">
        <f>IF(AND('2 Matériel'!$M16&gt;0,'2 Matériel'!$B16="Oui"),1,0)</f>
        <v/>
      </c>
    </row>
    <row r="27" ht="21" customHeight="1">
      <c r="B27" s="13">
        <f>IF(AND('2 Matériel'!$M17&gt;0,NOT('2 Matériel'!$B17="Oui")),'2 Matériel'!$A17,"")</f>
        <v/>
      </c>
      <c r="C27" s="37">
        <f>IF('2 Matériel'!$M17&gt;0,IF('2 Matériel'!$B17="Oui",UPPER('2 Matériel'!$C17),'2 Matériel'!$C17),"")</f>
        <v/>
      </c>
      <c r="D27" s="38">
        <f>IF(AND('2 Matériel'!$M17&gt;0,NOT('2 Matériel'!$B17="Oui")),'2 Matériel'!$M17,"")</f>
        <v/>
      </c>
      <c r="E27" s="39">
        <f>IF(AND('2 Matériel'!$M17&gt;0,NOT('2 Matériel'!$B17="Oui")),IF(AND('2 Matériel'!$L17="Oui",'3 Options'!$C$16="Oui"),INDEX(Textes!$B$2:$C$52,MATCH("incl",Textes!$A$2:$A$52,0),Listes!$H$1),IF('2 Matériel'!$F17="","",'2 Matériel'!$F17)),"")</f>
        <v/>
      </c>
      <c r="F27" s="39">
        <f>IF(AND('2 Matériel'!$M17&gt;0,NOT('2 Matériel'!$B17="Oui")),IF(AND('2 Matériel'!$L17="Oui",'3 Options'!$C$16="Oui"),INDEX(Textes!$B$2:$C$52,MATCH("incl",Textes!$A$2:$A$52,0),Listes!$H$1),IF('2 Matériel'!$G17="","",'2 Matériel'!$G17)),"")</f>
        <v/>
      </c>
      <c r="G27" s="39">
        <f>IF(AND('2 Matériel'!$M17&gt;0,NOT('2 Matériel'!$B17="Oui")),IF(AND('2 Matériel'!$L17="Oui",'3 Options'!$C$16="Oui"),INDEX(Textes!$B$2:$C$52,MATCH("incl",Textes!$A$2:$A$52,0),Listes!$H$1),IF('2 Matériel'!$H17="","",'2 Matériel'!$H17)),"")</f>
        <v/>
      </c>
      <c r="H27" s="39">
        <f>IF(AND('2 Matériel'!$M17&gt;0,NOT('2 Matériel'!$B17="Oui")),IF(AND('2 Matériel'!$L17="Oui",'3 Options'!$C$16="Oui"),INDEX(Textes!$B$2:$C$52,MATCH("incl",Textes!$A$2:$A$52,0),Listes!$H$1),IF('2 Matériel'!$I17="","",'2 Matériel'!$I17)),"")</f>
        <v/>
      </c>
      <c r="I27" s="39">
        <f>IF(AND('2 Matériel'!$M17&gt;0,NOT('2 Matériel'!$B17="Oui")),IF(AND('2 Matériel'!$L17="Oui",'3 Options'!$C$16="Oui"),INDEX(Textes!$B$2:$C$52,MATCH("incl",Textes!$A$2:$A$52,0),Listes!$H$1),IF('2 Matériel'!$J17="","",'2 Matériel'!$J17)),"")</f>
        <v/>
      </c>
      <c r="J27" s="39">
        <f>IF(AND('2 Matériel'!$M17&gt;0,NOT('2 Matériel'!$B17="Oui")),IF(AND('2 Matériel'!$L17="Oui",'3 Options'!$C$16="Oui"),INDEX(Textes!$B$2:$C$52,MATCH("incl",Textes!$A$2:$A$52,0),Listes!$H$1),IF('2 Matériel'!$K17="","",'2 Matériel'!$K17)),"")</f>
        <v/>
      </c>
      <c r="K27" s="40">
        <f>IF(AND('2 Matériel'!$M17&gt;0,NOT('2 Matériel'!$B17="Oui")),IF(AND('2 Matériel'!$L17="Oui",'3 Options'!$C$16="Oui"),INDEX(Textes!$B$2:$C$52,MATCH("incl_long",Textes!$A$2:$A$52,0),Listes!$H$1),""),"")</f>
        <v/>
      </c>
      <c r="M27" s="41">
        <f>IF(AND('2 Matériel'!$M17&gt;0,'2 Matériel'!$B17="Oui"),1,0)</f>
        <v/>
      </c>
    </row>
    <row r="28" ht="21" customHeight="1">
      <c r="B28" s="13">
        <f>IF(AND('2 Matériel'!$M18&gt;0,NOT('2 Matériel'!$B18="Oui")),'2 Matériel'!$A18,"")</f>
        <v/>
      </c>
      <c r="C28" s="37">
        <f>IF('2 Matériel'!$M18&gt;0,IF('2 Matériel'!$B18="Oui",UPPER('2 Matériel'!$C18),'2 Matériel'!$C18),"")</f>
        <v/>
      </c>
      <c r="D28" s="38">
        <f>IF(AND('2 Matériel'!$M18&gt;0,NOT('2 Matériel'!$B18="Oui")),'2 Matériel'!$M18,"")</f>
        <v/>
      </c>
      <c r="E28" s="39">
        <f>IF(AND('2 Matériel'!$M18&gt;0,NOT('2 Matériel'!$B18="Oui")),IF(AND('2 Matériel'!$L18="Oui",'3 Options'!$C$16="Oui"),INDEX(Textes!$B$2:$C$52,MATCH("incl",Textes!$A$2:$A$52,0),Listes!$H$1),IF('2 Matériel'!$F18="","",'2 Matériel'!$F18)),"")</f>
        <v/>
      </c>
      <c r="F28" s="39">
        <f>IF(AND('2 Matériel'!$M18&gt;0,NOT('2 Matériel'!$B18="Oui")),IF(AND('2 Matériel'!$L18="Oui",'3 Options'!$C$16="Oui"),INDEX(Textes!$B$2:$C$52,MATCH("incl",Textes!$A$2:$A$52,0),Listes!$H$1),IF('2 Matériel'!$G18="","",'2 Matériel'!$G18)),"")</f>
        <v/>
      </c>
      <c r="G28" s="39">
        <f>IF(AND('2 Matériel'!$M18&gt;0,NOT('2 Matériel'!$B18="Oui")),IF(AND('2 Matériel'!$L18="Oui",'3 Options'!$C$16="Oui"),INDEX(Textes!$B$2:$C$52,MATCH("incl",Textes!$A$2:$A$52,0),Listes!$H$1),IF('2 Matériel'!$H18="","",'2 Matériel'!$H18)),"")</f>
        <v/>
      </c>
      <c r="H28" s="39">
        <f>IF(AND('2 Matériel'!$M18&gt;0,NOT('2 Matériel'!$B18="Oui")),IF(AND('2 Matériel'!$L18="Oui",'3 Options'!$C$16="Oui"),INDEX(Textes!$B$2:$C$52,MATCH("incl",Textes!$A$2:$A$52,0),Listes!$H$1),IF('2 Matériel'!$I18="","",'2 Matériel'!$I18)),"")</f>
        <v/>
      </c>
      <c r="I28" s="39">
        <f>IF(AND('2 Matériel'!$M18&gt;0,NOT('2 Matériel'!$B18="Oui")),IF(AND('2 Matériel'!$L18="Oui",'3 Options'!$C$16="Oui"),INDEX(Textes!$B$2:$C$52,MATCH("incl",Textes!$A$2:$A$52,0),Listes!$H$1),IF('2 Matériel'!$J18="","",'2 Matériel'!$J18)),"")</f>
        <v/>
      </c>
      <c r="J28" s="39">
        <f>IF(AND('2 Matériel'!$M18&gt;0,NOT('2 Matériel'!$B18="Oui")),IF(AND('2 Matériel'!$L18="Oui",'3 Options'!$C$16="Oui"),INDEX(Textes!$B$2:$C$52,MATCH("incl",Textes!$A$2:$A$52,0),Listes!$H$1),IF('2 Matériel'!$K18="","",'2 Matériel'!$K18)),"")</f>
        <v/>
      </c>
      <c r="K28" s="40">
        <f>IF(AND('2 Matériel'!$M18&gt;0,NOT('2 Matériel'!$B18="Oui")),IF(AND('2 Matériel'!$L18="Oui",'3 Options'!$C$16="Oui"),INDEX(Textes!$B$2:$C$52,MATCH("incl_long",Textes!$A$2:$A$52,0),Listes!$H$1),""),"")</f>
        <v/>
      </c>
      <c r="M28" s="41">
        <f>IF(AND('2 Matériel'!$M18&gt;0,'2 Matériel'!$B18="Oui"),1,0)</f>
        <v/>
      </c>
    </row>
    <row r="29" ht="21" customHeight="1">
      <c r="B29" s="13">
        <f>IF(AND('2 Matériel'!$M19&gt;0,NOT('2 Matériel'!$B19="Oui")),'2 Matériel'!$A19,"")</f>
        <v/>
      </c>
      <c r="C29" s="37">
        <f>IF('2 Matériel'!$M19&gt;0,IF('2 Matériel'!$B19="Oui",UPPER('2 Matériel'!$C19),'2 Matériel'!$C19),"")</f>
        <v/>
      </c>
      <c r="D29" s="38">
        <f>IF(AND('2 Matériel'!$M19&gt;0,NOT('2 Matériel'!$B19="Oui")),'2 Matériel'!$M19,"")</f>
        <v/>
      </c>
      <c r="E29" s="39">
        <f>IF(AND('2 Matériel'!$M19&gt;0,NOT('2 Matériel'!$B19="Oui")),IF(AND('2 Matériel'!$L19="Oui",'3 Options'!$C$16="Oui"),INDEX(Textes!$B$2:$C$52,MATCH("incl",Textes!$A$2:$A$52,0),Listes!$H$1),IF('2 Matériel'!$F19="","",'2 Matériel'!$F19)),"")</f>
        <v/>
      </c>
      <c r="F29" s="39">
        <f>IF(AND('2 Matériel'!$M19&gt;0,NOT('2 Matériel'!$B19="Oui")),IF(AND('2 Matériel'!$L19="Oui",'3 Options'!$C$16="Oui"),INDEX(Textes!$B$2:$C$52,MATCH("incl",Textes!$A$2:$A$52,0),Listes!$H$1),IF('2 Matériel'!$G19="","",'2 Matériel'!$G19)),"")</f>
        <v/>
      </c>
      <c r="G29" s="39">
        <f>IF(AND('2 Matériel'!$M19&gt;0,NOT('2 Matériel'!$B19="Oui")),IF(AND('2 Matériel'!$L19="Oui",'3 Options'!$C$16="Oui"),INDEX(Textes!$B$2:$C$52,MATCH("incl",Textes!$A$2:$A$52,0),Listes!$H$1),IF('2 Matériel'!$H19="","",'2 Matériel'!$H19)),"")</f>
        <v/>
      </c>
      <c r="H29" s="39">
        <f>IF(AND('2 Matériel'!$M19&gt;0,NOT('2 Matériel'!$B19="Oui")),IF(AND('2 Matériel'!$L19="Oui",'3 Options'!$C$16="Oui"),INDEX(Textes!$B$2:$C$52,MATCH("incl",Textes!$A$2:$A$52,0),Listes!$H$1),IF('2 Matériel'!$I19="","",'2 Matériel'!$I19)),"")</f>
        <v/>
      </c>
      <c r="I29" s="39">
        <f>IF(AND('2 Matériel'!$M19&gt;0,NOT('2 Matériel'!$B19="Oui")),IF(AND('2 Matériel'!$L19="Oui",'3 Options'!$C$16="Oui"),INDEX(Textes!$B$2:$C$52,MATCH("incl",Textes!$A$2:$A$52,0),Listes!$H$1),IF('2 Matériel'!$J19="","",'2 Matériel'!$J19)),"")</f>
        <v/>
      </c>
      <c r="J29" s="39">
        <f>IF(AND('2 Matériel'!$M19&gt;0,NOT('2 Matériel'!$B19="Oui")),IF(AND('2 Matériel'!$L19="Oui",'3 Options'!$C$16="Oui"),INDEX(Textes!$B$2:$C$52,MATCH("incl",Textes!$A$2:$A$52,0),Listes!$H$1),IF('2 Matériel'!$K19="","",'2 Matériel'!$K19)),"")</f>
        <v/>
      </c>
      <c r="K29" s="40">
        <f>IF(AND('2 Matériel'!$M19&gt;0,NOT('2 Matériel'!$B19="Oui")),IF(AND('2 Matériel'!$L19="Oui",'3 Options'!$C$16="Oui"),INDEX(Textes!$B$2:$C$52,MATCH("incl_long",Textes!$A$2:$A$52,0),Listes!$H$1),""),"")</f>
        <v/>
      </c>
      <c r="M29" s="41">
        <f>IF(AND('2 Matériel'!$M19&gt;0,'2 Matériel'!$B19="Oui"),1,0)</f>
        <v/>
      </c>
    </row>
    <row r="30" hidden="1" outlineLevel="1" ht="21" customHeight="1">
      <c r="B30" s="13">
        <f>IF(AND('2 Matériel'!$M20&gt;0,NOT('2 Matériel'!$B20="Oui")),'2 Matériel'!$A20,"")</f>
        <v/>
      </c>
      <c r="C30" s="37">
        <f>IF('2 Matériel'!$M20&gt;0,IF('2 Matériel'!$B20="Oui",UPPER('2 Matériel'!$C20),'2 Matériel'!$C20),"")</f>
        <v/>
      </c>
      <c r="D30" s="38">
        <f>IF(AND('2 Matériel'!$M20&gt;0,NOT('2 Matériel'!$B20="Oui")),'2 Matériel'!$M20,"")</f>
        <v/>
      </c>
      <c r="E30" s="39">
        <f>IF(AND('2 Matériel'!$M20&gt;0,NOT('2 Matériel'!$B20="Oui")),IF(AND('2 Matériel'!$L20="Oui",'3 Options'!$C$16="Oui"),INDEX(Textes!$B$2:$C$52,MATCH("incl",Textes!$A$2:$A$52,0),Listes!$H$1),IF('2 Matériel'!$F20="","",'2 Matériel'!$F20)),"")</f>
        <v/>
      </c>
      <c r="F30" s="39">
        <f>IF(AND('2 Matériel'!$M20&gt;0,NOT('2 Matériel'!$B20="Oui")),IF(AND('2 Matériel'!$L20="Oui",'3 Options'!$C$16="Oui"),INDEX(Textes!$B$2:$C$52,MATCH("incl",Textes!$A$2:$A$52,0),Listes!$H$1),IF('2 Matériel'!$G20="","",'2 Matériel'!$G20)),"")</f>
        <v/>
      </c>
      <c r="G30" s="39">
        <f>IF(AND('2 Matériel'!$M20&gt;0,NOT('2 Matériel'!$B20="Oui")),IF(AND('2 Matériel'!$L20="Oui",'3 Options'!$C$16="Oui"),INDEX(Textes!$B$2:$C$52,MATCH("incl",Textes!$A$2:$A$52,0),Listes!$H$1),IF('2 Matériel'!$H20="","",'2 Matériel'!$H20)),"")</f>
        <v/>
      </c>
      <c r="H30" s="39">
        <f>IF(AND('2 Matériel'!$M20&gt;0,NOT('2 Matériel'!$B20="Oui")),IF(AND('2 Matériel'!$L20="Oui",'3 Options'!$C$16="Oui"),INDEX(Textes!$B$2:$C$52,MATCH("incl",Textes!$A$2:$A$52,0),Listes!$H$1),IF('2 Matériel'!$I20="","",'2 Matériel'!$I20)),"")</f>
        <v/>
      </c>
      <c r="I30" s="39">
        <f>IF(AND('2 Matériel'!$M20&gt;0,NOT('2 Matériel'!$B20="Oui")),IF(AND('2 Matériel'!$L20="Oui",'3 Options'!$C$16="Oui"),INDEX(Textes!$B$2:$C$52,MATCH("incl",Textes!$A$2:$A$52,0),Listes!$H$1),IF('2 Matériel'!$J20="","",'2 Matériel'!$J20)),"")</f>
        <v/>
      </c>
      <c r="J30" s="39">
        <f>IF(AND('2 Matériel'!$M20&gt;0,NOT('2 Matériel'!$B20="Oui")),IF(AND('2 Matériel'!$L20="Oui",'3 Options'!$C$16="Oui"),INDEX(Textes!$B$2:$C$52,MATCH("incl",Textes!$A$2:$A$52,0),Listes!$H$1),IF('2 Matériel'!$K20="","",'2 Matériel'!$K20)),"")</f>
        <v/>
      </c>
      <c r="K30" s="40">
        <f>IF(AND('2 Matériel'!$M20&gt;0,NOT('2 Matériel'!$B20="Oui")),IF(AND('2 Matériel'!$L20="Oui",'3 Options'!$C$16="Oui"),INDEX(Textes!$B$2:$C$52,MATCH("incl_long",Textes!$A$2:$A$52,0),Listes!$H$1),""),"")</f>
        <v/>
      </c>
      <c r="M30" s="41">
        <f>IF(AND('2 Matériel'!$M20&gt;0,'2 Matériel'!$B20="Oui"),1,0)</f>
        <v/>
      </c>
    </row>
    <row r="31" hidden="1" outlineLevel="1" ht="21" customHeight="1">
      <c r="B31" s="13">
        <f>IF(AND('2 Matériel'!$M21&gt;0,NOT('2 Matériel'!$B21="Oui")),'2 Matériel'!$A21,"")</f>
        <v/>
      </c>
      <c r="C31" s="37">
        <f>IF('2 Matériel'!$M21&gt;0,IF('2 Matériel'!$B21="Oui",UPPER('2 Matériel'!$C21),'2 Matériel'!$C21),"")</f>
        <v/>
      </c>
      <c r="D31" s="38">
        <f>IF(AND('2 Matériel'!$M21&gt;0,NOT('2 Matériel'!$B21="Oui")),'2 Matériel'!$M21,"")</f>
        <v/>
      </c>
      <c r="E31" s="39">
        <f>IF(AND('2 Matériel'!$M21&gt;0,NOT('2 Matériel'!$B21="Oui")),IF(AND('2 Matériel'!$L21="Oui",'3 Options'!$C$16="Oui"),INDEX(Textes!$B$2:$C$52,MATCH("incl",Textes!$A$2:$A$52,0),Listes!$H$1),IF('2 Matériel'!$F21="","",'2 Matériel'!$F21)),"")</f>
        <v/>
      </c>
      <c r="F31" s="39">
        <f>IF(AND('2 Matériel'!$M21&gt;0,NOT('2 Matériel'!$B21="Oui")),IF(AND('2 Matériel'!$L21="Oui",'3 Options'!$C$16="Oui"),INDEX(Textes!$B$2:$C$52,MATCH("incl",Textes!$A$2:$A$52,0),Listes!$H$1),IF('2 Matériel'!$G21="","",'2 Matériel'!$G21)),"")</f>
        <v/>
      </c>
      <c r="G31" s="39">
        <f>IF(AND('2 Matériel'!$M21&gt;0,NOT('2 Matériel'!$B21="Oui")),IF(AND('2 Matériel'!$L21="Oui",'3 Options'!$C$16="Oui"),INDEX(Textes!$B$2:$C$52,MATCH("incl",Textes!$A$2:$A$52,0),Listes!$H$1),IF('2 Matériel'!$H21="","",'2 Matériel'!$H21)),"")</f>
        <v/>
      </c>
      <c r="H31" s="39">
        <f>IF(AND('2 Matériel'!$M21&gt;0,NOT('2 Matériel'!$B21="Oui")),IF(AND('2 Matériel'!$L21="Oui",'3 Options'!$C$16="Oui"),INDEX(Textes!$B$2:$C$52,MATCH("incl",Textes!$A$2:$A$52,0),Listes!$H$1),IF('2 Matériel'!$I21="","",'2 Matériel'!$I21)),"")</f>
        <v/>
      </c>
      <c r="I31" s="39">
        <f>IF(AND('2 Matériel'!$M21&gt;0,NOT('2 Matériel'!$B21="Oui")),IF(AND('2 Matériel'!$L21="Oui",'3 Options'!$C$16="Oui"),INDEX(Textes!$B$2:$C$52,MATCH("incl",Textes!$A$2:$A$52,0),Listes!$H$1),IF('2 Matériel'!$J21="","",'2 Matériel'!$J21)),"")</f>
        <v/>
      </c>
      <c r="J31" s="39">
        <f>IF(AND('2 Matériel'!$M21&gt;0,NOT('2 Matériel'!$B21="Oui")),IF(AND('2 Matériel'!$L21="Oui",'3 Options'!$C$16="Oui"),INDEX(Textes!$B$2:$C$52,MATCH("incl",Textes!$A$2:$A$52,0),Listes!$H$1),IF('2 Matériel'!$K21="","",'2 Matériel'!$K21)),"")</f>
        <v/>
      </c>
      <c r="K31" s="40">
        <f>IF(AND('2 Matériel'!$M21&gt;0,NOT('2 Matériel'!$B21="Oui")),IF(AND('2 Matériel'!$L21="Oui",'3 Options'!$C$16="Oui"),INDEX(Textes!$B$2:$C$52,MATCH("incl_long",Textes!$A$2:$A$52,0),Listes!$H$1),""),"")</f>
        <v/>
      </c>
      <c r="M31" s="41">
        <f>IF(AND('2 Matériel'!$M21&gt;0,'2 Matériel'!$B21="Oui"),1,0)</f>
        <v/>
      </c>
    </row>
    <row r="32" hidden="1" outlineLevel="1" ht="21" customHeight="1">
      <c r="B32" s="13">
        <f>IF(AND('2 Matériel'!$M22&gt;0,NOT('2 Matériel'!$B22="Oui")),'2 Matériel'!$A22,"")</f>
        <v/>
      </c>
      <c r="C32" s="37">
        <f>IF('2 Matériel'!$M22&gt;0,IF('2 Matériel'!$B22="Oui",UPPER('2 Matériel'!$C22),'2 Matériel'!$C22),"")</f>
        <v/>
      </c>
      <c r="D32" s="38">
        <f>IF(AND('2 Matériel'!$M22&gt;0,NOT('2 Matériel'!$B22="Oui")),'2 Matériel'!$M22,"")</f>
        <v/>
      </c>
      <c r="E32" s="39">
        <f>IF(AND('2 Matériel'!$M22&gt;0,NOT('2 Matériel'!$B22="Oui")),IF(AND('2 Matériel'!$L22="Oui",'3 Options'!$C$16="Oui"),INDEX(Textes!$B$2:$C$52,MATCH("incl",Textes!$A$2:$A$52,0),Listes!$H$1),IF('2 Matériel'!$F22="","",'2 Matériel'!$F22)),"")</f>
        <v/>
      </c>
      <c r="F32" s="39">
        <f>IF(AND('2 Matériel'!$M22&gt;0,NOT('2 Matériel'!$B22="Oui")),IF(AND('2 Matériel'!$L22="Oui",'3 Options'!$C$16="Oui"),INDEX(Textes!$B$2:$C$52,MATCH("incl",Textes!$A$2:$A$52,0),Listes!$H$1),IF('2 Matériel'!$G22="","",'2 Matériel'!$G22)),"")</f>
        <v/>
      </c>
      <c r="G32" s="39">
        <f>IF(AND('2 Matériel'!$M22&gt;0,NOT('2 Matériel'!$B22="Oui")),IF(AND('2 Matériel'!$L22="Oui",'3 Options'!$C$16="Oui"),INDEX(Textes!$B$2:$C$52,MATCH("incl",Textes!$A$2:$A$52,0),Listes!$H$1),IF('2 Matériel'!$H22="","",'2 Matériel'!$H22)),"")</f>
        <v/>
      </c>
      <c r="H32" s="39">
        <f>IF(AND('2 Matériel'!$M22&gt;0,NOT('2 Matériel'!$B22="Oui")),IF(AND('2 Matériel'!$L22="Oui",'3 Options'!$C$16="Oui"),INDEX(Textes!$B$2:$C$52,MATCH("incl",Textes!$A$2:$A$52,0),Listes!$H$1),IF('2 Matériel'!$I22="","",'2 Matériel'!$I22)),"")</f>
        <v/>
      </c>
      <c r="I32" s="39">
        <f>IF(AND('2 Matériel'!$M22&gt;0,NOT('2 Matériel'!$B22="Oui")),IF(AND('2 Matériel'!$L22="Oui",'3 Options'!$C$16="Oui"),INDEX(Textes!$B$2:$C$52,MATCH("incl",Textes!$A$2:$A$52,0),Listes!$H$1),IF('2 Matériel'!$J22="","",'2 Matériel'!$J22)),"")</f>
        <v/>
      </c>
      <c r="J32" s="39">
        <f>IF(AND('2 Matériel'!$M22&gt;0,NOT('2 Matériel'!$B22="Oui")),IF(AND('2 Matériel'!$L22="Oui",'3 Options'!$C$16="Oui"),INDEX(Textes!$B$2:$C$52,MATCH("incl",Textes!$A$2:$A$52,0),Listes!$H$1),IF('2 Matériel'!$K22="","",'2 Matériel'!$K22)),"")</f>
        <v/>
      </c>
      <c r="K32" s="40">
        <f>IF(AND('2 Matériel'!$M22&gt;0,NOT('2 Matériel'!$B22="Oui")),IF(AND('2 Matériel'!$L22="Oui",'3 Options'!$C$16="Oui"),INDEX(Textes!$B$2:$C$52,MATCH("incl_long",Textes!$A$2:$A$52,0),Listes!$H$1),""),"")</f>
        <v/>
      </c>
      <c r="M32" s="41">
        <f>IF(AND('2 Matériel'!$M22&gt;0,'2 Matériel'!$B22="Oui"),1,0)</f>
        <v/>
      </c>
    </row>
    <row r="33" hidden="1" outlineLevel="1" ht="21" customHeight="1">
      <c r="B33" s="13">
        <f>IF(AND('2 Matériel'!$M23&gt;0,NOT('2 Matériel'!$B23="Oui")),'2 Matériel'!$A23,"")</f>
        <v/>
      </c>
      <c r="C33" s="37">
        <f>IF('2 Matériel'!$M23&gt;0,IF('2 Matériel'!$B23="Oui",UPPER('2 Matériel'!$C23),'2 Matériel'!$C23),"")</f>
        <v/>
      </c>
      <c r="D33" s="38">
        <f>IF(AND('2 Matériel'!$M23&gt;0,NOT('2 Matériel'!$B23="Oui")),'2 Matériel'!$M23,"")</f>
        <v/>
      </c>
      <c r="E33" s="39">
        <f>IF(AND('2 Matériel'!$M23&gt;0,NOT('2 Matériel'!$B23="Oui")),IF(AND('2 Matériel'!$L23="Oui",'3 Options'!$C$16="Oui"),INDEX(Textes!$B$2:$C$52,MATCH("incl",Textes!$A$2:$A$52,0),Listes!$H$1),IF('2 Matériel'!$F23="","",'2 Matériel'!$F23)),"")</f>
        <v/>
      </c>
      <c r="F33" s="39">
        <f>IF(AND('2 Matériel'!$M23&gt;0,NOT('2 Matériel'!$B23="Oui")),IF(AND('2 Matériel'!$L23="Oui",'3 Options'!$C$16="Oui"),INDEX(Textes!$B$2:$C$52,MATCH("incl",Textes!$A$2:$A$52,0),Listes!$H$1),IF('2 Matériel'!$G23="","",'2 Matériel'!$G23)),"")</f>
        <v/>
      </c>
      <c r="G33" s="39">
        <f>IF(AND('2 Matériel'!$M23&gt;0,NOT('2 Matériel'!$B23="Oui")),IF(AND('2 Matériel'!$L23="Oui",'3 Options'!$C$16="Oui"),INDEX(Textes!$B$2:$C$52,MATCH("incl",Textes!$A$2:$A$52,0),Listes!$H$1),IF('2 Matériel'!$H23="","",'2 Matériel'!$H23)),"")</f>
        <v/>
      </c>
      <c r="H33" s="39">
        <f>IF(AND('2 Matériel'!$M23&gt;0,NOT('2 Matériel'!$B23="Oui")),IF(AND('2 Matériel'!$L23="Oui",'3 Options'!$C$16="Oui"),INDEX(Textes!$B$2:$C$52,MATCH("incl",Textes!$A$2:$A$52,0),Listes!$H$1),IF('2 Matériel'!$I23="","",'2 Matériel'!$I23)),"")</f>
        <v/>
      </c>
      <c r="I33" s="39">
        <f>IF(AND('2 Matériel'!$M23&gt;0,NOT('2 Matériel'!$B23="Oui")),IF(AND('2 Matériel'!$L23="Oui",'3 Options'!$C$16="Oui"),INDEX(Textes!$B$2:$C$52,MATCH("incl",Textes!$A$2:$A$52,0),Listes!$H$1),IF('2 Matériel'!$J23="","",'2 Matériel'!$J23)),"")</f>
        <v/>
      </c>
      <c r="J33" s="39">
        <f>IF(AND('2 Matériel'!$M23&gt;0,NOT('2 Matériel'!$B23="Oui")),IF(AND('2 Matériel'!$L23="Oui",'3 Options'!$C$16="Oui"),INDEX(Textes!$B$2:$C$52,MATCH("incl",Textes!$A$2:$A$52,0),Listes!$H$1),IF('2 Matériel'!$K23="","",'2 Matériel'!$K23)),"")</f>
        <v/>
      </c>
      <c r="K33" s="40">
        <f>IF(AND('2 Matériel'!$M23&gt;0,NOT('2 Matériel'!$B23="Oui")),IF(AND('2 Matériel'!$L23="Oui",'3 Options'!$C$16="Oui"),INDEX(Textes!$B$2:$C$52,MATCH("incl_long",Textes!$A$2:$A$52,0),Listes!$H$1),""),"")</f>
        <v/>
      </c>
      <c r="M33" s="41">
        <f>IF(AND('2 Matériel'!$M23&gt;0,'2 Matériel'!$B23="Oui"),1,0)</f>
        <v/>
      </c>
    </row>
    <row r="34" hidden="1" outlineLevel="1" ht="21" customHeight="1">
      <c r="B34" s="13">
        <f>IF(AND('2 Matériel'!$M24&gt;0,NOT('2 Matériel'!$B24="Oui")),'2 Matériel'!$A24,"")</f>
        <v/>
      </c>
      <c r="C34" s="37">
        <f>IF('2 Matériel'!$M24&gt;0,IF('2 Matériel'!$B24="Oui",UPPER('2 Matériel'!$C24),'2 Matériel'!$C24),"")</f>
        <v/>
      </c>
      <c r="D34" s="38">
        <f>IF(AND('2 Matériel'!$M24&gt;0,NOT('2 Matériel'!$B24="Oui")),'2 Matériel'!$M24,"")</f>
        <v/>
      </c>
      <c r="E34" s="39">
        <f>IF(AND('2 Matériel'!$M24&gt;0,NOT('2 Matériel'!$B24="Oui")),IF(AND('2 Matériel'!$L24="Oui",'3 Options'!$C$16="Oui"),INDEX(Textes!$B$2:$C$52,MATCH("incl",Textes!$A$2:$A$52,0),Listes!$H$1),IF('2 Matériel'!$F24="","",'2 Matériel'!$F24)),"")</f>
        <v/>
      </c>
      <c r="F34" s="39">
        <f>IF(AND('2 Matériel'!$M24&gt;0,NOT('2 Matériel'!$B24="Oui")),IF(AND('2 Matériel'!$L24="Oui",'3 Options'!$C$16="Oui"),INDEX(Textes!$B$2:$C$52,MATCH("incl",Textes!$A$2:$A$52,0),Listes!$H$1),IF('2 Matériel'!$G24="","",'2 Matériel'!$G24)),"")</f>
        <v/>
      </c>
      <c r="G34" s="39">
        <f>IF(AND('2 Matériel'!$M24&gt;0,NOT('2 Matériel'!$B24="Oui")),IF(AND('2 Matériel'!$L24="Oui",'3 Options'!$C$16="Oui"),INDEX(Textes!$B$2:$C$52,MATCH("incl",Textes!$A$2:$A$52,0),Listes!$H$1),IF('2 Matériel'!$H24="","",'2 Matériel'!$H24)),"")</f>
        <v/>
      </c>
      <c r="H34" s="39">
        <f>IF(AND('2 Matériel'!$M24&gt;0,NOT('2 Matériel'!$B24="Oui")),IF(AND('2 Matériel'!$L24="Oui",'3 Options'!$C$16="Oui"),INDEX(Textes!$B$2:$C$52,MATCH("incl",Textes!$A$2:$A$52,0),Listes!$H$1),IF('2 Matériel'!$I24="","",'2 Matériel'!$I24)),"")</f>
        <v/>
      </c>
      <c r="I34" s="39">
        <f>IF(AND('2 Matériel'!$M24&gt;0,NOT('2 Matériel'!$B24="Oui")),IF(AND('2 Matériel'!$L24="Oui",'3 Options'!$C$16="Oui"),INDEX(Textes!$B$2:$C$52,MATCH("incl",Textes!$A$2:$A$52,0),Listes!$H$1),IF('2 Matériel'!$J24="","",'2 Matériel'!$J24)),"")</f>
        <v/>
      </c>
      <c r="J34" s="39">
        <f>IF(AND('2 Matériel'!$M24&gt;0,NOT('2 Matériel'!$B24="Oui")),IF(AND('2 Matériel'!$L24="Oui",'3 Options'!$C$16="Oui"),INDEX(Textes!$B$2:$C$52,MATCH("incl",Textes!$A$2:$A$52,0),Listes!$H$1),IF('2 Matériel'!$K24="","",'2 Matériel'!$K24)),"")</f>
        <v/>
      </c>
      <c r="K34" s="40">
        <f>IF(AND('2 Matériel'!$M24&gt;0,NOT('2 Matériel'!$B24="Oui")),IF(AND('2 Matériel'!$L24="Oui",'3 Options'!$C$16="Oui"),INDEX(Textes!$B$2:$C$52,MATCH("incl_long",Textes!$A$2:$A$52,0),Listes!$H$1),""),"")</f>
        <v/>
      </c>
      <c r="M34" s="41">
        <f>IF(AND('2 Matériel'!$M24&gt;0,'2 Matériel'!$B24="Oui"),1,0)</f>
        <v/>
      </c>
    </row>
    <row r="35" hidden="1" outlineLevel="1" ht="21" customHeight="1">
      <c r="B35" s="13">
        <f>IF(AND('2 Matériel'!$M25&gt;0,NOT('2 Matériel'!$B25="Oui")),'2 Matériel'!$A25,"")</f>
        <v/>
      </c>
      <c r="C35" s="37">
        <f>IF('2 Matériel'!$M25&gt;0,IF('2 Matériel'!$B25="Oui",UPPER('2 Matériel'!$C25),'2 Matériel'!$C25),"")</f>
        <v/>
      </c>
      <c r="D35" s="38">
        <f>IF(AND('2 Matériel'!$M25&gt;0,NOT('2 Matériel'!$B25="Oui")),'2 Matériel'!$M25,"")</f>
        <v/>
      </c>
      <c r="E35" s="39">
        <f>IF(AND('2 Matériel'!$M25&gt;0,NOT('2 Matériel'!$B25="Oui")),IF(AND('2 Matériel'!$L25="Oui",'3 Options'!$C$16="Oui"),INDEX(Textes!$B$2:$C$52,MATCH("incl",Textes!$A$2:$A$52,0),Listes!$H$1),IF('2 Matériel'!$F25="","",'2 Matériel'!$F25)),"")</f>
        <v/>
      </c>
      <c r="F35" s="39">
        <f>IF(AND('2 Matériel'!$M25&gt;0,NOT('2 Matériel'!$B25="Oui")),IF(AND('2 Matériel'!$L25="Oui",'3 Options'!$C$16="Oui"),INDEX(Textes!$B$2:$C$52,MATCH("incl",Textes!$A$2:$A$52,0),Listes!$H$1),IF('2 Matériel'!$G25="","",'2 Matériel'!$G25)),"")</f>
        <v/>
      </c>
      <c r="G35" s="39">
        <f>IF(AND('2 Matériel'!$M25&gt;0,NOT('2 Matériel'!$B25="Oui")),IF(AND('2 Matériel'!$L25="Oui",'3 Options'!$C$16="Oui"),INDEX(Textes!$B$2:$C$52,MATCH("incl",Textes!$A$2:$A$52,0),Listes!$H$1),IF('2 Matériel'!$H25="","",'2 Matériel'!$H25)),"")</f>
        <v/>
      </c>
      <c r="H35" s="39">
        <f>IF(AND('2 Matériel'!$M25&gt;0,NOT('2 Matériel'!$B25="Oui")),IF(AND('2 Matériel'!$L25="Oui",'3 Options'!$C$16="Oui"),INDEX(Textes!$B$2:$C$52,MATCH("incl",Textes!$A$2:$A$52,0),Listes!$H$1),IF('2 Matériel'!$I25="","",'2 Matériel'!$I25)),"")</f>
        <v/>
      </c>
      <c r="I35" s="39">
        <f>IF(AND('2 Matériel'!$M25&gt;0,NOT('2 Matériel'!$B25="Oui")),IF(AND('2 Matériel'!$L25="Oui",'3 Options'!$C$16="Oui"),INDEX(Textes!$B$2:$C$52,MATCH("incl",Textes!$A$2:$A$52,0),Listes!$H$1),IF('2 Matériel'!$J25="","",'2 Matériel'!$J25)),"")</f>
        <v/>
      </c>
      <c r="J35" s="39">
        <f>IF(AND('2 Matériel'!$M25&gt;0,NOT('2 Matériel'!$B25="Oui")),IF(AND('2 Matériel'!$L25="Oui",'3 Options'!$C$16="Oui"),INDEX(Textes!$B$2:$C$52,MATCH("incl",Textes!$A$2:$A$52,0),Listes!$H$1),IF('2 Matériel'!$K25="","",'2 Matériel'!$K25)),"")</f>
        <v/>
      </c>
      <c r="K35" s="40">
        <f>IF(AND('2 Matériel'!$M25&gt;0,NOT('2 Matériel'!$B25="Oui")),IF(AND('2 Matériel'!$L25="Oui",'3 Options'!$C$16="Oui"),INDEX(Textes!$B$2:$C$52,MATCH("incl_long",Textes!$A$2:$A$52,0),Listes!$H$1),""),"")</f>
        <v/>
      </c>
      <c r="M35" s="41">
        <f>IF(AND('2 Matériel'!$M25&gt;0,'2 Matériel'!$B25="Oui"),1,0)</f>
        <v/>
      </c>
    </row>
    <row r="36" hidden="1" outlineLevel="1" ht="21" customHeight="1">
      <c r="B36" s="13">
        <f>IF(AND('2 Matériel'!$M26&gt;0,NOT('2 Matériel'!$B26="Oui")),'2 Matériel'!$A26,"")</f>
        <v/>
      </c>
      <c r="C36" s="37">
        <f>IF('2 Matériel'!$M26&gt;0,IF('2 Matériel'!$B26="Oui",UPPER('2 Matériel'!$C26),'2 Matériel'!$C26),"")</f>
        <v/>
      </c>
      <c r="D36" s="38">
        <f>IF(AND('2 Matériel'!$M26&gt;0,NOT('2 Matériel'!$B26="Oui")),'2 Matériel'!$M26,"")</f>
        <v/>
      </c>
      <c r="E36" s="39">
        <f>IF(AND('2 Matériel'!$M26&gt;0,NOT('2 Matériel'!$B26="Oui")),IF(AND('2 Matériel'!$L26="Oui",'3 Options'!$C$16="Oui"),INDEX(Textes!$B$2:$C$52,MATCH("incl",Textes!$A$2:$A$52,0),Listes!$H$1),IF('2 Matériel'!$F26="","",'2 Matériel'!$F26)),"")</f>
        <v/>
      </c>
      <c r="F36" s="39">
        <f>IF(AND('2 Matériel'!$M26&gt;0,NOT('2 Matériel'!$B26="Oui")),IF(AND('2 Matériel'!$L26="Oui",'3 Options'!$C$16="Oui"),INDEX(Textes!$B$2:$C$52,MATCH("incl",Textes!$A$2:$A$52,0),Listes!$H$1),IF('2 Matériel'!$G26="","",'2 Matériel'!$G26)),"")</f>
        <v/>
      </c>
      <c r="G36" s="39">
        <f>IF(AND('2 Matériel'!$M26&gt;0,NOT('2 Matériel'!$B26="Oui")),IF(AND('2 Matériel'!$L26="Oui",'3 Options'!$C$16="Oui"),INDEX(Textes!$B$2:$C$52,MATCH("incl",Textes!$A$2:$A$52,0),Listes!$H$1),IF('2 Matériel'!$H26="","",'2 Matériel'!$H26)),"")</f>
        <v/>
      </c>
      <c r="H36" s="39">
        <f>IF(AND('2 Matériel'!$M26&gt;0,NOT('2 Matériel'!$B26="Oui")),IF(AND('2 Matériel'!$L26="Oui",'3 Options'!$C$16="Oui"),INDEX(Textes!$B$2:$C$52,MATCH("incl",Textes!$A$2:$A$52,0),Listes!$H$1),IF('2 Matériel'!$I26="","",'2 Matériel'!$I26)),"")</f>
        <v/>
      </c>
      <c r="I36" s="39">
        <f>IF(AND('2 Matériel'!$M26&gt;0,NOT('2 Matériel'!$B26="Oui")),IF(AND('2 Matériel'!$L26="Oui",'3 Options'!$C$16="Oui"),INDEX(Textes!$B$2:$C$52,MATCH("incl",Textes!$A$2:$A$52,0),Listes!$H$1),IF('2 Matériel'!$J26="","",'2 Matériel'!$J26)),"")</f>
        <v/>
      </c>
      <c r="J36" s="39">
        <f>IF(AND('2 Matériel'!$M26&gt;0,NOT('2 Matériel'!$B26="Oui")),IF(AND('2 Matériel'!$L26="Oui",'3 Options'!$C$16="Oui"),INDEX(Textes!$B$2:$C$52,MATCH("incl",Textes!$A$2:$A$52,0),Listes!$H$1),IF('2 Matériel'!$K26="","",'2 Matériel'!$K26)),"")</f>
        <v/>
      </c>
      <c r="K36" s="40">
        <f>IF(AND('2 Matériel'!$M26&gt;0,NOT('2 Matériel'!$B26="Oui")),IF(AND('2 Matériel'!$L26="Oui",'3 Options'!$C$16="Oui"),INDEX(Textes!$B$2:$C$52,MATCH("incl_long",Textes!$A$2:$A$52,0),Listes!$H$1),""),"")</f>
        <v/>
      </c>
      <c r="M36" s="41">
        <f>IF(AND('2 Matériel'!$M26&gt;0,'2 Matériel'!$B26="Oui"),1,0)</f>
        <v/>
      </c>
    </row>
    <row r="37" hidden="1" outlineLevel="1" ht="21" customHeight="1">
      <c r="B37" s="13">
        <f>IF(AND('2 Matériel'!$M27&gt;0,NOT('2 Matériel'!$B27="Oui")),'2 Matériel'!$A27,"")</f>
        <v/>
      </c>
      <c r="C37" s="37">
        <f>IF('2 Matériel'!$M27&gt;0,IF('2 Matériel'!$B27="Oui",UPPER('2 Matériel'!$C27),'2 Matériel'!$C27),"")</f>
        <v/>
      </c>
      <c r="D37" s="38">
        <f>IF(AND('2 Matériel'!$M27&gt;0,NOT('2 Matériel'!$B27="Oui")),'2 Matériel'!$M27,"")</f>
        <v/>
      </c>
      <c r="E37" s="39">
        <f>IF(AND('2 Matériel'!$M27&gt;0,NOT('2 Matériel'!$B27="Oui")),IF(AND('2 Matériel'!$L27="Oui",'3 Options'!$C$16="Oui"),INDEX(Textes!$B$2:$C$52,MATCH("incl",Textes!$A$2:$A$52,0),Listes!$H$1),IF('2 Matériel'!$F27="","",'2 Matériel'!$F27)),"")</f>
        <v/>
      </c>
      <c r="F37" s="39">
        <f>IF(AND('2 Matériel'!$M27&gt;0,NOT('2 Matériel'!$B27="Oui")),IF(AND('2 Matériel'!$L27="Oui",'3 Options'!$C$16="Oui"),INDEX(Textes!$B$2:$C$52,MATCH("incl",Textes!$A$2:$A$52,0),Listes!$H$1),IF('2 Matériel'!$G27="","",'2 Matériel'!$G27)),"")</f>
        <v/>
      </c>
      <c r="G37" s="39">
        <f>IF(AND('2 Matériel'!$M27&gt;0,NOT('2 Matériel'!$B27="Oui")),IF(AND('2 Matériel'!$L27="Oui",'3 Options'!$C$16="Oui"),INDEX(Textes!$B$2:$C$52,MATCH("incl",Textes!$A$2:$A$52,0),Listes!$H$1),IF('2 Matériel'!$H27="","",'2 Matériel'!$H27)),"")</f>
        <v/>
      </c>
      <c r="H37" s="39">
        <f>IF(AND('2 Matériel'!$M27&gt;0,NOT('2 Matériel'!$B27="Oui")),IF(AND('2 Matériel'!$L27="Oui",'3 Options'!$C$16="Oui"),INDEX(Textes!$B$2:$C$52,MATCH("incl",Textes!$A$2:$A$52,0),Listes!$H$1),IF('2 Matériel'!$I27="","",'2 Matériel'!$I27)),"")</f>
        <v/>
      </c>
      <c r="I37" s="39">
        <f>IF(AND('2 Matériel'!$M27&gt;0,NOT('2 Matériel'!$B27="Oui")),IF(AND('2 Matériel'!$L27="Oui",'3 Options'!$C$16="Oui"),INDEX(Textes!$B$2:$C$52,MATCH("incl",Textes!$A$2:$A$52,0),Listes!$H$1),IF('2 Matériel'!$J27="","",'2 Matériel'!$J27)),"")</f>
        <v/>
      </c>
      <c r="J37" s="39">
        <f>IF(AND('2 Matériel'!$M27&gt;0,NOT('2 Matériel'!$B27="Oui")),IF(AND('2 Matériel'!$L27="Oui",'3 Options'!$C$16="Oui"),INDEX(Textes!$B$2:$C$52,MATCH("incl",Textes!$A$2:$A$52,0),Listes!$H$1),IF('2 Matériel'!$K27="","",'2 Matériel'!$K27)),"")</f>
        <v/>
      </c>
      <c r="K37" s="40">
        <f>IF(AND('2 Matériel'!$M27&gt;0,NOT('2 Matériel'!$B27="Oui")),IF(AND('2 Matériel'!$L27="Oui",'3 Options'!$C$16="Oui"),INDEX(Textes!$B$2:$C$52,MATCH("incl_long",Textes!$A$2:$A$52,0),Listes!$H$1),""),"")</f>
        <v/>
      </c>
      <c r="M37" s="41">
        <f>IF(AND('2 Matériel'!$M27&gt;0,'2 Matériel'!$B27="Oui"),1,0)</f>
        <v/>
      </c>
    </row>
    <row r="38" hidden="1" outlineLevel="1" ht="21" customHeight="1">
      <c r="B38" s="13">
        <f>IF(AND('2 Matériel'!$M28&gt;0,NOT('2 Matériel'!$B28="Oui")),'2 Matériel'!$A28,"")</f>
        <v/>
      </c>
      <c r="C38" s="37">
        <f>IF('2 Matériel'!$M28&gt;0,IF('2 Matériel'!$B28="Oui",UPPER('2 Matériel'!$C28),'2 Matériel'!$C28),"")</f>
        <v/>
      </c>
      <c r="D38" s="38">
        <f>IF(AND('2 Matériel'!$M28&gt;0,NOT('2 Matériel'!$B28="Oui")),'2 Matériel'!$M28,"")</f>
        <v/>
      </c>
      <c r="E38" s="39">
        <f>IF(AND('2 Matériel'!$M28&gt;0,NOT('2 Matériel'!$B28="Oui")),IF(AND('2 Matériel'!$L28="Oui",'3 Options'!$C$16="Oui"),INDEX(Textes!$B$2:$C$52,MATCH("incl",Textes!$A$2:$A$52,0),Listes!$H$1),IF('2 Matériel'!$F28="","",'2 Matériel'!$F28)),"")</f>
        <v/>
      </c>
      <c r="F38" s="39">
        <f>IF(AND('2 Matériel'!$M28&gt;0,NOT('2 Matériel'!$B28="Oui")),IF(AND('2 Matériel'!$L28="Oui",'3 Options'!$C$16="Oui"),INDEX(Textes!$B$2:$C$52,MATCH("incl",Textes!$A$2:$A$52,0),Listes!$H$1),IF('2 Matériel'!$G28="","",'2 Matériel'!$G28)),"")</f>
        <v/>
      </c>
      <c r="G38" s="39">
        <f>IF(AND('2 Matériel'!$M28&gt;0,NOT('2 Matériel'!$B28="Oui")),IF(AND('2 Matériel'!$L28="Oui",'3 Options'!$C$16="Oui"),INDEX(Textes!$B$2:$C$52,MATCH("incl",Textes!$A$2:$A$52,0),Listes!$H$1),IF('2 Matériel'!$H28="","",'2 Matériel'!$H28)),"")</f>
        <v/>
      </c>
      <c r="H38" s="39">
        <f>IF(AND('2 Matériel'!$M28&gt;0,NOT('2 Matériel'!$B28="Oui")),IF(AND('2 Matériel'!$L28="Oui",'3 Options'!$C$16="Oui"),INDEX(Textes!$B$2:$C$52,MATCH("incl",Textes!$A$2:$A$52,0),Listes!$H$1),IF('2 Matériel'!$I28="","",'2 Matériel'!$I28)),"")</f>
        <v/>
      </c>
      <c r="I38" s="39">
        <f>IF(AND('2 Matériel'!$M28&gt;0,NOT('2 Matériel'!$B28="Oui")),IF(AND('2 Matériel'!$L28="Oui",'3 Options'!$C$16="Oui"),INDEX(Textes!$B$2:$C$52,MATCH("incl",Textes!$A$2:$A$52,0),Listes!$H$1),IF('2 Matériel'!$J28="","",'2 Matériel'!$J28)),"")</f>
        <v/>
      </c>
      <c r="J38" s="39">
        <f>IF(AND('2 Matériel'!$M28&gt;0,NOT('2 Matériel'!$B28="Oui")),IF(AND('2 Matériel'!$L28="Oui",'3 Options'!$C$16="Oui"),INDEX(Textes!$B$2:$C$52,MATCH("incl",Textes!$A$2:$A$52,0),Listes!$H$1),IF('2 Matériel'!$K28="","",'2 Matériel'!$K28)),"")</f>
        <v/>
      </c>
      <c r="K38" s="40">
        <f>IF(AND('2 Matériel'!$M28&gt;0,NOT('2 Matériel'!$B28="Oui")),IF(AND('2 Matériel'!$L28="Oui",'3 Options'!$C$16="Oui"),INDEX(Textes!$B$2:$C$52,MATCH("incl_long",Textes!$A$2:$A$52,0),Listes!$H$1),""),"")</f>
        <v/>
      </c>
      <c r="M38" s="41">
        <f>IF(AND('2 Matériel'!$M28&gt;0,'2 Matériel'!$B28="Oui"),1,0)</f>
        <v/>
      </c>
    </row>
    <row r="39" hidden="1" outlineLevel="1" ht="21" customHeight="1">
      <c r="B39" s="13">
        <f>IF(AND('2 Matériel'!$M29&gt;0,NOT('2 Matériel'!$B29="Oui")),'2 Matériel'!$A29,"")</f>
        <v/>
      </c>
      <c r="C39" s="37">
        <f>IF('2 Matériel'!$M29&gt;0,IF('2 Matériel'!$B29="Oui",UPPER('2 Matériel'!$C29),'2 Matériel'!$C29),"")</f>
        <v/>
      </c>
      <c r="D39" s="38">
        <f>IF(AND('2 Matériel'!$M29&gt;0,NOT('2 Matériel'!$B29="Oui")),'2 Matériel'!$M29,"")</f>
        <v/>
      </c>
      <c r="E39" s="39">
        <f>IF(AND('2 Matériel'!$M29&gt;0,NOT('2 Matériel'!$B29="Oui")),IF(AND('2 Matériel'!$L29="Oui",'3 Options'!$C$16="Oui"),INDEX(Textes!$B$2:$C$52,MATCH("incl",Textes!$A$2:$A$52,0),Listes!$H$1),IF('2 Matériel'!$F29="","",'2 Matériel'!$F29)),"")</f>
        <v/>
      </c>
      <c r="F39" s="39">
        <f>IF(AND('2 Matériel'!$M29&gt;0,NOT('2 Matériel'!$B29="Oui")),IF(AND('2 Matériel'!$L29="Oui",'3 Options'!$C$16="Oui"),INDEX(Textes!$B$2:$C$52,MATCH("incl",Textes!$A$2:$A$52,0),Listes!$H$1),IF('2 Matériel'!$G29="","",'2 Matériel'!$G29)),"")</f>
        <v/>
      </c>
      <c r="G39" s="39">
        <f>IF(AND('2 Matériel'!$M29&gt;0,NOT('2 Matériel'!$B29="Oui")),IF(AND('2 Matériel'!$L29="Oui",'3 Options'!$C$16="Oui"),INDEX(Textes!$B$2:$C$52,MATCH("incl",Textes!$A$2:$A$52,0),Listes!$H$1),IF('2 Matériel'!$H29="","",'2 Matériel'!$H29)),"")</f>
        <v/>
      </c>
      <c r="H39" s="39">
        <f>IF(AND('2 Matériel'!$M29&gt;0,NOT('2 Matériel'!$B29="Oui")),IF(AND('2 Matériel'!$L29="Oui",'3 Options'!$C$16="Oui"),INDEX(Textes!$B$2:$C$52,MATCH("incl",Textes!$A$2:$A$52,0),Listes!$H$1),IF('2 Matériel'!$I29="","",'2 Matériel'!$I29)),"")</f>
        <v/>
      </c>
      <c r="I39" s="39">
        <f>IF(AND('2 Matériel'!$M29&gt;0,NOT('2 Matériel'!$B29="Oui")),IF(AND('2 Matériel'!$L29="Oui",'3 Options'!$C$16="Oui"),INDEX(Textes!$B$2:$C$52,MATCH("incl",Textes!$A$2:$A$52,0),Listes!$H$1),IF('2 Matériel'!$J29="","",'2 Matériel'!$J29)),"")</f>
        <v/>
      </c>
      <c r="J39" s="39">
        <f>IF(AND('2 Matériel'!$M29&gt;0,NOT('2 Matériel'!$B29="Oui")),IF(AND('2 Matériel'!$L29="Oui",'3 Options'!$C$16="Oui"),INDEX(Textes!$B$2:$C$52,MATCH("incl",Textes!$A$2:$A$52,0),Listes!$H$1),IF('2 Matériel'!$K29="","",'2 Matériel'!$K29)),"")</f>
        <v/>
      </c>
      <c r="K39" s="40">
        <f>IF(AND('2 Matériel'!$M29&gt;0,NOT('2 Matériel'!$B29="Oui")),IF(AND('2 Matériel'!$L29="Oui",'3 Options'!$C$16="Oui"),INDEX(Textes!$B$2:$C$52,MATCH("incl_long",Textes!$A$2:$A$52,0),Listes!$H$1),""),"")</f>
        <v/>
      </c>
      <c r="M39" s="41">
        <f>IF(AND('2 Matériel'!$M29&gt;0,'2 Matériel'!$B29="Oui"),1,0)</f>
        <v/>
      </c>
    </row>
    <row r="40" ht="18" customHeight="1">
      <c r="B40" s="42">
        <f>IF(SUM('2 Matériel'!$M$20:$M$29)&gt;0,"⚠  Des lignes de matériel au-delà de la ligne 14 sont masquées : cliquer sur le [+] dans la marge gauche pour les afficher.","")</f>
        <v/>
      </c>
    </row>
    <row r="41" ht="10" customHeight="1"/>
    <row r="42" ht="18" customHeight="1">
      <c r="B42" s="43">
        <f>IF('3 Options'!$C$16="Oui",UPPER(INDEX(Textes!$B$2:$C$52,MATCH("forfait",Textes!$A$2:$A$52,0),Listes!$H$1)),"")</f>
        <v/>
      </c>
      <c r="M42" s="41">
        <f>IF('3 Options'!$C$16="Oui",1,0)</f>
        <v/>
      </c>
    </row>
    <row r="43" ht="40" customHeight="1">
      <c r="B43" s="44">
        <f>IF('3 Options'!$C$16="Oui",IF('3 Options'!$D$16&lt;&gt;"",'3 Options'!$D$16,INDEX(Textes!$B$2:$C$52,MATCH("forfait",Textes!$A$2:$A$52,0),Listes!$H$1)),"")</f>
        <v/>
      </c>
      <c r="I43" s="45">
        <f>IF('3 Options'!$C$16="Oui",'3 Options'!$H$16,"")</f>
        <v/>
      </c>
    </row>
    <row r="44" ht="30" customHeight="1">
      <c r="B44" s="46">
        <f>IF('3 Options'!$C$16="Oui",IF('3 Options'!$G$16="Forfait calculé (S + O + UC)",'3 Options'!$C$18&amp;" "&amp;SUBSTITUTE(INDEX(Textes!$B$2:$C$52,MATCH("calc_det",Textes!$A$2:$A$52,0),Listes!$H$1),"%s",'3 Options'!$C$19),IF('3 Options'!$G$16="Forfait par jour",'3 Options'!$E$16&amp;" j × "&amp;TEXT('3 Options'!$F$16,"#,##0.00")&amp;" €/j",""))&amp;IF(AND('3 Options'!$D$17&lt;&gt;"",'3 Options'!$G$16&lt;&gt;"Forfait global"),"  ·  ","")&amp;'3 Options'!$D$17,"")</f>
        <v/>
      </c>
      <c r="I44" s="47">
        <f>IF('3 Options'!$C$16="Oui",INDEX(Textes!$B$2:$C$52,MATCH("ht",Textes!$A$2:$A$52,0),Listes!$H$1),"")</f>
        <v/>
      </c>
    </row>
    <row r="45" ht="10" customHeight="1">
      <c r="B45" s="48" t="n"/>
      <c r="C45" s="48" t="n"/>
      <c r="D45" s="48" t="n"/>
      <c r="E45" s="48" t="n"/>
      <c r="F45" s="48" t="n"/>
      <c r="G45" s="48" t="n"/>
      <c r="H45" s="48" t="n"/>
      <c r="I45" s="48" t="n"/>
      <c r="J45" s="48" t="n"/>
      <c r="K45" s="48" t="n"/>
    </row>
    <row r="46" ht="10" customHeight="1">
      <c r="B46" s="48" t="n"/>
      <c r="C46" s="48" t="n"/>
      <c r="D46" s="48" t="n"/>
      <c r="E46" s="48" t="n"/>
      <c r="F46" s="48" t="n"/>
      <c r="G46" s="48" t="n"/>
      <c r="H46" s="48" t="n"/>
      <c r="I46" s="48" t="n"/>
      <c r="J46" s="48" t="n"/>
      <c r="K46" s="48" t="n"/>
    </row>
    <row r="47" ht="20" customHeight="1">
      <c r="B47" s="33">
        <f>INDEX(Textes!$B$2:$C$52,MATCH("sec_opt",Textes!$A$2:$A$52,0),Listes!$H$1)</f>
        <v/>
      </c>
      <c r="C47" s="34" t="n"/>
      <c r="D47" s="34" t="n"/>
      <c r="E47" s="34" t="n"/>
      <c r="F47" s="34" t="n"/>
      <c r="G47" s="34" t="n"/>
      <c r="H47" s="34" t="n"/>
      <c r="I47" s="34" t="n"/>
      <c r="J47" s="34" t="n"/>
      <c r="K47" s="34" t="n"/>
    </row>
    <row r="48" ht="20" customHeight="1">
      <c r="B48" s="49" t="n"/>
      <c r="C48" s="50">
        <f>INDEX(Textes!$B$2:$C$52,MATCH("h_label",Textes!$A$2:$A$52,0),Listes!$H$1)</f>
        <v/>
      </c>
      <c r="D48" s="49">
        <f>INDEX(Textes!$B$2:$C$52,MATCH("h_qty",Textes!$A$2:$A$52,0),Listes!$H$1)</f>
        <v/>
      </c>
      <c r="E48" s="49">
        <f>INDEX(Textes!$B$2:$C$52,MATCH("h_unit",Textes!$A$2:$A$52,0),Listes!$H$1)</f>
        <v/>
      </c>
      <c r="F48" s="49">
        <f>INDEX(Textes!$B$2:$C$52,MATCH("h_pu",Textes!$A$2:$A$52,0),Listes!$H$1)</f>
        <v/>
      </c>
      <c r="G48" s="49">
        <f>INDEX(Textes!$B$2:$C$52,MATCH("h_tot",Textes!$A$2:$A$52,0),Listes!$H$1)</f>
        <v/>
      </c>
      <c r="H48" s="50">
        <f>INDEX(Textes!$B$2:$C$52,MATCH("h_det",Textes!$A$2:$A$52,0),Listes!$H$1)</f>
        <v/>
      </c>
    </row>
    <row r="49" ht="21" customHeight="1">
      <c r="C49" s="51">
        <f>IF(ISNUMBER(MATCH(1,'3 Options'!$I$6:$I$13,0)),IF(INDEX('3 Options'!$D$6:$D$13,MATCH(1,'3 Options'!$I$6:$I$13,0))&lt;&gt;"",INDEX('3 Options'!$D$6:$D$13,MATCH(1,'3 Options'!$I$6:$I$13,0)),CHOOSE(MATCH(1,'3 Options'!$I$6:$I$13,0),INDEX(Textes!$B$2:$C$52,MATCH("op_day",Textes!$A$2:$A$52,0),Listes!$H$1),INDEX(Textes!$B$2:$C$52,MATCH("op_mob",Textes!$A$2:$A$52,0),Listes!$H$1),INDEX(Textes!$B$2:$C$52,MATCH("tight",Textes!$A$2:$A$52,0),Listes!$H$1),INDEX(Textes!$B$2:$C$52,MATCH("tr_mob",Textes!$A$2:$A$52,0),Listes!$H$1),INDEX(Textes!$B$2:$C$52,MATCH("tr_dem",Textes!$A$2:$A$52,0),Listes!$H$1),INDEX(Textes!$B$2:$C$52,MATCH("free",Textes!$A$2:$A$52,0),Listes!$H$1)&amp;" 1",INDEX(Textes!$B$2:$C$52,MATCH("free",Textes!$A$2:$A$52,0),Listes!$H$1)&amp;" 2",INDEX(Textes!$B$2:$C$52,MATCH("free",Textes!$A$2:$A$52,0),Listes!$H$1)&amp;" 3")),"")</f>
        <v/>
      </c>
      <c r="D49" s="38">
        <f>IF(ISNUMBER(MATCH(1,'3 Options'!$I$6:$I$13,0)),IF(INDEX('3 Options'!$G$6:$G$13,MATCH(1,'3 Options'!$I$6:$I$13,0))="Coût réel +15 %","",INDEX('3 Options'!$E$6:$E$13,MATCH(1,'3 Options'!$I$6:$I$13,0))),"")</f>
        <v/>
      </c>
      <c r="E49" s="38">
        <f>IF(ISNUMBER(MATCH(1,'3 Options'!$I$6:$I$13,0)),IF(INDEX('3 Options'!$G$6:$G$13,MATCH(1,'3 Options'!$I$6:$I$13,0))="Coût réel +15 %","",INDEX('3 Options'!$G$6:$G$13,MATCH(1,'3 Options'!$I$6:$I$13,0))),"")</f>
        <v/>
      </c>
      <c r="F49" s="39">
        <f>IF(ISNUMBER(MATCH(1,'3 Options'!$I$6:$I$13,0)),IF(INDEX('3 Options'!$G$6:$G$13,MATCH(1,'3 Options'!$I$6:$I$13,0))="Coût réel +15 %",INDEX(Textes!$B$2:$C$52,MATCH("at_cost",Textes!$A$2:$A$52,0),Listes!$H$1),IF(INDEX('3 Options'!$F$6:$F$13,MATCH(1,'3 Options'!$I$6:$I$13,0))="","",INDEX('3 Options'!$F$6:$F$13,MATCH(1,'3 Options'!$I$6:$I$13,0)))),"")</f>
        <v/>
      </c>
      <c r="G49" s="52">
        <f>IF(ISNUMBER(MATCH(1,'3 Options'!$I$6:$I$13,0)),IF(INDEX('3 Options'!$G$6:$G$13,MATCH(1,'3 Options'!$I$6:$I$13,0))="Coût réel +15 %","—",INDEX('3 Options'!$H$6:$H$13,MATCH(1,'3 Options'!$I$6:$I$13,0))),"")</f>
        <v/>
      </c>
      <c r="H49" s="53">
        <f>IF(ISNUMBER(MATCH(1,'3 Options'!$I$6:$I$13,0)),IF(OR(MATCH(1,'3 Options'!$I$6:$I$13,0)=4,MATCH(1,'3 Options'!$I$6:$I$13,0)=5),INDEX(Textes!$B$2:$C$52,MATCH("tr_note",Textes!$A$2:$A$52,0),Listes!$H$1),""),"")</f>
        <v/>
      </c>
    </row>
    <row r="50" ht="21" customHeight="1">
      <c r="C50" s="51">
        <f>IF(ISNUMBER(MATCH(2,'3 Options'!$I$6:$I$13,0)),IF(INDEX('3 Options'!$D$6:$D$13,MATCH(2,'3 Options'!$I$6:$I$13,0))&lt;&gt;"",INDEX('3 Options'!$D$6:$D$13,MATCH(2,'3 Options'!$I$6:$I$13,0)),CHOOSE(MATCH(2,'3 Options'!$I$6:$I$13,0),INDEX(Textes!$B$2:$C$52,MATCH("op_day",Textes!$A$2:$A$52,0),Listes!$H$1),INDEX(Textes!$B$2:$C$52,MATCH("op_mob",Textes!$A$2:$A$52,0),Listes!$H$1),INDEX(Textes!$B$2:$C$52,MATCH("tight",Textes!$A$2:$A$52,0),Listes!$H$1),INDEX(Textes!$B$2:$C$52,MATCH("tr_mob",Textes!$A$2:$A$52,0),Listes!$H$1),INDEX(Textes!$B$2:$C$52,MATCH("tr_dem",Textes!$A$2:$A$52,0),Listes!$H$1),INDEX(Textes!$B$2:$C$52,MATCH("free",Textes!$A$2:$A$52,0),Listes!$H$1)&amp;" 1",INDEX(Textes!$B$2:$C$52,MATCH("free",Textes!$A$2:$A$52,0),Listes!$H$1)&amp;" 2",INDEX(Textes!$B$2:$C$52,MATCH("free",Textes!$A$2:$A$52,0),Listes!$H$1)&amp;" 3")),"")</f>
        <v/>
      </c>
      <c r="D50" s="38">
        <f>IF(ISNUMBER(MATCH(2,'3 Options'!$I$6:$I$13,0)),IF(INDEX('3 Options'!$G$6:$G$13,MATCH(2,'3 Options'!$I$6:$I$13,0))="Coût réel +15 %","",INDEX('3 Options'!$E$6:$E$13,MATCH(2,'3 Options'!$I$6:$I$13,0))),"")</f>
        <v/>
      </c>
      <c r="E50" s="38">
        <f>IF(ISNUMBER(MATCH(2,'3 Options'!$I$6:$I$13,0)),IF(INDEX('3 Options'!$G$6:$G$13,MATCH(2,'3 Options'!$I$6:$I$13,0))="Coût réel +15 %","",INDEX('3 Options'!$G$6:$G$13,MATCH(2,'3 Options'!$I$6:$I$13,0))),"")</f>
        <v/>
      </c>
      <c r="F50" s="39">
        <f>IF(ISNUMBER(MATCH(2,'3 Options'!$I$6:$I$13,0)),IF(INDEX('3 Options'!$G$6:$G$13,MATCH(2,'3 Options'!$I$6:$I$13,0))="Coût réel +15 %",INDEX(Textes!$B$2:$C$52,MATCH("at_cost",Textes!$A$2:$A$52,0),Listes!$H$1),IF(INDEX('3 Options'!$F$6:$F$13,MATCH(2,'3 Options'!$I$6:$I$13,0))="","",INDEX('3 Options'!$F$6:$F$13,MATCH(2,'3 Options'!$I$6:$I$13,0)))),"")</f>
        <v/>
      </c>
      <c r="G50" s="52">
        <f>IF(ISNUMBER(MATCH(2,'3 Options'!$I$6:$I$13,0)),IF(INDEX('3 Options'!$G$6:$G$13,MATCH(2,'3 Options'!$I$6:$I$13,0))="Coût réel +15 %","—",INDEX('3 Options'!$H$6:$H$13,MATCH(2,'3 Options'!$I$6:$I$13,0))),"")</f>
        <v/>
      </c>
      <c r="H50" s="53">
        <f>IF(ISNUMBER(MATCH(2,'3 Options'!$I$6:$I$13,0)),IF(OR(MATCH(2,'3 Options'!$I$6:$I$13,0)=4,MATCH(2,'3 Options'!$I$6:$I$13,0)=5),INDEX(Textes!$B$2:$C$52,MATCH("tr_note",Textes!$A$2:$A$52,0),Listes!$H$1),""),"")</f>
        <v/>
      </c>
    </row>
    <row r="51" ht="21" customHeight="1">
      <c r="C51" s="51">
        <f>IF(ISNUMBER(MATCH(3,'3 Options'!$I$6:$I$13,0)),IF(INDEX('3 Options'!$D$6:$D$13,MATCH(3,'3 Options'!$I$6:$I$13,0))&lt;&gt;"",INDEX('3 Options'!$D$6:$D$13,MATCH(3,'3 Options'!$I$6:$I$13,0)),CHOOSE(MATCH(3,'3 Options'!$I$6:$I$13,0),INDEX(Textes!$B$2:$C$52,MATCH("op_day",Textes!$A$2:$A$52,0),Listes!$H$1),INDEX(Textes!$B$2:$C$52,MATCH("op_mob",Textes!$A$2:$A$52,0),Listes!$H$1),INDEX(Textes!$B$2:$C$52,MATCH("tight",Textes!$A$2:$A$52,0),Listes!$H$1),INDEX(Textes!$B$2:$C$52,MATCH("tr_mob",Textes!$A$2:$A$52,0),Listes!$H$1),INDEX(Textes!$B$2:$C$52,MATCH("tr_dem",Textes!$A$2:$A$52,0),Listes!$H$1),INDEX(Textes!$B$2:$C$52,MATCH("free",Textes!$A$2:$A$52,0),Listes!$H$1)&amp;" 1",INDEX(Textes!$B$2:$C$52,MATCH("free",Textes!$A$2:$A$52,0),Listes!$H$1)&amp;" 2",INDEX(Textes!$B$2:$C$52,MATCH("free",Textes!$A$2:$A$52,0),Listes!$H$1)&amp;" 3")),"")</f>
        <v/>
      </c>
      <c r="D51" s="38">
        <f>IF(ISNUMBER(MATCH(3,'3 Options'!$I$6:$I$13,0)),IF(INDEX('3 Options'!$G$6:$G$13,MATCH(3,'3 Options'!$I$6:$I$13,0))="Coût réel +15 %","",INDEX('3 Options'!$E$6:$E$13,MATCH(3,'3 Options'!$I$6:$I$13,0))),"")</f>
        <v/>
      </c>
      <c r="E51" s="38">
        <f>IF(ISNUMBER(MATCH(3,'3 Options'!$I$6:$I$13,0)),IF(INDEX('3 Options'!$G$6:$G$13,MATCH(3,'3 Options'!$I$6:$I$13,0))="Coût réel +15 %","",INDEX('3 Options'!$G$6:$G$13,MATCH(3,'3 Options'!$I$6:$I$13,0))),"")</f>
        <v/>
      </c>
      <c r="F51" s="39">
        <f>IF(ISNUMBER(MATCH(3,'3 Options'!$I$6:$I$13,0)),IF(INDEX('3 Options'!$G$6:$G$13,MATCH(3,'3 Options'!$I$6:$I$13,0))="Coût réel +15 %",INDEX(Textes!$B$2:$C$52,MATCH("at_cost",Textes!$A$2:$A$52,0),Listes!$H$1),IF(INDEX('3 Options'!$F$6:$F$13,MATCH(3,'3 Options'!$I$6:$I$13,0))="","",INDEX('3 Options'!$F$6:$F$13,MATCH(3,'3 Options'!$I$6:$I$13,0)))),"")</f>
        <v/>
      </c>
      <c r="G51" s="52">
        <f>IF(ISNUMBER(MATCH(3,'3 Options'!$I$6:$I$13,0)),IF(INDEX('3 Options'!$G$6:$G$13,MATCH(3,'3 Options'!$I$6:$I$13,0))="Coût réel +15 %","—",INDEX('3 Options'!$H$6:$H$13,MATCH(3,'3 Options'!$I$6:$I$13,0))),"")</f>
        <v/>
      </c>
      <c r="H51" s="53">
        <f>IF(ISNUMBER(MATCH(3,'3 Options'!$I$6:$I$13,0)),IF(OR(MATCH(3,'3 Options'!$I$6:$I$13,0)=4,MATCH(3,'3 Options'!$I$6:$I$13,0)=5),INDEX(Textes!$B$2:$C$52,MATCH("tr_note",Textes!$A$2:$A$52,0),Listes!$H$1),""),"")</f>
        <v/>
      </c>
    </row>
    <row r="52" ht="21" customHeight="1">
      <c r="C52" s="51">
        <f>IF(ISNUMBER(MATCH(4,'3 Options'!$I$6:$I$13,0)),IF(INDEX('3 Options'!$D$6:$D$13,MATCH(4,'3 Options'!$I$6:$I$13,0))&lt;&gt;"",INDEX('3 Options'!$D$6:$D$13,MATCH(4,'3 Options'!$I$6:$I$13,0)),CHOOSE(MATCH(4,'3 Options'!$I$6:$I$13,0),INDEX(Textes!$B$2:$C$52,MATCH("op_day",Textes!$A$2:$A$52,0),Listes!$H$1),INDEX(Textes!$B$2:$C$52,MATCH("op_mob",Textes!$A$2:$A$52,0),Listes!$H$1),INDEX(Textes!$B$2:$C$52,MATCH("tight",Textes!$A$2:$A$52,0),Listes!$H$1),INDEX(Textes!$B$2:$C$52,MATCH("tr_mob",Textes!$A$2:$A$52,0),Listes!$H$1),INDEX(Textes!$B$2:$C$52,MATCH("tr_dem",Textes!$A$2:$A$52,0),Listes!$H$1),INDEX(Textes!$B$2:$C$52,MATCH("free",Textes!$A$2:$A$52,0),Listes!$H$1)&amp;" 1",INDEX(Textes!$B$2:$C$52,MATCH("free",Textes!$A$2:$A$52,0),Listes!$H$1)&amp;" 2",INDEX(Textes!$B$2:$C$52,MATCH("free",Textes!$A$2:$A$52,0),Listes!$H$1)&amp;" 3")),"")</f>
        <v/>
      </c>
      <c r="D52" s="38">
        <f>IF(ISNUMBER(MATCH(4,'3 Options'!$I$6:$I$13,0)),IF(INDEX('3 Options'!$G$6:$G$13,MATCH(4,'3 Options'!$I$6:$I$13,0))="Coût réel +15 %","",INDEX('3 Options'!$E$6:$E$13,MATCH(4,'3 Options'!$I$6:$I$13,0))),"")</f>
        <v/>
      </c>
      <c r="E52" s="38">
        <f>IF(ISNUMBER(MATCH(4,'3 Options'!$I$6:$I$13,0)),IF(INDEX('3 Options'!$G$6:$G$13,MATCH(4,'3 Options'!$I$6:$I$13,0))="Coût réel +15 %","",INDEX('3 Options'!$G$6:$G$13,MATCH(4,'3 Options'!$I$6:$I$13,0))),"")</f>
        <v/>
      </c>
      <c r="F52" s="39">
        <f>IF(ISNUMBER(MATCH(4,'3 Options'!$I$6:$I$13,0)),IF(INDEX('3 Options'!$G$6:$G$13,MATCH(4,'3 Options'!$I$6:$I$13,0))="Coût réel +15 %",INDEX(Textes!$B$2:$C$52,MATCH("at_cost",Textes!$A$2:$A$52,0),Listes!$H$1),IF(INDEX('3 Options'!$F$6:$F$13,MATCH(4,'3 Options'!$I$6:$I$13,0))="","",INDEX('3 Options'!$F$6:$F$13,MATCH(4,'3 Options'!$I$6:$I$13,0)))),"")</f>
        <v/>
      </c>
      <c r="G52" s="52">
        <f>IF(ISNUMBER(MATCH(4,'3 Options'!$I$6:$I$13,0)),IF(INDEX('3 Options'!$G$6:$G$13,MATCH(4,'3 Options'!$I$6:$I$13,0))="Coût réel +15 %","—",INDEX('3 Options'!$H$6:$H$13,MATCH(4,'3 Options'!$I$6:$I$13,0))),"")</f>
        <v/>
      </c>
      <c r="H52" s="53">
        <f>IF(ISNUMBER(MATCH(4,'3 Options'!$I$6:$I$13,0)),IF(OR(MATCH(4,'3 Options'!$I$6:$I$13,0)=4,MATCH(4,'3 Options'!$I$6:$I$13,0)=5),INDEX(Textes!$B$2:$C$52,MATCH("tr_note",Textes!$A$2:$A$52,0),Listes!$H$1),""),"")</f>
        <v/>
      </c>
    </row>
    <row r="53" ht="21" customHeight="1">
      <c r="C53" s="51">
        <f>IF(ISNUMBER(MATCH(5,'3 Options'!$I$6:$I$13,0)),IF(INDEX('3 Options'!$D$6:$D$13,MATCH(5,'3 Options'!$I$6:$I$13,0))&lt;&gt;"",INDEX('3 Options'!$D$6:$D$13,MATCH(5,'3 Options'!$I$6:$I$13,0)),CHOOSE(MATCH(5,'3 Options'!$I$6:$I$13,0),INDEX(Textes!$B$2:$C$52,MATCH("op_day",Textes!$A$2:$A$52,0),Listes!$H$1),INDEX(Textes!$B$2:$C$52,MATCH("op_mob",Textes!$A$2:$A$52,0),Listes!$H$1),INDEX(Textes!$B$2:$C$52,MATCH("tight",Textes!$A$2:$A$52,0),Listes!$H$1),INDEX(Textes!$B$2:$C$52,MATCH("tr_mob",Textes!$A$2:$A$52,0),Listes!$H$1),INDEX(Textes!$B$2:$C$52,MATCH("tr_dem",Textes!$A$2:$A$52,0),Listes!$H$1),INDEX(Textes!$B$2:$C$52,MATCH("free",Textes!$A$2:$A$52,0),Listes!$H$1)&amp;" 1",INDEX(Textes!$B$2:$C$52,MATCH("free",Textes!$A$2:$A$52,0),Listes!$H$1)&amp;" 2",INDEX(Textes!$B$2:$C$52,MATCH("free",Textes!$A$2:$A$52,0),Listes!$H$1)&amp;" 3")),"")</f>
        <v/>
      </c>
      <c r="D53" s="38">
        <f>IF(ISNUMBER(MATCH(5,'3 Options'!$I$6:$I$13,0)),IF(INDEX('3 Options'!$G$6:$G$13,MATCH(5,'3 Options'!$I$6:$I$13,0))="Coût réel +15 %","",INDEX('3 Options'!$E$6:$E$13,MATCH(5,'3 Options'!$I$6:$I$13,0))),"")</f>
        <v/>
      </c>
      <c r="E53" s="38">
        <f>IF(ISNUMBER(MATCH(5,'3 Options'!$I$6:$I$13,0)),IF(INDEX('3 Options'!$G$6:$G$13,MATCH(5,'3 Options'!$I$6:$I$13,0))="Coût réel +15 %","",INDEX('3 Options'!$G$6:$G$13,MATCH(5,'3 Options'!$I$6:$I$13,0))),"")</f>
        <v/>
      </c>
      <c r="F53" s="39">
        <f>IF(ISNUMBER(MATCH(5,'3 Options'!$I$6:$I$13,0)),IF(INDEX('3 Options'!$G$6:$G$13,MATCH(5,'3 Options'!$I$6:$I$13,0))="Coût réel +15 %",INDEX(Textes!$B$2:$C$52,MATCH("at_cost",Textes!$A$2:$A$52,0),Listes!$H$1),IF(INDEX('3 Options'!$F$6:$F$13,MATCH(5,'3 Options'!$I$6:$I$13,0))="","",INDEX('3 Options'!$F$6:$F$13,MATCH(5,'3 Options'!$I$6:$I$13,0)))),"")</f>
        <v/>
      </c>
      <c r="G53" s="52">
        <f>IF(ISNUMBER(MATCH(5,'3 Options'!$I$6:$I$13,0)),IF(INDEX('3 Options'!$G$6:$G$13,MATCH(5,'3 Options'!$I$6:$I$13,0))="Coût réel +15 %","—",INDEX('3 Options'!$H$6:$H$13,MATCH(5,'3 Options'!$I$6:$I$13,0))),"")</f>
        <v/>
      </c>
      <c r="H53" s="53">
        <f>IF(ISNUMBER(MATCH(5,'3 Options'!$I$6:$I$13,0)),IF(OR(MATCH(5,'3 Options'!$I$6:$I$13,0)=4,MATCH(5,'3 Options'!$I$6:$I$13,0)=5),INDEX(Textes!$B$2:$C$52,MATCH("tr_note",Textes!$A$2:$A$52,0),Listes!$H$1),""),"")</f>
        <v/>
      </c>
    </row>
    <row r="54" ht="21" customHeight="1">
      <c r="C54" s="51">
        <f>IF(ISNUMBER(MATCH(6,'3 Options'!$I$6:$I$13,0)),IF(INDEX('3 Options'!$D$6:$D$13,MATCH(6,'3 Options'!$I$6:$I$13,0))&lt;&gt;"",INDEX('3 Options'!$D$6:$D$13,MATCH(6,'3 Options'!$I$6:$I$13,0)),CHOOSE(MATCH(6,'3 Options'!$I$6:$I$13,0),INDEX(Textes!$B$2:$C$52,MATCH("op_day",Textes!$A$2:$A$52,0),Listes!$H$1),INDEX(Textes!$B$2:$C$52,MATCH("op_mob",Textes!$A$2:$A$52,0),Listes!$H$1),INDEX(Textes!$B$2:$C$52,MATCH("tight",Textes!$A$2:$A$52,0),Listes!$H$1),INDEX(Textes!$B$2:$C$52,MATCH("tr_mob",Textes!$A$2:$A$52,0),Listes!$H$1),INDEX(Textes!$B$2:$C$52,MATCH("tr_dem",Textes!$A$2:$A$52,0),Listes!$H$1),INDEX(Textes!$B$2:$C$52,MATCH("free",Textes!$A$2:$A$52,0),Listes!$H$1)&amp;" 1",INDEX(Textes!$B$2:$C$52,MATCH("free",Textes!$A$2:$A$52,0),Listes!$H$1)&amp;" 2",INDEX(Textes!$B$2:$C$52,MATCH("free",Textes!$A$2:$A$52,0),Listes!$H$1)&amp;" 3")),"")</f>
        <v/>
      </c>
      <c r="D54" s="38">
        <f>IF(ISNUMBER(MATCH(6,'3 Options'!$I$6:$I$13,0)),IF(INDEX('3 Options'!$G$6:$G$13,MATCH(6,'3 Options'!$I$6:$I$13,0))="Coût réel +15 %","",INDEX('3 Options'!$E$6:$E$13,MATCH(6,'3 Options'!$I$6:$I$13,0))),"")</f>
        <v/>
      </c>
      <c r="E54" s="38">
        <f>IF(ISNUMBER(MATCH(6,'3 Options'!$I$6:$I$13,0)),IF(INDEX('3 Options'!$G$6:$G$13,MATCH(6,'3 Options'!$I$6:$I$13,0))="Coût réel +15 %","",INDEX('3 Options'!$G$6:$G$13,MATCH(6,'3 Options'!$I$6:$I$13,0))),"")</f>
        <v/>
      </c>
      <c r="F54" s="39">
        <f>IF(ISNUMBER(MATCH(6,'3 Options'!$I$6:$I$13,0)),IF(INDEX('3 Options'!$G$6:$G$13,MATCH(6,'3 Options'!$I$6:$I$13,0))="Coût réel +15 %",INDEX(Textes!$B$2:$C$52,MATCH("at_cost",Textes!$A$2:$A$52,0),Listes!$H$1),IF(INDEX('3 Options'!$F$6:$F$13,MATCH(6,'3 Options'!$I$6:$I$13,0))="","",INDEX('3 Options'!$F$6:$F$13,MATCH(6,'3 Options'!$I$6:$I$13,0)))),"")</f>
        <v/>
      </c>
      <c r="G54" s="52">
        <f>IF(ISNUMBER(MATCH(6,'3 Options'!$I$6:$I$13,0)),IF(INDEX('3 Options'!$G$6:$G$13,MATCH(6,'3 Options'!$I$6:$I$13,0))="Coût réel +15 %","—",INDEX('3 Options'!$H$6:$H$13,MATCH(6,'3 Options'!$I$6:$I$13,0))),"")</f>
        <v/>
      </c>
      <c r="H54" s="53">
        <f>IF(ISNUMBER(MATCH(6,'3 Options'!$I$6:$I$13,0)),IF(OR(MATCH(6,'3 Options'!$I$6:$I$13,0)=4,MATCH(6,'3 Options'!$I$6:$I$13,0)=5),INDEX(Textes!$B$2:$C$52,MATCH("tr_note",Textes!$A$2:$A$52,0),Listes!$H$1),""),"")</f>
        <v/>
      </c>
    </row>
    <row r="55" ht="21" customHeight="1">
      <c r="C55" s="51">
        <f>IF(ISNUMBER(MATCH(7,'3 Options'!$I$6:$I$13,0)),IF(INDEX('3 Options'!$D$6:$D$13,MATCH(7,'3 Options'!$I$6:$I$13,0))&lt;&gt;"",INDEX('3 Options'!$D$6:$D$13,MATCH(7,'3 Options'!$I$6:$I$13,0)),CHOOSE(MATCH(7,'3 Options'!$I$6:$I$13,0),INDEX(Textes!$B$2:$C$52,MATCH("op_day",Textes!$A$2:$A$52,0),Listes!$H$1),INDEX(Textes!$B$2:$C$52,MATCH("op_mob",Textes!$A$2:$A$52,0),Listes!$H$1),INDEX(Textes!$B$2:$C$52,MATCH("tight",Textes!$A$2:$A$52,0),Listes!$H$1),INDEX(Textes!$B$2:$C$52,MATCH("tr_mob",Textes!$A$2:$A$52,0),Listes!$H$1),INDEX(Textes!$B$2:$C$52,MATCH("tr_dem",Textes!$A$2:$A$52,0),Listes!$H$1),INDEX(Textes!$B$2:$C$52,MATCH("free",Textes!$A$2:$A$52,0),Listes!$H$1)&amp;" 1",INDEX(Textes!$B$2:$C$52,MATCH("free",Textes!$A$2:$A$52,0),Listes!$H$1)&amp;" 2",INDEX(Textes!$B$2:$C$52,MATCH("free",Textes!$A$2:$A$52,0),Listes!$H$1)&amp;" 3")),"")</f>
        <v/>
      </c>
      <c r="D55" s="38">
        <f>IF(ISNUMBER(MATCH(7,'3 Options'!$I$6:$I$13,0)),IF(INDEX('3 Options'!$G$6:$G$13,MATCH(7,'3 Options'!$I$6:$I$13,0))="Coût réel +15 %","",INDEX('3 Options'!$E$6:$E$13,MATCH(7,'3 Options'!$I$6:$I$13,0))),"")</f>
        <v/>
      </c>
      <c r="E55" s="38">
        <f>IF(ISNUMBER(MATCH(7,'3 Options'!$I$6:$I$13,0)),IF(INDEX('3 Options'!$G$6:$G$13,MATCH(7,'3 Options'!$I$6:$I$13,0))="Coût réel +15 %","",INDEX('3 Options'!$G$6:$G$13,MATCH(7,'3 Options'!$I$6:$I$13,0))),"")</f>
        <v/>
      </c>
      <c r="F55" s="39">
        <f>IF(ISNUMBER(MATCH(7,'3 Options'!$I$6:$I$13,0)),IF(INDEX('3 Options'!$G$6:$G$13,MATCH(7,'3 Options'!$I$6:$I$13,0))="Coût réel +15 %",INDEX(Textes!$B$2:$C$52,MATCH("at_cost",Textes!$A$2:$A$52,0),Listes!$H$1),IF(INDEX('3 Options'!$F$6:$F$13,MATCH(7,'3 Options'!$I$6:$I$13,0))="","",INDEX('3 Options'!$F$6:$F$13,MATCH(7,'3 Options'!$I$6:$I$13,0)))),"")</f>
        <v/>
      </c>
      <c r="G55" s="52">
        <f>IF(ISNUMBER(MATCH(7,'3 Options'!$I$6:$I$13,0)),IF(INDEX('3 Options'!$G$6:$G$13,MATCH(7,'3 Options'!$I$6:$I$13,0))="Coût réel +15 %","—",INDEX('3 Options'!$H$6:$H$13,MATCH(7,'3 Options'!$I$6:$I$13,0))),"")</f>
        <v/>
      </c>
      <c r="H55" s="53">
        <f>IF(ISNUMBER(MATCH(7,'3 Options'!$I$6:$I$13,0)),IF(OR(MATCH(7,'3 Options'!$I$6:$I$13,0)=4,MATCH(7,'3 Options'!$I$6:$I$13,0)=5),INDEX(Textes!$B$2:$C$52,MATCH("tr_note",Textes!$A$2:$A$52,0),Listes!$H$1),""),"")</f>
        <v/>
      </c>
    </row>
    <row r="56" ht="21" customHeight="1">
      <c r="C56" s="51">
        <f>IF(ISNUMBER(MATCH(8,'3 Options'!$I$6:$I$13,0)),IF(INDEX('3 Options'!$D$6:$D$13,MATCH(8,'3 Options'!$I$6:$I$13,0))&lt;&gt;"",INDEX('3 Options'!$D$6:$D$13,MATCH(8,'3 Options'!$I$6:$I$13,0)),CHOOSE(MATCH(8,'3 Options'!$I$6:$I$13,0),INDEX(Textes!$B$2:$C$52,MATCH("op_day",Textes!$A$2:$A$52,0),Listes!$H$1),INDEX(Textes!$B$2:$C$52,MATCH("op_mob",Textes!$A$2:$A$52,0),Listes!$H$1),INDEX(Textes!$B$2:$C$52,MATCH("tight",Textes!$A$2:$A$52,0),Listes!$H$1),INDEX(Textes!$B$2:$C$52,MATCH("tr_mob",Textes!$A$2:$A$52,0),Listes!$H$1),INDEX(Textes!$B$2:$C$52,MATCH("tr_dem",Textes!$A$2:$A$52,0),Listes!$H$1),INDEX(Textes!$B$2:$C$52,MATCH("free",Textes!$A$2:$A$52,0),Listes!$H$1)&amp;" 1",INDEX(Textes!$B$2:$C$52,MATCH("free",Textes!$A$2:$A$52,0),Listes!$H$1)&amp;" 2",INDEX(Textes!$B$2:$C$52,MATCH("free",Textes!$A$2:$A$52,0),Listes!$H$1)&amp;" 3")),"")</f>
        <v/>
      </c>
      <c r="D56" s="38">
        <f>IF(ISNUMBER(MATCH(8,'3 Options'!$I$6:$I$13,0)),IF(INDEX('3 Options'!$G$6:$G$13,MATCH(8,'3 Options'!$I$6:$I$13,0))="Coût réel +15 %","",INDEX('3 Options'!$E$6:$E$13,MATCH(8,'3 Options'!$I$6:$I$13,0))),"")</f>
        <v/>
      </c>
      <c r="E56" s="38">
        <f>IF(ISNUMBER(MATCH(8,'3 Options'!$I$6:$I$13,0)),IF(INDEX('3 Options'!$G$6:$G$13,MATCH(8,'3 Options'!$I$6:$I$13,0))="Coût réel +15 %","",INDEX('3 Options'!$G$6:$G$13,MATCH(8,'3 Options'!$I$6:$I$13,0))),"")</f>
        <v/>
      </c>
      <c r="F56" s="39">
        <f>IF(ISNUMBER(MATCH(8,'3 Options'!$I$6:$I$13,0)),IF(INDEX('3 Options'!$G$6:$G$13,MATCH(8,'3 Options'!$I$6:$I$13,0))="Coût réel +15 %",INDEX(Textes!$B$2:$C$52,MATCH("at_cost",Textes!$A$2:$A$52,0),Listes!$H$1),IF(INDEX('3 Options'!$F$6:$F$13,MATCH(8,'3 Options'!$I$6:$I$13,0))="","",INDEX('3 Options'!$F$6:$F$13,MATCH(8,'3 Options'!$I$6:$I$13,0)))),"")</f>
        <v/>
      </c>
      <c r="G56" s="52">
        <f>IF(ISNUMBER(MATCH(8,'3 Options'!$I$6:$I$13,0)),IF(INDEX('3 Options'!$G$6:$G$13,MATCH(8,'3 Options'!$I$6:$I$13,0))="Coût réel +15 %","—",INDEX('3 Options'!$H$6:$H$13,MATCH(8,'3 Options'!$I$6:$I$13,0))),"")</f>
        <v/>
      </c>
      <c r="H56" s="53">
        <f>IF(ISNUMBER(MATCH(8,'3 Options'!$I$6:$I$13,0)),IF(OR(MATCH(8,'3 Options'!$I$6:$I$13,0)=4,MATCH(8,'3 Options'!$I$6:$I$13,0)=5),INDEX(Textes!$B$2:$C$52,MATCH("tr_note",Textes!$A$2:$A$52,0),Listes!$H$1),""),"")</f>
        <v/>
      </c>
    </row>
    <row r="57" ht="10" customHeight="1"/>
    <row r="58" ht="20" customHeight="1">
      <c r="B58" s="33">
        <f>INDEX(Textes!$B$2:$C$52,MATCH("sec_cond",Textes!$A$2:$A$52,0),Listes!$H$1)</f>
        <v/>
      </c>
      <c r="C58" s="34" t="n"/>
      <c r="D58" s="34" t="n"/>
      <c r="E58" s="34" t="n"/>
      <c r="F58" s="34" t="n"/>
      <c r="G58" s="34" t="n"/>
      <c r="H58" s="34" t="n"/>
      <c r="I58" s="34" t="n"/>
      <c r="J58" s="34" t="n"/>
      <c r="K58" s="34" t="n"/>
    </row>
    <row r="59" ht="66" customHeight="1">
      <c r="B59" s="54" t="inlineStr">
        <is>
          <t>La location s'entend depuis le jour de départ de la base d'origine jusqu'à son retour au même endroit.
Le Wear Charge s'applique pour toute usure liée à un usage normal des équipements. En cas de dommages plus importants liés à un usage anormal, la valeur de remplacement sera facturée sur documentation.
Charges additionnelles à prévoir pour le colisage d'outils destinés à une expédition en aérien ou maritime.
Conditions générales de vente disponibles sur demande ou sur notre site internet www.enedril.com</t>
        </is>
      </c>
    </row>
    <row r="60" ht="66" customHeight="1">
      <c r="B60" s="54" t="inlineStr">
        <is>
          <t>The rental is from the day of departure from the base of origin until its return to the same place.
Wear Charge applies to all wear and tear related to normal use of equipment. In case of greater damage due to abnormal use, the replacement value will be charged based on supporting documentation.
Additional charges may apply for packing tools intended for air or ocean shipment.
General conditions of sale available upon request or on our website www.enedril.com</t>
        </is>
      </c>
    </row>
    <row r="61" ht="10" customHeight="1"/>
    <row r="62">
      <c r="B62" s="55">
        <f>INDEX(Textes!$B$2:$C$52,MATCH("accept",Textes!$A$2:$A$52,0),Listes!$H$1)</f>
        <v/>
      </c>
    </row>
    <row r="63" ht="16" customHeight="1">
      <c r="B63" s="56">
        <f>INDEX(Textes!$B$2:$C$52,MATCH("sig_name",Textes!$A$2:$A$52,0),Listes!$H$1)</f>
        <v/>
      </c>
      <c r="C63" s="57" t="n"/>
      <c r="D63" s="58" t="n"/>
      <c r="E63" s="56">
        <f>INDEX(Textes!$B$2:$C$52,MATCH("sig_date",Textes!$A$2:$A$52,0),Listes!$H$1)</f>
        <v/>
      </c>
      <c r="F63" s="57" t="n"/>
      <c r="G63" s="58" t="n"/>
      <c r="H63" s="56">
        <f>INDEX(Textes!$B$2:$C$52,MATCH("sig_sig",Textes!$A$2:$A$52,0),Listes!$H$1)</f>
        <v/>
      </c>
      <c r="I63" s="57" t="n"/>
      <c r="J63" s="57" t="n"/>
      <c r="K63" s="58" t="n"/>
    </row>
    <row r="64" ht="16" customHeight="1">
      <c r="B64" s="59" t="n"/>
      <c r="C64" s="48" t="n"/>
      <c r="D64" s="60" t="n"/>
      <c r="E64" s="59" t="n"/>
      <c r="F64" s="48" t="n"/>
      <c r="G64" s="60" t="n"/>
      <c r="H64" s="59" t="n"/>
      <c r="I64" s="48" t="n"/>
      <c r="J64" s="48" t="n"/>
      <c r="K64" s="60" t="n"/>
    </row>
    <row r="65" ht="16" customHeight="1">
      <c r="B65" s="59" t="n"/>
      <c r="C65" s="48" t="n"/>
      <c r="D65" s="60" t="n"/>
      <c r="E65" s="59" t="n"/>
      <c r="F65" s="48" t="n"/>
      <c r="G65" s="60" t="n"/>
      <c r="H65" s="59" t="n"/>
      <c r="I65" s="48" t="n"/>
      <c r="J65" s="48" t="n"/>
      <c r="K65" s="60" t="n"/>
    </row>
    <row r="66" ht="16" customHeight="1">
      <c r="B66" s="61" t="n"/>
      <c r="C66" s="32" t="n"/>
      <c r="D66" s="62" t="n"/>
      <c r="E66" s="61" t="n"/>
      <c r="F66" s="32" t="n"/>
      <c r="G66" s="62" t="n"/>
      <c r="H66" s="61" t="n"/>
      <c r="I66" s="32" t="n"/>
      <c r="J66" s="32" t="n"/>
      <c r="K66" s="62" t="n"/>
    </row>
    <row r="68">
      <c r="B68" s="63" t="inlineStr">
        <is>
          <t>ENEDRIL · Z-Induspal · 3 Av. des Lacs · 64140 LONS (France) · SIRET 79464246200020 · TVA FR11794642462</t>
        </is>
      </c>
    </row>
  </sheetData>
  <mergeCells count="55">
    <mergeCell ref="H63:K66"/>
    <mergeCell ref="D11:F11"/>
    <mergeCell ref="B7:C7"/>
    <mergeCell ref="B40:K40"/>
    <mergeCell ref="B68:K68"/>
    <mergeCell ref="I43:K43"/>
    <mergeCell ref="H48:K48"/>
    <mergeCell ref="G8:H8"/>
    <mergeCell ref="D7:F7"/>
    <mergeCell ref="B12:C12"/>
    <mergeCell ref="B63:D66"/>
    <mergeCell ref="G9:H9"/>
    <mergeCell ref="G7:H7"/>
    <mergeCell ref="B11:C11"/>
    <mergeCell ref="I5:K5"/>
    <mergeCell ref="G10:H10"/>
    <mergeCell ref="H53:K53"/>
    <mergeCell ref="I8:K8"/>
    <mergeCell ref="D12:F12"/>
    <mergeCell ref="D9:F9"/>
    <mergeCell ref="G6:H6"/>
    <mergeCell ref="B47:K47"/>
    <mergeCell ref="H54:K54"/>
    <mergeCell ref="D8:F8"/>
    <mergeCell ref="B8:C8"/>
    <mergeCell ref="I44:K44"/>
    <mergeCell ref="B62:K62"/>
    <mergeCell ref="B59:K59"/>
    <mergeCell ref="H55:K55"/>
    <mergeCell ref="H50:K50"/>
    <mergeCell ref="I10:K10"/>
    <mergeCell ref="D5:F5"/>
    <mergeCell ref="E63:G66"/>
    <mergeCell ref="H56:K56"/>
    <mergeCell ref="B58:K58"/>
    <mergeCell ref="B43:H43"/>
    <mergeCell ref="B10:C10"/>
    <mergeCell ref="I9:K9"/>
    <mergeCell ref="G5:H5"/>
    <mergeCell ref="B9:C9"/>
    <mergeCell ref="E1:K1"/>
    <mergeCell ref="B42:K42"/>
    <mergeCell ref="H49:K49"/>
    <mergeCell ref="H51:K51"/>
    <mergeCell ref="I6:K6"/>
    <mergeCell ref="D10:F10"/>
    <mergeCell ref="B60:K60"/>
    <mergeCell ref="B6:C6"/>
    <mergeCell ref="B14:K14"/>
    <mergeCell ref="H52:K52"/>
    <mergeCell ref="B5:C5"/>
    <mergeCell ref="B44:H44"/>
    <mergeCell ref="E2:K2"/>
    <mergeCell ref="D6:F6"/>
    <mergeCell ref="I7:K7"/>
  </mergeCells>
  <conditionalFormatting sqref="B16:K39">
    <cfRule type="expression" priority="1" dxfId="1" stopIfTrue="1">
      <formula>$M16=1</formula>
    </cfRule>
    <cfRule type="expression" priority="2" dxfId="2">
      <formula>$C16&lt;&gt;""</formula>
    </cfRule>
    <cfRule type="expression" priority="3" dxfId="3">
      <formula>AND($C16&lt;&gt;"",MOD(ROW(),2)=0)</formula>
    </cfRule>
  </conditionalFormatting>
  <conditionalFormatting sqref="E16:J39">
    <cfRule type="expression" priority="4" dxfId="4">
      <formula>E16="incl."</formula>
    </cfRule>
  </conditionalFormatting>
  <conditionalFormatting sqref="B42:K44">
    <cfRule type="expression" priority="5" dxfId="5">
      <formula>$M$42=1</formula>
    </cfRule>
  </conditionalFormatting>
  <conditionalFormatting sqref="B43">
    <cfRule type="expression" priority="6" dxfId="6">
      <formula>$M$42=1</formula>
    </cfRule>
  </conditionalFormatting>
  <conditionalFormatting sqref="B49:K56">
    <cfRule type="expression" priority="7" dxfId="2">
      <formula>$C49&lt;&gt;""</formula>
    </cfRule>
  </conditionalFormatting>
  <printOptions horizontalCentered="1"/>
  <pageMargins left="0.3" right="0.3" top="0.35" bottom="0.4" header="0.5" footer="0.5"/>
  <pageSetup orientation="landscape" paperSize="9" fitToHeight="0" fitToWidth="1"/>
  <headerFooter>
    <oddHeader/>
    <oddFooter>&amp;C&amp;8 Enedril · Devis &amp;P / &amp;N</oddFooter>
    <evenHeader/>
    <evenFooter/>
    <firstHeader/>
    <firstFooter/>
  </headerFooter>
  <rowBreaks count="1" manualBreakCount="1">
    <brk id="40" min="0" max="16383" man="1"/>
  </rowBreaks>
  <drawing xmlns:r="http://schemas.openxmlformats.org/officeDocument/2006/relationships" r:id="rId1"/>
</worksheet>
</file>

<file path=xl/worksheets/sheet5.xml><?xml version="1.0" encoding="utf-8"?>
<worksheet xmlns="http://schemas.openxmlformats.org/spreadsheetml/2006/main">
  <sheetPr>
    <tabColor rgb="009FB6CE"/>
    <outlinePr summaryBelow="1" summaryRight="1"/>
    <pageSetUpPr/>
  </sheetPr>
  <dimension ref="A1:Q12"/>
  <sheetViews>
    <sheetView showGridLines="0" workbookViewId="0">
      <selection activeCell="A1" sqref="A1"/>
    </sheetView>
  </sheetViews>
  <sheetFormatPr baseColWidth="8" defaultRowHeight="15"/>
  <cols>
    <col width="30" customWidth="1" min="1" max="1"/>
    <col width="30" customWidth="1" min="2" max="2"/>
    <col width="30" customWidth="1" min="4" max="4"/>
    <col width="30" customWidth="1" min="5" max="5"/>
    <col width="30" customWidth="1" min="6" max="6"/>
    <col width="30" customWidth="1" min="7" max="7"/>
    <col width="30" customWidth="1" min="10" max="10"/>
    <col width="30" customWidth="1" min="11" max="11"/>
    <col width="30" customWidth="1" min="12" max="12"/>
    <col width="30" customWidth="1" min="13" max="13"/>
    <col width="30" customWidth="1" min="14" max="14"/>
    <col width="30" customWidth="1" min="16" max="16"/>
    <col width="30" customWidth="1" min="17" max="17"/>
  </cols>
  <sheetData>
    <row r="1">
      <c r="A1" s="64" t="inlineStr">
        <is>
          <t>Contact Enedril</t>
        </is>
      </c>
      <c r="B1" s="64" t="inlineStr">
        <is>
          <t>E-mail</t>
        </is>
      </c>
      <c r="D1" s="64" t="inlineStr">
        <is>
          <t>Incoterm</t>
        </is>
      </c>
      <c r="E1" s="64" t="inlineStr">
        <is>
          <t>Validité</t>
        </is>
      </c>
      <c r="F1" s="64" t="inlineStr">
        <is>
          <t>Règlement</t>
        </is>
      </c>
      <c r="G1" s="64" t="inlineStr">
        <is>
          <t>Oui / Non</t>
        </is>
      </c>
      <c r="H1" s="65" t="n">
        <v>1</v>
      </c>
      <c r="J1" s="64" t="inlineStr">
        <is>
          <t>Support de colisage</t>
        </is>
      </c>
      <c r="K1" s="64" t="inlineStr">
        <is>
          <t>N° de colis</t>
        </is>
      </c>
      <c r="L1" s="64" t="inlineStr">
        <is>
          <t>Unité</t>
        </is>
      </c>
      <c r="M1" s="64" t="inlineStr">
        <is>
          <t>Mode transport</t>
        </is>
      </c>
      <c r="N1" s="64" t="inlineStr">
        <is>
          <t>Mode forfait</t>
        </is>
      </c>
      <c r="P1" s="64" t="inlineStr">
        <is>
          <t>Statut</t>
        </is>
      </c>
      <c r="Q1" s="64" t="inlineStr">
        <is>
          <t>Test / Taille</t>
        </is>
      </c>
    </row>
    <row r="2">
      <c r="A2" s="66" t="inlineStr">
        <is>
          <t>Fabien JACQUOT</t>
        </is>
      </c>
      <c r="B2" s="66" t="inlineStr">
        <is>
          <t>fjacquot@enedril.fr</t>
        </is>
      </c>
      <c r="D2" s="66" t="inlineStr">
        <is>
          <t>EXW Lons</t>
        </is>
      </c>
      <c r="E2" s="66" t="inlineStr">
        <is>
          <t>15 jours / 15 days</t>
        </is>
      </c>
      <c r="F2" s="66" t="inlineStr">
        <is>
          <t>30 jours date de facture / 30 days invoice date</t>
        </is>
      </c>
      <c r="G2" s="66" t="inlineStr">
        <is>
          <t>Oui</t>
        </is>
      </c>
      <c r="H2" s="67" t="inlineStr">
        <is>
          <t>← langue du devis : 1 = français, 2 = anglais</t>
        </is>
      </c>
      <c r="J2" s="66" t="inlineStr">
        <is>
          <t>Palette</t>
        </is>
      </c>
      <c r="K2" s="66" t="inlineStr">
        <is>
          <t>P1</t>
        </is>
      </c>
      <c r="L2" s="66" t="inlineStr">
        <is>
          <t>forfait</t>
        </is>
      </c>
      <c r="M2" s="66" t="inlineStr">
        <is>
          <t>Coût réel +15 %</t>
        </is>
      </c>
      <c r="N2" s="66" t="inlineStr">
        <is>
          <t>Forfait calculé (S + O + UC)</t>
        </is>
      </c>
      <c r="P2" s="66" t="inlineStr">
        <is>
          <t>Oui</t>
        </is>
      </c>
      <c r="Q2" s="66" t="inlineStr">
        <is>
          <t>Taille OK</t>
        </is>
      </c>
    </row>
    <row r="3">
      <c r="A3" s="66" t="inlineStr">
        <is>
          <t>Alexis ESTINES</t>
        </is>
      </c>
      <c r="B3" s="66" t="inlineStr">
        <is>
          <t>aestines@enedril.fr</t>
        </is>
      </c>
      <c r="D3" s="66" t="inlineStr">
        <is>
          <t>FCA Lons</t>
        </is>
      </c>
      <c r="E3" s="66" t="inlineStr">
        <is>
          <t>30 jours / 30 days</t>
        </is>
      </c>
      <c r="F3" s="66" t="inlineStr">
        <is>
          <t>30 jours fin de mois / 30 days end of month</t>
        </is>
      </c>
      <c r="G3" s="66" t="inlineStr">
        <is>
          <t>Non</t>
        </is>
      </c>
      <c r="J3" s="66" t="inlineStr">
        <is>
          <t>Fishing basket</t>
        </is>
      </c>
      <c r="K3" s="66" t="inlineStr">
        <is>
          <t>P2</t>
        </is>
      </c>
      <c r="L3" s="66" t="inlineStr">
        <is>
          <t>€/jour</t>
        </is>
      </c>
      <c r="M3" s="66" t="inlineStr">
        <is>
          <t>Forfait</t>
        </is>
      </c>
      <c r="N3" s="66" t="inlineStr">
        <is>
          <t>Forfait global</t>
        </is>
      </c>
      <c r="P3" s="66" t="inlineStr">
        <is>
          <t>En cours</t>
        </is>
      </c>
      <c r="Q3" s="66" t="inlineStr">
        <is>
          <t>Test OK</t>
        </is>
      </c>
    </row>
    <row r="4">
      <c r="A4" s="66" t="inlineStr">
        <is>
          <t>Paul HYNDERICK</t>
        </is>
      </c>
      <c r="B4" s="66" t="inlineStr">
        <is>
          <t>phynderick@enedril.fr</t>
        </is>
      </c>
      <c r="D4" s="66" t="inlineStr">
        <is>
          <t>DAP</t>
        </is>
      </c>
      <c r="E4" s="66" t="inlineStr">
        <is>
          <t>60 jours / 60 days</t>
        </is>
      </c>
      <c r="F4" s="66" t="inlineStr">
        <is>
          <t>45 jours fin de mois / 45 days end of month</t>
        </is>
      </c>
      <c r="J4" s="66" t="inlineStr">
        <is>
          <t>Caisse</t>
        </is>
      </c>
      <c r="K4" s="66" t="inlineStr">
        <is>
          <t>P3</t>
        </is>
      </c>
      <c r="L4" s="66" t="inlineStr">
        <is>
          <t>€/jour/pers</t>
        </is>
      </c>
      <c r="N4" s="66" t="inlineStr">
        <is>
          <t>Forfait par jour</t>
        </is>
      </c>
      <c r="Q4" s="66" t="inlineStr">
        <is>
          <t>Taille + test OK</t>
        </is>
      </c>
    </row>
    <row r="5">
      <c r="A5" s="66" t="inlineStr">
        <is>
          <t>Céline CARDONA</t>
        </is>
      </c>
      <c r="B5" s="66" t="inlineStr">
        <is>
          <t>ccardona@enedril.fr</t>
        </is>
      </c>
      <c r="D5" s="66" t="inlineStr">
        <is>
          <t>DDP</t>
        </is>
      </c>
      <c r="E5" s="66" t="inlineStr">
        <is>
          <t>90 jours / 90 days</t>
        </is>
      </c>
      <c r="F5" s="66" t="inlineStr">
        <is>
          <t>À la commande / Upon order</t>
        </is>
      </c>
      <c r="J5" s="66" t="inlineStr">
        <is>
          <t>Loose (vrac)</t>
        </is>
      </c>
      <c r="K5" s="66" t="inlineStr">
        <is>
          <t>P4</t>
        </is>
      </c>
      <c r="L5" s="66" t="inlineStr">
        <is>
          <t>€/pers</t>
        </is>
      </c>
      <c r="Q5" s="66" t="inlineStr">
        <is>
          <t>À contrôler</t>
        </is>
      </c>
    </row>
    <row r="6">
      <c r="A6" s="66" t="inlineStr">
        <is>
          <t>Koen MONDELAERS</t>
        </is>
      </c>
      <c r="B6" s="66" t="inlineStr">
        <is>
          <t>kmondelaers@enedril.fr</t>
        </is>
      </c>
      <c r="D6" s="66" t="inlineStr">
        <is>
          <t>FOB</t>
        </is>
      </c>
      <c r="K6" s="66" t="inlineStr">
        <is>
          <t>P5</t>
        </is>
      </c>
      <c r="L6" s="66" t="inlineStr">
        <is>
          <t>€/unité</t>
        </is>
      </c>
    </row>
    <row r="7">
      <c r="A7" s="66" t="inlineStr">
        <is>
          <t>Luigi LIBERATORE</t>
        </is>
      </c>
      <c r="B7" s="66" t="inlineStr">
        <is>
          <t>lliberatore@enedril.fr</t>
        </is>
      </c>
      <c r="K7" s="66" t="inlineStr">
        <is>
          <t>P6</t>
        </is>
      </c>
    </row>
    <row r="8">
      <c r="K8" s="66" t="inlineStr">
        <is>
          <t>P7</t>
        </is>
      </c>
    </row>
    <row r="9">
      <c r="K9" s="66" t="inlineStr">
        <is>
          <t>P8</t>
        </is>
      </c>
    </row>
    <row r="10">
      <c r="A10" s="21" t="inlineStr">
        <is>
          <t>Pour ajouter un contact, une validité, etc. : écrire à la suite dans la colonne (les listes déroulantes lisent les 12 premières lignes).</t>
        </is>
      </c>
      <c r="K10" s="66" t="inlineStr">
        <is>
          <t>P9</t>
        </is>
      </c>
    </row>
    <row r="11">
      <c r="K11" s="66" t="inlineStr">
        <is>
          <t>P10</t>
        </is>
      </c>
    </row>
    <row r="12">
      <c r="K12" s="66" t="inlineStr">
        <is>
          <t>Loose</t>
        </is>
      </c>
    </row>
  </sheetData>
  <pageMargins left="0.75" right="0.75" top="1" bottom="1" header="0.5" footer="0.5"/>
</worksheet>
</file>

<file path=xl/worksheets/sheet6.xml><?xml version="1.0" encoding="utf-8"?>
<worksheet xmlns="http://schemas.openxmlformats.org/spreadsheetml/2006/main">
  <sheetPr>
    <tabColor rgb="009FB6CE"/>
    <outlinePr summaryBelow="1" summaryRight="1"/>
    <pageSetUpPr/>
  </sheetPr>
  <dimension ref="A1:C52"/>
  <sheetViews>
    <sheetView showGridLines="0" workbookViewId="0">
      <selection activeCell="A1" sqref="A1"/>
    </sheetView>
  </sheetViews>
  <sheetFormatPr baseColWidth="8" defaultRowHeight="15"/>
  <cols>
    <col width="14" customWidth="1" min="1" max="1"/>
    <col width="60" customWidth="1" min="2" max="2"/>
    <col width="60" customWidth="1" min="3" max="3"/>
  </cols>
  <sheetData>
    <row r="1">
      <c r="A1" s="64" t="inlineStr">
        <is>
          <t>Clé</t>
        </is>
      </c>
      <c r="B1" s="64" t="inlineStr">
        <is>
          <t>Français</t>
        </is>
      </c>
      <c r="C1" s="64" t="inlineStr">
        <is>
          <t>English</t>
        </is>
      </c>
    </row>
    <row r="2">
      <c r="A2" s="68" t="inlineStr">
        <is>
          <t>title</t>
        </is>
      </c>
      <c r="B2" s="68" t="inlineStr">
        <is>
          <t>OFFRE DE LOCATION</t>
        </is>
      </c>
      <c r="C2" s="68" t="inlineStr">
        <is>
          <t>EQUIPMENT RENTAL QUOTATION</t>
        </is>
      </c>
    </row>
    <row r="3">
      <c r="A3" s="68" t="inlineStr">
        <is>
          <t>client</t>
        </is>
      </c>
      <c r="B3" s="68" t="inlineStr">
        <is>
          <t>Client</t>
        </is>
      </c>
      <c r="C3" s="68" t="inlineStr">
        <is>
          <t>Company</t>
        </is>
      </c>
    </row>
    <row r="4">
      <c r="A4" s="68" t="inlineStr">
        <is>
          <t>attn</t>
        </is>
      </c>
      <c r="B4" s="68" t="inlineStr">
        <is>
          <t>À l'attention de</t>
        </is>
      </c>
      <c r="C4" s="68" t="inlineStr">
        <is>
          <t>Attention</t>
        </is>
      </c>
    </row>
    <row r="5">
      <c r="A5" s="68" t="inlineStr">
        <is>
          <t>well</t>
        </is>
      </c>
      <c r="B5" s="68" t="inlineStr">
        <is>
          <t>Puits / Chantier</t>
        </is>
      </c>
      <c r="C5" s="68" t="inlineStr">
        <is>
          <t>Well / Location</t>
        </is>
      </c>
    </row>
    <row r="6">
      <c r="A6" s="68" t="inlineStr">
        <is>
          <t>rig</t>
        </is>
      </c>
      <c r="B6" s="68" t="inlineStr">
        <is>
          <t>Rig</t>
        </is>
      </c>
      <c r="C6" s="68" t="inlineStr">
        <is>
          <t>Rig</t>
        </is>
      </c>
    </row>
    <row r="7">
      <c r="A7" s="68" t="inlineStr">
        <is>
          <t>offer</t>
        </is>
      </c>
      <c r="B7" s="68" t="inlineStr">
        <is>
          <t>N° d'offre</t>
        </is>
      </c>
      <c r="C7" s="68" t="inlineStr">
        <is>
          <t>Offer N°</t>
        </is>
      </c>
    </row>
    <row r="8">
      <c r="A8" s="68" t="inlineStr">
        <is>
          <t>date</t>
        </is>
      </c>
      <c r="B8" s="68" t="inlineStr">
        <is>
          <t>Date</t>
        </is>
      </c>
      <c r="C8" s="68" t="inlineStr">
        <is>
          <t>Date</t>
        </is>
      </c>
    </row>
    <row r="9">
      <c r="A9" s="68" t="inlineStr">
        <is>
          <t>valid</t>
        </is>
      </c>
      <c r="B9" s="68" t="inlineStr">
        <is>
          <t>Validité de l'offre</t>
        </is>
      </c>
      <c r="C9" s="68" t="inlineStr">
        <is>
          <t>Validity</t>
        </is>
      </c>
    </row>
    <row r="10">
      <c r="A10" s="68" t="inlineStr">
        <is>
          <t>inco</t>
        </is>
      </c>
      <c r="B10" s="68" t="inlineStr">
        <is>
          <t>Incoterm</t>
        </is>
      </c>
      <c r="C10" s="68" t="inlineStr">
        <is>
          <t>Incoterm</t>
        </is>
      </c>
    </row>
    <row r="11">
      <c r="A11" s="68" t="inlineStr">
        <is>
          <t>lead</t>
        </is>
      </c>
      <c r="B11" s="68" t="inlineStr">
        <is>
          <t>Délai de mise à dispo</t>
        </is>
      </c>
      <c r="C11" s="68" t="inlineStr">
        <is>
          <t>Lead time</t>
        </is>
      </c>
    </row>
    <row r="12">
      <c r="A12" s="68" t="inlineStr">
        <is>
          <t>pay</t>
        </is>
      </c>
      <c r="B12" s="68" t="inlineStr">
        <is>
          <t>Conditions de règlement</t>
        </is>
      </c>
      <c r="C12" s="68" t="inlineStr">
        <is>
          <t>Payment terms</t>
        </is>
      </c>
    </row>
    <row r="13">
      <c r="A13" s="68" t="inlineStr">
        <is>
          <t>we</t>
        </is>
      </c>
      <c r="B13" s="68" t="inlineStr">
        <is>
          <t>Facturation WE et jours fériés</t>
        </is>
      </c>
      <c r="C13" s="68" t="inlineStr">
        <is>
          <t>Weekend &amp; holiday billing</t>
        </is>
      </c>
    </row>
    <row r="14">
      <c r="A14" s="68" t="inlineStr">
        <is>
          <t>by</t>
        </is>
      </c>
      <c r="B14" s="68" t="inlineStr">
        <is>
          <t>Établi par</t>
        </is>
      </c>
      <c r="C14" s="68" t="inlineStr">
        <is>
          <t>Established by</t>
        </is>
      </c>
    </row>
    <row r="15">
      <c r="A15" s="68" t="inlineStr">
        <is>
          <t>mail</t>
        </is>
      </c>
      <c r="B15" s="68" t="inlineStr">
        <is>
          <t>E-mail</t>
        </is>
      </c>
      <c r="C15" s="68" t="inlineStr">
        <is>
          <t>E-mail</t>
        </is>
      </c>
    </row>
    <row r="16">
      <c r="A16" s="68" t="inlineStr">
        <is>
          <t>tel</t>
        </is>
      </c>
      <c r="B16" s="68" t="inlineStr">
        <is>
          <t>Téléphone</t>
        </is>
      </c>
      <c r="C16" s="68" t="inlineStr">
        <is>
          <t>Phone</t>
        </is>
      </c>
    </row>
    <row r="17">
      <c r="A17" s="68" t="inlineStr">
        <is>
          <t>sec_eq</t>
        </is>
      </c>
      <c r="B17" s="68" t="inlineStr">
        <is>
          <t>MATÉRIEL</t>
        </is>
      </c>
      <c r="C17" s="68" t="inlineStr">
        <is>
          <t>EQUIPMENT</t>
        </is>
      </c>
    </row>
    <row r="18">
      <c r="A18" s="68" t="inlineStr">
        <is>
          <t>h_n</t>
        </is>
      </c>
      <c r="B18" s="68" t="inlineStr">
        <is>
          <t>#</t>
        </is>
      </c>
      <c r="C18" s="68" t="inlineStr">
        <is>
          <t>#</t>
        </is>
      </c>
    </row>
    <row r="19">
      <c r="A19" s="68" t="inlineStr">
        <is>
          <t>h_desc</t>
        </is>
      </c>
      <c r="B19" s="68" t="inlineStr">
        <is>
          <t>Description</t>
        </is>
      </c>
      <c r="C19" s="68" t="inlineStr">
        <is>
          <t>Description</t>
        </is>
      </c>
    </row>
    <row r="20">
      <c r="A20" s="68" t="inlineStr">
        <is>
          <t>h_qty</t>
        </is>
      </c>
      <c r="B20" s="68" t="inlineStr">
        <is>
          <t>Qté</t>
        </is>
      </c>
      <c r="C20" s="68" t="inlineStr">
        <is>
          <t>Qty</t>
        </is>
      </c>
    </row>
    <row r="21">
      <c r="A21" s="68" t="inlineStr">
        <is>
          <t>h_s</t>
        </is>
      </c>
      <c r="B21" s="68" t="inlineStr">
        <is>
          <t>Stand-by (S)
€ / jour / item</t>
        </is>
      </c>
      <c r="C21" s="68" t="inlineStr">
        <is>
          <t>Stand-by (S)
daily rate / item</t>
        </is>
      </c>
    </row>
    <row r="22">
      <c r="A22" s="68" t="inlineStr">
        <is>
          <t>h_o</t>
        </is>
      </c>
      <c r="B22" s="68" t="inlineStr">
        <is>
          <t>Opérations (O)
€ / jour / item</t>
        </is>
      </c>
      <c r="C22" s="68" t="inlineStr">
        <is>
          <t>Operations (O)
daily rate / item</t>
        </is>
      </c>
    </row>
    <row r="23">
      <c r="A23" s="68" t="inlineStr">
        <is>
          <t>h_uc</t>
        </is>
      </c>
      <c r="B23" s="68" t="inlineStr">
        <is>
          <t>Utilisation
Charge (UC)
€ / item</t>
        </is>
      </c>
      <c r="C23" s="68" t="inlineStr">
        <is>
          <t>Utilisation
Charge (UC)
per item</t>
        </is>
      </c>
    </row>
    <row r="24">
      <c r="A24" s="68" t="inlineStr">
        <is>
          <t>h_lih</t>
        </is>
      </c>
      <c r="B24" s="68" t="inlineStr">
        <is>
          <t>Valeur de remplacement
(LIH / DBR) € / item</t>
        </is>
      </c>
      <c r="C24" s="68" t="inlineStr">
        <is>
          <t>Replacement value
(LIH / DBR) per item</t>
        </is>
      </c>
    </row>
    <row r="25">
      <c r="A25" s="68" t="inlineStr">
        <is>
          <t>h_insp</t>
        </is>
      </c>
      <c r="B25" s="68" t="inlineStr">
        <is>
          <t>Inspection
€ / item</t>
        </is>
      </c>
      <c r="C25" s="68" t="inlineStr">
        <is>
          <t>Inspection
per item</t>
        </is>
      </c>
    </row>
    <row r="26">
      <c r="A26" s="68" t="inlineStr">
        <is>
          <t>h_rest</t>
        </is>
      </c>
      <c r="B26" s="68" t="inlineStr">
        <is>
          <t>Restocking
€</t>
        </is>
      </c>
      <c r="C26" s="68" t="inlineStr">
        <is>
          <t>Restocking
charge</t>
        </is>
      </c>
    </row>
    <row r="27">
      <c r="A27" s="68" t="inlineStr">
        <is>
          <t>h_ref</t>
        </is>
      </c>
      <c r="B27" s="68" t="inlineStr">
        <is>
          <t>Remarques</t>
        </is>
      </c>
      <c r="C27" s="68" t="inlineStr">
        <is>
          <t>Remarks</t>
        </is>
      </c>
    </row>
    <row r="28">
      <c r="A28" s="68" t="inlineStr">
        <is>
          <t>incl</t>
        </is>
      </c>
      <c r="B28" s="68" t="inlineStr">
        <is>
          <t>incl.</t>
        </is>
      </c>
      <c r="C28" s="68" t="inlineStr">
        <is>
          <t>incl.</t>
        </is>
      </c>
    </row>
    <row r="29">
      <c r="A29" s="68" t="inlineStr">
        <is>
          <t>incl_long</t>
        </is>
      </c>
      <c r="B29" s="68" t="inlineStr">
        <is>
          <t>Inclus au forfait</t>
        </is>
      </c>
      <c r="C29" s="68" t="inlineStr">
        <is>
          <t>Included in lump sum</t>
        </is>
      </c>
    </row>
    <row r="30">
      <c r="A30" s="68" t="inlineStr">
        <is>
          <t>sec_opt</t>
        </is>
      </c>
      <c r="B30" s="68" t="inlineStr">
        <is>
          <t>PRESTATIONS ET OPTIONS</t>
        </is>
      </c>
      <c r="C30" s="68" t="inlineStr">
        <is>
          <t>SERVICES AND OPTIONS</t>
        </is>
      </c>
    </row>
    <row r="31">
      <c r="A31" s="68" t="inlineStr">
        <is>
          <t>h_label</t>
        </is>
      </c>
      <c r="B31" s="68" t="inlineStr">
        <is>
          <t>Prestation</t>
        </is>
      </c>
      <c r="C31" s="68" t="inlineStr">
        <is>
          <t>Service</t>
        </is>
      </c>
    </row>
    <row r="32">
      <c r="A32" s="68" t="inlineStr">
        <is>
          <t>h_unit</t>
        </is>
      </c>
      <c r="B32" s="68" t="inlineStr">
        <is>
          <t>Unité</t>
        </is>
      </c>
      <c r="C32" s="68" t="inlineStr">
        <is>
          <t>Unit</t>
        </is>
      </c>
    </row>
    <row r="33">
      <c r="A33" s="68" t="inlineStr">
        <is>
          <t>h_pu</t>
        </is>
      </c>
      <c r="B33" s="68" t="inlineStr">
        <is>
          <t>Prix unitaire €</t>
        </is>
      </c>
      <c r="C33" s="68" t="inlineStr">
        <is>
          <t>Unit price €</t>
        </is>
      </c>
    </row>
    <row r="34">
      <c r="A34" s="68" t="inlineStr">
        <is>
          <t>h_tot</t>
        </is>
      </c>
      <c r="B34" s="68" t="inlineStr">
        <is>
          <t>Total €</t>
        </is>
      </c>
      <c r="C34" s="68" t="inlineStr">
        <is>
          <t>Total €</t>
        </is>
      </c>
    </row>
    <row r="35">
      <c r="A35" s="68" t="inlineStr">
        <is>
          <t>h_det</t>
        </is>
      </c>
      <c r="B35" s="68" t="inlineStr">
        <is>
          <t>Détail</t>
        </is>
      </c>
      <c r="C35" s="68" t="inlineStr">
        <is>
          <t>Details</t>
        </is>
      </c>
    </row>
    <row r="36">
      <c r="A36" s="68" t="inlineStr">
        <is>
          <t>op_day</t>
        </is>
      </c>
      <c r="B36" s="68" t="inlineStr">
        <is>
          <t>Opérateur · tarif journalier</t>
        </is>
      </c>
      <c r="C36" s="68" t="inlineStr">
        <is>
          <t>Operator · daily rate</t>
        </is>
      </c>
    </row>
    <row r="37">
      <c r="A37" s="68" t="inlineStr">
        <is>
          <t>op_mob</t>
        </is>
      </c>
      <c r="B37" s="68" t="inlineStr">
        <is>
          <t>Opérateur · Mob / Demob</t>
        </is>
      </c>
      <c r="C37" s="68" t="inlineStr">
        <is>
          <t>Operator · Mob / Demob</t>
        </is>
      </c>
    </row>
    <row r="38">
      <c r="A38" s="68" t="inlineStr">
        <is>
          <t>tight</t>
        </is>
      </c>
      <c r="B38" s="68" t="inlineStr">
        <is>
          <t>Serrage · Make-up (forfait)</t>
        </is>
      </c>
      <c r="C38" s="68" t="inlineStr">
        <is>
          <t>Tong &amp; make-up service (lump sum)</t>
        </is>
      </c>
    </row>
    <row r="39">
      <c r="A39" s="68" t="inlineStr">
        <is>
          <t>tr_mob</t>
        </is>
      </c>
      <c r="B39" s="68" t="inlineStr">
        <is>
          <t>Transport MOB (Lons → chantier)</t>
        </is>
      </c>
      <c r="C39" s="68" t="inlineStr">
        <is>
          <t>Transport MOB (Lons → site)</t>
        </is>
      </c>
    </row>
    <row r="40">
      <c r="A40" s="68" t="inlineStr">
        <is>
          <t>tr_dem</t>
        </is>
      </c>
      <c r="B40" s="68" t="inlineStr">
        <is>
          <t>Transport DEMOB (chantier → Lons)</t>
        </is>
      </c>
      <c r="C40" s="68" t="inlineStr">
        <is>
          <t>Transport DEMOB (site → Lons)</t>
        </is>
      </c>
    </row>
    <row r="41">
      <c r="A41" s="68" t="inlineStr">
        <is>
          <t>free</t>
        </is>
      </c>
      <c r="B41" s="68" t="inlineStr">
        <is>
          <t>Option</t>
        </is>
      </c>
      <c r="C41" s="68" t="inlineStr">
        <is>
          <t>Option</t>
        </is>
      </c>
    </row>
    <row r="42">
      <c r="A42" s="68" t="inlineStr">
        <is>
          <t>forfait</t>
        </is>
      </c>
      <c r="B42" s="68" t="inlineStr">
        <is>
          <t>Forfait</t>
        </is>
      </c>
      <c r="C42" s="68" t="inlineStr">
        <is>
          <t>Lump sum</t>
        </is>
      </c>
    </row>
    <row r="43">
      <c r="A43" s="68" t="inlineStr">
        <is>
          <t>at_cost</t>
        </is>
      </c>
      <c r="B43" s="68" t="inlineStr">
        <is>
          <t>au coût réel +15 %</t>
        </is>
      </c>
      <c r="C43" s="68" t="inlineStr">
        <is>
          <t>at cost +15%</t>
        </is>
      </c>
    </row>
    <row r="44">
      <c r="A44" s="68" t="inlineStr">
        <is>
          <t>tr_note</t>
        </is>
      </c>
      <c r="B44" s="68" t="inlineStr">
        <is>
          <t>Transport organisé par Enedril</t>
        </is>
      </c>
      <c r="C44" s="68" t="inlineStr">
        <is>
          <t>Transport organised by Enedril</t>
        </is>
      </c>
    </row>
    <row r="45">
      <c r="A45" s="68" t="inlineStr">
        <is>
          <t>ht</t>
        </is>
      </c>
      <c r="B45" s="68" t="inlineStr">
        <is>
          <t>€ HT</t>
        </is>
      </c>
      <c r="C45" s="68" t="inlineStr">
        <is>
          <t>€ excl. VAT</t>
        </is>
      </c>
    </row>
    <row r="46">
      <c r="A46" s="68" t="inlineStr">
        <is>
          <t>calc_det</t>
        </is>
      </c>
      <c r="B46" s="68" t="inlineStr">
        <is>
          <t>j stand-by + %s j opérations + utilisations de charge (UC)</t>
        </is>
      </c>
      <c r="C46" s="68" t="inlineStr">
        <is>
          <t>stand-by days + %s operation days + utilisation charges (UC)</t>
        </is>
      </c>
    </row>
    <row r="47">
      <c r="A47" s="68" t="inlineStr">
        <is>
          <t>sec_cond</t>
        </is>
      </c>
      <c r="B47" s="68" t="inlineStr">
        <is>
          <t>CONDITIONS PARTICULIÈRES · SPECIFIC CONDITIONS</t>
        </is>
      </c>
      <c r="C47" s="68" t="inlineStr">
        <is>
          <t>SPECIFIC CONDITIONS · CONDITIONS PARTICULIÈRES</t>
        </is>
      </c>
    </row>
    <row r="48">
      <c r="A48" s="68" t="inlineStr">
        <is>
          <t>accept</t>
        </is>
      </c>
      <c r="B48" s="68" t="inlineStr">
        <is>
          <t>BON POUR ACCORD</t>
        </is>
      </c>
      <c r="C48" s="68" t="inlineStr">
        <is>
          <t>ACCEPTED BY</t>
        </is>
      </c>
    </row>
    <row r="49">
      <c r="A49" s="68" t="inlineStr">
        <is>
          <t>sig_name</t>
        </is>
      </c>
      <c r="B49" s="68" t="inlineStr">
        <is>
          <t>Nom et qualité</t>
        </is>
      </c>
      <c r="C49" s="68" t="inlineStr">
        <is>
          <t>Name and title</t>
        </is>
      </c>
    </row>
    <row r="50">
      <c r="A50" s="68" t="inlineStr">
        <is>
          <t>sig_date</t>
        </is>
      </c>
      <c r="B50" s="68" t="inlineStr">
        <is>
          <t>Date</t>
        </is>
      </c>
      <c r="C50" s="68" t="inlineStr">
        <is>
          <t>Date</t>
        </is>
      </c>
    </row>
    <row r="51">
      <c r="A51" s="68" t="inlineStr">
        <is>
          <t>sig_sig</t>
        </is>
      </c>
      <c r="B51" s="68" t="inlineStr">
        <is>
          <t>Signature et cachet</t>
        </is>
      </c>
      <c r="C51" s="68" t="inlineStr">
        <is>
          <t>Signature and stamp</t>
        </is>
      </c>
    </row>
    <row r="52">
      <c r="A52" s="68" t="inlineStr">
        <is>
          <t>lump</t>
        </is>
      </c>
      <c r="B52" s="68" t="inlineStr">
        <is>
          <t>forfait</t>
        </is>
      </c>
      <c r="C52" s="68" t="inlineStr">
        <is>
          <t>lump sum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2026-10-28T13:29:44Z</dcterms:created>
  <dcterms:modified xmlns:dcterms="http://purl.org/dc/terms/" xmlns:xsi="http://www.w3.org/2001/XMLSchema-instance" xsi:type="dcterms:W3CDTF">2026-10-28T13:29:44Z</dcterms:modified>
</cp:coreProperties>
</file>