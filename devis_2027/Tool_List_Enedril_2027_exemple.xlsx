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Matériel" sheetId="1" state="visible" r:id="rId1"/>
    <sheet xmlns:r="http://schemas.openxmlformats.org/officeDocument/2006/relationships" name="2 Tool List" sheetId="2" state="visible" r:id="rId2"/>
    <sheet xmlns:r="http://schemas.openxmlformats.org/officeDocument/2006/relationships" name="Listes" sheetId="3" state="visible" r:id="rId3"/>
  </sheets>
  <definedNames>
    <definedName name="_xlnm._FilterDatabase" localSheetId="1" hidden="1">'2 Tool List'!$A$14:$V$54</definedName>
    <definedName name="_xlnm.Print_Area" localSheetId="1">'2 Tool List'!$A$1:$I$64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;-0;;@"/>
    <numFmt numFmtId="165" formatCode="dd/mm/yyyy"/>
    <numFmt numFmtId="166" formatCode="0.000"/>
    <numFmt numFmtId="167" formatCode="#,##0.0"/>
    <numFmt numFmtId="168" formatCode="#,##0.0 &quot;kg&quot;"/>
    <numFmt numFmtId="169" formatCode="0.000 &quot;m³&quot;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0B1B2E"/>
      <sz val="10"/>
    </font>
    <font>
      <name val="Calibri"/>
      <color rgb="0051647A"/>
      <sz val="9"/>
    </font>
    <font>
      <name val="Calibri"/>
      <i val="1"/>
      <color rgb="0051647A"/>
      <sz val="8"/>
    </font>
    <font>
      <name val="Calibri"/>
      <i val="1"/>
      <color rgb="0051647A"/>
      <sz val="9"/>
    </font>
    <font>
      <name val="Calibri"/>
      <b val="1"/>
      <color rgb="00FFFFFF"/>
      <sz val="18"/>
    </font>
    <font>
      <name val="Calibri"/>
      <color rgb="009FD8F5"/>
      <sz val="10"/>
    </font>
    <font>
      <name val="Calibri"/>
      <b val="1"/>
      <color rgb="0051647A"/>
      <sz val="10"/>
    </font>
    <font>
      <name val="Calibri"/>
      <color rgb="000A4FA0"/>
      <sz val="10.5"/>
    </font>
    <font>
      <name val="Calibri"/>
      <color rgb="007A8CA3"/>
      <sz val="9"/>
    </font>
    <font>
      <name val="Calibri"/>
      <b val="1"/>
      <color rgb="000A4FA0"/>
      <sz val="10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color rgb="009FD8F5"/>
      <sz val="12"/>
    </font>
    <font>
      <name val="Calibri"/>
      <b val="1"/>
      <color rgb="0051647A"/>
      <sz val="9"/>
    </font>
    <font>
      <name val="Calibri"/>
      <b val="1"/>
      <color rgb="000A4FA0"/>
      <sz val="13"/>
    </font>
    <font>
      <name val="Calibri"/>
      <b val="1"/>
      <color rgb="00E2231A"/>
      <sz val="10.5"/>
    </font>
    <font>
      <name val="Calibri"/>
      <b val="1"/>
      <color rgb="00FFFFFF"/>
      <sz val="10"/>
    </font>
    <font>
      <name val="Calibri"/>
      <b val="1"/>
      <color rgb="0008203F"/>
      <sz val="10"/>
    </font>
    <font>
      <name val="Calibri"/>
      <color rgb="007A8CA3"/>
      <sz val="7"/>
    </font>
    <font>
      <name val="Calibri"/>
      <color rgb="00B8C4D2"/>
      <sz val="7"/>
    </font>
    <font>
      <name val="Calibri"/>
      <b val="1"/>
      <color rgb="0051647A"/>
      <sz val="14"/>
    </font>
    <font>
      <name val="Calibri"/>
      <color rgb="000B1B2E"/>
      <sz val="13"/>
    </font>
    <font>
      <name val="Calibri"/>
      <color rgb="000A4FA0"/>
      <sz val="13"/>
    </font>
    <font>
      <name val="Calibri"/>
      <b val="1"/>
      <color rgb="00E2231A"/>
      <sz val="10"/>
    </font>
    <font>
      <name val="Calibri"/>
      <b val="1"/>
      <color rgb="0008203F"/>
      <sz val="14"/>
    </font>
    <font>
      <name val="Calibri"/>
      <b val="1"/>
      <color rgb="000A4FA0"/>
      <sz val="18"/>
    </font>
    <font>
      <name val="Calibri"/>
      <b val="1"/>
      <color rgb="0008203F"/>
      <sz val="13"/>
    </font>
    <font>
      <name val="Calibri"/>
      <color rgb="000A4FA0"/>
      <sz val="12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08203F"/>
        <bgColor rgb="0008203F"/>
      </patternFill>
    </fill>
    <fill>
      <patternFill patternType="solid">
        <fgColor rgb="0000AEEF"/>
        <bgColor rgb="0000AEEF"/>
      </patternFill>
    </fill>
    <fill>
      <patternFill patternType="solid">
        <fgColor rgb="000A4FA0"/>
        <bgColor rgb="000A4FA0"/>
      </patternFill>
    </fill>
    <fill>
      <patternFill patternType="solid">
        <fgColor rgb="007A8CA3"/>
        <bgColor rgb="007A8CA3"/>
      </patternFill>
    </fill>
    <fill>
      <patternFill patternType="solid">
        <fgColor rgb="00EAF6FD"/>
        <bgColor rgb="00EAF6FD"/>
      </patternFill>
    </fill>
    <fill>
      <patternFill patternType="solid">
        <fgColor rgb="00E2231A"/>
        <bgColor rgb="00E2231A"/>
      </patternFill>
    </fill>
    <fill>
      <patternFill patternType="solid">
        <fgColor rgb="00DCE8F5"/>
        <bgColor rgb="00DCE8F5"/>
      </patternFill>
    </fill>
  </fills>
  <borders count="4">
    <border>
      <left/>
      <right/>
      <top/>
      <bottom/>
      <diagonal/>
    </border>
    <border>
      <bottom style="thin">
        <color rgb="0000AEEF"/>
      </bottom>
    </border>
    <border>
      <bottom style="thin">
        <color rgb="00B7DDF2"/>
      </bottom>
    </border>
    <border>
      <bottom style="thin">
        <color rgb="00D5DEE8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0" fontId="12" fillId="7" borderId="0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 indent="1"/>
    </xf>
    <xf numFmtId="1" fontId="9" fillId="6" borderId="1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0" borderId="0" pivotButton="0" quotePrefix="0" xfId="0"/>
    <xf numFmtId="0" fontId="13" fillId="2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bottom" indent="1"/>
    </xf>
    <xf numFmtId="0" fontId="16" fillId="6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165" fontId="16" fillId="6" borderId="1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vertical="center" indent="1"/>
    </xf>
    <xf numFmtId="0" fontId="25" fillId="0" borderId="0" applyAlignment="1" pivotButton="0" quotePrefix="0" xfId="0">
      <alignment vertical="center" indent="1"/>
    </xf>
    <xf numFmtId="0" fontId="18" fillId="2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9" fillId="8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 indent="1"/>
    </xf>
    <xf numFmtId="0" fontId="23" fillId="0" borderId="0" applyAlignment="1" pivotButton="0" quotePrefix="0" xfId="0">
      <alignment vertical="center" wrapText="1" indent="1"/>
    </xf>
    <xf numFmtId="166" fontId="24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1" fillId="0" borderId="0" pivotButton="0" quotePrefix="0" xfId="0"/>
    <xf numFmtId="0" fontId="26" fillId="0" borderId="2" applyAlignment="1" pivotButton="0" quotePrefix="0" xfId="0">
      <alignment vertical="center" indent="1"/>
    </xf>
    <xf numFmtId="0" fontId="0" fillId="0" borderId="2" pivotButton="0" quotePrefix="0" xfId="0"/>
    <xf numFmtId="1" fontId="27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28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24" fillId="6" borderId="3" applyAlignment="1" pivotButton="0" quotePrefix="0" xfId="0">
      <alignment horizontal="center" vertical="center" wrapText="1"/>
    </xf>
    <xf numFmtId="1" fontId="24" fillId="6" borderId="3" applyAlignment="1" pivotButton="0" quotePrefix="0" xfId="0">
      <alignment horizontal="center" vertical="center" wrapText="1"/>
    </xf>
    <xf numFmtId="167" fontId="24" fillId="6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/>
    </xf>
    <xf numFmtId="0" fontId="29" fillId="6" borderId="3" applyAlignment="1" pivotButton="0" quotePrefix="0" xfId="0">
      <alignment horizontal="left" vertical="center" wrapText="1" indent="1"/>
    </xf>
    <xf numFmtId="0" fontId="30" fillId="2" borderId="0" applyAlignment="1" pivotButton="0" quotePrefix="0" xfId="0">
      <alignment horizontal="left" vertical="center" indent="1"/>
    </xf>
    <xf numFmtId="0" fontId="30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/>
    </xf>
    <xf numFmtId="168" fontId="30" fillId="2" borderId="0" applyAlignment="1" pivotButton="0" quotePrefix="0" xfId="0">
      <alignment horizontal="center" vertical="center"/>
    </xf>
    <xf numFmtId="169" fontId="30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ont>
        <name val="Calibri"/>
        <b val="1"/>
        <color rgb="0008203F"/>
      </font>
      <fill>
        <patternFill patternType="solid">
          <fgColor rgb="00C9DAF0"/>
          <bgColor rgb="00C9DAF0"/>
        </patternFill>
      </fill>
    </dxf>
    <dxf>
      <font>
        <name val="Calibri"/>
        <b val="1"/>
        <color rgb="00FFFFFF"/>
      </font>
      <fill>
        <patternFill patternType="solid">
          <fgColor rgb="000A4FA0"/>
          <bgColor rgb="000A4FA0"/>
        </patternFill>
      </fill>
    </dxf>
    <dxf>
      <fill>
        <patternFill patternType="solid">
          <fgColor rgb="00EAF6FD"/>
          <bgColor rgb="00EAF6FD"/>
        </patternFill>
      </fill>
      <border>
        <bottom style="thin">
          <color rgb="00B7DDF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AEEF"/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6" customWidth="1" min="3" max="3"/>
    <col width="7" customWidth="1" min="4" max="4"/>
    <col width="8" customWidth="1" min="5" max="5"/>
    <col width="8" customWidth="1" min="6" max="6"/>
  </cols>
  <sheetData>
    <row r="1" ht="30" customHeight="1">
      <c r="A1" s="1" t="n"/>
      <c r="B1" s="2" t="inlineStr">
        <is>
          <t>MATÉRIEL À COLLER</t>
        </is>
      </c>
      <c r="C1" s="1" t="n"/>
      <c r="D1" s="1" t="n"/>
      <c r="E1" s="1" t="n"/>
      <c r="F1" s="3" t="inlineStr">
        <is>
          <t>EXEMPLE</t>
        </is>
      </c>
    </row>
    <row r="2" ht="20" customHeight="1">
      <c r="A2" s="1" t="n"/>
      <c r="B2" s="4" t="inlineStr">
        <is>
          <t>Dans le classeur Devis, onglet « 2 Matériel » : copier B6:D29 (Bannière, Description, Qté) et coller ici en B6. Aucun prix ici.</t>
        </is>
      </c>
      <c r="C2" s="1" t="n"/>
      <c r="D2" s="1" t="n"/>
      <c r="E2" s="1" t="n"/>
      <c r="F2" s="1" t="n"/>
    </row>
    <row r="3" ht="6" customHeight="1">
      <c r="A3" s="5" t="n"/>
      <c r="B3" s="5" t="n"/>
      <c r="C3" s="5" t="n"/>
      <c r="D3" s="5" t="n"/>
      <c r="E3" s="5" t="n"/>
      <c r="F3" s="5" t="n"/>
    </row>
    <row r="5" ht="30" customHeight="1">
      <c r="A5" s="6" t="inlineStr">
        <is>
          <t>#</t>
        </is>
      </c>
      <c r="B5" s="6" t="inlineStr">
        <is>
          <t>Bannière ?</t>
        </is>
      </c>
      <c r="C5" s="6" t="inlineStr">
        <is>
          <t>Description  (ou titre de bannière)</t>
        </is>
      </c>
      <c r="D5" s="6" t="inlineStr">
        <is>
          <t>Qté</t>
        </is>
      </c>
      <c r="E5" s="7" t="inlineStr">
        <is>
          <t>Lignes</t>
        </is>
      </c>
      <c r="F5" s="7" t="inlineStr">
        <is>
          <t>Cumul</t>
        </is>
      </c>
    </row>
    <row r="6" ht="21" customHeight="1">
      <c r="A6" s="8">
        <f>IF(AND(E6&gt;0,B6&lt;&gt;"Oui"),COUNTIFS(E$6:E6,"&gt;0",B$6:B6,"&lt;&gt;Oui"),"")</f>
        <v/>
      </c>
      <c r="B6" s="9" t="inlineStr">
        <is>
          <t>Oui</t>
        </is>
      </c>
      <c r="C6" s="10" t="inlineStr">
        <is>
          <t>BHA #1</t>
        </is>
      </c>
      <c r="D6" s="11" t="n"/>
      <c r="E6" s="12">
        <f>IF($C6="",0,IF($B6="Oui",1,IF(N($D6)&gt;0,INT($D6),1)))</f>
        <v/>
      </c>
      <c r="F6" s="13">
        <f>SUM(E$6:E6)</f>
        <v/>
      </c>
    </row>
    <row r="7" ht="21" customHeight="1">
      <c r="A7" s="8">
        <f>IF(AND(E7&gt;0,B7&lt;&gt;"Oui"),COUNTIFS(E$6:E7,"&gt;0",B$6:B7,"&lt;&gt;Oui"),"")</f>
        <v/>
      </c>
      <c r="B7" s="9" t="n"/>
      <c r="C7" s="10" t="inlineStr">
        <is>
          <t>Stab 5-7/8 OD, 2-1/4" ID - 3-1/2" IF Pin x Box</t>
        </is>
      </c>
      <c r="D7" s="11" t="n">
        <v>1</v>
      </c>
      <c r="E7" s="12">
        <f>IF($C7="",0,IF($B7="Oui",1,IF(N($D7)&gt;0,INT($D7),1)))</f>
        <v/>
      </c>
      <c r="F7" s="13">
        <f>SUM(E$6:E7)</f>
        <v/>
      </c>
    </row>
    <row r="8" ht="21" customHeight="1">
      <c r="A8" s="8">
        <f>IF(AND(E8&gt;0,B8&lt;&gt;"Oui"),COUNTIFS(E$6:E8,"&gt;0",B$6:B8,"&lt;&gt;Oui"),"")</f>
        <v/>
      </c>
      <c r="B8" s="9" t="n"/>
      <c r="C8" s="10" t="inlineStr">
        <is>
          <t>XO 3-1/2" IF Pin x 2-7/8" EU Box</t>
        </is>
      </c>
      <c r="D8" s="11" t="n">
        <v>2</v>
      </c>
      <c r="E8" s="12">
        <f>IF($C8="",0,IF($B8="Oui",1,IF(N($D8)&gt;0,INT($D8),1)))</f>
        <v/>
      </c>
      <c r="F8" s="13">
        <f>SUM(E$6:E8)</f>
        <v/>
      </c>
    </row>
    <row r="9" ht="21" customHeight="1">
      <c r="A9" s="8">
        <f>IF(AND(E9&gt;0,B9&lt;&gt;"Oui"),COUNTIFS(E$6:E9,"&gt;0",B$6:B9,"&lt;&gt;Oui"),"")</f>
        <v/>
      </c>
      <c r="B9" s="9" t="inlineStr">
        <is>
          <t>Oui</t>
        </is>
      </c>
      <c r="C9" s="10" t="inlineStr">
        <is>
          <t>BHA #2</t>
        </is>
      </c>
      <c r="D9" s="11" t="n"/>
      <c r="E9" s="12">
        <f>IF($C9="",0,IF($B9="Oui",1,IF(N($D9)&gt;0,INT($D9),1)))</f>
        <v/>
      </c>
      <c r="F9" s="13">
        <f>SUM(E$6:E9)</f>
        <v/>
      </c>
    </row>
    <row r="10" ht="21" customHeight="1">
      <c r="A10" s="8">
        <f>IF(AND(E10&gt;0,B10&lt;&gt;"Oui"),COUNTIFS(E$6:E10,"&gt;0",B$6:B10,"&lt;&gt;Oui"),"")</f>
        <v/>
      </c>
      <c r="B10" s="9" t="n"/>
      <c r="C10" s="10" t="inlineStr">
        <is>
          <t>XO 3-1/2" IF Box x 2-7/8" EU Pin</t>
        </is>
      </c>
      <c r="D10" s="11" t="n">
        <v>1</v>
      </c>
      <c r="E10" s="12">
        <f>IF($C10="",0,IF($B10="Oui",1,IF(N($D10)&gt;0,INT($D10),1)))</f>
        <v/>
      </c>
      <c r="F10" s="13">
        <f>SUM(E$6:E10)</f>
        <v/>
      </c>
    </row>
    <row r="11" ht="21" customHeight="1">
      <c r="A11" s="8">
        <f>IF(AND(E11&gt;0,B11&lt;&gt;"Oui"),COUNTIFS(E$6:E11,"&gt;0",B$6:B11,"&lt;&gt;Oui"),"")</f>
        <v/>
      </c>
      <c r="B11" s="9" t="n"/>
      <c r="C11" s="10" t="n"/>
      <c r="D11" s="11" t="n"/>
      <c r="E11" s="12">
        <f>IF($C11="",0,IF($B11="Oui",1,IF(N($D11)&gt;0,INT($D11),1)))</f>
        <v/>
      </c>
      <c r="F11" s="13">
        <f>SUM(E$6:E11)</f>
        <v/>
      </c>
    </row>
    <row r="12" ht="21" customHeight="1">
      <c r="A12" s="8">
        <f>IF(AND(E12&gt;0,B12&lt;&gt;"Oui"),COUNTIFS(E$6:E12,"&gt;0",B$6:B12,"&lt;&gt;Oui"),"")</f>
        <v/>
      </c>
      <c r="B12" s="9" t="n"/>
      <c r="C12" s="10" t="n"/>
      <c r="D12" s="11" t="n"/>
      <c r="E12" s="12">
        <f>IF($C12="",0,IF($B12="Oui",1,IF(N($D12)&gt;0,INT($D12),1)))</f>
        <v/>
      </c>
      <c r="F12" s="13">
        <f>SUM(E$6:E12)</f>
        <v/>
      </c>
    </row>
    <row r="13" ht="21" customHeight="1">
      <c r="A13" s="8">
        <f>IF(AND(E13&gt;0,B13&lt;&gt;"Oui"),COUNTIFS(E$6:E13,"&gt;0",B$6:B13,"&lt;&gt;Oui"),"")</f>
        <v/>
      </c>
      <c r="B13" s="9" t="n"/>
      <c r="C13" s="10" t="n"/>
      <c r="D13" s="11" t="n"/>
      <c r="E13" s="12">
        <f>IF($C13="",0,IF($B13="Oui",1,IF(N($D13)&gt;0,INT($D13),1)))</f>
        <v/>
      </c>
      <c r="F13" s="13">
        <f>SUM(E$6:E13)</f>
        <v/>
      </c>
    </row>
    <row r="14" ht="21" customHeight="1">
      <c r="A14" s="8">
        <f>IF(AND(E14&gt;0,B14&lt;&gt;"Oui"),COUNTIFS(E$6:E14,"&gt;0",B$6:B14,"&lt;&gt;Oui"),"")</f>
        <v/>
      </c>
      <c r="B14" s="9" t="n"/>
      <c r="C14" s="10" t="n"/>
      <c r="D14" s="11" t="n"/>
      <c r="E14" s="12">
        <f>IF($C14="",0,IF($B14="Oui",1,IF(N($D14)&gt;0,INT($D14),1)))</f>
        <v/>
      </c>
      <c r="F14" s="13">
        <f>SUM(E$6:E14)</f>
        <v/>
      </c>
    </row>
    <row r="15" ht="21" customHeight="1">
      <c r="A15" s="8">
        <f>IF(AND(E15&gt;0,B15&lt;&gt;"Oui"),COUNTIFS(E$6:E15,"&gt;0",B$6:B15,"&lt;&gt;Oui"),"")</f>
        <v/>
      </c>
      <c r="B15" s="9" t="n"/>
      <c r="C15" s="10" t="n"/>
      <c r="D15" s="11" t="n"/>
      <c r="E15" s="12">
        <f>IF($C15="",0,IF($B15="Oui",1,IF(N($D15)&gt;0,INT($D15),1)))</f>
        <v/>
      </c>
      <c r="F15" s="13">
        <f>SUM(E$6:E15)</f>
        <v/>
      </c>
    </row>
    <row r="16" ht="21" customHeight="1">
      <c r="A16" s="8">
        <f>IF(AND(E16&gt;0,B16&lt;&gt;"Oui"),COUNTIFS(E$6:E16,"&gt;0",B$6:B16,"&lt;&gt;Oui"),"")</f>
        <v/>
      </c>
      <c r="B16" s="9" t="n"/>
      <c r="C16" s="10" t="n"/>
      <c r="D16" s="11" t="n"/>
      <c r="E16" s="12">
        <f>IF($C16="",0,IF($B16="Oui",1,IF(N($D16)&gt;0,INT($D16),1)))</f>
        <v/>
      </c>
      <c r="F16" s="13">
        <f>SUM(E$6:E16)</f>
        <v/>
      </c>
    </row>
    <row r="17" ht="21" customHeight="1">
      <c r="A17" s="8">
        <f>IF(AND(E17&gt;0,B17&lt;&gt;"Oui"),COUNTIFS(E$6:E17,"&gt;0",B$6:B17,"&lt;&gt;Oui"),"")</f>
        <v/>
      </c>
      <c r="B17" s="9" t="n"/>
      <c r="C17" s="10" t="n"/>
      <c r="D17" s="11" t="n"/>
      <c r="E17" s="12">
        <f>IF($C17="",0,IF($B17="Oui",1,IF(N($D17)&gt;0,INT($D17),1)))</f>
        <v/>
      </c>
      <c r="F17" s="13">
        <f>SUM(E$6:E17)</f>
        <v/>
      </c>
    </row>
    <row r="18" ht="21" customHeight="1">
      <c r="A18" s="8">
        <f>IF(AND(E18&gt;0,B18&lt;&gt;"Oui"),COUNTIFS(E$6:E18,"&gt;0",B$6:B18,"&lt;&gt;Oui"),"")</f>
        <v/>
      </c>
      <c r="B18" s="9" t="n"/>
      <c r="C18" s="10" t="n"/>
      <c r="D18" s="11" t="n"/>
      <c r="E18" s="12">
        <f>IF($C18="",0,IF($B18="Oui",1,IF(N($D18)&gt;0,INT($D18),1)))</f>
        <v/>
      </c>
      <c r="F18" s="13">
        <f>SUM(E$6:E18)</f>
        <v/>
      </c>
    </row>
    <row r="19" ht="21" customHeight="1">
      <c r="A19" s="8">
        <f>IF(AND(E19&gt;0,B19&lt;&gt;"Oui"),COUNTIFS(E$6:E19,"&gt;0",B$6:B19,"&lt;&gt;Oui"),"")</f>
        <v/>
      </c>
      <c r="B19" s="9" t="n"/>
      <c r="C19" s="10" t="n"/>
      <c r="D19" s="11" t="n"/>
      <c r="E19" s="12">
        <f>IF($C19="",0,IF($B19="Oui",1,IF(N($D19)&gt;0,INT($D19),1)))</f>
        <v/>
      </c>
      <c r="F19" s="13">
        <f>SUM(E$6:E19)</f>
        <v/>
      </c>
    </row>
    <row r="20" ht="21" customHeight="1">
      <c r="A20" s="8">
        <f>IF(AND(E20&gt;0,B20&lt;&gt;"Oui"),COUNTIFS(E$6:E20,"&gt;0",B$6:B20,"&lt;&gt;Oui"),"")</f>
        <v/>
      </c>
      <c r="B20" s="9" t="n"/>
      <c r="C20" s="10" t="n"/>
      <c r="D20" s="11" t="n"/>
      <c r="E20" s="12">
        <f>IF($C20="",0,IF($B20="Oui",1,IF(N($D20)&gt;0,INT($D20),1)))</f>
        <v/>
      </c>
      <c r="F20" s="13">
        <f>SUM(E$6:E20)</f>
        <v/>
      </c>
    </row>
    <row r="21" ht="21" customHeight="1">
      <c r="A21" s="8">
        <f>IF(AND(E21&gt;0,B21&lt;&gt;"Oui"),COUNTIFS(E$6:E21,"&gt;0",B$6:B21,"&lt;&gt;Oui"),"")</f>
        <v/>
      </c>
      <c r="B21" s="9" t="n"/>
      <c r="C21" s="10" t="n"/>
      <c r="D21" s="11" t="n"/>
      <c r="E21" s="12">
        <f>IF($C21="",0,IF($B21="Oui",1,IF(N($D21)&gt;0,INT($D21),1)))</f>
        <v/>
      </c>
      <c r="F21" s="13">
        <f>SUM(E$6:E21)</f>
        <v/>
      </c>
    </row>
    <row r="22" ht="21" customHeight="1">
      <c r="A22" s="8">
        <f>IF(AND(E22&gt;0,B22&lt;&gt;"Oui"),COUNTIFS(E$6:E22,"&gt;0",B$6:B22,"&lt;&gt;Oui"),"")</f>
        <v/>
      </c>
      <c r="B22" s="9" t="n"/>
      <c r="C22" s="10" t="n"/>
      <c r="D22" s="11" t="n"/>
      <c r="E22" s="12">
        <f>IF($C22="",0,IF($B22="Oui",1,IF(N($D22)&gt;0,INT($D22),1)))</f>
        <v/>
      </c>
      <c r="F22" s="13">
        <f>SUM(E$6:E22)</f>
        <v/>
      </c>
    </row>
    <row r="23" ht="21" customHeight="1">
      <c r="A23" s="8">
        <f>IF(AND(E23&gt;0,B23&lt;&gt;"Oui"),COUNTIFS(E$6:E23,"&gt;0",B$6:B23,"&lt;&gt;Oui"),"")</f>
        <v/>
      </c>
      <c r="B23" s="9" t="n"/>
      <c r="C23" s="10" t="n"/>
      <c r="D23" s="11" t="n"/>
      <c r="E23" s="12">
        <f>IF($C23="",0,IF($B23="Oui",1,IF(N($D23)&gt;0,INT($D23),1)))</f>
        <v/>
      </c>
      <c r="F23" s="13">
        <f>SUM(E$6:E23)</f>
        <v/>
      </c>
    </row>
    <row r="24" ht="21" customHeight="1">
      <c r="A24" s="8">
        <f>IF(AND(E24&gt;0,B24&lt;&gt;"Oui"),COUNTIFS(E$6:E24,"&gt;0",B$6:B24,"&lt;&gt;Oui"),"")</f>
        <v/>
      </c>
      <c r="B24" s="9" t="n"/>
      <c r="C24" s="10" t="n"/>
      <c r="D24" s="11" t="n"/>
      <c r="E24" s="12">
        <f>IF($C24="",0,IF($B24="Oui",1,IF(N($D24)&gt;0,INT($D24),1)))</f>
        <v/>
      </c>
      <c r="F24" s="13">
        <f>SUM(E$6:E24)</f>
        <v/>
      </c>
    </row>
    <row r="25" ht="21" customHeight="1">
      <c r="A25" s="8">
        <f>IF(AND(E25&gt;0,B25&lt;&gt;"Oui"),COUNTIFS(E$6:E25,"&gt;0",B$6:B25,"&lt;&gt;Oui"),"")</f>
        <v/>
      </c>
      <c r="B25" s="9" t="n"/>
      <c r="C25" s="10" t="n"/>
      <c r="D25" s="11" t="n"/>
      <c r="E25" s="12">
        <f>IF($C25="",0,IF($B25="Oui",1,IF(N($D25)&gt;0,INT($D25),1)))</f>
        <v/>
      </c>
      <c r="F25" s="13">
        <f>SUM(E$6:E25)</f>
        <v/>
      </c>
    </row>
    <row r="26" ht="21" customHeight="1">
      <c r="A26" s="8">
        <f>IF(AND(E26&gt;0,B26&lt;&gt;"Oui"),COUNTIFS(E$6:E26,"&gt;0",B$6:B26,"&lt;&gt;Oui"),"")</f>
        <v/>
      </c>
      <c r="B26" s="9" t="n"/>
      <c r="C26" s="10" t="n"/>
      <c r="D26" s="11" t="n"/>
      <c r="E26" s="12">
        <f>IF($C26="",0,IF($B26="Oui",1,IF(N($D26)&gt;0,INT($D26),1)))</f>
        <v/>
      </c>
      <c r="F26" s="13">
        <f>SUM(E$6:E26)</f>
        <v/>
      </c>
    </row>
    <row r="27" ht="21" customHeight="1">
      <c r="A27" s="8">
        <f>IF(AND(E27&gt;0,B27&lt;&gt;"Oui"),COUNTIFS(E$6:E27,"&gt;0",B$6:B27,"&lt;&gt;Oui"),"")</f>
        <v/>
      </c>
      <c r="B27" s="9" t="n"/>
      <c r="C27" s="10" t="n"/>
      <c r="D27" s="11" t="n"/>
      <c r="E27" s="12">
        <f>IF($C27="",0,IF($B27="Oui",1,IF(N($D27)&gt;0,INT($D27),1)))</f>
        <v/>
      </c>
      <c r="F27" s="13">
        <f>SUM(E$6:E27)</f>
        <v/>
      </c>
    </row>
    <row r="28" ht="21" customHeight="1">
      <c r="A28" s="8">
        <f>IF(AND(E28&gt;0,B28&lt;&gt;"Oui"),COUNTIFS(E$6:E28,"&gt;0",B$6:B28,"&lt;&gt;Oui"),"")</f>
        <v/>
      </c>
      <c r="B28" s="9" t="n"/>
      <c r="C28" s="10" t="n"/>
      <c r="D28" s="11" t="n"/>
      <c r="E28" s="12">
        <f>IF($C28="",0,IF($B28="Oui",1,IF(N($D28)&gt;0,INT($D28),1)))</f>
        <v/>
      </c>
      <c r="F28" s="13">
        <f>SUM(E$6:E28)</f>
        <v/>
      </c>
    </row>
    <row r="29" ht="21" customHeight="1">
      <c r="A29" s="8">
        <f>IF(AND(E29&gt;0,B29&lt;&gt;"Oui"),COUNTIFS(E$6:E29,"&gt;0",B$6:B29,"&lt;&gt;Oui"),"")</f>
        <v/>
      </c>
      <c r="B29" s="9" t="n"/>
      <c r="C29" s="10" t="n"/>
      <c r="D29" s="11" t="n"/>
      <c r="E29" s="12">
        <f>IF($C29="",0,IF($B29="Oui",1,IF(N($D29)&gt;0,INT($D29),1)))</f>
        <v/>
      </c>
      <c r="F29" s="13">
        <f>SUM(E$6:E29)</f>
        <v/>
      </c>
    </row>
    <row r="31">
      <c r="C31" s="14">
        <f>SUM(E6:E29)&amp;" ligne(s) sur la tool list"</f>
        <v/>
      </c>
    </row>
    <row r="32">
      <c r="C32" s="15" t="inlineStr">
        <is>
          <t>➜ Étape suivante : onglet « 2 Tool List ». Une quantité de 2 donne 2 lignes ; une bannière donne une ligne de titre.</t>
        </is>
      </c>
    </row>
  </sheetData>
  <conditionalFormatting sqref="A6:D29">
    <cfRule type="expression" priority="1" dxfId="0">
      <formula>$B6="Oui"</formula>
    </cfRule>
  </conditionalFormatting>
  <dataValidations count="1">
    <dataValidation sqref="B6:B29" showDropDown="0" showInputMessage="0" showErrorMessage="1" allowBlank="1" errorTitle="Valeur" error="Choisir une valeur de la liste." type="list" errorStyle="stop">
      <formula1>=Listes!$G$2:$G$12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0A4FA0"/>
    <outlinePr summaryBelow="1" summaryRight="1"/>
    <pageSetUpPr fitToPage="1"/>
  </sheetPr>
  <dimension ref="A1:V64"/>
  <sheetViews>
    <sheetView showGridLines="0" zoomScale="9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52" customWidth="1" min="3" max="3"/>
    <col width="11" customWidth="1" min="4" max="4"/>
    <col width="11" customWidth="1" min="5" max="5"/>
    <col width="14" customWidth="1" min="6" max="6"/>
    <col width="16" customWidth="1" min="7" max="7"/>
    <col width="16" customWidth="1" min="8" max="8"/>
    <col width="38" customWidth="1" min="9" max="9"/>
  </cols>
  <sheetData>
    <row r="1" ht="34" customHeight="1">
      <c r="A1" s="1" t="n"/>
      <c r="B1" s="1" t="n"/>
      <c r="C1" s="1" t="n"/>
      <c r="D1" s="1" t="n"/>
      <c r="E1" s="16" t="inlineStr">
        <is>
          <t>LISTE DE MATÉRIEL</t>
        </is>
      </c>
    </row>
    <row r="2" ht="22" customHeight="1">
      <c r="A2" s="1" t="n"/>
      <c r="B2" s="1" t="n"/>
      <c r="C2" s="1" t="n"/>
      <c r="D2" s="1" t="n"/>
      <c r="E2" s="17">
        <f>"N° "&amp;D8&amp;IF(D6="","","   ·   "&amp;D6)</f>
        <v/>
      </c>
    </row>
    <row r="3" ht="5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8" customHeight="1"/>
    <row r="5" ht="16" customHeight="1">
      <c r="A5" s="18" t="inlineStr">
        <is>
          <t>CLIENT</t>
        </is>
      </c>
      <c r="C5" s="18" t="inlineStr">
        <is>
          <t>PUITS / CHANTIER</t>
        </is>
      </c>
      <c r="D5" s="18" t="inlineStr">
        <is>
          <t>DOSSIER N° · RIG</t>
        </is>
      </c>
      <c r="H5" s="18" t="inlineStr">
        <is>
          <t>DESTINATION</t>
        </is>
      </c>
    </row>
    <row r="6" ht="26" customHeight="1">
      <c r="A6" s="19" t="inlineStr">
        <is>
          <t>Geopetrol</t>
        </is>
      </c>
      <c r="B6" s="20" t="n"/>
      <c r="C6" s="19" t="inlineStr">
        <is>
          <t>Puits Lacq-12</t>
        </is>
      </c>
      <c r="D6" s="19" t="inlineStr">
        <is>
          <t>26-82-FR · CLU108</t>
        </is>
      </c>
      <c r="E6" s="20" t="n"/>
      <c r="F6" s="20" t="n"/>
      <c r="G6" s="20" t="n"/>
      <c r="H6" s="19" t="inlineStr">
        <is>
          <t>Geopetrol · Lacq</t>
        </is>
      </c>
      <c r="I6" s="20" t="n"/>
    </row>
    <row r="7" ht="16" customHeight="1">
      <c r="A7" s="18" t="inlineStr">
        <is>
          <t>DATE DE DÉPART</t>
        </is>
      </c>
      <c r="C7" s="18" t="inlineStr">
        <is>
          <t>FAITE LE</t>
        </is>
      </c>
      <c r="D7" s="18" t="inlineStr">
        <is>
          <t>N° DE LISTE</t>
        </is>
      </c>
      <c r="H7" s="18" t="inlineStr">
        <is>
          <t>PRÉPARÉE PAR</t>
        </is>
      </c>
    </row>
    <row r="8" ht="26" customHeight="1">
      <c r="A8" s="21" t="n">
        <v>46335</v>
      </c>
      <c r="B8" s="20" t="n"/>
      <c r="C8" s="21" t="n">
        <v>46323</v>
      </c>
      <c r="D8" s="19" t="inlineStr">
        <is>
          <t>TL-26-058</t>
        </is>
      </c>
      <c r="E8" s="20" t="n"/>
      <c r="F8" s="20" t="n"/>
      <c r="G8" s="20" t="n"/>
      <c r="H8" s="19" t="inlineStr">
        <is>
          <t>Paul HYNDERICK</t>
        </is>
      </c>
      <c r="I8" s="20" t="n"/>
    </row>
    <row r="9" ht="16" customHeight="1">
      <c r="A9" s="18" t="inlineStr">
        <is>
          <t>DESCRIPTION GÉNÉRALE</t>
        </is>
      </c>
      <c r="D9" s="18" t="inlineStr">
        <is>
          <t>COLISAGE</t>
        </is>
      </c>
      <c r="H9" s="18" t="inlineStr">
        <is>
          <t>VALIDÉE PAR</t>
        </is>
      </c>
    </row>
    <row r="10" ht="26" customHeight="1">
      <c r="A10" s="19" t="inlineStr">
        <is>
          <t>Stab + XO</t>
        </is>
      </c>
      <c r="B10" s="20" t="n"/>
      <c r="C10" s="20" t="n"/>
      <c r="D10" s="19" t="inlineStr">
        <is>
          <t>A communiquer dès que possible</t>
        </is>
      </c>
      <c r="E10" s="20" t="n"/>
      <c r="F10" s="20" t="n"/>
      <c r="G10" s="20" t="n"/>
      <c r="H10" s="19" t="inlineStr">
        <is>
          <t>Fabien JACQUOT</t>
        </is>
      </c>
      <c r="I10" s="20" t="n"/>
    </row>
    <row r="11" ht="22" customHeight="1">
      <c r="A11" s="22" t="inlineStr">
        <is>
          <t>Toute modification par rapport à la liste ci-dessous doit être évitée, et impérativement signalée si pas le choix.</t>
        </is>
      </c>
    </row>
    <row r="12" ht="16" customHeight="1">
      <c r="A12" s="23">
        <f>IF(SUBTOTAL(103,A15:A54)&lt;MIN(SUM('1 Matériel'!$E$6:$E$29),40),"⚠  Appuyer sur Ctrl + Alt + L pour afficher toutes les lignes de la liste.","")</f>
        <v/>
      </c>
    </row>
    <row r="13" ht="22" customHeight="1">
      <c r="A13" s="24" t="inlineStr">
        <is>
          <t>ÉQUIPEMENT</t>
        </is>
      </c>
      <c r="B13" s="1" t="n"/>
      <c r="C13" s="1" t="n"/>
      <c r="D13" s="25" t="inlineStr">
        <is>
          <t>RELEVÉS (pouces)</t>
        </is>
      </c>
      <c r="E13" s="26" t="n"/>
      <c r="F13" s="26" t="n"/>
      <c r="G13" s="26" t="n"/>
      <c r="H13" s="26" t="n"/>
      <c r="I13" s="24" t="inlineStr">
        <is>
          <t>REMARQUES</t>
        </is>
      </c>
    </row>
    <row r="14" ht="40" customHeight="1">
      <c r="A14" s="27" t="inlineStr">
        <is>
          <t>Item</t>
        </is>
      </c>
      <c r="B14" s="27" t="inlineStr">
        <is>
          <t>Référence / N° de série
(à écrire)</t>
        </is>
      </c>
      <c r="C14" s="27" t="inlineStr">
        <is>
          <t>Description</t>
        </is>
      </c>
      <c r="D14" s="27" t="inlineStr">
        <is>
          <t>OD</t>
        </is>
      </c>
      <c r="E14" s="27" t="inlineStr">
        <is>
          <t>ID</t>
        </is>
      </c>
      <c r="F14" s="27" t="inlineStr">
        <is>
          <t>Ouverture
blades</t>
        </is>
      </c>
      <c r="G14" s="27" t="inlineStr">
        <is>
          <t>Ouverture max
couteaux</t>
        </is>
      </c>
      <c r="H14" s="27" t="inlineStr">
        <is>
          <t>Taille / test
confirmé</t>
        </is>
      </c>
      <c r="I14" s="27" t="inlineStr">
        <is>
          <t>Commentaire</t>
        </is>
      </c>
      <c r="T14" s="28" t="inlineStr">
        <is>
          <t>ligne</t>
        </is>
      </c>
      <c r="U14" s="28" t="inlineStr">
        <is>
          <t>réf.</t>
        </is>
      </c>
      <c r="V14" s="28" t="inlineStr">
        <is>
          <t>bannière</t>
        </is>
      </c>
    </row>
    <row r="15" ht="40" customHeight="1">
      <c r="A15" s="29">
        <f>IF(OR(T15=0,V15=1),"",T15-COUNTIF(V$15:V15,1))</f>
        <v/>
      </c>
      <c r="B15" s="30" t="n"/>
      <c r="C15" s="31">
        <f>IF(T15=0,"",IF(V15=1,UPPER(INDEX('1 Matériel'!$C$6:$C$29,U15)),INDEX('1 Matériel'!$C$6:$C$29,U15)&amp;IF(INDEX('1 Matériel'!$E$6:$E$29,U15)&gt;1,"  ("&amp;(T15-INDEX('1 Matériel'!$F$6:$F$29,U15)+INDEX('1 Matériel'!$E$6:$E$29,U15))&amp;"/"&amp;INDEX('1 Matériel'!$E$6:$E$29,U15)&amp;")","")))</f>
        <v/>
      </c>
      <c r="D15" s="32" t="n"/>
      <c r="E15" s="32" t="n"/>
      <c r="F15" s="32" t="n"/>
      <c r="G15" s="32" t="n"/>
      <c r="H15" s="33" t="n"/>
      <c r="I15" s="30" t="n"/>
      <c r="T15" s="34">
        <f>IF(1&lt;=SUM('1 Matériel'!$E$6:$E$29),1,0)</f>
        <v/>
      </c>
      <c r="U15" s="34">
        <f>IF(T15=0,"",COUNTIF('1 Matériel'!$F$6:$F$29,"&lt;"&amp;T15)+1)</f>
        <v/>
      </c>
      <c r="V15" s="34">
        <f>IF(U15="","",IF(INDEX('1 Matériel'!$B$6:$B$29,U15)="Oui",1,0))</f>
        <v/>
      </c>
    </row>
    <row r="16" ht="40" customHeight="1">
      <c r="A16" s="29">
        <f>IF(OR(T16=0,V16=1),"",T16-COUNTIF(V$15:V16,1))</f>
        <v/>
      </c>
      <c r="B16" s="30" t="inlineStr">
        <is>
          <t>PL-0412</t>
        </is>
      </c>
      <c r="C16" s="31">
        <f>IF(T16=0,"",IF(V16=1,UPPER(INDEX('1 Matériel'!$C$6:$C$29,U16)),INDEX('1 Matériel'!$C$6:$C$29,U16)&amp;IF(INDEX('1 Matériel'!$E$6:$E$29,U16)&gt;1,"  ("&amp;(T16-INDEX('1 Matériel'!$F$6:$F$29,U16)+INDEX('1 Matériel'!$E$6:$E$29,U16))&amp;"/"&amp;INDEX('1 Matériel'!$E$6:$E$29,U16)&amp;")","")))</f>
        <v/>
      </c>
      <c r="D16" s="32" t="n">
        <v>5.875</v>
      </c>
      <c r="E16" s="32" t="n">
        <v>2.25</v>
      </c>
      <c r="F16" s="32" t="n"/>
      <c r="G16" s="32" t="n"/>
      <c r="H16" s="33" t="inlineStr">
        <is>
          <t>Taille OK</t>
        </is>
      </c>
      <c r="I16" s="30" t="inlineStr">
        <is>
          <t>Blades à tester avant départ</t>
        </is>
      </c>
      <c r="T16" s="34">
        <f>IF(2&lt;=SUM('1 Matériel'!$E$6:$E$29),2,0)</f>
        <v/>
      </c>
      <c r="U16" s="34">
        <f>IF(T16=0,"",COUNTIF('1 Matériel'!$F$6:$F$29,"&lt;"&amp;T16)+1)</f>
        <v/>
      </c>
      <c r="V16" s="34">
        <f>IF(U16="","",IF(INDEX('1 Matériel'!$B$6:$B$29,U16)="Oui",1,0))</f>
        <v/>
      </c>
    </row>
    <row r="17" ht="40" customHeight="1">
      <c r="A17" s="29">
        <f>IF(OR(T17=0,V17=1),"",T17-COUNTIF(V$15:V17,1))</f>
        <v/>
      </c>
      <c r="B17" s="30" t="inlineStr">
        <is>
          <t>PL-0377</t>
        </is>
      </c>
      <c r="C17" s="31">
        <f>IF(T17=0,"",IF(V17=1,UPPER(INDEX('1 Matériel'!$C$6:$C$29,U17)),INDEX('1 Matériel'!$C$6:$C$29,U17)&amp;IF(INDEX('1 Matériel'!$E$6:$E$29,U17)&gt;1,"  ("&amp;(T17-INDEX('1 Matériel'!$F$6:$F$29,U17)+INDEX('1 Matériel'!$E$6:$E$29,U17))&amp;"/"&amp;INDEX('1 Matériel'!$E$6:$E$29,U17)&amp;")","")))</f>
        <v/>
      </c>
      <c r="D17" s="32" t="n">
        <v>3.5</v>
      </c>
      <c r="E17" s="32" t="n">
        <v>2</v>
      </c>
      <c r="F17" s="32" t="n"/>
      <c r="G17" s="32" t="n"/>
      <c r="H17" s="33" t="inlineStr">
        <is>
          <t>Taille OK</t>
        </is>
      </c>
      <c r="I17" s="30" t="n"/>
      <c r="T17" s="34">
        <f>IF(3&lt;=SUM('1 Matériel'!$E$6:$E$29),3,0)</f>
        <v/>
      </c>
      <c r="U17" s="34">
        <f>IF(T17=0,"",COUNTIF('1 Matériel'!$F$6:$F$29,"&lt;"&amp;T17)+1)</f>
        <v/>
      </c>
      <c r="V17" s="34">
        <f>IF(U17="","",IF(INDEX('1 Matériel'!$B$6:$B$29,U17)="Oui",1,0))</f>
        <v/>
      </c>
    </row>
    <row r="18" ht="40" customHeight="1">
      <c r="A18" s="29">
        <f>IF(OR(T18=0,V18=1),"",T18-COUNTIF(V$15:V18,1))</f>
        <v/>
      </c>
      <c r="B18" s="30" t="inlineStr">
        <is>
          <t>PL-0377</t>
        </is>
      </c>
      <c r="C18" s="31">
        <f>IF(T18=0,"",IF(V18=1,UPPER(INDEX('1 Matériel'!$C$6:$C$29,U18)),INDEX('1 Matériel'!$C$6:$C$29,U18)&amp;IF(INDEX('1 Matériel'!$E$6:$E$29,U18)&gt;1,"  ("&amp;(T18-INDEX('1 Matériel'!$F$6:$F$29,U18)+INDEX('1 Matériel'!$E$6:$E$29,U18))&amp;"/"&amp;INDEX('1 Matériel'!$E$6:$E$29,U18)&amp;")","")))</f>
        <v/>
      </c>
      <c r="D18" s="32" t="n">
        <v>3.5</v>
      </c>
      <c r="E18" s="32" t="n">
        <v>2</v>
      </c>
      <c r="F18" s="32" t="n"/>
      <c r="G18" s="32" t="n"/>
      <c r="H18" s="33" t="inlineStr">
        <is>
          <t>Taille OK</t>
        </is>
      </c>
      <c r="I18" s="30" t="n"/>
      <c r="T18" s="34">
        <f>IF(4&lt;=SUM('1 Matériel'!$E$6:$E$29),4,0)</f>
        <v/>
      </c>
      <c r="U18" s="34">
        <f>IF(T18=0,"",COUNTIF('1 Matériel'!$F$6:$F$29,"&lt;"&amp;T18)+1)</f>
        <v/>
      </c>
      <c r="V18" s="34">
        <f>IF(U18="","",IF(INDEX('1 Matériel'!$B$6:$B$29,U18)="Oui",1,0))</f>
        <v/>
      </c>
    </row>
    <row r="19" ht="40" customHeight="1">
      <c r="A19" s="29">
        <f>IF(OR(T19=0,V19=1),"",T19-COUNTIF(V$15:V19,1))</f>
        <v/>
      </c>
      <c r="B19" s="30" t="n"/>
      <c r="C19" s="31">
        <f>IF(T19=0,"",IF(V19=1,UPPER(INDEX('1 Matériel'!$C$6:$C$29,U19)),INDEX('1 Matériel'!$C$6:$C$29,U19)&amp;IF(INDEX('1 Matériel'!$E$6:$E$29,U19)&gt;1,"  ("&amp;(T19-INDEX('1 Matériel'!$F$6:$F$29,U19)+INDEX('1 Matériel'!$E$6:$E$29,U19))&amp;"/"&amp;INDEX('1 Matériel'!$E$6:$E$29,U19)&amp;")","")))</f>
        <v/>
      </c>
      <c r="D19" s="32" t="n"/>
      <c r="E19" s="32" t="n"/>
      <c r="F19" s="32" t="n"/>
      <c r="G19" s="32" t="n"/>
      <c r="H19" s="33" t="n"/>
      <c r="I19" s="30" t="n"/>
      <c r="T19" s="34">
        <f>IF(5&lt;=SUM('1 Matériel'!$E$6:$E$29),5,0)</f>
        <v/>
      </c>
      <c r="U19" s="34">
        <f>IF(T19=0,"",COUNTIF('1 Matériel'!$F$6:$F$29,"&lt;"&amp;T19)+1)</f>
        <v/>
      </c>
      <c r="V19" s="34">
        <f>IF(U19="","",IF(INDEX('1 Matériel'!$B$6:$B$29,U19)="Oui",1,0))</f>
        <v/>
      </c>
    </row>
    <row r="20" ht="40" customHeight="1">
      <c r="A20" s="29">
        <f>IF(OR(T20=0,V20=1),"",T20-COUNTIF(V$15:V20,1))</f>
        <v/>
      </c>
      <c r="B20" s="30" t="n"/>
      <c r="C20" s="31">
        <f>IF(T20=0,"",IF(V20=1,UPPER(INDEX('1 Matériel'!$C$6:$C$29,U20)),INDEX('1 Matériel'!$C$6:$C$29,U20)&amp;IF(INDEX('1 Matériel'!$E$6:$E$29,U20)&gt;1,"  ("&amp;(T20-INDEX('1 Matériel'!$F$6:$F$29,U20)+INDEX('1 Matériel'!$E$6:$E$29,U20))&amp;"/"&amp;INDEX('1 Matériel'!$E$6:$E$29,U20)&amp;")","")))</f>
        <v/>
      </c>
      <c r="D20" s="32" t="n"/>
      <c r="E20" s="32" t="n"/>
      <c r="F20" s="32" t="n"/>
      <c r="G20" s="32" t="n"/>
      <c r="H20" s="33" t="n"/>
      <c r="I20" s="30" t="n"/>
      <c r="T20" s="34">
        <f>IF(6&lt;=SUM('1 Matériel'!$E$6:$E$29),6,0)</f>
        <v/>
      </c>
      <c r="U20" s="34">
        <f>IF(T20=0,"",COUNTIF('1 Matériel'!$F$6:$F$29,"&lt;"&amp;T20)+1)</f>
        <v/>
      </c>
      <c r="V20" s="34">
        <f>IF(U20="","",IF(INDEX('1 Matériel'!$B$6:$B$29,U20)="Oui",1,0))</f>
        <v/>
      </c>
    </row>
    <row r="21" hidden="1" ht="40" customHeight="1">
      <c r="A21" s="29">
        <f>IF(OR(T21=0,V21=1),"",T21-COUNTIF(V$15:V21,1))</f>
        <v/>
      </c>
      <c r="B21" s="30" t="n"/>
      <c r="C21" s="31">
        <f>IF(T21=0,"",IF(V21=1,UPPER(INDEX('1 Matériel'!$C$6:$C$29,U21)),INDEX('1 Matériel'!$C$6:$C$29,U21)&amp;IF(INDEX('1 Matériel'!$E$6:$E$29,U21)&gt;1,"  ("&amp;(T21-INDEX('1 Matériel'!$F$6:$F$29,U21)+INDEX('1 Matériel'!$E$6:$E$29,U21))&amp;"/"&amp;INDEX('1 Matériel'!$E$6:$E$29,U21)&amp;")","")))</f>
        <v/>
      </c>
      <c r="D21" s="32" t="n"/>
      <c r="E21" s="32" t="n"/>
      <c r="F21" s="32" t="n"/>
      <c r="G21" s="32" t="n"/>
      <c r="H21" s="33" t="n"/>
      <c r="I21" s="30" t="n"/>
      <c r="T21" s="34">
        <f>IF(7&lt;=SUM('1 Matériel'!$E$6:$E$29),7,0)</f>
        <v/>
      </c>
      <c r="U21" s="34">
        <f>IF(T21=0,"",COUNTIF('1 Matériel'!$F$6:$F$29,"&lt;"&amp;T21)+1)</f>
        <v/>
      </c>
      <c r="V21" s="34">
        <f>IF(U21="","",IF(INDEX('1 Matériel'!$B$6:$B$29,U21)="Oui",1,0))</f>
        <v/>
      </c>
    </row>
    <row r="22" hidden="1" ht="40" customHeight="1">
      <c r="A22" s="29">
        <f>IF(OR(T22=0,V22=1),"",T22-COUNTIF(V$15:V22,1))</f>
        <v/>
      </c>
      <c r="B22" s="30" t="n"/>
      <c r="C22" s="31">
        <f>IF(T22=0,"",IF(V22=1,UPPER(INDEX('1 Matériel'!$C$6:$C$29,U22)),INDEX('1 Matériel'!$C$6:$C$29,U22)&amp;IF(INDEX('1 Matériel'!$E$6:$E$29,U22)&gt;1,"  ("&amp;(T22-INDEX('1 Matériel'!$F$6:$F$29,U22)+INDEX('1 Matériel'!$E$6:$E$29,U22))&amp;"/"&amp;INDEX('1 Matériel'!$E$6:$E$29,U22)&amp;")","")))</f>
        <v/>
      </c>
      <c r="D22" s="32" t="n"/>
      <c r="E22" s="32" t="n"/>
      <c r="F22" s="32" t="n"/>
      <c r="G22" s="32" t="n"/>
      <c r="H22" s="33" t="n"/>
      <c r="I22" s="30" t="n"/>
      <c r="T22" s="34">
        <f>IF(8&lt;=SUM('1 Matériel'!$E$6:$E$29),8,0)</f>
        <v/>
      </c>
      <c r="U22" s="34">
        <f>IF(T22=0,"",COUNTIF('1 Matériel'!$F$6:$F$29,"&lt;"&amp;T22)+1)</f>
        <v/>
      </c>
      <c r="V22" s="34">
        <f>IF(U22="","",IF(INDEX('1 Matériel'!$B$6:$B$29,U22)="Oui",1,0))</f>
        <v/>
      </c>
    </row>
    <row r="23" hidden="1" ht="40" customHeight="1">
      <c r="A23" s="29">
        <f>IF(OR(T23=0,V23=1),"",T23-COUNTIF(V$15:V23,1))</f>
        <v/>
      </c>
      <c r="B23" s="30" t="n"/>
      <c r="C23" s="31">
        <f>IF(T23=0,"",IF(V23=1,UPPER(INDEX('1 Matériel'!$C$6:$C$29,U23)),INDEX('1 Matériel'!$C$6:$C$29,U23)&amp;IF(INDEX('1 Matériel'!$E$6:$E$29,U23)&gt;1,"  ("&amp;(T23-INDEX('1 Matériel'!$F$6:$F$29,U23)+INDEX('1 Matériel'!$E$6:$E$29,U23))&amp;"/"&amp;INDEX('1 Matériel'!$E$6:$E$29,U23)&amp;")","")))</f>
        <v/>
      </c>
      <c r="D23" s="32" t="n"/>
      <c r="E23" s="32" t="n"/>
      <c r="F23" s="32" t="n"/>
      <c r="G23" s="32" t="n"/>
      <c r="H23" s="33" t="n"/>
      <c r="I23" s="30" t="n"/>
      <c r="T23" s="34">
        <f>IF(9&lt;=SUM('1 Matériel'!$E$6:$E$29),9,0)</f>
        <v/>
      </c>
      <c r="U23" s="34">
        <f>IF(T23=0,"",COUNTIF('1 Matériel'!$F$6:$F$29,"&lt;"&amp;T23)+1)</f>
        <v/>
      </c>
      <c r="V23" s="34">
        <f>IF(U23="","",IF(INDEX('1 Matériel'!$B$6:$B$29,U23)="Oui",1,0))</f>
        <v/>
      </c>
    </row>
    <row r="24" hidden="1" ht="40" customHeight="1">
      <c r="A24" s="29">
        <f>IF(OR(T24=0,V24=1),"",T24-COUNTIF(V$15:V24,1))</f>
        <v/>
      </c>
      <c r="B24" s="30" t="n"/>
      <c r="C24" s="31">
        <f>IF(T24=0,"",IF(V24=1,UPPER(INDEX('1 Matériel'!$C$6:$C$29,U24)),INDEX('1 Matériel'!$C$6:$C$29,U24)&amp;IF(INDEX('1 Matériel'!$E$6:$E$29,U24)&gt;1,"  ("&amp;(T24-INDEX('1 Matériel'!$F$6:$F$29,U24)+INDEX('1 Matériel'!$E$6:$E$29,U24))&amp;"/"&amp;INDEX('1 Matériel'!$E$6:$E$29,U24)&amp;")","")))</f>
        <v/>
      </c>
      <c r="D24" s="32" t="n"/>
      <c r="E24" s="32" t="n"/>
      <c r="F24" s="32" t="n"/>
      <c r="G24" s="32" t="n"/>
      <c r="H24" s="33" t="n"/>
      <c r="I24" s="30" t="n"/>
      <c r="T24" s="34">
        <f>IF(10&lt;=SUM('1 Matériel'!$E$6:$E$29),10,0)</f>
        <v/>
      </c>
      <c r="U24" s="34">
        <f>IF(T24=0,"",COUNTIF('1 Matériel'!$F$6:$F$29,"&lt;"&amp;T24)+1)</f>
        <v/>
      </c>
      <c r="V24" s="34">
        <f>IF(U24="","",IF(INDEX('1 Matériel'!$B$6:$B$29,U24)="Oui",1,0))</f>
        <v/>
      </c>
    </row>
    <row r="25" hidden="1" ht="40" customHeight="1">
      <c r="A25" s="29">
        <f>IF(OR(T25=0,V25=1),"",T25-COUNTIF(V$15:V25,1))</f>
        <v/>
      </c>
      <c r="B25" s="30" t="n"/>
      <c r="C25" s="31">
        <f>IF(T25=0,"",IF(V25=1,UPPER(INDEX('1 Matériel'!$C$6:$C$29,U25)),INDEX('1 Matériel'!$C$6:$C$29,U25)&amp;IF(INDEX('1 Matériel'!$E$6:$E$29,U25)&gt;1,"  ("&amp;(T25-INDEX('1 Matériel'!$F$6:$F$29,U25)+INDEX('1 Matériel'!$E$6:$E$29,U25))&amp;"/"&amp;INDEX('1 Matériel'!$E$6:$E$29,U25)&amp;")","")))</f>
        <v/>
      </c>
      <c r="D25" s="32" t="n"/>
      <c r="E25" s="32" t="n"/>
      <c r="F25" s="32" t="n"/>
      <c r="G25" s="32" t="n"/>
      <c r="H25" s="33" t="n"/>
      <c r="I25" s="30" t="n"/>
      <c r="T25" s="34">
        <f>IF(11&lt;=SUM('1 Matériel'!$E$6:$E$29),11,0)</f>
        <v/>
      </c>
      <c r="U25" s="34">
        <f>IF(T25=0,"",COUNTIF('1 Matériel'!$F$6:$F$29,"&lt;"&amp;T25)+1)</f>
        <v/>
      </c>
      <c r="V25" s="34">
        <f>IF(U25="","",IF(INDEX('1 Matériel'!$B$6:$B$29,U25)="Oui",1,0))</f>
        <v/>
      </c>
    </row>
    <row r="26" hidden="1" ht="40" customHeight="1">
      <c r="A26" s="29">
        <f>IF(OR(T26=0,V26=1),"",T26-COUNTIF(V$15:V26,1))</f>
        <v/>
      </c>
      <c r="B26" s="30" t="n"/>
      <c r="C26" s="31">
        <f>IF(T26=0,"",IF(V26=1,UPPER(INDEX('1 Matériel'!$C$6:$C$29,U26)),INDEX('1 Matériel'!$C$6:$C$29,U26)&amp;IF(INDEX('1 Matériel'!$E$6:$E$29,U26)&gt;1,"  ("&amp;(T26-INDEX('1 Matériel'!$F$6:$F$29,U26)+INDEX('1 Matériel'!$E$6:$E$29,U26))&amp;"/"&amp;INDEX('1 Matériel'!$E$6:$E$29,U26)&amp;")","")))</f>
        <v/>
      </c>
      <c r="D26" s="32" t="n"/>
      <c r="E26" s="32" t="n"/>
      <c r="F26" s="32" t="n"/>
      <c r="G26" s="32" t="n"/>
      <c r="H26" s="33" t="n"/>
      <c r="I26" s="30" t="n"/>
      <c r="T26" s="34">
        <f>IF(12&lt;=SUM('1 Matériel'!$E$6:$E$29),12,0)</f>
        <v/>
      </c>
      <c r="U26" s="34">
        <f>IF(T26=0,"",COUNTIF('1 Matériel'!$F$6:$F$29,"&lt;"&amp;T26)+1)</f>
        <v/>
      </c>
      <c r="V26" s="34">
        <f>IF(U26="","",IF(INDEX('1 Matériel'!$B$6:$B$29,U26)="Oui",1,0))</f>
        <v/>
      </c>
    </row>
    <row r="27" hidden="1" ht="40" customHeight="1">
      <c r="A27" s="29">
        <f>IF(OR(T27=0,V27=1),"",T27-COUNTIF(V$15:V27,1))</f>
        <v/>
      </c>
      <c r="B27" s="30" t="n"/>
      <c r="C27" s="31">
        <f>IF(T27=0,"",IF(V27=1,UPPER(INDEX('1 Matériel'!$C$6:$C$29,U27)),INDEX('1 Matériel'!$C$6:$C$29,U27)&amp;IF(INDEX('1 Matériel'!$E$6:$E$29,U27)&gt;1,"  ("&amp;(T27-INDEX('1 Matériel'!$F$6:$F$29,U27)+INDEX('1 Matériel'!$E$6:$E$29,U27))&amp;"/"&amp;INDEX('1 Matériel'!$E$6:$E$29,U27)&amp;")","")))</f>
        <v/>
      </c>
      <c r="D27" s="32" t="n"/>
      <c r="E27" s="32" t="n"/>
      <c r="F27" s="32" t="n"/>
      <c r="G27" s="32" t="n"/>
      <c r="H27" s="33" t="n"/>
      <c r="I27" s="30" t="n"/>
      <c r="T27" s="34">
        <f>IF(13&lt;=SUM('1 Matériel'!$E$6:$E$29),13,0)</f>
        <v/>
      </c>
      <c r="U27" s="34">
        <f>IF(T27=0,"",COUNTIF('1 Matériel'!$F$6:$F$29,"&lt;"&amp;T27)+1)</f>
        <v/>
      </c>
      <c r="V27" s="34">
        <f>IF(U27="","",IF(INDEX('1 Matériel'!$B$6:$B$29,U27)="Oui",1,0))</f>
        <v/>
      </c>
    </row>
    <row r="28" hidden="1" ht="40" customHeight="1">
      <c r="A28" s="29">
        <f>IF(OR(T28=0,V28=1),"",T28-COUNTIF(V$15:V28,1))</f>
        <v/>
      </c>
      <c r="B28" s="30" t="n"/>
      <c r="C28" s="31">
        <f>IF(T28=0,"",IF(V28=1,UPPER(INDEX('1 Matériel'!$C$6:$C$29,U28)),INDEX('1 Matériel'!$C$6:$C$29,U28)&amp;IF(INDEX('1 Matériel'!$E$6:$E$29,U28)&gt;1,"  ("&amp;(T28-INDEX('1 Matériel'!$F$6:$F$29,U28)+INDEX('1 Matériel'!$E$6:$E$29,U28))&amp;"/"&amp;INDEX('1 Matériel'!$E$6:$E$29,U28)&amp;")","")))</f>
        <v/>
      </c>
      <c r="D28" s="32" t="n"/>
      <c r="E28" s="32" t="n"/>
      <c r="F28" s="32" t="n"/>
      <c r="G28" s="32" t="n"/>
      <c r="H28" s="33" t="n"/>
      <c r="I28" s="30" t="n"/>
      <c r="T28" s="34">
        <f>IF(14&lt;=SUM('1 Matériel'!$E$6:$E$29),14,0)</f>
        <v/>
      </c>
      <c r="U28" s="34">
        <f>IF(T28=0,"",COUNTIF('1 Matériel'!$F$6:$F$29,"&lt;"&amp;T28)+1)</f>
        <v/>
      </c>
      <c r="V28" s="34">
        <f>IF(U28="","",IF(INDEX('1 Matériel'!$B$6:$B$29,U28)="Oui",1,0))</f>
        <v/>
      </c>
    </row>
    <row r="29" hidden="1" ht="40" customHeight="1">
      <c r="A29" s="29">
        <f>IF(OR(T29=0,V29=1),"",T29-COUNTIF(V$15:V29,1))</f>
        <v/>
      </c>
      <c r="B29" s="30" t="n"/>
      <c r="C29" s="31">
        <f>IF(T29=0,"",IF(V29=1,UPPER(INDEX('1 Matériel'!$C$6:$C$29,U29)),INDEX('1 Matériel'!$C$6:$C$29,U29)&amp;IF(INDEX('1 Matériel'!$E$6:$E$29,U29)&gt;1,"  ("&amp;(T29-INDEX('1 Matériel'!$F$6:$F$29,U29)+INDEX('1 Matériel'!$E$6:$E$29,U29))&amp;"/"&amp;INDEX('1 Matériel'!$E$6:$E$29,U29)&amp;")","")))</f>
        <v/>
      </c>
      <c r="D29" s="32" t="n"/>
      <c r="E29" s="32" t="n"/>
      <c r="F29" s="32" t="n"/>
      <c r="G29" s="32" t="n"/>
      <c r="H29" s="33" t="n"/>
      <c r="I29" s="30" t="n"/>
      <c r="T29" s="34">
        <f>IF(15&lt;=SUM('1 Matériel'!$E$6:$E$29),15,0)</f>
        <v/>
      </c>
      <c r="U29" s="34">
        <f>IF(T29=0,"",COUNTIF('1 Matériel'!$F$6:$F$29,"&lt;"&amp;T29)+1)</f>
        <v/>
      </c>
      <c r="V29" s="34">
        <f>IF(U29="","",IF(INDEX('1 Matériel'!$B$6:$B$29,U29)="Oui",1,0))</f>
        <v/>
      </c>
    </row>
    <row r="30" hidden="1" ht="40" customHeight="1">
      <c r="A30" s="29">
        <f>IF(OR(T30=0,V30=1),"",T30-COUNTIF(V$15:V30,1))</f>
        <v/>
      </c>
      <c r="B30" s="30" t="n"/>
      <c r="C30" s="31">
        <f>IF(T30=0,"",IF(V30=1,UPPER(INDEX('1 Matériel'!$C$6:$C$29,U30)),INDEX('1 Matériel'!$C$6:$C$29,U30)&amp;IF(INDEX('1 Matériel'!$E$6:$E$29,U30)&gt;1,"  ("&amp;(T30-INDEX('1 Matériel'!$F$6:$F$29,U30)+INDEX('1 Matériel'!$E$6:$E$29,U30))&amp;"/"&amp;INDEX('1 Matériel'!$E$6:$E$29,U30)&amp;")","")))</f>
        <v/>
      </c>
      <c r="D30" s="32" t="n"/>
      <c r="E30" s="32" t="n"/>
      <c r="F30" s="32" t="n"/>
      <c r="G30" s="32" t="n"/>
      <c r="H30" s="33" t="n"/>
      <c r="I30" s="30" t="n"/>
      <c r="T30" s="34">
        <f>IF(16&lt;=SUM('1 Matériel'!$E$6:$E$29),16,0)</f>
        <v/>
      </c>
      <c r="U30" s="34">
        <f>IF(T30=0,"",COUNTIF('1 Matériel'!$F$6:$F$29,"&lt;"&amp;T30)+1)</f>
        <v/>
      </c>
      <c r="V30" s="34">
        <f>IF(U30="","",IF(INDEX('1 Matériel'!$B$6:$B$29,U30)="Oui",1,0))</f>
        <v/>
      </c>
    </row>
    <row r="31" hidden="1" ht="40" customHeight="1">
      <c r="A31" s="29">
        <f>IF(OR(T31=0,V31=1),"",T31-COUNTIF(V$15:V31,1))</f>
        <v/>
      </c>
      <c r="B31" s="30" t="n"/>
      <c r="C31" s="31">
        <f>IF(T31=0,"",IF(V31=1,UPPER(INDEX('1 Matériel'!$C$6:$C$29,U31)),INDEX('1 Matériel'!$C$6:$C$29,U31)&amp;IF(INDEX('1 Matériel'!$E$6:$E$29,U31)&gt;1,"  ("&amp;(T31-INDEX('1 Matériel'!$F$6:$F$29,U31)+INDEX('1 Matériel'!$E$6:$E$29,U31))&amp;"/"&amp;INDEX('1 Matériel'!$E$6:$E$29,U31)&amp;")","")))</f>
        <v/>
      </c>
      <c r="D31" s="32" t="n"/>
      <c r="E31" s="32" t="n"/>
      <c r="F31" s="32" t="n"/>
      <c r="G31" s="32" t="n"/>
      <c r="H31" s="33" t="n"/>
      <c r="I31" s="30" t="n"/>
      <c r="T31" s="34">
        <f>IF(17&lt;=SUM('1 Matériel'!$E$6:$E$29),17,0)</f>
        <v/>
      </c>
      <c r="U31" s="34">
        <f>IF(T31=0,"",COUNTIF('1 Matériel'!$F$6:$F$29,"&lt;"&amp;T31)+1)</f>
        <v/>
      </c>
      <c r="V31" s="34">
        <f>IF(U31="","",IF(INDEX('1 Matériel'!$B$6:$B$29,U31)="Oui",1,0))</f>
        <v/>
      </c>
    </row>
    <row r="32" hidden="1" ht="40" customHeight="1">
      <c r="A32" s="29">
        <f>IF(OR(T32=0,V32=1),"",T32-COUNTIF(V$15:V32,1))</f>
        <v/>
      </c>
      <c r="B32" s="30" t="n"/>
      <c r="C32" s="31">
        <f>IF(T32=0,"",IF(V32=1,UPPER(INDEX('1 Matériel'!$C$6:$C$29,U32)),INDEX('1 Matériel'!$C$6:$C$29,U32)&amp;IF(INDEX('1 Matériel'!$E$6:$E$29,U32)&gt;1,"  ("&amp;(T32-INDEX('1 Matériel'!$F$6:$F$29,U32)+INDEX('1 Matériel'!$E$6:$E$29,U32))&amp;"/"&amp;INDEX('1 Matériel'!$E$6:$E$29,U32)&amp;")","")))</f>
        <v/>
      </c>
      <c r="D32" s="32" t="n"/>
      <c r="E32" s="32" t="n"/>
      <c r="F32" s="32" t="n"/>
      <c r="G32" s="32" t="n"/>
      <c r="H32" s="33" t="n"/>
      <c r="I32" s="30" t="n"/>
      <c r="T32" s="34">
        <f>IF(18&lt;=SUM('1 Matériel'!$E$6:$E$29),18,0)</f>
        <v/>
      </c>
      <c r="U32" s="34">
        <f>IF(T32=0,"",COUNTIF('1 Matériel'!$F$6:$F$29,"&lt;"&amp;T32)+1)</f>
        <v/>
      </c>
      <c r="V32" s="34">
        <f>IF(U32="","",IF(INDEX('1 Matériel'!$B$6:$B$29,U32)="Oui",1,0))</f>
        <v/>
      </c>
    </row>
    <row r="33" hidden="1" ht="40" customHeight="1">
      <c r="A33" s="29">
        <f>IF(OR(T33=0,V33=1),"",T33-COUNTIF(V$15:V33,1))</f>
        <v/>
      </c>
      <c r="B33" s="30" t="n"/>
      <c r="C33" s="31">
        <f>IF(T33=0,"",IF(V33=1,UPPER(INDEX('1 Matériel'!$C$6:$C$29,U33)),INDEX('1 Matériel'!$C$6:$C$29,U33)&amp;IF(INDEX('1 Matériel'!$E$6:$E$29,U33)&gt;1,"  ("&amp;(T33-INDEX('1 Matériel'!$F$6:$F$29,U33)+INDEX('1 Matériel'!$E$6:$E$29,U33))&amp;"/"&amp;INDEX('1 Matériel'!$E$6:$E$29,U33)&amp;")","")))</f>
        <v/>
      </c>
      <c r="D33" s="32" t="n"/>
      <c r="E33" s="32" t="n"/>
      <c r="F33" s="32" t="n"/>
      <c r="G33" s="32" t="n"/>
      <c r="H33" s="33" t="n"/>
      <c r="I33" s="30" t="n"/>
      <c r="T33" s="34">
        <f>IF(19&lt;=SUM('1 Matériel'!$E$6:$E$29),19,0)</f>
        <v/>
      </c>
      <c r="U33" s="34">
        <f>IF(T33=0,"",COUNTIF('1 Matériel'!$F$6:$F$29,"&lt;"&amp;T33)+1)</f>
        <v/>
      </c>
      <c r="V33" s="34">
        <f>IF(U33="","",IF(INDEX('1 Matériel'!$B$6:$B$29,U33)="Oui",1,0))</f>
        <v/>
      </c>
    </row>
    <row r="34" hidden="1" ht="40" customHeight="1">
      <c r="A34" s="29">
        <f>IF(OR(T34=0,V34=1),"",T34-COUNTIF(V$15:V34,1))</f>
        <v/>
      </c>
      <c r="B34" s="30" t="n"/>
      <c r="C34" s="31">
        <f>IF(T34=0,"",IF(V34=1,UPPER(INDEX('1 Matériel'!$C$6:$C$29,U34)),INDEX('1 Matériel'!$C$6:$C$29,U34)&amp;IF(INDEX('1 Matériel'!$E$6:$E$29,U34)&gt;1,"  ("&amp;(T34-INDEX('1 Matériel'!$F$6:$F$29,U34)+INDEX('1 Matériel'!$E$6:$E$29,U34))&amp;"/"&amp;INDEX('1 Matériel'!$E$6:$E$29,U34)&amp;")","")))</f>
        <v/>
      </c>
      <c r="D34" s="32" t="n"/>
      <c r="E34" s="32" t="n"/>
      <c r="F34" s="32" t="n"/>
      <c r="G34" s="32" t="n"/>
      <c r="H34" s="33" t="n"/>
      <c r="I34" s="30" t="n"/>
      <c r="T34" s="34">
        <f>IF(20&lt;=SUM('1 Matériel'!$E$6:$E$29),20,0)</f>
        <v/>
      </c>
      <c r="U34" s="34">
        <f>IF(T34=0,"",COUNTIF('1 Matériel'!$F$6:$F$29,"&lt;"&amp;T34)+1)</f>
        <v/>
      </c>
      <c r="V34" s="34">
        <f>IF(U34="","",IF(INDEX('1 Matériel'!$B$6:$B$29,U34)="Oui",1,0))</f>
        <v/>
      </c>
    </row>
    <row r="35" hidden="1" ht="40" customHeight="1">
      <c r="A35" s="29">
        <f>IF(OR(T35=0,V35=1),"",T35-COUNTIF(V$15:V35,1))</f>
        <v/>
      </c>
      <c r="B35" s="30" t="n"/>
      <c r="C35" s="31">
        <f>IF(T35=0,"",IF(V35=1,UPPER(INDEX('1 Matériel'!$C$6:$C$29,U35)),INDEX('1 Matériel'!$C$6:$C$29,U35)&amp;IF(INDEX('1 Matériel'!$E$6:$E$29,U35)&gt;1,"  ("&amp;(T35-INDEX('1 Matériel'!$F$6:$F$29,U35)+INDEX('1 Matériel'!$E$6:$E$29,U35))&amp;"/"&amp;INDEX('1 Matériel'!$E$6:$E$29,U35)&amp;")","")))</f>
        <v/>
      </c>
      <c r="D35" s="32" t="n"/>
      <c r="E35" s="32" t="n"/>
      <c r="F35" s="32" t="n"/>
      <c r="G35" s="32" t="n"/>
      <c r="H35" s="33" t="n"/>
      <c r="I35" s="30" t="n"/>
      <c r="T35" s="34">
        <f>IF(21&lt;=SUM('1 Matériel'!$E$6:$E$29),21,0)</f>
        <v/>
      </c>
      <c r="U35" s="34">
        <f>IF(T35=0,"",COUNTIF('1 Matériel'!$F$6:$F$29,"&lt;"&amp;T35)+1)</f>
        <v/>
      </c>
      <c r="V35" s="34">
        <f>IF(U35="","",IF(INDEX('1 Matériel'!$B$6:$B$29,U35)="Oui",1,0))</f>
        <v/>
      </c>
    </row>
    <row r="36" hidden="1" ht="40" customHeight="1">
      <c r="A36" s="29">
        <f>IF(OR(T36=0,V36=1),"",T36-COUNTIF(V$15:V36,1))</f>
        <v/>
      </c>
      <c r="B36" s="30" t="n"/>
      <c r="C36" s="31">
        <f>IF(T36=0,"",IF(V36=1,UPPER(INDEX('1 Matériel'!$C$6:$C$29,U36)),INDEX('1 Matériel'!$C$6:$C$29,U36)&amp;IF(INDEX('1 Matériel'!$E$6:$E$29,U36)&gt;1,"  ("&amp;(T36-INDEX('1 Matériel'!$F$6:$F$29,U36)+INDEX('1 Matériel'!$E$6:$E$29,U36))&amp;"/"&amp;INDEX('1 Matériel'!$E$6:$E$29,U36)&amp;")","")))</f>
        <v/>
      </c>
      <c r="D36" s="32" t="n"/>
      <c r="E36" s="32" t="n"/>
      <c r="F36" s="32" t="n"/>
      <c r="G36" s="32" t="n"/>
      <c r="H36" s="33" t="n"/>
      <c r="I36" s="30" t="n"/>
      <c r="T36" s="34">
        <f>IF(22&lt;=SUM('1 Matériel'!$E$6:$E$29),22,0)</f>
        <v/>
      </c>
      <c r="U36" s="34">
        <f>IF(T36=0,"",COUNTIF('1 Matériel'!$F$6:$F$29,"&lt;"&amp;T36)+1)</f>
        <v/>
      </c>
      <c r="V36" s="34">
        <f>IF(U36="","",IF(INDEX('1 Matériel'!$B$6:$B$29,U36)="Oui",1,0))</f>
        <v/>
      </c>
    </row>
    <row r="37" hidden="1" ht="40" customHeight="1">
      <c r="A37" s="29">
        <f>IF(OR(T37=0,V37=1),"",T37-COUNTIF(V$15:V37,1))</f>
        <v/>
      </c>
      <c r="B37" s="30" t="n"/>
      <c r="C37" s="31">
        <f>IF(T37=0,"",IF(V37=1,UPPER(INDEX('1 Matériel'!$C$6:$C$29,U37)),INDEX('1 Matériel'!$C$6:$C$29,U37)&amp;IF(INDEX('1 Matériel'!$E$6:$E$29,U37)&gt;1,"  ("&amp;(T37-INDEX('1 Matériel'!$F$6:$F$29,U37)+INDEX('1 Matériel'!$E$6:$E$29,U37))&amp;"/"&amp;INDEX('1 Matériel'!$E$6:$E$29,U37)&amp;")","")))</f>
        <v/>
      </c>
      <c r="D37" s="32" t="n"/>
      <c r="E37" s="32" t="n"/>
      <c r="F37" s="32" t="n"/>
      <c r="G37" s="32" t="n"/>
      <c r="H37" s="33" t="n"/>
      <c r="I37" s="30" t="n"/>
      <c r="T37" s="34">
        <f>IF(23&lt;=SUM('1 Matériel'!$E$6:$E$29),23,0)</f>
        <v/>
      </c>
      <c r="U37" s="34">
        <f>IF(T37=0,"",COUNTIF('1 Matériel'!$F$6:$F$29,"&lt;"&amp;T37)+1)</f>
        <v/>
      </c>
      <c r="V37" s="34">
        <f>IF(U37="","",IF(INDEX('1 Matériel'!$B$6:$B$29,U37)="Oui",1,0))</f>
        <v/>
      </c>
    </row>
    <row r="38" hidden="1" ht="40" customHeight="1">
      <c r="A38" s="29">
        <f>IF(OR(T38=0,V38=1),"",T38-COUNTIF(V$15:V38,1))</f>
        <v/>
      </c>
      <c r="B38" s="30" t="n"/>
      <c r="C38" s="31">
        <f>IF(T38=0,"",IF(V38=1,UPPER(INDEX('1 Matériel'!$C$6:$C$29,U38)),INDEX('1 Matériel'!$C$6:$C$29,U38)&amp;IF(INDEX('1 Matériel'!$E$6:$E$29,U38)&gt;1,"  ("&amp;(T38-INDEX('1 Matériel'!$F$6:$F$29,U38)+INDEX('1 Matériel'!$E$6:$E$29,U38))&amp;"/"&amp;INDEX('1 Matériel'!$E$6:$E$29,U38)&amp;")","")))</f>
        <v/>
      </c>
      <c r="D38" s="32" t="n"/>
      <c r="E38" s="32" t="n"/>
      <c r="F38" s="32" t="n"/>
      <c r="G38" s="32" t="n"/>
      <c r="H38" s="33" t="n"/>
      <c r="I38" s="30" t="n"/>
      <c r="T38" s="34">
        <f>IF(24&lt;=SUM('1 Matériel'!$E$6:$E$29),24,0)</f>
        <v/>
      </c>
      <c r="U38" s="34">
        <f>IF(T38=0,"",COUNTIF('1 Matériel'!$F$6:$F$29,"&lt;"&amp;T38)+1)</f>
        <v/>
      </c>
      <c r="V38" s="34">
        <f>IF(U38="","",IF(INDEX('1 Matériel'!$B$6:$B$29,U38)="Oui",1,0))</f>
        <v/>
      </c>
    </row>
    <row r="39" hidden="1" ht="40" customHeight="1">
      <c r="A39" s="29">
        <f>IF(OR(T39=0,V39=1),"",T39-COUNTIF(V$15:V39,1))</f>
        <v/>
      </c>
      <c r="B39" s="30" t="n"/>
      <c r="C39" s="31">
        <f>IF(T39=0,"",IF(V39=1,UPPER(INDEX('1 Matériel'!$C$6:$C$29,U39)),INDEX('1 Matériel'!$C$6:$C$29,U39)&amp;IF(INDEX('1 Matériel'!$E$6:$E$29,U39)&gt;1,"  ("&amp;(T39-INDEX('1 Matériel'!$F$6:$F$29,U39)+INDEX('1 Matériel'!$E$6:$E$29,U39))&amp;"/"&amp;INDEX('1 Matériel'!$E$6:$E$29,U39)&amp;")","")))</f>
        <v/>
      </c>
      <c r="D39" s="32" t="n"/>
      <c r="E39" s="32" t="n"/>
      <c r="F39" s="32" t="n"/>
      <c r="G39" s="32" t="n"/>
      <c r="H39" s="33" t="n"/>
      <c r="I39" s="30" t="n"/>
      <c r="T39" s="34">
        <f>IF(25&lt;=SUM('1 Matériel'!$E$6:$E$29),25,0)</f>
        <v/>
      </c>
      <c r="U39" s="34">
        <f>IF(T39=0,"",COUNTIF('1 Matériel'!$F$6:$F$29,"&lt;"&amp;T39)+1)</f>
        <v/>
      </c>
      <c r="V39" s="34">
        <f>IF(U39="","",IF(INDEX('1 Matériel'!$B$6:$B$29,U39)="Oui",1,0))</f>
        <v/>
      </c>
    </row>
    <row r="40" hidden="1" ht="40" customHeight="1">
      <c r="A40" s="29">
        <f>IF(OR(T40=0,V40=1),"",T40-COUNTIF(V$15:V40,1))</f>
        <v/>
      </c>
      <c r="B40" s="30" t="n"/>
      <c r="C40" s="31">
        <f>IF(T40=0,"",IF(V40=1,UPPER(INDEX('1 Matériel'!$C$6:$C$29,U40)),INDEX('1 Matériel'!$C$6:$C$29,U40)&amp;IF(INDEX('1 Matériel'!$E$6:$E$29,U40)&gt;1,"  ("&amp;(T40-INDEX('1 Matériel'!$F$6:$F$29,U40)+INDEX('1 Matériel'!$E$6:$E$29,U40))&amp;"/"&amp;INDEX('1 Matériel'!$E$6:$E$29,U40)&amp;")","")))</f>
        <v/>
      </c>
      <c r="D40" s="32" t="n"/>
      <c r="E40" s="32" t="n"/>
      <c r="F40" s="32" t="n"/>
      <c r="G40" s="32" t="n"/>
      <c r="H40" s="33" t="n"/>
      <c r="I40" s="30" t="n"/>
      <c r="T40" s="34">
        <f>IF(26&lt;=SUM('1 Matériel'!$E$6:$E$29),26,0)</f>
        <v/>
      </c>
      <c r="U40" s="34">
        <f>IF(T40=0,"",COUNTIF('1 Matériel'!$F$6:$F$29,"&lt;"&amp;T40)+1)</f>
        <v/>
      </c>
      <c r="V40" s="34">
        <f>IF(U40="","",IF(INDEX('1 Matériel'!$B$6:$B$29,U40)="Oui",1,0))</f>
        <v/>
      </c>
    </row>
    <row r="41" hidden="1" ht="40" customHeight="1">
      <c r="A41" s="29">
        <f>IF(OR(T41=0,V41=1),"",T41-COUNTIF(V$15:V41,1))</f>
        <v/>
      </c>
      <c r="B41" s="30" t="n"/>
      <c r="C41" s="31">
        <f>IF(T41=0,"",IF(V41=1,UPPER(INDEX('1 Matériel'!$C$6:$C$29,U41)),INDEX('1 Matériel'!$C$6:$C$29,U41)&amp;IF(INDEX('1 Matériel'!$E$6:$E$29,U41)&gt;1,"  ("&amp;(T41-INDEX('1 Matériel'!$F$6:$F$29,U41)+INDEX('1 Matériel'!$E$6:$E$29,U41))&amp;"/"&amp;INDEX('1 Matériel'!$E$6:$E$29,U41)&amp;")","")))</f>
        <v/>
      </c>
      <c r="D41" s="32" t="n"/>
      <c r="E41" s="32" t="n"/>
      <c r="F41" s="32" t="n"/>
      <c r="G41" s="32" t="n"/>
      <c r="H41" s="33" t="n"/>
      <c r="I41" s="30" t="n"/>
      <c r="T41" s="34">
        <f>IF(27&lt;=SUM('1 Matériel'!$E$6:$E$29),27,0)</f>
        <v/>
      </c>
      <c r="U41" s="34">
        <f>IF(T41=0,"",COUNTIF('1 Matériel'!$F$6:$F$29,"&lt;"&amp;T41)+1)</f>
        <v/>
      </c>
      <c r="V41" s="34">
        <f>IF(U41="","",IF(INDEX('1 Matériel'!$B$6:$B$29,U41)="Oui",1,0))</f>
        <v/>
      </c>
    </row>
    <row r="42" hidden="1" ht="40" customHeight="1">
      <c r="A42" s="29">
        <f>IF(OR(T42=0,V42=1),"",T42-COUNTIF(V$15:V42,1))</f>
        <v/>
      </c>
      <c r="B42" s="30" t="n"/>
      <c r="C42" s="31">
        <f>IF(T42=0,"",IF(V42=1,UPPER(INDEX('1 Matériel'!$C$6:$C$29,U42)),INDEX('1 Matériel'!$C$6:$C$29,U42)&amp;IF(INDEX('1 Matériel'!$E$6:$E$29,U42)&gt;1,"  ("&amp;(T42-INDEX('1 Matériel'!$F$6:$F$29,U42)+INDEX('1 Matériel'!$E$6:$E$29,U42))&amp;"/"&amp;INDEX('1 Matériel'!$E$6:$E$29,U42)&amp;")","")))</f>
        <v/>
      </c>
      <c r="D42" s="32" t="n"/>
      <c r="E42" s="32" t="n"/>
      <c r="F42" s="32" t="n"/>
      <c r="G42" s="32" t="n"/>
      <c r="H42" s="33" t="n"/>
      <c r="I42" s="30" t="n"/>
      <c r="T42" s="34">
        <f>IF(28&lt;=SUM('1 Matériel'!$E$6:$E$29),28,0)</f>
        <v/>
      </c>
      <c r="U42" s="34">
        <f>IF(T42=0,"",COUNTIF('1 Matériel'!$F$6:$F$29,"&lt;"&amp;T42)+1)</f>
        <v/>
      </c>
      <c r="V42" s="34">
        <f>IF(U42="","",IF(INDEX('1 Matériel'!$B$6:$B$29,U42)="Oui",1,0))</f>
        <v/>
      </c>
    </row>
    <row r="43" hidden="1" ht="40" customHeight="1">
      <c r="A43" s="29">
        <f>IF(OR(T43=0,V43=1),"",T43-COUNTIF(V$15:V43,1))</f>
        <v/>
      </c>
      <c r="B43" s="30" t="n"/>
      <c r="C43" s="31">
        <f>IF(T43=0,"",IF(V43=1,UPPER(INDEX('1 Matériel'!$C$6:$C$29,U43)),INDEX('1 Matériel'!$C$6:$C$29,U43)&amp;IF(INDEX('1 Matériel'!$E$6:$E$29,U43)&gt;1,"  ("&amp;(T43-INDEX('1 Matériel'!$F$6:$F$29,U43)+INDEX('1 Matériel'!$E$6:$E$29,U43))&amp;"/"&amp;INDEX('1 Matériel'!$E$6:$E$29,U43)&amp;")","")))</f>
        <v/>
      </c>
      <c r="D43" s="32" t="n"/>
      <c r="E43" s="32" t="n"/>
      <c r="F43" s="32" t="n"/>
      <c r="G43" s="32" t="n"/>
      <c r="H43" s="33" t="n"/>
      <c r="I43" s="30" t="n"/>
      <c r="T43" s="34">
        <f>IF(29&lt;=SUM('1 Matériel'!$E$6:$E$29),29,0)</f>
        <v/>
      </c>
      <c r="U43" s="34">
        <f>IF(T43=0,"",COUNTIF('1 Matériel'!$F$6:$F$29,"&lt;"&amp;T43)+1)</f>
        <v/>
      </c>
      <c r="V43" s="34">
        <f>IF(U43="","",IF(INDEX('1 Matériel'!$B$6:$B$29,U43)="Oui",1,0))</f>
        <v/>
      </c>
    </row>
    <row r="44" hidden="1" ht="40" customHeight="1">
      <c r="A44" s="29">
        <f>IF(OR(T44=0,V44=1),"",T44-COUNTIF(V$15:V44,1))</f>
        <v/>
      </c>
      <c r="B44" s="30" t="n"/>
      <c r="C44" s="31">
        <f>IF(T44=0,"",IF(V44=1,UPPER(INDEX('1 Matériel'!$C$6:$C$29,U44)),INDEX('1 Matériel'!$C$6:$C$29,U44)&amp;IF(INDEX('1 Matériel'!$E$6:$E$29,U44)&gt;1,"  ("&amp;(T44-INDEX('1 Matériel'!$F$6:$F$29,U44)+INDEX('1 Matériel'!$E$6:$E$29,U44))&amp;"/"&amp;INDEX('1 Matériel'!$E$6:$E$29,U44)&amp;")","")))</f>
        <v/>
      </c>
      <c r="D44" s="32" t="n"/>
      <c r="E44" s="32" t="n"/>
      <c r="F44" s="32" t="n"/>
      <c r="G44" s="32" t="n"/>
      <c r="H44" s="33" t="n"/>
      <c r="I44" s="30" t="n"/>
      <c r="T44" s="34">
        <f>IF(30&lt;=SUM('1 Matériel'!$E$6:$E$29),30,0)</f>
        <v/>
      </c>
      <c r="U44" s="34">
        <f>IF(T44=0,"",COUNTIF('1 Matériel'!$F$6:$F$29,"&lt;"&amp;T44)+1)</f>
        <v/>
      </c>
      <c r="V44" s="34">
        <f>IF(U44="","",IF(INDEX('1 Matériel'!$B$6:$B$29,U44)="Oui",1,0))</f>
        <v/>
      </c>
    </row>
    <row r="45" hidden="1" ht="40" customHeight="1">
      <c r="A45" s="29">
        <f>IF(OR(T45=0,V45=1),"",T45-COUNTIF(V$15:V45,1))</f>
        <v/>
      </c>
      <c r="B45" s="30" t="n"/>
      <c r="C45" s="31">
        <f>IF(T45=0,"",IF(V45=1,UPPER(INDEX('1 Matériel'!$C$6:$C$29,U45)),INDEX('1 Matériel'!$C$6:$C$29,U45)&amp;IF(INDEX('1 Matériel'!$E$6:$E$29,U45)&gt;1,"  ("&amp;(T45-INDEX('1 Matériel'!$F$6:$F$29,U45)+INDEX('1 Matériel'!$E$6:$E$29,U45))&amp;"/"&amp;INDEX('1 Matériel'!$E$6:$E$29,U45)&amp;")","")))</f>
        <v/>
      </c>
      <c r="D45" s="32" t="n"/>
      <c r="E45" s="32" t="n"/>
      <c r="F45" s="32" t="n"/>
      <c r="G45" s="32" t="n"/>
      <c r="H45" s="33" t="n"/>
      <c r="I45" s="30" t="n"/>
      <c r="T45" s="34">
        <f>IF(31&lt;=SUM('1 Matériel'!$E$6:$E$29),31,0)</f>
        <v/>
      </c>
      <c r="U45" s="34">
        <f>IF(T45=0,"",COUNTIF('1 Matériel'!$F$6:$F$29,"&lt;"&amp;T45)+1)</f>
        <v/>
      </c>
      <c r="V45" s="34">
        <f>IF(U45="","",IF(INDEX('1 Matériel'!$B$6:$B$29,U45)="Oui",1,0))</f>
        <v/>
      </c>
    </row>
    <row r="46" hidden="1" ht="40" customHeight="1">
      <c r="A46" s="29">
        <f>IF(OR(T46=0,V46=1),"",T46-COUNTIF(V$15:V46,1))</f>
        <v/>
      </c>
      <c r="B46" s="30" t="n"/>
      <c r="C46" s="31">
        <f>IF(T46=0,"",IF(V46=1,UPPER(INDEX('1 Matériel'!$C$6:$C$29,U46)),INDEX('1 Matériel'!$C$6:$C$29,U46)&amp;IF(INDEX('1 Matériel'!$E$6:$E$29,U46)&gt;1,"  ("&amp;(T46-INDEX('1 Matériel'!$F$6:$F$29,U46)+INDEX('1 Matériel'!$E$6:$E$29,U46))&amp;"/"&amp;INDEX('1 Matériel'!$E$6:$E$29,U46)&amp;")","")))</f>
        <v/>
      </c>
      <c r="D46" s="32" t="n"/>
      <c r="E46" s="32" t="n"/>
      <c r="F46" s="32" t="n"/>
      <c r="G46" s="32" t="n"/>
      <c r="H46" s="33" t="n"/>
      <c r="I46" s="30" t="n"/>
      <c r="T46" s="34">
        <f>IF(32&lt;=SUM('1 Matériel'!$E$6:$E$29),32,0)</f>
        <v/>
      </c>
      <c r="U46" s="34">
        <f>IF(T46=0,"",COUNTIF('1 Matériel'!$F$6:$F$29,"&lt;"&amp;T46)+1)</f>
        <v/>
      </c>
      <c r="V46" s="34">
        <f>IF(U46="","",IF(INDEX('1 Matériel'!$B$6:$B$29,U46)="Oui",1,0))</f>
        <v/>
      </c>
    </row>
    <row r="47" hidden="1" ht="40" customHeight="1">
      <c r="A47" s="29">
        <f>IF(OR(T47=0,V47=1),"",T47-COUNTIF(V$15:V47,1))</f>
        <v/>
      </c>
      <c r="B47" s="30" t="n"/>
      <c r="C47" s="31">
        <f>IF(T47=0,"",IF(V47=1,UPPER(INDEX('1 Matériel'!$C$6:$C$29,U47)),INDEX('1 Matériel'!$C$6:$C$29,U47)&amp;IF(INDEX('1 Matériel'!$E$6:$E$29,U47)&gt;1,"  ("&amp;(T47-INDEX('1 Matériel'!$F$6:$F$29,U47)+INDEX('1 Matériel'!$E$6:$E$29,U47))&amp;"/"&amp;INDEX('1 Matériel'!$E$6:$E$29,U47)&amp;")","")))</f>
        <v/>
      </c>
      <c r="D47" s="32" t="n"/>
      <c r="E47" s="32" t="n"/>
      <c r="F47" s="32" t="n"/>
      <c r="G47" s="32" t="n"/>
      <c r="H47" s="33" t="n"/>
      <c r="I47" s="30" t="n"/>
      <c r="T47" s="34">
        <f>IF(33&lt;=SUM('1 Matériel'!$E$6:$E$29),33,0)</f>
        <v/>
      </c>
      <c r="U47" s="34">
        <f>IF(T47=0,"",COUNTIF('1 Matériel'!$F$6:$F$29,"&lt;"&amp;T47)+1)</f>
        <v/>
      </c>
      <c r="V47" s="34">
        <f>IF(U47="","",IF(INDEX('1 Matériel'!$B$6:$B$29,U47)="Oui",1,0))</f>
        <v/>
      </c>
    </row>
    <row r="48" hidden="1" ht="40" customHeight="1">
      <c r="A48" s="29">
        <f>IF(OR(T48=0,V48=1),"",T48-COUNTIF(V$15:V48,1))</f>
        <v/>
      </c>
      <c r="B48" s="30" t="n"/>
      <c r="C48" s="31">
        <f>IF(T48=0,"",IF(V48=1,UPPER(INDEX('1 Matériel'!$C$6:$C$29,U48)),INDEX('1 Matériel'!$C$6:$C$29,U48)&amp;IF(INDEX('1 Matériel'!$E$6:$E$29,U48)&gt;1,"  ("&amp;(T48-INDEX('1 Matériel'!$F$6:$F$29,U48)+INDEX('1 Matériel'!$E$6:$E$29,U48))&amp;"/"&amp;INDEX('1 Matériel'!$E$6:$E$29,U48)&amp;")","")))</f>
        <v/>
      </c>
      <c r="D48" s="32" t="n"/>
      <c r="E48" s="32" t="n"/>
      <c r="F48" s="32" t="n"/>
      <c r="G48" s="32" t="n"/>
      <c r="H48" s="33" t="n"/>
      <c r="I48" s="30" t="n"/>
      <c r="T48" s="34">
        <f>IF(34&lt;=SUM('1 Matériel'!$E$6:$E$29),34,0)</f>
        <v/>
      </c>
      <c r="U48" s="34">
        <f>IF(T48=0,"",COUNTIF('1 Matériel'!$F$6:$F$29,"&lt;"&amp;T48)+1)</f>
        <v/>
      </c>
      <c r="V48" s="34">
        <f>IF(U48="","",IF(INDEX('1 Matériel'!$B$6:$B$29,U48)="Oui",1,0))</f>
        <v/>
      </c>
    </row>
    <row r="49" hidden="1" ht="40" customHeight="1">
      <c r="A49" s="29">
        <f>IF(OR(T49=0,V49=1),"",T49-COUNTIF(V$15:V49,1))</f>
        <v/>
      </c>
      <c r="B49" s="30" t="n"/>
      <c r="C49" s="31">
        <f>IF(T49=0,"",IF(V49=1,UPPER(INDEX('1 Matériel'!$C$6:$C$29,U49)),INDEX('1 Matériel'!$C$6:$C$29,U49)&amp;IF(INDEX('1 Matériel'!$E$6:$E$29,U49)&gt;1,"  ("&amp;(T49-INDEX('1 Matériel'!$F$6:$F$29,U49)+INDEX('1 Matériel'!$E$6:$E$29,U49))&amp;"/"&amp;INDEX('1 Matériel'!$E$6:$E$29,U49)&amp;")","")))</f>
        <v/>
      </c>
      <c r="D49" s="32" t="n"/>
      <c r="E49" s="32" t="n"/>
      <c r="F49" s="32" t="n"/>
      <c r="G49" s="32" t="n"/>
      <c r="H49" s="33" t="n"/>
      <c r="I49" s="30" t="n"/>
      <c r="T49" s="34">
        <f>IF(35&lt;=SUM('1 Matériel'!$E$6:$E$29),35,0)</f>
        <v/>
      </c>
      <c r="U49" s="34">
        <f>IF(T49=0,"",COUNTIF('1 Matériel'!$F$6:$F$29,"&lt;"&amp;T49)+1)</f>
        <v/>
      </c>
      <c r="V49" s="34">
        <f>IF(U49="","",IF(INDEX('1 Matériel'!$B$6:$B$29,U49)="Oui",1,0))</f>
        <v/>
      </c>
    </row>
    <row r="50" hidden="1" ht="40" customHeight="1">
      <c r="A50" s="29">
        <f>IF(OR(T50=0,V50=1),"",T50-COUNTIF(V$15:V50,1))</f>
        <v/>
      </c>
      <c r="B50" s="30" t="n"/>
      <c r="C50" s="31">
        <f>IF(T50=0,"",IF(V50=1,UPPER(INDEX('1 Matériel'!$C$6:$C$29,U50)),INDEX('1 Matériel'!$C$6:$C$29,U50)&amp;IF(INDEX('1 Matériel'!$E$6:$E$29,U50)&gt;1,"  ("&amp;(T50-INDEX('1 Matériel'!$F$6:$F$29,U50)+INDEX('1 Matériel'!$E$6:$E$29,U50))&amp;"/"&amp;INDEX('1 Matériel'!$E$6:$E$29,U50)&amp;")","")))</f>
        <v/>
      </c>
      <c r="D50" s="32" t="n"/>
      <c r="E50" s="32" t="n"/>
      <c r="F50" s="32" t="n"/>
      <c r="G50" s="32" t="n"/>
      <c r="H50" s="33" t="n"/>
      <c r="I50" s="30" t="n"/>
      <c r="T50" s="34">
        <f>IF(36&lt;=SUM('1 Matériel'!$E$6:$E$29),36,0)</f>
        <v/>
      </c>
      <c r="U50" s="34">
        <f>IF(T50=0,"",COUNTIF('1 Matériel'!$F$6:$F$29,"&lt;"&amp;T50)+1)</f>
        <v/>
      </c>
      <c r="V50" s="34">
        <f>IF(U50="","",IF(INDEX('1 Matériel'!$B$6:$B$29,U50)="Oui",1,0))</f>
        <v/>
      </c>
    </row>
    <row r="51" hidden="1" ht="40" customHeight="1">
      <c r="A51" s="29">
        <f>IF(OR(T51=0,V51=1),"",T51-COUNTIF(V$15:V51,1))</f>
        <v/>
      </c>
      <c r="B51" s="30" t="n"/>
      <c r="C51" s="31">
        <f>IF(T51=0,"",IF(V51=1,UPPER(INDEX('1 Matériel'!$C$6:$C$29,U51)),INDEX('1 Matériel'!$C$6:$C$29,U51)&amp;IF(INDEX('1 Matériel'!$E$6:$E$29,U51)&gt;1,"  ("&amp;(T51-INDEX('1 Matériel'!$F$6:$F$29,U51)+INDEX('1 Matériel'!$E$6:$E$29,U51))&amp;"/"&amp;INDEX('1 Matériel'!$E$6:$E$29,U51)&amp;")","")))</f>
        <v/>
      </c>
      <c r="D51" s="32" t="n"/>
      <c r="E51" s="32" t="n"/>
      <c r="F51" s="32" t="n"/>
      <c r="G51" s="32" t="n"/>
      <c r="H51" s="33" t="n"/>
      <c r="I51" s="30" t="n"/>
      <c r="T51" s="34">
        <f>IF(37&lt;=SUM('1 Matériel'!$E$6:$E$29),37,0)</f>
        <v/>
      </c>
      <c r="U51" s="34">
        <f>IF(T51=0,"",COUNTIF('1 Matériel'!$F$6:$F$29,"&lt;"&amp;T51)+1)</f>
        <v/>
      </c>
      <c r="V51" s="34">
        <f>IF(U51="","",IF(INDEX('1 Matériel'!$B$6:$B$29,U51)="Oui",1,0))</f>
        <v/>
      </c>
    </row>
    <row r="52" hidden="1" ht="40" customHeight="1">
      <c r="A52" s="29">
        <f>IF(OR(T52=0,V52=1),"",T52-COUNTIF(V$15:V52,1))</f>
        <v/>
      </c>
      <c r="B52" s="30" t="n"/>
      <c r="C52" s="31">
        <f>IF(T52=0,"",IF(V52=1,UPPER(INDEX('1 Matériel'!$C$6:$C$29,U52)),INDEX('1 Matériel'!$C$6:$C$29,U52)&amp;IF(INDEX('1 Matériel'!$E$6:$E$29,U52)&gt;1,"  ("&amp;(T52-INDEX('1 Matériel'!$F$6:$F$29,U52)+INDEX('1 Matériel'!$E$6:$E$29,U52))&amp;"/"&amp;INDEX('1 Matériel'!$E$6:$E$29,U52)&amp;")","")))</f>
        <v/>
      </c>
      <c r="D52" s="32" t="n"/>
      <c r="E52" s="32" t="n"/>
      <c r="F52" s="32" t="n"/>
      <c r="G52" s="32" t="n"/>
      <c r="H52" s="33" t="n"/>
      <c r="I52" s="30" t="n"/>
      <c r="T52" s="34">
        <f>IF(38&lt;=SUM('1 Matériel'!$E$6:$E$29),38,0)</f>
        <v/>
      </c>
      <c r="U52" s="34">
        <f>IF(T52=0,"",COUNTIF('1 Matériel'!$F$6:$F$29,"&lt;"&amp;T52)+1)</f>
        <v/>
      </c>
      <c r="V52" s="34">
        <f>IF(U52="","",IF(INDEX('1 Matériel'!$B$6:$B$29,U52)="Oui",1,0))</f>
        <v/>
      </c>
    </row>
    <row r="53" hidden="1" ht="40" customHeight="1">
      <c r="A53" s="29">
        <f>IF(OR(T53=0,V53=1),"",T53-COUNTIF(V$15:V53,1))</f>
        <v/>
      </c>
      <c r="B53" s="30" t="n"/>
      <c r="C53" s="31">
        <f>IF(T53=0,"",IF(V53=1,UPPER(INDEX('1 Matériel'!$C$6:$C$29,U53)),INDEX('1 Matériel'!$C$6:$C$29,U53)&amp;IF(INDEX('1 Matériel'!$E$6:$E$29,U53)&gt;1,"  ("&amp;(T53-INDEX('1 Matériel'!$F$6:$F$29,U53)+INDEX('1 Matériel'!$E$6:$E$29,U53))&amp;"/"&amp;INDEX('1 Matériel'!$E$6:$E$29,U53)&amp;")","")))</f>
        <v/>
      </c>
      <c r="D53" s="32" t="n"/>
      <c r="E53" s="32" t="n"/>
      <c r="F53" s="32" t="n"/>
      <c r="G53" s="32" t="n"/>
      <c r="H53" s="33" t="n"/>
      <c r="I53" s="30" t="n"/>
      <c r="T53" s="34">
        <f>IF(39&lt;=SUM('1 Matériel'!$E$6:$E$29),39,0)</f>
        <v/>
      </c>
      <c r="U53" s="34">
        <f>IF(T53=0,"",COUNTIF('1 Matériel'!$F$6:$F$29,"&lt;"&amp;T53)+1)</f>
        <v/>
      </c>
      <c r="V53" s="34">
        <f>IF(U53="","",IF(INDEX('1 Matériel'!$B$6:$B$29,U53)="Oui",1,0))</f>
        <v/>
      </c>
    </row>
    <row r="54" hidden="1" ht="40" customHeight="1">
      <c r="A54" s="29">
        <f>IF(OR(T54=0,V54=1),"",T54-COUNTIF(V$15:V54,1))</f>
        <v/>
      </c>
      <c r="B54" s="30" t="n"/>
      <c r="C54" s="31">
        <f>IF(T54=0,"",IF(V54=1,UPPER(INDEX('1 Matériel'!$C$6:$C$29,U54)),INDEX('1 Matériel'!$C$6:$C$29,U54)&amp;IF(INDEX('1 Matériel'!$E$6:$E$29,U54)&gt;1,"  ("&amp;(T54-INDEX('1 Matériel'!$F$6:$F$29,U54)+INDEX('1 Matériel'!$E$6:$E$29,U54))&amp;"/"&amp;INDEX('1 Matériel'!$E$6:$E$29,U54)&amp;")","")))</f>
        <v/>
      </c>
      <c r="D54" s="32" t="n"/>
      <c r="E54" s="32" t="n"/>
      <c r="F54" s="32" t="n"/>
      <c r="G54" s="32" t="n"/>
      <c r="H54" s="33" t="n"/>
      <c r="I54" s="30" t="n"/>
      <c r="T54" s="34">
        <f>IF(40&lt;=SUM('1 Matériel'!$E$6:$E$29),40,0)</f>
        <v/>
      </c>
      <c r="U54" s="34">
        <f>IF(T54=0,"",COUNTIF('1 Matériel'!$F$6:$F$29,"&lt;"&amp;T54)+1)</f>
        <v/>
      </c>
      <c r="V54" s="34">
        <f>IF(U54="","",IF(INDEX('1 Matériel'!$B$6:$B$29,U54)="Oui",1,0))</f>
        <v/>
      </c>
    </row>
    <row r="55" ht="18" customHeight="1"/>
    <row r="56" ht="18" customHeight="1"/>
    <row r="57" ht="38" customHeight="1">
      <c r="A57" s="35" t="inlineStr">
        <is>
          <t>NOMBRE DE SERRAGES EFFECTUÉS</t>
        </is>
      </c>
      <c r="B57" s="36" t="n"/>
      <c r="C57" s="36" t="n"/>
      <c r="D57" s="37" t="n">
        <v>4</v>
      </c>
      <c r="E57" s="38" t="n"/>
    </row>
    <row r="58" ht="18" customHeight="1"/>
    <row r="59" ht="22" customHeight="1">
      <c r="A59" s="24" t="inlineStr">
        <is>
          <t>COLISAGE (ensemble des items)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34" customHeight="1">
      <c r="A60" s="27" t="inlineStr">
        <is>
          <t>Colis</t>
        </is>
      </c>
      <c r="B60" s="39" t="n"/>
      <c r="C60" s="27" t="inlineStr">
        <is>
          <t>Type de colisage</t>
        </is>
      </c>
      <c r="D60" s="27" t="inlineStr">
        <is>
          <t>Longueur
(cm)</t>
        </is>
      </c>
      <c r="E60" s="27" t="inlineStr">
        <is>
          <t>Largeur
(cm)</t>
        </is>
      </c>
      <c r="F60" s="27" t="inlineStr">
        <is>
          <t>Hauteur
(cm)</t>
        </is>
      </c>
      <c r="G60" s="27" t="inlineStr">
        <is>
          <t>Poids
(kg)</t>
        </is>
      </c>
      <c r="H60" s="27" t="inlineStr">
        <is>
          <t>Volume
(m³)</t>
        </is>
      </c>
      <c r="I60" s="27" t="inlineStr">
        <is>
          <t>Remarques</t>
        </is>
      </c>
    </row>
    <row r="61" ht="36" customHeight="1">
      <c r="A61" s="40" t="inlineStr">
        <is>
          <t>Colis 1</t>
        </is>
      </c>
      <c r="B61" s="41" t="n"/>
      <c r="C61" s="42" t="inlineStr">
        <is>
          <t>Fishing basket</t>
        </is>
      </c>
      <c r="D61" s="43" t="n">
        <v>120</v>
      </c>
      <c r="E61" s="43" t="n">
        <v>80</v>
      </c>
      <c r="F61" s="43" t="n">
        <v>60</v>
      </c>
      <c r="G61" s="44" t="n">
        <v>145</v>
      </c>
      <c r="H61" s="45">
        <f>IF(COUNT(D61:F61)=3,D61*E61*F61/1000000,"")</f>
        <v/>
      </c>
      <c r="I61" s="46" t="n"/>
    </row>
    <row r="62" ht="36" customHeight="1">
      <c r="A62" s="40" t="inlineStr">
        <is>
          <t>Colis 2</t>
        </is>
      </c>
      <c r="B62" s="41" t="n"/>
      <c r="C62" s="42" t="n"/>
      <c r="D62" s="43" t="n"/>
      <c r="E62" s="43" t="n"/>
      <c r="F62" s="43" t="n"/>
      <c r="G62" s="44" t="n"/>
      <c r="H62" s="45">
        <f>IF(COUNT(D62:F62)=3,D62*E62*F62/1000000,"")</f>
        <v/>
      </c>
      <c r="I62" s="46" t="n"/>
    </row>
    <row r="63" ht="36" customHeight="1">
      <c r="A63" s="40" t="inlineStr">
        <is>
          <t>Colis 3</t>
        </is>
      </c>
      <c r="B63" s="41" t="n"/>
      <c r="C63" s="42" t="n"/>
      <c r="D63" s="43" t="n"/>
      <c r="E63" s="43" t="n"/>
      <c r="F63" s="43" t="n"/>
      <c r="G63" s="44" t="n"/>
      <c r="H63" s="45">
        <f>IF(COUNT(D63:F63)=3,D63*E63*F63/1000000,"")</f>
        <v/>
      </c>
      <c r="I63" s="46" t="n"/>
    </row>
    <row r="64" ht="28" customHeight="1">
      <c r="A64" s="47">
        <f>"TOTAL  ·  "&amp;COUNTA(C61:C63)&amp;" colis"</f>
        <v/>
      </c>
      <c r="B64" s="48" t="n"/>
      <c r="C64" s="48" t="n"/>
      <c r="D64" s="49" t="n"/>
      <c r="E64" s="49" t="n"/>
      <c r="F64" s="49" t="n"/>
      <c r="G64" s="50">
        <f>SUM(G61:G63)</f>
        <v/>
      </c>
      <c r="H64" s="51">
        <f>SUM(H61:H63)</f>
        <v/>
      </c>
      <c r="I64" s="49" t="n"/>
    </row>
  </sheetData>
  <autoFilter ref="A14:V54">
    <filterColumn colId="0" hiddenButton="1" showButton="0"/>
    <filterColumn colId="1" hiddenButton="1" showButton="0"/>
    <filterColumn colId="2" hiddenButton="1" showButton="0"/>
    <filterColumn colId="3" hiddenButton="1" showButton="0"/>
    <filterColumn colId="4" hiddenButton="1" showButton="0"/>
    <filterColumn colId="5" hiddenButton="1" showButton="0"/>
    <filterColumn colId="6" hiddenButton="1" showButton="0"/>
    <filterColumn colId="7" hiddenButton="1" showButton="0"/>
    <filterColumn colId="8" hiddenButton="1" showButton="0"/>
    <filterColumn colId="9" hiddenButton="1" showButton="0"/>
    <filterColumn colId="10" hiddenButton="1" showButton="0"/>
    <filterColumn colId="11" hiddenButton="1" showButton="0"/>
    <filterColumn colId="12" hiddenButton="1" showButton="0"/>
    <filterColumn colId="13" hiddenButton="1" showButton="0"/>
    <filterColumn colId="14" hiddenButton="1" showButton="0"/>
    <filterColumn colId="15" hiddenButton="1" showButton="0"/>
    <filterColumn colId="16" hiddenButton="1" showButton="0"/>
    <filterColumn colId="17" hiddenButton="1" showButton="0"/>
    <filterColumn colId="18" hiddenButton="1" showButton="0"/>
    <filterColumn colId="19" hiddenButton="1" showButton="0">
      <customFilters>
        <customFilter val="0" operator="greaterThan"/>
      </customFilters>
    </filterColumn>
    <filterColumn colId="20" hiddenButton="1" showButton="0"/>
    <filterColumn colId="21" hiddenButton="1" showButton="0"/>
  </autoFilter>
  <mergeCells count="32">
    <mergeCell ref="D9:G9"/>
    <mergeCell ref="A60:B60"/>
    <mergeCell ref="D8:G8"/>
    <mergeCell ref="H10:I10"/>
    <mergeCell ref="D5:G5"/>
    <mergeCell ref="A12:I12"/>
    <mergeCell ref="A57:C57"/>
    <mergeCell ref="H9:I9"/>
    <mergeCell ref="A6:B6"/>
    <mergeCell ref="A61:B61"/>
    <mergeCell ref="H6:I6"/>
    <mergeCell ref="A7:B7"/>
    <mergeCell ref="D57:E57"/>
    <mergeCell ref="D13:H13"/>
    <mergeCell ref="E1:I1"/>
    <mergeCell ref="D10:G10"/>
    <mergeCell ref="A10:C10"/>
    <mergeCell ref="A13:C13"/>
    <mergeCell ref="H7:I7"/>
    <mergeCell ref="D6:G6"/>
    <mergeCell ref="E2:I2"/>
    <mergeCell ref="A5:B5"/>
    <mergeCell ref="A9:C9"/>
    <mergeCell ref="A8:B8"/>
    <mergeCell ref="A64:C64"/>
    <mergeCell ref="A59:I59"/>
    <mergeCell ref="A62:B62"/>
    <mergeCell ref="A11:I11"/>
    <mergeCell ref="A63:B63"/>
    <mergeCell ref="D7:G7"/>
    <mergeCell ref="H5:I5"/>
    <mergeCell ref="H8:I8"/>
  </mergeCells>
  <conditionalFormatting sqref="A15:I54">
    <cfRule type="expression" priority="1" dxfId="1" stopIfTrue="1">
      <formula>$V15=1</formula>
    </cfRule>
    <cfRule type="expression" priority="2" dxfId="2">
      <formula>$T15&gt;0</formula>
    </cfRule>
  </conditionalFormatting>
  <dataValidations count="4">
    <dataValidation sqref="H15:H54" showDropDown="0" showInputMessage="0" showErrorMessage="1" allowBlank="1" errorTitle="Valeur" error="Choisir une valeur de la liste." type="list" errorStyle="warning">
      <formula1>=Listes!$Q$2:$Q$12</formula1>
    </dataValidation>
    <dataValidation sqref="C61" showDropDown="0" showInputMessage="0" showErrorMessage="1" allowBlank="1" errorTitle="Valeur" error="Choisir une valeur de la liste." type="list" errorStyle="warning">
      <formula1>=Listes!$J$2:$J$12</formula1>
    </dataValidation>
    <dataValidation sqref="C62" showDropDown="0" showInputMessage="0" showErrorMessage="1" allowBlank="1" errorTitle="Valeur" error="Choisir une valeur de la liste." type="list" errorStyle="warning">
      <formula1>=Listes!$J$2:$J$12</formula1>
    </dataValidation>
    <dataValidation sqref="C63" showDropDown="0" showInputMessage="0" showErrorMessage="1" allowBlank="1" errorTitle="Valeur" error="Choisir une valeur de la liste." type="list" errorStyle="warning">
      <formula1>=Listes!$J$2:$J$12</formula1>
    </dataValidation>
  </dataValidations>
  <pageMargins left="0.3" right="0.3" top="0.3" bottom="0.4" header="0.5" footer="0.5"/>
  <pageSetup orientation="landscape" paperSize="9" fitToHeight="0" fitToWidth="1"/>
  <headerFooter>
    <oddHeader/>
    <oddFooter>&amp;C&amp;8 Enedril · Liste de matériel &amp;P / &amp;N</oddFooter>
    <evenHeader/>
    <evenFooter/>
    <firstHeader/>
    <firstFooter/>
  </headerFooter>
  <rowBreaks count="1" manualBreakCount="1">
    <brk id="58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9FB6CE"/>
    <outlinePr summaryBelow="1" summaryRight="1"/>
    <pageSetUpPr/>
  </sheetPr>
  <dimension ref="A1:Q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4" max="4"/>
    <col width="30" customWidth="1" min="5" max="5"/>
    <col width="30" customWidth="1" min="6" max="6"/>
    <col width="30" customWidth="1" min="7" max="7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6" max="16"/>
    <col width="30" customWidth="1" min="17" max="17"/>
  </cols>
  <sheetData>
    <row r="1">
      <c r="A1" s="52" t="inlineStr">
        <is>
          <t>Contact Enedril</t>
        </is>
      </c>
      <c r="B1" s="52" t="inlineStr">
        <is>
          <t>E-mail</t>
        </is>
      </c>
      <c r="D1" s="52" t="inlineStr">
        <is>
          <t>Incoterm</t>
        </is>
      </c>
      <c r="E1" s="52" t="inlineStr">
        <is>
          <t>Validité</t>
        </is>
      </c>
      <c r="F1" s="52" t="inlineStr">
        <is>
          <t>Règlement</t>
        </is>
      </c>
      <c r="G1" s="52" t="inlineStr">
        <is>
          <t>Oui / Non</t>
        </is>
      </c>
      <c r="H1" s="53" t="n">
        <v>1</v>
      </c>
      <c r="J1" s="52" t="inlineStr">
        <is>
          <t>Support de colisage</t>
        </is>
      </c>
      <c r="K1" s="52" t="inlineStr">
        <is>
          <t>N° de colis</t>
        </is>
      </c>
      <c r="L1" s="52" t="inlineStr">
        <is>
          <t>Unité</t>
        </is>
      </c>
      <c r="M1" s="52" t="inlineStr">
        <is>
          <t>Mode transport</t>
        </is>
      </c>
      <c r="N1" s="52" t="inlineStr">
        <is>
          <t>Mode forfait</t>
        </is>
      </c>
      <c r="P1" s="52" t="inlineStr">
        <is>
          <t>Statut</t>
        </is>
      </c>
      <c r="Q1" s="52" t="inlineStr">
        <is>
          <t>Test / Taille</t>
        </is>
      </c>
    </row>
    <row r="2">
      <c r="A2" s="54" t="inlineStr">
        <is>
          <t>Fabien JACQUOT</t>
        </is>
      </c>
      <c r="B2" s="54" t="inlineStr">
        <is>
          <t>fjacquot@enedril.fr</t>
        </is>
      </c>
      <c r="D2" s="54" t="inlineStr">
        <is>
          <t>EXW Lons</t>
        </is>
      </c>
      <c r="E2" s="54" t="inlineStr">
        <is>
          <t>15 jours / 15 days</t>
        </is>
      </c>
      <c r="F2" s="54" t="inlineStr">
        <is>
          <t>30 jours date de facture / 30 days invoice date</t>
        </is>
      </c>
      <c r="G2" s="54" t="inlineStr">
        <is>
          <t>Oui</t>
        </is>
      </c>
      <c r="H2" s="55" t="inlineStr">
        <is>
          <t>← langue du devis : 1 = français, 2 = anglais</t>
        </is>
      </c>
      <c r="J2" s="54" t="inlineStr">
        <is>
          <t>Palette</t>
        </is>
      </c>
      <c r="K2" s="54" t="inlineStr">
        <is>
          <t>P1</t>
        </is>
      </c>
      <c r="L2" s="54" t="inlineStr">
        <is>
          <t>forfait</t>
        </is>
      </c>
      <c r="M2" s="54" t="inlineStr">
        <is>
          <t>Coût réel +15 %</t>
        </is>
      </c>
      <c r="N2" s="54" t="inlineStr">
        <is>
          <t>Forfait calculé (S + O + UC)</t>
        </is>
      </c>
      <c r="P2" s="54" t="inlineStr">
        <is>
          <t>Oui</t>
        </is>
      </c>
      <c r="Q2" s="54" t="inlineStr">
        <is>
          <t>Taille OK</t>
        </is>
      </c>
    </row>
    <row r="3">
      <c r="A3" s="54" t="inlineStr">
        <is>
          <t>Alexis ESTINES</t>
        </is>
      </c>
      <c r="B3" s="54" t="inlineStr">
        <is>
          <t>aestines@enedril.fr</t>
        </is>
      </c>
      <c r="D3" s="54" t="inlineStr">
        <is>
          <t>FCA Lons</t>
        </is>
      </c>
      <c r="E3" s="54" t="inlineStr">
        <is>
          <t>30 jours / 30 days</t>
        </is>
      </c>
      <c r="F3" s="54" t="inlineStr">
        <is>
          <t>30 jours fin de mois / 30 days end of month</t>
        </is>
      </c>
      <c r="G3" s="54" t="inlineStr">
        <is>
          <t>Non</t>
        </is>
      </c>
      <c r="J3" s="54" t="inlineStr">
        <is>
          <t>Fishing basket</t>
        </is>
      </c>
      <c r="K3" s="54" t="inlineStr">
        <is>
          <t>P2</t>
        </is>
      </c>
      <c r="L3" s="54" t="inlineStr">
        <is>
          <t>€/jour</t>
        </is>
      </c>
      <c r="M3" s="54" t="inlineStr">
        <is>
          <t>Forfait</t>
        </is>
      </c>
      <c r="N3" s="54" t="inlineStr">
        <is>
          <t>Forfait global</t>
        </is>
      </c>
      <c r="P3" s="54" t="inlineStr">
        <is>
          <t>En cours</t>
        </is>
      </c>
      <c r="Q3" s="54" t="inlineStr">
        <is>
          <t>Test OK</t>
        </is>
      </c>
    </row>
    <row r="4">
      <c r="A4" s="54" t="inlineStr">
        <is>
          <t>Paul HYNDERICK</t>
        </is>
      </c>
      <c r="B4" s="54" t="inlineStr">
        <is>
          <t>phynderick@enedril.fr</t>
        </is>
      </c>
      <c r="D4" s="54" t="inlineStr">
        <is>
          <t>DAP</t>
        </is>
      </c>
      <c r="E4" s="54" t="inlineStr">
        <is>
          <t>60 jours / 60 days</t>
        </is>
      </c>
      <c r="F4" s="54" t="inlineStr">
        <is>
          <t>45 jours fin de mois / 45 days end of month</t>
        </is>
      </c>
      <c r="J4" s="54" t="inlineStr">
        <is>
          <t>Caisse</t>
        </is>
      </c>
      <c r="K4" s="54" t="inlineStr">
        <is>
          <t>P3</t>
        </is>
      </c>
      <c r="L4" s="54" t="inlineStr">
        <is>
          <t>€/jour/pers</t>
        </is>
      </c>
      <c r="N4" s="54" t="inlineStr">
        <is>
          <t>Forfait par jour</t>
        </is>
      </c>
      <c r="Q4" s="54" t="inlineStr">
        <is>
          <t>Taille + test OK</t>
        </is>
      </c>
    </row>
    <row r="5">
      <c r="A5" s="54" t="inlineStr">
        <is>
          <t>Céline CARDONA</t>
        </is>
      </c>
      <c r="B5" s="54" t="inlineStr">
        <is>
          <t>ccardona@enedril.fr</t>
        </is>
      </c>
      <c r="D5" s="54" t="inlineStr">
        <is>
          <t>DDP</t>
        </is>
      </c>
      <c r="E5" s="54" t="inlineStr">
        <is>
          <t>90 jours / 90 days</t>
        </is>
      </c>
      <c r="F5" s="54" t="inlineStr">
        <is>
          <t>À la commande / Upon order</t>
        </is>
      </c>
      <c r="J5" s="54" t="inlineStr">
        <is>
          <t>Vrac</t>
        </is>
      </c>
      <c r="K5" s="54" t="inlineStr">
        <is>
          <t>P4</t>
        </is>
      </c>
      <c r="L5" s="54" t="inlineStr">
        <is>
          <t>€/pers</t>
        </is>
      </c>
      <c r="Q5" s="54" t="inlineStr">
        <is>
          <t>À contrôler</t>
        </is>
      </c>
    </row>
    <row r="6">
      <c r="A6" s="54" t="inlineStr">
        <is>
          <t>Koen MONDELAERS</t>
        </is>
      </c>
      <c r="B6" s="54" t="inlineStr">
        <is>
          <t>kmondelaers@enedril.fr</t>
        </is>
      </c>
      <c r="D6" s="54" t="inlineStr">
        <is>
          <t>FOB</t>
        </is>
      </c>
      <c r="K6" s="54" t="inlineStr">
        <is>
          <t>P5</t>
        </is>
      </c>
      <c r="L6" s="54" t="inlineStr">
        <is>
          <t>€/unité</t>
        </is>
      </c>
    </row>
    <row r="7">
      <c r="A7" s="54" t="inlineStr">
        <is>
          <t>Luigi LIBERATORE</t>
        </is>
      </c>
      <c r="B7" s="54" t="inlineStr">
        <is>
          <t>lliberatore@enedril.fr</t>
        </is>
      </c>
      <c r="K7" s="54" t="inlineStr">
        <is>
          <t>P6</t>
        </is>
      </c>
    </row>
    <row r="8">
      <c r="K8" s="54" t="inlineStr">
        <is>
          <t>P7</t>
        </is>
      </c>
    </row>
    <row r="9">
      <c r="K9" s="54" t="inlineStr">
        <is>
          <t>P8</t>
        </is>
      </c>
    </row>
    <row r="10">
      <c r="A10" s="15" t="inlineStr">
        <is>
          <t>Pour ajouter un contact, une validité, etc. : écrire à la suite dans la colonne (les listes déroulantes lisent les 12 premières lignes).</t>
        </is>
      </c>
      <c r="K10" s="54" t="inlineStr">
        <is>
          <t>P9</t>
        </is>
      </c>
    </row>
    <row r="11">
      <c r="K11" s="54" t="inlineStr">
        <is>
          <t>P10</t>
        </is>
      </c>
    </row>
    <row r="12">
      <c r="K12" s="54" t="inlineStr">
        <is>
          <t>Vrac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2026-10-28T14:57:38Z</dcterms:created>
  <dcterms:modified xmlns:dcterms="http://purl.org/dc/terms/" xmlns:xsi="http://www.w3.org/2001/XMLSchema-instance" xsi:type="dcterms:W3CDTF">2026-10-28T14:57:38Z</dcterms:modified>
</cp:coreProperties>
</file>