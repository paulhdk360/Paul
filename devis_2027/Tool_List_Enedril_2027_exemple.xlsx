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6" customWidth="1" min="3" max="3"/>
    <col width="7" customWidth="1" min="4" max="4"/>
    <col width="8" customWidth="1" min="5" max="5"/>
    <col width="8" customWidth="1" min="6" max="6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</row>
    <row r="2" ht="20" customHeight="1">
      <c r="A2" s="1" t="n"/>
      <c r="B2" s="4" t="inlineStr">
        <is>
          <t>Dans le classeur Devis, onglet « 2 Matériel » : copier B6:D29 (Bannière, Description, Qté) et coller ici en B6. Aucun prix ici.</t>
        </is>
      </c>
      <c r="C2" s="1" t="n"/>
      <c r="D2" s="1" t="n"/>
      <c r="E2" s="1" t="n"/>
      <c r="F2" s="1" t="n"/>
    </row>
    <row r="3" ht="6" customHeight="1">
      <c r="A3" s="5" t="n"/>
      <c r="B3" s="5" t="n"/>
      <c r="C3" s="5" t="n"/>
      <c r="D3" s="5" t="n"/>
      <c r="E3" s="5" t="n"/>
      <c r="F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7" t="inlineStr">
        <is>
          <t>Lignes</t>
        </is>
      </c>
      <c r="F5" s="7" t="inlineStr">
        <is>
          <t>Cumul</t>
        </is>
      </c>
    </row>
    <row r="6" ht="21" customHeight="1">
      <c r="A6" s="8">
        <f>IF(AND(E6&gt;0,B6&lt;&gt;"Oui"),COUNTIFS(E$6:E6,"&gt;0",B$6:B6,"&lt;&gt;Oui"),"")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2">
        <f>IF($C6="",0,IF($B6="Oui",1,IF(N($D6)&gt;0,INT($D6),1)))</f>
        <v/>
      </c>
      <c r="F6" s="13">
        <f>SUM(E$6:E6)</f>
        <v/>
      </c>
    </row>
    <row r="7" ht="21" customHeight="1">
      <c r="A7" s="8">
        <f>IF(AND(E7&gt;0,B7&lt;&gt;"Oui"),COUNTIFS(E$6:E7,"&gt;0",B$6:B7,"&lt;&gt;Oui"),"")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2">
        <f>IF($C7="",0,IF($B7="Oui",1,IF(N($D7)&gt;0,INT($D7),1)))</f>
        <v/>
      </c>
      <c r="F7" s="13">
        <f>SUM(E$6:E7)</f>
        <v/>
      </c>
    </row>
    <row r="8" ht="21" customHeight="1">
      <c r="A8" s="8">
        <f>IF(AND(E8&gt;0,B8&lt;&gt;"Oui"),COUNTIFS(E$6:E8,"&gt;0",B$6:B8,"&lt;&gt;Oui"),"")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2">
        <f>IF($C8="",0,IF($B8="Oui",1,IF(N($D8)&gt;0,INT($D8),1)))</f>
        <v/>
      </c>
      <c r="F8" s="13">
        <f>SUM(E$6:E8)</f>
        <v/>
      </c>
    </row>
    <row r="9" ht="21" customHeight="1">
      <c r="A9" s="8">
        <f>IF(AND(E9&gt;0,B9&lt;&gt;"Oui"),COUNTIFS(E$6:E9,"&gt;0",B$6:B9,"&lt;&gt;Oui"),"")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2">
        <f>IF($C9="",0,IF($B9="Oui",1,IF(N($D9)&gt;0,INT($D9),1)))</f>
        <v/>
      </c>
      <c r="F9" s="13">
        <f>SUM(E$6:E9)</f>
        <v/>
      </c>
    </row>
    <row r="10" ht="21" customHeight="1">
      <c r="A10" s="8">
        <f>IF(AND(E10&gt;0,B10&lt;&gt;"Oui"),COUNTIFS(E$6:E10,"&gt;0",B$6:B10,"&lt;&gt;Oui"),"")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2">
        <f>IF($C10="",0,IF($B10="Oui",1,IF(N($D10)&gt;0,INT($D10),1)))</f>
        <v/>
      </c>
      <c r="F10" s="13">
        <f>SUM(E$6:E10)</f>
        <v/>
      </c>
    </row>
    <row r="11" ht="21" customHeight="1">
      <c r="A11" s="8">
        <f>IF(AND(E11&gt;0,B11&lt;&gt;"Oui"),COUNTIFS(E$6:E11,"&gt;0",B$6:B11,"&lt;&gt;Oui"),"")</f>
        <v/>
      </c>
      <c r="B11" s="9" t="n"/>
      <c r="C11" s="10" t="n"/>
      <c r="D11" s="11" t="n"/>
      <c r="E11" s="12">
        <f>IF($C11="",0,IF($B11="Oui",1,IF(N($D11)&gt;0,INT($D11),1)))</f>
        <v/>
      </c>
      <c r="F11" s="13">
        <f>SUM(E$6:E11)</f>
        <v/>
      </c>
    </row>
    <row r="12" ht="21" customHeight="1">
      <c r="A12" s="8">
        <f>IF(AND(E12&gt;0,B12&lt;&gt;"Oui"),COUNTIFS(E$6:E12,"&gt;0",B$6:B12,"&lt;&gt;Oui"),"")</f>
        <v/>
      </c>
      <c r="B12" s="9" t="n"/>
      <c r="C12" s="10" t="n"/>
      <c r="D12" s="11" t="n"/>
      <c r="E12" s="12">
        <f>IF($C12="",0,IF($B12="Oui",1,IF(N($D12)&gt;0,INT($D12),1)))</f>
        <v/>
      </c>
      <c r="F12" s="13">
        <f>SUM(E$6:E12)</f>
        <v/>
      </c>
    </row>
    <row r="13" ht="21" customHeight="1">
      <c r="A13" s="8">
        <f>IF(AND(E13&gt;0,B13&lt;&gt;"Oui"),COUNTIFS(E$6:E13,"&gt;0",B$6:B13,"&lt;&gt;Oui"),"")</f>
        <v/>
      </c>
      <c r="B13" s="9" t="n"/>
      <c r="C13" s="10" t="n"/>
      <c r="D13" s="11" t="n"/>
      <c r="E13" s="12">
        <f>IF($C13="",0,IF($B13="Oui",1,IF(N($D13)&gt;0,INT($D13),1)))</f>
        <v/>
      </c>
      <c r="F13" s="13">
        <f>SUM(E$6:E13)</f>
        <v/>
      </c>
    </row>
    <row r="14" ht="21" customHeight="1">
      <c r="A14" s="8">
        <f>IF(AND(E14&gt;0,B14&lt;&gt;"Oui"),COUNTIFS(E$6:E14,"&gt;0",B$6:B14,"&lt;&gt;Oui"),"")</f>
        <v/>
      </c>
      <c r="B14" s="9" t="n"/>
      <c r="C14" s="10" t="n"/>
      <c r="D14" s="11" t="n"/>
      <c r="E14" s="12">
        <f>IF($C14="",0,IF($B14="Oui",1,IF(N($D14)&gt;0,INT($D14),1)))</f>
        <v/>
      </c>
      <c r="F14" s="13">
        <f>SUM(E$6:E14)</f>
        <v/>
      </c>
    </row>
    <row r="15" ht="21" customHeight="1">
      <c r="A15" s="8">
        <f>IF(AND(E15&gt;0,B15&lt;&gt;"Oui"),COUNTIFS(E$6:E15,"&gt;0",B$6:B15,"&lt;&gt;Oui"),"")</f>
        <v/>
      </c>
      <c r="B15" s="9" t="n"/>
      <c r="C15" s="10" t="n"/>
      <c r="D15" s="11" t="n"/>
      <c r="E15" s="12">
        <f>IF($C15="",0,IF($B15="Oui",1,IF(N($D15)&gt;0,INT($D15),1)))</f>
        <v/>
      </c>
      <c r="F15" s="13">
        <f>SUM(E$6:E15)</f>
        <v/>
      </c>
    </row>
    <row r="16" ht="21" customHeight="1">
      <c r="A16" s="8">
        <f>IF(AND(E16&gt;0,B16&lt;&gt;"Oui"),COUNTIFS(E$6:E16,"&gt;0",B$6:B16,"&lt;&gt;Oui"),"")</f>
        <v/>
      </c>
      <c r="B16" s="9" t="n"/>
      <c r="C16" s="10" t="n"/>
      <c r="D16" s="11" t="n"/>
      <c r="E16" s="12">
        <f>IF($C16="",0,IF($B16="Oui",1,IF(N($D16)&gt;0,INT($D16),1)))</f>
        <v/>
      </c>
      <c r="F16" s="13">
        <f>SUM(E$6:E16)</f>
        <v/>
      </c>
    </row>
    <row r="17" ht="21" customHeight="1">
      <c r="A17" s="8">
        <f>IF(AND(E17&gt;0,B17&lt;&gt;"Oui"),COUNTIFS(E$6:E17,"&gt;0",B$6:B17,"&lt;&gt;Oui"),"")</f>
        <v/>
      </c>
      <c r="B17" s="9" t="n"/>
      <c r="C17" s="10" t="n"/>
      <c r="D17" s="11" t="n"/>
      <c r="E17" s="12">
        <f>IF($C17="",0,IF($B17="Oui",1,IF(N($D17)&gt;0,INT($D17),1)))</f>
        <v/>
      </c>
      <c r="F17" s="13">
        <f>SUM(E$6:E17)</f>
        <v/>
      </c>
    </row>
    <row r="18" ht="21" customHeight="1">
      <c r="A18" s="8">
        <f>IF(AND(E18&gt;0,B18&lt;&gt;"Oui"),COUNTIFS(E$6:E18,"&gt;0",B$6:B18,"&lt;&gt;Oui"),"")</f>
        <v/>
      </c>
      <c r="B18" s="9" t="n"/>
      <c r="C18" s="10" t="n"/>
      <c r="D18" s="11" t="n"/>
      <c r="E18" s="12">
        <f>IF($C18="",0,IF($B18="Oui",1,IF(N($D18)&gt;0,INT($D18),1)))</f>
        <v/>
      </c>
      <c r="F18" s="13">
        <f>SUM(E$6:E18)</f>
        <v/>
      </c>
    </row>
    <row r="19" ht="21" customHeight="1">
      <c r="A19" s="8">
        <f>IF(AND(E19&gt;0,B19&lt;&gt;"Oui"),COUNTIFS(E$6:E19,"&gt;0",B$6:B19,"&lt;&gt;Oui"),"")</f>
        <v/>
      </c>
      <c r="B19" s="9" t="n"/>
      <c r="C19" s="10" t="n"/>
      <c r="D19" s="11" t="n"/>
      <c r="E19" s="12">
        <f>IF($C19="",0,IF($B19="Oui",1,IF(N($D19)&gt;0,INT($D19),1)))</f>
        <v/>
      </c>
      <c r="F19" s="13">
        <f>SUM(E$6:E19)</f>
        <v/>
      </c>
    </row>
    <row r="20" ht="21" customHeight="1">
      <c r="A20" s="8">
        <f>IF(AND(E20&gt;0,B20&lt;&gt;"Oui"),COUNTIFS(E$6:E20,"&gt;0",B$6:B20,"&lt;&gt;Oui"),"")</f>
        <v/>
      </c>
      <c r="B20" s="9" t="n"/>
      <c r="C20" s="10" t="n"/>
      <c r="D20" s="11" t="n"/>
      <c r="E20" s="12">
        <f>IF($C20="",0,IF($B20="Oui",1,IF(N($D20)&gt;0,INT($D20),1)))</f>
        <v/>
      </c>
      <c r="F20" s="13">
        <f>SUM(E$6:E20)</f>
        <v/>
      </c>
    </row>
    <row r="21" ht="21" customHeight="1">
      <c r="A21" s="8">
        <f>IF(AND(E21&gt;0,B21&lt;&gt;"Oui"),COUNTIFS(E$6:E21,"&gt;0",B$6:B21,"&lt;&gt;Oui"),"")</f>
        <v/>
      </c>
      <c r="B21" s="9" t="n"/>
      <c r="C21" s="10" t="n"/>
      <c r="D21" s="11" t="n"/>
      <c r="E21" s="12">
        <f>IF($C21="",0,IF($B21="Oui",1,IF(N($D21)&gt;0,INT($D21),1)))</f>
        <v/>
      </c>
      <c r="F21" s="13">
        <f>SUM(E$6:E21)</f>
        <v/>
      </c>
    </row>
    <row r="22" ht="21" customHeight="1">
      <c r="A22" s="8">
        <f>IF(AND(E22&gt;0,B22&lt;&gt;"Oui"),COUNTIFS(E$6:E22,"&gt;0",B$6:B22,"&lt;&gt;Oui"),"")</f>
        <v/>
      </c>
      <c r="B22" s="9" t="n"/>
      <c r="C22" s="10" t="n"/>
      <c r="D22" s="11" t="n"/>
      <c r="E22" s="12">
        <f>IF($C22="",0,IF($B22="Oui",1,IF(N($D22)&gt;0,INT($D22),1)))</f>
        <v/>
      </c>
      <c r="F22" s="13">
        <f>SUM(E$6:E22)</f>
        <v/>
      </c>
    </row>
    <row r="23" ht="21" customHeight="1">
      <c r="A23" s="8">
        <f>IF(AND(E23&gt;0,B23&lt;&gt;"Oui"),COUNTIFS(E$6:E23,"&gt;0",B$6:B23,"&lt;&gt;Oui"),"")</f>
        <v/>
      </c>
      <c r="B23" s="9" t="n"/>
      <c r="C23" s="10" t="n"/>
      <c r="D23" s="11" t="n"/>
      <c r="E23" s="12">
        <f>IF($C23="",0,IF($B23="Oui",1,IF(N($D23)&gt;0,INT($D23),1)))</f>
        <v/>
      </c>
      <c r="F23" s="13">
        <f>SUM(E$6:E23)</f>
        <v/>
      </c>
    </row>
    <row r="24" ht="21" customHeight="1">
      <c r="A24" s="8">
        <f>IF(AND(E24&gt;0,B24&lt;&gt;"Oui"),COUNTIFS(E$6:E24,"&gt;0",B$6:B24,"&lt;&gt;Oui"),"")</f>
        <v/>
      </c>
      <c r="B24" s="9" t="n"/>
      <c r="C24" s="10" t="n"/>
      <c r="D24" s="11" t="n"/>
      <c r="E24" s="12">
        <f>IF($C24="",0,IF($B24="Oui",1,IF(N($D24)&gt;0,INT($D24),1)))</f>
        <v/>
      </c>
      <c r="F24" s="13">
        <f>SUM(E$6:E24)</f>
        <v/>
      </c>
    </row>
    <row r="25" ht="21" customHeight="1">
      <c r="A25" s="8">
        <f>IF(AND(E25&gt;0,B25&lt;&gt;"Oui"),COUNTIFS(E$6:E25,"&gt;0",B$6:B25,"&lt;&gt;Oui"),"")</f>
        <v/>
      </c>
      <c r="B25" s="9" t="n"/>
      <c r="C25" s="10" t="n"/>
      <c r="D25" s="11" t="n"/>
      <c r="E25" s="12">
        <f>IF($C25="",0,IF($B25="Oui",1,IF(N($D25)&gt;0,INT($D25),1)))</f>
        <v/>
      </c>
      <c r="F25" s="13">
        <f>SUM(E$6:E25)</f>
        <v/>
      </c>
    </row>
    <row r="26" ht="21" customHeight="1">
      <c r="A26" s="8">
        <f>IF(AND(E26&gt;0,B26&lt;&gt;"Oui"),COUNTIFS(E$6:E26,"&gt;0",B$6:B26,"&lt;&gt;Oui"),"")</f>
        <v/>
      </c>
      <c r="B26" s="9" t="n"/>
      <c r="C26" s="10" t="n"/>
      <c r="D26" s="11" t="n"/>
      <c r="E26" s="12">
        <f>IF($C26="",0,IF($B26="Oui",1,IF(N($D26)&gt;0,INT($D26),1)))</f>
        <v/>
      </c>
      <c r="F26" s="13">
        <f>SUM(E$6:E26)</f>
        <v/>
      </c>
    </row>
    <row r="27" ht="21" customHeight="1">
      <c r="A27" s="8">
        <f>IF(AND(E27&gt;0,B27&lt;&gt;"Oui"),COUNTIFS(E$6:E27,"&gt;0",B$6:B27,"&lt;&gt;Oui"),"")</f>
        <v/>
      </c>
      <c r="B27" s="9" t="n"/>
      <c r="C27" s="10" t="n"/>
      <c r="D27" s="11" t="n"/>
      <c r="E27" s="12">
        <f>IF($C27="",0,IF($B27="Oui",1,IF(N($D27)&gt;0,INT($D27),1)))</f>
        <v/>
      </c>
      <c r="F27" s="13">
        <f>SUM(E$6:E27)</f>
        <v/>
      </c>
    </row>
    <row r="28" ht="21" customHeight="1">
      <c r="A28" s="8">
        <f>IF(AND(E28&gt;0,B28&lt;&gt;"Oui"),COUNTIFS(E$6:E28,"&gt;0",B$6:B28,"&lt;&gt;Oui"),"")</f>
        <v/>
      </c>
      <c r="B28" s="9" t="n"/>
      <c r="C28" s="10" t="n"/>
      <c r="D28" s="11" t="n"/>
      <c r="E28" s="12">
        <f>IF($C28="",0,IF($B28="Oui",1,IF(N($D28)&gt;0,INT($D28),1)))</f>
        <v/>
      </c>
      <c r="F28" s="13">
        <f>SUM(E$6:E28)</f>
        <v/>
      </c>
    </row>
    <row r="29" ht="21" customHeight="1">
      <c r="A29" s="8">
        <f>IF(AND(E29&gt;0,B29&lt;&gt;"Oui"),COUNTIFS(E$6:E29,"&gt;0",B$6:B29,"&lt;&gt;Oui"),"")</f>
        <v/>
      </c>
      <c r="B29" s="9" t="n"/>
      <c r="C29" s="10" t="n"/>
      <c r="D29" s="11" t="n"/>
      <c r="E29" s="12">
        <f>IF($C29="",0,IF($B29="Oui",1,IF(N($D29)&gt;0,INT($D29),1)))</f>
        <v/>
      </c>
      <c r="F29" s="13">
        <f>SUM(E$6:E29)</f>
        <v/>
      </c>
    </row>
    <row r="31">
      <c r="C31" s="14">
        <f>SUM(E6:E29)&amp;"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D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DESTINATION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LISTE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(pouces)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N° de série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Contrôle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Matériel'!$E$6:$E$29,U15)&gt;1,"  ("&amp;(T15-INDEX('1 Matériel'!$F$6:$F$29,U15)+INDEX('1 Matériel'!$E$6:$E$29,U15))&amp;"/"&amp;INDEX('1 Matériel'!$E$6:$E$29,U15)&amp;")","")))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Matériel'!$E$6:$E$29),1,"")</f>
        <v/>
      </c>
      <c r="U15" s="33">
        <f>IF(T15="","",COUNTIF('1 Matériel'!$F$6:$F$29,"&lt;"&amp;T15)+1)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Matériel'!$E$6:$E$29,U16)&gt;1,"  ("&amp;(T16-INDEX('1 Matériel'!$F$6:$F$29,U16)+INDEX('1 Matériel'!$E$6:$E$29,U16))&amp;"/"&amp;INDEX('1 Matériel'!$E$6:$E$29,U16)&amp;")","")))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Matériel'!$E$6:$E$29),2,"")</f>
        <v/>
      </c>
      <c r="U16" s="33">
        <f>IF(T16="","",COUNTIF('1 Matériel'!$F$6:$F$29,"&lt;"&amp;T16)+1)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Matériel'!$E$6:$E$29,U17)&gt;1,"  ("&amp;(T17-INDEX('1 Matériel'!$F$6:$F$29,U17)+INDEX('1 Matériel'!$E$6:$E$29,U17))&amp;"/"&amp;INDEX('1 Matériel'!$E$6:$E$29,U17)&amp;")","")))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Matériel'!$E$6:$E$29),3,"")</f>
        <v/>
      </c>
      <c r="U17" s="33">
        <f>IF(T17="","",COUNTIF('1 Matériel'!$F$6:$F$29,"&lt;"&amp;T17)+1)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Matériel'!$E$6:$E$29,U18)&gt;1,"  ("&amp;(T18-INDEX('1 Matériel'!$F$6:$F$29,U18)+INDEX('1 Matériel'!$E$6:$E$29,U18))&amp;"/"&amp;INDEX('1 Matériel'!$E$6:$E$29,U18)&amp;")","")))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Matériel'!$E$6:$E$29),4,"")</f>
        <v/>
      </c>
      <c r="U18" s="33">
        <f>IF(T18="","",COUNTIF('1 Matériel'!$F$6:$F$29,"&lt;"&amp;T18)+1)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Matériel'!$E$6:$E$29,U19)&gt;1,"  ("&amp;(T19-INDEX('1 Matériel'!$F$6:$F$29,U19)+INDEX('1 Matériel'!$E$6:$E$29,U19))&amp;"/"&amp;INDEX('1 Matériel'!$E$6:$E$29,U19)&amp;")","")))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Matériel'!$E$6:$E$29),5,"")</f>
        <v/>
      </c>
      <c r="U19" s="33">
        <f>IF(T19="","",COUNTIF('1 Matériel'!$F$6:$F$29,"&lt;"&amp;T19)+1)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Matériel'!$E$6:$E$29,U20)&gt;1,"  ("&amp;(T20-INDEX('1 Matériel'!$F$6:$F$29,U20)+INDEX('1 Matériel'!$E$6:$E$29,U20))&amp;"/"&amp;INDEX('1 Matériel'!$E$6:$E$29,U20)&amp;")","")))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Matériel'!$E$6:$E$29),6,"")</f>
        <v/>
      </c>
      <c r="U20" s="33">
        <f>IF(T20="","",COUNTIF('1 Matériel'!$F$6:$F$29,"&lt;"&amp;T20)+1)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Matériel'!$E$6:$E$29,U21)&gt;1,"  ("&amp;(T21-INDEX('1 Matériel'!$F$6:$F$29,U21)+INDEX('1 Matériel'!$E$6:$E$29,U21))&amp;"/"&amp;INDEX('1 Matériel'!$E$6:$E$29,U21)&amp;")","")))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Matériel'!$E$6:$E$29),7,"")</f>
        <v/>
      </c>
      <c r="U21" s="33">
        <f>IF(T21="","",COUNTIF('1 Matériel'!$F$6:$F$29,"&lt;"&amp;T21)+1)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Matériel'!$E$6:$E$29,U22)&gt;1,"  ("&amp;(T22-INDEX('1 Matériel'!$F$6:$F$29,U22)+INDEX('1 Matériel'!$E$6:$E$29,U22))&amp;"/"&amp;INDEX('1 Matériel'!$E$6:$E$29,U22)&amp;")","")))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Matériel'!$E$6:$E$29),8,"")</f>
        <v/>
      </c>
      <c r="U22" s="33">
        <f>IF(T22="","",COUNTIF('1 Matériel'!$F$6:$F$29,"&lt;"&amp;T22)+1)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Matériel'!$E$6:$E$29,U23)&gt;1,"  ("&amp;(T23-INDEX('1 Matériel'!$F$6:$F$29,U23)+INDEX('1 Matériel'!$E$6:$E$29,U23))&amp;"/"&amp;INDEX('1 Matériel'!$E$6:$E$29,U23)&amp;")","")))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Matériel'!$E$6:$E$29),9,"")</f>
        <v/>
      </c>
      <c r="U23" s="33">
        <f>IF(T23="","",COUNTIF('1 Matériel'!$F$6:$F$29,"&lt;"&amp;T23)+1)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Matériel'!$E$6:$E$29,U24)&gt;1,"  ("&amp;(T24-INDEX('1 Matériel'!$F$6:$F$29,U24)+INDEX('1 Matériel'!$E$6:$E$29,U24))&amp;"/"&amp;INDEX('1 Matériel'!$E$6:$E$29,U24)&amp;")","")))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Matériel'!$E$6:$E$29),10,"")</f>
        <v/>
      </c>
      <c r="U24" s="33">
        <f>IF(T24="","",COUNTIF('1 Matériel'!$F$6:$F$29,"&lt;"&amp;T24)+1)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Matériel'!$E$6:$E$29,U25)&gt;1,"  ("&amp;(T25-INDEX('1 Matériel'!$F$6:$F$29,U25)+INDEX('1 Matériel'!$E$6:$E$29,U25))&amp;"/"&amp;INDEX('1 Matériel'!$E$6:$E$29,U25)&amp;")","")))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Matériel'!$E$6:$E$29),11,"")</f>
        <v/>
      </c>
      <c r="U25" s="33">
        <f>IF(T25="","",COUNTIF('1 Matériel'!$F$6:$F$29,"&lt;"&amp;T25)+1)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Matériel'!$E$6:$E$29,U26)&gt;1,"  ("&amp;(T26-INDEX('1 Matériel'!$F$6:$F$29,U26)+INDEX('1 Matériel'!$E$6:$E$29,U26))&amp;"/"&amp;INDEX('1 Matériel'!$E$6:$E$29,U26)&amp;")","")))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Matériel'!$E$6:$E$29),12,"")</f>
        <v/>
      </c>
      <c r="U26" s="33">
        <f>IF(T26="","",COUNTIF('1 Matériel'!$F$6:$F$29,"&lt;"&amp;T26)+1)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Matériel'!$E$6:$E$29,U27)&gt;1,"  ("&amp;(T27-INDEX('1 Matériel'!$F$6:$F$29,U27)+INDEX('1 Matériel'!$E$6:$E$29,U27))&amp;"/"&amp;INDEX('1 Matériel'!$E$6:$E$29,U27)&amp;")","")))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Matériel'!$E$6:$E$29),13,"")</f>
        <v/>
      </c>
      <c r="U27" s="33">
        <f>IF(T27="","",COUNTIF('1 Matériel'!$F$6:$F$29,"&lt;"&amp;T27)+1)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Matériel'!$E$6:$E$29,U28)&gt;1,"  ("&amp;(T28-INDEX('1 Matériel'!$F$6:$F$29,U28)+INDEX('1 Matériel'!$E$6:$E$29,U28))&amp;"/"&amp;INDEX('1 Matériel'!$E$6:$E$29,U28)&amp;")","")))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Matériel'!$E$6:$E$29),14,"")</f>
        <v/>
      </c>
      <c r="U28" s="33">
        <f>IF(T28="","",COUNTIF('1 Matériel'!$F$6:$F$29,"&lt;"&amp;T28)+1)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Matériel'!$E$6:$E$29,U29)&gt;1,"  ("&amp;(T29-INDEX('1 Matériel'!$F$6:$F$29,U29)+INDEX('1 Matériel'!$E$6:$E$29,U29))&amp;"/"&amp;INDEX('1 Matériel'!$E$6:$E$29,U29)&amp;")","")))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Matériel'!$E$6:$E$29),15,"")</f>
        <v/>
      </c>
      <c r="U29" s="33">
        <f>IF(T29="","",COUNTIF('1 Matériel'!$F$6:$F$29,"&lt;"&amp;T29)+1)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Matériel'!$E$6:$E$29,U30)&gt;1,"  ("&amp;(T30-INDEX('1 Matériel'!$F$6:$F$29,U30)+INDEX('1 Matériel'!$E$6:$E$29,U30))&amp;"/"&amp;INDEX('1 Matériel'!$E$6:$E$29,U30)&amp;")","")))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Matériel'!$E$6:$E$29),16,"")</f>
        <v/>
      </c>
      <c r="U30" s="33">
        <f>IF(T30="","",COUNTIF('1 Matériel'!$F$6:$F$29,"&lt;"&amp;T30)+1)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Matériel'!$E$6:$E$29,U31)&gt;1,"  ("&amp;(T31-INDEX('1 Matériel'!$F$6:$F$29,U31)+INDEX('1 Matériel'!$E$6:$E$29,U31))&amp;"/"&amp;INDEX('1 Matériel'!$E$6:$E$29,U31)&amp;")","")))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Matériel'!$E$6:$E$29),17,"")</f>
        <v/>
      </c>
      <c r="U31" s="33">
        <f>IF(T31="","",COUNTIF('1 Matériel'!$F$6:$F$29,"&lt;"&amp;T31)+1)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Matériel'!$E$6:$E$29,U32)&gt;1,"  ("&amp;(T32-INDEX('1 Matériel'!$F$6:$F$29,U32)+INDEX('1 Matériel'!$E$6:$E$29,U32))&amp;"/"&amp;INDEX('1 Matériel'!$E$6:$E$29,U32)&amp;")","")))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Matériel'!$E$6:$E$29),18,"")</f>
        <v/>
      </c>
      <c r="U32" s="33">
        <f>IF(T32="","",COUNTIF('1 Matériel'!$F$6:$F$29,"&lt;"&amp;T32)+1)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Matériel'!$E$6:$E$29,U33)&gt;1,"  ("&amp;(T33-INDEX('1 Matériel'!$F$6:$F$29,U33)+INDEX('1 Matériel'!$E$6:$E$29,U33))&amp;"/"&amp;INDEX('1 Matériel'!$E$6:$E$29,U33)&amp;")","")))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Matériel'!$E$6:$E$29),19,"")</f>
        <v/>
      </c>
      <c r="U33" s="33">
        <f>IF(T33="","",COUNTIF('1 Matériel'!$F$6:$F$29,"&lt;"&amp;T33)+1)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Matériel'!$E$6:$E$29,U34)&gt;1,"  ("&amp;(T34-INDEX('1 Matériel'!$F$6:$F$29,U34)+INDEX('1 Matériel'!$E$6:$E$29,U34))&amp;"/"&amp;INDEX('1 Matériel'!$E$6:$E$29,U34)&amp;")","")))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Matériel'!$E$6:$E$29),20,"")</f>
        <v/>
      </c>
      <c r="U34" s="33">
        <f>IF(T34="","",COUNTIF('1 Matériel'!$F$6:$F$29,"&lt;"&amp;T34)+1)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Matériel'!$E$6:$E$29,U35)&gt;1,"  ("&amp;(T35-INDEX('1 Matériel'!$F$6:$F$29,U35)+INDEX('1 Matériel'!$E$6:$E$29,U35))&amp;"/"&amp;INDEX('1 Matériel'!$E$6:$E$29,U35)&amp;")","")))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Matériel'!$E$6:$E$29),21,"")</f>
        <v/>
      </c>
      <c r="U35" s="33">
        <f>IF(T35="","",COUNTIF('1 Matériel'!$F$6:$F$29,"&lt;"&amp;T35)+1)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Matériel'!$E$6:$E$29,U36)&gt;1,"  ("&amp;(T36-INDEX('1 Matériel'!$F$6:$F$29,U36)+INDEX('1 Matériel'!$E$6:$E$29,U36))&amp;"/"&amp;INDEX('1 Matériel'!$E$6:$E$29,U36)&amp;")","")))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Matériel'!$E$6:$E$29),22,"")</f>
        <v/>
      </c>
      <c r="U36" s="33">
        <f>IF(T36="","",COUNTIF('1 Matériel'!$F$6:$F$29,"&lt;"&amp;T36)+1)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Matériel'!$E$6:$E$29,U37)&gt;1,"  ("&amp;(T37-INDEX('1 Matériel'!$F$6:$F$29,U37)+INDEX('1 Matériel'!$E$6:$E$29,U37))&amp;"/"&amp;INDEX('1 Matériel'!$E$6:$E$29,U37)&amp;")","")))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Matériel'!$E$6:$E$29),23,"")</f>
        <v/>
      </c>
      <c r="U37" s="33">
        <f>IF(T37="","",COUNTIF('1 Matériel'!$F$6:$F$29,"&lt;"&amp;T37)+1)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Matériel'!$E$6:$E$29,U38)&gt;1,"  ("&amp;(T38-INDEX('1 Matériel'!$F$6:$F$29,U38)+INDEX('1 Matériel'!$E$6:$E$29,U38))&amp;"/"&amp;INDEX('1 Matériel'!$E$6:$E$29,U38)&amp;")","")))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Matériel'!$E$6:$E$29),24,"")</f>
        <v/>
      </c>
      <c r="U38" s="33">
        <f>IF(T38="","",COUNTIF('1 Matériel'!$F$6:$F$29,"&lt;"&amp;T38)+1)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Matériel'!$E$6:$E$29,U39)&gt;1,"  ("&amp;(T39-INDEX('1 Matériel'!$F$6:$F$29,U39)+INDEX('1 Matériel'!$E$6:$E$29,U39))&amp;"/"&amp;INDEX('1 Matériel'!$E$6:$E$29,U39)&amp;")","")))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Matériel'!$E$6:$E$29),25,"")</f>
        <v/>
      </c>
      <c r="U39" s="33">
        <f>IF(T39="","",COUNTIF('1 Matériel'!$F$6:$F$29,"&lt;"&amp;T39)+1)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Matériel'!$E$6:$E$29,U40)&gt;1,"  ("&amp;(T40-INDEX('1 Matériel'!$F$6:$F$29,U40)+INDEX('1 Matériel'!$E$6:$E$29,U40))&amp;"/"&amp;INDEX('1 Matériel'!$E$6:$E$29,U40)&amp;")","")))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Matériel'!$E$6:$E$29),26,"")</f>
        <v/>
      </c>
      <c r="U40" s="33">
        <f>IF(T40="","",COUNTIF('1 Matériel'!$F$6:$F$29,"&lt;"&amp;T40)+1)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Matériel'!$E$6:$E$29,U41)&gt;1,"  ("&amp;(T41-INDEX('1 Matériel'!$F$6:$F$29,U41)+INDEX('1 Matériel'!$E$6:$E$29,U41))&amp;"/"&amp;INDEX('1 Matériel'!$E$6:$E$29,U41)&amp;")","")))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Matériel'!$E$6:$E$29),27,"")</f>
        <v/>
      </c>
      <c r="U41" s="33">
        <f>IF(T41="","",COUNTIF('1 Matériel'!$F$6:$F$29,"&lt;"&amp;T41)+1)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Matériel'!$E$6:$E$29,U42)&gt;1,"  ("&amp;(T42-INDEX('1 Matériel'!$F$6:$F$29,U42)+INDEX('1 Matériel'!$E$6:$E$29,U42))&amp;"/"&amp;INDEX('1 Matériel'!$E$6:$E$29,U42)&amp;")","")))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Matériel'!$E$6:$E$29),28,"")</f>
        <v/>
      </c>
      <c r="U42" s="33">
        <f>IF(T42="","",COUNTIF('1 Matériel'!$F$6:$F$29,"&lt;"&amp;T42)+1)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Matériel'!$E$6:$E$29,U43)&gt;1,"  ("&amp;(T43-INDEX('1 Matériel'!$F$6:$F$29,U43)+INDEX('1 Matériel'!$E$6:$E$29,U43))&amp;"/"&amp;INDEX('1 Matériel'!$E$6:$E$29,U43)&amp;")","")))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Matériel'!$E$6:$E$29),29,"")</f>
        <v/>
      </c>
      <c r="U43" s="33">
        <f>IF(T43="","",COUNTIF('1 Matériel'!$F$6:$F$29,"&lt;"&amp;T43)+1)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Matériel'!$E$6:$E$29,U44)&gt;1,"  ("&amp;(T44-INDEX('1 Matériel'!$F$6:$F$29,U44)+INDEX('1 Matériel'!$E$6:$E$29,U44))&amp;"/"&amp;INDEX('1 Matériel'!$E$6:$E$29,U44)&amp;")","")))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Matériel'!$E$6:$E$29),30,"")</f>
        <v/>
      </c>
      <c r="U44" s="33">
        <f>IF(T44="","",COUNTIF('1 Matériel'!$F$6:$F$29,"&lt;"&amp;T44)+1)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Matériel'!$E$6:$E$29,U45)&gt;1,"  ("&amp;(T45-INDEX('1 Matériel'!$F$6:$F$29,U45)+INDEX('1 Matériel'!$E$6:$E$29,U45))&amp;"/"&amp;INDEX('1 Matériel'!$E$6:$E$29,U45)&amp;")","")))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Matériel'!$E$6:$E$29),31,"")</f>
        <v/>
      </c>
      <c r="U45" s="33">
        <f>IF(T45="","",COUNTIF('1 Matériel'!$F$6:$F$29,"&lt;"&amp;T45)+1)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Matériel'!$E$6:$E$29,U46)&gt;1,"  ("&amp;(T46-INDEX('1 Matériel'!$F$6:$F$29,U46)+INDEX('1 Matériel'!$E$6:$E$29,U46))&amp;"/"&amp;INDEX('1 Matériel'!$E$6:$E$29,U46)&amp;")","")))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Matériel'!$E$6:$E$29),32,"")</f>
        <v/>
      </c>
      <c r="U46" s="33">
        <f>IF(T46="","",COUNTIF('1 Matériel'!$F$6:$F$29,"&lt;"&amp;T46)+1)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Matériel'!$E$6:$E$29,U47)&gt;1,"  ("&amp;(T47-INDEX('1 Matériel'!$F$6:$F$29,U47)+INDEX('1 Matériel'!$E$6:$E$29,U47))&amp;"/"&amp;INDEX('1 Matériel'!$E$6:$E$29,U47)&amp;")","")))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Matériel'!$E$6:$E$29),33,"")</f>
        <v/>
      </c>
      <c r="U47" s="33">
        <f>IF(T47="","",COUNTIF('1 Matériel'!$F$6:$F$29,"&lt;"&amp;T47)+1)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Matériel'!$E$6:$E$29,U48)&gt;1,"  ("&amp;(T48-INDEX('1 Matériel'!$F$6:$F$29,U48)+INDEX('1 Matériel'!$E$6:$E$29,U48))&amp;"/"&amp;INDEX('1 Matériel'!$E$6:$E$29,U48)&amp;")","")))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Matériel'!$E$6:$E$29),34,"")</f>
        <v/>
      </c>
      <c r="U48" s="33">
        <f>IF(T48="","",COUNTIF('1 Matériel'!$F$6:$F$29,"&lt;"&amp;T48)+1)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Matériel'!$E$6:$E$29,U49)&gt;1,"  ("&amp;(T49-INDEX('1 Matériel'!$F$6:$F$29,U49)+INDEX('1 Matériel'!$E$6:$E$29,U49))&amp;"/"&amp;INDEX('1 Matériel'!$E$6:$E$29,U49)&amp;")","")))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Matériel'!$E$6:$E$29),35,"")</f>
        <v/>
      </c>
      <c r="U49" s="33">
        <f>IF(T49="","",COUNTIF('1 Matériel'!$F$6:$F$29,"&lt;"&amp;T49)+1)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Matériel'!$E$6:$E$29,U50)&gt;1,"  ("&amp;(T50-INDEX('1 Matériel'!$F$6:$F$29,U50)+INDEX('1 Matériel'!$E$6:$E$29,U50))&amp;"/"&amp;INDEX('1 Matériel'!$E$6:$E$29,U50)&amp;")","")))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Matériel'!$E$6:$E$29),36,"")</f>
        <v/>
      </c>
      <c r="U50" s="33">
        <f>IF(T50="","",COUNTIF('1 Matériel'!$F$6:$F$29,"&lt;"&amp;T50)+1)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Matériel'!$E$6:$E$29,U51)&gt;1,"  ("&amp;(T51-INDEX('1 Matériel'!$F$6:$F$29,U51)+INDEX('1 Matériel'!$E$6:$E$29,U51))&amp;"/"&amp;INDEX('1 Matériel'!$E$6:$E$29,U51)&amp;")","")))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Matériel'!$E$6:$E$29),37,"")</f>
        <v/>
      </c>
      <c r="U51" s="33">
        <f>IF(T51="","",COUNTIF('1 Matériel'!$F$6:$F$29,"&lt;"&amp;T51)+1)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Matériel'!$E$6:$E$29,U52)&gt;1,"  ("&amp;(T52-INDEX('1 Matériel'!$F$6:$F$29,U52)+INDEX('1 Matériel'!$E$6:$E$29,U52))&amp;"/"&amp;INDEX('1 Matériel'!$E$6:$E$29,U52)&amp;")","")))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Matériel'!$E$6:$E$29),38,"")</f>
        <v/>
      </c>
      <c r="U52" s="33">
        <f>IF(T52="","",COUNTIF('1 Matériel'!$F$6:$F$29,"&lt;"&amp;T52)+1)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Matériel'!$E$6:$E$29,U53)&gt;1,"  ("&amp;(T53-INDEX('1 Matériel'!$F$6:$F$29,U53)+INDEX('1 Matériel'!$E$6:$E$29,U53))&amp;"/"&amp;INDEX('1 Matériel'!$E$6:$E$29,U53)&amp;")","")))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Matériel'!$E$6:$E$29),39,"")</f>
        <v/>
      </c>
      <c r="U53" s="33">
        <f>IF(T53="","",COUNTIF('1 Matériel'!$F$6:$F$29,"&lt;"&amp;T53)+1)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Matériel'!$E$6:$E$29,U54)&gt;1,"  ("&amp;(T54-INDEX('1 Matériel'!$F$6:$F$29,U54)+INDEX('1 Matériel'!$E$6:$E$29,U54))&amp;"/"&amp;INDEX('1 Matériel'!$E$6:$E$29,U54)&amp;")","")))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Matériel'!$E$6:$E$29),40,"")</f>
        <v/>
      </c>
      <c r="U54" s="33">
        <f>IF(T54="","",COUNTIF('1 Matériel'!$F$6:$F$29,"&lt;"&amp;T54)+1)</f>
        <v/>
      </c>
      <c r="V54" s="33">
        <f>IF(U54="","",IF(INDEX('1 Matériel'!$B$6:$B$29,U54)="Oui",1,0))</f>
        <v/>
      </c>
    </row>
    <row r="55">
      <c r="A55" s="34">
        <f>IF(SUM('1 Matériel'!$E$6:$E$29)&gt;20,"⚠  "&amp;(SUM('1 Matériel'!$E$6:$E$29)-20)&amp;"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liste)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Vrac</t>
        </is>
      </c>
      <c r="B69" s="37" t="n"/>
      <c r="C69" s="44" t="inlineStr">
        <is>
          <t>Vrac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Liste de matériel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Vrac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Vrac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2026-10-28T14:17:29Z</dcterms:created>
  <dcterms:modified xmlns:dcterms="http://purl.org/dc/terms/" xmlns:xsi="http://www.w3.org/2001/XMLSchema-instance" xsi:type="dcterms:W3CDTF">2026-10-28T14:17:30Z</dcterms:modified>
</cp:coreProperties>
</file>