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_FilterDatabase" localSheetId="1" hidden="1">'2 Tool List'!$A$14:$V$54</definedName>
    <definedName name="_xlnm.Print_Area" localSheetId="1">'2 Tool List'!$A$1:$L$72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;-0;;@"/>
    <numFmt numFmtId="165" formatCode="dd/mm/yyyy"/>
    <numFmt numFmtId="166" formatCode="0.000"/>
    <numFmt numFmtId="167" formatCode="#,##0.0"/>
    <numFmt numFmtId="168" formatCode="#,##0.0 &quot;kg&quot;"/>
    <numFmt numFmtId="169" formatCode="0.000 &quot;m³&quot;"/>
  </numFmts>
  <fonts count="26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4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/>
      <right/>
      <top/>
      <bottom style="thin">
        <color rgb="0000AEEF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0" fillId="7" borderId="0" pivotButton="0" quotePrefix="0" xfId="0"/>
    <xf numFmtId="0" fontId="23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7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4" fillId="0" borderId="2" applyAlignment="1" pivotButton="0" quotePrefix="0" xfId="0">
      <alignment horizontal="center" vertical="center"/>
    </xf>
    <xf numFmtId="0" fontId="25" fillId="2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/>
    </xf>
    <xf numFmtId="168" fontId="25" fillId="2" borderId="0" applyAlignment="1" pivotButton="0" quotePrefix="0" xfId="0">
      <alignment horizontal="center" vertical="center"/>
    </xf>
    <xf numFmtId="169" fontId="25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indent="1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2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6" customWidth="1" min="4" max="4"/>
    <col width="9" customWidth="1" min="5" max="5"/>
    <col width="9" customWidth="1" min="6" max="6"/>
    <col width="11" customWidth="1" min="7" max="7"/>
    <col width="12" customWidth="1" min="8" max="8"/>
    <col width="14" customWidth="1" min="9" max="9"/>
    <col width="9" customWidth="1" min="10" max="10"/>
    <col width="34" customWidth="1" min="11" max="11"/>
    <col width="10" customWidth="1" min="12" max="1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J5" s="17" t="inlineStr">
        <is>
          <t>DESTINATION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8" t="n"/>
      <c r="K6" s="19" t="n"/>
      <c r="L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LISTE</t>
        </is>
      </c>
      <c r="J7" s="17" t="inlineStr">
        <is>
          <t>PRÉPARÉE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8" t="n"/>
      <c r="K8" s="19" t="n"/>
      <c r="L8" s="19" t="n"/>
    </row>
    <row r="9" ht="15" customHeight="1">
      <c r="A9" s="17" t="inlineStr">
        <is>
          <t>DESCRIPTION GÉNÉRALE</t>
        </is>
      </c>
      <c r="E9" s="17" t="inlineStr">
        <is>
          <t>COLISAGE</t>
        </is>
      </c>
      <c r="J9" s="17" t="inlineStr">
        <is>
          <t>VALIDÉE PAR</t>
        </is>
      </c>
    </row>
    <row r="10" ht="21" customHeight="1">
      <c r="A10" s="18" t="n"/>
      <c r="B10" s="19" t="n"/>
      <c r="C10" s="19" t="n"/>
      <c r="D10" s="19" t="n"/>
      <c r="E10" s="18" t="inlineStr">
        <is>
          <t>A communiquer dès que possible</t>
        </is>
      </c>
      <c r="F10" s="19" t="n"/>
      <c r="G10" s="19" t="n"/>
      <c r="H10" s="19" t="n"/>
      <c r="I10" s="19" t="n"/>
      <c r="J10" s="18" t="n"/>
      <c r="K10" s="19" t="n"/>
      <c r="L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14" customHeight="1">
      <c r="A12" s="21">
        <f>IF(SUBTOTAL(103,A15:A54)&lt;MIN(SUM('1 Matériel'!$E$6:$E$29),40),"⚠  Appuyer sur Ctrl + Alt + L pour afficher toutes les lignes de la liste.","")</f>
        <v/>
      </c>
    </row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(pouces)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COLIS</t>
        </is>
      </c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N° de série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N° colis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IF(OR(T15=0,V15=1),"",T15-COUNTIF(V$15:V15,1))</f>
        <v/>
      </c>
      <c r="B15" s="27" t="n"/>
      <c r="C15" s="27" t="n"/>
      <c r="D15" s="28">
        <f>IF(T15=0,"",IF(V15=1,UPPER(INDEX('1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T15" s="31">
        <f>IF(1&lt;=SUM('1 Matériel'!$E$6:$E$29),1,0)</f>
        <v/>
      </c>
      <c r="U15" s="31">
        <f>IF(T15=0,"",COUNTIF('1 Matériel'!$F$6:$F$29,"&lt;"&amp;T15)+1)</f>
        <v/>
      </c>
      <c r="V15" s="31">
        <f>IF(U15="","",IF(INDEX('1 Matériel'!$B$6:$B$29,U15)="Oui",1,0))</f>
        <v/>
      </c>
    </row>
    <row r="16" ht="27" customHeight="1">
      <c r="A16" s="7">
        <f>IF(OR(T16=0,V16=1),"",T16-COUNTIF(V$15:V16,1))</f>
        <v/>
      </c>
      <c r="B16" s="27" t="n"/>
      <c r="C16" s="27" t="n"/>
      <c r="D16" s="28">
        <f>IF(T16=0,"",IF(V16=1,UPPER(INDEX('1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T16" s="31">
        <f>IF(2&lt;=SUM('1 Matériel'!$E$6:$E$29),2,0)</f>
        <v/>
      </c>
      <c r="U16" s="31">
        <f>IF(T16=0,"",COUNTIF('1 Matériel'!$F$6:$F$29,"&lt;"&amp;T16)+1)</f>
        <v/>
      </c>
      <c r="V16" s="31">
        <f>IF(U16="","",IF(INDEX('1 Matériel'!$B$6:$B$29,U16)="Oui",1,0))</f>
        <v/>
      </c>
    </row>
    <row r="17" ht="27" customHeight="1">
      <c r="A17" s="7">
        <f>IF(OR(T17=0,V17=1),"",T17-COUNTIF(V$15:V17,1))</f>
        <v/>
      </c>
      <c r="B17" s="27" t="n"/>
      <c r="C17" s="27" t="n"/>
      <c r="D17" s="28">
        <f>IF(T17=0,"",IF(V17=1,UPPER(INDEX('1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T17" s="31">
        <f>IF(3&lt;=SUM('1 Matériel'!$E$6:$E$29),3,0)</f>
        <v/>
      </c>
      <c r="U17" s="31">
        <f>IF(T17=0,"",COUNTIF('1 Matériel'!$F$6:$F$29,"&lt;"&amp;T17)+1)</f>
        <v/>
      </c>
      <c r="V17" s="31">
        <f>IF(U17="","",IF(INDEX('1 Matériel'!$B$6:$B$29,U17)="Oui",1,0))</f>
        <v/>
      </c>
    </row>
    <row r="18" ht="27" customHeight="1">
      <c r="A18" s="7">
        <f>IF(OR(T18=0,V18=1),"",T18-COUNTIF(V$15:V18,1))</f>
        <v/>
      </c>
      <c r="B18" s="27" t="n"/>
      <c r="C18" s="27" t="n"/>
      <c r="D18" s="28">
        <f>IF(T18=0,"",IF(V18=1,UPPER(INDEX('1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T18" s="31">
        <f>IF(4&lt;=SUM('1 Matériel'!$E$6:$E$29),4,0)</f>
        <v/>
      </c>
      <c r="U18" s="31">
        <f>IF(T18=0,"",COUNTIF('1 Matériel'!$F$6:$F$29,"&lt;"&amp;T18)+1)</f>
        <v/>
      </c>
      <c r="V18" s="31">
        <f>IF(U18="","",IF(INDEX('1 Matériel'!$B$6:$B$29,U18)="Oui",1,0))</f>
        <v/>
      </c>
    </row>
    <row r="19" ht="27" customHeight="1">
      <c r="A19" s="7">
        <f>IF(OR(T19=0,V19=1),"",T19-COUNTIF(V$15:V19,1))</f>
        <v/>
      </c>
      <c r="B19" s="27" t="n"/>
      <c r="C19" s="27" t="n"/>
      <c r="D19" s="28">
        <f>IF(T19=0,"",IF(V19=1,UPPER(INDEX('1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T19" s="31">
        <f>IF(5&lt;=SUM('1 Matériel'!$E$6:$E$29),5,0)</f>
        <v/>
      </c>
      <c r="U19" s="31">
        <f>IF(T19=0,"",COUNTIF('1 Matériel'!$F$6:$F$29,"&lt;"&amp;T19)+1)</f>
        <v/>
      </c>
      <c r="V19" s="31">
        <f>IF(U19="","",IF(INDEX('1 Matériel'!$B$6:$B$29,U19)="Oui",1,0))</f>
        <v/>
      </c>
    </row>
    <row r="20" hidden="1" ht="27" customHeight="1">
      <c r="A20" s="7">
        <f>IF(OR(T20=0,V20=1),"",T20-COUNTIF(V$15:V20,1))</f>
        <v/>
      </c>
      <c r="B20" s="27" t="n"/>
      <c r="C20" s="27" t="n"/>
      <c r="D20" s="28">
        <f>IF(T20=0,"",IF(V20=1,UPPER(INDEX('1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T20" s="31">
        <f>IF(6&lt;=SUM('1 Matériel'!$E$6:$E$29),6,0)</f>
        <v/>
      </c>
      <c r="U20" s="31">
        <f>IF(T20=0,"",COUNTIF('1 Matériel'!$F$6:$F$29,"&lt;"&amp;T20)+1)</f>
        <v/>
      </c>
      <c r="V20" s="31">
        <f>IF(U20="","",IF(INDEX('1 Matériel'!$B$6:$B$29,U20)="Oui",1,0))</f>
        <v/>
      </c>
    </row>
    <row r="21" hidden="1" ht="27" customHeight="1">
      <c r="A21" s="7">
        <f>IF(OR(T21=0,V21=1),"",T21-COUNTIF(V$15:V21,1))</f>
        <v/>
      </c>
      <c r="B21" s="27" t="n"/>
      <c r="C21" s="27" t="n"/>
      <c r="D21" s="28">
        <f>IF(T21=0,"",IF(V21=1,UPPER(INDEX('1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T21" s="31">
        <f>IF(7&lt;=SUM('1 Matériel'!$E$6:$E$29),7,0)</f>
        <v/>
      </c>
      <c r="U21" s="31">
        <f>IF(T21=0,"",COUNTIF('1 Matériel'!$F$6:$F$29,"&lt;"&amp;T21)+1)</f>
        <v/>
      </c>
      <c r="V21" s="31">
        <f>IF(U21="","",IF(INDEX('1 Matériel'!$B$6:$B$29,U21)="Oui",1,0))</f>
        <v/>
      </c>
    </row>
    <row r="22" hidden="1" ht="27" customHeight="1">
      <c r="A22" s="7">
        <f>IF(OR(T22=0,V22=1),"",T22-COUNTIF(V$15:V22,1))</f>
        <v/>
      </c>
      <c r="B22" s="27" t="n"/>
      <c r="C22" s="27" t="n"/>
      <c r="D22" s="28">
        <f>IF(T22=0,"",IF(V22=1,UPPER(INDEX('1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T22" s="31">
        <f>IF(8&lt;=SUM('1 Matériel'!$E$6:$E$29),8,0)</f>
        <v/>
      </c>
      <c r="U22" s="31">
        <f>IF(T22=0,"",COUNTIF('1 Matériel'!$F$6:$F$29,"&lt;"&amp;T22)+1)</f>
        <v/>
      </c>
      <c r="V22" s="31">
        <f>IF(U22="","",IF(INDEX('1 Matériel'!$B$6:$B$29,U22)="Oui",1,0))</f>
        <v/>
      </c>
    </row>
    <row r="23" hidden="1" ht="27" customHeight="1">
      <c r="A23" s="7">
        <f>IF(OR(T23=0,V23=1),"",T23-COUNTIF(V$15:V23,1))</f>
        <v/>
      </c>
      <c r="B23" s="27" t="n"/>
      <c r="C23" s="27" t="n"/>
      <c r="D23" s="28">
        <f>IF(T23=0,"",IF(V23=1,UPPER(INDEX('1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T23" s="31">
        <f>IF(9&lt;=SUM('1 Matériel'!$E$6:$E$29),9,0)</f>
        <v/>
      </c>
      <c r="U23" s="31">
        <f>IF(T23=0,"",COUNTIF('1 Matériel'!$F$6:$F$29,"&lt;"&amp;T23)+1)</f>
        <v/>
      </c>
      <c r="V23" s="31">
        <f>IF(U23="","",IF(INDEX('1 Matériel'!$B$6:$B$29,U23)="Oui",1,0))</f>
        <v/>
      </c>
    </row>
    <row r="24" hidden="1" ht="27" customHeight="1">
      <c r="A24" s="7">
        <f>IF(OR(T24=0,V24=1),"",T24-COUNTIF(V$15:V24,1))</f>
        <v/>
      </c>
      <c r="B24" s="27" t="n"/>
      <c r="C24" s="27" t="n"/>
      <c r="D24" s="28">
        <f>IF(T24=0,"",IF(V24=1,UPPER(INDEX('1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T24" s="31">
        <f>IF(10&lt;=SUM('1 Matériel'!$E$6:$E$29),10,0)</f>
        <v/>
      </c>
      <c r="U24" s="31">
        <f>IF(T24=0,"",COUNTIF('1 Matériel'!$F$6:$F$29,"&lt;"&amp;T24)+1)</f>
        <v/>
      </c>
      <c r="V24" s="31">
        <f>IF(U24="","",IF(INDEX('1 Matériel'!$B$6:$B$29,U24)="Oui",1,0))</f>
        <v/>
      </c>
    </row>
    <row r="25" hidden="1" ht="27" customHeight="1">
      <c r="A25" s="7">
        <f>IF(OR(T25=0,V25=1),"",T25-COUNTIF(V$15:V25,1))</f>
        <v/>
      </c>
      <c r="B25" s="27" t="n"/>
      <c r="C25" s="27" t="n"/>
      <c r="D25" s="28">
        <f>IF(T25=0,"",IF(V25=1,UPPER(INDEX('1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T25" s="31">
        <f>IF(11&lt;=SUM('1 Matériel'!$E$6:$E$29),11,0)</f>
        <v/>
      </c>
      <c r="U25" s="31">
        <f>IF(T25=0,"",COUNTIF('1 Matériel'!$F$6:$F$29,"&lt;"&amp;T25)+1)</f>
        <v/>
      </c>
      <c r="V25" s="31">
        <f>IF(U25="","",IF(INDEX('1 Matériel'!$B$6:$B$29,U25)="Oui",1,0))</f>
        <v/>
      </c>
    </row>
    <row r="26" hidden="1" ht="27" customHeight="1">
      <c r="A26" s="7">
        <f>IF(OR(T26=0,V26=1),"",T26-COUNTIF(V$15:V26,1))</f>
        <v/>
      </c>
      <c r="B26" s="27" t="n"/>
      <c r="C26" s="27" t="n"/>
      <c r="D26" s="28">
        <f>IF(T26=0,"",IF(V26=1,UPPER(INDEX('1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T26" s="31">
        <f>IF(12&lt;=SUM('1 Matériel'!$E$6:$E$29),12,0)</f>
        <v/>
      </c>
      <c r="U26" s="31">
        <f>IF(T26=0,"",COUNTIF('1 Matériel'!$F$6:$F$29,"&lt;"&amp;T26)+1)</f>
        <v/>
      </c>
      <c r="V26" s="31">
        <f>IF(U26="","",IF(INDEX('1 Matériel'!$B$6:$B$29,U26)="Oui",1,0))</f>
        <v/>
      </c>
    </row>
    <row r="27" hidden="1" ht="27" customHeight="1">
      <c r="A27" s="7">
        <f>IF(OR(T27=0,V27=1),"",T27-COUNTIF(V$15:V27,1))</f>
        <v/>
      </c>
      <c r="B27" s="27" t="n"/>
      <c r="C27" s="27" t="n"/>
      <c r="D27" s="28">
        <f>IF(T27=0,"",IF(V27=1,UPPER(INDEX('1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T27" s="31">
        <f>IF(13&lt;=SUM('1 Matériel'!$E$6:$E$29),13,0)</f>
        <v/>
      </c>
      <c r="U27" s="31">
        <f>IF(T27=0,"",COUNTIF('1 Matériel'!$F$6:$F$29,"&lt;"&amp;T27)+1)</f>
        <v/>
      </c>
      <c r="V27" s="31">
        <f>IF(U27="","",IF(INDEX('1 Matériel'!$B$6:$B$29,U27)="Oui",1,0))</f>
        <v/>
      </c>
    </row>
    <row r="28" hidden="1" ht="27" customHeight="1">
      <c r="A28" s="7">
        <f>IF(OR(T28=0,V28=1),"",T28-COUNTIF(V$15:V28,1))</f>
        <v/>
      </c>
      <c r="B28" s="27" t="n"/>
      <c r="C28" s="27" t="n"/>
      <c r="D28" s="28">
        <f>IF(T28=0,"",IF(V28=1,UPPER(INDEX('1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T28" s="31">
        <f>IF(14&lt;=SUM('1 Matériel'!$E$6:$E$29),14,0)</f>
        <v/>
      </c>
      <c r="U28" s="31">
        <f>IF(T28=0,"",COUNTIF('1 Matériel'!$F$6:$F$29,"&lt;"&amp;T28)+1)</f>
        <v/>
      </c>
      <c r="V28" s="31">
        <f>IF(U28="","",IF(INDEX('1 Matériel'!$B$6:$B$29,U28)="Oui",1,0))</f>
        <v/>
      </c>
    </row>
    <row r="29" hidden="1" ht="27" customHeight="1">
      <c r="A29" s="7">
        <f>IF(OR(T29=0,V29=1),"",T29-COUNTIF(V$15:V29,1))</f>
        <v/>
      </c>
      <c r="B29" s="27" t="n"/>
      <c r="C29" s="27" t="n"/>
      <c r="D29" s="28">
        <f>IF(T29=0,"",IF(V29=1,UPPER(INDEX('1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T29" s="31">
        <f>IF(15&lt;=SUM('1 Matériel'!$E$6:$E$29),15,0)</f>
        <v/>
      </c>
      <c r="U29" s="31">
        <f>IF(T29=0,"",COUNTIF('1 Matériel'!$F$6:$F$29,"&lt;"&amp;T29)+1)</f>
        <v/>
      </c>
      <c r="V29" s="31">
        <f>IF(U29="","",IF(INDEX('1 Matériel'!$B$6:$B$29,U29)="Oui",1,0))</f>
        <v/>
      </c>
    </row>
    <row r="30" hidden="1" ht="27" customHeight="1">
      <c r="A30" s="7">
        <f>IF(OR(T30=0,V30=1),"",T30-COUNTIF(V$15:V30,1))</f>
        <v/>
      </c>
      <c r="B30" s="27" t="n"/>
      <c r="C30" s="27" t="n"/>
      <c r="D30" s="28">
        <f>IF(T30=0,"",IF(V30=1,UPPER(INDEX('1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T30" s="31">
        <f>IF(16&lt;=SUM('1 Matériel'!$E$6:$E$29),16,0)</f>
        <v/>
      </c>
      <c r="U30" s="31">
        <f>IF(T30=0,"",COUNTIF('1 Matériel'!$F$6:$F$29,"&lt;"&amp;T30)+1)</f>
        <v/>
      </c>
      <c r="V30" s="31">
        <f>IF(U30="","",IF(INDEX('1 Matériel'!$B$6:$B$29,U30)="Oui",1,0))</f>
        <v/>
      </c>
    </row>
    <row r="31" hidden="1" ht="27" customHeight="1">
      <c r="A31" s="7">
        <f>IF(OR(T31=0,V31=1),"",T31-COUNTIF(V$15:V31,1))</f>
        <v/>
      </c>
      <c r="B31" s="27" t="n"/>
      <c r="C31" s="27" t="n"/>
      <c r="D31" s="28">
        <f>IF(T31=0,"",IF(V31=1,UPPER(INDEX('1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T31" s="31">
        <f>IF(17&lt;=SUM('1 Matériel'!$E$6:$E$29),17,0)</f>
        <v/>
      </c>
      <c r="U31" s="31">
        <f>IF(T31=0,"",COUNTIF('1 Matériel'!$F$6:$F$29,"&lt;"&amp;T31)+1)</f>
        <v/>
      </c>
      <c r="V31" s="31">
        <f>IF(U31="","",IF(INDEX('1 Matériel'!$B$6:$B$29,U31)="Oui",1,0))</f>
        <v/>
      </c>
    </row>
    <row r="32" hidden="1" ht="27" customHeight="1">
      <c r="A32" s="7">
        <f>IF(OR(T32=0,V32=1),"",T32-COUNTIF(V$15:V32,1))</f>
        <v/>
      </c>
      <c r="B32" s="27" t="n"/>
      <c r="C32" s="27" t="n"/>
      <c r="D32" s="28">
        <f>IF(T32=0,"",IF(V32=1,UPPER(INDEX('1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T32" s="31">
        <f>IF(18&lt;=SUM('1 Matériel'!$E$6:$E$29),18,0)</f>
        <v/>
      </c>
      <c r="U32" s="31">
        <f>IF(T32=0,"",COUNTIF('1 Matériel'!$F$6:$F$29,"&lt;"&amp;T32)+1)</f>
        <v/>
      </c>
      <c r="V32" s="31">
        <f>IF(U32="","",IF(INDEX('1 Matériel'!$B$6:$B$29,U32)="Oui",1,0))</f>
        <v/>
      </c>
    </row>
    <row r="33" hidden="1" ht="27" customHeight="1">
      <c r="A33" s="7">
        <f>IF(OR(T33=0,V33=1),"",T33-COUNTIF(V$15:V33,1))</f>
        <v/>
      </c>
      <c r="B33" s="27" t="n"/>
      <c r="C33" s="27" t="n"/>
      <c r="D33" s="28">
        <f>IF(T33=0,"",IF(V33=1,UPPER(INDEX('1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T33" s="31">
        <f>IF(19&lt;=SUM('1 Matériel'!$E$6:$E$29),19,0)</f>
        <v/>
      </c>
      <c r="U33" s="31">
        <f>IF(T33=0,"",COUNTIF('1 Matériel'!$F$6:$F$29,"&lt;"&amp;T33)+1)</f>
        <v/>
      </c>
      <c r="V33" s="31">
        <f>IF(U33="","",IF(INDEX('1 Matériel'!$B$6:$B$29,U33)="Oui",1,0))</f>
        <v/>
      </c>
    </row>
    <row r="34" hidden="1" ht="27" customHeight="1">
      <c r="A34" s="7">
        <f>IF(OR(T34=0,V34=1),"",T34-COUNTIF(V$15:V34,1))</f>
        <v/>
      </c>
      <c r="B34" s="27" t="n"/>
      <c r="C34" s="27" t="n"/>
      <c r="D34" s="28">
        <f>IF(T34=0,"",IF(V34=1,UPPER(INDEX('1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T34" s="31">
        <f>IF(20&lt;=SUM('1 Matériel'!$E$6:$E$29),20,0)</f>
        <v/>
      </c>
      <c r="U34" s="31">
        <f>IF(T34=0,"",COUNTIF('1 Matériel'!$F$6:$F$29,"&lt;"&amp;T34)+1)</f>
        <v/>
      </c>
      <c r="V34" s="31">
        <f>IF(U34="","",IF(INDEX('1 Matériel'!$B$6:$B$29,U34)="Oui",1,0))</f>
        <v/>
      </c>
    </row>
    <row r="35" hidden="1" ht="27" customHeight="1">
      <c r="A35" s="7">
        <f>IF(OR(T35=0,V35=1),"",T35-COUNTIF(V$15:V35,1))</f>
        <v/>
      </c>
      <c r="B35" s="27" t="n"/>
      <c r="C35" s="27" t="n"/>
      <c r="D35" s="28">
        <f>IF(T35=0,"",IF(V35=1,UPPER(INDEX('1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T35" s="31">
        <f>IF(21&lt;=SUM('1 Matériel'!$E$6:$E$29),21,0)</f>
        <v/>
      </c>
      <c r="U35" s="31">
        <f>IF(T35=0,"",COUNTIF('1 Matériel'!$F$6:$F$29,"&lt;"&amp;T35)+1)</f>
        <v/>
      </c>
      <c r="V35" s="31">
        <f>IF(U35="","",IF(INDEX('1 Matériel'!$B$6:$B$29,U35)="Oui",1,0))</f>
        <v/>
      </c>
    </row>
    <row r="36" hidden="1" ht="27" customHeight="1">
      <c r="A36" s="7">
        <f>IF(OR(T36=0,V36=1),"",T36-COUNTIF(V$15:V36,1))</f>
        <v/>
      </c>
      <c r="B36" s="27" t="n"/>
      <c r="C36" s="27" t="n"/>
      <c r="D36" s="28">
        <f>IF(T36=0,"",IF(V36=1,UPPER(INDEX('1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T36" s="31">
        <f>IF(22&lt;=SUM('1 Matériel'!$E$6:$E$29),22,0)</f>
        <v/>
      </c>
      <c r="U36" s="31">
        <f>IF(T36=0,"",COUNTIF('1 Matériel'!$F$6:$F$29,"&lt;"&amp;T36)+1)</f>
        <v/>
      </c>
      <c r="V36" s="31">
        <f>IF(U36="","",IF(INDEX('1 Matériel'!$B$6:$B$29,U36)="Oui",1,0))</f>
        <v/>
      </c>
    </row>
    <row r="37" hidden="1" ht="27" customHeight="1">
      <c r="A37" s="7">
        <f>IF(OR(T37=0,V37=1),"",T37-COUNTIF(V$15:V37,1))</f>
        <v/>
      </c>
      <c r="B37" s="27" t="n"/>
      <c r="C37" s="27" t="n"/>
      <c r="D37" s="28">
        <f>IF(T37=0,"",IF(V37=1,UPPER(INDEX('1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T37" s="31">
        <f>IF(23&lt;=SUM('1 Matériel'!$E$6:$E$29),23,0)</f>
        <v/>
      </c>
      <c r="U37" s="31">
        <f>IF(T37=0,"",COUNTIF('1 Matériel'!$F$6:$F$29,"&lt;"&amp;T37)+1)</f>
        <v/>
      </c>
      <c r="V37" s="31">
        <f>IF(U37="","",IF(INDEX('1 Matériel'!$B$6:$B$29,U37)="Oui",1,0))</f>
        <v/>
      </c>
    </row>
    <row r="38" hidden="1" ht="27" customHeight="1">
      <c r="A38" s="7">
        <f>IF(OR(T38=0,V38=1),"",T38-COUNTIF(V$15:V38,1))</f>
        <v/>
      </c>
      <c r="B38" s="27" t="n"/>
      <c r="C38" s="27" t="n"/>
      <c r="D38" s="28">
        <f>IF(T38=0,"",IF(V38=1,UPPER(INDEX('1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T38" s="31">
        <f>IF(24&lt;=SUM('1 Matériel'!$E$6:$E$29),24,0)</f>
        <v/>
      </c>
      <c r="U38" s="31">
        <f>IF(T38=0,"",COUNTIF('1 Matériel'!$F$6:$F$29,"&lt;"&amp;T38)+1)</f>
        <v/>
      </c>
      <c r="V38" s="31">
        <f>IF(U38="","",IF(INDEX('1 Matériel'!$B$6:$B$29,U38)="Oui",1,0))</f>
        <v/>
      </c>
    </row>
    <row r="39" hidden="1" ht="27" customHeight="1">
      <c r="A39" s="7">
        <f>IF(OR(T39=0,V39=1),"",T39-COUNTIF(V$15:V39,1))</f>
        <v/>
      </c>
      <c r="B39" s="27" t="n"/>
      <c r="C39" s="27" t="n"/>
      <c r="D39" s="28">
        <f>IF(T39=0,"",IF(V39=1,UPPER(INDEX('1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T39" s="31">
        <f>IF(25&lt;=SUM('1 Matériel'!$E$6:$E$29),25,0)</f>
        <v/>
      </c>
      <c r="U39" s="31">
        <f>IF(T39=0,"",COUNTIF('1 Matériel'!$F$6:$F$29,"&lt;"&amp;T39)+1)</f>
        <v/>
      </c>
      <c r="V39" s="31">
        <f>IF(U39="","",IF(INDEX('1 Matériel'!$B$6:$B$29,U39)="Oui",1,0))</f>
        <v/>
      </c>
    </row>
    <row r="40" hidden="1" ht="27" customHeight="1">
      <c r="A40" s="7">
        <f>IF(OR(T40=0,V40=1),"",T40-COUNTIF(V$15:V40,1))</f>
        <v/>
      </c>
      <c r="B40" s="27" t="n"/>
      <c r="C40" s="27" t="n"/>
      <c r="D40" s="28">
        <f>IF(T40=0,"",IF(V40=1,UPPER(INDEX('1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T40" s="31">
        <f>IF(26&lt;=SUM('1 Matériel'!$E$6:$E$29),26,0)</f>
        <v/>
      </c>
      <c r="U40" s="31">
        <f>IF(T40=0,"",COUNTIF('1 Matériel'!$F$6:$F$29,"&lt;"&amp;T40)+1)</f>
        <v/>
      </c>
      <c r="V40" s="31">
        <f>IF(U40="","",IF(INDEX('1 Matériel'!$B$6:$B$29,U40)="Oui",1,0))</f>
        <v/>
      </c>
    </row>
    <row r="41" hidden="1" ht="27" customHeight="1">
      <c r="A41" s="7">
        <f>IF(OR(T41=0,V41=1),"",T41-COUNTIF(V$15:V41,1))</f>
        <v/>
      </c>
      <c r="B41" s="27" t="n"/>
      <c r="C41" s="27" t="n"/>
      <c r="D41" s="28">
        <f>IF(T41=0,"",IF(V41=1,UPPER(INDEX('1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T41" s="31">
        <f>IF(27&lt;=SUM('1 Matériel'!$E$6:$E$29),27,0)</f>
        <v/>
      </c>
      <c r="U41" s="31">
        <f>IF(T41=0,"",COUNTIF('1 Matériel'!$F$6:$F$29,"&lt;"&amp;T41)+1)</f>
        <v/>
      </c>
      <c r="V41" s="31">
        <f>IF(U41="","",IF(INDEX('1 Matériel'!$B$6:$B$29,U41)="Oui",1,0))</f>
        <v/>
      </c>
    </row>
    <row r="42" hidden="1" ht="27" customHeight="1">
      <c r="A42" s="7">
        <f>IF(OR(T42=0,V42=1),"",T42-COUNTIF(V$15:V42,1))</f>
        <v/>
      </c>
      <c r="B42" s="27" t="n"/>
      <c r="C42" s="27" t="n"/>
      <c r="D42" s="28">
        <f>IF(T42=0,"",IF(V42=1,UPPER(INDEX('1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T42" s="31">
        <f>IF(28&lt;=SUM('1 Matériel'!$E$6:$E$29),28,0)</f>
        <v/>
      </c>
      <c r="U42" s="31">
        <f>IF(T42=0,"",COUNTIF('1 Matériel'!$F$6:$F$29,"&lt;"&amp;T42)+1)</f>
        <v/>
      </c>
      <c r="V42" s="31">
        <f>IF(U42="","",IF(INDEX('1 Matériel'!$B$6:$B$29,U42)="Oui",1,0))</f>
        <v/>
      </c>
    </row>
    <row r="43" hidden="1" ht="27" customHeight="1">
      <c r="A43" s="7">
        <f>IF(OR(T43=0,V43=1),"",T43-COUNTIF(V$15:V43,1))</f>
        <v/>
      </c>
      <c r="B43" s="27" t="n"/>
      <c r="C43" s="27" t="n"/>
      <c r="D43" s="28">
        <f>IF(T43=0,"",IF(V43=1,UPPER(INDEX('1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T43" s="31">
        <f>IF(29&lt;=SUM('1 Matériel'!$E$6:$E$29),29,0)</f>
        <v/>
      </c>
      <c r="U43" s="31">
        <f>IF(T43=0,"",COUNTIF('1 Matériel'!$F$6:$F$29,"&lt;"&amp;T43)+1)</f>
        <v/>
      </c>
      <c r="V43" s="31">
        <f>IF(U43="","",IF(INDEX('1 Matériel'!$B$6:$B$29,U43)="Oui",1,0))</f>
        <v/>
      </c>
    </row>
    <row r="44" hidden="1" ht="27" customHeight="1">
      <c r="A44" s="7">
        <f>IF(OR(T44=0,V44=1),"",T44-COUNTIF(V$15:V44,1))</f>
        <v/>
      </c>
      <c r="B44" s="27" t="n"/>
      <c r="C44" s="27" t="n"/>
      <c r="D44" s="28">
        <f>IF(T44=0,"",IF(V44=1,UPPER(INDEX('1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T44" s="31">
        <f>IF(30&lt;=SUM('1 Matériel'!$E$6:$E$29),30,0)</f>
        <v/>
      </c>
      <c r="U44" s="31">
        <f>IF(T44=0,"",COUNTIF('1 Matériel'!$F$6:$F$29,"&lt;"&amp;T44)+1)</f>
        <v/>
      </c>
      <c r="V44" s="31">
        <f>IF(U44="","",IF(INDEX('1 Matériel'!$B$6:$B$29,U44)="Oui",1,0))</f>
        <v/>
      </c>
    </row>
    <row r="45" hidden="1" ht="27" customHeight="1">
      <c r="A45" s="7">
        <f>IF(OR(T45=0,V45=1),"",T45-COUNTIF(V$15:V45,1))</f>
        <v/>
      </c>
      <c r="B45" s="27" t="n"/>
      <c r="C45" s="27" t="n"/>
      <c r="D45" s="28">
        <f>IF(T45=0,"",IF(V45=1,UPPER(INDEX('1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T45" s="31">
        <f>IF(31&lt;=SUM('1 Matériel'!$E$6:$E$29),31,0)</f>
        <v/>
      </c>
      <c r="U45" s="31">
        <f>IF(T45=0,"",COUNTIF('1 Matériel'!$F$6:$F$29,"&lt;"&amp;T45)+1)</f>
        <v/>
      </c>
      <c r="V45" s="31">
        <f>IF(U45="","",IF(INDEX('1 Matériel'!$B$6:$B$29,U45)="Oui",1,0))</f>
        <v/>
      </c>
    </row>
    <row r="46" hidden="1" ht="27" customHeight="1">
      <c r="A46" s="7">
        <f>IF(OR(T46=0,V46=1),"",T46-COUNTIF(V$15:V46,1))</f>
        <v/>
      </c>
      <c r="B46" s="27" t="n"/>
      <c r="C46" s="27" t="n"/>
      <c r="D46" s="28">
        <f>IF(T46=0,"",IF(V46=1,UPPER(INDEX('1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T46" s="31">
        <f>IF(32&lt;=SUM('1 Matériel'!$E$6:$E$29),32,0)</f>
        <v/>
      </c>
      <c r="U46" s="31">
        <f>IF(T46=0,"",COUNTIF('1 Matériel'!$F$6:$F$29,"&lt;"&amp;T46)+1)</f>
        <v/>
      </c>
      <c r="V46" s="31">
        <f>IF(U46="","",IF(INDEX('1 Matériel'!$B$6:$B$29,U46)="Oui",1,0))</f>
        <v/>
      </c>
    </row>
    <row r="47" hidden="1" ht="27" customHeight="1">
      <c r="A47" s="7">
        <f>IF(OR(T47=0,V47=1),"",T47-COUNTIF(V$15:V47,1))</f>
        <v/>
      </c>
      <c r="B47" s="27" t="n"/>
      <c r="C47" s="27" t="n"/>
      <c r="D47" s="28">
        <f>IF(T47=0,"",IF(V47=1,UPPER(INDEX('1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T47" s="31">
        <f>IF(33&lt;=SUM('1 Matériel'!$E$6:$E$29),33,0)</f>
        <v/>
      </c>
      <c r="U47" s="31">
        <f>IF(T47=0,"",COUNTIF('1 Matériel'!$F$6:$F$29,"&lt;"&amp;T47)+1)</f>
        <v/>
      </c>
      <c r="V47" s="31">
        <f>IF(U47="","",IF(INDEX('1 Matériel'!$B$6:$B$29,U47)="Oui",1,0))</f>
        <v/>
      </c>
    </row>
    <row r="48" hidden="1" ht="27" customHeight="1">
      <c r="A48" s="7">
        <f>IF(OR(T48=0,V48=1),"",T48-COUNTIF(V$15:V48,1))</f>
        <v/>
      </c>
      <c r="B48" s="27" t="n"/>
      <c r="C48" s="27" t="n"/>
      <c r="D48" s="28">
        <f>IF(T48=0,"",IF(V48=1,UPPER(INDEX('1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T48" s="31">
        <f>IF(34&lt;=SUM('1 Matériel'!$E$6:$E$29),34,0)</f>
        <v/>
      </c>
      <c r="U48" s="31">
        <f>IF(T48=0,"",COUNTIF('1 Matériel'!$F$6:$F$29,"&lt;"&amp;T48)+1)</f>
        <v/>
      </c>
      <c r="V48" s="31">
        <f>IF(U48="","",IF(INDEX('1 Matériel'!$B$6:$B$29,U48)="Oui",1,0))</f>
        <v/>
      </c>
    </row>
    <row r="49" hidden="1" ht="27" customHeight="1">
      <c r="A49" s="7">
        <f>IF(OR(T49=0,V49=1),"",T49-COUNTIF(V$15:V49,1))</f>
        <v/>
      </c>
      <c r="B49" s="27" t="n"/>
      <c r="C49" s="27" t="n"/>
      <c r="D49" s="28">
        <f>IF(T49=0,"",IF(V49=1,UPPER(INDEX('1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T49" s="31">
        <f>IF(35&lt;=SUM('1 Matériel'!$E$6:$E$29),35,0)</f>
        <v/>
      </c>
      <c r="U49" s="31">
        <f>IF(T49=0,"",COUNTIF('1 Matériel'!$F$6:$F$29,"&lt;"&amp;T49)+1)</f>
        <v/>
      </c>
      <c r="V49" s="31">
        <f>IF(U49="","",IF(INDEX('1 Matériel'!$B$6:$B$29,U49)="Oui",1,0))</f>
        <v/>
      </c>
    </row>
    <row r="50" hidden="1" ht="27" customHeight="1">
      <c r="A50" s="7">
        <f>IF(OR(T50=0,V50=1),"",T50-COUNTIF(V$15:V50,1))</f>
        <v/>
      </c>
      <c r="B50" s="27" t="n"/>
      <c r="C50" s="27" t="n"/>
      <c r="D50" s="28">
        <f>IF(T50=0,"",IF(V50=1,UPPER(INDEX('1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T50" s="31">
        <f>IF(36&lt;=SUM('1 Matériel'!$E$6:$E$29),36,0)</f>
        <v/>
      </c>
      <c r="U50" s="31">
        <f>IF(T50=0,"",COUNTIF('1 Matériel'!$F$6:$F$29,"&lt;"&amp;T50)+1)</f>
        <v/>
      </c>
      <c r="V50" s="31">
        <f>IF(U50="","",IF(INDEX('1 Matériel'!$B$6:$B$29,U50)="Oui",1,0))</f>
        <v/>
      </c>
    </row>
    <row r="51" hidden="1" ht="27" customHeight="1">
      <c r="A51" s="7">
        <f>IF(OR(T51=0,V51=1),"",T51-COUNTIF(V$15:V51,1))</f>
        <v/>
      </c>
      <c r="B51" s="27" t="n"/>
      <c r="C51" s="27" t="n"/>
      <c r="D51" s="28">
        <f>IF(T51=0,"",IF(V51=1,UPPER(INDEX('1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T51" s="31">
        <f>IF(37&lt;=SUM('1 Matériel'!$E$6:$E$29),37,0)</f>
        <v/>
      </c>
      <c r="U51" s="31">
        <f>IF(T51=0,"",COUNTIF('1 Matériel'!$F$6:$F$29,"&lt;"&amp;T51)+1)</f>
        <v/>
      </c>
      <c r="V51" s="31">
        <f>IF(U51="","",IF(INDEX('1 Matériel'!$B$6:$B$29,U51)="Oui",1,0))</f>
        <v/>
      </c>
    </row>
    <row r="52" hidden="1" ht="27" customHeight="1">
      <c r="A52" s="7">
        <f>IF(OR(T52=0,V52=1),"",T52-COUNTIF(V$15:V52,1))</f>
        <v/>
      </c>
      <c r="B52" s="27" t="n"/>
      <c r="C52" s="27" t="n"/>
      <c r="D52" s="28">
        <f>IF(T52=0,"",IF(V52=1,UPPER(INDEX('1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T52" s="31">
        <f>IF(38&lt;=SUM('1 Matériel'!$E$6:$E$29),38,0)</f>
        <v/>
      </c>
      <c r="U52" s="31">
        <f>IF(T52=0,"",COUNTIF('1 Matériel'!$F$6:$F$29,"&lt;"&amp;T52)+1)</f>
        <v/>
      </c>
      <c r="V52" s="31">
        <f>IF(U52="","",IF(INDEX('1 Matériel'!$B$6:$B$29,U52)="Oui",1,0))</f>
        <v/>
      </c>
    </row>
    <row r="53" hidden="1" ht="27" customHeight="1">
      <c r="A53" s="7">
        <f>IF(OR(T53=0,V53=1),"",T53-COUNTIF(V$15:V53,1))</f>
        <v/>
      </c>
      <c r="B53" s="27" t="n"/>
      <c r="C53" s="27" t="n"/>
      <c r="D53" s="28">
        <f>IF(T53=0,"",IF(V53=1,UPPER(INDEX('1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T53" s="31">
        <f>IF(39&lt;=SUM('1 Matériel'!$E$6:$E$29),39,0)</f>
        <v/>
      </c>
      <c r="U53" s="31">
        <f>IF(T53=0,"",COUNTIF('1 Matériel'!$F$6:$F$29,"&lt;"&amp;T53)+1)</f>
        <v/>
      </c>
      <c r="V53" s="31">
        <f>IF(U53="","",IF(INDEX('1 Matériel'!$B$6:$B$29,U53)="Oui",1,0))</f>
        <v/>
      </c>
    </row>
    <row r="54" hidden="1" ht="27" customHeight="1">
      <c r="A54" s="7">
        <f>IF(OR(T54=0,V54=1),"",T54-COUNTIF(V$15:V54,1))</f>
        <v/>
      </c>
      <c r="B54" s="27" t="n"/>
      <c r="C54" s="27" t="n"/>
      <c r="D54" s="28">
        <f>IF(T54=0,"",IF(V54=1,UPPER(INDEX('1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T54" s="31">
        <f>IF(40&lt;=SUM('1 Matériel'!$E$6:$E$29),40,0)</f>
        <v/>
      </c>
      <c r="U54" s="31">
        <f>IF(T54=0,"",COUNTIF('1 Matériel'!$F$6:$F$29,"&lt;"&amp;T54)+1)</f>
        <v/>
      </c>
      <c r="V54" s="31">
        <f>IF(U54="","",IF(INDEX('1 Matériel'!$B$6:$B$29,U54)="Oui",1,0))</f>
        <v/>
      </c>
    </row>
    <row r="55" ht="18" customHeight="1"/>
    <row r="56" ht="18" customHeight="1"/>
    <row r="57" ht="20" customHeight="1">
      <c r="A57" s="22" t="inlineStr">
        <is>
          <t>COLISAGE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 ht="26" customHeight="1">
      <c r="A58" s="25" t="inlineStr">
        <is>
          <t>Colis</t>
        </is>
      </c>
      <c r="B58" s="32" t="n"/>
      <c r="C58" s="25" t="inlineStr">
        <is>
          <t>Type de colisage</t>
        </is>
      </c>
      <c r="D58" s="25" t="inlineStr">
        <is>
          <t>Contenu (items de la liste)</t>
        </is>
      </c>
      <c r="E58" s="25" t="inlineStr">
        <is>
          <t>Longueur
(cm)</t>
        </is>
      </c>
      <c r="F58" s="25" t="inlineStr">
        <is>
          <t>Largeur
(cm)</t>
        </is>
      </c>
      <c r="G58" s="25" t="inlineStr">
        <is>
          <t>Hauteur
(cm)</t>
        </is>
      </c>
      <c r="H58" s="25" t="inlineStr">
        <is>
          <t>Poids
(kg)</t>
        </is>
      </c>
      <c r="I58" s="25" t="inlineStr">
        <is>
          <t>Volume
(m³)</t>
        </is>
      </c>
      <c r="J58" s="25" t="inlineStr">
        <is>
          <t>Remarques</t>
        </is>
      </c>
      <c r="K58" s="32" t="n"/>
    </row>
    <row r="59" ht="22" customHeight="1">
      <c r="A59" s="33" t="inlineStr">
        <is>
          <t>P1</t>
        </is>
      </c>
      <c r="B59" s="34" t="n"/>
      <c r="C59" s="35" t="n"/>
      <c r="D59" s="36">
        <f t="array" ref="D59">_xlfn.TEXTJOIN(", ",TRUE,IF($L$15:$L$54=$A59,$A$15:$A$54,""))</f>
        <v/>
      </c>
      <c r="E59" s="37" t="n"/>
      <c r="F59" s="37" t="n"/>
      <c r="G59" s="37" t="n"/>
      <c r="H59" s="38" t="n"/>
      <c r="I59" s="39">
        <f>IF(COUNT(E59:G59)=3,E59*F59*G59/1000000,"")</f>
        <v/>
      </c>
      <c r="J59" s="40" t="n"/>
      <c r="K59" s="34" t="n"/>
    </row>
    <row r="60" ht="22" customHeight="1">
      <c r="A60" s="33" t="inlineStr">
        <is>
          <t>P2</t>
        </is>
      </c>
      <c r="B60" s="34" t="n"/>
      <c r="C60" s="35" t="n"/>
      <c r="D60" s="36">
        <f t="array" ref="D60">_xlfn.TEXTJOIN(", ",TRUE,IF($L$15:$L$54=$A60,$A$15:$A$54,""))</f>
        <v/>
      </c>
      <c r="E60" s="37" t="n"/>
      <c r="F60" s="37" t="n"/>
      <c r="G60" s="37" t="n"/>
      <c r="H60" s="38" t="n"/>
      <c r="I60" s="39">
        <f>IF(COUNT(E60:G60)=3,E60*F60*G60/1000000,"")</f>
        <v/>
      </c>
      <c r="J60" s="40" t="n"/>
      <c r="K60" s="34" t="n"/>
    </row>
    <row r="61" ht="22" customHeight="1">
      <c r="A61" s="33" t="inlineStr">
        <is>
          <t>P3</t>
        </is>
      </c>
      <c r="B61" s="34" t="n"/>
      <c r="C61" s="35" t="n"/>
      <c r="D61" s="36">
        <f t="array" ref="D61">_xlfn.TEXTJOIN(", ",TRUE,IF($L$15:$L$54=$A61,$A$15:$A$54,""))</f>
        <v/>
      </c>
      <c r="E61" s="37" t="n"/>
      <c r="F61" s="37" t="n"/>
      <c r="G61" s="37" t="n"/>
      <c r="H61" s="38" t="n"/>
      <c r="I61" s="39">
        <f>IF(COUNT(E61:G61)=3,E61*F61*G61/1000000,"")</f>
        <v/>
      </c>
      <c r="J61" s="40" t="n"/>
      <c r="K61" s="34" t="n"/>
    </row>
    <row r="62" ht="22" customHeight="1">
      <c r="A62" s="33" t="inlineStr">
        <is>
          <t>P4</t>
        </is>
      </c>
      <c r="B62" s="34" t="n"/>
      <c r="C62" s="35" t="n"/>
      <c r="D62" s="36">
        <f t="array" ref="D62">_xlfn.TEXTJOIN(", ",TRUE,IF($L$15:$L$54=$A62,$A$15:$A$54,""))</f>
        <v/>
      </c>
      <c r="E62" s="37" t="n"/>
      <c r="F62" s="37" t="n"/>
      <c r="G62" s="37" t="n"/>
      <c r="H62" s="38" t="n"/>
      <c r="I62" s="39">
        <f>IF(COUNT(E62:G62)=3,E62*F62*G62/1000000,"")</f>
        <v/>
      </c>
      <c r="J62" s="40" t="n"/>
      <c r="K62" s="34" t="n"/>
    </row>
    <row r="63" ht="22" customHeight="1">
      <c r="A63" s="33" t="inlineStr">
        <is>
          <t>P5</t>
        </is>
      </c>
      <c r="B63" s="34" t="n"/>
      <c r="C63" s="35" t="n"/>
      <c r="D63" s="36">
        <f t="array" ref="D63">_xlfn.TEXTJOIN(", ",TRUE,IF($L$15:$L$54=$A63,$A$15:$A$54,""))</f>
        <v/>
      </c>
      <c r="E63" s="37" t="n"/>
      <c r="F63" s="37" t="n"/>
      <c r="G63" s="37" t="n"/>
      <c r="H63" s="38" t="n"/>
      <c r="I63" s="39">
        <f>IF(COUNT(E63:G63)=3,E63*F63*G63/1000000,"")</f>
        <v/>
      </c>
      <c r="J63" s="40" t="n"/>
      <c r="K63" s="34" t="n"/>
    </row>
    <row r="64" ht="22" customHeight="1">
      <c r="A64" s="33" t="inlineStr">
        <is>
          <t>P6</t>
        </is>
      </c>
      <c r="B64" s="34" t="n"/>
      <c r="C64" s="35" t="n"/>
      <c r="D64" s="36">
        <f t="array" ref="D64">_xlfn.TEXTJOIN(", ",TRUE,IF($L$15:$L$54=$A64,$A$15:$A$54,""))</f>
        <v/>
      </c>
      <c r="E64" s="37" t="n"/>
      <c r="F64" s="37" t="n"/>
      <c r="G64" s="37" t="n"/>
      <c r="H64" s="38" t="n"/>
      <c r="I64" s="39">
        <f>IF(COUNT(E64:G64)=3,E64*F64*G64/1000000,"")</f>
        <v/>
      </c>
      <c r="J64" s="40" t="n"/>
      <c r="K64" s="34" t="n"/>
    </row>
    <row r="65" ht="22" customHeight="1">
      <c r="A65" s="33" t="inlineStr">
        <is>
          <t>P7</t>
        </is>
      </c>
      <c r="B65" s="34" t="n"/>
      <c r="C65" s="35" t="n"/>
      <c r="D65" s="36">
        <f t="array" ref="D65">_xlfn.TEXTJOIN(", ",TRUE,IF($L$15:$L$54=$A65,$A$15:$A$54,""))</f>
        <v/>
      </c>
      <c r="E65" s="37" t="n"/>
      <c r="F65" s="37" t="n"/>
      <c r="G65" s="37" t="n"/>
      <c r="H65" s="38" t="n"/>
      <c r="I65" s="39">
        <f>IF(COUNT(E65:G65)=3,E65*F65*G65/1000000,"")</f>
        <v/>
      </c>
      <c r="J65" s="40" t="n"/>
      <c r="K65" s="34" t="n"/>
    </row>
    <row r="66" ht="22" customHeight="1">
      <c r="A66" s="33" t="inlineStr">
        <is>
          <t>P8</t>
        </is>
      </c>
      <c r="B66" s="34" t="n"/>
      <c r="C66" s="35" t="n"/>
      <c r="D66" s="36">
        <f t="array" ref="D66">_xlfn.TEXTJOIN(", ",TRUE,IF($L$15:$L$54=$A66,$A$15:$A$54,""))</f>
        <v/>
      </c>
      <c r="E66" s="37" t="n"/>
      <c r="F66" s="37" t="n"/>
      <c r="G66" s="37" t="n"/>
      <c r="H66" s="38" t="n"/>
      <c r="I66" s="39">
        <f>IF(COUNT(E66:G66)=3,E66*F66*G66/1000000,"")</f>
        <v/>
      </c>
      <c r="J66" s="40" t="n"/>
      <c r="K66" s="34" t="n"/>
    </row>
    <row r="67" ht="22" customHeight="1">
      <c r="A67" s="33" t="inlineStr">
        <is>
          <t>P9</t>
        </is>
      </c>
      <c r="B67" s="34" t="n"/>
      <c r="C67" s="35" t="n"/>
      <c r="D67" s="36">
        <f t="array" ref="D67">_xlfn.TEXTJOIN(", ",TRUE,IF($L$15:$L$54=$A67,$A$15:$A$54,""))</f>
        <v/>
      </c>
      <c r="E67" s="37" t="n"/>
      <c r="F67" s="37" t="n"/>
      <c r="G67" s="37" t="n"/>
      <c r="H67" s="38" t="n"/>
      <c r="I67" s="39">
        <f>IF(COUNT(E67:G67)=3,E67*F67*G67/1000000,"")</f>
        <v/>
      </c>
      <c r="J67" s="40" t="n"/>
      <c r="K67" s="34" t="n"/>
    </row>
    <row r="68" ht="22" customHeight="1">
      <c r="A68" s="33" t="inlineStr">
        <is>
          <t>P10</t>
        </is>
      </c>
      <c r="B68" s="34" t="n"/>
      <c r="C68" s="35" t="n"/>
      <c r="D68" s="36">
        <f t="array" ref="D68">_xlfn.TEXTJOIN(", ",TRUE,IF($L$15:$L$54=$A68,$A$15:$A$54,""))</f>
        <v/>
      </c>
      <c r="E68" s="37" t="n"/>
      <c r="F68" s="37" t="n"/>
      <c r="G68" s="37" t="n"/>
      <c r="H68" s="38" t="n"/>
      <c r="I68" s="39">
        <f>IF(COUNT(E68:G68)=3,E68*F68*G68/1000000,"")</f>
        <v/>
      </c>
      <c r="J68" s="40" t="n"/>
      <c r="K68" s="34" t="n"/>
    </row>
    <row r="69" ht="22" customHeight="1">
      <c r="A69" s="33" t="inlineStr">
        <is>
          <t>Vrac</t>
        </is>
      </c>
      <c r="B69" s="34" t="n"/>
      <c r="C69" s="41" t="inlineStr">
        <is>
          <t>Vrac</t>
        </is>
      </c>
      <c r="D69" s="36">
        <f t="array" ref="D69">_xlfn.TEXTJOIN(", ",TRUE,IF($L$15:$L$54=$A69,$A$15:$A$54,""))</f>
        <v/>
      </c>
      <c r="E69" s="34" t="n"/>
      <c r="F69" s="34" t="n"/>
      <c r="G69" s="34" t="n"/>
      <c r="H69" s="38" t="n"/>
      <c r="I69" s="34" t="n"/>
      <c r="J69" s="34" t="n"/>
      <c r="K69" s="34" t="n"/>
    </row>
    <row r="70" ht="22" customHeight="1">
      <c r="A70" s="42">
        <f>"TOTAL  ·  "&amp;COUNTA(C59:C68)&amp;" colis  ·  "&amp;COUNT($A$15:$A$54)&amp;" outil(s)"</f>
        <v/>
      </c>
      <c r="B70" s="43" t="n"/>
      <c r="C70" s="43" t="n"/>
      <c r="D70" s="43" t="n"/>
      <c r="E70" s="43" t="n"/>
      <c r="F70" s="43" t="n"/>
      <c r="G70" s="43" t="n"/>
      <c r="H70" s="44">
        <f>SUM(H59:H69)</f>
        <v/>
      </c>
      <c r="I70" s="45">
        <f>SUM(I59:I68)</f>
        <v/>
      </c>
      <c r="J70" s="46" t="n"/>
      <c r="K70" s="46" t="n"/>
    </row>
    <row r="72" ht="26" customHeight="1">
      <c r="A72" s="47" t="inlineStr">
        <is>
          <t>NOMBRE DE SERRAGES EFFECTUÉS</t>
        </is>
      </c>
      <c r="B72" s="34" t="n"/>
      <c r="C72" s="34" t="n"/>
      <c r="D72" s="34" t="n"/>
      <c r="E72" s="37" t="n"/>
      <c r="F72" s="40" t="n"/>
    </row>
  </sheetData>
  <autoFilter ref="A14:V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filterColumn colId="12" hiddenButton="1" showButton="0"/>
    <filterColumn colId="13" hiddenButton="1" showButton="0"/>
    <filterColumn colId="14" hiddenButton="1" showButton="0"/>
    <filterColumn colId="15" hiddenButton="1" showButton="0"/>
    <filterColumn colId="16" hiddenButton="1" showButton="0"/>
    <filterColumn colId="17" hiddenButton="1" showButton="0"/>
    <filterColumn colId="18" hiddenButton="1" showButton="0"/>
    <filterColumn colId="19" hiddenButton="1" showButton="0">
      <customFilters>
        <customFilter val="0" operator="greaterThan"/>
      </customFilters>
    </filterColumn>
    <filterColumn colId="20" hiddenButton="1" showButton="0"/>
    <filterColumn colId="21" hiddenButton="1" showButton="0"/>
  </autoFilter>
  <mergeCells count="56">
    <mergeCell ref="J6:L6"/>
    <mergeCell ref="J64:K64"/>
    <mergeCell ref="A64:B64"/>
    <mergeCell ref="A59:B59"/>
    <mergeCell ref="G6:I6"/>
    <mergeCell ref="A60:B60"/>
    <mergeCell ref="A67:B67"/>
    <mergeCell ref="J67:K67"/>
    <mergeCell ref="A72:D72"/>
    <mergeCell ref="J59:K59"/>
    <mergeCell ref="D7:F7"/>
    <mergeCell ref="A10:D10"/>
    <mergeCell ref="J13:K13"/>
    <mergeCell ref="A61:B61"/>
    <mergeCell ref="A13:D13"/>
    <mergeCell ref="A12:L12"/>
    <mergeCell ref="J60:K60"/>
    <mergeCell ref="J7:L7"/>
    <mergeCell ref="A57:L57"/>
    <mergeCell ref="A69:B69"/>
    <mergeCell ref="F1:L1"/>
    <mergeCell ref="A9:D9"/>
    <mergeCell ref="J68:K68"/>
    <mergeCell ref="A5:C5"/>
    <mergeCell ref="G5:I5"/>
    <mergeCell ref="A65:B65"/>
    <mergeCell ref="A8:C8"/>
    <mergeCell ref="E10:I10"/>
    <mergeCell ref="E13:I13"/>
    <mergeCell ref="A66:B66"/>
    <mergeCell ref="J65:K65"/>
    <mergeCell ref="D8:F8"/>
    <mergeCell ref="J58:K58"/>
    <mergeCell ref="E9:I9"/>
    <mergeCell ref="D5:F5"/>
    <mergeCell ref="A70:G70"/>
    <mergeCell ref="J63:K63"/>
    <mergeCell ref="J8:L8"/>
    <mergeCell ref="J66:K66"/>
    <mergeCell ref="J5:L5"/>
    <mergeCell ref="A62:B62"/>
    <mergeCell ref="J10:L10"/>
    <mergeCell ref="A11:L11"/>
    <mergeCell ref="A68:B68"/>
    <mergeCell ref="A63:B63"/>
    <mergeCell ref="E72:F72"/>
    <mergeCell ref="A6:C6"/>
    <mergeCell ref="D6:F6"/>
    <mergeCell ref="J62:K62"/>
    <mergeCell ref="F2:L2"/>
    <mergeCell ref="G8:I8"/>
    <mergeCell ref="J61:K61"/>
    <mergeCell ref="J9:L9"/>
    <mergeCell ref="A7:C7"/>
    <mergeCell ref="G7:I7"/>
    <mergeCell ref="A58:B58"/>
  </mergeCells>
  <conditionalFormatting sqref="A15:L54">
    <cfRule type="expression" priority="1" dxfId="1" stopIfTrue="1">
      <formula>$V15=1</formula>
    </cfRule>
    <cfRule type="expression" priority="2" dxfId="2">
      <formula>$T15&gt;0</formula>
    </cfRule>
  </conditionalFormatting>
  <dataValidations count="13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L15:L54" showDropDown="0" showInputMessage="0" showErrorMessage="1" allowBlank="1" errorTitle="Valeur" error="Choisir une valeur de la liste." type="list" errorStyle="warning">
      <formula1>=Listes!$K$2:$K$12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3" right="0.3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48" t="inlineStr">
        <is>
          <t>Contact Enedril</t>
        </is>
      </c>
      <c r="B1" s="48" t="inlineStr">
        <is>
          <t>E-mail</t>
        </is>
      </c>
      <c r="D1" s="48" t="inlineStr">
        <is>
          <t>Incoterm</t>
        </is>
      </c>
      <c r="E1" s="48" t="inlineStr">
        <is>
          <t>Validité</t>
        </is>
      </c>
      <c r="F1" s="48" t="inlineStr">
        <is>
          <t>Règlement</t>
        </is>
      </c>
      <c r="G1" s="48" t="inlineStr">
        <is>
          <t>Oui / Non</t>
        </is>
      </c>
      <c r="H1" s="49" t="n">
        <v>1</v>
      </c>
      <c r="J1" s="48" t="inlineStr">
        <is>
          <t>Support de colisage</t>
        </is>
      </c>
      <c r="K1" s="48" t="inlineStr">
        <is>
          <t>N° de colis</t>
        </is>
      </c>
      <c r="L1" s="48" t="inlineStr">
        <is>
          <t>Unité</t>
        </is>
      </c>
      <c r="M1" s="48" t="inlineStr">
        <is>
          <t>Mode transport</t>
        </is>
      </c>
      <c r="N1" s="48" t="inlineStr">
        <is>
          <t>Mode forfait</t>
        </is>
      </c>
      <c r="P1" s="48" t="inlineStr">
        <is>
          <t>Statut</t>
        </is>
      </c>
      <c r="Q1" s="48" t="inlineStr">
        <is>
          <t>Test / Taille</t>
        </is>
      </c>
    </row>
    <row r="2">
      <c r="A2" s="50" t="inlineStr">
        <is>
          <t>Fabien JACQUOT</t>
        </is>
      </c>
      <c r="B2" s="50" t="inlineStr">
        <is>
          <t>fjacquot@enedril.fr</t>
        </is>
      </c>
      <c r="D2" s="50" t="inlineStr">
        <is>
          <t>EXW Lons</t>
        </is>
      </c>
      <c r="E2" s="50" t="inlineStr">
        <is>
          <t>15 jours / 15 days</t>
        </is>
      </c>
      <c r="F2" s="50" t="inlineStr">
        <is>
          <t>30 jours date de facture / 30 days invoice date</t>
        </is>
      </c>
      <c r="G2" s="50" t="inlineStr">
        <is>
          <t>Oui</t>
        </is>
      </c>
      <c r="H2" s="51" t="inlineStr">
        <is>
          <t>← langue du devis : 1 = français, 2 = anglais</t>
        </is>
      </c>
      <c r="J2" s="50" t="inlineStr">
        <is>
          <t>Palette</t>
        </is>
      </c>
      <c r="K2" s="50" t="inlineStr">
        <is>
          <t>P1</t>
        </is>
      </c>
      <c r="L2" s="50" t="inlineStr">
        <is>
          <t>forfait</t>
        </is>
      </c>
      <c r="M2" s="50" t="inlineStr">
        <is>
          <t>Coût réel +15 %</t>
        </is>
      </c>
      <c r="N2" s="50" t="inlineStr">
        <is>
          <t>Forfait calculé (S + O + UC)</t>
        </is>
      </c>
      <c r="P2" s="50" t="inlineStr">
        <is>
          <t>Oui</t>
        </is>
      </c>
      <c r="Q2" s="50" t="inlineStr">
        <is>
          <t>Taille OK</t>
        </is>
      </c>
    </row>
    <row r="3">
      <c r="A3" s="50" t="inlineStr">
        <is>
          <t>Alexis ESTINES</t>
        </is>
      </c>
      <c r="B3" s="50" t="inlineStr">
        <is>
          <t>aestines@enedril.fr</t>
        </is>
      </c>
      <c r="D3" s="50" t="inlineStr">
        <is>
          <t>FCA Lons</t>
        </is>
      </c>
      <c r="E3" s="50" t="inlineStr">
        <is>
          <t>30 jours / 30 days</t>
        </is>
      </c>
      <c r="F3" s="50" t="inlineStr">
        <is>
          <t>30 jours fin de mois / 30 days end of month</t>
        </is>
      </c>
      <c r="G3" s="50" t="inlineStr">
        <is>
          <t>Non</t>
        </is>
      </c>
      <c r="J3" s="50" t="inlineStr">
        <is>
          <t>Fishing basket</t>
        </is>
      </c>
      <c r="K3" s="50" t="inlineStr">
        <is>
          <t>P2</t>
        </is>
      </c>
      <c r="L3" s="50" t="inlineStr">
        <is>
          <t>€/jour</t>
        </is>
      </c>
      <c r="M3" s="50" t="inlineStr">
        <is>
          <t>Forfait</t>
        </is>
      </c>
      <c r="N3" s="50" t="inlineStr">
        <is>
          <t>Forfait global</t>
        </is>
      </c>
      <c r="P3" s="50" t="inlineStr">
        <is>
          <t>En cours</t>
        </is>
      </c>
      <c r="Q3" s="50" t="inlineStr">
        <is>
          <t>Test OK</t>
        </is>
      </c>
    </row>
    <row r="4">
      <c r="A4" s="50" t="inlineStr">
        <is>
          <t>Paul HYNDERICK</t>
        </is>
      </c>
      <c r="B4" s="50" t="inlineStr">
        <is>
          <t>phynderick@enedril.fr</t>
        </is>
      </c>
      <c r="D4" s="50" t="inlineStr">
        <is>
          <t>DAP</t>
        </is>
      </c>
      <c r="E4" s="50" t="inlineStr">
        <is>
          <t>60 jours / 60 days</t>
        </is>
      </c>
      <c r="F4" s="50" t="inlineStr">
        <is>
          <t>45 jours fin de mois / 45 days end of month</t>
        </is>
      </c>
      <c r="J4" s="50" t="inlineStr">
        <is>
          <t>Caisse</t>
        </is>
      </c>
      <c r="K4" s="50" t="inlineStr">
        <is>
          <t>P3</t>
        </is>
      </c>
      <c r="L4" s="50" t="inlineStr">
        <is>
          <t>€/jour/pers</t>
        </is>
      </c>
      <c r="N4" s="50" t="inlineStr">
        <is>
          <t>Forfait par jour</t>
        </is>
      </c>
      <c r="Q4" s="50" t="inlineStr">
        <is>
          <t>Taille + test OK</t>
        </is>
      </c>
    </row>
    <row r="5">
      <c r="A5" s="50" t="inlineStr">
        <is>
          <t>Céline CARDONA</t>
        </is>
      </c>
      <c r="B5" s="50" t="inlineStr">
        <is>
          <t>ccardona@enedril.fr</t>
        </is>
      </c>
      <c r="D5" s="50" t="inlineStr">
        <is>
          <t>DDP</t>
        </is>
      </c>
      <c r="E5" s="50" t="inlineStr">
        <is>
          <t>90 jours / 90 days</t>
        </is>
      </c>
      <c r="F5" s="50" t="inlineStr">
        <is>
          <t>À la commande / Upon order</t>
        </is>
      </c>
      <c r="J5" s="50" t="inlineStr">
        <is>
          <t>Vrac</t>
        </is>
      </c>
      <c r="K5" s="50" t="inlineStr">
        <is>
          <t>P4</t>
        </is>
      </c>
      <c r="L5" s="50" t="inlineStr">
        <is>
          <t>€/pers</t>
        </is>
      </c>
      <c r="Q5" s="50" t="inlineStr">
        <is>
          <t>À contrôler</t>
        </is>
      </c>
    </row>
    <row r="6">
      <c r="A6" s="50" t="inlineStr">
        <is>
          <t>Koen MONDELAERS</t>
        </is>
      </c>
      <c r="B6" s="50" t="inlineStr">
        <is>
          <t>kmondelaers@enedril.fr</t>
        </is>
      </c>
      <c r="D6" s="50" t="inlineStr">
        <is>
          <t>FOB</t>
        </is>
      </c>
      <c r="K6" s="50" t="inlineStr">
        <is>
          <t>P5</t>
        </is>
      </c>
      <c r="L6" s="50" t="inlineStr">
        <is>
          <t>€/unité</t>
        </is>
      </c>
    </row>
    <row r="7">
      <c r="A7" s="50" t="inlineStr">
        <is>
          <t>Luigi LIBERATORE</t>
        </is>
      </c>
      <c r="B7" s="50" t="inlineStr">
        <is>
          <t>lliberatore@enedril.fr</t>
        </is>
      </c>
      <c r="K7" s="50" t="inlineStr">
        <is>
          <t>P6</t>
        </is>
      </c>
    </row>
    <row r="8">
      <c r="K8" s="50" t="inlineStr">
        <is>
          <t>P7</t>
        </is>
      </c>
    </row>
    <row r="9">
      <c r="K9" s="50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0" t="inlineStr">
        <is>
          <t>P9</t>
        </is>
      </c>
    </row>
    <row r="11">
      <c r="K11" s="50" t="inlineStr">
        <is>
          <t>P10</t>
        </is>
      </c>
    </row>
    <row r="12">
      <c r="K12" s="50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2026-10-28T14:31:27Z</dcterms:created>
  <dcterms:modified xmlns:dcterms="http://purl.org/dc/terms/" xmlns:xsi="http://www.w3.org/2001/XMLSchema-instance" xsi:type="dcterms:W3CDTF">2026-10-28T14:31:27Z</dcterms:modified>
</cp:coreProperties>
</file>