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2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bottom" indent="1"/>
    </xf>
    <xf numFmtId="0" fontId="15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5" fillId="6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center" indent="1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8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1" fillId="0" borderId="0" applyAlignment="1" pivotButton="0" quotePrefix="0" xfId="0">
      <alignment vertical="center" wrapText="1" indent="1"/>
    </xf>
    <xf numFmtId="166" fontId="22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167" fontId="22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vertical="center" indent="1"/>
    </xf>
    <xf numFmtId="0" fontId="0" fillId="7" borderId="0" pivotButton="0" quotePrefix="0" xfId="0"/>
    <xf numFmtId="0" fontId="2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5" fillId="0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/>
    </xf>
    <xf numFmtId="169" fontId="26" fillId="2" borderId="0" applyAlignment="1" pivotButton="0" quotePrefix="0" xfId="0">
      <alignment horizontal="center" vertical="center"/>
    </xf>
    <xf numFmtId="170" fontId="26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7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1" t="n"/>
    </row>
    <row r="2" ht="20" customHeight="1">
      <c r="A2" s="1" t="n"/>
      <c r="B2" s="3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4" t="n"/>
      <c r="B3" s="4" t="n"/>
      <c r="C3" s="4" t="n"/>
      <c r="D3" s="4" t="n"/>
      <c r="E3" s="4" t="n"/>
      <c r="F3" s="4" t="n"/>
    </row>
    <row r="5" ht="30" customHeight="1">
      <c r="A5" s="5" t="inlineStr">
        <is>
          <t>#</t>
        </is>
      </c>
      <c r="B5" s="5" t="inlineStr">
        <is>
          <t>Bannière ?</t>
        </is>
      </c>
      <c r="C5" s="5" t="inlineStr">
        <is>
          <t>Description  (ou titre de bannière)</t>
        </is>
      </c>
      <c r="D5" s="5" t="inlineStr">
        <is>
          <t>Qté</t>
        </is>
      </c>
      <c r="E5" s="6" t="inlineStr">
        <is>
          <t>Lignes</t>
        </is>
      </c>
      <c r="F5" s="6" t="inlineStr">
        <is>
          <t>Cumul</t>
        </is>
      </c>
    </row>
    <row r="6" ht="21" customHeight="1">
      <c r="A6" s="7">
        <f>IF(AND(E6&gt;0,B6&lt;&gt;"Oui"),COUNTIFS(E$6:E6,"&gt;0",B$6:B6,"&lt;&gt;Oui"),"")</f>
        <v/>
      </c>
      <c r="B6" s="8" t="n"/>
      <c r="C6" s="9" t="n"/>
      <c r="D6" s="10" t="n"/>
      <c r="E6" s="11">
        <f>IF($C6="",0,IF($B6="Oui",1,IF(N($D6)&gt;0,INT($D6),1)))</f>
        <v/>
      </c>
      <c r="F6" s="12">
        <f>SUM(E$6:E6)</f>
        <v/>
      </c>
    </row>
    <row r="7" ht="21" customHeight="1">
      <c r="A7" s="7">
        <f>IF(AND(E7&gt;0,B7&lt;&gt;"Oui"),COUNTIFS(E$6:E7,"&gt;0",B$6:B7,"&lt;&gt;Oui"),"")</f>
        <v/>
      </c>
      <c r="B7" s="8" t="n"/>
      <c r="C7" s="9" t="n"/>
      <c r="D7" s="10" t="n"/>
      <c r="E7" s="11">
        <f>IF($C7="",0,IF($B7="Oui",1,IF(N($D7)&gt;0,INT($D7),1)))</f>
        <v/>
      </c>
      <c r="F7" s="12">
        <f>SUM(E$6:E7)</f>
        <v/>
      </c>
    </row>
    <row r="8" ht="21" customHeight="1">
      <c r="A8" s="7">
        <f>IF(AND(E8&gt;0,B8&lt;&gt;"Oui"),COUNTIFS(E$6:E8,"&gt;0",B$6:B8,"&lt;&gt;Oui"),"")</f>
        <v/>
      </c>
      <c r="B8" s="8" t="n"/>
      <c r="C8" s="9" t="n"/>
      <c r="D8" s="10" t="n"/>
      <c r="E8" s="11">
        <f>IF($C8="",0,IF($B8="Oui",1,IF(N($D8)&gt;0,INT($D8),1)))</f>
        <v/>
      </c>
      <c r="F8" s="12">
        <f>SUM(E$6:E8)</f>
        <v/>
      </c>
    </row>
    <row r="9" ht="21" customHeight="1">
      <c r="A9" s="7">
        <f>IF(AND(E9&gt;0,B9&lt;&gt;"Oui"),COUNTIFS(E$6:E9,"&gt;0",B$6:B9,"&lt;&gt;Oui"),"")</f>
        <v/>
      </c>
      <c r="B9" s="8" t="n"/>
      <c r="C9" s="9" t="n"/>
      <c r="D9" s="10" t="n"/>
      <c r="E9" s="11">
        <f>IF($C9="",0,IF($B9="Oui",1,IF(N($D9)&gt;0,INT($D9),1)))</f>
        <v/>
      </c>
      <c r="F9" s="12">
        <f>SUM(E$6:E9)</f>
        <v/>
      </c>
    </row>
    <row r="10" ht="21" customHeight="1">
      <c r="A10" s="7">
        <f>IF(AND(E10&gt;0,B10&lt;&gt;"Oui"),COUNTIFS(E$6:E10,"&gt;0",B$6:B10,"&lt;&gt;Oui"),"")</f>
        <v/>
      </c>
      <c r="B10" s="8" t="n"/>
      <c r="C10" s="9" t="n"/>
      <c r="D10" s="10" t="n"/>
      <c r="E10" s="11">
        <f>IF($C10="",0,IF($B10="Oui",1,IF(N($D10)&gt;0,INT($D10),1)))</f>
        <v/>
      </c>
      <c r="F10" s="12">
        <f>SUM(E$6:E10)</f>
        <v/>
      </c>
    </row>
    <row r="11" ht="21" customHeight="1">
      <c r="A11" s="7">
        <f>IF(AND(E11&gt;0,B11&lt;&gt;"Oui"),COUNTIFS(E$6:E11,"&gt;0",B$6:B11,"&lt;&gt;Oui"),"")</f>
        <v/>
      </c>
      <c r="B11" s="8" t="n"/>
      <c r="C11" s="9" t="n"/>
      <c r="D11" s="10" t="n"/>
      <c r="E11" s="11">
        <f>IF($C11="",0,IF($B11="Oui",1,IF(N($D11)&gt;0,INT($D11),1)))</f>
        <v/>
      </c>
      <c r="F11" s="12">
        <f>SUM(E$6:E11)</f>
        <v/>
      </c>
    </row>
    <row r="12" ht="21" customHeight="1">
      <c r="A12" s="7">
        <f>IF(AND(E12&gt;0,B12&lt;&gt;"Oui"),COUNTIFS(E$6:E12,"&gt;0",B$6:B12,"&lt;&gt;Oui"),"")</f>
        <v/>
      </c>
      <c r="B12" s="8" t="n"/>
      <c r="C12" s="9" t="n"/>
      <c r="D12" s="10" t="n"/>
      <c r="E12" s="11">
        <f>IF($C12="",0,IF($B12="Oui",1,IF(N($D12)&gt;0,INT($D12),1)))</f>
        <v/>
      </c>
      <c r="F12" s="12">
        <f>SUM(E$6:E12)</f>
        <v/>
      </c>
    </row>
    <row r="13" ht="21" customHeight="1">
      <c r="A13" s="7">
        <f>IF(AND(E13&gt;0,B13&lt;&gt;"Oui"),COUNTIFS(E$6:E13,"&gt;0",B$6:B13,"&lt;&gt;Oui"),"")</f>
        <v/>
      </c>
      <c r="B13" s="8" t="n"/>
      <c r="C13" s="9" t="n"/>
      <c r="D13" s="10" t="n"/>
      <c r="E13" s="11">
        <f>IF($C13="",0,IF($B13="Oui",1,IF(N($D13)&gt;0,INT($D13),1)))</f>
        <v/>
      </c>
      <c r="F13" s="12">
        <f>SUM(E$6:E13)</f>
        <v/>
      </c>
    </row>
    <row r="14" ht="21" customHeight="1">
      <c r="A14" s="7">
        <f>IF(AND(E14&gt;0,B14&lt;&gt;"Oui"),COUNTIFS(E$6:E14,"&gt;0",B$6:B14,"&lt;&gt;Oui"),"")</f>
        <v/>
      </c>
      <c r="B14" s="8" t="n"/>
      <c r="C14" s="9" t="n"/>
      <c r="D14" s="10" t="n"/>
      <c r="E14" s="11">
        <f>IF($C14="",0,IF($B14="Oui",1,IF(N($D14)&gt;0,INT($D14),1)))</f>
        <v/>
      </c>
      <c r="F14" s="12">
        <f>SUM(E$6:E14)</f>
        <v/>
      </c>
    </row>
    <row r="15" ht="21" customHeight="1">
      <c r="A15" s="7">
        <f>IF(AND(E15&gt;0,B15&lt;&gt;"Oui"),COUNTIFS(E$6:E15,"&gt;0",B$6:B15,"&lt;&gt;Oui"),"")</f>
        <v/>
      </c>
      <c r="B15" s="8" t="n"/>
      <c r="C15" s="9" t="n"/>
      <c r="D15" s="10" t="n"/>
      <c r="E15" s="11">
        <f>IF($C15="",0,IF($B15="Oui",1,IF(N($D15)&gt;0,INT($D15),1)))</f>
        <v/>
      </c>
      <c r="F15" s="12">
        <f>SUM(E$6:E15)</f>
        <v/>
      </c>
    </row>
    <row r="16" ht="21" customHeight="1">
      <c r="A16" s="7">
        <f>IF(AND(E16&gt;0,B16&lt;&gt;"Oui"),COUNTIFS(E$6:E16,"&gt;0",B$6:B16,"&lt;&gt;Oui"),"")</f>
        <v/>
      </c>
      <c r="B16" s="8" t="n"/>
      <c r="C16" s="9" t="n"/>
      <c r="D16" s="10" t="n"/>
      <c r="E16" s="11">
        <f>IF($C16="",0,IF($B16="Oui",1,IF(N($D16)&gt;0,INT($D16),1)))</f>
        <v/>
      </c>
      <c r="F16" s="12">
        <f>SUM(E$6:E16)</f>
        <v/>
      </c>
    </row>
    <row r="17" ht="21" customHeight="1">
      <c r="A17" s="7">
        <f>IF(AND(E17&gt;0,B17&lt;&gt;"Oui"),COUNTIFS(E$6:E17,"&gt;0",B$6:B17,"&lt;&gt;Oui"),"")</f>
        <v/>
      </c>
      <c r="B17" s="8" t="n"/>
      <c r="C17" s="9" t="n"/>
      <c r="D17" s="10" t="n"/>
      <c r="E17" s="11">
        <f>IF($C17="",0,IF($B17="Oui",1,IF(N($D17)&gt;0,INT($D17),1)))</f>
        <v/>
      </c>
      <c r="F17" s="12">
        <f>SUM(E$6:E17)</f>
        <v/>
      </c>
    </row>
    <row r="18" ht="21" customHeight="1">
      <c r="A18" s="7">
        <f>IF(AND(E18&gt;0,B18&lt;&gt;"Oui"),COUNTIFS(E$6:E18,"&gt;0",B$6:B18,"&lt;&gt;Oui"),"")</f>
        <v/>
      </c>
      <c r="B18" s="8" t="n"/>
      <c r="C18" s="9" t="n"/>
      <c r="D18" s="10" t="n"/>
      <c r="E18" s="11">
        <f>IF($C18="",0,IF($B18="Oui",1,IF(N($D18)&gt;0,INT($D18),1)))</f>
        <v/>
      </c>
      <c r="F18" s="12">
        <f>SUM(E$6:E18)</f>
        <v/>
      </c>
    </row>
    <row r="19" ht="21" customHeight="1">
      <c r="A19" s="7">
        <f>IF(AND(E19&gt;0,B19&lt;&gt;"Oui"),COUNTIFS(E$6:E19,"&gt;0",B$6:B19,"&lt;&gt;Oui"),"")</f>
        <v/>
      </c>
      <c r="B19" s="8" t="n"/>
      <c r="C19" s="9" t="n"/>
      <c r="D19" s="10" t="n"/>
      <c r="E19" s="11">
        <f>IF($C19="",0,IF($B19="Oui",1,IF(N($D19)&gt;0,INT($D19),1)))</f>
        <v/>
      </c>
      <c r="F19" s="12">
        <f>SUM(E$6:E19)</f>
        <v/>
      </c>
    </row>
    <row r="20" ht="21" customHeight="1">
      <c r="A20" s="7">
        <f>IF(AND(E20&gt;0,B20&lt;&gt;"Oui"),COUNTIFS(E$6:E20,"&gt;0",B$6:B20,"&lt;&gt;Oui"),"")</f>
        <v/>
      </c>
      <c r="B20" s="8" t="n"/>
      <c r="C20" s="9" t="n"/>
      <c r="D20" s="10" t="n"/>
      <c r="E20" s="11">
        <f>IF($C20="",0,IF($B20="Oui",1,IF(N($D20)&gt;0,INT($D20),1)))</f>
        <v/>
      </c>
      <c r="F20" s="12">
        <f>SUM(E$6:E20)</f>
        <v/>
      </c>
    </row>
    <row r="21" ht="21" customHeight="1">
      <c r="A21" s="7">
        <f>IF(AND(E21&gt;0,B21&lt;&gt;"Oui"),COUNTIFS(E$6:E21,"&gt;0",B$6:B21,"&lt;&gt;Oui"),"")</f>
        <v/>
      </c>
      <c r="B21" s="8" t="n"/>
      <c r="C21" s="9" t="n"/>
      <c r="D21" s="10" t="n"/>
      <c r="E21" s="11">
        <f>IF($C21="",0,IF($B21="Oui",1,IF(N($D21)&gt;0,INT($D21),1)))</f>
        <v/>
      </c>
      <c r="F21" s="12">
        <f>SUM(E$6:E21)</f>
        <v/>
      </c>
    </row>
    <row r="22" ht="21" customHeight="1">
      <c r="A22" s="7">
        <f>IF(AND(E22&gt;0,B22&lt;&gt;"Oui"),COUNTIFS(E$6:E22,"&gt;0",B$6:B22,"&lt;&gt;Oui"),"")</f>
        <v/>
      </c>
      <c r="B22" s="8" t="n"/>
      <c r="C22" s="9" t="n"/>
      <c r="D22" s="10" t="n"/>
      <c r="E22" s="11">
        <f>IF($C22="",0,IF($B22="Oui",1,IF(N($D22)&gt;0,INT($D22),1)))</f>
        <v/>
      </c>
      <c r="F22" s="12">
        <f>SUM(E$6:E22)</f>
        <v/>
      </c>
    </row>
    <row r="23" ht="21" customHeight="1">
      <c r="A23" s="7">
        <f>IF(AND(E23&gt;0,B23&lt;&gt;"Oui"),COUNTIFS(E$6:E23,"&gt;0",B$6:B23,"&lt;&gt;Oui"),"")</f>
        <v/>
      </c>
      <c r="B23" s="8" t="n"/>
      <c r="C23" s="9" t="n"/>
      <c r="D23" s="10" t="n"/>
      <c r="E23" s="11">
        <f>IF($C23="",0,IF($B23="Oui",1,IF(N($D23)&gt;0,INT($D23),1)))</f>
        <v/>
      </c>
      <c r="F23" s="12">
        <f>SUM(E$6:E23)</f>
        <v/>
      </c>
    </row>
    <row r="24" ht="21" customHeight="1">
      <c r="A24" s="7">
        <f>IF(AND(E24&gt;0,B24&lt;&gt;"Oui"),COUNTIFS(E$6:E24,"&gt;0",B$6:B24,"&lt;&gt;Oui"),"")</f>
        <v/>
      </c>
      <c r="B24" s="8" t="n"/>
      <c r="C24" s="9" t="n"/>
      <c r="D24" s="10" t="n"/>
      <c r="E24" s="11">
        <f>IF($C24="",0,IF($B24="Oui",1,IF(N($D24)&gt;0,INT($D24),1)))</f>
        <v/>
      </c>
      <c r="F24" s="12">
        <f>SUM(E$6:E24)</f>
        <v/>
      </c>
    </row>
    <row r="25" ht="21" customHeight="1">
      <c r="A25" s="7">
        <f>IF(AND(E25&gt;0,B25&lt;&gt;"Oui"),COUNTIFS(E$6:E25,"&gt;0",B$6:B25,"&lt;&gt;Oui"),"")</f>
        <v/>
      </c>
      <c r="B25" s="8" t="n"/>
      <c r="C25" s="9" t="n"/>
      <c r="D25" s="10" t="n"/>
      <c r="E25" s="11">
        <f>IF($C25="",0,IF($B25="Oui",1,IF(N($D25)&gt;0,INT($D25),1)))</f>
        <v/>
      </c>
      <c r="F25" s="12">
        <f>SUM(E$6:E25)</f>
        <v/>
      </c>
    </row>
    <row r="26" ht="21" customHeight="1">
      <c r="A26" s="7">
        <f>IF(AND(E26&gt;0,B26&lt;&gt;"Oui"),COUNTIFS(E$6:E26,"&gt;0",B$6:B26,"&lt;&gt;Oui"),"")</f>
        <v/>
      </c>
      <c r="B26" s="8" t="n"/>
      <c r="C26" s="9" t="n"/>
      <c r="D26" s="10" t="n"/>
      <c r="E26" s="11">
        <f>IF($C26="",0,IF($B26="Oui",1,IF(N($D26)&gt;0,INT($D26),1)))</f>
        <v/>
      </c>
      <c r="F26" s="12">
        <f>SUM(E$6:E26)</f>
        <v/>
      </c>
    </row>
    <row r="27" ht="21" customHeight="1">
      <c r="A27" s="7">
        <f>IF(AND(E27&gt;0,B27&lt;&gt;"Oui"),COUNTIFS(E$6:E27,"&gt;0",B$6:B27,"&lt;&gt;Oui"),"")</f>
        <v/>
      </c>
      <c r="B27" s="8" t="n"/>
      <c r="C27" s="9" t="n"/>
      <c r="D27" s="10" t="n"/>
      <c r="E27" s="11">
        <f>IF($C27="",0,IF($B27="Oui",1,IF(N($D27)&gt;0,INT($D27),1)))</f>
        <v/>
      </c>
      <c r="F27" s="12">
        <f>SUM(E$6:E27)</f>
        <v/>
      </c>
    </row>
    <row r="28" ht="21" customHeight="1">
      <c r="A28" s="7">
        <f>IF(AND(E28&gt;0,B28&lt;&gt;"Oui"),COUNTIFS(E$6:E28,"&gt;0",B$6:B28,"&lt;&gt;Oui"),"")</f>
        <v/>
      </c>
      <c r="B28" s="8" t="n"/>
      <c r="C28" s="9" t="n"/>
      <c r="D28" s="10" t="n"/>
      <c r="E28" s="11">
        <f>IF($C28="",0,IF($B28="Oui",1,IF(N($D28)&gt;0,INT($D28),1)))</f>
        <v/>
      </c>
      <c r="F28" s="12">
        <f>SUM(E$6:E28)</f>
        <v/>
      </c>
    </row>
    <row r="29" ht="21" customHeight="1">
      <c r="A29" s="7">
        <f>IF(AND(E29&gt;0,B29&lt;&gt;"Oui"),COUNTIFS(E$6:E29,"&gt;0",B$6:B29,"&lt;&gt;Oui"),"")</f>
        <v/>
      </c>
      <c r="B29" s="8" t="n"/>
      <c r="C29" s="9" t="n"/>
      <c r="D29" s="10" t="n"/>
      <c r="E29" s="11">
        <f>IF($C29="",0,IF($B29="Oui",1,IF(N($D29)&gt;0,INT($D29),1)))</f>
        <v/>
      </c>
      <c r="F29" s="12">
        <f>SUM(E$6:E29)</f>
        <v/>
      </c>
    </row>
    <row r="31">
      <c r="C31" s="13">
        <f>SUM(E6:E29)&amp;" ligne(s) sur la tool list"</f>
        <v/>
      </c>
    </row>
    <row r="32">
      <c r="C32" s="14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5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6">
        <f>"N° "&amp;G8&amp;IF(G6="","","   ·  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</row>
    <row r="4" ht="8" customHeight="1"/>
    <row r="5" ht="15" customHeight="1">
      <c r="A5" s="17" t="inlineStr">
        <is>
          <t>CLIENT</t>
        </is>
      </c>
      <c r="D5" s="17" t="inlineStr">
        <is>
          <t>PUITS / CHANTIER</t>
        </is>
      </c>
      <c r="G5" s="17" t="inlineStr">
        <is>
          <t>DOSSIER N° · RIG</t>
        </is>
      </c>
      <c r="L5" s="17" t="inlineStr">
        <is>
          <t>A / AT (DESTINATION)</t>
        </is>
      </c>
    </row>
    <row r="6" ht="21" customHeight="1">
      <c r="A6" s="18" t="n"/>
      <c r="B6" s="19" t="n"/>
      <c r="C6" s="19" t="n"/>
      <c r="D6" s="18" t="n"/>
      <c r="E6" s="19" t="n"/>
      <c r="F6" s="19" t="n"/>
      <c r="G6" s="18" t="n"/>
      <c r="H6" s="19" t="n"/>
      <c r="I6" s="19" t="n"/>
      <c r="J6" s="19" t="n"/>
      <c r="K6" s="19" t="n"/>
      <c r="L6" s="18" t="n"/>
      <c r="M6" s="19" t="n"/>
      <c r="N6" s="19" t="n"/>
      <c r="O6" s="19" t="n"/>
      <c r="P6" s="19" t="n"/>
      <c r="Q6" s="19" t="n"/>
      <c r="R6" s="19" t="n"/>
    </row>
    <row r="7" ht="15" customHeight="1">
      <c r="A7" s="17" t="inlineStr">
        <is>
          <t>DATE DE DÉPART</t>
        </is>
      </c>
      <c r="D7" s="17" t="inlineStr">
        <is>
          <t>FAITE LE</t>
        </is>
      </c>
      <c r="G7" s="17" t="inlineStr">
        <is>
          <t>N° DE TOOL LIST</t>
        </is>
      </c>
      <c r="L7" s="17" t="inlineStr">
        <is>
          <t>FAITE PAR</t>
        </is>
      </c>
    </row>
    <row r="8" ht="21" customHeight="1">
      <c r="A8" s="20" t="n"/>
      <c r="B8" s="19" t="n"/>
      <c r="C8" s="19" t="n"/>
      <c r="D8" s="20" t="n"/>
      <c r="E8" s="19" t="n"/>
      <c r="F8" s="19" t="n"/>
      <c r="G8" s="18" t="n"/>
      <c r="H8" s="19" t="n"/>
      <c r="I8" s="19" t="n"/>
      <c r="J8" s="19" t="n"/>
      <c r="K8" s="19" t="n"/>
      <c r="L8" s="18" t="n"/>
      <c r="M8" s="19" t="n"/>
      <c r="N8" s="19" t="n"/>
      <c r="O8" s="19" t="n"/>
      <c r="P8" s="19" t="n"/>
      <c r="Q8" s="19" t="n"/>
      <c r="R8" s="19" t="n"/>
    </row>
    <row r="9" ht="15" customHeight="1">
      <c r="A9" s="17" t="inlineStr">
        <is>
          <t>DESCRIPTION GÉNÉRALE</t>
        </is>
      </c>
      <c r="G9" s="17" t="inlineStr">
        <is>
          <t>COLISAGE</t>
        </is>
      </c>
      <c r="L9" s="17" t="inlineStr">
        <is>
          <t>RÉVISÉE LE · PAR</t>
        </is>
      </c>
    </row>
    <row r="10" ht="21" customHeight="1">
      <c r="A10" s="18" t="n"/>
      <c r="B10" s="19" t="n"/>
      <c r="C10" s="19" t="n"/>
      <c r="D10" s="19" t="n"/>
      <c r="E10" s="19" t="n"/>
      <c r="F10" s="19" t="n"/>
      <c r="G10" s="18" t="inlineStr">
        <is>
          <t>A communiquer dès que possible</t>
        </is>
      </c>
      <c r="H10" s="19" t="n"/>
      <c r="I10" s="19" t="n"/>
      <c r="J10" s="19" t="n"/>
      <c r="K10" s="19" t="n"/>
      <c r="L10" s="18" t="n"/>
      <c r="M10" s="19" t="n"/>
      <c r="N10" s="19" t="n"/>
      <c r="O10" s="19" t="n"/>
      <c r="P10" s="19" t="n"/>
      <c r="Q10" s="19" t="n"/>
      <c r="R10" s="19" t="n"/>
    </row>
    <row r="11" ht="20" customHeight="1">
      <c r="A11" s="21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2" t="inlineStr">
        <is>
          <t>ÉQUIPEMENT</t>
        </is>
      </c>
      <c r="B13" s="1" t="n"/>
      <c r="C13" s="1" t="n"/>
      <c r="D13" s="1" t="n"/>
      <c r="E13" s="23" t="inlineStr">
        <is>
          <t>RELEVÉS · MEASUREMENTS (in / pouces)</t>
        </is>
      </c>
      <c r="F13" s="24" t="n"/>
      <c r="G13" s="24" t="n"/>
      <c r="H13" s="24" t="n"/>
      <c r="I13" s="24" t="n"/>
      <c r="J13" s="22" t="inlineStr">
        <is>
          <t>STOCK ET REMARQUES</t>
        </is>
      </c>
      <c r="K13" s="1" t="n"/>
      <c r="L13" s="23" t="inlineStr">
        <is>
          <t>AVANCEMENT PRÉPARATION</t>
        </is>
      </c>
      <c r="M13" s="24" t="n"/>
      <c r="N13" s="24" t="n"/>
      <c r="O13" s="24" t="n"/>
      <c r="P13" s="22" t="inlineStr">
        <is>
          <t>CONTRÔLE SUPERVISEUR</t>
        </is>
      </c>
      <c r="Q13" s="1" t="n"/>
      <c r="R13" s="1" t="n"/>
    </row>
    <row r="14" ht="34" customHeight="1">
      <c r="A14" s="25" t="inlineStr">
        <is>
          <t>Item</t>
        </is>
      </c>
      <c r="B14" s="25" t="inlineStr">
        <is>
          <t>Référence
(PL)</t>
        </is>
      </c>
      <c r="C14" s="25" t="inlineStr">
        <is>
          <t>Serial Number</t>
        </is>
      </c>
      <c r="D14" s="25" t="inlineStr">
        <is>
          <t>Description</t>
        </is>
      </c>
      <c r="E14" s="25" t="inlineStr">
        <is>
          <t>OD</t>
        </is>
      </c>
      <c r="F14" s="25" t="inlineStr">
        <is>
          <t>ID</t>
        </is>
      </c>
      <c r="G14" s="25" t="inlineStr">
        <is>
          <t>Ouverture
blades</t>
        </is>
      </c>
      <c r="H14" s="25" t="inlineStr">
        <is>
          <t>Ouverture max
couteaux</t>
        </is>
      </c>
      <c r="I14" s="25" t="inlineStr">
        <is>
          <t>Taille / test
confirmé</t>
        </is>
      </c>
      <c r="J14" s="25" t="inlineStr">
        <is>
          <t>Stock
@CC</t>
        </is>
      </c>
      <c r="K14" s="25" t="inlineStr">
        <is>
          <t>Commentaire</t>
        </is>
      </c>
      <c r="L14" s="25" t="inlineStr">
        <is>
          <t>Prêt à
partir</t>
        </is>
      </c>
      <c r="M14" s="25" t="inlineStr">
        <is>
          <t>Le</t>
        </is>
      </c>
      <c r="N14" s="25" t="inlineStr">
        <is>
          <t>Par</t>
        </is>
      </c>
      <c r="O14" s="25" t="inlineStr">
        <is>
          <t>Colisage
(n° colis)</t>
        </is>
      </c>
      <c r="P14" s="25" t="inlineStr">
        <is>
          <t>Check</t>
        </is>
      </c>
      <c r="Q14" s="25" t="inlineStr">
        <is>
          <t>Le</t>
        </is>
      </c>
      <c r="R14" s="25" t="inlineStr">
        <is>
          <t>Par</t>
        </is>
      </c>
      <c r="T14" s="26" t="inlineStr">
        <is>
          <t>ligne</t>
        </is>
      </c>
      <c r="U14" s="26" t="inlineStr">
        <is>
          <t>réf.</t>
        </is>
      </c>
      <c r="V14" s="26" t="inlineStr">
        <is>
          <t>bannière</t>
        </is>
      </c>
    </row>
    <row r="15" ht="27" customHeight="1">
      <c r="A15" s="7">
        <f>IF(OR(T15="",V15=1),"",T15-COUNTIF(V$15:V15,1))</f>
        <v/>
      </c>
      <c r="B15" s="27" t="n"/>
      <c r="C15" s="27" t="n"/>
      <c r="D15" s="28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29" t="n"/>
      <c r="F15" s="29" t="n"/>
      <c r="G15" s="29" t="n"/>
      <c r="H15" s="29" t="n"/>
      <c r="I15" s="30" t="n"/>
      <c r="J15" s="30" t="n"/>
      <c r="K15" s="27" t="n"/>
      <c r="L15" s="30" t="n"/>
      <c r="M15" s="31" t="n"/>
      <c r="N15" s="30" t="n"/>
      <c r="O15" s="30" t="n"/>
      <c r="P15" s="30" t="n"/>
      <c r="Q15" s="31" t="n"/>
      <c r="R15" s="30" t="n"/>
      <c r="T15" s="32">
        <f>IF(1&lt;=SUM('1 Matériel'!$E$6:$E$29),1,"")</f>
        <v/>
      </c>
      <c r="U15" s="32">
        <f>IF(T15="","",COUNTIF('1 Matériel'!$F$6:$F$29,"&lt;"&amp;T15)+1)</f>
        <v/>
      </c>
      <c r="V15" s="32">
        <f>IF(U15="","",IF(INDEX('1 Matériel'!$B$6:$B$29,U15)="Oui",1,0))</f>
        <v/>
      </c>
    </row>
    <row r="16" ht="27" customHeight="1">
      <c r="A16" s="7">
        <f>IF(OR(T16="",V16=1),"",T16-COUNTIF(V$15:V16,1))</f>
        <v/>
      </c>
      <c r="B16" s="27" t="n"/>
      <c r="C16" s="27" t="n"/>
      <c r="D16" s="28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29" t="n"/>
      <c r="F16" s="29" t="n"/>
      <c r="G16" s="29" t="n"/>
      <c r="H16" s="29" t="n"/>
      <c r="I16" s="30" t="n"/>
      <c r="J16" s="30" t="n"/>
      <c r="K16" s="27" t="n"/>
      <c r="L16" s="30" t="n"/>
      <c r="M16" s="31" t="n"/>
      <c r="N16" s="30" t="n"/>
      <c r="O16" s="30" t="n"/>
      <c r="P16" s="30" t="n"/>
      <c r="Q16" s="31" t="n"/>
      <c r="R16" s="30" t="n"/>
      <c r="T16" s="32">
        <f>IF(2&lt;=SUM('1 Matériel'!$E$6:$E$29),2,"")</f>
        <v/>
      </c>
      <c r="U16" s="32">
        <f>IF(T16="","",COUNTIF('1 Matériel'!$F$6:$F$29,"&lt;"&amp;T16)+1)</f>
        <v/>
      </c>
      <c r="V16" s="32">
        <f>IF(U16="","",IF(INDEX('1 Matériel'!$B$6:$B$29,U16)="Oui",1,0))</f>
        <v/>
      </c>
    </row>
    <row r="17" ht="27" customHeight="1">
      <c r="A17" s="7">
        <f>IF(OR(T17="",V17=1),"",T17-COUNTIF(V$15:V17,1))</f>
        <v/>
      </c>
      <c r="B17" s="27" t="n"/>
      <c r="C17" s="27" t="n"/>
      <c r="D17" s="28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29" t="n"/>
      <c r="F17" s="29" t="n"/>
      <c r="G17" s="29" t="n"/>
      <c r="H17" s="29" t="n"/>
      <c r="I17" s="30" t="n"/>
      <c r="J17" s="30" t="n"/>
      <c r="K17" s="27" t="n"/>
      <c r="L17" s="30" t="n"/>
      <c r="M17" s="31" t="n"/>
      <c r="N17" s="30" t="n"/>
      <c r="O17" s="30" t="n"/>
      <c r="P17" s="30" t="n"/>
      <c r="Q17" s="31" t="n"/>
      <c r="R17" s="30" t="n"/>
      <c r="T17" s="32">
        <f>IF(3&lt;=SUM('1 Matériel'!$E$6:$E$29),3,"")</f>
        <v/>
      </c>
      <c r="U17" s="32">
        <f>IF(T17="","",COUNTIF('1 Matériel'!$F$6:$F$29,"&lt;"&amp;T17)+1)</f>
        <v/>
      </c>
      <c r="V17" s="32">
        <f>IF(U17="","",IF(INDEX('1 Matériel'!$B$6:$B$29,U17)="Oui",1,0))</f>
        <v/>
      </c>
    </row>
    <row r="18" ht="27" customHeight="1">
      <c r="A18" s="7">
        <f>IF(OR(T18="",V18=1),"",T18-COUNTIF(V$15:V18,1))</f>
        <v/>
      </c>
      <c r="B18" s="27" t="n"/>
      <c r="C18" s="27" t="n"/>
      <c r="D18" s="28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29" t="n"/>
      <c r="F18" s="29" t="n"/>
      <c r="G18" s="29" t="n"/>
      <c r="H18" s="29" t="n"/>
      <c r="I18" s="30" t="n"/>
      <c r="J18" s="30" t="n"/>
      <c r="K18" s="27" t="n"/>
      <c r="L18" s="30" t="n"/>
      <c r="M18" s="31" t="n"/>
      <c r="N18" s="30" t="n"/>
      <c r="O18" s="30" t="n"/>
      <c r="P18" s="30" t="n"/>
      <c r="Q18" s="31" t="n"/>
      <c r="R18" s="30" t="n"/>
      <c r="T18" s="32">
        <f>IF(4&lt;=SUM('1 Matériel'!$E$6:$E$29),4,"")</f>
        <v/>
      </c>
      <c r="U18" s="32">
        <f>IF(T18="","",COUNTIF('1 Matériel'!$F$6:$F$29,"&lt;"&amp;T18)+1)</f>
        <v/>
      </c>
      <c r="V18" s="32">
        <f>IF(U18="","",IF(INDEX('1 Matériel'!$B$6:$B$29,U18)="Oui",1,0))</f>
        <v/>
      </c>
    </row>
    <row r="19" ht="27" customHeight="1">
      <c r="A19" s="7">
        <f>IF(OR(T19="",V19=1),"",T19-COUNTIF(V$15:V19,1))</f>
        <v/>
      </c>
      <c r="B19" s="27" t="n"/>
      <c r="C19" s="27" t="n"/>
      <c r="D19" s="28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29" t="n"/>
      <c r="F19" s="29" t="n"/>
      <c r="G19" s="29" t="n"/>
      <c r="H19" s="29" t="n"/>
      <c r="I19" s="30" t="n"/>
      <c r="J19" s="30" t="n"/>
      <c r="K19" s="27" t="n"/>
      <c r="L19" s="30" t="n"/>
      <c r="M19" s="31" t="n"/>
      <c r="N19" s="30" t="n"/>
      <c r="O19" s="30" t="n"/>
      <c r="P19" s="30" t="n"/>
      <c r="Q19" s="31" t="n"/>
      <c r="R19" s="30" t="n"/>
      <c r="T19" s="32">
        <f>IF(5&lt;=SUM('1 Matériel'!$E$6:$E$29),5,"")</f>
        <v/>
      </c>
      <c r="U19" s="32">
        <f>IF(T19="","",COUNTIF('1 Matériel'!$F$6:$F$29,"&lt;"&amp;T19)+1)</f>
        <v/>
      </c>
      <c r="V19" s="32">
        <f>IF(U19="","",IF(INDEX('1 Matériel'!$B$6:$B$29,U19)="Oui",1,0))</f>
        <v/>
      </c>
    </row>
    <row r="20" ht="27" customHeight="1">
      <c r="A20" s="7">
        <f>IF(OR(T20="",V20=1),"",T20-COUNTIF(V$15:V20,1))</f>
        <v/>
      </c>
      <c r="B20" s="27" t="n"/>
      <c r="C20" s="27" t="n"/>
      <c r="D20" s="28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29" t="n"/>
      <c r="F20" s="29" t="n"/>
      <c r="G20" s="29" t="n"/>
      <c r="H20" s="29" t="n"/>
      <c r="I20" s="30" t="n"/>
      <c r="J20" s="30" t="n"/>
      <c r="K20" s="27" t="n"/>
      <c r="L20" s="30" t="n"/>
      <c r="M20" s="31" t="n"/>
      <c r="N20" s="30" t="n"/>
      <c r="O20" s="30" t="n"/>
      <c r="P20" s="30" t="n"/>
      <c r="Q20" s="31" t="n"/>
      <c r="R20" s="30" t="n"/>
      <c r="T20" s="32">
        <f>IF(6&lt;=SUM('1 Matériel'!$E$6:$E$29),6,"")</f>
        <v/>
      </c>
      <c r="U20" s="32">
        <f>IF(T20="","",COUNTIF('1 Matériel'!$F$6:$F$29,"&lt;"&amp;T20)+1)</f>
        <v/>
      </c>
      <c r="V20" s="32">
        <f>IF(U20="","",IF(INDEX('1 Matériel'!$B$6:$B$29,U20)="Oui",1,0))</f>
        <v/>
      </c>
    </row>
    <row r="21" ht="27" customHeight="1">
      <c r="A21" s="7">
        <f>IF(OR(T21="",V21=1),"",T21-COUNTIF(V$15:V21,1))</f>
        <v/>
      </c>
      <c r="B21" s="27" t="n"/>
      <c r="C21" s="27" t="n"/>
      <c r="D21" s="28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29" t="n"/>
      <c r="F21" s="29" t="n"/>
      <c r="G21" s="29" t="n"/>
      <c r="H21" s="29" t="n"/>
      <c r="I21" s="30" t="n"/>
      <c r="J21" s="30" t="n"/>
      <c r="K21" s="27" t="n"/>
      <c r="L21" s="30" t="n"/>
      <c r="M21" s="31" t="n"/>
      <c r="N21" s="30" t="n"/>
      <c r="O21" s="30" t="n"/>
      <c r="P21" s="30" t="n"/>
      <c r="Q21" s="31" t="n"/>
      <c r="R21" s="30" t="n"/>
      <c r="T21" s="32">
        <f>IF(7&lt;=SUM('1 Matériel'!$E$6:$E$29),7,"")</f>
        <v/>
      </c>
      <c r="U21" s="32">
        <f>IF(T21="","",COUNTIF('1 Matériel'!$F$6:$F$29,"&lt;"&amp;T21)+1)</f>
        <v/>
      </c>
      <c r="V21" s="32">
        <f>IF(U21="","",IF(INDEX('1 Matériel'!$B$6:$B$29,U21)="Oui",1,0))</f>
        <v/>
      </c>
    </row>
    <row r="22" ht="27" customHeight="1">
      <c r="A22" s="7">
        <f>IF(OR(T22="",V22=1),"",T22-COUNTIF(V$15:V22,1))</f>
        <v/>
      </c>
      <c r="B22" s="27" t="n"/>
      <c r="C22" s="27" t="n"/>
      <c r="D22" s="28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29" t="n"/>
      <c r="F22" s="29" t="n"/>
      <c r="G22" s="29" t="n"/>
      <c r="H22" s="29" t="n"/>
      <c r="I22" s="30" t="n"/>
      <c r="J22" s="30" t="n"/>
      <c r="K22" s="27" t="n"/>
      <c r="L22" s="30" t="n"/>
      <c r="M22" s="31" t="n"/>
      <c r="N22" s="30" t="n"/>
      <c r="O22" s="30" t="n"/>
      <c r="P22" s="30" t="n"/>
      <c r="Q22" s="31" t="n"/>
      <c r="R22" s="30" t="n"/>
      <c r="T22" s="32">
        <f>IF(8&lt;=SUM('1 Matériel'!$E$6:$E$29),8,"")</f>
        <v/>
      </c>
      <c r="U22" s="32">
        <f>IF(T22="","",COUNTIF('1 Matériel'!$F$6:$F$29,"&lt;"&amp;T22)+1)</f>
        <v/>
      </c>
      <c r="V22" s="32">
        <f>IF(U22="","",IF(INDEX('1 Matériel'!$B$6:$B$29,U22)="Oui",1,0))</f>
        <v/>
      </c>
    </row>
    <row r="23" ht="27" customHeight="1">
      <c r="A23" s="7">
        <f>IF(OR(T23="",V23=1),"",T23-COUNTIF(V$15:V23,1))</f>
        <v/>
      </c>
      <c r="B23" s="27" t="n"/>
      <c r="C23" s="27" t="n"/>
      <c r="D23" s="28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29" t="n"/>
      <c r="F23" s="29" t="n"/>
      <c r="G23" s="29" t="n"/>
      <c r="H23" s="29" t="n"/>
      <c r="I23" s="30" t="n"/>
      <c r="J23" s="30" t="n"/>
      <c r="K23" s="27" t="n"/>
      <c r="L23" s="30" t="n"/>
      <c r="M23" s="31" t="n"/>
      <c r="N23" s="30" t="n"/>
      <c r="O23" s="30" t="n"/>
      <c r="P23" s="30" t="n"/>
      <c r="Q23" s="31" t="n"/>
      <c r="R23" s="30" t="n"/>
      <c r="T23" s="32">
        <f>IF(9&lt;=SUM('1 Matériel'!$E$6:$E$29),9,"")</f>
        <v/>
      </c>
      <c r="U23" s="32">
        <f>IF(T23="","",COUNTIF('1 Matériel'!$F$6:$F$29,"&lt;"&amp;T23)+1)</f>
        <v/>
      </c>
      <c r="V23" s="32">
        <f>IF(U23="","",IF(INDEX('1 Matériel'!$B$6:$B$29,U23)="Oui",1,0))</f>
        <v/>
      </c>
    </row>
    <row r="24" ht="27" customHeight="1">
      <c r="A24" s="7">
        <f>IF(OR(T24="",V24=1),"",T24-COUNTIF(V$15:V24,1))</f>
        <v/>
      </c>
      <c r="B24" s="27" t="n"/>
      <c r="C24" s="27" t="n"/>
      <c r="D24" s="28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29" t="n"/>
      <c r="F24" s="29" t="n"/>
      <c r="G24" s="29" t="n"/>
      <c r="H24" s="29" t="n"/>
      <c r="I24" s="30" t="n"/>
      <c r="J24" s="30" t="n"/>
      <c r="K24" s="27" t="n"/>
      <c r="L24" s="30" t="n"/>
      <c r="M24" s="31" t="n"/>
      <c r="N24" s="30" t="n"/>
      <c r="O24" s="30" t="n"/>
      <c r="P24" s="30" t="n"/>
      <c r="Q24" s="31" t="n"/>
      <c r="R24" s="30" t="n"/>
      <c r="T24" s="32">
        <f>IF(10&lt;=SUM('1 Matériel'!$E$6:$E$29),10,"")</f>
        <v/>
      </c>
      <c r="U24" s="32">
        <f>IF(T24="","",COUNTIF('1 Matériel'!$F$6:$F$29,"&lt;"&amp;T24)+1)</f>
        <v/>
      </c>
      <c r="V24" s="32">
        <f>IF(U24="","",IF(INDEX('1 Matériel'!$B$6:$B$29,U24)="Oui",1,0))</f>
        <v/>
      </c>
    </row>
    <row r="25" ht="27" customHeight="1">
      <c r="A25" s="7">
        <f>IF(OR(T25="",V25=1),"",T25-COUNTIF(V$15:V25,1))</f>
        <v/>
      </c>
      <c r="B25" s="27" t="n"/>
      <c r="C25" s="27" t="n"/>
      <c r="D25" s="28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29" t="n"/>
      <c r="F25" s="29" t="n"/>
      <c r="G25" s="29" t="n"/>
      <c r="H25" s="29" t="n"/>
      <c r="I25" s="30" t="n"/>
      <c r="J25" s="30" t="n"/>
      <c r="K25" s="27" t="n"/>
      <c r="L25" s="30" t="n"/>
      <c r="M25" s="31" t="n"/>
      <c r="N25" s="30" t="n"/>
      <c r="O25" s="30" t="n"/>
      <c r="P25" s="30" t="n"/>
      <c r="Q25" s="31" t="n"/>
      <c r="R25" s="30" t="n"/>
      <c r="T25" s="32">
        <f>IF(11&lt;=SUM('1 Matériel'!$E$6:$E$29),11,"")</f>
        <v/>
      </c>
      <c r="U25" s="32">
        <f>IF(T25="","",COUNTIF('1 Matériel'!$F$6:$F$29,"&lt;"&amp;T25)+1)</f>
        <v/>
      </c>
      <c r="V25" s="32">
        <f>IF(U25="","",IF(INDEX('1 Matériel'!$B$6:$B$29,U25)="Oui",1,0))</f>
        <v/>
      </c>
    </row>
    <row r="26" ht="27" customHeight="1">
      <c r="A26" s="7">
        <f>IF(OR(T26="",V26=1),"",T26-COUNTIF(V$15:V26,1))</f>
        <v/>
      </c>
      <c r="B26" s="27" t="n"/>
      <c r="C26" s="27" t="n"/>
      <c r="D26" s="28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29" t="n"/>
      <c r="F26" s="29" t="n"/>
      <c r="G26" s="29" t="n"/>
      <c r="H26" s="29" t="n"/>
      <c r="I26" s="30" t="n"/>
      <c r="J26" s="30" t="n"/>
      <c r="K26" s="27" t="n"/>
      <c r="L26" s="30" t="n"/>
      <c r="M26" s="31" t="n"/>
      <c r="N26" s="30" t="n"/>
      <c r="O26" s="30" t="n"/>
      <c r="P26" s="30" t="n"/>
      <c r="Q26" s="31" t="n"/>
      <c r="R26" s="30" t="n"/>
      <c r="T26" s="32">
        <f>IF(12&lt;=SUM('1 Matériel'!$E$6:$E$29),12,"")</f>
        <v/>
      </c>
      <c r="U26" s="32">
        <f>IF(T26="","",COUNTIF('1 Matériel'!$F$6:$F$29,"&lt;"&amp;T26)+1)</f>
        <v/>
      </c>
      <c r="V26" s="32">
        <f>IF(U26="","",IF(INDEX('1 Matériel'!$B$6:$B$29,U26)="Oui",1,0))</f>
        <v/>
      </c>
    </row>
    <row r="27" ht="27" customHeight="1">
      <c r="A27" s="7">
        <f>IF(OR(T27="",V27=1),"",T27-COUNTIF(V$15:V27,1))</f>
        <v/>
      </c>
      <c r="B27" s="27" t="n"/>
      <c r="C27" s="27" t="n"/>
      <c r="D27" s="28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29" t="n"/>
      <c r="F27" s="29" t="n"/>
      <c r="G27" s="29" t="n"/>
      <c r="H27" s="29" t="n"/>
      <c r="I27" s="30" t="n"/>
      <c r="J27" s="30" t="n"/>
      <c r="K27" s="27" t="n"/>
      <c r="L27" s="30" t="n"/>
      <c r="M27" s="31" t="n"/>
      <c r="N27" s="30" t="n"/>
      <c r="O27" s="30" t="n"/>
      <c r="P27" s="30" t="n"/>
      <c r="Q27" s="31" t="n"/>
      <c r="R27" s="30" t="n"/>
      <c r="T27" s="32">
        <f>IF(13&lt;=SUM('1 Matériel'!$E$6:$E$29),13,"")</f>
        <v/>
      </c>
      <c r="U27" s="32">
        <f>IF(T27="","",COUNTIF('1 Matériel'!$F$6:$F$29,"&lt;"&amp;T27)+1)</f>
        <v/>
      </c>
      <c r="V27" s="32">
        <f>IF(U27="","",IF(INDEX('1 Matériel'!$B$6:$B$29,U27)="Oui",1,0))</f>
        <v/>
      </c>
    </row>
    <row r="28" ht="27" customHeight="1">
      <c r="A28" s="7">
        <f>IF(OR(T28="",V28=1),"",T28-COUNTIF(V$15:V28,1))</f>
        <v/>
      </c>
      <c r="B28" s="27" t="n"/>
      <c r="C28" s="27" t="n"/>
      <c r="D28" s="28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29" t="n"/>
      <c r="F28" s="29" t="n"/>
      <c r="G28" s="29" t="n"/>
      <c r="H28" s="29" t="n"/>
      <c r="I28" s="30" t="n"/>
      <c r="J28" s="30" t="n"/>
      <c r="K28" s="27" t="n"/>
      <c r="L28" s="30" t="n"/>
      <c r="M28" s="31" t="n"/>
      <c r="N28" s="30" t="n"/>
      <c r="O28" s="30" t="n"/>
      <c r="P28" s="30" t="n"/>
      <c r="Q28" s="31" t="n"/>
      <c r="R28" s="30" t="n"/>
      <c r="T28" s="32">
        <f>IF(14&lt;=SUM('1 Matériel'!$E$6:$E$29),14,"")</f>
        <v/>
      </c>
      <c r="U28" s="32">
        <f>IF(T28="","",COUNTIF('1 Matériel'!$F$6:$F$29,"&lt;"&amp;T28)+1)</f>
        <v/>
      </c>
      <c r="V28" s="32">
        <f>IF(U28="","",IF(INDEX('1 Matériel'!$B$6:$B$29,U28)="Oui",1,0))</f>
        <v/>
      </c>
    </row>
    <row r="29" ht="27" customHeight="1">
      <c r="A29" s="7">
        <f>IF(OR(T29="",V29=1),"",T29-COUNTIF(V$15:V29,1))</f>
        <v/>
      </c>
      <c r="B29" s="27" t="n"/>
      <c r="C29" s="27" t="n"/>
      <c r="D29" s="28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29" t="n"/>
      <c r="F29" s="29" t="n"/>
      <c r="G29" s="29" t="n"/>
      <c r="H29" s="29" t="n"/>
      <c r="I29" s="30" t="n"/>
      <c r="J29" s="30" t="n"/>
      <c r="K29" s="27" t="n"/>
      <c r="L29" s="30" t="n"/>
      <c r="M29" s="31" t="n"/>
      <c r="N29" s="30" t="n"/>
      <c r="O29" s="30" t="n"/>
      <c r="P29" s="30" t="n"/>
      <c r="Q29" s="31" t="n"/>
      <c r="R29" s="30" t="n"/>
      <c r="T29" s="32">
        <f>IF(15&lt;=SUM('1 Matériel'!$E$6:$E$29),15,"")</f>
        <v/>
      </c>
      <c r="U29" s="32">
        <f>IF(T29="","",COUNTIF('1 Matériel'!$F$6:$F$29,"&lt;"&amp;T29)+1)</f>
        <v/>
      </c>
      <c r="V29" s="32">
        <f>IF(U29="","",IF(INDEX('1 Matériel'!$B$6:$B$29,U29)="Oui",1,0))</f>
        <v/>
      </c>
    </row>
    <row r="30" ht="27" customHeight="1">
      <c r="A30" s="7">
        <f>IF(OR(T30="",V30=1),"",T30-COUNTIF(V$15:V30,1))</f>
        <v/>
      </c>
      <c r="B30" s="27" t="n"/>
      <c r="C30" s="27" t="n"/>
      <c r="D30" s="28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29" t="n"/>
      <c r="F30" s="29" t="n"/>
      <c r="G30" s="29" t="n"/>
      <c r="H30" s="29" t="n"/>
      <c r="I30" s="30" t="n"/>
      <c r="J30" s="30" t="n"/>
      <c r="K30" s="27" t="n"/>
      <c r="L30" s="30" t="n"/>
      <c r="M30" s="31" t="n"/>
      <c r="N30" s="30" t="n"/>
      <c r="O30" s="30" t="n"/>
      <c r="P30" s="30" t="n"/>
      <c r="Q30" s="31" t="n"/>
      <c r="R30" s="30" t="n"/>
      <c r="T30" s="32">
        <f>IF(16&lt;=SUM('1 Matériel'!$E$6:$E$29),16,"")</f>
        <v/>
      </c>
      <c r="U30" s="32">
        <f>IF(T30="","",COUNTIF('1 Matériel'!$F$6:$F$29,"&lt;"&amp;T30)+1)</f>
        <v/>
      </c>
      <c r="V30" s="32">
        <f>IF(U30="","",IF(INDEX('1 Matériel'!$B$6:$B$29,U30)="Oui",1,0))</f>
        <v/>
      </c>
    </row>
    <row r="31" ht="27" customHeight="1">
      <c r="A31" s="7">
        <f>IF(OR(T31="",V31=1),"",T31-COUNTIF(V$15:V31,1))</f>
        <v/>
      </c>
      <c r="B31" s="27" t="n"/>
      <c r="C31" s="27" t="n"/>
      <c r="D31" s="28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29" t="n"/>
      <c r="F31" s="29" t="n"/>
      <c r="G31" s="29" t="n"/>
      <c r="H31" s="29" t="n"/>
      <c r="I31" s="30" t="n"/>
      <c r="J31" s="30" t="n"/>
      <c r="K31" s="27" t="n"/>
      <c r="L31" s="30" t="n"/>
      <c r="M31" s="31" t="n"/>
      <c r="N31" s="30" t="n"/>
      <c r="O31" s="30" t="n"/>
      <c r="P31" s="30" t="n"/>
      <c r="Q31" s="31" t="n"/>
      <c r="R31" s="30" t="n"/>
      <c r="T31" s="32">
        <f>IF(17&lt;=SUM('1 Matériel'!$E$6:$E$29),17,"")</f>
        <v/>
      </c>
      <c r="U31" s="32">
        <f>IF(T31="","",COUNTIF('1 Matériel'!$F$6:$F$29,"&lt;"&amp;T31)+1)</f>
        <v/>
      </c>
      <c r="V31" s="32">
        <f>IF(U31="","",IF(INDEX('1 Matériel'!$B$6:$B$29,U31)="Oui",1,0))</f>
        <v/>
      </c>
    </row>
    <row r="32" ht="27" customHeight="1">
      <c r="A32" s="7">
        <f>IF(OR(T32="",V32=1),"",T32-COUNTIF(V$15:V32,1))</f>
        <v/>
      </c>
      <c r="B32" s="27" t="n"/>
      <c r="C32" s="27" t="n"/>
      <c r="D32" s="28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29" t="n"/>
      <c r="F32" s="29" t="n"/>
      <c r="G32" s="29" t="n"/>
      <c r="H32" s="29" t="n"/>
      <c r="I32" s="30" t="n"/>
      <c r="J32" s="30" t="n"/>
      <c r="K32" s="27" t="n"/>
      <c r="L32" s="30" t="n"/>
      <c r="M32" s="31" t="n"/>
      <c r="N32" s="30" t="n"/>
      <c r="O32" s="30" t="n"/>
      <c r="P32" s="30" t="n"/>
      <c r="Q32" s="31" t="n"/>
      <c r="R32" s="30" t="n"/>
      <c r="T32" s="32">
        <f>IF(18&lt;=SUM('1 Matériel'!$E$6:$E$29),18,"")</f>
        <v/>
      </c>
      <c r="U32" s="32">
        <f>IF(T32="","",COUNTIF('1 Matériel'!$F$6:$F$29,"&lt;"&amp;T32)+1)</f>
        <v/>
      </c>
      <c r="V32" s="32">
        <f>IF(U32="","",IF(INDEX('1 Matériel'!$B$6:$B$29,U32)="Oui",1,0))</f>
        <v/>
      </c>
    </row>
    <row r="33" ht="27" customHeight="1">
      <c r="A33" s="7">
        <f>IF(OR(T33="",V33=1),"",T33-COUNTIF(V$15:V33,1))</f>
        <v/>
      </c>
      <c r="B33" s="27" t="n"/>
      <c r="C33" s="27" t="n"/>
      <c r="D33" s="28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29" t="n"/>
      <c r="F33" s="29" t="n"/>
      <c r="G33" s="29" t="n"/>
      <c r="H33" s="29" t="n"/>
      <c r="I33" s="30" t="n"/>
      <c r="J33" s="30" t="n"/>
      <c r="K33" s="27" t="n"/>
      <c r="L33" s="30" t="n"/>
      <c r="M33" s="31" t="n"/>
      <c r="N33" s="30" t="n"/>
      <c r="O33" s="30" t="n"/>
      <c r="P33" s="30" t="n"/>
      <c r="Q33" s="31" t="n"/>
      <c r="R33" s="30" t="n"/>
      <c r="T33" s="32">
        <f>IF(19&lt;=SUM('1 Matériel'!$E$6:$E$29),19,"")</f>
        <v/>
      </c>
      <c r="U33" s="32">
        <f>IF(T33="","",COUNTIF('1 Matériel'!$F$6:$F$29,"&lt;"&amp;T33)+1)</f>
        <v/>
      </c>
      <c r="V33" s="32">
        <f>IF(U33="","",IF(INDEX('1 Matériel'!$B$6:$B$29,U33)="Oui",1,0))</f>
        <v/>
      </c>
    </row>
    <row r="34" ht="27" customHeight="1">
      <c r="A34" s="7">
        <f>IF(OR(T34="",V34=1),"",T34-COUNTIF(V$15:V34,1))</f>
        <v/>
      </c>
      <c r="B34" s="27" t="n"/>
      <c r="C34" s="27" t="n"/>
      <c r="D34" s="28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29" t="n"/>
      <c r="F34" s="29" t="n"/>
      <c r="G34" s="29" t="n"/>
      <c r="H34" s="29" t="n"/>
      <c r="I34" s="30" t="n"/>
      <c r="J34" s="30" t="n"/>
      <c r="K34" s="27" t="n"/>
      <c r="L34" s="30" t="n"/>
      <c r="M34" s="31" t="n"/>
      <c r="N34" s="30" t="n"/>
      <c r="O34" s="30" t="n"/>
      <c r="P34" s="30" t="n"/>
      <c r="Q34" s="31" t="n"/>
      <c r="R34" s="30" t="n"/>
      <c r="T34" s="32">
        <f>IF(20&lt;=SUM('1 Matériel'!$E$6:$E$29),20,"")</f>
        <v/>
      </c>
      <c r="U34" s="32">
        <f>IF(T34="","",COUNTIF('1 Matériel'!$F$6:$F$29,"&lt;"&amp;T34)+1)</f>
        <v/>
      </c>
      <c r="V34" s="32">
        <f>IF(U34="","",IF(INDEX('1 Matériel'!$B$6:$B$29,U34)="Oui",1,0))</f>
        <v/>
      </c>
    </row>
    <row r="35" hidden="1" outlineLevel="1" ht="27" customHeight="1">
      <c r="A35" s="7">
        <f>IF(OR(T35="",V35=1),"",T35-COUNTIF(V$15:V35,1))</f>
        <v/>
      </c>
      <c r="B35" s="27" t="n"/>
      <c r="C35" s="27" t="n"/>
      <c r="D35" s="28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29" t="n"/>
      <c r="F35" s="29" t="n"/>
      <c r="G35" s="29" t="n"/>
      <c r="H35" s="29" t="n"/>
      <c r="I35" s="30" t="n"/>
      <c r="J35" s="30" t="n"/>
      <c r="K35" s="27" t="n"/>
      <c r="L35" s="30" t="n"/>
      <c r="M35" s="31" t="n"/>
      <c r="N35" s="30" t="n"/>
      <c r="O35" s="30" t="n"/>
      <c r="P35" s="30" t="n"/>
      <c r="Q35" s="31" t="n"/>
      <c r="R35" s="30" t="n"/>
      <c r="T35" s="32">
        <f>IF(21&lt;=SUM('1 Matériel'!$E$6:$E$29),21,"")</f>
        <v/>
      </c>
      <c r="U35" s="32">
        <f>IF(T35="","",COUNTIF('1 Matériel'!$F$6:$F$29,"&lt;"&amp;T35)+1)</f>
        <v/>
      </c>
      <c r="V35" s="32">
        <f>IF(U35="","",IF(INDEX('1 Matériel'!$B$6:$B$29,U35)="Oui",1,0))</f>
        <v/>
      </c>
    </row>
    <row r="36" hidden="1" outlineLevel="1" ht="27" customHeight="1">
      <c r="A36" s="7">
        <f>IF(OR(T36="",V36=1),"",T36-COUNTIF(V$15:V36,1))</f>
        <v/>
      </c>
      <c r="B36" s="27" t="n"/>
      <c r="C36" s="27" t="n"/>
      <c r="D36" s="28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29" t="n"/>
      <c r="F36" s="29" t="n"/>
      <c r="G36" s="29" t="n"/>
      <c r="H36" s="29" t="n"/>
      <c r="I36" s="30" t="n"/>
      <c r="J36" s="30" t="n"/>
      <c r="K36" s="27" t="n"/>
      <c r="L36" s="30" t="n"/>
      <c r="M36" s="31" t="n"/>
      <c r="N36" s="30" t="n"/>
      <c r="O36" s="30" t="n"/>
      <c r="P36" s="30" t="n"/>
      <c r="Q36" s="31" t="n"/>
      <c r="R36" s="30" t="n"/>
      <c r="T36" s="32">
        <f>IF(22&lt;=SUM('1 Matériel'!$E$6:$E$29),22,"")</f>
        <v/>
      </c>
      <c r="U36" s="32">
        <f>IF(T36="","",COUNTIF('1 Matériel'!$F$6:$F$29,"&lt;"&amp;T36)+1)</f>
        <v/>
      </c>
      <c r="V36" s="32">
        <f>IF(U36="","",IF(INDEX('1 Matériel'!$B$6:$B$29,U36)="Oui",1,0))</f>
        <v/>
      </c>
    </row>
    <row r="37" hidden="1" outlineLevel="1" ht="27" customHeight="1">
      <c r="A37" s="7">
        <f>IF(OR(T37="",V37=1),"",T37-COUNTIF(V$15:V37,1))</f>
        <v/>
      </c>
      <c r="B37" s="27" t="n"/>
      <c r="C37" s="27" t="n"/>
      <c r="D37" s="28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29" t="n"/>
      <c r="F37" s="29" t="n"/>
      <c r="G37" s="29" t="n"/>
      <c r="H37" s="29" t="n"/>
      <c r="I37" s="30" t="n"/>
      <c r="J37" s="30" t="n"/>
      <c r="K37" s="27" t="n"/>
      <c r="L37" s="30" t="n"/>
      <c r="M37" s="31" t="n"/>
      <c r="N37" s="30" t="n"/>
      <c r="O37" s="30" t="n"/>
      <c r="P37" s="30" t="n"/>
      <c r="Q37" s="31" t="n"/>
      <c r="R37" s="30" t="n"/>
      <c r="T37" s="32">
        <f>IF(23&lt;=SUM('1 Matériel'!$E$6:$E$29),23,"")</f>
        <v/>
      </c>
      <c r="U37" s="32">
        <f>IF(T37="","",COUNTIF('1 Matériel'!$F$6:$F$29,"&lt;"&amp;T37)+1)</f>
        <v/>
      </c>
      <c r="V37" s="32">
        <f>IF(U37="","",IF(INDEX('1 Matériel'!$B$6:$B$29,U37)="Oui",1,0))</f>
        <v/>
      </c>
    </row>
    <row r="38" hidden="1" outlineLevel="1" ht="27" customHeight="1">
      <c r="A38" s="7">
        <f>IF(OR(T38="",V38=1),"",T38-COUNTIF(V$15:V38,1))</f>
        <v/>
      </c>
      <c r="B38" s="27" t="n"/>
      <c r="C38" s="27" t="n"/>
      <c r="D38" s="28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29" t="n"/>
      <c r="F38" s="29" t="n"/>
      <c r="G38" s="29" t="n"/>
      <c r="H38" s="29" t="n"/>
      <c r="I38" s="30" t="n"/>
      <c r="J38" s="30" t="n"/>
      <c r="K38" s="27" t="n"/>
      <c r="L38" s="30" t="n"/>
      <c r="M38" s="31" t="n"/>
      <c r="N38" s="30" t="n"/>
      <c r="O38" s="30" t="n"/>
      <c r="P38" s="30" t="n"/>
      <c r="Q38" s="31" t="n"/>
      <c r="R38" s="30" t="n"/>
      <c r="T38" s="32">
        <f>IF(24&lt;=SUM('1 Matériel'!$E$6:$E$29),24,"")</f>
        <v/>
      </c>
      <c r="U38" s="32">
        <f>IF(T38="","",COUNTIF('1 Matériel'!$F$6:$F$29,"&lt;"&amp;T38)+1)</f>
        <v/>
      </c>
      <c r="V38" s="32">
        <f>IF(U38="","",IF(INDEX('1 Matériel'!$B$6:$B$29,U38)="Oui",1,0))</f>
        <v/>
      </c>
    </row>
    <row r="39" hidden="1" outlineLevel="1" ht="27" customHeight="1">
      <c r="A39" s="7">
        <f>IF(OR(T39="",V39=1),"",T39-COUNTIF(V$15:V39,1))</f>
        <v/>
      </c>
      <c r="B39" s="27" t="n"/>
      <c r="C39" s="27" t="n"/>
      <c r="D39" s="28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29" t="n"/>
      <c r="F39" s="29" t="n"/>
      <c r="G39" s="29" t="n"/>
      <c r="H39" s="29" t="n"/>
      <c r="I39" s="30" t="n"/>
      <c r="J39" s="30" t="n"/>
      <c r="K39" s="27" t="n"/>
      <c r="L39" s="30" t="n"/>
      <c r="M39" s="31" t="n"/>
      <c r="N39" s="30" t="n"/>
      <c r="O39" s="30" t="n"/>
      <c r="P39" s="30" t="n"/>
      <c r="Q39" s="31" t="n"/>
      <c r="R39" s="30" t="n"/>
      <c r="T39" s="32">
        <f>IF(25&lt;=SUM('1 Matériel'!$E$6:$E$29),25,"")</f>
        <v/>
      </c>
      <c r="U39" s="32">
        <f>IF(T39="","",COUNTIF('1 Matériel'!$F$6:$F$29,"&lt;"&amp;T39)+1)</f>
        <v/>
      </c>
      <c r="V39" s="32">
        <f>IF(U39="","",IF(INDEX('1 Matériel'!$B$6:$B$29,U39)="Oui",1,0))</f>
        <v/>
      </c>
    </row>
    <row r="40" hidden="1" outlineLevel="1" ht="27" customHeight="1">
      <c r="A40" s="7">
        <f>IF(OR(T40="",V40=1),"",T40-COUNTIF(V$15:V40,1))</f>
        <v/>
      </c>
      <c r="B40" s="27" t="n"/>
      <c r="C40" s="27" t="n"/>
      <c r="D40" s="28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29" t="n"/>
      <c r="F40" s="29" t="n"/>
      <c r="G40" s="29" t="n"/>
      <c r="H40" s="29" t="n"/>
      <c r="I40" s="30" t="n"/>
      <c r="J40" s="30" t="n"/>
      <c r="K40" s="27" t="n"/>
      <c r="L40" s="30" t="n"/>
      <c r="M40" s="31" t="n"/>
      <c r="N40" s="30" t="n"/>
      <c r="O40" s="30" t="n"/>
      <c r="P40" s="30" t="n"/>
      <c r="Q40" s="31" t="n"/>
      <c r="R40" s="30" t="n"/>
      <c r="T40" s="32">
        <f>IF(26&lt;=SUM('1 Matériel'!$E$6:$E$29),26,"")</f>
        <v/>
      </c>
      <c r="U40" s="32">
        <f>IF(T40="","",COUNTIF('1 Matériel'!$F$6:$F$29,"&lt;"&amp;T40)+1)</f>
        <v/>
      </c>
      <c r="V40" s="32">
        <f>IF(U40="","",IF(INDEX('1 Matériel'!$B$6:$B$29,U40)="Oui",1,0))</f>
        <v/>
      </c>
    </row>
    <row r="41" hidden="1" outlineLevel="1" ht="27" customHeight="1">
      <c r="A41" s="7">
        <f>IF(OR(T41="",V41=1),"",T41-COUNTIF(V$15:V41,1))</f>
        <v/>
      </c>
      <c r="B41" s="27" t="n"/>
      <c r="C41" s="27" t="n"/>
      <c r="D41" s="28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29" t="n"/>
      <c r="F41" s="29" t="n"/>
      <c r="G41" s="29" t="n"/>
      <c r="H41" s="29" t="n"/>
      <c r="I41" s="30" t="n"/>
      <c r="J41" s="30" t="n"/>
      <c r="K41" s="27" t="n"/>
      <c r="L41" s="30" t="n"/>
      <c r="M41" s="31" t="n"/>
      <c r="N41" s="30" t="n"/>
      <c r="O41" s="30" t="n"/>
      <c r="P41" s="30" t="n"/>
      <c r="Q41" s="31" t="n"/>
      <c r="R41" s="30" t="n"/>
      <c r="T41" s="32">
        <f>IF(27&lt;=SUM('1 Matériel'!$E$6:$E$29),27,"")</f>
        <v/>
      </c>
      <c r="U41" s="32">
        <f>IF(T41="","",COUNTIF('1 Matériel'!$F$6:$F$29,"&lt;"&amp;T41)+1)</f>
        <v/>
      </c>
      <c r="V41" s="32">
        <f>IF(U41="","",IF(INDEX('1 Matériel'!$B$6:$B$29,U41)="Oui",1,0))</f>
        <v/>
      </c>
    </row>
    <row r="42" hidden="1" outlineLevel="1" ht="27" customHeight="1">
      <c r="A42" s="7">
        <f>IF(OR(T42="",V42=1),"",T42-COUNTIF(V$15:V42,1))</f>
        <v/>
      </c>
      <c r="B42" s="27" t="n"/>
      <c r="C42" s="27" t="n"/>
      <c r="D42" s="28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29" t="n"/>
      <c r="F42" s="29" t="n"/>
      <c r="G42" s="29" t="n"/>
      <c r="H42" s="29" t="n"/>
      <c r="I42" s="30" t="n"/>
      <c r="J42" s="30" t="n"/>
      <c r="K42" s="27" t="n"/>
      <c r="L42" s="30" t="n"/>
      <c r="M42" s="31" t="n"/>
      <c r="N42" s="30" t="n"/>
      <c r="O42" s="30" t="n"/>
      <c r="P42" s="30" t="n"/>
      <c r="Q42" s="31" t="n"/>
      <c r="R42" s="30" t="n"/>
      <c r="T42" s="32">
        <f>IF(28&lt;=SUM('1 Matériel'!$E$6:$E$29),28,"")</f>
        <v/>
      </c>
      <c r="U42" s="32">
        <f>IF(T42="","",COUNTIF('1 Matériel'!$F$6:$F$29,"&lt;"&amp;T42)+1)</f>
        <v/>
      </c>
      <c r="V42" s="32">
        <f>IF(U42="","",IF(INDEX('1 Matériel'!$B$6:$B$29,U42)="Oui",1,0))</f>
        <v/>
      </c>
    </row>
    <row r="43" hidden="1" outlineLevel="1" ht="27" customHeight="1">
      <c r="A43" s="7">
        <f>IF(OR(T43="",V43=1),"",T43-COUNTIF(V$15:V43,1))</f>
        <v/>
      </c>
      <c r="B43" s="27" t="n"/>
      <c r="C43" s="27" t="n"/>
      <c r="D43" s="28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29" t="n"/>
      <c r="F43" s="29" t="n"/>
      <c r="G43" s="29" t="n"/>
      <c r="H43" s="29" t="n"/>
      <c r="I43" s="30" t="n"/>
      <c r="J43" s="30" t="n"/>
      <c r="K43" s="27" t="n"/>
      <c r="L43" s="30" t="n"/>
      <c r="M43" s="31" t="n"/>
      <c r="N43" s="30" t="n"/>
      <c r="O43" s="30" t="n"/>
      <c r="P43" s="30" t="n"/>
      <c r="Q43" s="31" t="n"/>
      <c r="R43" s="30" t="n"/>
      <c r="T43" s="32">
        <f>IF(29&lt;=SUM('1 Matériel'!$E$6:$E$29),29,"")</f>
        <v/>
      </c>
      <c r="U43" s="32">
        <f>IF(T43="","",COUNTIF('1 Matériel'!$F$6:$F$29,"&lt;"&amp;T43)+1)</f>
        <v/>
      </c>
      <c r="V43" s="32">
        <f>IF(U43="","",IF(INDEX('1 Matériel'!$B$6:$B$29,U43)="Oui",1,0))</f>
        <v/>
      </c>
    </row>
    <row r="44" hidden="1" outlineLevel="1" ht="27" customHeight="1">
      <c r="A44" s="7">
        <f>IF(OR(T44="",V44=1),"",T44-COUNTIF(V$15:V44,1))</f>
        <v/>
      </c>
      <c r="B44" s="27" t="n"/>
      <c r="C44" s="27" t="n"/>
      <c r="D44" s="28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29" t="n"/>
      <c r="F44" s="29" t="n"/>
      <c r="G44" s="29" t="n"/>
      <c r="H44" s="29" t="n"/>
      <c r="I44" s="30" t="n"/>
      <c r="J44" s="30" t="n"/>
      <c r="K44" s="27" t="n"/>
      <c r="L44" s="30" t="n"/>
      <c r="M44" s="31" t="n"/>
      <c r="N44" s="30" t="n"/>
      <c r="O44" s="30" t="n"/>
      <c r="P44" s="30" t="n"/>
      <c r="Q44" s="31" t="n"/>
      <c r="R44" s="30" t="n"/>
      <c r="T44" s="32">
        <f>IF(30&lt;=SUM('1 Matériel'!$E$6:$E$29),30,"")</f>
        <v/>
      </c>
      <c r="U44" s="32">
        <f>IF(T44="","",COUNTIF('1 Matériel'!$F$6:$F$29,"&lt;"&amp;T44)+1)</f>
        <v/>
      </c>
      <c r="V44" s="32">
        <f>IF(U44="","",IF(INDEX('1 Matériel'!$B$6:$B$29,U44)="Oui",1,0))</f>
        <v/>
      </c>
    </row>
    <row r="45" hidden="1" outlineLevel="1" ht="27" customHeight="1">
      <c r="A45" s="7">
        <f>IF(OR(T45="",V45=1),"",T45-COUNTIF(V$15:V45,1))</f>
        <v/>
      </c>
      <c r="B45" s="27" t="n"/>
      <c r="C45" s="27" t="n"/>
      <c r="D45" s="28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29" t="n"/>
      <c r="F45" s="29" t="n"/>
      <c r="G45" s="29" t="n"/>
      <c r="H45" s="29" t="n"/>
      <c r="I45" s="30" t="n"/>
      <c r="J45" s="30" t="n"/>
      <c r="K45" s="27" t="n"/>
      <c r="L45" s="30" t="n"/>
      <c r="M45" s="31" t="n"/>
      <c r="N45" s="30" t="n"/>
      <c r="O45" s="30" t="n"/>
      <c r="P45" s="30" t="n"/>
      <c r="Q45" s="31" t="n"/>
      <c r="R45" s="30" t="n"/>
      <c r="T45" s="32">
        <f>IF(31&lt;=SUM('1 Matériel'!$E$6:$E$29),31,"")</f>
        <v/>
      </c>
      <c r="U45" s="32">
        <f>IF(T45="","",COUNTIF('1 Matériel'!$F$6:$F$29,"&lt;"&amp;T45)+1)</f>
        <v/>
      </c>
      <c r="V45" s="32">
        <f>IF(U45="","",IF(INDEX('1 Matériel'!$B$6:$B$29,U45)="Oui",1,0))</f>
        <v/>
      </c>
    </row>
    <row r="46" hidden="1" outlineLevel="1" ht="27" customHeight="1">
      <c r="A46" s="7">
        <f>IF(OR(T46="",V46=1),"",T46-COUNTIF(V$15:V46,1))</f>
        <v/>
      </c>
      <c r="B46" s="27" t="n"/>
      <c r="C46" s="27" t="n"/>
      <c r="D46" s="28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29" t="n"/>
      <c r="F46" s="29" t="n"/>
      <c r="G46" s="29" t="n"/>
      <c r="H46" s="29" t="n"/>
      <c r="I46" s="30" t="n"/>
      <c r="J46" s="30" t="n"/>
      <c r="K46" s="27" t="n"/>
      <c r="L46" s="30" t="n"/>
      <c r="M46" s="31" t="n"/>
      <c r="N46" s="30" t="n"/>
      <c r="O46" s="30" t="n"/>
      <c r="P46" s="30" t="n"/>
      <c r="Q46" s="31" t="n"/>
      <c r="R46" s="30" t="n"/>
      <c r="T46" s="32">
        <f>IF(32&lt;=SUM('1 Matériel'!$E$6:$E$29),32,"")</f>
        <v/>
      </c>
      <c r="U46" s="32">
        <f>IF(T46="","",COUNTIF('1 Matériel'!$F$6:$F$29,"&lt;"&amp;T46)+1)</f>
        <v/>
      </c>
      <c r="V46" s="32">
        <f>IF(U46="","",IF(INDEX('1 Matériel'!$B$6:$B$29,U46)="Oui",1,0))</f>
        <v/>
      </c>
    </row>
    <row r="47" hidden="1" outlineLevel="1" ht="27" customHeight="1">
      <c r="A47" s="7">
        <f>IF(OR(T47="",V47=1),"",T47-COUNTIF(V$15:V47,1))</f>
        <v/>
      </c>
      <c r="B47" s="27" t="n"/>
      <c r="C47" s="27" t="n"/>
      <c r="D47" s="28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29" t="n"/>
      <c r="F47" s="29" t="n"/>
      <c r="G47" s="29" t="n"/>
      <c r="H47" s="29" t="n"/>
      <c r="I47" s="30" t="n"/>
      <c r="J47" s="30" t="n"/>
      <c r="K47" s="27" t="n"/>
      <c r="L47" s="30" t="n"/>
      <c r="M47" s="31" t="n"/>
      <c r="N47" s="30" t="n"/>
      <c r="O47" s="30" t="n"/>
      <c r="P47" s="30" t="n"/>
      <c r="Q47" s="31" t="n"/>
      <c r="R47" s="30" t="n"/>
      <c r="T47" s="32">
        <f>IF(33&lt;=SUM('1 Matériel'!$E$6:$E$29),33,"")</f>
        <v/>
      </c>
      <c r="U47" s="32">
        <f>IF(T47="","",COUNTIF('1 Matériel'!$F$6:$F$29,"&lt;"&amp;T47)+1)</f>
        <v/>
      </c>
      <c r="V47" s="32">
        <f>IF(U47="","",IF(INDEX('1 Matériel'!$B$6:$B$29,U47)="Oui",1,0))</f>
        <v/>
      </c>
    </row>
    <row r="48" hidden="1" outlineLevel="1" ht="27" customHeight="1">
      <c r="A48" s="7">
        <f>IF(OR(T48="",V48=1),"",T48-COUNTIF(V$15:V48,1))</f>
        <v/>
      </c>
      <c r="B48" s="27" t="n"/>
      <c r="C48" s="27" t="n"/>
      <c r="D48" s="28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29" t="n"/>
      <c r="F48" s="29" t="n"/>
      <c r="G48" s="29" t="n"/>
      <c r="H48" s="29" t="n"/>
      <c r="I48" s="30" t="n"/>
      <c r="J48" s="30" t="n"/>
      <c r="K48" s="27" t="n"/>
      <c r="L48" s="30" t="n"/>
      <c r="M48" s="31" t="n"/>
      <c r="N48" s="30" t="n"/>
      <c r="O48" s="30" t="n"/>
      <c r="P48" s="30" t="n"/>
      <c r="Q48" s="31" t="n"/>
      <c r="R48" s="30" t="n"/>
      <c r="T48" s="32">
        <f>IF(34&lt;=SUM('1 Matériel'!$E$6:$E$29),34,"")</f>
        <v/>
      </c>
      <c r="U48" s="32">
        <f>IF(T48="","",COUNTIF('1 Matériel'!$F$6:$F$29,"&lt;"&amp;T48)+1)</f>
        <v/>
      </c>
      <c r="V48" s="32">
        <f>IF(U48="","",IF(INDEX('1 Matériel'!$B$6:$B$29,U48)="Oui",1,0))</f>
        <v/>
      </c>
    </row>
    <row r="49" hidden="1" outlineLevel="1" ht="27" customHeight="1">
      <c r="A49" s="7">
        <f>IF(OR(T49="",V49=1),"",T49-COUNTIF(V$15:V49,1))</f>
        <v/>
      </c>
      <c r="B49" s="27" t="n"/>
      <c r="C49" s="27" t="n"/>
      <c r="D49" s="28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29" t="n"/>
      <c r="F49" s="29" t="n"/>
      <c r="G49" s="29" t="n"/>
      <c r="H49" s="29" t="n"/>
      <c r="I49" s="30" t="n"/>
      <c r="J49" s="30" t="n"/>
      <c r="K49" s="27" t="n"/>
      <c r="L49" s="30" t="n"/>
      <c r="M49" s="31" t="n"/>
      <c r="N49" s="30" t="n"/>
      <c r="O49" s="30" t="n"/>
      <c r="P49" s="30" t="n"/>
      <c r="Q49" s="31" t="n"/>
      <c r="R49" s="30" t="n"/>
      <c r="T49" s="32">
        <f>IF(35&lt;=SUM('1 Matériel'!$E$6:$E$29),35,"")</f>
        <v/>
      </c>
      <c r="U49" s="32">
        <f>IF(T49="","",COUNTIF('1 Matériel'!$F$6:$F$29,"&lt;"&amp;T49)+1)</f>
        <v/>
      </c>
      <c r="V49" s="32">
        <f>IF(U49="","",IF(INDEX('1 Matériel'!$B$6:$B$29,U49)="Oui",1,0))</f>
        <v/>
      </c>
    </row>
    <row r="50" hidden="1" outlineLevel="1" ht="27" customHeight="1">
      <c r="A50" s="7">
        <f>IF(OR(T50="",V50=1),"",T50-COUNTIF(V$15:V50,1))</f>
        <v/>
      </c>
      <c r="B50" s="27" t="n"/>
      <c r="C50" s="27" t="n"/>
      <c r="D50" s="28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29" t="n"/>
      <c r="F50" s="29" t="n"/>
      <c r="G50" s="29" t="n"/>
      <c r="H50" s="29" t="n"/>
      <c r="I50" s="30" t="n"/>
      <c r="J50" s="30" t="n"/>
      <c r="K50" s="27" t="n"/>
      <c r="L50" s="30" t="n"/>
      <c r="M50" s="31" t="n"/>
      <c r="N50" s="30" t="n"/>
      <c r="O50" s="30" t="n"/>
      <c r="P50" s="30" t="n"/>
      <c r="Q50" s="31" t="n"/>
      <c r="R50" s="30" t="n"/>
      <c r="T50" s="32">
        <f>IF(36&lt;=SUM('1 Matériel'!$E$6:$E$29),36,"")</f>
        <v/>
      </c>
      <c r="U50" s="32">
        <f>IF(T50="","",COUNTIF('1 Matériel'!$F$6:$F$29,"&lt;"&amp;T50)+1)</f>
        <v/>
      </c>
      <c r="V50" s="32">
        <f>IF(U50="","",IF(INDEX('1 Matériel'!$B$6:$B$29,U50)="Oui",1,0))</f>
        <v/>
      </c>
    </row>
    <row r="51" hidden="1" outlineLevel="1" ht="27" customHeight="1">
      <c r="A51" s="7">
        <f>IF(OR(T51="",V51=1),"",T51-COUNTIF(V$15:V51,1))</f>
        <v/>
      </c>
      <c r="B51" s="27" t="n"/>
      <c r="C51" s="27" t="n"/>
      <c r="D51" s="28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29" t="n"/>
      <c r="F51" s="29" t="n"/>
      <c r="G51" s="29" t="n"/>
      <c r="H51" s="29" t="n"/>
      <c r="I51" s="30" t="n"/>
      <c r="J51" s="30" t="n"/>
      <c r="K51" s="27" t="n"/>
      <c r="L51" s="30" t="n"/>
      <c r="M51" s="31" t="n"/>
      <c r="N51" s="30" t="n"/>
      <c r="O51" s="30" t="n"/>
      <c r="P51" s="30" t="n"/>
      <c r="Q51" s="31" t="n"/>
      <c r="R51" s="30" t="n"/>
      <c r="T51" s="32">
        <f>IF(37&lt;=SUM('1 Matériel'!$E$6:$E$29),37,"")</f>
        <v/>
      </c>
      <c r="U51" s="32">
        <f>IF(T51="","",COUNTIF('1 Matériel'!$F$6:$F$29,"&lt;"&amp;T51)+1)</f>
        <v/>
      </c>
      <c r="V51" s="32">
        <f>IF(U51="","",IF(INDEX('1 Matériel'!$B$6:$B$29,U51)="Oui",1,0))</f>
        <v/>
      </c>
    </row>
    <row r="52" hidden="1" outlineLevel="1" ht="27" customHeight="1">
      <c r="A52" s="7">
        <f>IF(OR(T52="",V52=1),"",T52-COUNTIF(V$15:V52,1))</f>
        <v/>
      </c>
      <c r="B52" s="27" t="n"/>
      <c r="C52" s="27" t="n"/>
      <c r="D52" s="28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29" t="n"/>
      <c r="F52" s="29" t="n"/>
      <c r="G52" s="29" t="n"/>
      <c r="H52" s="29" t="n"/>
      <c r="I52" s="30" t="n"/>
      <c r="J52" s="30" t="n"/>
      <c r="K52" s="27" t="n"/>
      <c r="L52" s="30" t="n"/>
      <c r="M52" s="31" t="n"/>
      <c r="N52" s="30" t="n"/>
      <c r="O52" s="30" t="n"/>
      <c r="P52" s="30" t="n"/>
      <c r="Q52" s="31" t="n"/>
      <c r="R52" s="30" t="n"/>
      <c r="T52" s="32">
        <f>IF(38&lt;=SUM('1 Matériel'!$E$6:$E$29),38,"")</f>
        <v/>
      </c>
      <c r="U52" s="32">
        <f>IF(T52="","",COUNTIF('1 Matériel'!$F$6:$F$29,"&lt;"&amp;T52)+1)</f>
        <v/>
      </c>
      <c r="V52" s="32">
        <f>IF(U52="","",IF(INDEX('1 Matériel'!$B$6:$B$29,U52)="Oui",1,0))</f>
        <v/>
      </c>
    </row>
    <row r="53" hidden="1" outlineLevel="1" ht="27" customHeight="1">
      <c r="A53" s="7">
        <f>IF(OR(T53="",V53=1),"",T53-COUNTIF(V$15:V53,1))</f>
        <v/>
      </c>
      <c r="B53" s="27" t="n"/>
      <c r="C53" s="27" t="n"/>
      <c r="D53" s="28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29" t="n"/>
      <c r="F53" s="29" t="n"/>
      <c r="G53" s="29" t="n"/>
      <c r="H53" s="29" t="n"/>
      <c r="I53" s="30" t="n"/>
      <c r="J53" s="30" t="n"/>
      <c r="K53" s="27" t="n"/>
      <c r="L53" s="30" t="n"/>
      <c r="M53" s="31" t="n"/>
      <c r="N53" s="30" t="n"/>
      <c r="O53" s="30" t="n"/>
      <c r="P53" s="30" t="n"/>
      <c r="Q53" s="31" t="n"/>
      <c r="R53" s="30" t="n"/>
      <c r="T53" s="32">
        <f>IF(39&lt;=SUM('1 Matériel'!$E$6:$E$29),39,"")</f>
        <v/>
      </c>
      <c r="U53" s="32">
        <f>IF(T53="","",COUNTIF('1 Matériel'!$F$6:$F$29,"&lt;"&amp;T53)+1)</f>
        <v/>
      </c>
      <c r="V53" s="32">
        <f>IF(U53="","",IF(INDEX('1 Matériel'!$B$6:$B$29,U53)="Oui",1,0))</f>
        <v/>
      </c>
    </row>
    <row r="54" hidden="1" outlineLevel="1" ht="27" customHeight="1">
      <c r="A54" s="7">
        <f>IF(OR(T54="",V54=1),"",T54-COUNTIF(V$15:V54,1))</f>
        <v/>
      </c>
      <c r="B54" s="27" t="n"/>
      <c r="C54" s="27" t="n"/>
      <c r="D54" s="28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29" t="n"/>
      <c r="F54" s="29" t="n"/>
      <c r="G54" s="29" t="n"/>
      <c r="H54" s="29" t="n"/>
      <c r="I54" s="30" t="n"/>
      <c r="J54" s="30" t="n"/>
      <c r="K54" s="27" t="n"/>
      <c r="L54" s="30" t="n"/>
      <c r="M54" s="31" t="n"/>
      <c r="N54" s="30" t="n"/>
      <c r="O54" s="30" t="n"/>
      <c r="P54" s="30" t="n"/>
      <c r="Q54" s="31" t="n"/>
      <c r="R54" s="30" t="n"/>
      <c r="T54" s="32">
        <f>IF(40&lt;=SUM('1 Matériel'!$E$6:$E$29),40,"")</f>
        <v/>
      </c>
      <c r="U54" s="32">
        <f>IF(T54="","",COUNTIF('1 Matériel'!$F$6:$F$29,"&lt;"&amp;T54)+1)</f>
        <v/>
      </c>
      <c r="V54" s="32">
        <f>IF(U54="","",IF(INDEX('1 Matériel'!$B$6:$B$29,U54)="Oui",1,0))</f>
        <v/>
      </c>
    </row>
    <row r="55">
      <c r="A55" s="33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2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5" t="inlineStr">
        <is>
          <t>Colis</t>
        </is>
      </c>
      <c r="B58" s="34" t="n"/>
      <c r="C58" s="25" t="inlineStr">
        <is>
          <t>Support</t>
        </is>
      </c>
      <c r="D58" s="25" t="inlineStr">
        <is>
          <t>Contenu (items de la tool list)</t>
        </is>
      </c>
      <c r="E58" s="25" t="inlineStr">
        <is>
          <t>L (cm)</t>
        </is>
      </c>
      <c r="F58" s="25" t="inlineStr">
        <is>
          <t>l (cm)</t>
        </is>
      </c>
      <c r="G58" s="25" t="inlineStr">
        <is>
          <t>h (cm)</t>
        </is>
      </c>
      <c r="H58" s="25" t="inlineStr">
        <is>
          <t>Poids (kg)</t>
        </is>
      </c>
      <c r="I58" s="25" t="inlineStr">
        <is>
          <t>Volume (m³)</t>
        </is>
      </c>
      <c r="J58" s="25" t="inlineStr">
        <is>
          <t>Remarques</t>
        </is>
      </c>
      <c r="K58" s="34" t="n"/>
    </row>
    <row r="59" ht="22" customHeight="1">
      <c r="A59" s="35" t="inlineStr">
        <is>
          <t>P1</t>
        </is>
      </c>
      <c r="B59" s="36" t="n"/>
      <c r="C59" s="37" t="n"/>
      <c r="D59" s="38">
        <f t="array" ref="D59">_xlfn.TEXTJOIN(", ",TRUE,IF($O$15:$O$54=$A59,$A$15:$A$54,""))</f>
        <v/>
      </c>
      <c r="E59" s="39" t="n"/>
      <c r="F59" s="39" t="n"/>
      <c r="G59" s="39" t="n"/>
      <c r="H59" s="40" t="n"/>
      <c r="I59" s="41">
        <f>IF(COUNT(E59:G59)=3,E59*F59*G59/1000000,"")</f>
        <v/>
      </c>
      <c r="J59" s="42" t="n"/>
      <c r="K59" s="36" t="n"/>
    </row>
    <row r="60" ht="22" customHeight="1">
      <c r="A60" s="35" t="inlineStr">
        <is>
          <t>P2</t>
        </is>
      </c>
      <c r="B60" s="36" t="n"/>
      <c r="C60" s="37" t="n"/>
      <c r="D60" s="38">
        <f t="array" ref="D60">_xlfn.TEXTJOIN(", ",TRUE,IF($O$15:$O$54=$A60,$A$15:$A$54,""))</f>
        <v/>
      </c>
      <c r="E60" s="39" t="n"/>
      <c r="F60" s="39" t="n"/>
      <c r="G60" s="39" t="n"/>
      <c r="H60" s="40" t="n"/>
      <c r="I60" s="41">
        <f>IF(COUNT(E60:G60)=3,E60*F60*G60/1000000,"")</f>
        <v/>
      </c>
      <c r="J60" s="42" t="n"/>
      <c r="K60" s="36" t="n"/>
    </row>
    <row r="61" ht="22" customHeight="1">
      <c r="A61" s="35" t="inlineStr">
        <is>
          <t>P3</t>
        </is>
      </c>
      <c r="B61" s="36" t="n"/>
      <c r="C61" s="37" t="n"/>
      <c r="D61" s="38">
        <f t="array" ref="D61">_xlfn.TEXTJOIN(", ",TRUE,IF($O$15:$O$54=$A61,$A$15:$A$54,""))</f>
        <v/>
      </c>
      <c r="E61" s="39" t="n"/>
      <c r="F61" s="39" t="n"/>
      <c r="G61" s="39" t="n"/>
      <c r="H61" s="40" t="n"/>
      <c r="I61" s="41">
        <f>IF(COUNT(E61:G61)=3,E61*F61*G61/1000000,"")</f>
        <v/>
      </c>
      <c r="J61" s="42" t="n"/>
      <c r="K61" s="36" t="n"/>
    </row>
    <row r="62" ht="22" customHeight="1">
      <c r="A62" s="35" t="inlineStr">
        <is>
          <t>P4</t>
        </is>
      </c>
      <c r="B62" s="36" t="n"/>
      <c r="C62" s="37" t="n"/>
      <c r="D62" s="38">
        <f t="array" ref="D62">_xlfn.TEXTJOIN(", ",TRUE,IF($O$15:$O$54=$A62,$A$15:$A$54,""))</f>
        <v/>
      </c>
      <c r="E62" s="39" t="n"/>
      <c r="F62" s="39" t="n"/>
      <c r="G62" s="39" t="n"/>
      <c r="H62" s="40" t="n"/>
      <c r="I62" s="41">
        <f>IF(COUNT(E62:G62)=3,E62*F62*G62/1000000,"")</f>
        <v/>
      </c>
      <c r="J62" s="42" t="n"/>
      <c r="K62" s="36" t="n"/>
    </row>
    <row r="63" ht="22" customHeight="1">
      <c r="A63" s="35" t="inlineStr">
        <is>
          <t>P5</t>
        </is>
      </c>
      <c r="B63" s="36" t="n"/>
      <c r="C63" s="37" t="n"/>
      <c r="D63" s="38">
        <f t="array" ref="D63">_xlfn.TEXTJOIN(", ",TRUE,IF($O$15:$O$54=$A63,$A$15:$A$54,""))</f>
        <v/>
      </c>
      <c r="E63" s="39" t="n"/>
      <c r="F63" s="39" t="n"/>
      <c r="G63" s="39" t="n"/>
      <c r="H63" s="40" t="n"/>
      <c r="I63" s="41">
        <f>IF(COUNT(E63:G63)=3,E63*F63*G63/1000000,"")</f>
        <v/>
      </c>
      <c r="J63" s="42" t="n"/>
      <c r="K63" s="36" t="n"/>
    </row>
    <row r="64" ht="22" customHeight="1">
      <c r="A64" s="35" t="inlineStr">
        <is>
          <t>P6</t>
        </is>
      </c>
      <c r="B64" s="36" t="n"/>
      <c r="C64" s="37" t="n"/>
      <c r="D64" s="38">
        <f t="array" ref="D64">_xlfn.TEXTJOIN(", ",TRUE,IF($O$15:$O$54=$A64,$A$15:$A$54,""))</f>
        <v/>
      </c>
      <c r="E64" s="39" t="n"/>
      <c r="F64" s="39" t="n"/>
      <c r="G64" s="39" t="n"/>
      <c r="H64" s="40" t="n"/>
      <c r="I64" s="41">
        <f>IF(COUNT(E64:G64)=3,E64*F64*G64/1000000,"")</f>
        <v/>
      </c>
      <c r="J64" s="42" t="n"/>
      <c r="K64" s="36" t="n"/>
    </row>
    <row r="65" ht="22" customHeight="1">
      <c r="A65" s="35" t="inlineStr">
        <is>
          <t>P7</t>
        </is>
      </c>
      <c r="B65" s="36" t="n"/>
      <c r="C65" s="37" t="n"/>
      <c r="D65" s="38">
        <f t="array" ref="D65">_xlfn.TEXTJOIN(", ",TRUE,IF($O$15:$O$54=$A65,$A$15:$A$54,""))</f>
        <v/>
      </c>
      <c r="E65" s="39" t="n"/>
      <c r="F65" s="39" t="n"/>
      <c r="G65" s="39" t="n"/>
      <c r="H65" s="40" t="n"/>
      <c r="I65" s="41">
        <f>IF(COUNT(E65:G65)=3,E65*F65*G65/1000000,"")</f>
        <v/>
      </c>
      <c r="J65" s="42" t="n"/>
      <c r="K65" s="36" t="n"/>
    </row>
    <row r="66" ht="22" customHeight="1">
      <c r="A66" s="35" t="inlineStr">
        <is>
          <t>P8</t>
        </is>
      </c>
      <c r="B66" s="36" t="n"/>
      <c r="C66" s="37" t="n"/>
      <c r="D66" s="38">
        <f t="array" ref="D66">_xlfn.TEXTJOIN(", ",TRUE,IF($O$15:$O$54=$A66,$A$15:$A$54,""))</f>
        <v/>
      </c>
      <c r="E66" s="39" t="n"/>
      <c r="F66" s="39" t="n"/>
      <c r="G66" s="39" t="n"/>
      <c r="H66" s="40" t="n"/>
      <c r="I66" s="41">
        <f>IF(COUNT(E66:G66)=3,E66*F66*G66/1000000,"")</f>
        <v/>
      </c>
      <c r="J66" s="42" t="n"/>
      <c r="K66" s="36" t="n"/>
    </row>
    <row r="67" ht="22" customHeight="1">
      <c r="A67" s="35" t="inlineStr">
        <is>
          <t>P9</t>
        </is>
      </c>
      <c r="B67" s="36" t="n"/>
      <c r="C67" s="37" t="n"/>
      <c r="D67" s="38">
        <f t="array" ref="D67">_xlfn.TEXTJOIN(", ",TRUE,IF($O$15:$O$54=$A67,$A$15:$A$54,""))</f>
        <v/>
      </c>
      <c r="E67" s="39" t="n"/>
      <c r="F67" s="39" t="n"/>
      <c r="G67" s="39" t="n"/>
      <c r="H67" s="40" t="n"/>
      <c r="I67" s="41">
        <f>IF(COUNT(E67:G67)=3,E67*F67*G67/1000000,"")</f>
        <v/>
      </c>
      <c r="J67" s="42" t="n"/>
      <c r="K67" s="36" t="n"/>
    </row>
    <row r="68" ht="22" customHeight="1">
      <c r="A68" s="35" t="inlineStr">
        <is>
          <t>P10</t>
        </is>
      </c>
      <c r="B68" s="36" t="n"/>
      <c r="C68" s="37" t="n"/>
      <c r="D68" s="38">
        <f t="array" ref="D68">_xlfn.TEXTJOIN(", ",TRUE,IF($O$15:$O$54=$A68,$A$15:$A$54,""))</f>
        <v/>
      </c>
      <c r="E68" s="39" t="n"/>
      <c r="F68" s="39" t="n"/>
      <c r="G68" s="39" t="n"/>
      <c r="H68" s="40" t="n"/>
      <c r="I68" s="41">
        <f>IF(COUNT(E68:G68)=3,E68*F68*G68/1000000,"")</f>
        <v/>
      </c>
      <c r="J68" s="42" t="n"/>
      <c r="K68" s="36" t="n"/>
    </row>
    <row r="69" ht="22" customHeight="1">
      <c r="A69" s="35" t="inlineStr">
        <is>
          <t>Loose</t>
        </is>
      </c>
      <c r="B69" s="36" t="n"/>
      <c r="C69" s="43" t="inlineStr">
        <is>
          <t>Loose (vrac)</t>
        </is>
      </c>
      <c r="D69" s="38">
        <f t="array" ref="D69">_xlfn.TEXTJOIN(", ",TRUE,IF($O$15:$O$54=$A69,$A$15:$A$54,""))</f>
        <v/>
      </c>
      <c r="E69" s="36" t="n"/>
      <c r="F69" s="36" t="n"/>
      <c r="G69" s="36" t="n"/>
      <c r="H69" s="40" t="n"/>
      <c r="I69" s="36" t="n"/>
      <c r="J69" s="36" t="n"/>
      <c r="K69" s="36" t="n"/>
    </row>
    <row r="70" ht="22" customHeight="1">
      <c r="A70" s="44">
        <f>"TOTAL  ·  "&amp;COUNTA(C59:C68)&amp;" colis  ·  "&amp;COUNT($A$15:$A$54)&amp;" outil(s)"</f>
        <v/>
      </c>
      <c r="B70" s="45" t="n"/>
      <c r="C70" s="45" t="n"/>
      <c r="D70" s="45" t="n"/>
      <c r="E70" s="45" t="n"/>
      <c r="F70" s="45" t="n"/>
      <c r="G70" s="45" t="n"/>
      <c r="H70" s="46">
        <f>SUM(H59:H69)</f>
        <v/>
      </c>
      <c r="I70" s="47">
        <f>SUM(I59:I68)</f>
        <v/>
      </c>
      <c r="J70" s="48" t="n"/>
      <c r="K70" s="48" t="n"/>
    </row>
    <row r="72" ht="16" customHeight="1">
      <c r="A72" s="49" t="inlineStr">
        <is>
          <t>PRÉPARÉ PAR · Nom, date, signature</t>
        </is>
      </c>
      <c r="B72" s="50" t="n"/>
      <c r="C72" s="50" t="n"/>
      <c r="D72" s="51" t="n"/>
      <c r="E72" s="49" t="inlineStr">
        <is>
          <t>CONTRÔLÉ PAR (superviseur) · Nom, date, signature</t>
        </is>
      </c>
      <c r="F72" s="50" t="n"/>
      <c r="G72" s="50" t="n"/>
      <c r="H72" s="50" t="n"/>
      <c r="I72" s="50" t="n"/>
      <c r="J72" s="50" t="n"/>
      <c r="K72" s="51" t="n"/>
      <c r="L72" s="49" t="inlineStr">
        <is>
          <t>COLISAGE VÉRIFIÉ PAR · Nom, date</t>
        </is>
      </c>
      <c r="M72" s="50" t="n"/>
      <c r="N72" s="50" t="n"/>
      <c r="O72" s="50" t="n"/>
      <c r="P72" s="50" t="n"/>
      <c r="Q72" s="50" t="n"/>
      <c r="R72" s="51" t="n"/>
    </row>
    <row r="73" ht="16" customHeight="1">
      <c r="A73" s="52" t="n"/>
      <c r="B73" s="53" t="n"/>
      <c r="C73" s="53" t="n"/>
      <c r="D73" s="54" t="n"/>
      <c r="E73" s="52" t="n"/>
      <c r="F73" s="53" t="n"/>
      <c r="G73" s="53" t="n"/>
      <c r="H73" s="53" t="n"/>
      <c r="I73" s="53" t="n"/>
      <c r="J73" s="53" t="n"/>
      <c r="K73" s="54" t="n"/>
      <c r="L73" s="52" t="n"/>
      <c r="M73" s="53" t="n"/>
      <c r="N73" s="53" t="n"/>
      <c r="O73" s="53" t="n"/>
      <c r="P73" s="53" t="n"/>
      <c r="Q73" s="53" t="n"/>
      <c r="R73" s="54" t="n"/>
    </row>
    <row r="74" ht="16" customHeight="1">
      <c r="A74" s="52" t="n"/>
      <c r="B74" s="53" t="n"/>
      <c r="C74" s="53" t="n"/>
      <c r="D74" s="54" t="n"/>
      <c r="E74" s="52" t="n"/>
      <c r="F74" s="53" t="n"/>
      <c r="G74" s="53" t="n"/>
      <c r="H74" s="53" t="n"/>
      <c r="I74" s="53" t="n"/>
      <c r="J74" s="53" t="n"/>
      <c r="K74" s="54" t="n"/>
      <c r="L74" s="52" t="n"/>
      <c r="M74" s="53" t="n"/>
      <c r="N74" s="53" t="n"/>
      <c r="O74" s="53" t="n"/>
      <c r="P74" s="53" t="n"/>
      <c r="Q74" s="53" t="n"/>
      <c r="R74" s="54" t="n"/>
    </row>
    <row r="75" ht="16" customHeight="1">
      <c r="A75" s="55" t="n"/>
      <c r="B75" s="36" t="n"/>
      <c r="C75" s="36" t="n"/>
      <c r="D75" s="56" t="n"/>
      <c r="E75" s="55" t="n"/>
      <c r="F75" s="36" t="n"/>
      <c r="G75" s="36" t="n"/>
      <c r="H75" s="36" t="n"/>
      <c r="I75" s="36" t="n"/>
      <c r="J75" s="36" t="n"/>
      <c r="K75" s="56" t="n"/>
      <c r="L75" s="55" t="n"/>
      <c r="M75" s="36" t="n"/>
      <c r="N75" s="36" t="n"/>
      <c r="O75" s="36" t="n"/>
      <c r="P75" s="36" t="n"/>
      <c r="Q75" s="36" t="n"/>
      <c r="R75" s="56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7" t="inlineStr">
        <is>
          <t>Contact Enedril</t>
        </is>
      </c>
      <c r="B1" s="57" t="inlineStr">
        <is>
          <t>E-mail</t>
        </is>
      </c>
      <c r="D1" s="57" t="inlineStr">
        <is>
          <t>Incoterm</t>
        </is>
      </c>
      <c r="E1" s="57" t="inlineStr">
        <is>
          <t>Validité</t>
        </is>
      </c>
      <c r="F1" s="57" t="inlineStr">
        <is>
          <t>Règlement</t>
        </is>
      </c>
      <c r="G1" s="57" t="inlineStr">
        <is>
          <t>Oui / Non</t>
        </is>
      </c>
      <c r="H1" s="58" t="n">
        <v>1</v>
      </c>
      <c r="J1" s="57" t="inlineStr">
        <is>
          <t>Support de colisage</t>
        </is>
      </c>
      <c r="K1" s="57" t="inlineStr">
        <is>
          <t>N° de colis</t>
        </is>
      </c>
      <c r="L1" s="57" t="inlineStr">
        <is>
          <t>Unité</t>
        </is>
      </c>
      <c r="M1" s="57" t="inlineStr">
        <is>
          <t>Mode transport</t>
        </is>
      </c>
      <c r="N1" s="57" t="inlineStr">
        <is>
          <t>Mode forfait</t>
        </is>
      </c>
      <c r="P1" s="57" t="inlineStr">
        <is>
          <t>Statut</t>
        </is>
      </c>
      <c r="Q1" s="57" t="inlineStr">
        <is>
          <t>Test / Taille</t>
        </is>
      </c>
    </row>
    <row r="2">
      <c r="A2" s="59" t="inlineStr">
        <is>
          <t>Fabien JACQUOT</t>
        </is>
      </c>
      <c r="B2" s="59" t="inlineStr">
        <is>
          <t>fjacquot@enedril.fr</t>
        </is>
      </c>
      <c r="D2" s="59" t="inlineStr">
        <is>
          <t>EXW Lons</t>
        </is>
      </c>
      <c r="E2" s="59" t="inlineStr">
        <is>
          <t>15 jours / 15 days</t>
        </is>
      </c>
      <c r="F2" s="59" t="inlineStr">
        <is>
          <t>30 jours date de facture / 30 days invoice date</t>
        </is>
      </c>
      <c r="G2" s="59" t="inlineStr">
        <is>
          <t>Oui</t>
        </is>
      </c>
      <c r="H2" s="60" t="inlineStr">
        <is>
          <t>← langue du devis : 1 = français, 2 = anglais</t>
        </is>
      </c>
      <c r="J2" s="59" t="inlineStr">
        <is>
          <t>Palette</t>
        </is>
      </c>
      <c r="K2" s="59" t="inlineStr">
        <is>
          <t>P1</t>
        </is>
      </c>
      <c r="L2" s="59" t="inlineStr">
        <is>
          <t>forfait</t>
        </is>
      </c>
      <c r="M2" s="59" t="inlineStr">
        <is>
          <t>Coût réel +15 %</t>
        </is>
      </c>
      <c r="N2" s="59" t="inlineStr">
        <is>
          <t>Forfait calculé (S + O + UC)</t>
        </is>
      </c>
      <c r="P2" s="59" t="inlineStr">
        <is>
          <t>Oui</t>
        </is>
      </c>
      <c r="Q2" s="59" t="inlineStr">
        <is>
          <t>Taille OK</t>
        </is>
      </c>
    </row>
    <row r="3">
      <c r="A3" s="59" t="inlineStr">
        <is>
          <t>Alexis ESTINES</t>
        </is>
      </c>
      <c r="B3" s="59" t="inlineStr">
        <is>
          <t>aestines@enedril.fr</t>
        </is>
      </c>
      <c r="D3" s="59" t="inlineStr">
        <is>
          <t>FCA Lons</t>
        </is>
      </c>
      <c r="E3" s="59" t="inlineStr">
        <is>
          <t>30 jours / 30 days</t>
        </is>
      </c>
      <c r="F3" s="59" t="inlineStr">
        <is>
          <t>30 jours fin de mois / 30 days end of month</t>
        </is>
      </c>
      <c r="G3" s="59" t="inlineStr">
        <is>
          <t>Non</t>
        </is>
      </c>
      <c r="J3" s="59" t="inlineStr">
        <is>
          <t>Fishing basket</t>
        </is>
      </c>
      <c r="K3" s="59" t="inlineStr">
        <is>
          <t>P2</t>
        </is>
      </c>
      <c r="L3" s="59" t="inlineStr">
        <is>
          <t>€/jour</t>
        </is>
      </c>
      <c r="M3" s="59" t="inlineStr">
        <is>
          <t>Forfait</t>
        </is>
      </c>
      <c r="N3" s="59" t="inlineStr">
        <is>
          <t>Forfait global</t>
        </is>
      </c>
      <c r="P3" s="59" t="inlineStr">
        <is>
          <t>En cours</t>
        </is>
      </c>
      <c r="Q3" s="59" t="inlineStr">
        <is>
          <t>Test OK</t>
        </is>
      </c>
    </row>
    <row r="4">
      <c r="A4" s="59" t="inlineStr">
        <is>
          <t>Paul HYNDERICK</t>
        </is>
      </c>
      <c r="B4" s="59" t="inlineStr">
        <is>
          <t>phynderick@enedril.fr</t>
        </is>
      </c>
      <c r="D4" s="59" t="inlineStr">
        <is>
          <t>DAP</t>
        </is>
      </c>
      <c r="E4" s="59" t="inlineStr">
        <is>
          <t>60 jours / 60 days</t>
        </is>
      </c>
      <c r="F4" s="59" t="inlineStr">
        <is>
          <t>45 jours fin de mois / 45 days end of month</t>
        </is>
      </c>
      <c r="J4" s="59" t="inlineStr">
        <is>
          <t>Caisse</t>
        </is>
      </c>
      <c r="K4" s="59" t="inlineStr">
        <is>
          <t>P3</t>
        </is>
      </c>
      <c r="L4" s="59" t="inlineStr">
        <is>
          <t>€/jour/pers</t>
        </is>
      </c>
      <c r="N4" s="59" t="inlineStr">
        <is>
          <t>Forfait par jour</t>
        </is>
      </c>
      <c r="Q4" s="59" t="inlineStr">
        <is>
          <t>Taille + test OK</t>
        </is>
      </c>
    </row>
    <row r="5">
      <c r="A5" s="59" t="inlineStr">
        <is>
          <t>Céline CARDONA</t>
        </is>
      </c>
      <c r="B5" s="59" t="inlineStr">
        <is>
          <t>ccardona@enedril.fr</t>
        </is>
      </c>
      <c r="D5" s="59" t="inlineStr">
        <is>
          <t>DDP</t>
        </is>
      </c>
      <c r="E5" s="59" t="inlineStr">
        <is>
          <t>90 jours / 90 days</t>
        </is>
      </c>
      <c r="F5" s="59" t="inlineStr">
        <is>
          <t>À la commande / Upon order</t>
        </is>
      </c>
      <c r="J5" s="59" t="inlineStr">
        <is>
          <t>Loose (vrac)</t>
        </is>
      </c>
      <c r="K5" s="59" t="inlineStr">
        <is>
          <t>P4</t>
        </is>
      </c>
      <c r="L5" s="59" t="inlineStr">
        <is>
          <t>€/pers</t>
        </is>
      </c>
      <c r="Q5" s="59" t="inlineStr">
        <is>
          <t>À contrôler</t>
        </is>
      </c>
    </row>
    <row r="6">
      <c r="A6" s="59" t="inlineStr">
        <is>
          <t>Koen MONDELAERS</t>
        </is>
      </c>
      <c r="B6" s="59" t="inlineStr">
        <is>
          <t>kmondelaers@enedril.fr</t>
        </is>
      </c>
      <c r="D6" s="59" t="inlineStr">
        <is>
          <t>FOB</t>
        </is>
      </c>
      <c r="K6" s="59" t="inlineStr">
        <is>
          <t>P5</t>
        </is>
      </c>
      <c r="L6" s="59" t="inlineStr">
        <is>
          <t>€/unité</t>
        </is>
      </c>
    </row>
    <row r="7">
      <c r="A7" s="59" t="inlineStr">
        <is>
          <t>Luigi LIBERATORE</t>
        </is>
      </c>
      <c r="B7" s="59" t="inlineStr">
        <is>
          <t>lliberatore@enedril.fr</t>
        </is>
      </c>
      <c r="K7" s="59" t="inlineStr">
        <is>
          <t>P6</t>
        </is>
      </c>
    </row>
    <row r="8">
      <c r="K8" s="59" t="inlineStr">
        <is>
          <t>P7</t>
        </is>
      </c>
    </row>
    <row r="9">
      <c r="K9" s="59" t="inlineStr">
        <is>
          <t>P8</t>
        </is>
      </c>
    </row>
    <row r="10">
      <c r="A10" s="14" t="inlineStr">
        <is>
          <t>Pour ajouter un contact, une validité, etc. : écrire à la suite dans la colonne (les listes déroulantes lisent les 12 premières lignes).</t>
        </is>
      </c>
      <c r="K10" s="59" t="inlineStr">
        <is>
          <t>P9</t>
        </is>
      </c>
    </row>
    <row r="11">
      <c r="K11" s="59" t="inlineStr">
        <is>
          <t>P10</t>
        </is>
      </c>
    </row>
    <row r="12">
      <c r="K12" s="59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2026-10-28T14:12:57Z</dcterms:created>
  <dcterms:modified xmlns:dcterms="http://purl.org/dc/terms/" xmlns:xsi="http://www.w3.org/2001/XMLSchema-instance" xsi:type="dcterms:W3CDTF">2026-10-28T14:12:57Z</dcterms:modified>
</cp:coreProperties>
</file>