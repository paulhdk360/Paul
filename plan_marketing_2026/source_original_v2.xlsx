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USTANG SERVICES\7_Marketing\Marketing &amp; Communication\2026\"/>
    </mc:Choice>
  </mc:AlternateContent>
  <xr:revisionPtr revIDLastSave="0" documentId="13_ncr:1_{35576D0A-F287-4D19-B5FF-AC84EC14BA85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Calendrier" sheetId="1" r:id="rId1"/>
    <sheet name="Résultats posts LK " sheetId="2" r:id="rId2"/>
    <sheet name="Évolution abonnés L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3" l="1"/>
  <c r="S14" i="2"/>
  <c r="R12" i="3"/>
  <c r="R9" i="3"/>
  <c r="R7" i="3"/>
  <c r="O7" i="3"/>
  <c r="O6" i="3"/>
  <c r="O5" i="3"/>
  <c r="J78" i="2"/>
  <c r="U15" i="2" s="1"/>
  <c r="I78" i="2"/>
  <c r="U14" i="2" s="1"/>
  <c r="H78" i="2"/>
  <c r="U13" i="2" s="1"/>
  <c r="G78" i="2"/>
  <c r="U12" i="2" s="1"/>
  <c r="F78" i="2"/>
  <c r="U10" i="2" s="1"/>
  <c r="E78" i="2"/>
  <c r="U8" i="2" s="1"/>
  <c r="D78" i="2"/>
  <c r="U7" i="2" s="1"/>
  <c r="C78" i="2"/>
  <c r="U6" i="2" s="1"/>
  <c r="J77" i="2"/>
  <c r="T15" i="2" s="1"/>
  <c r="I77" i="2"/>
  <c r="H77" i="2"/>
  <c r="G77" i="2"/>
  <c r="F77" i="2"/>
  <c r="E77" i="2"/>
  <c r="D77" i="2"/>
  <c r="C77" i="2"/>
  <c r="J54" i="2"/>
  <c r="S15" i="2" s="1"/>
  <c r="I54" i="2"/>
  <c r="H54" i="2"/>
  <c r="S13" i="2" s="1"/>
  <c r="G54" i="2"/>
  <c r="S12" i="2" s="1"/>
  <c r="F54" i="2"/>
  <c r="E54" i="2"/>
  <c r="D54" i="2"/>
  <c r="S7" i="2" s="1"/>
  <c r="C54" i="2"/>
  <c r="S6" i="2" s="1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R15" i="2"/>
  <c r="Q15" i="2"/>
  <c r="H15" i="2"/>
  <c r="T14" i="2"/>
  <c r="R14" i="2"/>
  <c r="Q14" i="2"/>
  <c r="H14" i="2"/>
  <c r="T13" i="2"/>
  <c r="R13" i="2"/>
  <c r="Q13" i="2"/>
  <c r="H13" i="2"/>
  <c r="T12" i="2"/>
  <c r="R12" i="2"/>
  <c r="Q12" i="2"/>
  <c r="H12" i="2"/>
  <c r="R11" i="2"/>
  <c r="T11" i="2" s="1"/>
  <c r="Q11" i="2"/>
  <c r="H11" i="2"/>
  <c r="T10" i="2"/>
  <c r="R10" i="2"/>
  <c r="Q10" i="2"/>
  <c r="H10" i="2"/>
  <c r="R9" i="2"/>
  <c r="T9" i="2" s="1"/>
  <c r="Q9" i="2"/>
  <c r="H9" i="2"/>
  <c r="T8" i="2"/>
  <c r="R8" i="2"/>
  <c r="Q8" i="2"/>
  <c r="H8" i="2"/>
  <c r="T7" i="2"/>
  <c r="R7" i="2"/>
  <c r="Q7" i="2"/>
  <c r="H7" i="2"/>
  <c r="T6" i="2"/>
  <c r="R6" i="2"/>
  <c r="Q6" i="2"/>
  <c r="H6" i="2"/>
  <c r="H5" i="2"/>
  <c r="R15" i="3" l="1"/>
  <c r="R14" i="3"/>
  <c r="R11" i="3"/>
  <c r="S11" i="2"/>
  <c r="U11" i="2" s="1"/>
  <c r="S10" i="2"/>
  <c r="S9" i="2"/>
  <c r="U9" i="2" s="1"/>
  <c r="S8" i="2"/>
</calcChain>
</file>

<file path=xl/sharedStrings.xml><?xml version="1.0" encoding="utf-8"?>
<sst xmlns="http://schemas.openxmlformats.org/spreadsheetml/2006/main" count="179" uniqueCount="112">
  <si>
    <t>LINKEDIN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</si>
  <si>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</si>
  <si>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</si>
  <si>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</si>
  <si>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</si>
  <si>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</si>
  <si>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</si>
  <si>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</si>
  <si>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</si>
  <si>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SEPTEMBRRE</t>
  </si>
  <si>
    <t>OCTOBRE</t>
  </si>
  <si>
    <t>NOVEMBRE</t>
  </si>
  <si>
    <t>DÉCEMBRE</t>
  </si>
  <si>
    <t>►Vœux 2026
►Positionnement Enedril dans l'énergie
►Focus expertise : forage et intervention sur puits</t>
  </si>
  <si>
    <t>►Post pédagogique : rôle de la géothermie aujourd’hui
►Focus compétence technique clé
►Coulisses terrain / équipes
►Geotherm</t>
  </si>
  <si>
    <t>►Journée mondiale de l’eau (22/03)
►Retour d’expérience chantier
►Sécurité, qualité et standards</t>
  </si>
  <si>
    <t>►Journée de la Terre (22/04)
►Typologie de projet géothermie
►Focus métiers &amp; savoir-faire
►WPC Energy Congress (World Petroleum Congress)</t>
  </si>
  <si>
    <t>►Expertise sous-sol / performance forage
►Innovation, méthodes, amélioration continue
►Vie d’entreprise (sobre)
►World Hydrogen Summit &amp; Exhibition</t>
  </si>
  <si>
    <t>►Bilan mi-année
►Cas d’usage / retour client
►Impact environnemental / RSE
►Geodays</t>
  </si>
  <si>
    <t>►Photo terrain / chantier
►14 juillet
►Équipe en action</t>
  </si>
  <si>
    <t>►Activité estivale / préparation projets
►Post pédagogique simple
►Coulisses (léger mais pro)</t>
  </si>
  <si>
    <t>►Reprise &amp; projets en cours
►Expertise technique approfondie
►Organisation projet / coordination</t>
  </si>
  <si>
    <t>►Journée mondiale de l’énergie (16/10)
►Focus géothermie : bénéfices concrets
►Octobre rose</t>
  </si>
  <si>
    <t>►Vision marché &amp; enjeux énergie
►Retour terrain / expertise spécifique
►Movember
►ADIPEC 2026</t>
  </si>
  <si>
    <t>►Rétrospective projets
►Mise en avant des équipes
►Clôture d’année
►Organiser un goûter dans une école</t>
  </si>
  <si>
    <t>BLOG</t>
  </si>
  <si>
    <t>ÉVÈNEMENTS / SALONS CONFIRMÉS</t>
  </si>
  <si>
    <t>►Journées de la Géothermie</t>
  </si>
  <si>
    <t>►Think GeoEnergy</t>
  </si>
  <si>
    <t>►GeoRin
►WPC Energy Congress (World Petroleum Congress)</t>
  </si>
  <si>
    <t>►World Hydrogen Summit &amp; Exhibition</t>
  </si>
  <si>
    <t>►Geodays</t>
  </si>
  <si>
    <t>►Journée mondiale de l’énergie (16/10)
►Octobre rose</t>
  </si>
  <si>
    <t>►Movember
►ADIPEC 2026</t>
  </si>
  <si>
    <t>Nbre posts</t>
  </si>
  <si>
    <t>Post</t>
  </si>
  <si>
    <t>Date publication</t>
  </si>
  <si>
    <t>Type</t>
  </si>
  <si>
    <t>Nbre vues vidéo</t>
  </si>
  <si>
    <t>Impressions</t>
  </si>
  <si>
    <t>Engagements</t>
  </si>
  <si>
    <t>Taux d'engagement (%)</t>
  </si>
  <si>
    <t>Clics</t>
  </si>
  <si>
    <t>Taux de clics (%)</t>
  </si>
  <si>
    <t>Réactions</t>
  </si>
  <si>
    <t>Commentaires</t>
  </si>
  <si>
    <t>Partages</t>
  </si>
  <si>
    <t>Budget</t>
  </si>
  <si>
    <t>KPI — POSTS LINKEDIN (évolution 2024 → 2026)</t>
  </si>
  <si>
    <t>Vœux 2026</t>
  </si>
  <si>
    <t>-</t>
  </si>
  <si>
    <t>Métrique</t>
  </si>
  <si>
    <t>2024</t>
  </si>
  <si>
    <t>2025</t>
  </si>
  <si>
    <t>2026</t>
  </si>
  <si>
    <t>Évol. 24→25</t>
  </si>
  <si>
    <t>Évol. 25→26</t>
  </si>
  <si>
    <t>Arrivée Koen</t>
  </si>
  <si>
    <t>Nb posts</t>
  </si>
  <si>
    <t>Annonce présence GeoTHERM</t>
  </si>
  <si>
    <t>Enedril au GeoTHERM</t>
  </si>
  <si>
    <t>DTS350</t>
  </si>
  <si>
    <t>Vidéo</t>
  </si>
  <si>
    <t>z</t>
  </si>
  <si>
    <t>Taux d'engagement moyen</t>
  </si>
  <si>
    <t>Performance Kem One</t>
  </si>
  <si>
    <t>Junk Mill GMX 10</t>
  </si>
  <si>
    <t>Taux de clics moyen</t>
  </si>
  <si>
    <t>HIRING : Assistante comptable</t>
  </si>
  <si>
    <t>Post 4000 abonnés</t>
  </si>
  <si>
    <t>Cartes Jobs paris Geothermie</t>
  </si>
  <si>
    <t>Annonce Geodays</t>
  </si>
  <si>
    <t>Retour sur Geodays</t>
  </si>
  <si>
    <t>Soletanche</t>
  </si>
  <si>
    <t>Teambuilding</t>
  </si>
  <si>
    <t>Salon GEOFLUID</t>
  </si>
  <si>
    <t>Octobre Rose</t>
  </si>
  <si>
    <t>Prospection foreurs</t>
  </si>
  <si>
    <t>Réception IFP</t>
  </si>
  <si>
    <t>Case study part 1</t>
  </si>
  <si>
    <t xml:space="preserve">Case study part 2 </t>
  </si>
  <si>
    <t>Anti-collision KEM One</t>
  </si>
  <si>
    <t>Nouvelle Break Out</t>
  </si>
  <si>
    <t>Nombre de posts</t>
  </si>
  <si>
    <t>Taux d'évolution 2024/2025</t>
  </si>
  <si>
    <t>Taux d'évolution 2025/2026</t>
  </si>
  <si>
    <t>Nombre d'abonnés / mois</t>
  </si>
  <si>
    <t>Janvier</t>
  </si>
  <si>
    <t xml:space="preserve">Février 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</si>
  <si>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</si>
  <si>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</si>
  <si>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</si>
  <si>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</si>
  <si>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</si>
  <si>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</si>
  <si>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</si>
  <si>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</si>
  <si>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</si>
  <si>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</si>
  <si>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</si>
  <si>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KPI — ABONNÉS LINKEDIN</t>
  </si>
  <si>
    <t>Abonnés au 01/01/2024</t>
  </si>
  <si>
    <t>Abonnés au 31/12/2024</t>
  </si>
  <si>
    <t>Croissance 2024</t>
  </si>
  <si>
    <t>Abonnés au 31/12/2025</t>
  </si>
  <si>
    <t>Croissance 2025</t>
  </si>
  <si>
    <t>Abonnés actuels (cumul 2026 à date)</t>
  </si>
  <si>
    <t>Croissance 2026 (à date)</t>
  </si>
  <si>
    <t>Moyenne abonnés / mois 2026 (à date)</t>
  </si>
  <si>
    <t>Objectif 2026</t>
  </si>
  <si>
    <t>Restant à atteindre</t>
  </si>
  <si>
    <t>% de l'objectif atteint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</si>
</sst>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"/>
    <numFmt numFmtId="165" formatCode="0.0%"/>
    <numFmt numFmtId="166" formatCode="#,##0&quot; €&quot;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30"/>
      <color theme="1"/>
      <name val="Segoe"/>
    </font>
    <font>
      <b/>
      <sz val="30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color theme="6" tint="0.59999389629810485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</font>
    <font>
      <b/>
      <sz val="11"/>
      <color rgb="FFFFFFFF"/>
      <name val="Calibri"/>
    </font>
    <font>
      <sz val="11"/>
      <name val="Calibri"/>
    </font>
    <font>
      <b/>
      <sz val="11"/>
      <color rgb="FF1F3B70"/>
      <name val="Calibri"/>
    </font>
    <font>
      <b/>
      <sz val="10"/>
      <color rgb="FF1F3B7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3B70"/>
      </patternFill>
    </fill>
    <fill>
      <patternFill patternType="solid">
        <fgColor rgb="FFD9E1F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9" fillId="0" borderId="0"/>
  </cellStyleXfs>
  <cellXfs count="79">
    <xf numFmtId="0" fontId="0" fillId="0" borderId="0" xfId="0"/>
    <xf numFmtId="0" fontId="2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7" fontId="0" fillId="0" borderId="0" xfId="0" applyNumberFormat="1"/>
    <xf numFmtId="9" fontId="0" fillId="0" borderId="0" xfId="1" applyFont="1"/>
    <xf numFmtId="0" fontId="10" fillId="0" borderId="1" xfId="0" applyFont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" fontId="9" fillId="0" borderId="1" xfId="1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10" fontId="1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vertical="top" wrapText="1"/>
    </xf>
    <xf numFmtId="0" fontId="18" fillId="5" borderId="10" xfId="0" applyFont="1" applyFill="1" applyBorder="1" applyAlignment="1">
      <alignment horizontal="left" vertical="center"/>
    </xf>
    <xf numFmtId="0" fontId="18" fillId="5" borderId="10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left" vertical="center"/>
    </xf>
    <xf numFmtId="3" fontId="17" fillId="5" borderId="10" xfId="0" applyNumberFormat="1" applyFont="1" applyFill="1" applyBorder="1" applyAlignment="1">
      <alignment horizontal="right" vertical="center"/>
    </xf>
    <xf numFmtId="0" fontId="16" fillId="0" borderId="10" xfId="0" applyFont="1" applyBorder="1" applyAlignment="1">
      <alignment horizontal="left" vertical="center"/>
    </xf>
    <xf numFmtId="3" fontId="17" fillId="0" borderId="10" xfId="0" applyNumberFormat="1" applyFont="1" applyBorder="1" applyAlignment="1">
      <alignment horizontal="right" vertical="center"/>
    </xf>
    <xf numFmtId="165" fontId="17" fillId="5" borderId="10" xfId="0" applyNumberFormat="1" applyFont="1" applyFill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right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" fontId="16" fillId="0" borderId="10" xfId="0" applyNumberFormat="1" applyFont="1" applyBorder="1" applyAlignment="1">
      <alignment horizontal="left" vertical="center"/>
    </xf>
    <xf numFmtId="0" fontId="12" fillId="0" borderId="10" xfId="0" applyFont="1" applyBorder="1"/>
    <xf numFmtId="3" fontId="0" fillId="0" borderId="10" xfId="0" quotePrefix="1" applyNumberFormat="1" applyBorder="1" applyAlignment="1">
      <alignment horizontal="center" vertical="center"/>
    </xf>
    <xf numFmtId="3" fontId="16" fillId="0" borderId="10" xfId="0" applyNumberFormat="1" applyFont="1" applyBorder="1" applyAlignment="1">
      <alignment horizontal="left" vertical="center"/>
    </xf>
    <xf numFmtId="1" fontId="14" fillId="0" borderId="9" xfId="0" applyNumberFormat="1" applyFont="1" applyBorder="1" applyAlignment="1">
      <alignment horizontal="center" vertical="center"/>
    </xf>
    <xf numFmtId="3" fontId="14" fillId="0" borderId="9" xfId="0" applyNumberFormat="1" applyFont="1" applyBorder="1" applyAlignment="1">
      <alignment horizontal="center" vertical="center"/>
    </xf>
    <xf numFmtId="0" fontId="13" fillId="0" borderId="10" xfId="0" applyFont="1" applyBorder="1"/>
    <xf numFmtId="0" fontId="14" fillId="0" borderId="9" xfId="0" applyFont="1" applyBorder="1"/>
    <xf numFmtId="17" fontId="16" fillId="5" borderId="10" xfId="0" applyNumberFormat="1" applyFont="1" applyFill="1" applyBorder="1" applyAlignment="1">
      <alignment horizontal="left" vertical="center"/>
    </xf>
    <xf numFmtId="0" fontId="14" fillId="0" borderId="9" xfId="0" applyFont="1" applyBorder="1" applyAlignment="1">
      <alignment horizontal="right" vertical="center"/>
    </xf>
    <xf numFmtId="3" fontId="17" fillId="5" borderId="10" xfId="0" applyNumberFormat="1" applyFont="1" applyFill="1" applyBorder="1" applyAlignment="1">
      <alignment horizontal="center" vertical="center"/>
    </xf>
    <xf numFmtId="165" fontId="16" fillId="5" borderId="10" xfId="0" applyNumberFormat="1" applyFont="1" applyFill="1" applyBorder="1" applyAlignment="1">
      <alignment horizontal="center" vertical="center"/>
    </xf>
    <xf numFmtId="3" fontId="17" fillId="0" borderId="10" xfId="0" applyNumberFormat="1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 vertical="center"/>
    </xf>
    <xf numFmtId="165" fontId="17" fillId="5" borderId="10" xfId="0" applyNumberFormat="1" applyFont="1" applyFill="1" applyBorder="1" applyAlignment="1">
      <alignment horizontal="center" vertical="center"/>
    </xf>
    <xf numFmtId="165" fontId="17" fillId="0" borderId="10" xfId="0" applyNumberFormat="1" applyFont="1" applyBorder="1" applyAlignment="1">
      <alignment horizontal="center" vertical="center"/>
    </xf>
    <xf numFmtId="166" fontId="17" fillId="0" borderId="10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15" fillId="4" borderId="9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10" xfId="0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LinkedIn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'Résultats posts LK '!$B$52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'Résultats posts LK '!$C$51:$J$51</c:f>
              <c:strCache>
                <c:ptCount val="8"/>
                <c:pt idx="0">
                  <c:v>Nombre de posts</c:v>
                </c:pt>
                <c:pt idx="1">
                  <c:v>Impressions</c:v>
                </c:pt>
                <c:pt idx="2">
                  <c:v>Engagements</c:v>
                </c:pt>
                <c:pt idx="3">
                  <c:v>Clics</c:v>
                </c:pt>
                <c:pt idx="4">
                  <c:v>Réactions</c:v>
                </c:pt>
                <c:pt idx="5">
                  <c:v>Commentaires</c:v>
                </c:pt>
                <c:pt idx="6">
                  <c:v>Partages</c:v>
                </c:pt>
                <c:pt idx="7">
                  <c:v>Budget</c:v>
                </c:pt>
              </c:strCache>
            </c:strRef>
          </c:cat>
          <c:val>
            <c:numRef>
              <c:f>'Résultats posts LK '!$C$52:$J$52</c:f>
              <c:numCache>
                <c:formatCode>#,##0</c:formatCode>
                <c:ptCount val="8"/>
                <c:pt idx="0" formatCode="General">
                  <c:v>29</c:v>
                </c:pt>
                <c:pt idx="1">
                  <c:v>187339</c:v>
                </c:pt>
                <c:pt idx="2">
                  <c:v>27672</c:v>
                </c:pt>
                <c:pt idx="3">
                  <c:v>17886</c:v>
                </c:pt>
                <c:pt idx="4">
                  <c:v>1882</c:v>
                </c:pt>
                <c:pt idx="5">
                  <c:v>96</c:v>
                </c:pt>
                <c:pt idx="6">
                  <c:v>50</c:v>
                </c:pt>
                <c:pt idx="7" formatCode="#\ ##0\ &quot;€&quot;">
                  <c:v>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6-49BC-A89A-AA1F274B5750}"/>
            </c:ext>
          </c:extLst>
        </c:ser>
        <c:ser>
          <c:idx val="1"/>
          <c:order val="1"/>
          <c:tx>
            <c:strRef>
              <c:f>'Résultats posts LK '!$B$53</c:f>
              <c:strCache>
                <c:ptCount val="1"/>
                <c:pt idx="0">
                  <c:v>2025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'Résultats posts LK '!$C$51:$J$51</c:f>
              <c:strCache>
                <c:ptCount val="8"/>
                <c:pt idx="0">
                  <c:v>Nombre de posts</c:v>
                </c:pt>
                <c:pt idx="1">
                  <c:v>Impressions</c:v>
                </c:pt>
                <c:pt idx="2">
                  <c:v>Engagements</c:v>
                </c:pt>
                <c:pt idx="3">
                  <c:v>Clics</c:v>
                </c:pt>
                <c:pt idx="4">
                  <c:v>Réactions</c:v>
                </c:pt>
                <c:pt idx="5">
                  <c:v>Commentaires</c:v>
                </c:pt>
                <c:pt idx="6">
                  <c:v>Partages</c:v>
                </c:pt>
                <c:pt idx="7">
                  <c:v>Budget</c:v>
                </c:pt>
              </c:strCache>
            </c:strRef>
          </c:cat>
          <c:val>
            <c:numRef>
              <c:f>'Résultats posts LK '!$C$53:$J$53</c:f>
              <c:numCache>
                <c:formatCode>#,##0</c:formatCode>
                <c:ptCount val="8"/>
                <c:pt idx="0" formatCode="General">
                  <c:v>35</c:v>
                </c:pt>
                <c:pt idx="1">
                  <c:v>648545</c:v>
                </c:pt>
                <c:pt idx="2">
                  <c:v>27877</c:v>
                </c:pt>
                <c:pt idx="3">
                  <c:v>20958</c:v>
                </c:pt>
                <c:pt idx="4">
                  <c:v>2675</c:v>
                </c:pt>
                <c:pt idx="5">
                  <c:v>167</c:v>
                </c:pt>
                <c:pt idx="6" formatCode="0">
                  <c:v>96</c:v>
                </c:pt>
                <c:pt idx="7" formatCode="#\ ##0\ &quot;€&quot;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6-49BC-A89A-AA1F274B5750}"/>
            </c:ext>
          </c:extLst>
        </c:ser>
        <c:ser>
          <c:idx val="2"/>
          <c:order val="2"/>
          <c:tx>
            <c:strRef>
              <c:f>'Résultats posts LK '!$B$54</c:f>
              <c:strCache>
                <c:ptCount val="1"/>
                <c:pt idx="0">
                  <c:v>2026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'Résultats posts LK '!$C$51:$J$51</c:f>
              <c:strCache>
                <c:ptCount val="8"/>
                <c:pt idx="0">
                  <c:v>Nombre de posts</c:v>
                </c:pt>
                <c:pt idx="1">
                  <c:v>Impressions</c:v>
                </c:pt>
                <c:pt idx="2">
                  <c:v>Engagements</c:v>
                </c:pt>
                <c:pt idx="3">
                  <c:v>Clics</c:v>
                </c:pt>
                <c:pt idx="4">
                  <c:v>Réactions</c:v>
                </c:pt>
                <c:pt idx="5">
                  <c:v>Commentaires</c:v>
                </c:pt>
                <c:pt idx="6">
                  <c:v>Partages</c:v>
                </c:pt>
                <c:pt idx="7">
                  <c:v>Budget</c:v>
                </c:pt>
              </c:strCache>
            </c:strRef>
          </c:cat>
          <c:val>
            <c:numRef>
              <c:f>'Résultats posts LK '!$C$54:$J$54</c:f>
              <c:numCache>
                <c:formatCode>#,##0</c:formatCode>
                <c:ptCount val="8"/>
                <c:pt idx="0" formatCode="General">
                  <c:v>22</c:v>
                </c:pt>
                <c:pt idx="1">
                  <c:v>112424</c:v>
                </c:pt>
                <c:pt idx="2">
                  <c:v>8963</c:v>
                </c:pt>
                <c:pt idx="3">
                  <c:v>7606</c:v>
                </c:pt>
                <c:pt idx="4">
                  <c:v>1221</c:v>
                </c:pt>
                <c:pt idx="5">
                  <c:v>51</c:v>
                </c:pt>
                <c:pt idx="6" formatCode="0">
                  <c:v>35</c:v>
                </c:pt>
                <c:pt idx="7" formatCode="#\ ##0\ &quot;€&quot;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E6-49BC-A89A-AA1F274B5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143696"/>
        <c:axId val="1123142256"/>
      </c:lineChart>
      <c:catAx>
        <c:axId val="112314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3142256"/>
        <c:crosses val="autoZero"/>
        <c:auto val="1"/>
        <c:lblAlgn val="ctr"/>
        <c:lblOffset val="100"/>
        <c:noMultiLvlLbl val="0"/>
      </c:catAx>
      <c:valAx>
        <c:axId val="11231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31436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Nombre d'abonnés / mois en 2025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92D050"/>
              </a:solidFill>
              <a:prstDash val="solid"/>
              <a:round/>
            </a:ln>
          </c:spPr>
          <c:marker>
            <c:symbol val="none"/>
          </c:marker>
          <c:cat>
            <c:strRef>
              <c:f>'Évolution abonnés LK'!$C$4:$N$4</c:f>
              <c:strCache>
                <c:ptCount val="12"/>
                <c:pt idx="0">
                  <c:v>Janvier</c:v>
                </c:pt>
                <c:pt idx="1">
                  <c:v>Février 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'Évolution abonnés LK'!$C$5:$N$5</c:f>
              <c:numCache>
                <c:formatCode>#,##0</c:formatCode>
                <c:ptCount val="12"/>
                <c:pt idx="0">
                  <c:v>47</c:v>
                </c:pt>
                <c:pt idx="1">
                  <c:v>91</c:v>
                </c:pt>
                <c:pt idx="2">
                  <c:v>124</c:v>
                </c:pt>
                <c:pt idx="3">
                  <c:v>142</c:v>
                </c:pt>
                <c:pt idx="4">
                  <c:v>125</c:v>
                </c:pt>
                <c:pt idx="5">
                  <c:v>68</c:v>
                </c:pt>
                <c:pt idx="6">
                  <c:v>70</c:v>
                </c:pt>
                <c:pt idx="7">
                  <c:v>23</c:v>
                </c:pt>
                <c:pt idx="8">
                  <c:v>68</c:v>
                </c:pt>
                <c:pt idx="9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0-4D3B-A780-60CFBCA9F050}"/>
            </c:ext>
          </c:extLst>
        </c:ser>
        <c:ser>
          <c:idx val="1"/>
          <c:order val="1"/>
          <c:spPr>
            <a:ln w="9525" cap="rnd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'Évolution abonnés LK'!$C$4:$N$4</c:f>
              <c:strCache>
                <c:ptCount val="12"/>
                <c:pt idx="0">
                  <c:v>Janvier</c:v>
                </c:pt>
                <c:pt idx="1">
                  <c:v>Février 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'Évolution abonnés LK'!$C$6:$N$6</c:f>
              <c:numCache>
                <c:formatCode>#,##0</c:formatCode>
                <c:ptCount val="12"/>
                <c:pt idx="0">
                  <c:v>132</c:v>
                </c:pt>
                <c:pt idx="1">
                  <c:v>102</c:v>
                </c:pt>
                <c:pt idx="2">
                  <c:v>144</c:v>
                </c:pt>
                <c:pt idx="3">
                  <c:v>108</c:v>
                </c:pt>
                <c:pt idx="4">
                  <c:v>191</c:v>
                </c:pt>
                <c:pt idx="5">
                  <c:v>162</c:v>
                </c:pt>
                <c:pt idx="6">
                  <c:v>88</c:v>
                </c:pt>
                <c:pt idx="7">
                  <c:v>113</c:v>
                </c:pt>
                <c:pt idx="8">
                  <c:v>93</c:v>
                </c:pt>
                <c:pt idx="9">
                  <c:v>108</c:v>
                </c:pt>
                <c:pt idx="10">
                  <c:v>65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0-4D3B-A780-60CFBCA9F050}"/>
            </c:ext>
          </c:extLst>
        </c:ser>
        <c:ser>
          <c:idx val="2"/>
          <c:order val="2"/>
          <c:spPr>
            <a:ln w="952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'Évolution abonnés LK'!$C$4:$N$4</c:f>
              <c:strCache>
                <c:ptCount val="12"/>
                <c:pt idx="0">
                  <c:v>Janvier</c:v>
                </c:pt>
                <c:pt idx="1">
                  <c:v>Février 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'Évolution abonnés LK'!$C$7:$N$7</c:f>
              <c:numCache>
                <c:formatCode>#,##0</c:formatCode>
                <c:ptCount val="12"/>
                <c:pt idx="0">
                  <c:v>37</c:v>
                </c:pt>
                <c:pt idx="1">
                  <c:v>11</c:v>
                </c:pt>
                <c:pt idx="2">
                  <c:v>50</c:v>
                </c:pt>
                <c:pt idx="3">
                  <c:v>47</c:v>
                </c:pt>
                <c:pt idx="4">
                  <c:v>186</c:v>
                </c:pt>
                <c:pt idx="5">
                  <c:v>169</c:v>
                </c:pt>
                <c:pt idx="6">
                  <c:v>144</c:v>
                </c:pt>
                <c:pt idx="7">
                  <c:v>153</c:v>
                </c:pt>
                <c:pt idx="8">
                  <c:v>125</c:v>
                </c:pt>
                <c:pt idx="9">
                  <c:v>206</c:v>
                </c:pt>
                <c:pt idx="10">
                  <c:v>129</c:v>
                </c:pt>
                <c:pt idx="11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B0-4D3B-A780-60CFBCA9F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326704"/>
        <c:axId val="301327184"/>
      </c:lineChart>
      <c:catAx>
        <c:axId val="30132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1327184"/>
        <c:crosses val="autoZero"/>
        <c:auto val="1"/>
        <c:lblAlgn val="ctr"/>
        <c:lblOffset val="100"/>
        <c:noMultiLvlLbl val="0"/>
      </c:catAx>
      <c:valAx>
        <c:axId val="30132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13267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21297</xdr:colOff>
      <xdr:row>55</xdr:row>
      <xdr:rowOff>68981</xdr:rowOff>
    </xdr:from>
    <xdr:to>
      <xdr:col>10</xdr:col>
      <xdr:colOff>54429</xdr:colOff>
      <xdr:row>73</xdr:row>
      <xdr:rowOff>108856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8</xdr:row>
      <xdr:rowOff>176211</xdr:rowOff>
    </xdr:from>
    <xdr:to>
      <xdr:col>14</xdr:col>
      <xdr:colOff>742950</xdr:colOff>
      <xdr:row>30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7"/>
  <sheetViews>
    <sheetView showGridLines="0" zoomScale="85" zoomScaleNormal="85" workbookViewId="0">
      <selection activeCell="L9" sqref="L9"/>
    </sheetView>
  </sheetViews>
  <sheetFormatPr baseColWidth="10" defaultRowHeight="15"/>
  <cols>
    <col min="2" max="2" width="40.28515625" bestFit="1" customWidth="1"/>
    <col min="3" max="3" width="26" customWidth="1"/>
    <col min="4" max="4" width="21.140625" customWidth="1"/>
    <col min="5" max="5" width="21.28515625" bestFit="1" customWidth="1"/>
    <col min="6" max="6" width="36.140625" bestFit="1" customWidth="1"/>
    <col min="7" max="7" width="27.140625" customWidth="1"/>
    <col min="8" max="8" width="28.7109375" bestFit="1" customWidth="1"/>
    <col min="9" max="9" width="24" bestFit="1" customWidth="1"/>
    <col min="10" max="10" width="25" customWidth="1"/>
    <col min="11" max="12" width="22.85546875" bestFit="1" customWidth="1"/>
    <col min="13" max="13" width="24.5703125" customWidth="1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1.75" customHeight="1">
      <c r="A3" s="2"/>
      <c r="B3" s="77" t="s">
        <v>0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</row>
    <row r="4" spans="1:13" ht="15" customHeight="1">
      <c r="A4" s="2"/>
      <c r="B4" s="66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 spans="1:13" ht="48" customHeight="1">
      <c r="A7" s="2"/>
      <c r="B7" s="15">
        <v>3</v>
      </c>
      <c r="C7" s="15">
        <v>4</v>
      </c>
      <c r="D7" s="16">
        <v>3</v>
      </c>
      <c r="E7" s="16">
        <v>3</v>
      </c>
      <c r="F7" s="16">
        <v>3</v>
      </c>
      <c r="G7" s="16">
        <v>4</v>
      </c>
      <c r="H7" s="16">
        <v>3</v>
      </c>
      <c r="I7" s="16">
        <v>3</v>
      </c>
      <c r="J7" s="16">
        <v>3</v>
      </c>
      <c r="K7" s="16">
        <v>3</v>
      </c>
      <c r="L7" s="16">
        <v>3</v>
      </c>
      <c r="M7" s="16">
        <v>4</v>
      </c>
    </row>
    <row r="8" spans="1:13" ht="171" customHeight="1">
      <c r="A8" s="2"/>
      <c r="B8" s="14" t="s">
        <v>13</v>
      </c>
      <c r="C8" s="14" t="s">
        <v>14</v>
      </c>
      <c r="D8" s="14" t="s">
        <v>15</v>
      </c>
      <c r="E8" s="14" t="s">
        <v>16</v>
      </c>
      <c r="F8" s="14" t="s">
        <v>17</v>
      </c>
      <c r="G8" s="14" t="s">
        <v>18</v>
      </c>
      <c r="H8" s="14" t="s">
        <v>19</v>
      </c>
      <c r="I8" s="14" t="s">
        <v>20</v>
      </c>
      <c r="J8" s="14" t="s">
        <v>21</v>
      </c>
      <c r="K8" s="14" t="s">
        <v>22</v>
      </c>
      <c r="L8" s="14" t="s">
        <v>23</v>
      </c>
      <c r="M8" s="14" t="s">
        <v>24</v>
      </c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21.75" customHeight="1">
      <c r="A13" s="2"/>
      <c r="B13" s="76" t="s">
        <v>25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5"/>
    </row>
    <row r="14" spans="1:13" ht="37.5" customHeight="1">
      <c r="A14" s="2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8"/>
    </row>
    <row r="15" spans="1:13">
      <c r="A15" s="2"/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</row>
    <row r="16" spans="1:13" s="8" customFormat="1" ht="81" customHeight="1">
      <c r="A16" s="7"/>
      <c r="B16" s="10"/>
      <c r="C16" s="10"/>
      <c r="D16" s="10"/>
      <c r="E16" s="11"/>
      <c r="F16" s="10"/>
      <c r="G16" s="10"/>
      <c r="H16" s="10"/>
      <c r="I16" s="10"/>
      <c r="J16" s="10"/>
      <c r="K16" s="10"/>
      <c r="L16" s="10"/>
      <c r="M16" s="10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74" t="s">
        <v>26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</row>
    <row r="19" spans="1:13">
      <c r="A19" s="2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32" t="s">
        <v>1</v>
      </c>
      <c r="C21" s="32" t="s">
        <v>2</v>
      </c>
      <c r="D21" s="32" t="s">
        <v>3</v>
      </c>
      <c r="E21" s="32" t="s">
        <v>4</v>
      </c>
      <c r="F21" s="32" t="s">
        <v>5</v>
      </c>
      <c r="G21" s="32" t="s">
        <v>6</v>
      </c>
      <c r="H21" s="32" t="s">
        <v>7</v>
      </c>
      <c r="I21" s="32" t="s">
        <v>8</v>
      </c>
      <c r="J21" s="32" t="s">
        <v>9</v>
      </c>
      <c r="K21" s="32" t="s">
        <v>10</v>
      </c>
      <c r="L21" s="32" t="s">
        <v>11</v>
      </c>
      <c r="M21" s="32" t="s">
        <v>12</v>
      </c>
    </row>
    <row r="22" spans="1:13" ht="69.95" customHeight="1">
      <c r="A22" s="2"/>
      <c r="B22" s="33"/>
      <c r="C22" s="33" t="s">
        <v>27</v>
      </c>
      <c r="D22" s="33" t="s">
        <v>28</v>
      </c>
      <c r="E22" s="33" t="s">
        <v>29</v>
      </c>
      <c r="F22" s="33" t="s">
        <v>30</v>
      </c>
      <c r="G22" s="33" t="s">
        <v>31</v>
      </c>
      <c r="H22" s="33"/>
      <c r="I22" s="33"/>
      <c r="J22" s="33"/>
      <c r="K22" s="33" t="s">
        <v>32</v>
      </c>
      <c r="L22" s="33" t="s">
        <v>33</v>
      </c>
      <c r="M22" s="33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</sheetData>
  <mergeCells count="3">
    <mergeCell ref="B18:M19"/>
    <mergeCell ref="B13:M14"/>
    <mergeCell ref="B3:M4"/>
  </mergeCells>
  <pageMargins left="0.7" right="0.7" top="0.75" bottom="0.75" header="0.3" footer="0.3"/>
  <pageSetup paperSize="8" scale="5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U78"/>
  <sheetViews>
    <sheetView showGridLines="0" zoomScale="85" zoomScaleNormal="85" workbookViewId="0">
      <pane ySplit="4" topLeftCell="A5" activePane="bottomLeft" state="frozen"/>
      <selection pane="bottomLeft" activeCell="B23" sqref="B23"/>
    </sheetView>
  </sheetViews>
  <sheetFormatPr baseColWidth="10" defaultRowHeight="15"/>
  <cols>
    <col min="1" max="1" width="10.85546875" bestFit="1" customWidth="1"/>
    <col min="2" max="2" width="31.7109375" bestFit="1" customWidth="1"/>
    <col min="3" max="3" width="18.28515625" style="6" customWidth="1"/>
    <col min="4" max="4" width="14.140625" customWidth="1"/>
    <col min="5" max="5" width="15.5703125" bestFit="1" customWidth="1"/>
    <col min="6" max="6" width="15" bestFit="1" customWidth="1"/>
    <col min="7" max="7" width="14.140625" bestFit="1" customWidth="1"/>
    <col min="8" max="8" width="23.28515625" bestFit="1" customWidth="1"/>
    <col min="9" max="9" width="22" bestFit="1" customWidth="1"/>
    <col min="10" max="11" width="15.85546875" bestFit="1" customWidth="1"/>
    <col min="12" max="12" width="14.28515625" customWidth="1"/>
    <col min="13" max="13" width="14.42578125" bestFit="1" customWidth="1"/>
    <col min="15" max="15" width="11.7109375" bestFit="1" customWidth="1"/>
    <col min="16" max="16" width="30" customWidth="1"/>
    <col min="17" max="17" width="13" bestFit="1" customWidth="1"/>
    <col min="18" max="21" width="13" customWidth="1"/>
  </cols>
  <sheetData>
    <row r="4" spans="1:21" ht="26.25" customHeight="1">
      <c r="A4" s="27" t="s">
        <v>34</v>
      </c>
      <c r="B4" s="27" t="s">
        <v>35</v>
      </c>
      <c r="C4" s="27" t="s">
        <v>36</v>
      </c>
      <c r="D4" s="27" t="s">
        <v>37</v>
      </c>
      <c r="E4" s="27" t="s">
        <v>38</v>
      </c>
      <c r="F4" s="27" t="s">
        <v>39</v>
      </c>
      <c r="G4" s="27" t="s">
        <v>40</v>
      </c>
      <c r="H4" s="27" t="s">
        <v>41</v>
      </c>
      <c r="I4" s="27" t="s">
        <v>42</v>
      </c>
      <c r="J4" s="27" t="s">
        <v>43</v>
      </c>
      <c r="K4" s="27" t="s">
        <v>44</v>
      </c>
      <c r="L4" s="27" t="s">
        <v>45</v>
      </c>
      <c r="M4" s="27" t="s">
        <v>46</v>
      </c>
      <c r="N4" s="27" t="s">
        <v>47</v>
      </c>
      <c r="P4" s="78" t="s">
        <v>48</v>
      </c>
      <c r="Q4" s="70"/>
      <c r="R4" s="70"/>
      <c r="S4" s="70"/>
      <c r="T4" s="70"/>
      <c r="U4" s="70"/>
    </row>
    <row r="5" spans="1:21">
      <c r="A5" s="4">
        <v>1</v>
      </c>
      <c r="B5" s="18" t="s">
        <v>49</v>
      </c>
      <c r="C5" s="21">
        <v>46028</v>
      </c>
      <c r="D5" s="20" t="s">
        <v>35</v>
      </c>
      <c r="E5" s="28" t="s">
        <v>50</v>
      </c>
      <c r="F5" s="17">
        <v>1525</v>
      </c>
      <c r="G5" s="17">
        <v>87</v>
      </c>
      <c r="H5" s="31">
        <f t="shared" ref="H5:H47" si="0">G5/F5</f>
        <v>5.7049180327868855E-2</v>
      </c>
      <c r="I5" s="5">
        <v>34</v>
      </c>
      <c r="J5" s="22">
        <v>2.2400000000000002</v>
      </c>
      <c r="K5" s="3">
        <v>52</v>
      </c>
      <c r="L5" s="3">
        <v>1</v>
      </c>
      <c r="M5" s="3">
        <v>0</v>
      </c>
      <c r="N5" s="19">
        <v>0</v>
      </c>
      <c r="P5" s="34" t="s">
        <v>51</v>
      </c>
      <c r="Q5" s="35" t="s">
        <v>52</v>
      </c>
      <c r="R5" s="35" t="s">
        <v>53</v>
      </c>
      <c r="S5" s="35" t="s">
        <v>54</v>
      </c>
      <c r="T5" s="35" t="s">
        <v>55</v>
      </c>
      <c r="U5" s="35" t="s">
        <v>56</v>
      </c>
    </row>
    <row r="6" spans="1:21">
      <c r="A6" s="4">
        <v>2</v>
      </c>
      <c r="B6" s="18" t="s">
        <v>57</v>
      </c>
      <c r="C6" s="21">
        <v>46063</v>
      </c>
      <c r="D6" s="20" t="s">
        <v>35</v>
      </c>
      <c r="E6" s="28" t="s">
        <v>50</v>
      </c>
      <c r="F6" s="17">
        <v>4120</v>
      </c>
      <c r="G6" s="17">
        <v>348</v>
      </c>
      <c r="H6" s="31">
        <f t="shared" si="0"/>
        <v>8.4466019417475724E-2</v>
      </c>
      <c r="I6" s="5">
        <v>258</v>
      </c>
      <c r="J6" s="22">
        <v>6.26</v>
      </c>
      <c r="K6" s="3">
        <v>81</v>
      </c>
      <c r="L6" s="3">
        <v>9</v>
      </c>
      <c r="M6" s="3">
        <v>0</v>
      </c>
      <c r="N6" s="19">
        <v>0</v>
      </c>
      <c r="P6" s="36" t="s">
        <v>58</v>
      </c>
      <c r="Q6" s="56">
        <f>C52</f>
        <v>29</v>
      </c>
      <c r="R6" s="56">
        <f>C53</f>
        <v>35</v>
      </c>
      <c r="S6" s="56">
        <f>C54</f>
        <v>22</v>
      </c>
      <c r="T6" s="57">
        <f>C77</f>
        <v>0.20689655172413793</v>
      </c>
      <c r="U6" s="57">
        <f>C78</f>
        <v>-0.37142857142857144</v>
      </c>
    </row>
    <row r="7" spans="1:21">
      <c r="A7" s="4">
        <v>3</v>
      </c>
      <c r="B7" s="18" t="s">
        <v>59</v>
      </c>
      <c r="C7" s="21">
        <v>46073</v>
      </c>
      <c r="D7" s="20" t="s">
        <v>35</v>
      </c>
      <c r="E7" s="28" t="s">
        <v>50</v>
      </c>
      <c r="F7" s="17">
        <v>945</v>
      </c>
      <c r="G7" s="17">
        <v>114</v>
      </c>
      <c r="H7" s="31">
        <f t="shared" si="0"/>
        <v>0.12063492063492064</v>
      </c>
      <c r="I7" s="5">
        <v>60</v>
      </c>
      <c r="J7" s="22">
        <v>7.19</v>
      </c>
      <c r="K7" s="3">
        <v>46</v>
      </c>
      <c r="L7" s="3">
        <v>7</v>
      </c>
      <c r="M7" s="3">
        <v>1</v>
      </c>
      <c r="N7" s="19">
        <v>0</v>
      </c>
      <c r="P7" s="38" t="s">
        <v>39</v>
      </c>
      <c r="Q7" s="58">
        <f>D52</f>
        <v>187339</v>
      </c>
      <c r="R7" s="58">
        <f>D53</f>
        <v>648545</v>
      </c>
      <c r="S7" s="58">
        <f>D54</f>
        <v>112424</v>
      </c>
      <c r="T7" s="59">
        <f>D77</f>
        <v>2.4618792669972618</v>
      </c>
      <c r="U7" s="59">
        <f>D78</f>
        <v>-0.82665196709557554</v>
      </c>
    </row>
    <row r="8" spans="1:21">
      <c r="A8" s="4">
        <v>4</v>
      </c>
      <c r="B8" s="18" t="s">
        <v>60</v>
      </c>
      <c r="C8" s="21">
        <v>46079</v>
      </c>
      <c r="D8" s="20" t="s">
        <v>35</v>
      </c>
      <c r="E8" s="28" t="s">
        <v>50</v>
      </c>
      <c r="F8" s="17">
        <v>5339</v>
      </c>
      <c r="G8" s="17">
        <v>1211</v>
      </c>
      <c r="H8" s="31">
        <f t="shared" si="0"/>
        <v>0.22682150215396141</v>
      </c>
      <c r="I8" s="5">
        <v>1043</v>
      </c>
      <c r="J8" s="22">
        <v>19.54</v>
      </c>
      <c r="K8" s="3">
        <v>158</v>
      </c>
      <c r="L8" s="3">
        <v>6</v>
      </c>
      <c r="M8" s="3">
        <v>4</v>
      </c>
      <c r="N8" s="19">
        <v>0</v>
      </c>
      <c r="P8" s="38" t="s">
        <v>40</v>
      </c>
      <c r="Q8" s="58">
        <f>E52</f>
        <v>27672</v>
      </c>
      <c r="R8" s="58">
        <f>E53</f>
        <v>27877</v>
      </c>
      <c r="S8" s="58">
        <f>E54</f>
        <v>8963</v>
      </c>
      <c r="T8" s="59">
        <f>E77</f>
        <v>7.4082104654524432E-3</v>
      </c>
      <c r="U8" s="59">
        <f>E78</f>
        <v>-0.67848046776912863</v>
      </c>
    </row>
    <row r="9" spans="1:21">
      <c r="A9" s="4">
        <v>5</v>
      </c>
      <c r="B9" s="18" t="s">
        <v>61</v>
      </c>
      <c r="C9" s="21">
        <v>46093</v>
      </c>
      <c r="D9" s="20" t="s">
        <v>62</v>
      </c>
      <c r="E9" s="5">
        <v>3196</v>
      </c>
      <c r="F9" s="17">
        <v>6252</v>
      </c>
      <c r="G9" s="17">
        <v>642</v>
      </c>
      <c r="H9" s="31">
        <f t="shared" si="0"/>
        <v>0.10268714011516315</v>
      </c>
      <c r="I9" s="5">
        <v>515</v>
      </c>
      <c r="J9" s="22">
        <v>8.24</v>
      </c>
      <c r="K9" s="3">
        <v>120</v>
      </c>
      <c r="L9" s="3">
        <v>2</v>
      </c>
      <c r="M9" s="3" t="s">
        <v>63</v>
      </c>
      <c r="N9" s="19">
        <v>0</v>
      </c>
      <c r="P9" s="36" t="s">
        <v>64</v>
      </c>
      <c r="Q9" s="60">
        <f>E52/D52</f>
        <v>0.14771083436977886</v>
      </c>
      <c r="R9" s="60">
        <f>E53/D53</f>
        <v>4.298391013730736E-2</v>
      </c>
      <c r="S9" s="60">
        <f>E54/D54</f>
        <v>7.9724969757347192E-2</v>
      </c>
      <c r="T9" s="57">
        <f>(R9-Q9)/Q9</f>
        <v>-0.70899961183821103</v>
      </c>
      <c r="U9" s="57">
        <f>(S9-R9)/R9</f>
        <v>0.85476308466760165</v>
      </c>
    </row>
    <row r="10" spans="1:21">
      <c r="A10" s="4">
        <v>6</v>
      </c>
      <c r="B10" s="18" t="s">
        <v>65</v>
      </c>
      <c r="C10" s="21">
        <v>46105</v>
      </c>
      <c r="D10" s="20" t="s">
        <v>35</v>
      </c>
      <c r="E10" s="28" t="s">
        <v>50</v>
      </c>
      <c r="F10" s="17">
        <v>7985</v>
      </c>
      <c r="G10" s="17">
        <v>2196</v>
      </c>
      <c r="H10" s="31">
        <f t="shared" si="0"/>
        <v>0.27501565435190983</v>
      </c>
      <c r="I10" s="5">
        <v>2049</v>
      </c>
      <c r="J10" s="22">
        <v>25.66</v>
      </c>
      <c r="K10" s="3">
        <v>132</v>
      </c>
      <c r="L10" s="3">
        <v>13</v>
      </c>
      <c r="M10" s="3">
        <v>2</v>
      </c>
      <c r="N10" s="19">
        <v>0</v>
      </c>
      <c r="P10" s="38" t="s">
        <v>42</v>
      </c>
      <c r="Q10" s="58">
        <f>F52</f>
        <v>17886</v>
      </c>
      <c r="R10" s="58">
        <f>F53</f>
        <v>20958</v>
      </c>
      <c r="S10" s="58">
        <f>F54</f>
        <v>7606</v>
      </c>
      <c r="T10" s="59">
        <f>F77</f>
        <v>0.17175444481717544</v>
      </c>
      <c r="U10" s="59">
        <f>F78</f>
        <v>-0.63708369119190766</v>
      </c>
    </row>
    <row r="11" spans="1:21">
      <c r="A11" s="4">
        <v>7</v>
      </c>
      <c r="B11" s="18" t="s">
        <v>66</v>
      </c>
      <c r="C11" s="21">
        <v>46114</v>
      </c>
      <c r="D11" s="20" t="s">
        <v>35</v>
      </c>
      <c r="E11" s="28" t="s">
        <v>50</v>
      </c>
      <c r="F11" s="17">
        <v>2665</v>
      </c>
      <c r="G11" s="17">
        <v>955</v>
      </c>
      <c r="H11" s="31">
        <f t="shared" si="0"/>
        <v>0.35834896810506567</v>
      </c>
      <c r="I11" s="5">
        <v>876</v>
      </c>
      <c r="J11" s="22">
        <v>32.869999999999997</v>
      </c>
      <c r="K11" s="3">
        <v>75</v>
      </c>
      <c r="L11" s="3">
        <v>3</v>
      </c>
      <c r="M11" s="3">
        <v>1</v>
      </c>
      <c r="N11" s="19">
        <v>0</v>
      </c>
      <c r="P11" s="38" t="s">
        <v>67</v>
      </c>
      <c r="Q11" s="61">
        <f>F52/D52</f>
        <v>9.5473980324438587E-2</v>
      </c>
      <c r="R11" s="61">
        <f>F53/D53</f>
        <v>3.2315413733819548E-2</v>
      </c>
      <c r="S11" s="61">
        <f>F54/D54</f>
        <v>6.765459332526863E-2</v>
      </c>
      <c r="T11" s="59">
        <f>(R11-Q11)/Q11</f>
        <v>-0.66152648476573739</v>
      </c>
      <c r="U11" s="59">
        <f>(S11-R11)/R11</f>
        <v>1.0935703897383504</v>
      </c>
    </row>
    <row r="12" spans="1:21">
      <c r="A12" s="4">
        <v>8</v>
      </c>
      <c r="B12" s="29" t="s">
        <v>68</v>
      </c>
      <c r="C12" s="21">
        <v>46125</v>
      </c>
      <c r="D12" s="20" t="s">
        <v>35</v>
      </c>
      <c r="E12" s="28" t="s">
        <v>50</v>
      </c>
      <c r="F12" s="17">
        <v>1338</v>
      </c>
      <c r="G12" s="17">
        <v>101</v>
      </c>
      <c r="H12" s="31">
        <f t="shared" si="0"/>
        <v>7.5485799701046338E-2</v>
      </c>
      <c r="I12" s="5">
        <v>75</v>
      </c>
      <c r="J12" s="22">
        <v>5.61</v>
      </c>
      <c r="K12" s="3">
        <v>18</v>
      </c>
      <c r="L12" s="3">
        <v>0</v>
      </c>
      <c r="M12" s="3">
        <v>8</v>
      </c>
      <c r="N12" s="19">
        <v>0</v>
      </c>
      <c r="P12" s="38" t="s">
        <v>44</v>
      </c>
      <c r="Q12" s="58">
        <f>G52</f>
        <v>1882</v>
      </c>
      <c r="R12" s="58">
        <f>G53</f>
        <v>2675</v>
      </c>
      <c r="S12" s="58">
        <f>G54</f>
        <v>1221</v>
      </c>
      <c r="T12" s="59">
        <f>G77</f>
        <v>0.42136025504782149</v>
      </c>
      <c r="U12" s="59">
        <f>G78</f>
        <v>-0.54355140186915885</v>
      </c>
    </row>
    <row r="13" spans="1:21">
      <c r="A13" s="4">
        <v>9</v>
      </c>
      <c r="B13" s="18" t="s">
        <v>69</v>
      </c>
      <c r="C13" s="21">
        <v>46135</v>
      </c>
      <c r="D13" s="20" t="s">
        <v>35</v>
      </c>
      <c r="E13" s="28" t="s">
        <v>50</v>
      </c>
      <c r="F13" s="17">
        <v>22024</v>
      </c>
      <c r="G13" s="17">
        <v>168</v>
      </c>
      <c r="H13" s="31">
        <f t="shared" si="0"/>
        <v>7.6280421358517984E-3</v>
      </c>
      <c r="I13" s="5">
        <v>97</v>
      </c>
      <c r="J13" s="22">
        <v>0.44</v>
      </c>
      <c r="K13" s="3">
        <v>60</v>
      </c>
      <c r="L13" s="3">
        <v>2</v>
      </c>
      <c r="M13" s="3">
        <v>6</v>
      </c>
      <c r="N13" s="19">
        <v>200</v>
      </c>
      <c r="P13" s="38" t="s">
        <v>45</v>
      </c>
      <c r="Q13" s="58">
        <f>H52</f>
        <v>96</v>
      </c>
      <c r="R13" s="58">
        <f>H53</f>
        <v>167</v>
      </c>
      <c r="S13" s="58">
        <f>H54</f>
        <v>51</v>
      </c>
      <c r="T13" s="59">
        <f>H77</f>
        <v>0.73958333333333337</v>
      </c>
      <c r="U13" s="59">
        <f>H78</f>
        <v>-0.69461077844311381</v>
      </c>
    </row>
    <row r="14" spans="1:21">
      <c r="A14" s="4">
        <v>10</v>
      </c>
      <c r="B14" s="18" t="s">
        <v>70</v>
      </c>
      <c r="C14" s="21">
        <v>46163</v>
      </c>
      <c r="D14" s="20" t="s">
        <v>35</v>
      </c>
      <c r="E14" s="5"/>
      <c r="F14" s="17">
        <v>2447</v>
      </c>
      <c r="G14" s="17">
        <v>268</v>
      </c>
      <c r="H14" s="31">
        <f t="shared" si="0"/>
        <v>0.10952186350633429</v>
      </c>
      <c r="I14" s="5">
        <v>166</v>
      </c>
      <c r="J14" s="22">
        <v>6.78</v>
      </c>
      <c r="K14" s="3">
        <v>93</v>
      </c>
      <c r="L14" s="3">
        <v>4</v>
      </c>
      <c r="M14" s="3">
        <v>5</v>
      </c>
      <c r="N14" s="19">
        <v>0</v>
      </c>
      <c r="P14" s="38" t="s">
        <v>46</v>
      </c>
      <c r="Q14" s="58">
        <f>I52</f>
        <v>50</v>
      </c>
      <c r="R14" s="58">
        <f>I53</f>
        <v>96</v>
      </c>
      <c r="S14" s="58">
        <f>I54</f>
        <v>35</v>
      </c>
      <c r="T14" s="59">
        <f>I77</f>
        <v>0.92</v>
      </c>
      <c r="U14" s="59">
        <f>I78</f>
        <v>-0.63541666666666663</v>
      </c>
    </row>
    <row r="15" spans="1:21">
      <c r="A15" s="4">
        <v>11</v>
      </c>
      <c r="B15" s="18" t="s">
        <v>71</v>
      </c>
      <c r="C15" s="21">
        <v>46184</v>
      </c>
      <c r="D15" s="20" t="s">
        <v>35</v>
      </c>
      <c r="E15" s="28" t="s">
        <v>50</v>
      </c>
      <c r="F15" s="17">
        <v>883</v>
      </c>
      <c r="G15" s="17">
        <v>42</v>
      </c>
      <c r="H15" s="31">
        <f t="shared" si="0"/>
        <v>4.7565118912797279E-2</v>
      </c>
      <c r="I15" s="5">
        <v>10</v>
      </c>
      <c r="J15" s="22">
        <v>1.1299999999999999</v>
      </c>
      <c r="K15" s="3">
        <v>31</v>
      </c>
      <c r="L15" s="3">
        <v>0</v>
      </c>
      <c r="M15" s="3">
        <v>1</v>
      </c>
      <c r="N15" s="19">
        <v>0</v>
      </c>
      <c r="P15" s="38" t="s">
        <v>47</v>
      </c>
      <c r="Q15" s="62">
        <f>J52</f>
        <v>960</v>
      </c>
      <c r="R15" s="62">
        <f>J53</f>
        <v>2500</v>
      </c>
      <c r="S15" s="62">
        <f>J54</f>
        <v>340</v>
      </c>
      <c r="T15" s="59">
        <f>J77</f>
        <v>1.6041666666666667</v>
      </c>
      <c r="U15" s="59">
        <f>J78</f>
        <v>-0.86399999999999999</v>
      </c>
    </row>
    <row r="16" spans="1:21">
      <c r="A16" s="4">
        <v>12</v>
      </c>
      <c r="B16" s="30" t="s">
        <v>72</v>
      </c>
      <c r="C16" s="21">
        <v>46199</v>
      </c>
      <c r="D16" s="20" t="s">
        <v>35</v>
      </c>
      <c r="E16" s="28" t="s">
        <v>50</v>
      </c>
      <c r="F16" s="17">
        <v>1160</v>
      </c>
      <c r="G16" s="17">
        <v>154</v>
      </c>
      <c r="H16" s="31">
        <f t="shared" si="0"/>
        <v>0.13275862068965516</v>
      </c>
      <c r="I16" s="5">
        <v>61</v>
      </c>
      <c r="J16" s="22">
        <v>5.26</v>
      </c>
      <c r="K16" s="3">
        <v>90</v>
      </c>
      <c r="L16" s="3">
        <v>2</v>
      </c>
      <c r="M16" s="3">
        <v>1</v>
      </c>
      <c r="N16" s="19">
        <v>0</v>
      </c>
    </row>
    <row r="17" spans="1:14">
      <c r="A17" s="4">
        <v>13</v>
      </c>
      <c r="B17" s="30" t="s">
        <v>73</v>
      </c>
      <c r="C17" s="21">
        <v>46296</v>
      </c>
      <c r="D17" s="20" t="s">
        <v>35</v>
      </c>
      <c r="E17" s="28" t="s">
        <v>50</v>
      </c>
      <c r="F17" s="17">
        <v>1907</v>
      </c>
      <c r="G17" s="17">
        <v>333</v>
      </c>
      <c r="H17" s="31">
        <f t="shared" si="0"/>
        <v>0.17461982170949134</v>
      </c>
      <c r="I17" s="5">
        <v>259</v>
      </c>
      <c r="J17" s="22">
        <v>14.37</v>
      </c>
      <c r="K17" s="3">
        <v>62</v>
      </c>
      <c r="L17" s="3">
        <v>0</v>
      </c>
      <c r="M17" s="3">
        <v>3</v>
      </c>
      <c r="N17" s="19">
        <v>0</v>
      </c>
    </row>
    <row r="18" spans="1:14">
      <c r="A18" s="4">
        <v>14</v>
      </c>
      <c r="B18" s="30" t="s">
        <v>74</v>
      </c>
      <c r="C18" s="21">
        <v>46301</v>
      </c>
      <c r="D18" s="20" t="s">
        <v>35</v>
      </c>
      <c r="E18" s="28" t="s">
        <v>50</v>
      </c>
      <c r="F18" s="17">
        <v>1838</v>
      </c>
      <c r="G18" s="17">
        <v>1120</v>
      </c>
      <c r="H18" s="31">
        <f t="shared" si="0"/>
        <v>0.60935799782372146</v>
      </c>
      <c r="I18" s="5">
        <v>1071</v>
      </c>
      <c r="J18" s="22">
        <v>64.709999999999994</v>
      </c>
      <c r="K18" s="3">
        <v>52</v>
      </c>
      <c r="L18" s="3">
        <v>0</v>
      </c>
      <c r="M18" s="3">
        <v>0</v>
      </c>
      <c r="N18" s="19">
        <v>0</v>
      </c>
    </row>
    <row r="19" spans="1:14">
      <c r="A19" s="4">
        <v>15</v>
      </c>
      <c r="B19" s="30" t="s">
        <v>75</v>
      </c>
      <c r="C19" s="21">
        <v>46303</v>
      </c>
      <c r="D19" s="20" t="s">
        <v>35</v>
      </c>
      <c r="E19" s="28" t="s">
        <v>50</v>
      </c>
      <c r="F19" s="17">
        <v>763</v>
      </c>
      <c r="G19" s="17">
        <v>45</v>
      </c>
      <c r="H19" s="31">
        <f t="shared" si="0"/>
        <v>5.8977719528178242E-2</v>
      </c>
      <c r="I19" s="5">
        <v>17</v>
      </c>
      <c r="J19" s="22">
        <v>2.38</v>
      </c>
      <c r="K19" s="3">
        <v>26</v>
      </c>
      <c r="L19" s="3">
        <v>0</v>
      </c>
      <c r="M19" s="3">
        <v>2</v>
      </c>
      <c r="N19" s="19">
        <v>0</v>
      </c>
    </row>
    <row r="20" spans="1:14">
      <c r="A20" s="4">
        <v>16</v>
      </c>
      <c r="B20" s="30" t="s">
        <v>76</v>
      </c>
      <c r="C20" s="21">
        <v>46308</v>
      </c>
      <c r="D20" s="20" t="s">
        <v>35</v>
      </c>
      <c r="E20" s="5"/>
      <c r="F20" s="17">
        <v>2166</v>
      </c>
      <c r="G20" s="17">
        <v>269</v>
      </c>
      <c r="H20" s="31">
        <f t="shared" si="0"/>
        <v>0.12419205909510618</v>
      </c>
      <c r="I20" s="5">
        <v>208</v>
      </c>
      <c r="J20" s="22">
        <v>10.73</v>
      </c>
      <c r="K20" s="3">
        <v>64</v>
      </c>
      <c r="L20" s="3">
        <v>0</v>
      </c>
      <c r="M20" s="3">
        <v>0</v>
      </c>
      <c r="N20" s="19">
        <v>0</v>
      </c>
    </row>
    <row r="21" spans="1:14">
      <c r="A21" s="4">
        <v>17</v>
      </c>
      <c r="B21" s="30" t="s">
        <v>77</v>
      </c>
      <c r="C21" s="21">
        <v>46310</v>
      </c>
      <c r="D21" s="20" t="s">
        <v>35</v>
      </c>
      <c r="E21" s="5"/>
      <c r="F21" s="17">
        <v>47945</v>
      </c>
      <c r="G21" s="17">
        <v>508</v>
      </c>
      <c r="H21" s="31">
        <f t="shared" si="0"/>
        <v>1.0595473980602774E-2</v>
      </c>
      <c r="I21" s="5">
        <v>435</v>
      </c>
      <c r="J21" s="22">
        <v>0.91</v>
      </c>
      <c r="K21" s="3">
        <v>32</v>
      </c>
      <c r="L21" s="3">
        <v>1</v>
      </c>
      <c r="M21" s="3">
        <v>1</v>
      </c>
      <c r="N21" s="19">
        <v>140</v>
      </c>
    </row>
    <row r="22" spans="1:14">
      <c r="A22" s="4">
        <v>18</v>
      </c>
      <c r="B22" s="30" t="s">
        <v>78</v>
      </c>
      <c r="C22" s="21">
        <v>46315</v>
      </c>
      <c r="D22" s="20" t="s">
        <v>35</v>
      </c>
      <c r="E22" s="5"/>
      <c r="F22" s="17">
        <v>1122</v>
      </c>
      <c r="G22" s="17">
        <v>402</v>
      </c>
      <c r="H22" s="31">
        <f t="shared" si="0"/>
        <v>0.35828877005347592</v>
      </c>
      <c r="I22" s="5">
        <v>372</v>
      </c>
      <c r="J22" s="22">
        <v>33.159999999999997</v>
      </c>
      <c r="K22" s="3">
        <v>29</v>
      </c>
      <c r="L22" s="3">
        <v>1</v>
      </c>
      <c r="M22" s="3">
        <v>0</v>
      </c>
      <c r="N22" s="19">
        <v>0</v>
      </c>
    </row>
    <row r="23" spans="1:14">
      <c r="A23" s="4">
        <v>19</v>
      </c>
      <c r="B23" s="21"/>
      <c r="C23" s="21"/>
      <c r="D23" s="20"/>
      <c r="E23" s="5"/>
      <c r="F23" s="17"/>
      <c r="G23" s="17"/>
      <c r="H23" s="31" t="e">
        <f t="shared" si="0"/>
        <v>#DIV/0!</v>
      </c>
      <c r="I23" s="5"/>
      <c r="J23" s="22"/>
      <c r="K23" s="3"/>
      <c r="L23" s="3"/>
      <c r="M23" s="3"/>
      <c r="N23" s="19"/>
    </row>
    <row r="24" spans="1:14">
      <c r="A24" s="4">
        <v>20</v>
      </c>
      <c r="B24" s="21"/>
      <c r="C24" s="21"/>
      <c r="D24" s="20"/>
      <c r="E24" s="5"/>
      <c r="F24" s="17"/>
      <c r="G24" s="17"/>
      <c r="H24" s="31" t="e">
        <f t="shared" si="0"/>
        <v>#DIV/0!</v>
      </c>
      <c r="I24" s="5"/>
      <c r="J24" s="22"/>
      <c r="K24" s="3"/>
      <c r="L24" s="3"/>
      <c r="M24" s="3"/>
      <c r="N24" s="19"/>
    </row>
    <row r="25" spans="1:14">
      <c r="A25" s="4">
        <v>21</v>
      </c>
      <c r="B25" s="18"/>
      <c r="C25" s="21"/>
      <c r="D25" s="20"/>
      <c r="E25" s="5"/>
      <c r="F25" s="17"/>
      <c r="G25" s="17"/>
      <c r="H25" s="31" t="e">
        <f t="shared" si="0"/>
        <v>#DIV/0!</v>
      </c>
      <c r="I25" s="5"/>
      <c r="J25" s="22"/>
      <c r="K25" s="3"/>
      <c r="L25" s="3"/>
      <c r="M25" s="3"/>
      <c r="N25" s="19"/>
    </row>
    <row r="26" spans="1:14">
      <c r="A26" s="4">
        <v>22</v>
      </c>
      <c r="B26" s="18" t="s">
        <v>79</v>
      </c>
      <c r="C26" s="21"/>
      <c r="D26" s="20"/>
      <c r="E26" s="5"/>
      <c r="F26" s="17"/>
      <c r="G26" s="17"/>
      <c r="H26" s="31" t="e">
        <f t="shared" si="0"/>
        <v>#DIV/0!</v>
      </c>
      <c r="I26" s="5"/>
      <c r="J26" s="22"/>
      <c r="K26" s="3"/>
      <c r="L26" s="3"/>
      <c r="M26" s="3"/>
      <c r="N26" s="19"/>
    </row>
    <row r="27" spans="1:14">
      <c r="A27" s="4">
        <v>23</v>
      </c>
      <c r="B27" s="18" t="s">
        <v>80</v>
      </c>
      <c r="C27" s="21"/>
      <c r="D27" s="20"/>
      <c r="E27" s="5"/>
      <c r="F27" s="17"/>
      <c r="G27" s="17"/>
      <c r="H27" s="31" t="e">
        <f t="shared" si="0"/>
        <v>#DIV/0!</v>
      </c>
      <c r="I27" s="5"/>
      <c r="J27" s="22"/>
      <c r="K27" s="3"/>
      <c r="L27" s="3"/>
      <c r="M27" s="3"/>
      <c r="N27" s="19"/>
    </row>
    <row r="28" spans="1:14">
      <c r="A28" s="4">
        <v>24</v>
      </c>
      <c r="B28" s="18" t="s">
        <v>81</v>
      </c>
      <c r="C28" s="21"/>
      <c r="D28" s="20"/>
      <c r="E28" s="5"/>
      <c r="F28" s="17"/>
      <c r="G28" s="17"/>
      <c r="H28" s="31" t="e">
        <f t="shared" si="0"/>
        <v>#DIV/0!</v>
      </c>
      <c r="I28" s="5"/>
      <c r="J28" s="22"/>
      <c r="K28" s="3"/>
      <c r="L28" s="3"/>
      <c r="M28" s="3"/>
      <c r="N28" s="19"/>
    </row>
    <row r="29" spans="1:14">
      <c r="A29" s="4">
        <v>25</v>
      </c>
      <c r="B29" s="18" t="s">
        <v>82</v>
      </c>
      <c r="C29" s="21"/>
      <c r="D29" s="20"/>
      <c r="E29" s="5"/>
      <c r="F29" s="17"/>
      <c r="G29" s="17"/>
      <c r="H29" s="31" t="e">
        <f t="shared" si="0"/>
        <v>#DIV/0!</v>
      </c>
      <c r="I29" s="5"/>
      <c r="J29" s="22"/>
      <c r="K29" s="3"/>
      <c r="L29" s="3"/>
      <c r="M29" s="3"/>
      <c r="N29" s="19"/>
    </row>
    <row r="30" spans="1:14">
      <c r="A30" s="4">
        <v>26</v>
      </c>
      <c r="B30" s="18"/>
      <c r="C30" s="21"/>
      <c r="D30" s="20"/>
      <c r="E30" s="5"/>
      <c r="F30" s="17"/>
      <c r="G30" s="17"/>
      <c r="H30" s="31" t="e">
        <f t="shared" si="0"/>
        <v>#DIV/0!</v>
      </c>
      <c r="I30" s="5"/>
      <c r="J30" s="22"/>
      <c r="K30" s="3"/>
      <c r="L30" s="3"/>
      <c r="M30" s="3"/>
      <c r="N30" s="19"/>
    </row>
    <row r="31" spans="1:14">
      <c r="A31" s="4">
        <v>27</v>
      </c>
      <c r="B31" s="18"/>
      <c r="C31" s="21"/>
      <c r="D31" s="20"/>
      <c r="E31" s="5"/>
      <c r="F31" s="17"/>
      <c r="G31" s="17"/>
      <c r="H31" s="31" t="e">
        <f t="shared" si="0"/>
        <v>#DIV/0!</v>
      </c>
      <c r="I31" s="5"/>
      <c r="J31" s="22"/>
      <c r="K31" s="3"/>
      <c r="L31" s="3"/>
      <c r="M31" s="3"/>
      <c r="N31" s="19"/>
    </row>
    <row r="32" spans="1:14">
      <c r="A32" s="4">
        <v>28</v>
      </c>
      <c r="B32" s="18"/>
      <c r="C32" s="21"/>
      <c r="D32" s="20"/>
      <c r="E32" s="5"/>
      <c r="F32" s="17"/>
      <c r="G32" s="17"/>
      <c r="H32" s="31" t="e">
        <f t="shared" si="0"/>
        <v>#DIV/0!</v>
      </c>
      <c r="I32" s="5"/>
      <c r="J32" s="22"/>
      <c r="K32" s="3"/>
      <c r="L32" s="3"/>
      <c r="M32" s="3"/>
      <c r="N32" s="19"/>
    </row>
    <row r="33" spans="1:14">
      <c r="A33" s="4">
        <v>29</v>
      </c>
      <c r="B33" s="18"/>
      <c r="C33" s="21"/>
      <c r="D33" s="20"/>
      <c r="E33" s="5"/>
      <c r="F33" s="17"/>
      <c r="G33" s="17"/>
      <c r="H33" s="31" t="e">
        <f t="shared" si="0"/>
        <v>#DIV/0!</v>
      </c>
      <c r="I33" s="5"/>
      <c r="J33" s="22"/>
      <c r="K33" s="3"/>
      <c r="L33" s="3"/>
      <c r="M33" s="3"/>
      <c r="N33" s="19"/>
    </row>
    <row r="34" spans="1:14">
      <c r="A34" s="4">
        <v>30</v>
      </c>
      <c r="B34" s="18"/>
      <c r="C34" s="21"/>
      <c r="D34" s="20"/>
      <c r="E34" s="5"/>
      <c r="F34" s="17"/>
      <c r="G34" s="17"/>
      <c r="H34" s="31" t="e">
        <f t="shared" si="0"/>
        <v>#DIV/0!</v>
      </c>
      <c r="I34" s="5"/>
      <c r="J34" s="22"/>
      <c r="K34" s="3"/>
      <c r="L34" s="3"/>
      <c r="M34" s="3"/>
      <c r="N34" s="19"/>
    </row>
    <row r="35" spans="1:14">
      <c r="A35" s="4">
        <v>31</v>
      </c>
      <c r="B35" s="18"/>
      <c r="C35" s="21"/>
      <c r="D35" s="20"/>
      <c r="E35" s="5"/>
      <c r="F35" s="17"/>
      <c r="G35" s="17"/>
      <c r="H35" s="31" t="e">
        <f t="shared" si="0"/>
        <v>#DIV/0!</v>
      </c>
      <c r="I35" s="5"/>
      <c r="J35" s="22"/>
      <c r="K35" s="3"/>
      <c r="L35" s="3"/>
      <c r="M35" s="3"/>
      <c r="N35" s="19"/>
    </row>
    <row r="36" spans="1:14">
      <c r="A36" s="4">
        <v>32</v>
      </c>
      <c r="B36" s="18"/>
      <c r="C36" s="21"/>
      <c r="D36" s="20"/>
      <c r="E36" s="5"/>
      <c r="F36" s="17"/>
      <c r="G36" s="17"/>
      <c r="H36" s="31" t="e">
        <f t="shared" si="0"/>
        <v>#DIV/0!</v>
      </c>
      <c r="I36" s="5"/>
      <c r="J36" s="22"/>
      <c r="K36" s="3"/>
      <c r="L36" s="3"/>
      <c r="M36" s="3"/>
      <c r="N36" s="19"/>
    </row>
    <row r="37" spans="1:14">
      <c r="A37" s="4">
        <v>33</v>
      </c>
      <c r="B37" s="18"/>
      <c r="C37" s="21"/>
      <c r="D37" s="20"/>
      <c r="E37" s="5"/>
      <c r="F37" s="17"/>
      <c r="G37" s="17"/>
      <c r="H37" s="31" t="e">
        <f t="shared" si="0"/>
        <v>#DIV/0!</v>
      </c>
      <c r="I37" s="5"/>
      <c r="J37" s="22"/>
      <c r="K37" s="3"/>
      <c r="L37" s="3"/>
      <c r="M37" s="3"/>
      <c r="N37" s="19"/>
    </row>
    <row r="38" spans="1:14">
      <c r="A38" s="4">
        <v>34</v>
      </c>
      <c r="B38" s="18"/>
      <c r="C38" s="21"/>
      <c r="D38" s="20"/>
      <c r="E38" s="5"/>
      <c r="F38" s="17"/>
      <c r="G38" s="17"/>
      <c r="H38" s="31" t="e">
        <f t="shared" si="0"/>
        <v>#DIV/0!</v>
      </c>
      <c r="I38" s="5"/>
      <c r="J38" s="22"/>
      <c r="K38" s="3"/>
      <c r="L38" s="3"/>
      <c r="M38" s="3"/>
      <c r="N38" s="19"/>
    </row>
    <row r="39" spans="1:14">
      <c r="A39" s="4">
        <v>35</v>
      </c>
      <c r="B39" s="18"/>
      <c r="C39" s="21"/>
      <c r="D39" s="20"/>
      <c r="E39" s="5"/>
      <c r="F39" s="17"/>
      <c r="G39" s="17"/>
      <c r="H39" s="31" t="e">
        <f t="shared" si="0"/>
        <v>#DIV/0!</v>
      </c>
      <c r="I39" s="5"/>
      <c r="J39" s="22"/>
      <c r="K39" s="3"/>
      <c r="L39" s="3"/>
      <c r="M39" s="3"/>
      <c r="N39" s="19"/>
    </row>
    <row r="40" spans="1:14">
      <c r="A40" s="4">
        <v>36</v>
      </c>
      <c r="B40" s="18"/>
      <c r="C40" s="21"/>
      <c r="D40" s="20"/>
      <c r="E40" s="5"/>
      <c r="F40" s="17"/>
      <c r="G40" s="17"/>
      <c r="H40" s="31" t="e">
        <f t="shared" si="0"/>
        <v>#DIV/0!</v>
      </c>
      <c r="I40" s="5"/>
      <c r="J40" s="22"/>
      <c r="K40" s="3"/>
      <c r="L40" s="3"/>
      <c r="M40" s="3"/>
      <c r="N40" s="19"/>
    </row>
    <row r="41" spans="1:14">
      <c r="A41" s="4">
        <v>37</v>
      </c>
      <c r="B41" s="18"/>
      <c r="C41" s="21"/>
      <c r="D41" s="20"/>
      <c r="E41" s="5"/>
      <c r="F41" s="17"/>
      <c r="G41" s="17"/>
      <c r="H41" s="31" t="e">
        <f t="shared" si="0"/>
        <v>#DIV/0!</v>
      </c>
      <c r="I41" s="5"/>
      <c r="J41" s="22"/>
      <c r="K41" s="3"/>
      <c r="L41" s="3"/>
      <c r="M41" s="3"/>
      <c r="N41" s="19"/>
    </row>
    <row r="42" spans="1:14">
      <c r="A42" s="4">
        <v>38</v>
      </c>
      <c r="B42" s="18"/>
      <c r="C42" s="21"/>
      <c r="D42" s="20"/>
      <c r="E42" s="5"/>
      <c r="F42" s="17"/>
      <c r="G42" s="17"/>
      <c r="H42" s="31" t="e">
        <f t="shared" si="0"/>
        <v>#DIV/0!</v>
      </c>
      <c r="I42" s="5"/>
      <c r="J42" s="22"/>
      <c r="K42" s="3"/>
      <c r="L42" s="3"/>
      <c r="M42" s="3"/>
      <c r="N42" s="19"/>
    </row>
    <row r="43" spans="1:14">
      <c r="A43" s="4">
        <v>39</v>
      </c>
      <c r="B43" s="18"/>
      <c r="C43" s="21"/>
      <c r="D43" s="20"/>
      <c r="E43" s="5"/>
      <c r="F43" s="17"/>
      <c r="G43" s="17"/>
      <c r="H43" s="31" t="e">
        <f t="shared" si="0"/>
        <v>#DIV/0!</v>
      </c>
      <c r="I43" s="5"/>
      <c r="J43" s="22"/>
      <c r="K43" s="3"/>
      <c r="L43" s="3"/>
      <c r="M43" s="3"/>
      <c r="N43" s="19"/>
    </row>
    <row r="44" spans="1:14">
      <c r="A44" s="4">
        <v>40</v>
      </c>
      <c r="B44" s="18"/>
      <c r="C44" s="21"/>
      <c r="D44" s="20"/>
      <c r="E44" s="5"/>
      <c r="F44" s="17"/>
      <c r="G44" s="17"/>
      <c r="H44" s="31" t="e">
        <f t="shared" si="0"/>
        <v>#DIV/0!</v>
      </c>
      <c r="I44" s="5"/>
      <c r="J44" s="22"/>
      <c r="K44" s="3"/>
      <c r="L44" s="3"/>
      <c r="M44" s="3"/>
      <c r="N44" s="19"/>
    </row>
    <row r="45" spans="1:14">
      <c r="A45" s="4">
        <v>41</v>
      </c>
      <c r="B45" s="18"/>
      <c r="C45" s="21"/>
      <c r="D45" s="20"/>
      <c r="E45" s="5"/>
      <c r="F45" s="17"/>
      <c r="G45" s="17"/>
      <c r="H45" s="31" t="e">
        <f t="shared" si="0"/>
        <v>#DIV/0!</v>
      </c>
      <c r="I45" s="5"/>
      <c r="J45" s="22"/>
      <c r="K45" s="3"/>
      <c r="L45" s="3"/>
      <c r="M45" s="3"/>
      <c r="N45" s="19"/>
    </row>
    <row r="46" spans="1:14">
      <c r="A46" s="4">
        <v>42</v>
      </c>
      <c r="B46" s="18"/>
      <c r="C46" s="21"/>
      <c r="D46" s="20"/>
      <c r="E46" s="5"/>
      <c r="F46" s="17"/>
      <c r="G46" s="17"/>
      <c r="H46" s="31" t="e">
        <f t="shared" si="0"/>
        <v>#DIV/0!</v>
      </c>
      <c r="I46" s="5"/>
      <c r="J46" s="22"/>
      <c r="K46" s="3"/>
      <c r="L46" s="3"/>
      <c r="M46" s="3"/>
      <c r="N46" s="19"/>
    </row>
    <row r="47" spans="1:14">
      <c r="A47" s="4">
        <v>43</v>
      </c>
      <c r="B47" s="18"/>
      <c r="C47" s="21"/>
      <c r="D47" s="20"/>
      <c r="E47" s="5"/>
      <c r="F47" s="17"/>
      <c r="G47" s="17"/>
      <c r="H47" s="31" t="e">
        <f t="shared" si="0"/>
        <v>#DIV/0!</v>
      </c>
      <c r="I47" s="5"/>
      <c r="J47" s="22"/>
      <c r="K47" s="3"/>
      <c r="L47" s="3"/>
      <c r="M47" s="3"/>
      <c r="N47" s="19"/>
    </row>
    <row r="51" spans="2:10">
      <c r="B51" s="23"/>
      <c r="C51" s="27" t="s">
        <v>83</v>
      </c>
      <c r="D51" s="27" t="s">
        <v>39</v>
      </c>
      <c r="E51" s="27" t="s">
        <v>40</v>
      </c>
      <c r="F51" s="27" t="s">
        <v>42</v>
      </c>
      <c r="G51" s="27" t="s">
        <v>44</v>
      </c>
      <c r="H51" s="27" t="s">
        <v>45</v>
      </c>
      <c r="I51" s="27" t="s">
        <v>46</v>
      </c>
      <c r="J51" s="27" t="s">
        <v>47</v>
      </c>
    </row>
    <row r="52" spans="2:10">
      <c r="B52" s="26">
        <v>2024</v>
      </c>
      <c r="C52" s="4">
        <v>29</v>
      </c>
      <c r="D52" s="5">
        <v>187339</v>
      </c>
      <c r="E52" s="5">
        <v>27672</v>
      </c>
      <c r="F52" s="5">
        <v>17886</v>
      </c>
      <c r="G52" s="5">
        <v>1882</v>
      </c>
      <c r="H52" s="5">
        <v>96</v>
      </c>
      <c r="I52" s="5">
        <v>50</v>
      </c>
      <c r="J52" s="9">
        <v>960</v>
      </c>
    </row>
    <row r="53" spans="2:10">
      <c r="B53" s="26">
        <v>2025</v>
      </c>
      <c r="C53" s="4">
        <v>35</v>
      </c>
      <c r="D53" s="5">
        <v>648545</v>
      </c>
      <c r="E53" s="5">
        <v>27877</v>
      </c>
      <c r="F53" s="5">
        <v>20958</v>
      </c>
      <c r="G53" s="5">
        <v>2675</v>
      </c>
      <c r="H53" s="5">
        <v>167</v>
      </c>
      <c r="I53" s="24">
        <v>96</v>
      </c>
      <c r="J53" s="9">
        <v>2500</v>
      </c>
    </row>
    <row r="54" spans="2:10">
      <c r="B54" s="26">
        <v>2026</v>
      </c>
      <c r="C54" s="4">
        <f>COUNTA(B5:B47)</f>
        <v>22</v>
      </c>
      <c r="D54" s="5">
        <f>SUM(F5:F47)</f>
        <v>112424</v>
      </c>
      <c r="E54" s="5">
        <f>SUM(G5:G47)</f>
        <v>8963</v>
      </c>
      <c r="F54" s="5">
        <f>SUM(I5:I47)</f>
        <v>7606</v>
      </c>
      <c r="G54" s="5">
        <f>SUM(K5:K47)</f>
        <v>1221</v>
      </c>
      <c r="H54" s="5">
        <f>SUM(L5:L47)</f>
        <v>51</v>
      </c>
      <c r="I54" s="24">
        <f>SUM(M5:M47)</f>
        <v>35</v>
      </c>
      <c r="J54" s="9">
        <f>SUM(N5:N47)</f>
        <v>340</v>
      </c>
    </row>
    <row r="77" spans="2:10">
      <c r="B77" s="26" t="s">
        <v>84</v>
      </c>
      <c r="C77" s="25">
        <f t="shared" ref="C77:J78" si="1">(C53-C52)/C52</f>
        <v>0.20689655172413793</v>
      </c>
      <c r="D77" s="25">
        <f t="shared" si="1"/>
        <v>2.4618792669972618</v>
      </c>
      <c r="E77" s="25">
        <f t="shared" si="1"/>
        <v>7.4082104654524432E-3</v>
      </c>
      <c r="F77" s="25">
        <f t="shared" si="1"/>
        <v>0.17175444481717544</v>
      </c>
      <c r="G77" s="25">
        <f t="shared" si="1"/>
        <v>0.42136025504782149</v>
      </c>
      <c r="H77" s="25">
        <f t="shared" si="1"/>
        <v>0.73958333333333337</v>
      </c>
      <c r="I77" s="25">
        <f t="shared" si="1"/>
        <v>0.92</v>
      </c>
      <c r="J77" s="25">
        <f t="shared" si="1"/>
        <v>1.6041666666666667</v>
      </c>
    </row>
    <row r="78" spans="2:10">
      <c r="B78" s="26" t="s">
        <v>85</v>
      </c>
      <c r="C78" s="25">
        <f t="shared" si="1"/>
        <v>-0.37142857142857144</v>
      </c>
      <c r="D78" s="25">
        <f t="shared" si="1"/>
        <v>-0.82665196709557554</v>
      </c>
      <c r="E78" s="25">
        <f t="shared" si="1"/>
        <v>-0.67848046776912863</v>
      </c>
      <c r="F78" s="25">
        <f t="shared" si="1"/>
        <v>-0.63708369119190766</v>
      </c>
      <c r="G78" s="25">
        <f t="shared" si="1"/>
        <v>-0.54355140186915885</v>
      </c>
      <c r="H78" s="25">
        <f t="shared" si="1"/>
        <v>-0.69461077844311381</v>
      </c>
      <c r="I78" s="25">
        <f t="shared" si="1"/>
        <v>-0.63541666666666663</v>
      </c>
      <c r="J78" s="25">
        <f t="shared" si="1"/>
        <v>-0.86399999999999999</v>
      </c>
    </row>
  </sheetData>
  <mergeCells count="1">
    <mergeCell ref="P4:U4"/>
  </mergeCells>
  <pageMargins left="0.7" right="0.7" top="0.75" bottom="0.75" header="0.3" footer="0.3"/>
  <pageSetup paperSize="9" scale="61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T21"/>
  <sheetViews>
    <sheetView showGridLines="0" tabSelected="1" zoomScale="85" zoomScaleNormal="85" workbookViewId="0">
      <selection activeCell="Q30" sqref="Q30"/>
    </sheetView>
  </sheetViews>
  <sheetFormatPr baseColWidth="10" defaultRowHeight="15"/>
  <cols>
    <col min="17" max="17" width="48.42578125" customWidth="1"/>
    <col min="18" max="18" width="22.140625" customWidth="1"/>
    <col min="19" max="19" width="12.7109375" bestFit="1" customWidth="1"/>
  </cols>
  <sheetData>
    <row r="2" spans="2:20" ht="15" customHeight="1">
      <c r="B2" s="71"/>
      <c r="C2" s="63" t="s">
        <v>86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</row>
    <row r="3" spans="2:20" ht="15" customHeight="1">
      <c r="B3" s="72"/>
      <c r="C3" s="66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</row>
    <row r="4" spans="2:20">
      <c r="B4" s="73"/>
      <c r="C4" s="41" t="s">
        <v>87</v>
      </c>
      <c r="D4" s="41" t="s">
        <v>88</v>
      </c>
      <c r="E4" s="41" t="s">
        <v>89</v>
      </c>
      <c r="F4" s="41" t="s">
        <v>90</v>
      </c>
      <c r="G4" s="41" t="s">
        <v>91</v>
      </c>
      <c r="H4" s="41" t="s">
        <v>92</v>
      </c>
      <c r="I4" s="41" t="s">
        <v>93</v>
      </c>
      <c r="J4" s="41" t="s">
        <v>94</v>
      </c>
      <c r="K4" s="41" t="s">
        <v>95</v>
      </c>
      <c r="L4" s="41" t="s">
        <v>96</v>
      </c>
      <c r="M4" s="41" t="s">
        <v>97</v>
      </c>
      <c r="N4" s="41" t="s">
        <v>98</v>
      </c>
      <c r="O4" s="41" t="s">
        <v>99</v>
      </c>
      <c r="Q4" s="69" t="s">
        <v>100</v>
      </c>
      <c r="R4" s="70"/>
      <c r="S4" s="42"/>
      <c r="T4" s="42"/>
    </row>
    <row r="5" spans="2:20">
      <c r="B5" s="43">
        <v>2026</v>
      </c>
      <c r="C5" s="44">
        <v>47</v>
      </c>
      <c r="D5" s="44">
        <v>91</v>
      </c>
      <c r="E5" s="44">
        <v>124</v>
      </c>
      <c r="F5" s="44">
        <v>142</v>
      </c>
      <c r="G5" s="44">
        <v>125</v>
      </c>
      <c r="H5" s="44">
        <v>68</v>
      </c>
      <c r="I5" s="44">
        <v>70</v>
      </c>
      <c r="J5" s="44">
        <v>23</v>
      </c>
      <c r="K5" s="44">
        <v>68</v>
      </c>
      <c r="L5" s="44">
        <v>123</v>
      </c>
      <c r="M5" s="45"/>
      <c r="N5" s="45"/>
      <c r="O5" s="44">
        <f>SUM(C5:M5)</f>
        <v>881</v>
      </c>
      <c r="Q5" s="46" t="s">
        <v>101</v>
      </c>
      <c r="R5" s="39">
        <v>1067</v>
      </c>
      <c r="S5" s="42"/>
      <c r="T5" s="42"/>
    </row>
    <row r="6" spans="2:20">
      <c r="B6" s="47">
        <v>2025</v>
      </c>
      <c r="C6" s="44">
        <v>132</v>
      </c>
      <c r="D6" s="44">
        <v>102</v>
      </c>
      <c r="E6" s="44">
        <v>144</v>
      </c>
      <c r="F6" s="44">
        <v>108</v>
      </c>
      <c r="G6" s="44">
        <v>191</v>
      </c>
      <c r="H6" s="44">
        <v>162</v>
      </c>
      <c r="I6" s="48">
        <v>88</v>
      </c>
      <c r="J6" s="44">
        <v>113</v>
      </c>
      <c r="K6" s="44">
        <v>93</v>
      </c>
      <c r="L6" s="44">
        <v>108</v>
      </c>
      <c r="M6" s="44">
        <v>65</v>
      </c>
      <c r="N6" s="44">
        <v>40</v>
      </c>
      <c r="O6" s="44">
        <f>SUM(C6:N6)</f>
        <v>1346</v>
      </c>
      <c r="Q6" s="49" t="s">
        <v>102</v>
      </c>
      <c r="R6" s="39">
        <v>2397</v>
      </c>
      <c r="S6" s="50"/>
      <c r="T6" s="51"/>
    </row>
    <row r="7" spans="2:20">
      <c r="B7" s="52">
        <v>2024</v>
      </c>
      <c r="C7" s="44">
        <v>37</v>
      </c>
      <c r="D7" s="44">
        <v>11</v>
      </c>
      <c r="E7" s="44">
        <v>50</v>
      </c>
      <c r="F7" s="44">
        <v>47</v>
      </c>
      <c r="G7" s="44">
        <v>186</v>
      </c>
      <c r="H7" s="44">
        <v>169</v>
      </c>
      <c r="I7" s="44">
        <v>144</v>
      </c>
      <c r="J7" s="44">
        <v>153</v>
      </c>
      <c r="K7" s="44">
        <v>125</v>
      </c>
      <c r="L7" s="44">
        <v>206</v>
      </c>
      <c r="M7" s="44">
        <v>129</v>
      </c>
      <c r="N7" s="44">
        <v>79</v>
      </c>
      <c r="O7" s="44">
        <f>SUM(C7:N7)</f>
        <v>1336</v>
      </c>
      <c r="Q7" s="38" t="s">
        <v>103</v>
      </c>
      <c r="R7" s="39">
        <f>R6-R5</f>
        <v>1330</v>
      </c>
      <c r="S7" s="53"/>
      <c r="T7" s="53"/>
    </row>
    <row r="8" spans="2:20">
      <c r="Q8" s="38" t="s">
        <v>104</v>
      </c>
      <c r="R8" s="39">
        <v>3743</v>
      </c>
      <c r="S8" s="53"/>
      <c r="T8" s="53"/>
    </row>
    <row r="9" spans="2:20">
      <c r="Q9" s="38" t="s">
        <v>105</v>
      </c>
      <c r="R9" s="39">
        <f>R8-R6</f>
        <v>1346</v>
      </c>
      <c r="S9" s="53"/>
      <c r="T9" s="53"/>
    </row>
    <row r="10" spans="2:20">
      <c r="Q10" s="54" t="s">
        <v>106</v>
      </c>
      <c r="R10" s="37">
        <f>R8+SUM(C5:N5)</f>
        <v>4624</v>
      </c>
      <c r="S10" s="53"/>
      <c r="T10" s="53"/>
    </row>
    <row r="11" spans="2:20">
      <c r="Q11" s="46" t="s">
        <v>107</v>
      </c>
      <c r="R11" s="39">
        <f>R10-R8</f>
        <v>881</v>
      </c>
      <c r="S11" s="55"/>
      <c r="T11" s="53"/>
    </row>
    <row r="12" spans="2:20">
      <c r="Q12" s="46" t="s">
        <v>108</v>
      </c>
      <c r="R12" s="39">
        <f>AVERAGE(C5:M5)</f>
        <v>88.1</v>
      </c>
      <c r="S12" s="55"/>
      <c r="T12" s="53"/>
    </row>
    <row r="13" spans="2:20">
      <c r="Q13" s="46" t="s">
        <v>109</v>
      </c>
      <c r="R13" s="39">
        <v>5000</v>
      </c>
      <c r="S13" s="55"/>
      <c r="T13" s="53"/>
    </row>
    <row r="14" spans="2:20">
      <c r="Q14" s="38" t="s">
        <v>110</v>
      </c>
      <c r="R14" s="39">
        <f>R13-R10</f>
        <v>376</v>
      </c>
    </row>
    <row r="15" spans="2:20">
      <c r="Q15" s="36" t="s">
        <v>111</v>
      </c>
      <c r="R15" s="40">
        <f>R10/R13</f>
        <v>0.92479999999999996</v>
      </c>
    </row>
    <row r="19" spans="17:19">
      <c r="Q19" s="12"/>
      <c r="R19" s="12"/>
      <c r="S19" s="12"/>
    </row>
    <row r="21" spans="17:19">
      <c r="Q21" s="13"/>
      <c r="R21" s="13"/>
      <c r="S21" s="13"/>
    </row>
  </sheetData>
  <mergeCells count="3">
    <mergeCell ref="C2:O3"/>
    <mergeCell ref="Q4:R4"/>
    <mergeCell ref="B2:B4"/>
  </mergeCells>
  <pageMargins left="0.7" right="0.7" top="0.75" bottom="0.75" header="0.3" footer="0.3"/>
  <pageSetup paperSize="9" scale="6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Calendrier</vt:lpstr>
      <vt:lpstr>Résultats posts LK </vt:lpstr>
      <vt:lpstr>Évolution abonnés 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HYNDERICK</dc:creator>
  <cp:lastModifiedBy>Paul HYNDERICK</cp:lastModifiedBy>
  <cp:lastPrinted>2025-02-04T10:04:29Z</cp:lastPrinted>
  <dcterms:created xsi:type="dcterms:W3CDTF">2024-05-14T12:57:55Z</dcterms:created>
  <dcterms:modified xsi:type="dcterms:W3CDTF">2026-10-27T07:11:02Z</dcterms:modified>
</cp:coreProperties>
</file>