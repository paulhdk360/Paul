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Calendrier" sheetId="2" state="visible" r:id="rId2"/>
    <sheet xmlns:r="http://schemas.openxmlformats.org/officeDocument/2006/relationships" name="Posts LinkedIn" sheetId="3" state="visible" r:id="rId3"/>
    <sheet xmlns:r="http://schemas.openxmlformats.org/officeDocument/2006/relationships" name="Abonnés LinkedIn" sheetId="4" state="visible" r:id="rId4"/>
    <sheet xmlns:r="http://schemas.openxmlformats.org/officeDocument/2006/relationships" name="Sal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 &quot;€&quot;"/>
    <numFmt numFmtId="166" formatCode="yyyy-mm-dd"/>
    <numFmt numFmtId="167" formatCode="dd/mm/yyyy"/>
    <numFmt numFmtId="168" formatCode="0 &quot;€&quot;"/>
    <numFmt numFmtId="169" formatCode="+#,##0"/>
    <numFmt numFmtId="170" formatCode="+0%;-0%"/>
    <numFmt numFmtId="171" formatCode="#,##0 &quot;€&quot;"/>
    <numFmt numFmtId="172" formatCode="+0.0&quot; pts&quot;;-0.0&quot; pts&quot;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Calibri"/>
      <color rgb="001CB2FE"/>
      <sz val="10"/>
    </font>
    <font>
      <name val="Calibri"/>
      <b val="1"/>
      <color rgb="0008203F"/>
      <sz val="10"/>
    </font>
    <font>
      <name val="Calibri"/>
      <b val="1"/>
      <color rgb="00FFFFFF"/>
      <sz val="10"/>
    </font>
    <font>
      <name val="Calibri"/>
      <color rgb="005A6B7F"/>
      <sz val="9"/>
    </font>
    <font>
      <name val="Calibri"/>
      <color rgb="000000FF"/>
      <sz val="10"/>
    </font>
    <font>
      <name val="Calibri"/>
      <color rgb="000B1B2E"/>
      <sz val="10"/>
    </font>
    <font>
      <name val="Calibri"/>
      <b val="1"/>
      <color rgb="000A4FA0"/>
      <sz val="11"/>
    </font>
    <font>
      <name val="Calibri"/>
      <b val="1"/>
      <color rgb="000000FF"/>
      <sz val="11"/>
    </font>
    <font>
      <name val="Calibri"/>
      <b val="1"/>
      <color rgb="0008203F"/>
      <sz val="11"/>
    </font>
    <font>
      <name val="Calibri"/>
      <i val="1"/>
      <color rgb="005A6B7F"/>
      <sz val="9"/>
    </font>
    <font>
      <name val="Calibri"/>
      <color rgb="000000FF"/>
      <sz val="11"/>
    </font>
    <font>
      <name val="Calibri"/>
      <b val="1"/>
      <color rgb="000B1B2E"/>
      <sz val="11"/>
    </font>
    <font>
      <name val="Calibri"/>
      <color rgb="000B1B2E"/>
      <sz val="11"/>
    </font>
    <font>
      <name val="Calibri"/>
      <i val="1"/>
      <color rgb="005A6B7F"/>
      <sz val="10"/>
    </font>
    <font>
      <name val="Calibri"/>
      <b val="1"/>
      <color rgb="000B1B2E"/>
      <sz val="10"/>
    </font>
    <font>
      <name val="Calibri"/>
      <b val="1"/>
      <color rgb="005A6B7F"/>
      <sz val="8.5"/>
    </font>
    <font>
      <name val="Segoe UI"/>
      <b val="1"/>
      <color rgb="000A4FA0"/>
      <sz val="22"/>
    </font>
    <font>
      <name val="Segoe UI"/>
      <b val="1"/>
      <color rgb="001CB2FE"/>
      <sz val="22"/>
    </font>
    <font>
      <name val="Segoe UI"/>
      <b val="1"/>
      <color rgb="0008203F"/>
      <sz val="22"/>
    </font>
    <font>
      <name val="Segoe UI"/>
      <b val="1"/>
      <color rgb="0008203F"/>
      <sz val="13"/>
    </font>
    <font>
      <name val="Segoe UI"/>
      <b val="1"/>
      <color rgb="000A4FA0"/>
      <sz val="13"/>
    </font>
    <font>
      <name val="Segoe UI"/>
      <b val="1"/>
      <color rgb="00C0392B"/>
      <sz val="22"/>
    </font>
  </fonts>
  <fills count="7">
    <fill>
      <patternFill/>
    </fill>
    <fill>
      <patternFill patternType="gray125"/>
    </fill>
    <fill>
      <patternFill patternType="solid">
        <fgColor rgb="0008203F"/>
      </patternFill>
    </fill>
    <fill>
      <patternFill patternType="solid">
        <fgColor rgb="001CB2FE"/>
      </patternFill>
    </fill>
    <fill>
      <patternFill patternType="solid">
        <fgColor rgb="00EAF4FC"/>
      </patternFill>
    </fill>
    <fill>
      <patternFill patternType="solid">
        <fgColor rgb="000A4FA0"/>
      </patternFill>
    </fill>
    <fill>
      <patternFill patternType="solid">
        <fgColor rgb="00F7FAFD"/>
      </patternFill>
    </fill>
  </fills>
  <borders count="15">
    <border>
      <left/>
      <right/>
      <top/>
      <bottom/>
      <diagonal/>
    </border>
    <border>
      <bottom style="thin">
        <color rgb="00D5E1EE"/>
      </bottom>
    </border>
    <border>
      <left style="thin">
        <color rgb="00D5E1EE"/>
      </left>
      <bottom style="thin">
        <color rgb="00D5E1EE"/>
      </bottom>
    </border>
    <border>
      <left style="thick">
        <color rgb="000A4FA0"/>
      </left>
    </border>
    <border>
      <left style="thick">
        <color rgb="000A4FA0"/>
      </left>
      <right/>
      <bottom/>
    </border>
    <border>
      <left style="thick">
        <color rgb="000A4FA0"/>
      </left>
      <right/>
      <top/>
      <bottom/>
      <diagonal/>
    </border>
    <border>
      <left style="thick">
        <color rgb="001CB2FE"/>
      </left>
    </border>
    <border>
      <left style="thick">
        <color rgb="001CB2FE"/>
      </left>
      <right/>
      <bottom/>
    </border>
    <border>
      <left style="thick">
        <color rgb="001CB2FE"/>
      </left>
      <right/>
      <top/>
      <bottom/>
      <diagonal/>
    </border>
    <border>
      <left style="thick">
        <color rgb="0008203F"/>
      </left>
    </border>
    <border>
      <left style="thick">
        <color rgb="0008203F"/>
      </left>
      <right/>
      <bottom/>
    </border>
    <border>
      <left style="thick">
        <color rgb="0008203F"/>
      </left>
      <right/>
      <top/>
      <bottom/>
      <diagonal/>
    </border>
    <border>
      <left style="thick">
        <color rgb="00C0392B"/>
      </left>
    </border>
    <border>
      <left style="thick">
        <color rgb="00C0392B"/>
      </left>
      <right/>
      <bottom/>
    </border>
    <border>
      <left style="thick">
        <color rgb="00C0392B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7" fillId="4" borderId="4" applyAlignment="1" pivotButton="0" quotePrefix="0" xfId="0">
      <alignment horizontal="left" vertical="center" indent="1"/>
    </xf>
    <xf numFmtId="0" fontId="17" fillId="4" borderId="7" applyAlignment="1" pivotButton="0" quotePrefix="0" xfId="0">
      <alignment horizontal="left" vertical="center" indent="1"/>
    </xf>
    <xf numFmtId="0" fontId="17" fillId="4" borderId="10" applyAlignment="1" pivotButton="0" quotePrefix="0" xfId="0">
      <alignment horizontal="left" vertical="center" indent="1"/>
    </xf>
    <xf numFmtId="3" fontId="18" fillId="4" borderId="4" applyAlignment="1" pivotButton="0" quotePrefix="0" xfId="0">
      <alignment horizontal="left" vertical="center" wrapText="1" indent="1"/>
    </xf>
    <xf numFmtId="169" fontId="19" fillId="4" borderId="7" applyAlignment="1" pivotButton="0" quotePrefix="0" xfId="0">
      <alignment horizontal="left" vertical="center" wrapText="1" indent="1"/>
    </xf>
    <xf numFmtId="1" fontId="20" fillId="4" borderId="10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8" pivotButton="0" quotePrefix="0" xfId="0"/>
    <xf numFmtId="0" fontId="0" fillId="0" borderId="11" pivotButton="0" quotePrefix="0" xfId="0"/>
    <xf numFmtId="0" fontId="5" fillId="4" borderId="4" applyAlignment="1" pivotButton="0" quotePrefix="0" xfId="0">
      <alignment horizontal="left" vertical="center" indent="1"/>
    </xf>
    <xf numFmtId="0" fontId="5" fillId="4" borderId="7" applyAlignment="1" pivotButton="0" quotePrefix="0" xfId="0">
      <alignment horizontal="left" vertical="center" indent="1"/>
    </xf>
    <xf numFmtId="0" fontId="5" fillId="4" borderId="10" applyAlignment="1" pivotButton="0" quotePrefix="0" xfId="0">
      <alignment horizontal="left" vertical="center" indent="1"/>
    </xf>
    <xf numFmtId="3" fontId="19" fillId="4" borderId="7" applyAlignment="1" pivotButton="0" quotePrefix="0" xfId="0">
      <alignment horizontal="left" vertical="center" wrapText="1" indent="1"/>
    </xf>
    <xf numFmtId="164" fontId="20" fillId="4" borderId="10" applyAlignment="1" pivotButton="0" quotePrefix="0" xfId="0">
      <alignment horizontal="left" vertical="center" wrapText="1" indent="1"/>
    </xf>
    <xf numFmtId="171" fontId="18" fillId="4" borderId="4" applyAlignment="1" pivotButton="0" quotePrefix="0" xfId="0">
      <alignment horizontal="left" vertical="center" wrapText="1" indent="1"/>
    </xf>
    <xf numFmtId="0" fontId="17" fillId="4" borderId="13" applyAlignment="1" pivotButton="0" quotePrefix="0" xfId="0">
      <alignment horizontal="left" vertical="center" indent="1"/>
    </xf>
    <xf numFmtId="49" fontId="21" fillId="4" borderId="10" applyAlignment="1" pivotButton="0" quotePrefix="0" xfId="0">
      <alignment horizontal="left" vertical="center" wrapText="1" indent="1"/>
    </xf>
    <xf numFmtId="49" fontId="22" fillId="4" borderId="4" applyAlignment="1" pivotButton="0" quotePrefix="0" xfId="0">
      <alignment horizontal="left" vertical="center" wrapText="1" indent="1"/>
    </xf>
    <xf numFmtId="1" fontId="19" fillId="4" borderId="7" applyAlignment="1" pivotButton="0" quotePrefix="0" xfId="0">
      <alignment horizontal="left" vertical="center" wrapText="1" indent="1"/>
    </xf>
    <xf numFmtId="1" fontId="23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5" fillId="4" borderId="13" applyAlignment="1" pivotButton="0" quotePrefix="0" xfId="0">
      <alignment horizontal="left" vertical="center" indent="1"/>
    </xf>
    <xf numFmtId="0" fontId="8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1" fontId="6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70" fontId="1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72" fontId="16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3" fontId="14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3" fillId="4" borderId="0" pivotButton="0" quotePrefix="0" xfId="0"/>
    <xf numFmtId="3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7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7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7" fillId="0" borderId="1" pivotButton="0" quotePrefix="0" xfId="0"/>
    <xf numFmtId="3" fontId="9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169" fontId="10" fillId="0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9" fontId="10" fillId="4" borderId="1" applyAlignment="1" pivotButton="0" quotePrefix="0" xfId="0">
      <alignment horizontal="right" vertical="center"/>
    </xf>
    <xf numFmtId="170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ont>
        <b val="1"/>
        <color rgb="001B7F3B"/>
      </font>
    </dxf>
    <dxf>
      <font>
        <b val="1"/>
        <color rgb="00C0392B"/>
      </font>
    </dxf>
    <dxf>
      <font>
        <b val="1"/>
        <color rgb="0008203F"/>
      </font>
      <fill>
        <patternFill patternType="solid">
          <fgColor rgb="001CB2FE"/>
        </patternFill>
      </fill>
    </dxf>
    <dxf>
      <fill>
        <patternFill patternType="solid">
          <fgColor rgb="00E3F3FE"/>
        </patternFill>
      </fill>
    </dxf>
    <dxf>
      <font>
        <b val="1"/>
        <color rgb="00B26A00"/>
      </font>
    </dxf>
    <dxf>
      <font>
        <color rgb="00FFFFFF"/>
      </font>
    </dxf>
    <dxf>
      <font>
        <b val="1"/>
        <color rgb="001B7F3B"/>
      </font>
      <fill>
        <patternFill patternType="solid">
          <fgColor rgb="00D6F0DE"/>
        </patternFill>
      </fill>
    </dxf>
    <dxf>
      <font>
        <b val="1"/>
        <color rgb="000A4FA0"/>
      </font>
      <fill>
        <patternFill patternType="solid">
          <fgColor rgb="00DCEBFA"/>
        </patternFill>
      </fill>
    </dxf>
    <dxf>
      <font>
        <b val="1"/>
        <color rgb="00C0392B"/>
      </font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Impressions par post</a:t>
            </a:r>
          </a:p>
        </rich>
      </tx>
    </title>
    <plotArea>
      <barChart>
        <barDir val="col"/>
        <grouping val="clustered"/>
        <ser>
          <idx val="0"/>
          <order val="0"/>
          <tx>
            <v>Impressions</v>
          </tx>
          <spPr>
            <a:solidFill xmlns:a="http://schemas.openxmlformats.org/drawingml/2006/main">
              <a:srgbClr val="1CB2FE"/>
            </a:solidFill>
            <a:ln xmlns:a="http://schemas.openxmlformats.org/drawingml/2006/main">
              <a:prstDash val="solid"/>
            </a:ln>
          </spPr>
          <cat>
            <numRef>
              <f>'Posts LinkedIn'!$B$7:$B$26</f>
            </numRef>
          </cat>
          <val>
            <numRef>
              <f>'Posts LinkedIn'!$H$7:$H$26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Taux d'engagement par post</a:t>
            </a:r>
          </a:p>
        </rich>
      </tx>
    </title>
    <plotArea>
      <barChart>
        <barDir val="col"/>
        <grouping val="clustered"/>
        <ser>
          <idx val="0"/>
          <order val="0"/>
          <tx>
            <v>Taux</v>
          </tx>
          <spPr>
            <a:solidFill xmlns:a="http://schemas.openxmlformats.org/drawingml/2006/main">
              <a:srgbClr val="0A4FA0"/>
            </a:solidFill>
            <a:ln xmlns:a="http://schemas.openxmlformats.org/drawingml/2006/main">
              <a:prstDash val="solid"/>
            </a:ln>
          </spPr>
          <cat>
            <numRef>
              <f>'Posts LinkedIn'!$B$7:$B$26</f>
            </numRef>
          </cat>
          <val>
            <numRef>
              <f>'Posts LinkedIn'!$J$7:$J$26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Posts prévus et publiés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v>Posts prévus</v>
          </tx>
          <spPr>
            <a:solidFill xmlns:a="http://schemas.openxmlformats.org/drawingml/2006/main">
              <a:srgbClr val="9DB6D4"/>
            </a:solidFill>
            <a:ln xmlns:a="http://schemas.openxmlformats.org/drawingml/2006/main">
              <a:prstDash val="solid"/>
            </a:ln>
          </spPr>
          <cat>
            <numRef>
              <f>'Calendrier'!$C$6:$N$6</f>
            </numRef>
          </cat>
          <val>
            <numRef>
              <f>'Calendrier'!$C$7:$N$7</f>
            </numRef>
          </val>
        </ser>
        <ser>
          <idx val="1"/>
          <order val="1"/>
          <tx>
            <v>Posts publiés</v>
          </tx>
          <spPr>
            <a:solidFill xmlns:a="http://schemas.openxmlformats.org/drawingml/2006/main">
              <a:srgbClr val="1CB2FE"/>
            </a:solidFill>
            <a:ln xmlns:a="http://schemas.openxmlformats.org/drawingml/2006/main">
              <a:prstDash val="solid"/>
            </a:ln>
          </spPr>
          <cat>
            <numRef>
              <f>'Calendrier'!$C$6:$N$6</f>
            </numRef>
          </cat>
          <val>
            <numRef>
              <f>'Calendrier'!$C$8:$N$8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Impressions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v>Impressions</v>
          </tx>
          <spPr>
            <a:solidFill xmlns:a="http://schemas.openxmlformats.org/drawingml/2006/main">
              <a:srgbClr val="0A4FA0"/>
            </a:solidFill>
            <a:ln xmlns:a="http://schemas.openxmlformats.org/drawingml/2006/main">
              <a:prstDash val="solid"/>
            </a:ln>
          </spPr>
          <cat>
            <numRef>
              <f>'Calendrier'!$C$6:$N$6</f>
            </numRef>
          </cat>
          <val>
            <numRef>
              <f>'Calendrier'!$C$10:$N$10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Abonnés cumulés</a:t>
            </a:r>
          </a:p>
        </rich>
      </tx>
    </title>
    <plotArea>
      <lineChart>
        <grouping val="standard"/>
        <ser>
          <idx val="0"/>
          <order val="0"/>
          <tx>
            <v>2024</v>
          </tx>
          <spPr>
            <a:ln xmlns:a="http://schemas.openxmlformats.org/drawingml/2006/main" w="19000">
              <a:solidFill>
                <a:srgbClr val="9DB6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'Abonnés LinkedIn'!$C$13:$N$13</f>
            </numRef>
          </cat>
          <val>
            <numRef>
              <f>'Abonnés LinkedIn'!$C$14:$N$14</f>
            </numRef>
          </val>
          <smooth val="0"/>
        </ser>
        <ser>
          <idx val="1"/>
          <order val="1"/>
          <tx>
            <v>2025</v>
          </tx>
          <spPr>
            <a:ln xmlns:a="http://schemas.openxmlformats.org/drawingml/2006/main" w="19000">
              <a:solidFill>
                <a:srgbClr val="0A4F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'Abonnés LinkedIn'!$C$13:$N$13</f>
            </numRef>
          </cat>
          <val>
            <numRef>
              <f>'Abonnés LinkedIn'!$C$15:$N$15</f>
            </numRef>
          </val>
          <smooth val="0"/>
        </ser>
        <ser>
          <idx val="2"/>
          <order val="2"/>
          <tx>
            <v>2026</v>
          </tx>
          <spPr>
            <a:ln xmlns:a="http://schemas.openxmlformats.org/drawingml/2006/main" w="28000">
              <a:solidFill>
                <a:srgbClr val="1CB2F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'Abonnés LinkedIn'!$C$13:$N$13</f>
            </numRef>
          </cat>
          <val>
            <numRef>
              <f>'Abonnés LinkedIn'!$C$16:$N$16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Nouveaux abonnés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v>2024</v>
          </tx>
          <spPr>
            <a:solidFill xmlns:a="http://schemas.openxmlformats.org/drawingml/2006/main">
              <a:srgbClr val="9DB6D4"/>
            </a:solidFill>
            <a:ln xmlns:a="http://schemas.openxmlformats.org/drawingml/2006/main">
              <a:prstDash val="solid"/>
            </a:ln>
          </spPr>
          <cat>
            <numRef>
              <f>'Abonnés LinkedIn'!$C$7:$N$7</f>
            </numRef>
          </cat>
          <val>
            <numRef>
              <f>'Abonnés LinkedIn'!$C$8:$N$8</f>
            </numRef>
          </val>
        </ser>
        <ser>
          <idx val="1"/>
          <order val="1"/>
          <tx>
            <v>2025</v>
          </tx>
          <spPr>
            <a:solidFill xmlns:a="http://schemas.openxmlformats.org/drawingml/2006/main">
              <a:srgbClr val="0A4FA0"/>
            </a:solidFill>
            <a:ln xmlns:a="http://schemas.openxmlformats.org/drawingml/2006/main">
              <a:prstDash val="solid"/>
            </a:ln>
          </spPr>
          <cat>
            <numRef>
              <f>'Abonnés LinkedIn'!$C$7:$N$7</f>
            </numRef>
          </cat>
          <val>
            <numRef>
              <f>'Abonnés LinkedIn'!$C$9:$N$9</f>
            </numRef>
          </val>
        </ser>
        <ser>
          <idx val="2"/>
          <order val="2"/>
          <tx>
            <v>2026</v>
          </tx>
          <spPr>
            <a:solidFill xmlns:a="http://schemas.openxmlformats.org/drawingml/2006/main">
              <a:srgbClr val="1CB2FE"/>
            </a:solidFill>
            <a:ln xmlns:a="http://schemas.openxmlformats.org/drawingml/2006/main">
              <a:prstDash val="solid"/>
            </a:ln>
          </spPr>
          <cat>
            <numRef>
              <f>'Abonnés LinkedIn'!$C$7:$N$7</f>
            </numRef>
          </cat>
          <val>
            <numRef>
              <f>'Abonnés LinkedIn'!$C$10:$N$10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Abonnés cumulés</a:t>
            </a:r>
          </a:p>
        </rich>
      </tx>
    </title>
    <plotArea>
      <lineChart>
        <grouping val="standard"/>
        <ser>
          <idx val="0"/>
          <order val="0"/>
          <tx>
            <v>2024</v>
          </tx>
          <spPr>
            <a:ln xmlns:a="http://schemas.openxmlformats.org/drawingml/2006/main" w="19000">
              <a:solidFill>
                <a:srgbClr val="9DB6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'Abonnés LinkedIn'!$C$13:$N$13</f>
            </numRef>
          </cat>
          <val>
            <numRef>
              <f>'Abonnés LinkedIn'!$C$14:$N$14</f>
            </numRef>
          </val>
          <smooth val="0"/>
        </ser>
        <ser>
          <idx val="1"/>
          <order val="1"/>
          <tx>
            <v>2025</v>
          </tx>
          <spPr>
            <a:ln xmlns:a="http://schemas.openxmlformats.org/drawingml/2006/main" w="19000">
              <a:solidFill>
                <a:srgbClr val="0A4F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'Abonnés LinkedIn'!$C$13:$N$13</f>
            </numRef>
          </cat>
          <val>
            <numRef>
              <f>'Abonnés LinkedIn'!$C$15:$N$15</f>
            </numRef>
          </val>
          <smooth val="0"/>
        </ser>
        <ser>
          <idx val="2"/>
          <order val="2"/>
          <tx>
            <v>2026</v>
          </tx>
          <spPr>
            <a:ln xmlns:a="http://schemas.openxmlformats.org/drawingml/2006/main" w="28000">
              <a:solidFill>
                <a:srgbClr val="1CB2F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'Abonnés LinkedIn'!$C$13:$N$13</f>
            </numRef>
          </cat>
          <val>
            <numRef>
              <f>'Abonnés LinkedIn'!$C$16:$N$16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Nouveaux abonnés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v>2024</v>
          </tx>
          <spPr>
            <a:solidFill xmlns:a="http://schemas.openxmlformats.org/drawingml/2006/main">
              <a:srgbClr val="9DB6D4"/>
            </a:solidFill>
            <a:ln xmlns:a="http://schemas.openxmlformats.org/drawingml/2006/main">
              <a:prstDash val="solid"/>
            </a:ln>
          </spPr>
          <cat>
            <numRef>
              <f>'Abonnés LinkedIn'!$C$7:$N$7</f>
            </numRef>
          </cat>
          <val>
            <numRef>
              <f>'Abonnés LinkedIn'!$C$8:$N$8</f>
            </numRef>
          </val>
        </ser>
        <ser>
          <idx val="1"/>
          <order val="1"/>
          <tx>
            <v>2025</v>
          </tx>
          <spPr>
            <a:solidFill xmlns:a="http://schemas.openxmlformats.org/drawingml/2006/main">
              <a:srgbClr val="0A4FA0"/>
            </a:solidFill>
            <a:ln xmlns:a="http://schemas.openxmlformats.org/drawingml/2006/main">
              <a:prstDash val="solid"/>
            </a:ln>
          </spPr>
          <cat>
            <numRef>
              <f>'Abonnés LinkedIn'!$C$7:$N$7</f>
            </numRef>
          </cat>
          <val>
            <numRef>
              <f>'Abonnés LinkedIn'!$C$9:$N$9</f>
            </numRef>
          </val>
        </ser>
        <ser>
          <idx val="2"/>
          <order val="2"/>
          <tx>
            <v>2026</v>
          </tx>
          <spPr>
            <a:solidFill xmlns:a="http://schemas.openxmlformats.org/drawingml/2006/main">
              <a:srgbClr val="1CB2FE"/>
            </a:solidFill>
            <a:ln xmlns:a="http://schemas.openxmlformats.org/drawingml/2006/main">
              <a:prstDash val="solid"/>
            </a:ln>
          </spPr>
          <cat>
            <numRef>
              <f>'Abonnés LinkedIn'!$C$7:$N$7</f>
            </numRef>
          </cat>
          <val>
            <numRef>
              <f>'Abonnés LinkedIn'!$C$10:$N$10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547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47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36</row>
      <rowOff>0</rowOff>
    </from>
    <ext cx="5472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36</row>
      <rowOff>0</rowOff>
    </from>
    <ext cx="5472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51</row>
      <rowOff>0</rowOff>
    </from>
    <ext cx="5472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51</row>
      <rowOff>0</rowOff>
    </from>
    <ext cx="5472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18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35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8203F"/>
    <outlinePr summaryBelow="1" summaryRight="1"/>
    <pageSetUpPr fitToPage="1"/>
  </sheetPr>
  <dimension ref="A1:N81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2" customWidth="1" min="14" max="14"/>
  </cols>
  <sheetData>
    <row r="1" ht="34" customHeight="1">
      <c r="A1" s="1" t="n"/>
      <c r="B1" s="2" t="inlineStr">
        <is>
          <t>Plan marketing et communication 2026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8" customHeight="1">
      <c r="A2" s="1" t="n"/>
      <c r="B2" s="3" t="inlineStr">
        <is>
          <t>Enedril · tableau de bord LinkedIn, calendrier et salons. Tout se met à jour depuis les autres onglets.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6" ht="18" customHeight="1">
      <c r="B6" s="5" t="inlineStr">
        <is>
          <t>ABONNÉS LINKEDIN</t>
        </is>
      </c>
      <c r="E6" s="6" t="inlineStr">
        <is>
          <t>NOUVEAUX ABONNÉS 2026</t>
        </is>
      </c>
      <c r="H6" s="7" t="inlineStr">
        <is>
          <t>POSTS PUBLIÉS 2026</t>
        </is>
      </c>
      <c r="K6" s="5" t="inlineStr">
        <is>
          <t>IMPRESSIONS</t>
        </is>
      </c>
    </row>
    <row r="7">
      <c r="B7" s="8">
        <f>'Abonnés LinkedIn'!R11</f>
        <v/>
      </c>
      <c r="E7" s="9">
        <f>'Abonnés LinkedIn'!R12</f>
        <v/>
      </c>
      <c r="H7" s="10">
        <f>COUNTIF('Posts LinkedIn'!$F$7:$F$66,"Publié")</f>
        <v/>
      </c>
      <c r="K7" s="8">
        <f>'Posts LinkedIn'!H5</f>
        <v/>
      </c>
    </row>
    <row r="8">
      <c r="B8" s="11" t="n"/>
      <c r="E8" s="12" t="n"/>
      <c r="H8" s="13" t="n"/>
      <c r="K8" s="11" t="n"/>
    </row>
    <row r="9" ht="18" customHeight="1">
      <c r="B9" s="14">
        <f>TEXT('Abonnés LinkedIn'!R17,"0%")&amp;" de l'objectif ("&amp;TEXT('Abonnés LinkedIn'!R15,"#,##0")&amp;")"</f>
        <v/>
      </c>
      <c r="E9" s="15">
        <f>IFERROR(TEXT('Abonnés LinkedIn'!R20,"+0%;-0%")&amp;" vs même période 2025","")</f>
        <v/>
      </c>
      <c r="H9" s="16">
        <f>COUNTIF('Posts LinkedIn'!$F$7:$F$66,"Planifié")&amp;" planifiés · "&amp;TEXT(COUNTIF('Posts LinkedIn'!$F$7:$F$66,"Publié")/MAX(MONTH(TODAY()),1),"0.0")&amp;" posts / mois"</f>
        <v/>
      </c>
      <c r="K9" s="14">
        <f>TEXT('Posts LinkedIn'!H5/MAX(COUNTIF('Posts LinkedIn'!$F$7:$F$66,"Publié"),1),"#,##0")&amp;" par post en moyenne"</f>
        <v/>
      </c>
    </row>
    <row r="11" ht="18" customHeight="1">
      <c r="B11" s="6" t="inlineStr">
        <is>
          <t>ENGAGEMENTS</t>
        </is>
      </c>
      <c r="E11" s="7" t="inlineStr">
        <is>
          <t>TAUX D'ENGAGEMENT</t>
        </is>
      </c>
      <c r="H11" s="5" t="inlineStr">
        <is>
          <t>BUDGET PUBLICITAIRE</t>
        </is>
      </c>
      <c r="K11" s="6" t="inlineStr">
        <is>
          <t>PARTAGES</t>
        </is>
      </c>
    </row>
    <row r="12">
      <c r="B12" s="17">
        <f>'Posts LinkedIn'!I5</f>
        <v/>
      </c>
      <c r="E12" s="18">
        <f>'Posts LinkedIn'!J5</f>
        <v/>
      </c>
      <c r="H12" s="19">
        <f>'Posts LinkedIn'!P5</f>
        <v/>
      </c>
      <c r="K12" s="17">
        <f>'Posts LinkedIn'!O5</f>
        <v/>
      </c>
    </row>
    <row r="13">
      <c r="B13" s="12" t="n"/>
      <c r="E13" s="13" t="n"/>
      <c r="H13" s="11" t="n"/>
      <c r="K13" s="12" t="n"/>
    </row>
    <row r="14" ht="18" customHeight="1">
      <c r="B14" s="15">
        <f>TEXT('Posts LinkedIn'!M5,"#,##0")&amp;" réactions · "&amp;'Posts LinkedIn'!N5&amp;" commentaires"</f>
        <v/>
      </c>
      <c r="E14" s="16">
        <f>IFERROR("Taux de clics : "&amp;TEXT('Posts LinkedIn'!L5,"0.0%"),"")</f>
        <v/>
      </c>
      <c r="H14" s="14">
        <f>IFERROR("Coût : "&amp;TEXT('Posts LinkedIn'!Q5,"0.00")&amp;" € / 1000 impressions","")</f>
        <v/>
      </c>
      <c r="K14" s="15">
        <f>TEXT('Posts LinkedIn'!K5,"#,##0")&amp;" clics au total"</f>
        <v/>
      </c>
    </row>
    <row r="16" ht="18" customHeight="1">
      <c r="B16" s="7" t="inlineStr">
        <is>
          <t>MEILLEUR TAUX D'ENGAGEMENT</t>
        </is>
      </c>
      <c r="E16" s="5" t="inlineStr">
        <is>
          <t>POST LE PLUS VU</t>
        </is>
      </c>
      <c r="H16" s="6" t="inlineStr">
        <is>
          <t>SALONS RÉALISÉS</t>
        </is>
      </c>
      <c r="K16" s="20" t="inlineStr">
        <is>
          <t>À COMPLÉTER</t>
        </is>
      </c>
    </row>
    <row r="17">
      <c r="B17" s="21">
        <f>IFERROR(INDEX('Posts LinkedIn'!$B$7:$B$66,MATCH(MAX('Posts LinkedIn'!$J$7:$J$66),'Posts LinkedIn'!$J$7:$J$66,0)),"")</f>
        <v/>
      </c>
      <c r="E17" s="22">
        <f>IFERROR(INDEX('Posts LinkedIn'!$B$7:$B$66,MATCH(MAX('Posts LinkedIn'!$H$7:$H$66),'Posts LinkedIn'!$H$7:$H$66,0)),"")</f>
        <v/>
      </c>
      <c r="H17" s="23">
        <f>COUNTIFS(Salons!$C$7:$C$40,"Salon",Salons!$E$7:$E$40,"Réalisé")</f>
        <v/>
      </c>
      <c r="K17" s="24">
        <f>COUNTIFS('Posts LinkedIn'!$F$7:$F$66,"Publié",'Posts LinkedIn'!$H$7:$H$66,"")+COUNTIFS('Posts LinkedIn'!$F$7:$F$66,"Publié",'Posts LinkedIn'!$I$7:$I$66,"")</f>
        <v/>
      </c>
    </row>
    <row r="18">
      <c r="B18" s="13" t="n"/>
      <c r="E18" s="11" t="n"/>
      <c r="H18" s="12" t="n"/>
      <c r="K18" s="25" t="n"/>
    </row>
    <row r="19" ht="18" customHeight="1">
      <c r="B19" s="16">
        <f>IFERROR(TEXT(MAX('Posts LinkedIn'!$J$7:$J$66),"0%")&amp;" d'engagement","")</f>
        <v/>
      </c>
      <c r="E19" s="14">
        <f>TEXT(MAX('Posts LinkedIn'!$H$7:$H$66),"#,##0")&amp;" impressions"</f>
        <v/>
      </c>
      <c r="H19" s="15">
        <f>COUNTIFS(Salons!$C$7:$C$40,"Salon",Salons!$E$7:$E$40,"Confirmé")&amp;" salons à venir"</f>
        <v/>
      </c>
      <c r="K19" s="26" t="inlineStr">
        <is>
          <t>posts publiés sans statistiques</t>
        </is>
      </c>
    </row>
    <row r="68">
      <c r="B68" s="27" t="inlineStr">
        <is>
          <t>ÉVOLUTION ANNUELLE</t>
        </is>
      </c>
    </row>
    <row r="69" ht="26" customHeight="1">
      <c r="B69" s="28" t="inlineStr">
        <is>
          <t>Indicateur</t>
        </is>
      </c>
      <c r="D69" s="28" t="inlineStr">
        <is>
          <t>2024</t>
        </is>
      </c>
      <c r="E69" s="28" t="inlineStr">
        <is>
          <t>2025</t>
        </is>
      </c>
      <c r="F69" s="28" t="inlineStr">
        <is>
          <t>2026 (à date)</t>
        </is>
      </c>
      <c r="G69" s="28" t="inlineStr">
        <is>
          <t>Évol. 24→25</t>
        </is>
      </c>
      <c r="H69" s="28" t="inlineStr">
        <is>
          <t>Évol. 25→26</t>
        </is>
      </c>
    </row>
    <row r="70">
      <c r="B70" s="29" t="inlineStr">
        <is>
          <t>Posts publiés</t>
        </is>
      </c>
      <c r="C70" s="30" t="n"/>
      <c r="D70" s="31" t="n">
        <v>29</v>
      </c>
      <c r="E70" s="31" t="n">
        <v>35</v>
      </c>
      <c r="F70" s="32">
        <f>COUNTIF('Posts LinkedIn'!$F$7:$F$66,"Publié")</f>
        <v/>
      </c>
      <c r="G70" s="33">
        <f>IFERROR(E70/D70-1,"")</f>
        <v/>
      </c>
      <c r="H70" s="33">
        <f>IFERROR(F70/E70-1,"")</f>
        <v/>
      </c>
    </row>
    <row r="71">
      <c r="B71" s="29" t="inlineStr">
        <is>
          <t>Impressions</t>
        </is>
      </c>
      <c r="C71" s="30" t="n"/>
      <c r="D71" s="34" t="n">
        <v>187339</v>
      </c>
      <c r="E71" s="34" t="n">
        <v>648545</v>
      </c>
      <c r="F71" s="35">
        <f>'Posts LinkedIn'!H5</f>
        <v/>
      </c>
      <c r="G71" s="33">
        <f>IFERROR(E71/D71-1,"")</f>
        <v/>
      </c>
      <c r="H71" s="33">
        <f>IFERROR(F71/E71-1,"")</f>
        <v/>
      </c>
    </row>
    <row r="72">
      <c r="B72" s="29" t="inlineStr">
        <is>
          <t>Engagements</t>
        </is>
      </c>
      <c r="C72" s="30" t="n"/>
      <c r="D72" s="34" t="n">
        <v>27672</v>
      </c>
      <c r="E72" s="34" t="n">
        <v>27877</v>
      </c>
      <c r="F72" s="35">
        <f>'Posts LinkedIn'!I5</f>
        <v/>
      </c>
      <c r="G72" s="33">
        <f>IFERROR(E72/D72-1,"")</f>
        <v/>
      </c>
      <c r="H72" s="33">
        <f>IFERROR(F72/E72-1,"")</f>
        <v/>
      </c>
    </row>
    <row r="73">
      <c r="B73" s="29" t="inlineStr">
        <is>
          <t>Taux d'engagement</t>
        </is>
      </c>
      <c r="C73" s="30" t="n"/>
      <c r="D73" s="36">
        <f>D72/D71</f>
        <v/>
      </c>
      <c r="E73" s="36">
        <f>E72/E71</f>
        <v/>
      </c>
      <c r="F73" s="36">
        <f>F72/F71</f>
        <v/>
      </c>
      <c r="G73" s="37">
        <f>IFERROR((E73-D73)*100,"")</f>
        <v/>
      </c>
      <c r="H73" s="37">
        <f>IFERROR((F73-E73)*100,"")</f>
        <v/>
      </c>
    </row>
    <row r="74">
      <c r="B74" s="29" t="inlineStr">
        <is>
          <t>Clics</t>
        </is>
      </c>
      <c r="C74" s="30" t="n"/>
      <c r="D74" s="34" t="n">
        <v>17886</v>
      </c>
      <c r="E74" s="34" t="n">
        <v>20958</v>
      </c>
      <c r="F74" s="35">
        <f>'Posts LinkedIn'!K5</f>
        <v/>
      </c>
      <c r="G74" s="33">
        <f>IFERROR(E74/D74-1,"")</f>
        <v/>
      </c>
      <c r="H74" s="33">
        <f>IFERROR(F74/E74-1,"")</f>
        <v/>
      </c>
    </row>
    <row r="75">
      <c r="B75" s="29" t="inlineStr">
        <is>
          <t>Taux de clics</t>
        </is>
      </c>
      <c r="C75" s="30" t="n"/>
      <c r="D75" s="36">
        <f>D74/D71</f>
        <v/>
      </c>
      <c r="E75" s="36">
        <f>E74/E71</f>
        <v/>
      </c>
      <c r="F75" s="36">
        <f>F74/F71</f>
        <v/>
      </c>
      <c r="G75" s="37">
        <f>IFERROR((E75-D75)*100,"")</f>
        <v/>
      </c>
      <c r="H75" s="37">
        <f>IFERROR((F75-E75)*100,"")</f>
        <v/>
      </c>
    </row>
    <row r="76">
      <c r="B76" s="29" t="inlineStr">
        <is>
          <t>Réactions</t>
        </is>
      </c>
      <c r="C76" s="30" t="n"/>
      <c r="D76" s="34" t="n">
        <v>1882</v>
      </c>
      <c r="E76" s="34" t="n">
        <v>2675</v>
      </c>
      <c r="F76" s="35">
        <f>'Posts LinkedIn'!M5</f>
        <v/>
      </c>
      <c r="G76" s="33">
        <f>IFERROR(E76/D76-1,"")</f>
        <v/>
      </c>
      <c r="H76" s="33">
        <f>IFERROR(F76/E76-1,"")</f>
        <v/>
      </c>
    </row>
    <row r="77">
      <c r="B77" s="29" t="inlineStr">
        <is>
          <t>Commentaires</t>
        </is>
      </c>
      <c r="C77" s="30" t="n"/>
      <c r="D77" s="34" t="n">
        <v>96</v>
      </c>
      <c r="E77" s="34" t="n">
        <v>167</v>
      </c>
      <c r="F77" s="35">
        <f>'Posts LinkedIn'!N5</f>
        <v/>
      </c>
      <c r="G77" s="33">
        <f>IFERROR(E77/D77-1,"")</f>
        <v/>
      </c>
      <c r="H77" s="33">
        <f>IFERROR(F77/E77-1,"")</f>
        <v/>
      </c>
    </row>
    <row r="78">
      <c r="B78" s="29" t="inlineStr">
        <is>
          <t>Partages</t>
        </is>
      </c>
      <c r="C78" s="30" t="n"/>
      <c r="D78" s="34" t="n">
        <v>50</v>
      </c>
      <c r="E78" s="34" t="n">
        <v>96</v>
      </c>
      <c r="F78" s="35">
        <f>'Posts LinkedIn'!O5</f>
        <v/>
      </c>
      <c r="G78" s="33">
        <f>IFERROR(E78/D78-1,"")</f>
        <v/>
      </c>
      <c r="H78" s="33">
        <f>IFERROR(F78/E78-1,"")</f>
        <v/>
      </c>
    </row>
    <row r="79">
      <c r="B79" s="29" t="inlineStr">
        <is>
          <t>Budget (€)</t>
        </is>
      </c>
      <c r="C79" s="30" t="n"/>
      <c r="D79" s="34" t="n">
        <v>960</v>
      </c>
      <c r="E79" s="34" t="n">
        <v>2500</v>
      </c>
      <c r="F79" s="35">
        <f>'Posts LinkedIn'!P5</f>
        <v/>
      </c>
      <c r="G79" s="33">
        <f>IFERROR(E79/D79-1,"")</f>
        <v/>
      </c>
      <c r="H79" s="33">
        <f>IFERROR(F79/E79-1,"")</f>
        <v/>
      </c>
    </row>
    <row r="81">
      <c r="B81" s="38" t="inlineStr">
        <is>
          <t>2026 est comparé à des années complètes : les évolutions 25→26 augmenteront avec les derniers mois. Valeurs 2024 et 2025 saisies à la main (cellules bleues).</t>
        </is>
      </c>
    </row>
  </sheetData>
  <mergeCells count="47">
    <mergeCell ref="B11:D11"/>
    <mergeCell ref="B14:D14"/>
    <mergeCell ref="E19:G19"/>
    <mergeCell ref="B72:C72"/>
    <mergeCell ref="E9:G9"/>
    <mergeCell ref="E12:G13"/>
    <mergeCell ref="B71:C71"/>
    <mergeCell ref="H11:J11"/>
    <mergeCell ref="B7:D8"/>
    <mergeCell ref="E6:G6"/>
    <mergeCell ref="B77:C77"/>
    <mergeCell ref="H16:J16"/>
    <mergeCell ref="B70:C70"/>
    <mergeCell ref="H6:J6"/>
    <mergeCell ref="B19:D19"/>
    <mergeCell ref="B79:C79"/>
    <mergeCell ref="E11:G11"/>
    <mergeCell ref="K14:M14"/>
    <mergeCell ref="H19:J19"/>
    <mergeCell ref="B9:D9"/>
    <mergeCell ref="B75:C75"/>
    <mergeCell ref="B12:D13"/>
    <mergeCell ref="E17:G18"/>
    <mergeCell ref="B17:D18"/>
    <mergeCell ref="B6:D6"/>
    <mergeCell ref="E16:G16"/>
    <mergeCell ref="B73:C73"/>
    <mergeCell ref="B69:C69"/>
    <mergeCell ref="K19:M19"/>
    <mergeCell ref="B78:C78"/>
    <mergeCell ref="H14:J14"/>
    <mergeCell ref="K6:M6"/>
    <mergeCell ref="K16:M16"/>
    <mergeCell ref="K12:M13"/>
    <mergeCell ref="H17:J18"/>
    <mergeCell ref="B16:D16"/>
    <mergeCell ref="H7:J8"/>
    <mergeCell ref="B74:C74"/>
    <mergeCell ref="E14:G14"/>
    <mergeCell ref="K9:M9"/>
    <mergeCell ref="B76:C76"/>
    <mergeCell ref="K17:M18"/>
    <mergeCell ref="H9:J9"/>
    <mergeCell ref="H12:J13"/>
    <mergeCell ref="K11:M11"/>
    <mergeCell ref="E7:G8"/>
    <mergeCell ref="K7:M8"/>
  </mergeCells>
  <conditionalFormatting sqref="G70:H79">
    <cfRule type="expression" priority="1" dxfId="0">
      <formula>AND(ISNUMBER(G70),G70&gt;0)</formula>
    </cfRule>
    <cfRule type="expression" priority="2" dxfId="1">
      <formula>AND(ISNUMBER(G70),G70&lt;0)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A4FA0"/>
    <outlinePr summaryBelow="1" summaryRight="1"/>
    <pageSetUpPr fitToPage="1"/>
  </sheetPr>
  <dimension ref="A1:N14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</cols>
  <sheetData>
    <row r="1" ht="34" customHeight="1">
      <c r="A1" s="1" t="n"/>
      <c r="B1" s="2" t="inlineStr">
        <is>
          <t>Calendrier éditorial 2026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8" customHeight="1">
      <c r="A2" s="1" t="n"/>
      <c r="B2" s="3" t="inlineStr">
        <is>
          <t>LinkedIn, blog et événements mois par mois. Le mois en cours est surligné.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B5" t="inlineStr"/>
    </row>
    <row r="6" ht="26" customHeight="1">
      <c r="B6" s="28" t="inlineStr"/>
      <c r="C6" s="28" t="inlineStr">
        <is>
          <t>Janvier</t>
        </is>
      </c>
      <c r="D6" s="28" t="inlineStr">
        <is>
          <t>Février</t>
        </is>
      </c>
      <c r="E6" s="28" t="inlineStr">
        <is>
          <t>Mars</t>
        </is>
      </c>
      <c r="F6" s="28" t="inlineStr">
        <is>
          <t>Avril</t>
        </is>
      </c>
      <c r="G6" s="28" t="inlineStr">
        <is>
          <t>Mai</t>
        </is>
      </c>
      <c r="H6" s="28" t="inlineStr">
        <is>
          <t>Juin</t>
        </is>
      </c>
      <c r="I6" s="28" t="inlineStr">
        <is>
          <t>Juillet</t>
        </is>
      </c>
      <c r="J6" s="28" t="inlineStr">
        <is>
          <t>Août</t>
        </is>
      </c>
      <c r="K6" s="28" t="inlineStr">
        <is>
          <t>Septembre</t>
        </is>
      </c>
      <c r="L6" s="28" t="inlineStr">
        <is>
          <t>Octobre</t>
        </is>
      </c>
      <c r="M6" s="28" t="inlineStr">
        <is>
          <t>Novembre</t>
        </is>
      </c>
      <c r="N6" s="28" t="inlineStr">
        <is>
          <t>Décembre</t>
        </is>
      </c>
    </row>
    <row r="7" ht="22" customHeight="1">
      <c r="B7" s="39" t="inlineStr">
        <is>
          <t>Posts prévus</t>
        </is>
      </c>
      <c r="C7" s="40" t="n">
        <v>3</v>
      </c>
      <c r="D7" s="40" t="n">
        <v>4</v>
      </c>
      <c r="E7" s="40" t="n">
        <v>3</v>
      </c>
      <c r="F7" s="40" t="n">
        <v>3</v>
      </c>
      <c r="G7" s="40" t="n">
        <v>3</v>
      </c>
      <c r="H7" s="40" t="n">
        <v>4</v>
      </c>
      <c r="I7" s="40" t="n">
        <v>3</v>
      </c>
      <c r="J7" s="40" t="n">
        <v>3</v>
      </c>
      <c r="K7" s="40" t="n">
        <v>3</v>
      </c>
      <c r="L7" s="40" t="n">
        <v>3</v>
      </c>
      <c r="M7" s="40" t="n">
        <v>3</v>
      </c>
      <c r="N7" s="40" t="n">
        <v>4</v>
      </c>
    </row>
    <row r="8" ht="22" customHeight="1">
      <c r="B8" s="39" t="inlineStr">
        <is>
          <t>Posts publiés</t>
        </is>
      </c>
      <c r="C8" s="41">
        <f>COUNTIFS('Posts LinkedIn'!$D$7:$D$66,COLUMN()-2,'Posts LinkedIn'!$F$7:$F$66,"Publié")</f>
        <v/>
      </c>
      <c r="D8" s="41">
        <f>COUNTIFS('Posts LinkedIn'!$D$7:$D$66,COLUMN()-2,'Posts LinkedIn'!$F$7:$F$66,"Publié")</f>
        <v/>
      </c>
      <c r="E8" s="41">
        <f>COUNTIFS('Posts LinkedIn'!$D$7:$D$66,COLUMN()-2,'Posts LinkedIn'!$F$7:$F$66,"Publié")</f>
        <v/>
      </c>
      <c r="F8" s="41">
        <f>COUNTIFS('Posts LinkedIn'!$D$7:$D$66,COLUMN()-2,'Posts LinkedIn'!$F$7:$F$66,"Publié")</f>
        <v/>
      </c>
      <c r="G8" s="41">
        <f>COUNTIFS('Posts LinkedIn'!$D$7:$D$66,COLUMN()-2,'Posts LinkedIn'!$F$7:$F$66,"Publié")</f>
        <v/>
      </c>
      <c r="H8" s="41">
        <f>COUNTIFS('Posts LinkedIn'!$D$7:$D$66,COLUMN()-2,'Posts LinkedIn'!$F$7:$F$66,"Publié")</f>
        <v/>
      </c>
      <c r="I8" s="41">
        <f>COUNTIFS('Posts LinkedIn'!$D$7:$D$66,COLUMN()-2,'Posts LinkedIn'!$F$7:$F$66,"Publié")</f>
        <v/>
      </c>
      <c r="J8" s="41">
        <f>COUNTIFS('Posts LinkedIn'!$D$7:$D$66,COLUMN()-2,'Posts LinkedIn'!$F$7:$F$66,"Publié")</f>
        <v/>
      </c>
      <c r="K8" s="41">
        <f>COUNTIFS('Posts LinkedIn'!$D$7:$D$66,COLUMN()-2,'Posts LinkedIn'!$F$7:$F$66,"Publié")</f>
        <v/>
      </c>
      <c r="L8" s="41">
        <f>COUNTIFS('Posts LinkedIn'!$D$7:$D$66,COLUMN()-2,'Posts LinkedIn'!$F$7:$F$66,"Publié")</f>
        <v/>
      </c>
      <c r="M8" s="41">
        <f>COUNTIFS('Posts LinkedIn'!$D$7:$D$66,COLUMN()-2,'Posts LinkedIn'!$F$7:$F$66,"Publié")</f>
        <v/>
      </c>
      <c r="N8" s="41">
        <f>COUNTIFS('Posts LinkedIn'!$D$7:$D$66,COLUMN()-2,'Posts LinkedIn'!$F$7:$F$66,"Publié")</f>
        <v/>
      </c>
    </row>
    <row r="9" ht="22" customHeight="1">
      <c r="B9" s="39" t="inlineStr">
        <is>
          <t>Écart</t>
        </is>
      </c>
      <c r="C9" s="42">
        <f>IF(COLUMN()-2&gt;MONTH(TODAY()),"",C8-C7)</f>
        <v/>
      </c>
      <c r="D9" s="42">
        <f>IF(COLUMN()-2&gt;MONTH(TODAY()),"",D8-D7)</f>
        <v/>
      </c>
      <c r="E9" s="42">
        <f>IF(COLUMN()-2&gt;MONTH(TODAY()),"",E8-E7)</f>
        <v/>
      </c>
      <c r="F9" s="42">
        <f>IF(COLUMN()-2&gt;MONTH(TODAY()),"",F8-F7)</f>
        <v/>
      </c>
      <c r="G9" s="42">
        <f>IF(COLUMN()-2&gt;MONTH(TODAY()),"",G8-G7)</f>
        <v/>
      </c>
      <c r="H9" s="42">
        <f>IF(COLUMN()-2&gt;MONTH(TODAY()),"",H8-H7)</f>
        <v/>
      </c>
      <c r="I9" s="42">
        <f>IF(COLUMN()-2&gt;MONTH(TODAY()),"",I8-I7)</f>
        <v/>
      </c>
      <c r="J9" s="42">
        <f>IF(COLUMN()-2&gt;MONTH(TODAY()),"",J8-J7)</f>
        <v/>
      </c>
      <c r="K9" s="42">
        <f>IF(COLUMN()-2&gt;MONTH(TODAY()),"",K8-K7)</f>
        <v/>
      </c>
      <c r="L9" s="42">
        <f>IF(COLUMN()-2&gt;MONTH(TODAY()),"",L8-L7)</f>
        <v/>
      </c>
      <c r="M9" s="42">
        <f>IF(COLUMN()-2&gt;MONTH(TODAY()),"",M8-M7)</f>
        <v/>
      </c>
      <c r="N9" s="42">
        <f>IF(COLUMN()-2&gt;MONTH(TODAY()),"",N8-N7)</f>
        <v/>
      </c>
    </row>
    <row r="10" ht="22" customHeight="1">
      <c r="B10" s="39" t="inlineStr">
        <is>
          <t>Impressions</t>
        </is>
      </c>
      <c r="C10" s="43">
        <f>SUMIFS('Posts LinkedIn'!$H$7:$H$66,'Posts LinkedIn'!$D$7:$D$66,COLUMN()-2)</f>
        <v/>
      </c>
      <c r="D10" s="43">
        <f>SUMIFS('Posts LinkedIn'!$H$7:$H$66,'Posts LinkedIn'!$D$7:$D$66,COLUMN()-2)</f>
        <v/>
      </c>
      <c r="E10" s="43">
        <f>SUMIFS('Posts LinkedIn'!$H$7:$H$66,'Posts LinkedIn'!$D$7:$D$66,COLUMN()-2)</f>
        <v/>
      </c>
      <c r="F10" s="43">
        <f>SUMIFS('Posts LinkedIn'!$H$7:$H$66,'Posts LinkedIn'!$D$7:$D$66,COLUMN()-2)</f>
        <v/>
      </c>
      <c r="G10" s="43">
        <f>SUMIFS('Posts LinkedIn'!$H$7:$H$66,'Posts LinkedIn'!$D$7:$D$66,COLUMN()-2)</f>
        <v/>
      </c>
      <c r="H10" s="43">
        <f>SUMIFS('Posts LinkedIn'!$H$7:$H$66,'Posts LinkedIn'!$D$7:$D$66,COLUMN()-2)</f>
        <v/>
      </c>
      <c r="I10" s="43">
        <f>SUMIFS('Posts LinkedIn'!$H$7:$H$66,'Posts LinkedIn'!$D$7:$D$66,COLUMN()-2)</f>
        <v/>
      </c>
      <c r="J10" s="43">
        <f>SUMIFS('Posts LinkedIn'!$H$7:$H$66,'Posts LinkedIn'!$D$7:$D$66,COLUMN()-2)</f>
        <v/>
      </c>
      <c r="K10" s="43">
        <f>SUMIFS('Posts LinkedIn'!$H$7:$H$66,'Posts LinkedIn'!$D$7:$D$66,COLUMN()-2)</f>
        <v/>
      </c>
      <c r="L10" s="43">
        <f>SUMIFS('Posts LinkedIn'!$H$7:$H$66,'Posts LinkedIn'!$D$7:$D$66,COLUMN()-2)</f>
        <v/>
      </c>
      <c r="M10" s="43">
        <f>SUMIFS('Posts LinkedIn'!$H$7:$H$66,'Posts LinkedIn'!$D$7:$D$66,COLUMN()-2)</f>
        <v/>
      </c>
      <c r="N10" s="43">
        <f>SUMIFS('Posts LinkedIn'!$H$7:$H$66,'Posts LinkedIn'!$D$7:$D$66,COLUMN()-2)</f>
        <v/>
      </c>
    </row>
    <row r="11" ht="22" customHeight="1">
      <c r="B11" s="39" t="inlineStr">
        <is>
          <t>Engagements</t>
        </is>
      </c>
      <c r="C11" s="43">
        <f>SUMIFS('Posts LinkedIn'!$I$7:$I$66,'Posts LinkedIn'!$D$7:$D$66,COLUMN()-2)</f>
        <v/>
      </c>
      <c r="D11" s="43">
        <f>SUMIFS('Posts LinkedIn'!$I$7:$I$66,'Posts LinkedIn'!$D$7:$D$66,COLUMN()-2)</f>
        <v/>
      </c>
      <c r="E11" s="43">
        <f>SUMIFS('Posts LinkedIn'!$I$7:$I$66,'Posts LinkedIn'!$D$7:$D$66,COLUMN()-2)</f>
        <v/>
      </c>
      <c r="F11" s="43">
        <f>SUMIFS('Posts LinkedIn'!$I$7:$I$66,'Posts LinkedIn'!$D$7:$D$66,COLUMN()-2)</f>
        <v/>
      </c>
      <c r="G11" s="43">
        <f>SUMIFS('Posts LinkedIn'!$I$7:$I$66,'Posts LinkedIn'!$D$7:$D$66,COLUMN()-2)</f>
        <v/>
      </c>
      <c r="H11" s="43">
        <f>SUMIFS('Posts LinkedIn'!$I$7:$I$66,'Posts LinkedIn'!$D$7:$D$66,COLUMN()-2)</f>
        <v/>
      </c>
      <c r="I11" s="43">
        <f>SUMIFS('Posts LinkedIn'!$I$7:$I$66,'Posts LinkedIn'!$D$7:$D$66,COLUMN()-2)</f>
        <v/>
      </c>
      <c r="J11" s="43">
        <f>SUMIFS('Posts LinkedIn'!$I$7:$I$66,'Posts LinkedIn'!$D$7:$D$66,COLUMN()-2)</f>
        <v/>
      </c>
      <c r="K11" s="43">
        <f>SUMIFS('Posts LinkedIn'!$I$7:$I$66,'Posts LinkedIn'!$D$7:$D$66,COLUMN()-2)</f>
        <v/>
      </c>
      <c r="L11" s="43">
        <f>SUMIFS('Posts LinkedIn'!$I$7:$I$66,'Posts LinkedIn'!$D$7:$D$66,COLUMN()-2)</f>
        <v/>
      </c>
      <c r="M11" s="43">
        <f>SUMIFS('Posts LinkedIn'!$I$7:$I$66,'Posts LinkedIn'!$D$7:$D$66,COLUMN()-2)</f>
        <v/>
      </c>
      <c r="N11" s="43">
        <f>SUMIFS('Posts LinkedIn'!$I$7:$I$66,'Posts LinkedIn'!$D$7:$D$66,COLUMN()-2)</f>
        <v/>
      </c>
    </row>
    <row r="12" ht="190" customHeight="1">
      <c r="B12" s="39" t="inlineStr">
        <is>
          <t>Thèmes LinkedIn</t>
        </is>
      </c>
      <c r="C12" s="44" t="inlineStr">
        <is>
          <t>• Vœux 2026
• Positionnement Enedril dans l'énergie
• Focus expertise : forage et intervention sur puits</t>
        </is>
      </c>
      <c r="D12" s="44" t="inlineStr">
        <is>
          <t>• Post pédagogique : rôle de la géothermie aujourd’hui
• Focus compétence technique clé
• Coulisses terrain / équipes
• Geotherm</t>
        </is>
      </c>
      <c r="E12" s="44" t="inlineStr">
        <is>
          <t>• Journée mondiale de l’eau (22/03)
• Retour d’expérience chantier
• Sécurité, qualité et standards</t>
        </is>
      </c>
      <c r="F12" s="44" t="inlineStr">
        <is>
          <t>• Journée de la Terre (22/04)
• Typologie de projet géothermie
• Focus métiers &amp; savoir-faire
• WPC Energy Congress (World Petroleum Congress)</t>
        </is>
      </c>
      <c r="G12" s="44" t="inlineStr">
        <is>
          <t>• Expertise sous-sol / performance forage
• Innovation, méthodes, amélioration continue
• Vie d’entreprise (sobre)
• World Hydrogen Summit &amp; Exhibition</t>
        </is>
      </c>
      <c r="H12" s="44" t="inlineStr">
        <is>
          <t>• Bilan mi-année
• Cas d’usage / retour client
• Impact environnemental / RSE
• Geodays</t>
        </is>
      </c>
      <c r="I12" s="44" t="inlineStr">
        <is>
          <t>• Photo terrain / chantier
• 14 juillet
• Équipe en action</t>
        </is>
      </c>
      <c r="J12" s="44" t="inlineStr">
        <is>
          <t>• Activité estivale / préparation projets
• Post pédagogique simple
• Coulisses (léger mais pro)</t>
        </is>
      </c>
      <c r="K12" s="44" t="inlineStr">
        <is>
          <t>• Reprise &amp; projets en cours
• Expertise technique approfondie
• Organisation projet / coordination</t>
        </is>
      </c>
      <c r="L12" s="44" t="inlineStr">
        <is>
          <t>• Journée mondiale de l’énergie (16/10)
• Focus géothermie : bénéfices concrets
• Octobre rose</t>
        </is>
      </c>
      <c r="M12" s="44" t="inlineStr">
        <is>
          <t>• Vision marché &amp; enjeux énergie
• Retour terrain / expertise spécifique
• Movember
• ADIPEC 2026</t>
        </is>
      </c>
      <c r="N12" s="44" t="inlineStr">
        <is>
          <t>• Rétrospective projets
• Mise en avant des équipes
• Clôture d’année
• Organiser un goûter dans une école</t>
        </is>
      </c>
    </row>
    <row r="13" ht="60" customHeight="1">
      <c r="B13" s="39" t="inlineStr">
        <is>
          <t>Blog</t>
        </is>
      </c>
      <c r="C13" s="45" t="inlineStr">
        <is>
          <t>À planifier</t>
        </is>
      </c>
      <c r="D13" s="45" t="inlineStr">
        <is>
          <t>À planifier</t>
        </is>
      </c>
      <c r="E13" s="45" t="inlineStr">
        <is>
          <t>À planifier</t>
        </is>
      </c>
      <c r="F13" s="45" t="inlineStr">
        <is>
          <t>À planifier</t>
        </is>
      </c>
      <c r="G13" s="45" t="inlineStr">
        <is>
          <t>À planifier</t>
        </is>
      </c>
      <c r="H13" s="45" t="inlineStr">
        <is>
          <t>À planifier</t>
        </is>
      </c>
      <c r="I13" s="45" t="inlineStr">
        <is>
          <t>À planifier</t>
        </is>
      </c>
      <c r="J13" s="45" t="inlineStr">
        <is>
          <t>À planifier</t>
        </is>
      </c>
      <c r="K13" s="45" t="inlineStr">
        <is>
          <t>À planifier</t>
        </is>
      </c>
      <c r="L13" s="45" t="inlineStr">
        <is>
          <t>À planifier</t>
        </is>
      </c>
      <c r="M13" s="45" t="inlineStr">
        <is>
          <t>À planifier</t>
        </is>
      </c>
      <c r="N13" s="45" t="inlineStr">
        <is>
          <t>À planifier</t>
        </is>
      </c>
    </row>
    <row r="14" ht="95" customHeight="1">
      <c r="B14" s="39" t="inlineStr">
        <is>
          <t>Salons et événements</t>
        </is>
      </c>
      <c r="C14" s="44" t="inlineStr"/>
      <c r="D14" s="44" t="inlineStr">
        <is>
          <t>• Journées de la Géothermie</t>
        </is>
      </c>
      <c r="E14" s="44" t="inlineStr">
        <is>
          <t>• Think GeoEnergy</t>
        </is>
      </c>
      <c r="F14" s="44" t="inlineStr">
        <is>
          <t>• GeoRin
• WPC Energy Congress (World Petroleum Congress)</t>
        </is>
      </c>
      <c r="G14" s="44" t="inlineStr">
        <is>
          <t>• World Hydrogen Summit &amp; Exhibition</t>
        </is>
      </c>
      <c r="H14" s="44" t="inlineStr">
        <is>
          <t>• Geodays</t>
        </is>
      </c>
      <c r="I14" s="44" t="inlineStr"/>
      <c r="J14" s="44" t="inlineStr"/>
      <c r="K14" s="44" t="inlineStr"/>
      <c r="L14" s="44" t="inlineStr">
        <is>
          <t>• Journée mondiale de l’énergie (16/10)
• Octobre rose</t>
        </is>
      </c>
      <c r="M14" s="44" t="inlineStr">
        <is>
          <t>• Movember
• ADIPEC 2026</t>
        </is>
      </c>
      <c r="N14" s="44" t="inlineStr"/>
    </row>
  </sheetData>
  <conditionalFormatting sqref="C6:N6">
    <cfRule type="expression" priority="1" dxfId="2">
      <formula>COLUMN()-2=MONTH(TODAY())</formula>
    </cfRule>
  </conditionalFormatting>
  <conditionalFormatting sqref="C7:N14">
    <cfRule type="expression" priority="2" dxfId="3">
      <formula>COLUMN()-2=MONTH(TODAY())</formula>
    </cfRule>
  </conditionalFormatting>
  <conditionalFormatting sqref="C9:N9">
    <cfRule type="expression" priority="3" dxfId="1">
      <formula>AND(C9&lt;&gt;"",C9&lt;0)</formula>
    </cfRule>
    <cfRule type="expression" priority="4" dxfId="0">
      <formula>AND(C9&lt;&gt;"",C9&gt;=0)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1ADEE"/>
    <outlinePr summaryBelow="1" summaryRight="1"/>
    <pageSetUpPr fitToPage="1"/>
  </sheetPr>
  <dimension ref="A1:Q66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7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3" customWidth="1" min="10" max="10"/>
    <col width="9" customWidth="1" min="11" max="11"/>
    <col width="11" customWidth="1" min="12" max="12"/>
    <col width="11" customWidth="1" min="13" max="13"/>
    <col width="13" customWidth="1" min="14" max="14"/>
    <col width="10" customWidth="1" min="15" max="15"/>
    <col width="11" customWidth="1" min="16" max="16"/>
    <col width="13" customWidth="1" min="17" max="17"/>
  </cols>
  <sheetData>
    <row r="1" ht="34" customHeight="1">
      <c r="A1" s="1" t="n"/>
      <c r="B1" s="2" t="inlineStr">
        <is>
          <t>Posts LinkedIn 2026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8" customHeight="1">
      <c r="A2" s="1" t="n"/>
      <c r="B2" s="3" t="inlineStr">
        <is>
          <t>Saisissez uniquement les cellules en bleu : taux, coûts et mois se calculent tout seuls.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6" t="inlineStr"/>
      <c r="B5" s="46" t="inlineStr">
        <is>
          <t>Total publiés</t>
        </is>
      </c>
      <c r="C5" s="46" t="n"/>
      <c r="D5" s="46" t="n"/>
      <c r="E5" s="46" t="n"/>
      <c r="F5" s="46">
        <f>COUNTIF(F7:F66,"Publié")&amp;" posts"</f>
        <v/>
      </c>
      <c r="G5" s="47">
        <f>SUM(G7:G66)</f>
        <v/>
      </c>
      <c r="H5" s="47">
        <f>SUM(H7:H66)</f>
        <v/>
      </c>
      <c r="I5" s="47">
        <f>SUM(I7:I66)</f>
        <v/>
      </c>
      <c r="J5" s="48">
        <f>IFERROR(I5/H5,"")</f>
        <v/>
      </c>
      <c r="K5" s="47">
        <f>SUM(K7:K66)</f>
        <v/>
      </c>
      <c r="L5" s="48">
        <f>IFERROR(K5/H5,"")</f>
        <v/>
      </c>
      <c r="M5" s="47">
        <f>SUM(M7:M66)</f>
        <v/>
      </c>
      <c r="N5" s="47">
        <f>SUM(N7:N66)</f>
        <v/>
      </c>
      <c r="O5" s="47">
        <f>SUM(O7:O66)</f>
        <v/>
      </c>
      <c r="P5" s="47">
        <f>SUM(P7:P66)</f>
        <v/>
      </c>
      <c r="Q5" s="49">
        <f>IFERROR(P5/SUMIFS(H7:H66,P7:P66,"&gt;0")*1000,"")</f>
        <v/>
      </c>
    </row>
    <row r="6" ht="34" customHeight="1">
      <c r="A6" s="28" t="inlineStr">
        <is>
          <t>N°</t>
        </is>
      </c>
      <c r="B6" s="28" t="inlineStr">
        <is>
          <t>Post</t>
        </is>
      </c>
      <c r="C6" s="28" t="inlineStr">
        <is>
          <t>Date</t>
        </is>
      </c>
      <c r="D6" s="28" t="inlineStr">
        <is>
          <t>Mois</t>
        </is>
      </c>
      <c r="E6" s="28" t="inlineStr">
        <is>
          <t>Type</t>
        </is>
      </c>
      <c r="F6" s="28" t="inlineStr">
        <is>
          <t>Statut</t>
        </is>
      </c>
      <c r="G6" s="28" t="inlineStr">
        <is>
          <t>Vues vidéo</t>
        </is>
      </c>
      <c r="H6" s="28" t="inlineStr">
        <is>
          <t>Impressions</t>
        </is>
      </c>
      <c r="I6" s="28" t="inlineStr">
        <is>
          <t>Engagements</t>
        </is>
      </c>
      <c r="J6" s="28" t="inlineStr">
        <is>
          <t>Taux d'engagement</t>
        </is>
      </c>
      <c r="K6" s="28" t="inlineStr">
        <is>
          <t>Clics</t>
        </is>
      </c>
      <c r="L6" s="28" t="inlineStr">
        <is>
          <t>Taux de clics</t>
        </is>
      </c>
      <c r="M6" s="28" t="inlineStr">
        <is>
          <t>Réactions</t>
        </is>
      </c>
      <c r="N6" s="28" t="inlineStr">
        <is>
          <t>Commentaires</t>
        </is>
      </c>
      <c r="O6" s="28" t="inlineStr">
        <is>
          <t>Partages</t>
        </is>
      </c>
      <c r="P6" s="28" t="inlineStr">
        <is>
          <t>Budget (€)</t>
        </is>
      </c>
      <c r="Q6" s="28" t="inlineStr">
        <is>
          <t>Coût / 1000 impr.</t>
        </is>
      </c>
    </row>
    <row r="7">
      <c r="A7" s="50" t="n">
        <v>1</v>
      </c>
      <c r="B7" s="51" t="inlineStr">
        <is>
          <t>Vœux 2026</t>
        </is>
      </c>
      <c r="C7" s="52" t="n">
        <v>46028</v>
      </c>
      <c r="D7" s="53">
        <f>IF(C7="","",MONTH(C7))</f>
        <v/>
      </c>
      <c r="E7" s="54" t="inlineStr">
        <is>
          <t>Post</t>
        </is>
      </c>
      <c r="F7" s="54" t="inlineStr">
        <is>
          <t>Publié</t>
        </is>
      </c>
      <c r="G7" s="34" t="n"/>
      <c r="H7" s="34" t="n">
        <v>1525</v>
      </c>
      <c r="I7" s="34" t="n">
        <v>87</v>
      </c>
      <c r="J7" s="36">
        <f>IF(AND(H7&gt;0,I7&lt;&gt;""),I7/H7,"")</f>
        <v/>
      </c>
      <c r="K7" s="34" t="n">
        <v>34</v>
      </c>
      <c r="L7" s="36">
        <f>IF(AND(H7&gt;0,K7&lt;&gt;""),K7/H7,"")</f>
        <v/>
      </c>
      <c r="M7" s="34" t="n">
        <v>52</v>
      </c>
      <c r="N7" s="34" t="n">
        <v>1</v>
      </c>
      <c r="O7" s="34" t="n">
        <v>0</v>
      </c>
      <c r="P7" s="55" t="n">
        <v>0</v>
      </c>
      <c r="Q7" s="56">
        <f>IF(AND(N(P7)&gt;0,N(H7)&gt;0),P7/H7*1000,"")</f>
        <v/>
      </c>
    </row>
    <row r="8">
      <c r="A8" s="57" t="n">
        <v>2</v>
      </c>
      <c r="B8" s="58" t="inlineStr">
        <is>
          <t>Arrivée Koen</t>
        </is>
      </c>
      <c r="C8" s="59" t="n">
        <v>46063</v>
      </c>
      <c r="D8" s="60">
        <f>IF(C8="","",MONTH(C8))</f>
        <v/>
      </c>
      <c r="E8" s="61" t="inlineStr">
        <is>
          <t>Post</t>
        </is>
      </c>
      <c r="F8" s="61" t="inlineStr">
        <is>
          <t>Publié</t>
        </is>
      </c>
      <c r="G8" s="62" t="n"/>
      <c r="H8" s="62" t="n">
        <v>4120</v>
      </c>
      <c r="I8" s="62" t="n">
        <v>348</v>
      </c>
      <c r="J8" s="63">
        <f>IF(AND(H8&gt;0,I8&lt;&gt;""),I8/H8,"")</f>
        <v/>
      </c>
      <c r="K8" s="62" t="n">
        <v>258</v>
      </c>
      <c r="L8" s="63">
        <f>IF(AND(H8&gt;0,K8&lt;&gt;""),K8/H8,"")</f>
        <v/>
      </c>
      <c r="M8" s="62" t="n">
        <v>81</v>
      </c>
      <c r="N8" s="62" t="n">
        <v>9</v>
      </c>
      <c r="O8" s="62" t="n">
        <v>0</v>
      </c>
      <c r="P8" s="64" t="n">
        <v>0</v>
      </c>
      <c r="Q8" s="65">
        <f>IF(AND(N(P8)&gt;0,N(H8)&gt;0),P8/H8*1000,"")</f>
        <v/>
      </c>
    </row>
    <row r="9">
      <c r="A9" s="50" t="n">
        <v>3</v>
      </c>
      <c r="B9" s="51" t="inlineStr">
        <is>
          <t>Annonce présence GeoTHERM</t>
        </is>
      </c>
      <c r="C9" s="52" t="n">
        <v>46073</v>
      </c>
      <c r="D9" s="53">
        <f>IF(C9="","",MONTH(C9))</f>
        <v/>
      </c>
      <c r="E9" s="54" t="inlineStr">
        <is>
          <t>Post</t>
        </is>
      </c>
      <c r="F9" s="54" t="inlineStr">
        <is>
          <t>Publié</t>
        </is>
      </c>
      <c r="G9" s="34" t="n"/>
      <c r="H9" s="34" t="n">
        <v>945</v>
      </c>
      <c r="I9" s="34" t="n">
        <v>114</v>
      </c>
      <c r="J9" s="36">
        <f>IF(AND(H9&gt;0,I9&lt;&gt;""),I9/H9,"")</f>
        <v/>
      </c>
      <c r="K9" s="34" t="n">
        <v>60</v>
      </c>
      <c r="L9" s="36">
        <f>IF(AND(H9&gt;0,K9&lt;&gt;""),K9/H9,"")</f>
        <v/>
      </c>
      <c r="M9" s="34" t="n">
        <v>46</v>
      </c>
      <c r="N9" s="34" t="n">
        <v>7</v>
      </c>
      <c r="O9" s="34" t="n">
        <v>1</v>
      </c>
      <c r="P9" s="55" t="n">
        <v>0</v>
      </c>
      <c r="Q9" s="56">
        <f>IF(AND(N(P9)&gt;0,N(H9)&gt;0),P9/H9*1000,"")</f>
        <v/>
      </c>
    </row>
    <row r="10">
      <c r="A10" s="57" t="n">
        <v>4</v>
      </c>
      <c r="B10" s="58" t="inlineStr">
        <is>
          <t>Enedril au GeoTHERM</t>
        </is>
      </c>
      <c r="C10" s="59" t="n">
        <v>46079</v>
      </c>
      <c r="D10" s="60">
        <f>IF(C10="","",MONTH(C10))</f>
        <v/>
      </c>
      <c r="E10" s="61" t="inlineStr">
        <is>
          <t>Post</t>
        </is>
      </c>
      <c r="F10" s="61" t="inlineStr">
        <is>
          <t>Publié</t>
        </is>
      </c>
      <c r="G10" s="62" t="n"/>
      <c r="H10" s="62" t="n">
        <v>5339</v>
      </c>
      <c r="I10" s="62" t="n">
        <v>1211</v>
      </c>
      <c r="J10" s="63">
        <f>IF(AND(H10&gt;0,I10&lt;&gt;""),I10/H10,"")</f>
        <v/>
      </c>
      <c r="K10" s="62" t="n">
        <v>1043</v>
      </c>
      <c r="L10" s="63">
        <f>IF(AND(H10&gt;0,K10&lt;&gt;""),K10/H10,"")</f>
        <v/>
      </c>
      <c r="M10" s="62" t="n">
        <v>158</v>
      </c>
      <c r="N10" s="62" t="n">
        <v>6</v>
      </c>
      <c r="O10" s="62" t="n">
        <v>4</v>
      </c>
      <c r="P10" s="64" t="n">
        <v>0</v>
      </c>
      <c r="Q10" s="65">
        <f>IF(AND(N(P10)&gt;0,N(H10)&gt;0),P10/H10*1000,"")</f>
        <v/>
      </c>
    </row>
    <row r="11">
      <c r="A11" s="50" t="n">
        <v>5</v>
      </c>
      <c r="B11" s="51" t="inlineStr">
        <is>
          <t>DTS350</t>
        </is>
      </c>
      <c r="C11" s="52" t="n">
        <v>46093</v>
      </c>
      <c r="D11" s="53">
        <f>IF(C11="","",MONTH(C11))</f>
        <v/>
      </c>
      <c r="E11" s="54" t="inlineStr">
        <is>
          <t>Vidéo</t>
        </is>
      </c>
      <c r="F11" s="54" t="inlineStr">
        <is>
          <t>Publié</t>
        </is>
      </c>
      <c r="G11" s="34" t="n">
        <v>3196</v>
      </c>
      <c r="H11" s="34" t="n">
        <v>6252</v>
      </c>
      <c r="I11" s="34" t="n">
        <v>642</v>
      </c>
      <c r="J11" s="36">
        <f>IF(AND(H11&gt;0,I11&lt;&gt;""),I11/H11,"")</f>
        <v/>
      </c>
      <c r="K11" s="34" t="n">
        <v>515</v>
      </c>
      <c r="L11" s="36">
        <f>IF(AND(H11&gt;0,K11&lt;&gt;""),K11/H11,"")</f>
        <v/>
      </c>
      <c r="M11" s="34" t="n">
        <v>120</v>
      </c>
      <c r="N11" s="34" t="n">
        <v>2</v>
      </c>
      <c r="O11" s="34" t="n"/>
      <c r="P11" s="55" t="n">
        <v>0</v>
      </c>
      <c r="Q11" s="56">
        <f>IF(AND(N(P11)&gt;0,N(H11)&gt;0),P11/H11*1000,"")</f>
        <v/>
      </c>
    </row>
    <row r="12">
      <c r="A12" s="57" t="n">
        <v>6</v>
      </c>
      <c r="B12" s="58" t="inlineStr">
        <is>
          <t>Performance Kem One</t>
        </is>
      </c>
      <c r="C12" s="59" t="n">
        <v>46105</v>
      </c>
      <c r="D12" s="60">
        <f>IF(C12="","",MONTH(C12))</f>
        <v/>
      </c>
      <c r="E12" s="61" t="inlineStr">
        <is>
          <t>Post</t>
        </is>
      </c>
      <c r="F12" s="61" t="inlineStr">
        <is>
          <t>Publié</t>
        </is>
      </c>
      <c r="G12" s="62" t="n"/>
      <c r="H12" s="62" t="n">
        <v>7985</v>
      </c>
      <c r="I12" s="62" t="n">
        <v>2196</v>
      </c>
      <c r="J12" s="63">
        <f>IF(AND(H12&gt;0,I12&lt;&gt;""),I12/H12,"")</f>
        <v/>
      </c>
      <c r="K12" s="62" t="n">
        <v>2049</v>
      </c>
      <c r="L12" s="63">
        <f>IF(AND(H12&gt;0,K12&lt;&gt;""),K12/H12,"")</f>
        <v/>
      </c>
      <c r="M12" s="62" t="n">
        <v>132</v>
      </c>
      <c r="N12" s="62" t="n">
        <v>13</v>
      </c>
      <c r="O12" s="62" t="n">
        <v>2</v>
      </c>
      <c r="P12" s="64" t="n">
        <v>0</v>
      </c>
      <c r="Q12" s="65">
        <f>IF(AND(N(P12)&gt;0,N(H12)&gt;0),P12/H12*1000,"")</f>
        <v/>
      </c>
    </row>
    <row r="13">
      <c r="A13" s="50" t="n">
        <v>7</v>
      </c>
      <c r="B13" s="51" t="inlineStr">
        <is>
          <t>Junk Mill GMX 10</t>
        </is>
      </c>
      <c r="C13" s="52" t="n">
        <v>46114</v>
      </c>
      <c r="D13" s="53">
        <f>IF(C13="","",MONTH(C13))</f>
        <v/>
      </c>
      <c r="E13" s="54" t="inlineStr">
        <is>
          <t>Post</t>
        </is>
      </c>
      <c r="F13" s="54" t="inlineStr">
        <is>
          <t>Publié</t>
        </is>
      </c>
      <c r="G13" s="34" t="n"/>
      <c r="H13" s="34" t="n">
        <v>2665</v>
      </c>
      <c r="I13" s="34" t="n">
        <v>955</v>
      </c>
      <c r="J13" s="36">
        <f>IF(AND(H13&gt;0,I13&lt;&gt;""),I13/H13,"")</f>
        <v/>
      </c>
      <c r="K13" s="34" t="n">
        <v>876</v>
      </c>
      <c r="L13" s="36">
        <f>IF(AND(H13&gt;0,K13&lt;&gt;""),K13/H13,"")</f>
        <v/>
      </c>
      <c r="M13" s="34" t="n">
        <v>75</v>
      </c>
      <c r="N13" s="34" t="n">
        <v>3</v>
      </c>
      <c r="O13" s="34" t="n">
        <v>1</v>
      </c>
      <c r="P13" s="55" t="n">
        <v>0</v>
      </c>
      <c r="Q13" s="56">
        <f>IF(AND(N(P13)&gt;0,N(H13)&gt;0),P13/H13*1000,"")</f>
        <v/>
      </c>
    </row>
    <row r="14">
      <c r="A14" s="57" t="n">
        <v>8</v>
      </c>
      <c r="B14" s="58" t="inlineStr">
        <is>
          <t>HIRING : Assistante comptable</t>
        </is>
      </c>
      <c r="C14" s="59" t="n">
        <v>46125</v>
      </c>
      <c r="D14" s="60">
        <f>IF(C14="","",MONTH(C14))</f>
        <v/>
      </c>
      <c r="E14" s="61" t="inlineStr">
        <is>
          <t>Post</t>
        </is>
      </c>
      <c r="F14" s="61" t="inlineStr">
        <is>
          <t>Publié</t>
        </is>
      </c>
      <c r="G14" s="62" t="n"/>
      <c r="H14" s="62" t="n">
        <v>1338</v>
      </c>
      <c r="I14" s="62" t="n">
        <v>101</v>
      </c>
      <c r="J14" s="63">
        <f>IF(AND(H14&gt;0,I14&lt;&gt;""),I14/H14,"")</f>
        <v/>
      </c>
      <c r="K14" s="62" t="n">
        <v>75</v>
      </c>
      <c r="L14" s="63">
        <f>IF(AND(H14&gt;0,K14&lt;&gt;""),K14/H14,"")</f>
        <v/>
      </c>
      <c r="M14" s="62" t="n">
        <v>18</v>
      </c>
      <c r="N14" s="62" t="n">
        <v>0</v>
      </c>
      <c r="O14" s="62" t="n">
        <v>8</v>
      </c>
      <c r="P14" s="64" t="n">
        <v>0</v>
      </c>
      <c r="Q14" s="65">
        <f>IF(AND(N(P14)&gt;0,N(H14)&gt;0),P14/H14*1000,"")</f>
        <v/>
      </c>
    </row>
    <row r="15">
      <c r="A15" s="50" t="n">
        <v>9</v>
      </c>
      <c r="B15" s="51" t="inlineStr">
        <is>
          <t>Post 4000 abonnés</t>
        </is>
      </c>
      <c r="C15" s="52" t="n">
        <v>46135</v>
      </c>
      <c r="D15" s="53">
        <f>IF(C15="","",MONTH(C15))</f>
        <v/>
      </c>
      <c r="E15" s="54" t="inlineStr">
        <is>
          <t>Post</t>
        </is>
      </c>
      <c r="F15" s="54" t="inlineStr">
        <is>
          <t>Publié</t>
        </is>
      </c>
      <c r="G15" s="34" t="n"/>
      <c r="H15" s="34" t="n">
        <v>22024</v>
      </c>
      <c r="I15" s="34" t="n">
        <v>168</v>
      </c>
      <c r="J15" s="36">
        <f>IF(AND(H15&gt;0,I15&lt;&gt;""),I15/H15,"")</f>
        <v/>
      </c>
      <c r="K15" s="34" t="n">
        <v>97</v>
      </c>
      <c r="L15" s="36">
        <f>IF(AND(H15&gt;0,K15&lt;&gt;""),K15/H15,"")</f>
        <v/>
      </c>
      <c r="M15" s="34" t="n">
        <v>60</v>
      </c>
      <c r="N15" s="34" t="n">
        <v>2</v>
      </c>
      <c r="O15" s="34" t="n">
        <v>6</v>
      </c>
      <c r="P15" s="55" t="n">
        <v>200</v>
      </c>
      <c r="Q15" s="56">
        <f>IF(AND(N(P15)&gt;0,N(H15)&gt;0),P15/H15*1000,"")</f>
        <v/>
      </c>
    </row>
    <row r="16">
      <c r="A16" s="57" t="n">
        <v>10</v>
      </c>
      <c r="B16" s="58" t="inlineStr">
        <is>
          <t>Cartes Jobs paris Geothermie</t>
        </is>
      </c>
      <c r="C16" s="59" t="n">
        <v>46163</v>
      </c>
      <c r="D16" s="60">
        <f>IF(C16="","",MONTH(C16))</f>
        <v/>
      </c>
      <c r="E16" s="61" t="inlineStr">
        <is>
          <t>Post</t>
        </is>
      </c>
      <c r="F16" s="61" t="inlineStr">
        <is>
          <t>Publié</t>
        </is>
      </c>
      <c r="G16" s="62" t="n"/>
      <c r="H16" s="62" t="n">
        <v>2447</v>
      </c>
      <c r="I16" s="62" t="n">
        <v>268</v>
      </c>
      <c r="J16" s="63">
        <f>IF(AND(H16&gt;0,I16&lt;&gt;""),I16/H16,"")</f>
        <v/>
      </c>
      <c r="K16" s="62" t="n">
        <v>166</v>
      </c>
      <c r="L16" s="63">
        <f>IF(AND(H16&gt;0,K16&lt;&gt;""),K16/H16,"")</f>
        <v/>
      </c>
      <c r="M16" s="62" t="n">
        <v>93</v>
      </c>
      <c r="N16" s="62" t="n">
        <v>4</v>
      </c>
      <c r="O16" s="62" t="n">
        <v>5</v>
      </c>
      <c r="P16" s="64" t="n">
        <v>0</v>
      </c>
      <c r="Q16" s="65">
        <f>IF(AND(N(P16)&gt;0,N(H16)&gt;0),P16/H16*1000,"")</f>
        <v/>
      </c>
    </row>
    <row r="17">
      <c r="A17" s="50" t="n">
        <v>11</v>
      </c>
      <c r="B17" s="51" t="inlineStr">
        <is>
          <t>Annonce Geodays</t>
        </is>
      </c>
      <c r="C17" s="52" t="n">
        <v>46184</v>
      </c>
      <c r="D17" s="53">
        <f>IF(C17="","",MONTH(C17))</f>
        <v/>
      </c>
      <c r="E17" s="54" t="inlineStr">
        <is>
          <t>Post</t>
        </is>
      </c>
      <c r="F17" s="54" t="inlineStr">
        <is>
          <t>Publié</t>
        </is>
      </c>
      <c r="G17" s="34" t="n"/>
      <c r="H17" s="34" t="n">
        <v>883</v>
      </c>
      <c r="I17" s="34" t="n">
        <v>42</v>
      </c>
      <c r="J17" s="36">
        <f>IF(AND(H17&gt;0,I17&lt;&gt;""),I17/H17,"")</f>
        <v/>
      </c>
      <c r="K17" s="34" t="n">
        <v>10</v>
      </c>
      <c r="L17" s="36">
        <f>IF(AND(H17&gt;0,K17&lt;&gt;""),K17/H17,"")</f>
        <v/>
      </c>
      <c r="M17" s="34" t="n">
        <v>31</v>
      </c>
      <c r="N17" s="34" t="n">
        <v>0</v>
      </c>
      <c r="O17" s="34" t="n">
        <v>1</v>
      </c>
      <c r="P17" s="55" t="n">
        <v>0</v>
      </c>
      <c r="Q17" s="56">
        <f>IF(AND(N(P17)&gt;0,N(H17)&gt;0),P17/H17*1000,"")</f>
        <v/>
      </c>
    </row>
    <row r="18">
      <c r="A18" s="57" t="n">
        <v>12</v>
      </c>
      <c r="B18" s="58" t="inlineStr">
        <is>
          <t>Retour sur Geodays</t>
        </is>
      </c>
      <c r="C18" s="59" t="n">
        <v>46199</v>
      </c>
      <c r="D18" s="60">
        <f>IF(C18="","",MONTH(C18))</f>
        <v/>
      </c>
      <c r="E18" s="61" t="inlineStr">
        <is>
          <t>Post</t>
        </is>
      </c>
      <c r="F18" s="61" t="inlineStr">
        <is>
          <t>Publié</t>
        </is>
      </c>
      <c r="G18" s="62" t="n"/>
      <c r="H18" s="62" t="n">
        <v>1160</v>
      </c>
      <c r="I18" s="62" t="n">
        <v>154</v>
      </c>
      <c r="J18" s="63">
        <f>IF(AND(H18&gt;0,I18&lt;&gt;""),I18/H18,"")</f>
        <v/>
      </c>
      <c r="K18" s="62" t="n">
        <v>61</v>
      </c>
      <c r="L18" s="63">
        <f>IF(AND(H18&gt;0,K18&lt;&gt;""),K18/H18,"")</f>
        <v/>
      </c>
      <c r="M18" s="62" t="n">
        <v>90</v>
      </c>
      <c r="N18" s="62" t="n">
        <v>2</v>
      </c>
      <c r="O18" s="62" t="n">
        <v>1</v>
      </c>
      <c r="P18" s="64" t="n">
        <v>0</v>
      </c>
      <c r="Q18" s="65">
        <f>IF(AND(N(P18)&gt;0,N(H18)&gt;0),P18/H18*1000,"")</f>
        <v/>
      </c>
    </row>
    <row r="19">
      <c r="A19" s="50" t="n">
        <v>13</v>
      </c>
      <c r="B19" s="51" t="inlineStr">
        <is>
          <t>Soletanche</t>
        </is>
      </c>
      <c r="C19" s="52" t="n">
        <v>46296</v>
      </c>
      <c r="D19" s="53">
        <f>IF(C19="","",MONTH(C19))</f>
        <v/>
      </c>
      <c r="E19" s="54" t="inlineStr">
        <is>
          <t>Post</t>
        </is>
      </c>
      <c r="F19" s="54" t="inlineStr">
        <is>
          <t>Publié</t>
        </is>
      </c>
      <c r="G19" s="34" t="n"/>
      <c r="H19" s="34" t="n">
        <v>1907</v>
      </c>
      <c r="I19" s="34" t="n">
        <v>333</v>
      </c>
      <c r="J19" s="36">
        <f>IF(AND(H19&gt;0,I19&lt;&gt;""),I19/H19,"")</f>
        <v/>
      </c>
      <c r="K19" s="34" t="n">
        <v>259</v>
      </c>
      <c r="L19" s="36">
        <f>IF(AND(H19&gt;0,K19&lt;&gt;""),K19/H19,"")</f>
        <v/>
      </c>
      <c r="M19" s="34" t="n">
        <v>62</v>
      </c>
      <c r="N19" s="34" t="n">
        <v>0</v>
      </c>
      <c r="O19" s="34" t="n">
        <v>3</v>
      </c>
      <c r="P19" s="55" t="n">
        <v>0</v>
      </c>
      <c r="Q19" s="56">
        <f>IF(AND(N(P19)&gt;0,N(H19)&gt;0),P19/H19*1000,"")</f>
        <v/>
      </c>
    </row>
    <row r="20">
      <c r="A20" s="57" t="n">
        <v>14</v>
      </c>
      <c r="B20" s="58" t="inlineStr">
        <is>
          <t>Teambuilding</t>
        </is>
      </c>
      <c r="C20" s="59" t="n">
        <v>46301</v>
      </c>
      <c r="D20" s="60">
        <f>IF(C20="","",MONTH(C20))</f>
        <v/>
      </c>
      <c r="E20" s="61" t="inlineStr">
        <is>
          <t>Post</t>
        </is>
      </c>
      <c r="F20" s="61" t="inlineStr">
        <is>
          <t>Publié</t>
        </is>
      </c>
      <c r="G20" s="62" t="n"/>
      <c r="H20" s="62" t="n">
        <v>1838</v>
      </c>
      <c r="I20" s="62" t="n">
        <v>1120</v>
      </c>
      <c r="J20" s="63">
        <f>IF(AND(H20&gt;0,I20&lt;&gt;""),I20/H20,"")</f>
        <v/>
      </c>
      <c r="K20" s="62" t="n">
        <v>1071</v>
      </c>
      <c r="L20" s="63">
        <f>IF(AND(H20&gt;0,K20&lt;&gt;""),K20/H20,"")</f>
        <v/>
      </c>
      <c r="M20" s="62" t="n">
        <v>52</v>
      </c>
      <c r="N20" s="62" t="n">
        <v>0</v>
      </c>
      <c r="O20" s="62" t="n">
        <v>0</v>
      </c>
      <c r="P20" s="64" t="n">
        <v>0</v>
      </c>
      <c r="Q20" s="65">
        <f>IF(AND(N(P20)&gt;0,N(H20)&gt;0),P20/H20*1000,"")</f>
        <v/>
      </c>
    </row>
    <row r="21">
      <c r="A21" s="50" t="n">
        <v>15</v>
      </c>
      <c r="B21" s="51" t="inlineStr">
        <is>
          <t>Salon GEOFLUID</t>
        </is>
      </c>
      <c r="C21" s="52" t="n">
        <v>46303</v>
      </c>
      <c r="D21" s="53">
        <f>IF(C21="","",MONTH(C21))</f>
        <v/>
      </c>
      <c r="E21" s="54" t="inlineStr">
        <is>
          <t>Post</t>
        </is>
      </c>
      <c r="F21" s="54" t="inlineStr">
        <is>
          <t>Publié</t>
        </is>
      </c>
      <c r="G21" s="34" t="n"/>
      <c r="H21" s="34" t="n">
        <v>763</v>
      </c>
      <c r="I21" s="34" t="n">
        <v>45</v>
      </c>
      <c r="J21" s="36">
        <f>IF(AND(H21&gt;0,I21&lt;&gt;""),I21/H21,"")</f>
        <v/>
      </c>
      <c r="K21" s="34" t="n">
        <v>17</v>
      </c>
      <c r="L21" s="36">
        <f>IF(AND(H21&gt;0,K21&lt;&gt;""),K21/H21,"")</f>
        <v/>
      </c>
      <c r="M21" s="34" t="n">
        <v>26</v>
      </c>
      <c r="N21" s="34" t="n">
        <v>0</v>
      </c>
      <c r="O21" s="34" t="n">
        <v>2</v>
      </c>
      <c r="P21" s="55" t="n">
        <v>0</v>
      </c>
      <c r="Q21" s="56">
        <f>IF(AND(N(P21)&gt;0,N(H21)&gt;0),P21/H21*1000,"")</f>
        <v/>
      </c>
    </row>
    <row r="22">
      <c r="A22" s="57" t="n">
        <v>16</v>
      </c>
      <c r="B22" s="58" t="inlineStr">
        <is>
          <t>Octobre Rose</t>
        </is>
      </c>
      <c r="C22" s="59" t="n">
        <v>46308</v>
      </c>
      <c r="D22" s="60">
        <f>IF(C22="","",MONTH(C22))</f>
        <v/>
      </c>
      <c r="E22" s="61" t="inlineStr">
        <is>
          <t>Post</t>
        </is>
      </c>
      <c r="F22" s="61" t="inlineStr">
        <is>
          <t>Publié</t>
        </is>
      </c>
      <c r="G22" s="62" t="n"/>
      <c r="H22" s="62" t="n">
        <v>2166</v>
      </c>
      <c r="I22" s="62" t="n">
        <v>269</v>
      </c>
      <c r="J22" s="63">
        <f>IF(AND(H22&gt;0,I22&lt;&gt;""),I22/H22,"")</f>
        <v/>
      </c>
      <c r="K22" s="62" t="n">
        <v>208</v>
      </c>
      <c r="L22" s="63">
        <f>IF(AND(H22&gt;0,K22&lt;&gt;""),K22/H22,"")</f>
        <v/>
      </c>
      <c r="M22" s="62" t="n">
        <v>64</v>
      </c>
      <c r="N22" s="62" t="n">
        <v>0</v>
      </c>
      <c r="O22" s="62" t="n">
        <v>0</v>
      </c>
      <c r="P22" s="64" t="n">
        <v>0</v>
      </c>
      <c r="Q22" s="65">
        <f>IF(AND(N(P22)&gt;0,N(H22)&gt;0),P22/H22*1000,"")</f>
        <v/>
      </c>
    </row>
    <row r="23">
      <c r="A23" s="50" t="n">
        <v>17</v>
      </c>
      <c r="B23" s="51" t="inlineStr">
        <is>
          <t>Prospection foreurs</t>
        </is>
      </c>
      <c r="C23" s="52" t="n">
        <v>46310</v>
      </c>
      <c r="D23" s="53">
        <f>IF(C23="","",MONTH(C23))</f>
        <v/>
      </c>
      <c r="E23" s="54" t="inlineStr">
        <is>
          <t>Post</t>
        </is>
      </c>
      <c r="F23" s="54" t="inlineStr">
        <is>
          <t>Publié</t>
        </is>
      </c>
      <c r="G23" s="34" t="n"/>
      <c r="H23" s="34" t="n">
        <v>47945</v>
      </c>
      <c r="I23" s="34" t="n">
        <v>508</v>
      </c>
      <c r="J23" s="36">
        <f>IF(AND(H23&gt;0,I23&lt;&gt;""),I23/H23,"")</f>
        <v/>
      </c>
      <c r="K23" s="34" t="n">
        <v>435</v>
      </c>
      <c r="L23" s="36">
        <f>IF(AND(H23&gt;0,K23&lt;&gt;""),K23/H23,"")</f>
        <v/>
      </c>
      <c r="M23" s="34" t="n">
        <v>32</v>
      </c>
      <c r="N23" s="34" t="n">
        <v>1</v>
      </c>
      <c r="O23" s="34" t="n">
        <v>1</v>
      </c>
      <c r="P23" s="55" t="n">
        <v>140</v>
      </c>
      <c r="Q23" s="56">
        <f>IF(AND(N(P23)&gt;0,N(H23)&gt;0),P23/H23*1000,"")</f>
        <v/>
      </c>
    </row>
    <row r="24">
      <c r="A24" s="57" t="n">
        <v>18</v>
      </c>
      <c r="B24" s="58" t="inlineStr">
        <is>
          <t>Réception IFP</t>
        </is>
      </c>
      <c r="C24" s="59" t="n">
        <v>46315</v>
      </c>
      <c r="D24" s="60">
        <f>IF(C24="","",MONTH(C24))</f>
        <v/>
      </c>
      <c r="E24" s="61" t="inlineStr">
        <is>
          <t>Post</t>
        </is>
      </c>
      <c r="F24" s="61" t="inlineStr">
        <is>
          <t>Publié</t>
        </is>
      </c>
      <c r="G24" s="62" t="n"/>
      <c r="H24" s="62" t="n">
        <v>1122</v>
      </c>
      <c r="I24" s="62" t="n">
        <v>402</v>
      </c>
      <c r="J24" s="63">
        <f>IF(AND(H24&gt;0,I24&lt;&gt;""),I24/H24,"")</f>
        <v/>
      </c>
      <c r="K24" s="62" t="n">
        <v>372</v>
      </c>
      <c r="L24" s="63">
        <f>IF(AND(H24&gt;0,K24&lt;&gt;""),K24/H24,"")</f>
        <v/>
      </c>
      <c r="M24" s="62" t="n">
        <v>29</v>
      </c>
      <c r="N24" s="62" t="n">
        <v>1</v>
      </c>
      <c r="O24" s="62" t="n">
        <v>0</v>
      </c>
      <c r="P24" s="64" t="n">
        <v>0</v>
      </c>
      <c r="Q24" s="65">
        <f>IF(AND(N(P24)&gt;0,N(H24)&gt;0),P24/H24*1000,"")</f>
        <v/>
      </c>
    </row>
    <row r="25">
      <c r="A25" s="50" t="n">
        <v>19</v>
      </c>
      <c r="B25" s="51" t="inlineStr">
        <is>
          <t>Case study part 1</t>
        </is>
      </c>
      <c r="C25" s="52" t="n"/>
      <c r="D25" s="53">
        <f>IF(C25="","",MONTH(C25))</f>
        <v/>
      </c>
      <c r="E25" s="54" t="inlineStr">
        <is>
          <t>Post</t>
        </is>
      </c>
      <c r="F25" s="54" t="inlineStr">
        <is>
          <t>Planifié</t>
        </is>
      </c>
      <c r="G25" s="34" t="n"/>
      <c r="H25" s="34" t="n"/>
      <c r="I25" s="34" t="n"/>
      <c r="J25" s="36">
        <f>IF(AND(H25&gt;0,I25&lt;&gt;""),I25/H25,"")</f>
        <v/>
      </c>
      <c r="K25" s="34" t="n"/>
      <c r="L25" s="36">
        <f>IF(AND(H25&gt;0,K25&lt;&gt;""),K25/H25,"")</f>
        <v/>
      </c>
      <c r="M25" s="34" t="n"/>
      <c r="N25" s="34" t="n"/>
      <c r="O25" s="34" t="n"/>
      <c r="P25" s="55" t="n"/>
      <c r="Q25" s="56">
        <f>IF(AND(N(P25)&gt;0,N(H25)&gt;0),P25/H25*1000,"")</f>
        <v/>
      </c>
    </row>
    <row r="26">
      <c r="A26" s="57" t="n">
        <v>20</v>
      </c>
      <c r="B26" s="58" t="inlineStr">
        <is>
          <t>Case study part 2</t>
        </is>
      </c>
      <c r="C26" s="59" t="n"/>
      <c r="D26" s="60">
        <f>IF(C26="","",MONTH(C26))</f>
        <v/>
      </c>
      <c r="E26" s="61" t="inlineStr">
        <is>
          <t>Post</t>
        </is>
      </c>
      <c r="F26" s="61" t="inlineStr">
        <is>
          <t>Planifié</t>
        </is>
      </c>
      <c r="G26" s="62" t="n"/>
      <c r="H26" s="62" t="n"/>
      <c r="I26" s="62" t="n"/>
      <c r="J26" s="63">
        <f>IF(AND(H26&gt;0,I26&lt;&gt;""),I26/H26,"")</f>
        <v/>
      </c>
      <c r="K26" s="62" t="n"/>
      <c r="L26" s="63">
        <f>IF(AND(H26&gt;0,K26&lt;&gt;""),K26/H26,"")</f>
        <v/>
      </c>
      <c r="M26" s="62" t="n"/>
      <c r="N26" s="62" t="n"/>
      <c r="O26" s="62" t="n"/>
      <c r="P26" s="64" t="n"/>
      <c r="Q26" s="65">
        <f>IF(AND(N(P26)&gt;0,N(H26)&gt;0),P26/H26*1000,"")</f>
        <v/>
      </c>
    </row>
    <row r="27">
      <c r="A27" s="50" t="n">
        <v>21</v>
      </c>
      <c r="B27" s="51" t="inlineStr">
        <is>
          <t>Anti-collision KEM One</t>
        </is>
      </c>
      <c r="C27" s="52" t="n"/>
      <c r="D27" s="53">
        <f>IF(C27="","",MONTH(C27))</f>
        <v/>
      </c>
      <c r="E27" s="54" t="inlineStr">
        <is>
          <t>Post</t>
        </is>
      </c>
      <c r="F27" s="54" t="inlineStr">
        <is>
          <t>Planifié</t>
        </is>
      </c>
      <c r="G27" s="34" t="n"/>
      <c r="H27" s="34" t="n"/>
      <c r="I27" s="34" t="n"/>
      <c r="J27" s="36">
        <f>IF(AND(H27&gt;0,I27&lt;&gt;""),I27/H27,"")</f>
        <v/>
      </c>
      <c r="K27" s="34" t="n"/>
      <c r="L27" s="36">
        <f>IF(AND(H27&gt;0,K27&lt;&gt;""),K27/H27,"")</f>
        <v/>
      </c>
      <c r="M27" s="34" t="n"/>
      <c r="N27" s="34" t="n"/>
      <c r="O27" s="34" t="n"/>
      <c r="P27" s="55" t="n"/>
      <c r="Q27" s="56">
        <f>IF(AND(N(P27)&gt;0,N(H27)&gt;0),P27/H27*1000,"")</f>
        <v/>
      </c>
    </row>
    <row r="28">
      <c r="A28" s="57" t="n">
        <v>22</v>
      </c>
      <c r="B28" s="58" t="inlineStr">
        <is>
          <t>Nouvelle Break Out</t>
        </is>
      </c>
      <c r="C28" s="59" t="n"/>
      <c r="D28" s="60">
        <f>IF(C28="","",MONTH(C28))</f>
        <v/>
      </c>
      <c r="E28" s="61" t="inlineStr">
        <is>
          <t>Post</t>
        </is>
      </c>
      <c r="F28" s="61" t="inlineStr">
        <is>
          <t>Planifié</t>
        </is>
      </c>
      <c r="G28" s="62" t="n"/>
      <c r="H28" s="62" t="n"/>
      <c r="I28" s="62" t="n"/>
      <c r="J28" s="63">
        <f>IF(AND(H28&gt;0,I28&lt;&gt;""),I28/H28,"")</f>
        <v/>
      </c>
      <c r="K28" s="62" t="n"/>
      <c r="L28" s="63">
        <f>IF(AND(H28&gt;0,K28&lt;&gt;""),K28/H28,"")</f>
        <v/>
      </c>
      <c r="M28" s="62" t="n"/>
      <c r="N28" s="62" t="n"/>
      <c r="O28" s="62" t="n"/>
      <c r="P28" s="64" t="n"/>
      <c r="Q28" s="65">
        <f>IF(AND(N(P28)&gt;0,N(H28)&gt;0),P28/H28*1000,"")</f>
        <v/>
      </c>
    </row>
    <row r="29">
      <c r="A29" s="50" t="n">
        <v>23</v>
      </c>
      <c r="B29" s="51" t="n"/>
      <c r="C29" s="52" t="n"/>
      <c r="D29" s="53">
        <f>IF(C29="","",MONTH(C29))</f>
        <v/>
      </c>
      <c r="E29" s="54" t="n"/>
      <c r="F29" s="54" t="n"/>
      <c r="G29" s="34" t="n"/>
      <c r="H29" s="34" t="n"/>
      <c r="I29" s="34" t="n"/>
      <c r="J29" s="36">
        <f>IF(AND(H29&gt;0,I29&lt;&gt;""),I29/H29,"")</f>
        <v/>
      </c>
      <c r="K29" s="34" t="n"/>
      <c r="L29" s="36">
        <f>IF(AND(H29&gt;0,K29&lt;&gt;""),K29/H29,"")</f>
        <v/>
      </c>
      <c r="M29" s="34" t="n"/>
      <c r="N29" s="34" t="n"/>
      <c r="O29" s="34" t="n"/>
      <c r="P29" s="55" t="n"/>
      <c r="Q29" s="56">
        <f>IF(AND(N(P29)&gt;0,N(H29)&gt;0),P29/H29*1000,"")</f>
        <v/>
      </c>
    </row>
    <row r="30">
      <c r="A30" s="57" t="n">
        <v>24</v>
      </c>
      <c r="B30" s="58" t="n"/>
      <c r="C30" s="59" t="n"/>
      <c r="D30" s="60">
        <f>IF(C30="","",MONTH(C30))</f>
        <v/>
      </c>
      <c r="E30" s="61" t="n"/>
      <c r="F30" s="61" t="n"/>
      <c r="G30" s="62" t="n"/>
      <c r="H30" s="62" t="n"/>
      <c r="I30" s="62" t="n"/>
      <c r="J30" s="63">
        <f>IF(AND(H30&gt;0,I30&lt;&gt;""),I30/H30,"")</f>
        <v/>
      </c>
      <c r="K30" s="62" t="n"/>
      <c r="L30" s="63">
        <f>IF(AND(H30&gt;0,K30&lt;&gt;""),K30/H30,"")</f>
        <v/>
      </c>
      <c r="M30" s="62" t="n"/>
      <c r="N30" s="62" t="n"/>
      <c r="O30" s="62" t="n"/>
      <c r="P30" s="64" t="n"/>
      <c r="Q30" s="65">
        <f>IF(AND(N(P30)&gt;0,N(H30)&gt;0),P30/H30*1000,"")</f>
        <v/>
      </c>
    </row>
    <row r="31">
      <c r="A31" s="50" t="n">
        <v>25</v>
      </c>
      <c r="B31" s="51" t="n"/>
      <c r="C31" s="52" t="n"/>
      <c r="D31" s="53">
        <f>IF(C31="","",MONTH(C31))</f>
        <v/>
      </c>
      <c r="E31" s="54" t="n"/>
      <c r="F31" s="54" t="n"/>
      <c r="G31" s="34" t="n"/>
      <c r="H31" s="34" t="n"/>
      <c r="I31" s="34" t="n"/>
      <c r="J31" s="36">
        <f>IF(AND(H31&gt;0,I31&lt;&gt;""),I31/H31,"")</f>
        <v/>
      </c>
      <c r="K31" s="34" t="n"/>
      <c r="L31" s="36">
        <f>IF(AND(H31&gt;0,K31&lt;&gt;""),K31/H31,"")</f>
        <v/>
      </c>
      <c r="M31" s="34" t="n"/>
      <c r="N31" s="34" t="n"/>
      <c r="O31" s="34" t="n"/>
      <c r="P31" s="55" t="n"/>
      <c r="Q31" s="56">
        <f>IF(AND(N(P31)&gt;0,N(H31)&gt;0),P31/H31*1000,"")</f>
        <v/>
      </c>
    </row>
    <row r="32">
      <c r="A32" s="57" t="n">
        <v>26</v>
      </c>
      <c r="B32" s="58" t="n"/>
      <c r="C32" s="59" t="n"/>
      <c r="D32" s="60">
        <f>IF(C32="","",MONTH(C32))</f>
        <v/>
      </c>
      <c r="E32" s="61" t="n"/>
      <c r="F32" s="61" t="n"/>
      <c r="G32" s="62" t="n"/>
      <c r="H32" s="62" t="n"/>
      <c r="I32" s="62" t="n"/>
      <c r="J32" s="63">
        <f>IF(AND(H32&gt;0,I32&lt;&gt;""),I32/H32,"")</f>
        <v/>
      </c>
      <c r="K32" s="62" t="n"/>
      <c r="L32" s="63">
        <f>IF(AND(H32&gt;0,K32&lt;&gt;""),K32/H32,"")</f>
        <v/>
      </c>
      <c r="M32" s="62" t="n"/>
      <c r="N32" s="62" t="n"/>
      <c r="O32" s="62" t="n"/>
      <c r="P32" s="64" t="n"/>
      <c r="Q32" s="65">
        <f>IF(AND(N(P32)&gt;0,N(H32)&gt;0),P32/H32*1000,"")</f>
        <v/>
      </c>
    </row>
    <row r="33">
      <c r="A33" s="50" t="n">
        <v>27</v>
      </c>
      <c r="B33" s="51" t="n"/>
      <c r="C33" s="52" t="n"/>
      <c r="D33" s="53">
        <f>IF(C33="","",MONTH(C33))</f>
        <v/>
      </c>
      <c r="E33" s="54" t="n"/>
      <c r="F33" s="54" t="n"/>
      <c r="G33" s="34" t="n"/>
      <c r="H33" s="34" t="n"/>
      <c r="I33" s="34" t="n"/>
      <c r="J33" s="36">
        <f>IF(AND(H33&gt;0,I33&lt;&gt;""),I33/H33,"")</f>
        <v/>
      </c>
      <c r="K33" s="34" t="n"/>
      <c r="L33" s="36">
        <f>IF(AND(H33&gt;0,K33&lt;&gt;""),K33/H33,"")</f>
        <v/>
      </c>
      <c r="M33" s="34" t="n"/>
      <c r="N33" s="34" t="n"/>
      <c r="O33" s="34" t="n"/>
      <c r="P33" s="55" t="n"/>
      <c r="Q33" s="56">
        <f>IF(AND(N(P33)&gt;0,N(H33)&gt;0),P33/H33*1000,"")</f>
        <v/>
      </c>
    </row>
    <row r="34">
      <c r="A34" s="57" t="n">
        <v>28</v>
      </c>
      <c r="B34" s="58" t="n"/>
      <c r="C34" s="59" t="n"/>
      <c r="D34" s="60">
        <f>IF(C34="","",MONTH(C34))</f>
        <v/>
      </c>
      <c r="E34" s="61" t="n"/>
      <c r="F34" s="61" t="n"/>
      <c r="G34" s="62" t="n"/>
      <c r="H34" s="62" t="n"/>
      <c r="I34" s="62" t="n"/>
      <c r="J34" s="63">
        <f>IF(AND(H34&gt;0,I34&lt;&gt;""),I34/H34,"")</f>
        <v/>
      </c>
      <c r="K34" s="62" t="n"/>
      <c r="L34" s="63">
        <f>IF(AND(H34&gt;0,K34&lt;&gt;""),K34/H34,"")</f>
        <v/>
      </c>
      <c r="M34" s="62" t="n"/>
      <c r="N34" s="62" t="n"/>
      <c r="O34" s="62" t="n"/>
      <c r="P34" s="64" t="n"/>
      <c r="Q34" s="65">
        <f>IF(AND(N(P34)&gt;0,N(H34)&gt;0),P34/H34*1000,"")</f>
        <v/>
      </c>
    </row>
    <row r="35">
      <c r="A35" s="50" t="n">
        <v>29</v>
      </c>
      <c r="B35" s="51" t="n"/>
      <c r="C35" s="52" t="n"/>
      <c r="D35" s="53">
        <f>IF(C35="","",MONTH(C35))</f>
        <v/>
      </c>
      <c r="E35" s="54" t="n"/>
      <c r="F35" s="54" t="n"/>
      <c r="G35" s="34" t="n"/>
      <c r="H35" s="34" t="n"/>
      <c r="I35" s="34" t="n"/>
      <c r="J35" s="36">
        <f>IF(AND(H35&gt;0,I35&lt;&gt;""),I35/H35,"")</f>
        <v/>
      </c>
      <c r="K35" s="34" t="n"/>
      <c r="L35" s="36">
        <f>IF(AND(H35&gt;0,K35&lt;&gt;""),K35/H35,"")</f>
        <v/>
      </c>
      <c r="M35" s="34" t="n"/>
      <c r="N35" s="34" t="n"/>
      <c r="O35" s="34" t="n"/>
      <c r="P35" s="55" t="n"/>
      <c r="Q35" s="56">
        <f>IF(AND(N(P35)&gt;0,N(H35)&gt;0),P35/H35*1000,"")</f>
        <v/>
      </c>
    </row>
    <row r="36">
      <c r="A36" s="57" t="n">
        <v>30</v>
      </c>
      <c r="B36" s="58" t="n"/>
      <c r="C36" s="59" t="n"/>
      <c r="D36" s="60">
        <f>IF(C36="","",MONTH(C36))</f>
        <v/>
      </c>
      <c r="E36" s="61" t="n"/>
      <c r="F36" s="61" t="n"/>
      <c r="G36" s="62" t="n"/>
      <c r="H36" s="62" t="n"/>
      <c r="I36" s="62" t="n"/>
      <c r="J36" s="63">
        <f>IF(AND(H36&gt;0,I36&lt;&gt;""),I36/H36,"")</f>
        <v/>
      </c>
      <c r="K36" s="62" t="n"/>
      <c r="L36" s="63">
        <f>IF(AND(H36&gt;0,K36&lt;&gt;""),K36/H36,"")</f>
        <v/>
      </c>
      <c r="M36" s="62" t="n"/>
      <c r="N36" s="62" t="n"/>
      <c r="O36" s="62" t="n"/>
      <c r="P36" s="64" t="n"/>
      <c r="Q36" s="65">
        <f>IF(AND(N(P36)&gt;0,N(H36)&gt;0),P36/H36*1000,"")</f>
        <v/>
      </c>
    </row>
    <row r="37">
      <c r="A37" s="50" t="n">
        <v>31</v>
      </c>
      <c r="B37" s="51" t="n"/>
      <c r="C37" s="52" t="n"/>
      <c r="D37" s="53">
        <f>IF(C37="","",MONTH(C37))</f>
        <v/>
      </c>
      <c r="E37" s="54" t="n"/>
      <c r="F37" s="54" t="n"/>
      <c r="G37" s="34" t="n"/>
      <c r="H37" s="34" t="n"/>
      <c r="I37" s="34" t="n"/>
      <c r="J37" s="36">
        <f>IF(AND(H37&gt;0,I37&lt;&gt;""),I37/H37,"")</f>
        <v/>
      </c>
      <c r="K37" s="34" t="n"/>
      <c r="L37" s="36">
        <f>IF(AND(H37&gt;0,K37&lt;&gt;""),K37/H37,"")</f>
        <v/>
      </c>
      <c r="M37" s="34" t="n"/>
      <c r="N37" s="34" t="n"/>
      <c r="O37" s="34" t="n"/>
      <c r="P37" s="55" t="n"/>
      <c r="Q37" s="56">
        <f>IF(AND(N(P37)&gt;0,N(H37)&gt;0),P37/H37*1000,"")</f>
        <v/>
      </c>
    </row>
    <row r="38">
      <c r="A38" s="57" t="n">
        <v>32</v>
      </c>
      <c r="B38" s="58" t="n"/>
      <c r="C38" s="59" t="n"/>
      <c r="D38" s="60">
        <f>IF(C38="","",MONTH(C38))</f>
        <v/>
      </c>
      <c r="E38" s="61" t="n"/>
      <c r="F38" s="61" t="n"/>
      <c r="G38" s="62" t="n"/>
      <c r="H38" s="62" t="n"/>
      <c r="I38" s="62" t="n"/>
      <c r="J38" s="63">
        <f>IF(AND(H38&gt;0,I38&lt;&gt;""),I38/H38,"")</f>
        <v/>
      </c>
      <c r="K38" s="62" t="n"/>
      <c r="L38" s="63">
        <f>IF(AND(H38&gt;0,K38&lt;&gt;""),K38/H38,"")</f>
        <v/>
      </c>
      <c r="M38" s="62" t="n"/>
      <c r="N38" s="62" t="n"/>
      <c r="O38" s="62" t="n"/>
      <c r="P38" s="64" t="n"/>
      <c r="Q38" s="65">
        <f>IF(AND(N(P38)&gt;0,N(H38)&gt;0),P38/H38*1000,"")</f>
        <v/>
      </c>
    </row>
    <row r="39">
      <c r="A39" s="50" t="n">
        <v>33</v>
      </c>
      <c r="B39" s="51" t="n"/>
      <c r="C39" s="52" t="n"/>
      <c r="D39" s="53">
        <f>IF(C39="","",MONTH(C39))</f>
        <v/>
      </c>
      <c r="E39" s="54" t="n"/>
      <c r="F39" s="54" t="n"/>
      <c r="G39" s="34" t="n"/>
      <c r="H39" s="34" t="n"/>
      <c r="I39" s="34" t="n"/>
      <c r="J39" s="36">
        <f>IF(AND(H39&gt;0,I39&lt;&gt;""),I39/H39,"")</f>
        <v/>
      </c>
      <c r="K39" s="34" t="n"/>
      <c r="L39" s="36">
        <f>IF(AND(H39&gt;0,K39&lt;&gt;""),K39/H39,"")</f>
        <v/>
      </c>
      <c r="M39" s="34" t="n"/>
      <c r="N39" s="34" t="n"/>
      <c r="O39" s="34" t="n"/>
      <c r="P39" s="55" t="n"/>
      <c r="Q39" s="56">
        <f>IF(AND(N(P39)&gt;0,N(H39)&gt;0),P39/H39*1000,"")</f>
        <v/>
      </c>
    </row>
    <row r="40">
      <c r="A40" s="57" t="n">
        <v>34</v>
      </c>
      <c r="B40" s="58" t="n"/>
      <c r="C40" s="59" t="n"/>
      <c r="D40" s="60">
        <f>IF(C40="","",MONTH(C40))</f>
        <v/>
      </c>
      <c r="E40" s="61" t="n"/>
      <c r="F40" s="61" t="n"/>
      <c r="G40" s="62" t="n"/>
      <c r="H40" s="62" t="n"/>
      <c r="I40" s="62" t="n"/>
      <c r="J40" s="63">
        <f>IF(AND(H40&gt;0,I40&lt;&gt;""),I40/H40,"")</f>
        <v/>
      </c>
      <c r="K40" s="62" t="n"/>
      <c r="L40" s="63">
        <f>IF(AND(H40&gt;0,K40&lt;&gt;""),K40/H40,"")</f>
        <v/>
      </c>
      <c r="M40" s="62" t="n"/>
      <c r="N40" s="62" t="n"/>
      <c r="O40" s="62" t="n"/>
      <c r="P40" s="64" t="n"/>
      <c r="Q40" s="65">
        <f>IF(AND(N(P40)&gt;0,N(H40)&gt;0),P40/H40*1000,"")</f>
        <v/>
      </c>
    </row>
    <row r="41">
      <c r="A41" s="50" t="n">
        <v>35</v>
      </c>
      <c r="B41" s="51" t="n"/>
      <c r="C41" s="52" t="n"/>
      <c r="D41" s="53">
        <f>IF(C41="","",MONTH(C41))</f>
        <v/>
      </c>
      <c r="E41" s="54" t="n"/>
      <c r="F41" s="54" t="n"/>
      <c r="G41" s="34" t="n"/>
      <c r="H41" s="34" t="n"/>
      <c r="I41" s="34" t="n"/>
      <c r="J41" s="36">
        <f>IF(AND(H41&gt;0,I41&lt;&gt;""),I41/H41,"")</f>
        <v/>
      </c>
      <c r="K41" s="34" t="n"/>
      <c r="L41" s="36">
        <f>IF(AND(H41&gt;0,K41&lt;&gt;""),K41/H41,"")</f>
        <v/>
      </c>
      <c r="M41" s="34" t="n"/>
      <c r="N41" s="34" t="n"/>
      <c r="O41" s="34" t="n"/>
      <c r="P41" s="55" t="n"/>
      <c r="Q41" s="56">
        <f>IF(AND(N(P41)&gt;0,N(H41)&gt;0),P41/H41*1000,"")</f>
        <v/>
      </c>
    </row>
    <row r="42">
      <c r="A42" s="57" t="n">
        <v>36</v>
      </c>
      <c r="B42" s="58" t="n"/>
      <c r="C42" s="59" t="n"/>
      <c r="D42" s="60">
        <f>IF(C42="","",MONTH(C42))</f>
        <v/>
      </c>
      <c r="E42" s="61" t="n"/>
      <c r="F42" s="61" t="n"/>
      <c r="G42" s="62" t="n"/>
      <c r="H42" s="62" t="n"/>
      <c r="I42" s="62" t="n"/>
      <c r="J42" s="63">
        <f>IF(AND(H42&gt;0,I42&lt;&gt;""),I42/H42,"")</f>
        <v/>
      </c>
      <c r="K42" s="62" t="n"/>
      <c r="L42" s="63">
        <f>IF(AND(H42&gt;0,K42&lt;&gt;""),K42/H42,"")</f>
        <v/>
      </c>
      <c r="M42" s="62" t="n"/>
      <c r="N42" s="62" t="n"/>
      <c r="O42" s="62" t="n"/>
      <c r="P42" s="64" t="n"/>
      <c r="Q42" s="65">
        <f>IF(AND(N(P42)&gt;0,N(H42)&gt;0),P42/H42*1000,"")</f>
        <v/>
      </c>
    </row>
    <row r="43">
      <c r="A43" s="50" t="n">
        <v>37</v>
      </c>
      <c r="B43" s="51" t="n"/>
      <c r="C43" s="52" t="n"/>
      <c r="D43" s="53">
        <f>IF(C43="","",MONTH(C43))</f>
        <v/>
      </c>
      <c r="E43" s="54" t="n"/>
      <c r="F43" s="54" t="n"/>
      <c r="G43" s="34" t="n"/>
      <c r="H43" s="34" t="n"/>
      <c r="I43" s="34" t="n"/>
      <c r="J43" s="36">
        <f>IF(AND(H43&gt;0,I43&lt;&gt;""),I43/H43,"")</f>
        <v/>
      </c>
      <c r="K43" s="34" t="n"/>
      <c r="L43" s="36">
        <f>IF(AND(H43&gt;0,K43&lt;&gt;""),K43/H43,"")</f>
        <v/>
      </c>
      <c r="M43" s="34" t="n"/>
      <c r="N43" s="34" t="n"/>
      <c r="O43" s="34" t="n"/>
      <c r="P43" s="55" t="n"/>
      <c r="Q43" s="56">
        <f>IF(AND(N(P43)&gt;0,N(H43)&gt;0),P43/H43*1000,"")</f>
        <v/>
      </c>
    </row>
    <row r="44">
      <c r="A44" s="57" t="n">
        <v>38</v>
      </c>
      <c r="B44" s="58" t="n"/>
      <c r="C44" s="59" t="n"/>
      <c r="D44" s="60">
        <f>IF(C44="","",MONTH(C44))</f>
        <v/>
      </c>
      <c r="E44" s="61" t="n"/>
      <c r="F44" s="61" t="n"/>
      <c r="G44" s="62" t="n"/>
      <c r="H44" s="62" t="n"/>
      <c r="I44" s="62" t="n"/>
      <c r="J44" s="63">
        <f>IF(AND(H44&gt;0,I44&lt;&gt;""),I44/H44,"")</f>
        <v/>
      </c>
      <c r="K44" s="62" t="n"/>
      <c r="L44" s="63">
        <f>IF(AND(H44&gt;0,K44&lt;&gt;""),K44/H44,"")</f>
        <v/>
      </c>
      <c r="M44" s="62" t="n"/>
      <c r="N44" s="62" t="n"/>
      <c r="O44" s="62" t="n"/>
      <c r="P44" s="64" t="n"/>
      <c r="Q44" s="65">
        <f>IF(AND(N(P44)&gt;0,N(H44)&gt;0),P44/H44*1000,"")</f>
        <v/>
      </c>
    </row>
    <row r="45">
      <c r="A45" s="50" t="n">
        <v>39</v>
      </c>
      <c r="B45" s="51" t="n"/>
      <c r="C45" s="52" t="n"/>
      <c r="D45" s="53">
        <f>IF(C45="","",MONTH(C45))</f>
        <v/>
      </c>
      <c r="E45" s="54" t="n"/>
      <c r="F45" s="54" t="n"/>
      <c r="G45" s="34" t="n"/>
      <c r="H45" s="34" t="n"/>
      <c r="I45" s="34" t="n"/>
      <c r="J45" s="36">
        <f>IF(AND(H45&gt;0,I45&lt;&gt;""),I45/H45,"")</f>
        <v/>
      </c>
      <c r="K45" s="34" t="n"/>
      <c r="L45" s="36">
        <f>IF(AND(H45&gt;0,K45&lt;&gt;""),K45/H45,"")</f>
        <v/>
      </c>
      <c r="M45" s="34" t="n"/>
      <c r="N45" s="34" t="n"/>
      <c r="O45" s="34" t="n"/>
      <c r="P45" s="55" t="n"/>
      <c r="Q45" s="56">
        <f>IF(AND(N(P45)&gt;0,N(H45)&gt;0),P45/H45*1000,"")</f>
        <v/>
      </c>
    </row>
    <row r="46">
      <c r="A46" s="57" t="n">
        <v>40</v>
      </c>
      <c r="B46" s="58" t="n"/>
      <c r="C46" s="59" t="n"/>
      <c r="D46" s="60">
        <f>IF(C46="","",MONTH(C46))</f>
        <v/>
      </c>
      <c r="E46" s="61" t="n"/>
      <c r="F46" s="61" t="n"/>
      <c r="G46" s="62" t="n"/>
      <c r="H46" s="62" t="n"/>
      <c r="I46" s="62" t="n"/>
      <c r="J46" s="63">
        <f>IF(AND(H46&gt;0,I46&lt;&gt;""),I46/H46,"")</f>
        <v/>
      </c>
      <c r="K46" s="62" t="n"/>
      <c r="L46" s="63">
        <f>IF(AND(H46&gt;0,K46&lt;&gt;""),K46/H46,"")</f>
        <v/>
      </c>
      <c r="M46" s="62" t="n"/>
      <c r="N46" s="62" t="n"/>
      <c r="O46" s="62" t="n"/>
      <c r="P46" s="64" t="n"/>
      <c r="Q46" s="65">
        <f>IF(AND(N(P46)&gt;0,N(H46)&gt;0),P46/H46*1000,"")</f>
        <v/>
      </c>
    </row>
    <row r="47">
      <c r="A47" s="50" t="n">
        <v>41</v>
      </c>
      <c r="B47" s="51" t="n"/>
      <c r="C47" s="52" t="n"/>
      <c r="D47" s="53">
        <f>IF(C47="","",MONTH(C47))</f>
        <v/>
      </c>
      <c r="E47" s="54" t="n"/>
      <c r="F47" s="54" t="n"/>
      <c r="G47" s="34" t="n"/>
      <c r="H47" s="34" t="n"/>
      <c r="I47" s="34" t="n"/>
      <c r="J47" s="36">
        <f>IF(AND(H47&gt;0,I47&lt;&gt;""),I47/H47,"")</f>
        <v/>
      </c>
      <c r="K47" s="34" t="n"/>
      <c r="L47" s="36">
        <f>IF(AND(H47&gt;0,K47&lt;&gt;""),K47/H47,"")</f>
        <v/>
      </c>
      <c r="M47" s="34" t="n"/>
      <c r="N47" s="34" t="n"/>
      <c r="O47" s="34" t="n"/>
      <c r="P47" s="55" t="n"/>
      <c r="Q47" s="56">
        <f>IF(AND(N(P47)&gt;0,N(H47)&gt;0),P47/H47*1000,"")</f>
        <v/>
      </c>
    </row>
    <row r="48">
      <c r="A48" s="57" t="n">
        <v>42</v>
      </c>
      <c r="B48" s="58" t="n"/>
      <c r="C48" s="59" t="n"/>
      <c r="D48" s="60">
        <f>IF(C48="","",MONTH(C48))</f>
        <v/>
      </c>
      <c r="E48" s="61" t="n"/>
      <c r="F48" s="61" t="n"/>
      <c r="G48" s="62" t="n"/>
      <c r="H48" s="62" t="n"/>
      <c r="I48" s="62" t="n"/>
      <c r="J48" s="63">
        <f>IF(AND(H48&gt;0,I48&lt;&gt;""),I48/H48,"")</f>
        <v/>
      </c>
      <c r="K48" s="62" t="n"/>
      <c r="L48" s="63">
        <f>IF(AND(H48&gt;0,K48&lt;&gt;""),K48/H48,"")</f>
        <v/>
      </c>
      <c r="M48" s="62" t="n"/>
      <c r="N48" s="62" t="n"/>
      <c r="O48" s="62" t="n"/>
      <c r="P48" s="64" t="n"/>
      <c r="Q48" s="65">
        <f>IF(AND(N(P48)&gt;0,N(H48)&gt;0),P48/H48*1000,"")</f>
        <v/>
      </c>
    </row>
    <row r="49">
      <c r="A49" s="50" t="n">
        <v>43</v>
      </c>
      <c r="B49" s="51" t="n"/>
      <c r="C49" s="52" t="n"/>
      <c r="D49" s="53">
        <f>IF(C49="","",MONTH(C49))</f>
        <v/>
      </c>
      <c r="E49" s="54" t="n"/>
      <c r="F49" s="54" t="n"/>
      <c r="G49" s="34" t="n"/>
      <c r="H49" s="34" t="n"/>
      <c r="I49" s="34" t="n"/>
      <c r="J49" s="36">
        <f>IF(AND(H49&gt;0,I49&lt;&gt;""),I49/H49,"")</f>
        <v/>
      </c>
      <c r="K49" s="34" t="n"/>
      <c r="L49" s="36">
        <f>IF(AND(H49&gt;0,K49&lt;&gt;""),K49/H49,"")</f>
        <v/>
      </c>
      <c r="M49" s="34" t="n"/>
      <c r="N49" s="34" t="n"/>
      <c r="O49" s="34" t="n"/>
      <c r="P49" s="55" t="n"/>
      <c r="Q49" s="56">
        <f>IF(AND(N(P49)&gt;0,N(H49)&gt;0),P49/H49*1000,"")</f>
        <v/>
      </c>
    </row>
    <row r="50">
      <c r="A50" s="57" t="n">
        <v>44</v>
      </c>
      <c r="B50" s="58" t="n"/>
      <c r="C50" s="59" t="n"/>
      <c r="D50" s="60">
        <f>IF(C50="","",MONTH(C50))</f>
        <v/>
      </c>
      <c r="E50" s="61" t="n"/>
      <c r="F50" s="61" t="n"/>
      <c r="G50" s="62" t="n"/>
      <c r="H50" s="62" t="n"/>
      <c r="I50" s="62" t="n"/>
      <c r="J50" s="63">
        <f>IF(AND(H50&gt;0,I50&lt;&gt;""),I50/H50,"")</f>
        <v/>
      </c>
      <c r="K50" s="62" t="n"/>
      <c r="L50" s="63">
        <f>IF(AND(H50&gt;0,K50&lt;&gt;""),K50/H50,"")</f>
        <v/>
      </c>
      <c r="M50" s="62" t="n"/>
      <c r="N50" s="62" t="n"/>
      <c r="O50" s="62" t="n"/>
      <c r="P50" s="64" t="n"/>
      <c r="Q50" s="65">
        <f>IF(AND(N(P50)&gt;0,N(H50)&gt;0),P50/H50*1000,"")</f>
        <v/>
      </c>
    </row>
    <row r="51">
      <c r="A51" s="50" t="n">
        <v>45</v>
      </c>
      <c r="B51" s="51" t="n"/>
      <c r="C51" s="52" t="n"/>
      <c r="D51" s="53">
        <f>IF(C51="","",MONTH(C51))</f>
        <v/>
      </c>
      <c r="E51" s="54" t="n"/>
      <c r="F51" s="54" t="n"/>
      <c r="G51" s="34" t="n"/>
      <c r="H51" s="34" t="n"/>
      <c r="I51" s="34" t="n"/>
      <c r="J51" s="36">
        <f>IF(AND(H51&gt;0,I51&lt;&gt;""),I51/H51,"")</f>
        <v/>
      </c>
      <c r="K51" s="34" t="n"/>
      <c r="L51" s="36">
        <f>IF(AND(H51&gt;0,K51&lt;&gt;""),K51/H51,"")</f>
        <v/>
      </c>
      <c r="M51" s="34" t="n"/>
      <c r="N51" s="34" t="n"/>
      <c r="O51" s="34" t="n"/>
      <c r="P51" s="55" t="n"/>
      <c r="Q51" s="56">
        <f>IF(AND(N(P51)&gt;0,N(H51)&gt;0),P51/H51*1000,"")</f>
        <v/>
      </c>
    </row>
    <row r="52">
      <c r="A52" s="57" t="n">
        <v>46</v>
      </c>
      <c r="B52" s="58" t="n"/>
      <c r="C52" s="59" t="n"/>
      <c r="D52" s="60">
        <f>IF(C52="","",MONTH(C52))</f>
        <v/>
      </c>
      <c r="E52" s="61" t="n"/>
      <c r="F52" s="61" t="n"/>
      <c r="G52" s="62" t="n"/>
      <c r="H52" s="62" t="n"/>
      <c r="I52" s="62" t="n"/>
      <c r="J52" s="63">
        <f>IF(AND(H52&gt;0,I52&lt;&gt;""),I52/H52,"")</f>
        <v/>
      </c>
      <c r="K52" s="62" t="n"/>
      <c r="L52" s="63">
        <f>IF(AND(H52&gt;0,K52&lt;&gt;""),K52/H52,"")</f>
        <v/>
      </c>
      <c r="M52" s="62" t="n"/>
      <c r="N52" s="62" t="n"/>
      <c r="O52" s="62" t="n"/>
      <c r="P52" s="64" t="n"/>
      <c r="Q52" s="65">
        <f>IF(AND(N(P52)&gt;0,N(H52)&gt;0),P52/H52*1000,"")</f>
        <v/>
      </c>
    </row>
    <row r="53">
      <c r="A53" s="50" t="n">
        <v>47</v>
      </c>
      <c r="B53" s="51" t="n"/>
      <c r="C53" s="52" t="n"/>
      <c r="D53" s="53">
        <f>IF(C53="","",MONTH(C53))</f>
        <v/>
      </c>
      <c r="E53" s="54" t="n"/>
      <c r="F53" s="54" t="n"/>
      <c r="G53" s="34" t="n"/>
      <c r="H53" s="34" t="n"/>
      <c r="I53" s="34" t="n"/>
      <c r="J53" s="36">
        <f>IF(AND(H53&gt;0,I53&lt;&gt;""),I53/H53,"")</f>
        <v/>
      </c>
      <c r="K53" s="34" t="n"/>
      <c r="L53" s="36">
        <f>IF(AND(H53&gt;0,K53&lt;&gt;""),K53/H53,"")</f>
        <v/>
      </c>
      <c r="M53" s="34" t="n"/>
      <c r="N53" s="34" t="n"/>
      <c r="O53" s="34" t="n"/>
      <c r="P53" s="55" t="n"/>
      <c r="Q53" s="56">
        <f>IF(AND(N(P53)&gt;0,N(H53)&gt;0),P53/H53*1000,"")</f>
        <v/>
      </c>
    </row>
    <row r="54">
      <c r="A54" s="57" t="n">
        <v>48</v>
      </c>
      <c r="B54" s="58" t="n"/>
      <c r="C54" s="59" t="n"/>
      <c r="D54" s="60">
        <f>IF(C54="","",MONTH(C54))</f>
        <v/>
      </c>
      <c r="E54" s="61" t="n"/>
      <c r="F54" s="61" t="n"/>
      <c r="G54" s="62" t="n"/>
      <c r="H54" s="62" t="n"/>
      <c r="I54" s="62" t="n"/>
      <c r="J54" s="63">
        <f>IF(AND(H54&gt;0,I54&lt;&gt;""),I54/H54,"")</f>
        <v/>
      </c>
      <c r="K54" s="62" t="n"/>
      <c r="L54" s="63">
        <f>IF(AND(H54&gt;0,K54&lt;&gt;""),K54/H54,"")</f>
        <v/>
      </c>
      <c r="M54" s="62" t="n"/>
      <c r="N54" s="62" t="n"/>
      <c r="O54" s="62" t="n"/>
      <c r="P54" s="64" t="n"/>
      <c r="Q54" s="65">
        <f>IF(AND(N(P54)&gt;0,N(H54)&gt;0),P54/H54*1000,"")</f>
        <v/>
      </c>
    </row>
    <row r="55">
      <c r="A55" s="50" t="n">
        <v>49</v>
      </c>
      <c r="B55" s="51" t="n"/>
      <c r="C55" s="52" t="n"/>
      <c r="D55" s="53">
        <f>IF(C55="","",MONTH(C55))</f>
        <v/>
      </c>
      <c r="E55" s="54" t="n"/>
      <c r="F55" s="54" t="n"/>
      <c r="G55" s="34" t="n"/>
      <c r="H55" s="34" t="n"/>
      <c r="I55" s="34" t="n"/>
      <c r="J55" s="36">
        <f>IF(AND(H55&gt;0,I55&lt;&gt;""),I55/H55,"")</f>
        <v/>
      </c>
      <c r="K55" s="34" t="n"/>
      <c r="L55" s="36">
        <f>IF(AND(H55&gt;0,K55&lt;&gt;""),K55/H55,"")</f>
        <v/>
      </c>
      <c r="M55" s="34" t="n"/>
      <c r="N55" s="34" t="n"/>
      <c r="O55" s="34" t="n"/>
      <c r="P55" s="55" t="n"/>
      <c r="Q55" s="56">
        <f>IF(AND(N(P55)&gt;0,N(H55)&gt;0),P55/H55*1000,"")</f>
        <v/>
      </c>
    </row>
    <row r="56">
      <c r="A56" s="57" t="n">
        <v>50</v>
      </c>
      <c r="B56" s="58" t="n"/>
      <c r="C56" s="59" t="n"/>
      <c r="D56" s="60">
        <f>IF(C56="","",MONTH(C56))</f>
        <v/>
      </c>
      <c r="E56" s="61" t="n"/>
      <c r="F56" s="61" t="n"/>
      <c r="G56" s="62" t="n"/>
      <c r="H56" s="62" t="n"/>
      <c r="I56" s="62" t="n"/>
      <c r="J56" s="63">
        <f>IF(AND(H56&gt;0,I56&lt;&gt;""),I56/H56,"")</f>
        <v/>
      </c>
      <c r="K56" s="62" t="n"/>
      <c r="L56" s="63">
        <f>IF(AND(H56&gt;0,K56&lt;&gt;""),K56/H56,"")</f>
        <v/>
      </c>
      <c r="M56" s="62" t="n"/>
      <c r="N56" s="62" t="n"/>
      <c r="O56" s="62" t="n"/>
      <c r="P56" s="64" t="n"/>
      <c r="Q56" s="65">
        <f>IF(AND(N(P56)&gt;0,N(H56)&gt;0),P56/H56*1000,"")</f>
        <v/>
      </c>
    </row>
    <row r="57">
      <c r="A57" s="50" t="n">
        <v>51</v>
      </c>
      <c r="B57" s="51" t="n"/>
      <c r="C57" s="52" t="n"/>
      <c r="D57" s="53">
        <f>IF(C57="","",MONTH(C57))</f>
        <v/>
      </c>
      <c r="E57" s="54" t="n"/>
      <c r="F57" s="54" t="n"/>
      <c r="G57" s="34" t="n"/>
      <c r="H57" s="34" t="n"/>
      <c r="I57" s="34" t="n"/>
      <c r="J57" s="36">
        <f>IF(AND(H57&gt;0,I57&lt;&gt;""),I57/H57,"")</f>
        <v/>
      </c>
      <c r="K57" s="34" t="n"/>
      <c r="L57" s="36">
        <f>IF(AND(H57&gt;0,K57&lt;&gt;""),K57/H57,"")</f>
        <v/>
      </c>
      <c r="M57" s="34" t="n"/>
      <c r="N57" s="34" t="n"/>
      <c r="O57" s="34" t="n"/>
      <c r="P57" s="55" t="n"/>
      <c r="Q57" s="56">
        <f>IF(AND(N(P57)&gt;0,N(H57)&gt;0),P57/H57*1000,"")</f>
        <v/>
      </c>
    </row>
    <row r="58">
      <c r="A58" s="57" t="n">
        <v>52</v>
      </c>
      <c r="B58" s="58" t="n"/>
      <c r="C58" s="59" t="n"/>
      <c r="D58" s="60">
        <f>IF(C58="","",MONTH(C58))</f>
        <v/>
      </c>
      <c r="E58" s="61" t="n"/>
      <c r="F58" s="61" t="n"/>
      <c r="G58" s="62" t="n"/>
      <c r="H58" s="62" t="n"/>
      <c r="I58" s="62" t="n"/>
      <c r="J58" s="63">
        <f>IF(AND(H58&gt;0,I58&lt;&gt;""),I58/H58,"")</f>
        <v/>
      </c>
      <c r="K58" s="62" t="n"/>
      <c r="L58" s="63">
        <f>IF(AND(H58&gt;0,K58&lt;&gt;""),K58/H58,"")</f>
        <v/>
      </c>
      <c r="M58" s="62" t="n"/>
      <c r="N58" s="62" t="n"/>
      <c r="O58" s="62" t="n"/>
      <c r="P58" s="64" t="n"/>
      <c r="Q58" s="65">
        <f>IF(AND(N(P58)&gt;0,N(H58)&gt;0),P58/H58*1000,"")</f>
        <v/>
      </c>
    </row>
    <row r="59">
      <c r="A59" s="50" t="n">
        <v>53</v>
      </c>
      <c r="B59" s="51" t="n"/>
      <c r="C59" s="52" t="n"/>
      <c r="D59" s="53">
        <f>IF(C59="","",MONTH(C59))</f>
        <v/>
      </c>
      <c r="E59" s="54" t="n"/>
      <c r="F59" s="54" t="n"/>
      <c r="G59" s="34" t="n"/>
      <c r="H59" s="34" t="n"/>
      <c r="I59" s="34" t="n"/>
      <c r="J59" s="36">
        <f>IF(AND(H59&gt;0,I59&lt;&gt;""),I59/H59,"")</f>
        <v/>
      </c>
      <c r="K59" s="34" t="n"/>
      <c r="L59" s="36">
        <f>IF(AND(H59&gt;0,K59&lt;&gt;""),K59/H59,"")</f>
        <v/>
      </c>
      <c r="M59" s="34" t="n"/>
      <c r="N59" s="34" t="n"/>
      <c r="O59" s="34" t="n"/>
      <c r="P59" s="55" t="n"/>
      <c r="Q59" s="56">
        <f>IF(AND(N(P59)&gt;0,N(H59)&gt;0),P59/H59*1000,"")</f>
        <v/>
      </c>
    </row>
    <row r="60">
      <c r="A60" s="57" t="n">
        <v>54</v>
      </c>
      <c r="B60" s="58" t="n"/>
      <c r="C60" s="59" t="n"/>
      <c r="D60" s="60">
        <f>IF(C60="","",MONTH(C60))</f>
        <v/>
      </c>
      <c r="E60" s="61" t="n"/>
      <c r="F60" s="61" t="n"/>
      <c r="G60" s="62" t="n"/>
      <c r="H60" s="62" t="n"/>
      <c r="I60" s="62" t="n"/>
      <c r="J60" s="63">
        <f>IF(AND(H60&gt;0,I60&lt;&gt;""),I60/H60,"")</f>
        <v/>
      </c>
      <c r="K60" s="62" t="n"/>
      <c r="L60" s="63">
        <f>IF(AND(H60&gt;0,K60&lt;&gt;""),K60/H60,"")</f>
        <v/>
      </c>
      <c r="M60" s="62" t="n"/>
      <c r="N60" s="62" t="n"/>
      <c r="O60" s="62" t="n"/>
      <c r="P60" s="64" t="n"/>
      <c r="Q60" s="65">
        <f>IF(AND(N(P60)&gt;0,N(H60)&gt;0),P60/H60*1000,"")</f>
        <v/>
      </c>
    </row>
    <row r="61">
      <c r="A61" s="50" t="n">
        <v>55</v>
      </c>
      <c r="B61" s="51" t="n"/>
      <c r="C61" s="52" t="n"/>
      <c r="D61" s="53">
        <f>IF(C61="","",MONTH(C61))</f>
        <v/>
      </c>
      <c r="E61" s="54" t="n"/>
      <c r="F61" s="54" t="n"/>
      <c r="G61" s="34" t="n"/>
      <c r="H61" s="34" t="n"/>
      <c r="I61" s="34" t="n"/>
      <c r="J61" s="36">
        <f>IF(AND(H61&gt;0,I61&lt;&gt;""),I61/H61,"")</f>
        <v/>
      </c>
      <c r="K61" s="34" t="n"/>
      <c r="L61" s="36">
        <f>IF(AND(H61&gt;0,K61&lt;&gt;""),K61/H61,"")</f>
        <v/>
      </c>
      <c r="M61" s="34" t="n"/>
      <c r="N61" s="34" t="n"/>
      <c r="O61" s="34" t="n"/>
      <c r="P61" s="55" t="n"/>
      <c r="Q61" s="56">
        <f>IF(AND(N(P61)&gt;0,N(H61)&gt;0),P61/H61*1000,"")</f>
        <v/>
      </c>
    </row>
    <row r="62">
      <c r="A62" s="57" t="n">
        <v>56</v>
      </c>
      <c r="B62" s="58" t="n"/>
      <c r="C62" s="59" t="n"/>
      <c r="D62" s="60">
        <f>IF(C62="","",MONTH(C62))</f>
        <v/>
      </c>
      <c r="E62" s="61" t="n"/>
      <c r="F62" s="61" t="n"/>
      <c r="G62" s="62" t="n"/>
      <c r="H62" s="62" t="n"/>
      <c r="I62" s="62" t="n"/>
      <c r="J62" s="63">
        <f>IF(AND(H62&gt;0,I62&lt;&gt;""),I62/H62,"")</f>
        <v/>
      </c>
      <c r="K62" s="62" t="n"/>
      <c r="L62" s="63">
        <f>IF(AND(H62&gt;0,K62&lt;&gt;""),K62/H62,"")</f>
        <v/>
      </c>
      <c r="M62" s="62" t="n"/>
      <c r="N62" s="62" t="n"/>
      <c r="O62" s="62" t="n"/>
      <c r="P62" s="64" t="n"/>
      <c r="Q62" s="65">
        <f>IF(AND(N(P62)&gt;0,N(H62)&gt;0),P62/H62*1000,"")</f>
        <v/>
      </c>
    </row>
    <row r="63">
      <c r="A63" s="50" t="n">
        <v>57</v>
      </c>
      <c r="B63" s="51" t="n"/>
      <c r="C63" s="52" t="n"/>
      <c r="D63" s="53">
        <f>IF(C63="","",MONTH(C63))</f>
        <v/>
      </c>
      <c r="E63" s="54" t="n"/>
      <c r="F63" s="54" t="n"/>
      <c r="G63" s="34" t="n"/>
      <c r="H63" s="34" t="n"/>
      <c r="I63" s="34" t="n"/>
      <c r="J63" s="36">
        <f>IF(AND(H63&gt;0,I63&lt;&gt;""),I63/H63,"")</f>
        <v/>
      </c>
      <c r="K63" s="34" t="n"/>
      <c r="L63" s="36">
        <f>IF(AND(H63&gt;0,K63&lt;&gt;""),K63/H63,"")</f>
        <v/>
      </c>
      <c r="M63" s="34" t="n"/>
      <c r="N63" s="34" t="n"/>
      <c r="O63" s="34" t="n"/>
      <c r="P63" s="55" t="n"/>
      <c r="Q63" s="56">
        <f>IF(AND(N(P63)&gt;0,N(H63)&gt;0),P63/H63*1000,"")</f>
        <v/>
      </c>
    </row>
    <row r="64">
      <c r="A64" s="57" t="n">
        <v>58</v>
      </c>
      <c r="B64" s="58" t="n"/>
      <c r="C64" s="59" t="n"/>
      <c r="D64" s="60">
        <f>IF(C64="","",MONTH(C64))</f>
        <v/>
      </c>
      <c r="E64" s="61" t="n"/>
      <c r="F64" s="61" t="n"/>
      <c r="G64" s="62" t="n"/>
      <c r="H64" s="62" t="n"/>
      <c r="I64" s="62" t="n"/>
      <c r="J64" s="63">
        <f>IF(AND(H64&gt;0,I64&lt;&gt;""),I64/H64,"")</f>
        <v/>
      </c>
      <c r="K64" s="62" t="n"/>
      <c r="L64" s="63">
        <f>IF(AND(H64&gt;0,K64&lt;&gt;""),K64/H64,"")</f>
        <v/>
      </c>
      <c r="M64" s="62" t="n"/>
      <c r="N64" s="62" t="n"/>
      <c r="O64" s="62" t="n"/>
      <c r="P64" s="64" t="n"/>
      <c r="Q64" s="65">
        <f>IF(AND(N(P64)&gt;0,N(H64)&gt;0),P64/H64*1000,"")</f>
        <v/>
      </c>
    </row>
    <row r="65">
      <c r="A65" s="50" t="n">
        <v>59</v>
      </c>
      <c r="B65" s="51" t="n"/>
      <c r="C65" s="52" t="n"/>
      <c r="D65" s="53">
        <f>IF(C65="","",MONTH(C65))</f>
        <v/>
      </c>
      <c r="E65" s="54" t="n"/>
      <c r="F65" s="54" t="n"/>
      <c r="G65" s="34" t="n"/>
      <c r="H65" s="34" t="n"/>
      <c r="I65" s="34" t="n"/>
      <c r="J65" s="36">
        <f>IF(AND(H65&gt;0,I65&lt;&gt;""),I65/H65,"")</f>
        <v/>
      </c>
      <c r="K65" s="34" t="n"/>
      <c r="L65" s="36">
        <f>IF(AND(H65&gt;0,K65&lt;&gt;""),K65/H65,"")</f>
        <v/>
      </c>
      <c r="M65" s="34" t="n"/>
      <c r="N65" s="34" t="n"/>
      <c r="O65" s="34" t="n"/>
      <c r="P65" s="55" t="n"/>
      <c r="Q65" s="56">
        <f>IF(AND(N(P65)&gt;0,N(H65)&gt;0),P65/H65*1000,"")</f>
        <v/>
      </c>
    </row>
    <row r="66">
      <c r="A66" s="57" t="n">
        <v>60</v>
      </c>
      <c r="B66" s="58" t="n"/>
      <c r="C66" s="59" t="n"/>
      <c r="D66" s="60">
        <f>IF(C66="","",MONTH(C66))</f>
        <v/>
      </c>
      <c r="E66" s="61" t="n"/>
      <c r="F66" s="61" t="n"/>
      <c r="G66" s="62" t="n"/>
      <c r="H66" s="62" t="n"/>
      <c r="I66" s="62" t="n"/>
      <c r="J66" s="63">
        <f>IF(AND(H66&gt;0,I66&lt;&gt;""),I66/H66,"")</f>
        <v/>
      </c>
      <c r="K66" s="62" t="n"/>
      <c r="L66" s="63">
        <f>IF(AND(H66&gt;0,K66&lt;&gt;""),K66/H66,"")</f>
        <v/>
      </c>
      <c r="M66" s="62" t="n"/>
      <c r="N66" s="62" t="n"/>
      <c r="O66" s="62" t="n"/>
      <c r="P66" s="64" t="n"/>
      <c r="Q66" s="65">
        <f>IF(AND(N(P66)&gt;0,N(H66)&gt;0),P66/H66*1000,"")</f>
        <v/>
      </c>
    </row>
  </sheetData>
  <conditionalFormatting sqref="H7:H66">
    <cfRule type="dataBar" priority="1">
      <dataBar>
        <cfvo type="num" val="0"/>
        <cfvo type="max"/>
        <color rgb="001CB2FE"/>
      </dataBar>
    </cfRule>
  </conditionalFormatting>
  <conditionalFormatting sqref="J7:J66">
    <cfRule type="colorScale" priority="2">
      <colorScale>
        <cfvo type="min"/>
        <cfvo type="max"/>
        <color rgb="00FFFFFF"/>
        <color rgb="005CB8F5"/>
      </colorScale>
    </cfRule>
  </conditionalFormatting>
  <conditionalFormatting sqref="L7:L66">
    <cfRule type="colorScale" priority="3">
      <colorScale>
        <cfvo type="min"/>
        <cfvo type="max"/>
        <color rgb="00FFFFFF"/>
        <color rgb="005CB8F5"/>
      </colorScale>
    </cfRule>
  </conditionalFormatting>
  <conditionalFormatting sqref="F7:F66">
    <cfRule type="expression" priority="4" dxfId="4">
      <formula>F7="Planifié"</formula>
    </cfRule>
    <cfRule type="expression" priority="5" dxfId="0">
      <formula>F7="Publié"</formula>
    </cfRule>
  </conditionalFormatting>
  <dataValidations count="2">
    <dataValidation sqref="E7:E66" showDropDown="0" showInputMessage="0" showErrorMessage="0" allowBlank="1" type="list">
      <formula1>"Post,Vidéo,Carrousel,Article,Sondage,Événement"</formula1>
    </dataValidation>
    <dataValidation sqref="F7:F66" showDropDown="0" showInputMessage="0" showErrorMessage="0" allowBlank="1" type="list">
      <formula1>"Publié,Planifié,Idée,Annulé"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CB2FE"/>
    <outlinePr summaryBelow="1" summaryRight="1"/>
    <pageSetUpPr fitToPage="1"/>
  </sheetPr>
  <dimension ref="A1:R25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" customWidth="1" min="16" max="16"/>
    <col width="42" customWidth="1" min="17" max="17"/>
    <col width="14" customWidth="1" min="18" max="18"/>
  </cols>
  <sheetData>
    <row r="1" ht="34" customHeight="1">
      <c r="A1" s="1" t="n"/>
      <c r="B1" s="2" t="inlineStr">
        <is>
          <t>Abonnés LinkedIn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8" customHeight="1">
      <c r="A2" s="1" t="n"/>
      <c r="B2" s="3" t="inlineStr">
        <is>
          <t>Nouveaux abonnés par mois : saisissez le mois en cours, le cumul et les KPI se mettent à jour.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6">
      <c r="B6" s="27" t="inlineStr">
        <is>
          <t>NOUVEAUX ABONNÉS PAR MOIS</t>
        </is>
      </c>
      <c r="Q6" s="27" t="inlineStr">
        <is>
          <t>REPÈRES ET OBJECTIF</t>
        </is>
      </c>
    </row>
    <row r="7" ht="24" customHeight="1">
      <c r="B7" s="28" t="inlineStr">
        <is>
          <t>Année</t>
        </is>
      </c>
      <c r="C7" s="28" t="inlineStr">
        <is>
          <t>Janv.</t>
        </is>
      </c>
      <c r="D7" s="28" t="inlineStr">
        <is>
          <t>Févr.</t>
        </is>
      </c>
      <c r="E7" s="28" t="inlineStr">
        <is>
          <t>Mars</t>
        </is>
      </c>
      <c r="F7" s="28" t="inlineStr">
        <is>
          <t>Avri.</t>
        </is>
      </c>
      <c r="G7" s="28" t="inlineStr">
        <is>
          <t>Mai</t>
        </is>
      </c>
      <c r="H7" s="28" t="inlineStr">
        <is>
          <t>Juin</t>
        </is>
      </c>
      <c r="I7" s="28" t="inlineStr">
        <is>
          <t>Juil.</t>
        </is>
      </c>
      <c r="J7" s="28" t="inlineStr">
        <is>
          <t>Août</t>
        </is>
      </c>
      <c r="K7" s="28" t="inlineStr">
        <is>
          <t>Sept.</t>
        </is>
      </c>
      <c r="L7" s="28" t="inlineStr">
        <is>
          <t>Octo.</t>
        </is>
      </c>
      <c r="M7" s="28" t="inlineStr">
        <is>
          <t>Nove.</t>
        </is>
      </c>
      <c r="N7" s="28" t="inlineStr">
        <is>
          <t>Déce.</t>
        </is>
      </c>
      <c r="O7" s="28" t="inlineStr">
        <is>
          <t>Total</t>
        </is>
      </c>
    </row>
    <row r="8">
      <c r="B8" s="66" t="n">
        <v>2024</v>
      </c>
      <c r="C8" s="54" t="n">
        <v>37</v>
      </c>
      <c r="D8" s="54" t="n">
        <v>11</v>
      </c>
      <c r="E8" s="54" t="n">
        <v>50</v>
      </c>
      <c r="F8" s="54" t="n">
        <v>47</v>
      </c>
      <c r="G8" s="54" t="n">
        <v>186</v>
      </c>
      <c r="H8" s="54" t="n">
        <v>169</v>
      </c>
      <c r="I8" s="54" t="n">
        <v>144</v>
      </c>
      <c r="J8" s="54" t="n">
        <v>153</v>
      </c>
      <c r="K8" s="54" t="n">
        <v>125</v>
      </c>
      <c r="L8" s="54" t="n">
        <v>206</v>
      </c>
      <c r="M8" s="54" t="n">
        <v>129</v>
      </c>
      <c r="N8" s="54" t="n">
        <v>79</v>
      </c>
      <c r="O8" s="67">
        <f>SUM(C8:N8)</f>
        <v/>
      </c>
      <c r="Q8" s="68" t="inlineStr">
        <is>
          <t>Abonnés au 01/01/2024</t>
        </is>
      </c>
      <c r="R8" s="69" t="n">
        <v>1067</v>
      </c>
    </row>
    <row r="9">
      <c r="B9" s="66" t="n">
        <v>2025</v>
      </c>
      <c r="C9" s="54" t="n">
        <v>132</v>
      </c>
      <c r="D9" s="54" t="n">
        <v>102</v>
      </c>
      <c r="E9" s="54" t="n">
        <v>144</v>
      </c>
      <c r="F9" s="54" t="n">
        <v>108</v>
      </c>
      <c r="G9" s="54" t="n">
        <v>191</v>
      </c>
      <c r="H9" s="54" t="n">
        <v>162</v>
      </c>
      <c r="I9" s="54" t="n">
        <v>88</v>
      </c>
      <c r="J9" s="54" t="n">
        <v>113</v>
      </c>
      <c r="K9" s="54" t="n">
        <v>93</v>
      </c>
      <c r="L9" s="54" t="n">
        <v>108</v>
      </c>
      <c r="M9" s="54" t="n">
        <v>65</v>
      </c>
      <c r="N9" s="54" t="n">
        <v>40</v>
      </c>
      <c r="O9" s="67">
        <f>SUM(C9:N9)</f>
        <v/>
      </c>
      <c r="Q9" s="68" t="inlineStr">
        <is>
          <t>Abonnés au 31/12/2024 (relevé)</t>
        </is>
      </c>
      <c r="R9" s="69" t="n">
        <v>2397</v>
      </c>
    </row>
    <row r="10">
      <c r="B10" s="66" t="n">
        <v>2026</v>
      </c>
      <c r="C10" s="54" t="n">
        <v>47</v>
      </c>
      <c r="D10" s="54" t="n">
        <v>91</v>
      </c>
      <c r="E10" s="54" t="n">
        <v>124</v>
      </c>
      <c r="F10" s="54" t="n">
        <v>142</v>
      </c>
      <c r="G10" s="54" t="n">
        <v>125</v>
      </c>
      <c r="H10" s="54" t="n">
        <v>68</v>
      </c>
      <c r="I10" s="54" t="n">
        <v>70</v>
      </c>
      <c r="J10" s="54" t="n">
        <v>23</v>
      </c>
      <c r="K10" s="54" t="n">
        <v>68</v>
      </c>
      <c r="L10" s="54" t="n">
        <v>123</v>
      </c>
      <c r="M10" s="54" t="n"/>
      <c r="N10" s="54" t="n"/>
      <c r="O10" s="67">
        <f>SUM(C10:N10)</f>
        <v/>
      </c>
      <c r="Q10" s="68" t="inlineStr">
        <is>
          <t>Abonnés au 31/12/2025 (relevé)</t>
        </is>
      </c>
      <c r="R10" s="69" t="n">
        <v>3743</v>
      </c>
    </row>
    <row r="11">
      <c r="Q11" s="68" t="inlineStr">
        <is>
          <t>Abonnés actuels</t>
        </is>
      </c>
      <c r="R11" s="70">
        <f>R10+SUM(C10:N10)</f>
        <v/>
      </c>
    </row>
    <row r="12">
      <c r="B12" s="27" t="inlineStr">
        <is>
          <t>ABONNÉS CUMULÉS</t>
        </is>
      </c>
      <c r="Q12" s="68" t="inlineStr">
        <is>
          <t>Croissance 2026 (à date)</t>
        </is>
      </c>
      <c r="R12" s="71">
        <f>R11-R10</f>
        <v/>
      </c>
    </row>
    <row r="13" ht="24" customHeight="1">
      <c r="B13" s="28" t="inlineStr">
        <is>
          <t>Année</t>
        </is>
      </c>
      <c r="C13" s="28" t="inlineStr">
        <is>
          <t>Janv.</t>
        </is>
      </c>
      <c r="D13" s="28" t="inlineStr">
        <is>
          <t>Févr.</t>
        </is>
      </c>
      <c r="E13" s="28" t="inlineStr">
        <is>
          <t>Mars</t>
        </is>
      </c>
      <c r="F13" s="28" t="inlineStr">
        <is>
          <t>Avri.</t>
        </is>
      </c>
      <c r="G13" s="28" t="inlineStr">
        <is>
          <t>Mai</t>
        </is>
      </c>
      <c r="H13" s="28" t="inlineStr">
        <is>
          <t>Juin</t>
        </is>
      </c>
      <c r="I13" s="28" t="inlineStr">
        <is>
          <t>Juil.</t>
        </is>
      </c>
      <c r="J13" s="28" t="inlineStr">
        <is>
          <t>Août</t>
        </is>
      </c>
      <c r="K13" s="28" t="inlineStr">
        <is>
          <t>Sept.</t>
        </is>
      </c>
      <c r="L13" s="28" t="inlineStr">
        <is>
          <t>Octo.</t>
        </is>
      </c>
      <c r="M13" s="28" t="inlineStr">
        <is>
          <t>Nove.</t>
        </is>
      </c>
      <c r="N13" s="28" t="inlineStr">
        <is>
          <t>Déce.</t>
        </is>
      </c>
      <c r="Q13" s="68" t="inlineStr">
        <is>
          <t>Croissance 2025</t>
        </is>
      </c>
      <c r="R13" s="71">
        <f>R10-R9</f>
        <v/>
      </c>
    </row>
    <row r="14">
      <c r="B14" s="66" t="n">
        <v>2024</v>
      </c>
      <c r="C14" s="35">
        <f>IF(C8="",NA(),$R$8+SUM($C8:C8))</f>
        <v/>
      </c>
      <c r="D14" s="35">
        <f>IF(D8="",NA(),$R$8+SUM($C8:D8))</f>
        <v/>
      </c>
      <c r="E14" s="35">
        <f>IF(E8="",NA(),$R$8+SUM($C8:E8))</f>
        <v/>
      </c>
      <c r="F14" s="35">
        <f>IF(F8="",NA(),$R$8+SUM($C8:F8))</f>
        <v/>
      </c>
      <c r="G14" s="35">
        <f>IF(G8="",NA(),$R$8+SUM($C8:G8))</f>
        <v/>
      </c>
      <c r="H14" s="35">
        <f>IF(H8="",NA(),$R$8+SUM($C8:H8))</f>
        <v/>
      </c>
      <c r="I14" s="35">
        <f>IF(I8="",NA(),$R$8+SUM($C8:I8))</f>
        <v/>
      </c>
      <c r="J14" s="35">
        <f>IF(J8="",NA(),$R$8+SUM($C8:J8))</f>
        <v/>
      </c>
      <c r="K14" s="35">
        <f>IF(K8="",NA(),$R$8+SUM($C8:K8))</f>
        <v/>
      </c>
      <c r="L14" s="35">
        <f>IF(L8="",NA(),$R$8+SUM($C8:L8))</f>
        <v/>
      </c>
      <c r="M14" s="35">
        <f>IF(M8="",NA(),$R$8+SUM($C8:M8))</f>
        <v/>
      </c>
      <c r="N14" s="35">
        <f>IF(N8="",NA(),$R$8+SUM($C8:N8))</f>
        <v/>
      </c>
      <c r="Q14" s="68" t="inlineStr">
        <is>
          <t>Nouveaux abonnés / mois en 2026 (moyenne)</t>
        </is>
      </c>
      <c r="R14" s="72">
        <f>IFERROR(AVERAGE(C10:N10),0)</f>
        <v/>
      </c>
    </row>
    <row r="15">
      <c r="B15" s="66" t="n">
        <v>2025</v>
      </c>
      <c r="C15" s="35">
        <f>IF(C9="",NA(),$R$9+SUM($C9:C9))</f>
        <v/>
      </c>
      <c r="D15" s="35">
        <f>IF(D9="",NA(),$R$9+SUM($C9:D9))</f>
        <v/>
      </c>
      <c r="E15" s="35">
        <f>IF(E9="",NA(),$R$9+SUM($C9:E9))</f>
        <v/>
      </c>
      <c r="F15" s="35">
        <f>IF(F9="",NA(),$R$9+SUM($C9:F9))</f>
        <v/>
      </c>
      <c r="G15" s="35">
        <f>IF(G9="",NA(),$R$9+SUM($C9:G9))</f>
        <v/>
      </c>
      <c r="H15" s="35">
        <f>IF(H9="",NA(),$R$9+SUM($C9:H9))</f>
        <v/>
      </c>
      <c r="I15" s="35">
        <f>IF(I9="",NA(),$R$9+SUM($C9:I9))</f>
        <v/>
      </c>
      <c r="J15" s="35">
        <f>IF(J9="",NA(),$R$9+SUM($C9:J9))</f>
        <v/>
      </c>
      <c r="K15" s="35">
        <f>IF(K9="",NA(),$R$9+SUM($C9:K9))</f>
        <v/>
      </c>
      <c r="L15" s="35">
        <f>IF(L9="",NA(),$R$9+SUM($C9:L9))</f>
        <v/>
      </c>
      <c r="M15" s="35">
        <f>IF(M9="",NA(),$R$9+SUM($C9:M9))</f>
        <v/>
      </c>
      <c r="N15" s="35">
        <f>IF(N9="",NA(),$R$9+SUM($C9:N9))</f>
        <v/>
      </c>
      <c r="Q15" s="68" t="inlineStr">
        <is>
          <t>Objectif 2026</t>
        </is>
      </c>
      <c r="R15" s="69" t="n">
        <v>5000</v>
      </c>
    </row>
    <row r="16">
      <c r="B16" s="66" t="n">
        <v>2026</v>
      </c>
      <c r="C16" s="35">
        <f>IF(C10="",NA(),$R$10+SUM($C10:C10))</f>
        <v/>
      </c>
      <c r="D16" s="35">
        <f>IF(D10="",NA(),$R$10+SUM($C10:D10))</f>
        <v/>
      </c>
      <c r="E16" s="35">
        <f>IF(E10="",NA(),$R$10+SUM($C10:E10))</f>
        <v/>
      </c>
      <c r="F16" s="35">
        <f>IF(F10="",NA(),$R$10+SUM($C10:F10))</f>
        <v/>
      </c>
      <c r="G16" s="35">
        <f>IF(G10="",NA(),$R$10+SUM($C10:G10))</f>
        <v/>
      </c>
      <c r="H16" s="35">
        <f>IF(H10="",NA(),$R$10+SUM($C10:H10))</f>
        <v/>
      </c>
      <c r="I16" s="35">
        <f>IF(I10="",NA(),$R$10+SUM($C10:I10))</f>
        <v/>
      </c>
      <c r="J16" s="35">
        <f>IF(J10="",NA(),$R$10+SUM($C10:J10))</f>
        <v/>
      </c>
      <c r="K16" s="35">
        <f>IF(K10="",NA(),$R$10+SUM($C10:K10))</f>
        <v/>
      </c>
      <c r="L16" s="35">
        <f>IF(L10="",NA(),$R$10+SUM($C10:L10))</f>
        <v/>
      </c>
      <c r="M16" s="35">
        <f>IF(M10="",NA(),$R$10+SUM($C10:M10))</f>
        <v/>
      </c>
      <c r="N16" s="35">
        <f>IF(N10="",NA(),$R$10+SUM($C10:N10))</f>
        <v/>
      </c>
      <c r="Q16" s="68" t="inlineStr">
        <is>
          <t>Restant à atteindre</t>
        </is>
      </c>
      <c r="R16" s="70">
        <f>MAX(R15-R11,0)</f>
        <v/>
      </c>
    </row>
    <row r="17">
      <c r="Q17" s="68" t="inlineStr">
        <is>
          <t>% de l'objectif atteint</t>
        </is>
      </c>
      <c r="R17" s="73">
        <f>R11/R15</f>
        <v/>
      </c>
    </row>
    <row r="18">
      <c r="Q18" s="68" t="inlineStr">
        <is>
          <t>Projection fin 2026 (rythme actuel)</t>
        </is>
      </c>
      <c r="R18" s="70">
        <f>R11+R14*(12-COUNT(C10:N10))</f>
        <v/>
      </c>
    </row>
    <row r="19">
      <c r="Q19" s="68" t="inlineStr">
        <is>
          <t>Même période 2025 (nouveaux abonnés)</t>
        </is>
      </c>
      <c r="R19" s="70">
        <f>SUMPRODUCT((C10:N10&lt;&gt;"")*C9:N9)</f>
        <v/>
      </c>
    </row>
    <row r="20">
      <c r="Q20" s="68" t="inlineStr">
        <is>
          <t>Évolution vs même période 2025</t>
        </is>
      </c>
      <c r="R20" s="74">
        <f>IFERROR(R12/R19-1,"")</f>
        <v/>
      </c>
    </row>
    <row r="22">
      <c r="Q22" s="75" t="inlineStr">
        <is>
          <t>Note : le relevé au 31/12/2024 (2 397) est inférieur de 6 au calcul (1 067 + 1 336 = 2 403), l’écart correspond probablement à des désabonnements.</t>
        </is>
      </c>
    </row>
    <row r="23"/>
    <row r="24"/>
    <row r="25"/>
  </sheetData>
  <mergeCells count="1">
    <mergeCell ref="Q22:R25"/>
  </mergeCells>
  <conditionalFormatting sqref="C14:N16">
    <cfRule type="expression" priority="1" dxfId="5">
      <formula>ISNA(C14)</formula>
    </cfRule>
  </conditionalFormatting>
  <conditionalFormatting sqref="R17">
    <cfRule type="dataBar" priority="2">
      <dataBar>
        <cfvo type="num" val="0"/>
        <cfvo type="num" val="1"/>
        <color rgb="001CB2FE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A6B7F"/>
    <outlinePr summaryBelow="1" summaryRight="1"/>
    <pageSetUpPr fitToPage="1"/>
  </sheetPr>
  <dimension ref="A1:I19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22" customWidth="1" min="4" max="4"/>
    <col width="13" customWidth="1" min="5" max="5"/>
    <col width="26" customWidth="1" min="6" max="6"/>
    <col width="12" customWidth="1" min="7" max="7"/>
    <col width="46" customWidth="1" min="8" max="8"/>
    <col width="18" customWidth="1" min="9" max="9"/>
  </cols>
  <sheetData>
    <row r="1" ht="34" customHeight="1">
      <c r="A1" s="1" t="n"/>
      <c r="B1" s="2" t="inlineStr">
        <is>
          <t>Salons et événements</t>
        </is>
      </c>
      <c r="C1" s="1" t="n"/>
      <c r="D1" s="1" t="n"/>
      <c r="E1" s="1" t="n"/>
      <c r="F1" s="1" t="n"/>
      <c r="G1" s="1" t="n"/>
      <c r="H1" s="1" t="n"/>
      <c r="I1" s="1" t="n"/>
    </row>
    <row r="2" ht="18" customHeight="1">
      <c r="A2" s="1" t="n"/>
      <c r="B2" s="3" t="inlineStr">
        <is>
          <t>Suivi des salons confirmés, du lieu et du nombre de posts LinkedIn liés (calcul automatique via le mot-clé).</t>
        </is>
      </c>
      <c r="C2" s="1" t="n"/>
      <c r="D2" s="1" t="n"/>
      <c r="E2" s="1" t="n"/>
      <c r="F2" s="1" t="n"/>
      <c r="G2" s="1" t="n"/>
      <c r="H2" s="1" t="n"/>
      <c r="I2" s="1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6" ht="26" customHeight="1">
      <c r="B6" s="28" t="inlineStr">
        <is>
          <t>Événement</t>
        </is>
      </c>
      <c r="C6" s="28" t="inlineStr">
        <is>
          <t>Type</t>
        </is>
      </c>
      <c r="D6" s="28" t="inlineStr">
        <is>
          <t>Période</t>
        </is>
      </c>
      <c r="E6" s="28" t="inlineStr">
        <is>
          <t>Statut</t>
        </is>
      </c>
      <c r="F6" s="28" t="inlineStr">
        <is>
          <t>Lieu</t>
        </is>
      </c>
      <c r="G6" s="28" t="inlineStr">
        <is>
          <t>Posts liés</t>
        </is>
      </c>
      <c r="H6" s="28" t="inlineStr">
        <is>
          <t>Remarque</t>
        </is>
      </c>
      <c r="I6" s="28" t="inlineStr">
        <is>
          <t>Mot-clé</t>
        </is>
      </c>
    </row>
    <row r="7" ht="24" customHeight="1">
      <c r="B7" s="76" t="inlineStr">
        <is>
          <t>Journées de la Géothermie</t>
        </is>
      </c>
      <c r="C7" s="77" t="inlineStr">
        <is>
          <t>Salon</t>
        </is>
      </c>
      <c r="D7" s="78" t="inlineStr">
        <is>
          <t>Février 2026</t>
        </is>
      </c>
      <c r="E7" s="78" t="inlineStr">
        <is>
          <t>À valider</t>
        </is>
      </c>
      <c r="F7" s="79" t="inlineStr"/>
      <c r="G7" s="80">
        <f>IF(I7="","",COUNTIF('Posts LinkedIn'!$B$7:$B$66,"*"&amp;I7&amp;"*"))</f>
        <v/>
      </c>
      <c r="H7" s="79" t="inlineStr"/>
      <c r="I7" s="78" t="inlineStr"/>
    </row>
    <row r="8" ht="24" customHeight="1">
      <c r="B8" s="81" t="inlineStr">
        <is>
          <t>GeoTHERM 2026</t>
        </is>
      </c>
      <c r="C8" s="82" t="inlineStr">
        <is>
          <t>Salon</t>
        </is>
      </c>
      <c r="D8" s="83" t="inlineStr">
        <is>
          <t>Février 2026</t>
        </is>
      </c>
      <c r="E8" s="83" t="inlineStr">
        <is>
          <t>Réalisé</t>
        </is>
      </c>
      <c r="F8" s="84" t="inlineStr">
        <is>
          <t>Offenburg (Allemagne)</t>
        </is>
      </c>
      <c r="G8" s="85">
        <f>IF(I8="","",COUNTIF('Posts LinkedIn'!$B$7:$B$66,"*"&amp;I8&amp;"*"))</f>
        <v/>
      </c>
      <c r="H8" s="84" t="inlineStr">
        <is>
          <t>Annonce et retour publiés.</t>
        </is>
      </c>
      <c r="I8" s="83" t="inlineStr">
        <is>
          <t>GeoTHERM</t>
        </is>
      </c>
    </row>
    <row r="9" ht="24" customHeight="1">
      <c r="B9" s="76" t="inlineStr">
        <is>
          <t>Think GeoEnergy</t>
        </is>
      </c>
      <c r="C9" s="77" t="inlineStr">
        <is>
          <t>Salon</t>
        </is>
      </c>
      <c r="D9" s="78" t="inlineStr">
        <is>
          <t>Mars 2026</t>
        </is>
      </c>
      <c r="E9" s="78" t="inlineStr">
        <is>
          <t>À valider</t>
        </is>
      </c>
      <c r="F9" s="79" t="inlineStr"/>
      <c r="G9" s="80">
        <f>IF(I9="","",COUNTIF('Posts LinkedIn'!$B$7:$B$66,"*"&amp;I9&amp;"*"))</f>
        <v/>
      </c>
      <c r="H9" s="79" t="inlineStr"/>
      <c r="I9" s="78" t="inlineStr"/>
    </row>
    <row r="10" ht="24" customHeight="1">
      <c r="B10" s="81" t="inlineStr">
        <is>
          <t>GeoRin</t>
        </is>
      </c>
      <c r="C10" s="82" t="inlineStr">
        <is>
          <t>Salon</t>
        </is>
      </c>
      <c r="D10" s="83" t="inlineStr">
        <is>
          <t>Avril 2026</t>
        </is>
      </c>
      <c r="E10" s="83" t="inlineStr">
        <is>
          <t>À valider</t>
        </is>
      </c>
      <c r="F10" s="84" t="inlineStr"/>
      <c r="G10" s="85">
        <f>IF(I10="","",COUNTIF('Posts LinkedIn'!$B$7:$B$66,"*"&amp;I10&amp;"*"))</f>
        <v/>
      </c>
      <c r="H10" s="84" t="inlineStr"/>
      <c r="I10" s="83" t="inlineStr"/>
    </row>
    <row r="11" ht="24" customHeight="1">
      <c r="B11" s="76" t="inlineStr">
        <is>
          <t>WPC Energy Congress</t>
        </is>
      </c>
      <c r="C11" s="77" t="inlineStr">
        <is>
          <t>Salon</t>
        </is>
      </c>
      <c r="D11" s="78" t="inlineStr">
        <is>
          <t>Avril 2026</t>
        </is>
      </c>
      <c r="E11" s="78" t="inlineStr">
        <is>
          <t>À valider</t>
        </is>
      </c>
      <c r="F11" s="79" t="inlineStr"/>
      <c r="G11" s="80">
        <f>IF(I11="","",COUNTIF('Posts LinkedIn'!$B$7:$B$66,"*"&amp;I11&amp;"*"))</f>
        <v/>
      </c>
      <c r="H11" s="79" t="inlineStr"/>
      <c r="I11" s="78" t="inlineStr"/>
    </row>
    <row r="12" ht="24" customHeight="1">
      <c r="B12" s="81" t="inlineStr">
        <is>
          <t>World Hydrogen Summit &amp; Exhibition</t>
        </is>
      </c>
      <c r="C12" s="82" t="inlineStr">
        <is>
          <t>Salon</t>
        </is>
      </c>
      <c r="D12" s="83" t="inlineStr">
        <is>
          <t>Mai 2026</t>
        </is>
      </c>
      <c r="E12" s="83" t="inlineStr">
        <is>
          <t>À valider</t>
        </is>
      </c>
      <c r="F12" s="84" t="inlineStr"/>
      <c r="G12" s="85">
        <f>IF(I12="","",COUNTIF('Posts LinkedIn'!$B$7:$B$66,"*"&amp;I12&amp;"*"))</f>
        <v/>
      </c>
      <c r="H12" s="84" t="inlineStr"/>
      <c r="I12" s="83" t="inlineStr"/>
    </row>
    <row r="13" ht="24" customHeight="1">
      <c r="B13" s="76" t="inlineStr">
        <is>
          <t>Geodays</t>
        </is>
      </c>
      <c r="C13" s="77" t="inlineStr">
        <is>
          <t>Salon</t>
        </is>
      </c>
      <c r="D13" s="78" t="inlineStr">
        <is>
          <t>Juin 2026</t>
        </is>
      </c>
      <c r="E13" s="78" t="inlineStr">
        <is>
          <t>Réalisé</t>
        </is>
      </c>
      <c r="F13" s="79" t="inlineStr"/>
      <c r="G13" s="80">
        <f>IF(I13="","",COUNTIF('Posts LinkedIn'!$B$7:$B$66,"*"&amp;I13&amp;"*"))</f>
        <v/>
      </c>
      <c r="H13" s="79" t="inlineStr">
        <is>
          <t>Annonce et retour publiés.</t>
        </is>
      </c>
      <c r="I13" s="78" t="inlineStr">
        <is>
          <t>Geodays</t>
        </is>
      </c>
    </row>
    <row r="14" ht="24" customHeight="1">
      <c r="B14" s="81" t="inlineStr">
        <is>
          <t>GEOFLUID</t>
        </is>
      </c>
      <c r="C14" s="82" t="inlineStr">
        <is>
          <t>Salon</t>
        </is>
      </c>
      <c r="D14" s="83" t="inlineStr">
        <is>
          <t>9 octobre 2026</t>
        </is>
      </c>
      <c r="E14" s="83" t="inlineStr">
        <is>
          <t>Réalisé</t>
        </is>
      </c>
      <c r="F14" s="84" t="inlineStr">
        <is>
          <t>Piacenza (Italie)</t>
        </is>
      </c>
      <c r="G14" s="85">
        <f>IF(I14="","",COUNTIF('Posts LinkedIn'!$B$7:$B$66,"*"&amp;I14&amp;"*"))</f>
        <v/>
      </c>
      <c r="H14" s="84" t="inlineStr">
        <is>
          <t>Représentant : Luigi Liberatore.</t>
        </is>
      </c>
      <c r="I14" s="83" t="inlineStr">
        <is>
          <t>GEOFLUID</t>
        </is>
      </c>
    </row>
    <row r="15" ht="24" customHeight="1">
      <c r="B15" s="76" t="inlineStr">
        <is>
          <t>Journée mondiale de l’énergie</t>
        </is>
      </c>
      <c r="C15" s="77" t="inlineStr">
        <is>
          <t>Temps fort</t>
        </is>
      </c>
      <c r="D15" s="78" t="inlineStr">
        <is>
          <t>16 octobre 2026</t>
        </is>
      </c>
      <c r="E15" s="78" t="inlineStr">
        <is>
          <t>Réalisé</t>
        </is>
      </c>
      <c r="F15" s="79" t="inlineStr"/>
      <c r="G15" s="80">
        <f>IF(I15="","",COUNTIF('Posts LinkedIn'!$B$7:$B$66,"*"&amp;I15&amp;"*"))</f>
        <v/>
      </c>
      <c r="H15" s="79" t="inlineStr"/>
      <c r="I15" s="78" t="inlineStr">
        <is>
          <t>énergie</t>
        </is>
      </c>
    </row>
    <row r="16" ht="24" customHeight="1">
      <c r="B16" s="81" t="inlineStr">
        <is>
          <t>Octobre rose</t>
        </is>
      </c>
      <c r="C16" s="82" t="inlineStr">
        <is>
          <t>Temps fort</t>
        </is>
      </c>
      <c r="D16" s="83" t="inlineStr">
        <is>
          <t>Octobre 2026</t>
        </is>
      </c>
      <c r="E16" s="83" t="inlineStr">
        <is>
          <t>Réalisé</t>
        </is>
      </c>
      <c r="F16" s="84" t="inlineStr"/>
      <c r="G16" s="85">
        <f>IF(I16="","",COUNTIF('Posts LinkedIn'!$B$7:$B$66,"*"&amp;I16&amp;"*"))</f>
        <v/>
      </c>
      <c r="H16" s="84" t="inlineStr"/>
      <c r="I16" s="83" t="inlineStr">
        <is>
          <t>Octobre Rose</t>
        </is>
      </c>
    </row>
    <row r="17" ht="24" customHeight="1">
      <c r="B17" s="76" t="inlineStr">
        <is>
          <t>ADIPEC 2026</t>
        </is>
      </c>
      <c r="C17" s="77" t="inlineStr">
        <is>
          <t>Salon</t>
        </is>
      </c>
      <c r="D17" s="78" t="inlineStr">
        <is>
          <t>2-5 novembre 2026</t>
        </is>
      </c>
      <c r="E17" s="78" t="inlineStr">
        <is>
          <t>Confirmé</t>
        </is>
      </c>
      <c r="F17" s="79" t="inlineStr">
        <is>
          <t>Abu Dhabi (ADNEC)</t>
        </is>
      </c>
      <c r="G17" s="80">
        <f>IF(I17="","",COUNTIF('Posts LinkedIn'!$B$7:$B$66,"*"&amp;I17&amp;"*"))</f>
        <v/>
      </c>
      <c r="H17" s="79" t="inlineStr">
        <is>
          <t>Post d’annonce à publier avant le 2 novembre.</t>
        </is>
      </c>
      <c r="I17" s="78" t="inlineStr">
        <is>
          <t>ADIPEC</t>
        </is>
      </c>
    </row>
    <row r="18" ht="24" customHeight="1">
      <c r="B18" s="81" t="inlineStr">
        <is>
          <t>Movember</t>
        </is>
      </c>
      <c r="C18" s="82" t="inlineStr">
        <is>
          <t>Temps fort</t>
        </is>
      </c>
      <c r="D18" s="83" t="inlineStr">
        <is>
          <t>Novembre 2026</t>
        </is>
      </c>
      <c r="E18" s="83" t="inlineStr">
        <is>
          <t>Confirmé</t>
        </is>
      </c>
      <c r="F18" s="84" t="inlineStr"/>
      <c r="G18" s="85">
        <f>IF(I18="","",COUNTIF('Posts LinkedIn'!$B$7:$B$66,"*"&amp;I18&amp;"*"))</f>
        <v/>
      </c>
      <c r="H18" s="84" t="inlineStr"/>
      <c r="I18" s="83" t="inlineStr">
        <is>
          <t>Movember</t>
        </is>
      </c>
    </row>
    <row r="19" ht="24" customHeight="1">
      <c r="B19" s="76" t="inlineStr">
        <is>
          <t>GeoTHERM 2027</t>
        </is>
      </c>
      <c r="C19" s="77" t="inlineStr">
        <is>
          <t>Salon</t>
        </is>
      </c>
      <c r="D19" s="78" t="inlineStr">
        <is>
          <t>25-26 février 2027</t>
        </is>
      </c>
      <c r="E19" s="78" t="inlineStr">
        <is>
          <t>Confirmé</t>
        </is>
      </c>
      <c r="F19" s="79" t="inlineStr">
        <is>
          <t>Offenburg (Allemagne)</t>
        </is>
      </c>
      <c r="G19" s="80">
        <f>IF(I19="","",COUNTIF('Posts LinkedIn'!$B$7:$B$66,"*"&amp;I19&amp;"*"))</f>
        <v/>
      </c>
      <c r="H19" s="79" t="inlineStr">
        <is>
          <t>Stand 274 (18 m²), co-exposant Fixndril.</t>
        </is>
      </c>
      <c r="I19" s="78" t="inlineStr">
        <is>
          <t>GeoTHERM 2027</t>
        </is>
      </c>
    </row>
  </sheetData>
  <conditionalFormatting sqref="E7:E40">
    <cfRule type="expression" priority="1" dxfId="6">
      <formula>E7="Réalisé"</formula>
    </cfRule>
    <cfRule type="expression" priority="2" dxfId="7">
      <formula>E7="Confirmé"</formula>
    </cfRule>
    <cfRule type="expression" priority="3" dxfId="8">
      <formula>E7="Annulé"</formula>
    </cfRule>
  </conditionalFormatting>
  <dataValidations count="2">
    <dataValidation sqref="E7:E40" showDropDown="0" showInputMessage="0" showErrorMessage="0" allowBlank="1" type="list">
      <formula1>"Confirmé,Réalisé,Annulé,À valider"</formula1>
    </dataValidation>
    <dataValidation sqref="C7:C40" showDropDown="0" showInputMessage="0" showErrorMessage="0" allowBlank="1" type="list">
      <formula1>"Salon,Temps fort,Conférence"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2026-10-27T07:15:07Z</dcterms:created>
  <dcterms:modified xmlns:dcterms="http://purl.org/dc/terms/" xmlns:xsi="http://www.w3.org/2001/XMLSchema-instance" xsi:type="dcterms:W3CDTF">2026-10-27T07:15:07Z</dcterms:modified>
</cp:coreProperties>
</file>