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ticket" sheetId="1" state="visible" r:id="rId1"/>
    <sheet xmlns:r="http://schemas.openxmlformats.org/officeDocument/2006/relationships" name="Listes" sheetId="2" state="visible" r:id="rId2"/>
  </sheets>
  <definedNames>
    <definedName name="_xlnm.Print_Titles" localSheetId="0">'Service ticket'!$A:$L</definedName>
    <definedName name="_xlnm.Print_Area" localSheetId="0">'Service ticket'!$A$1:$DA$58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FFFFFF"/>
      <sz val="20"/>
    </font>
    <font>
      <name val="Calibri"/>
      <color rgb="009FD8F5"/>
      <sz val="11"/>
    </font>
    <font>
      <name val="Calibri"/>
      <b val="1"/>
      <color rgb="0051647A"/>
      <sz val="7.5"/>
    </font>
    <font>
      <name val="Calibri"/>
      <b val="1"/>
      <color rgb="000A4FA0"/>
      <sz val="11"/>
    </font>
    <font>
      <name val="Calibri"/>
      <b val="1"/>
      <color rgb="0008203F"/>
      <sz val="11"/>
    </font>
    <font>
      <name val="Calibri"/>
      <b val="1"/>
      <color rgb="00E2231A"/>
      <sz val="9"/>
    </font>
    <font>
      <name val="Calibri"/>
      <b val="1"/>
      <color rgb="0008203F"/>
      <sz val="8.5"/>
    </font>
    <font>
      <name val="Calibri"/>
      <b val="1"/>
      <color rgb="00FFFFFF"/>
      <sz val="10"/>
    </font>
    <font>
      <name val="Calibri"/>
      <color rgb="0008203F"/>
      <sz val="7.5"/>
    </font>
    <font>
      <name val="Calibri"/>
      <b val="1"/>
      <color rgb="0008203F"/>
      <sz val="8"/>
    </font>
    <font>
      <name val="Calibri"/>
      <color rgb="000A4FA0"/>
      <sz val="10"/>
    </font>
    <font>
      <name val="Calibri"/>
      <b val="1"/>
      <color rgb="000B1B2E"/>
      <sz val="7.5"/>
    </font>
    <font>
      <name val="Calibri"/>
      <color rgb="00B8C4D2"/>
      <sz val="7"/>
    </font>
    <font>
      <name val="Calibri"/>
      <b val="1"/>
      <color rgb="000B1B2E"/>
      <sz val="10"/>
    </font>
    <font>
      <name val="Calibri"/>
      <color rgb="000B1B2E"/>
      <sz val="10"/>
    </font>
    <font>
      <name val="Calibri"/>
      <color rgb="000B1B2E"/>
      <sz val="10.5"/>
    </font>
    <font>
      <name val="Calibri"/>
      <color rgb="0051647A"/>
      <sz val="8"/>
    </font>
    <font>
      <name val="Calibri"/>
      <b val="1"/>
      <color rgb="000B1B2E"/>
      <sz val="10.5"/>
    </font>
    <font>
      <name val="Calibri"/>
      <b val="1"/>
      <color rgb="00FFFFFF"/>
      <sz val="12"/>
    </font>
    <font>
      <name val="Calibri"/>
      <i val="1"/>
      <color rgb="0051647A"/>
      <sz val="9.5"/>
    </font>
    <font>
      <name val="Calibri"/>
      <b val="1"/>
      <color rgb="00FFFFFF"/>
      <sz val="11"/>
    </font>
    <font>
      <name val="Calibri"/>
      <b val="1"/>
      <color rgb="0051647A"/>
      <sz val="8"/>
    </font>
  </fonts>
  <fills count="9">
    <fill>
      <patternFill/>
    </fill>
    <fill>
      <patternFill patternType="gray125"/>
    </fill>
    <fill>
      <patternFill patternType="solid">
        <fgColor rgb="0008203F"/>
        <bgColor rgb="0008203F"/>
      </patternFill>
    </fill>
    <fill>
      <patternFill patternType="solid">
        <fgColor rgb="0000AEEF"/>
        <bgColor rgb="0000AEEF"/>
      </patternFill>
    </fill>
    <fill>
      <patternFill patternType="solid">
        <fgColor rgb="00EAF6FD"/>
        <bgColor rgb="00EAF6FD"/>
      </patternFill>
    </fill>
    <fill>
      <patternFill patternType="solid">
        <fgColor rgb="000A4FA0"/>
        <bgColor rgb="000A4FA0"/>
      </patternFill>
    </fill>
    <fill>
      <patternFill patternType="solid">
        <fgColor rgb="00DCE8F5"/>
        <bgColor rgb="00DCE8F5"/>
      </patternFill>
    </fill>
    <fill>
      <patternFill patternType="solid">
        <fgColor rgb="00E8F0FA"/>
        <bgColor rgb="00E8F0FA"/>
      </patternFill>
    </fill>
    <fill>
      <patternFill patternType="solid">
        <fgColor rgb="00F4F7FA"/>
        <bgColor rgb="00F4F7FA"/>
      </patternFill>
    </fill>
  </fills>
  <borders count="12">
    <border>
      <left/>
      <right/>
      <top/>
      <bottom/>
      <diagonal/>
    </border>
    <border>
      <bottom style="thin">
        <color rgb="0000AEEF"/>
      </bottom>
    </border>
    <border>
      <bottom style="thin">
        <color rgb="00D5DEE8"/>
      </bottom>
    </border>
    <border>
      <left style="thin">
        <color rgb="00E6ECF3"/>
      </left>
      <right style="thin">
        <color rgb="00E6ECF3"/>
      </right>
      <bottom style="thin">
        <color rgb="00E6ECF3"/>
      </bottom>
    </border>
    <border>
      <left style="thin">
        <color rgb="00D5DEE8"/>
      </left>
      <top style="thin">
        <color rgb="00D5DEE8"/>
      </top>
    </border>
    <border>
      <top style="thin">
        <color rgb="00D5DEE8"/>
      </top>
    </border>
    <border>
      <right style="thin">
        <color rgb="00D5DEE8"/>
      </right>
      <top style="thin">
        <color rgb="00D5DEE8"/>
      </top>
    </border>
    <border>
      <left style="thin">
        <color rgb="00D5DEE8"/>
      </left>
    </border>
    <border/>
    <border>
      <right style="thin">
        <color rgb="00D5DEE8"/>
      </right>
    </border>
    <border>
      <left style="thin">
        <color rgb="00D5DEE8"/>
      </left>
      <bottom style="thin">
        <color rgb="00D5DEE8"/>
      </bottom>
    </border>
    <border>
      <right style="thin">
        <color rgb="00D5DEE8"/>
      </right>
      <bottom style="thin">
        <color rgb="00D5DEE8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4" fillId="0" borderId="0" applyAlignment="1" pivotButton="0" quotePrefix="0" xfId="0">
      <alignment vertical="bottom" indent="1"/>
    </xf>
    <xf numFmtId="0" fontId="5" fillId="4" borderId="1" applyAlignment="1" pivotButton="0" quotePrefix="0" xfId="0">
      <alignment horizontal="left" vertical="center" wrapText="1" indent="1"/>
    </xf>
    <xf numFmtId="0" fontId="0" fillId="4" borderId="1" pivotButton="0" quotePrefix="0" xfId="0"/>
    <xf numFmtId="164" fontId="5" fillId="4" borderId="1" applyAlignment="1" pivotButton="0" quotePrefix="0" xfId="0">
      <alignment horizontal="left" vertical="center" wrapText="1" indent="1"/>
    </xf>
    <xf numFmtId="1" fontId="6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0" fontId="9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9" fillId="2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 wrapText="1"/>
    </xf>
    <xf numFmtId="165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10" fillId="6" borderId="0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 indent="1"/>
    </xf>
    <xf numFmtId="0" fontId="0" fillId="7" borderId="0" pivotButton="0" quotePrefix="0" xfId="0"/>
    <xf numFmtId="0" fontId="11" fillId="7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4" borderId="2" applyAlignment="1" pivotButton="0" quotePrefix="0" xfId="0">
      <alignment horizontal="left" vertical="center" indent="1"/>
    </xf>
    <xf numFmtId="4" fontId="12" fillId="4" borderId="2" applyAlignment="1" pivotButton="0" quotePrefix="0" xfId="0">
      <alignment horizontal="center" vertical="center"/>
    </xf>
    <xf numFmtId="4" fontId="0" fillId="0" borderId="2" pivotButton="0" quotePrefix="0" xfId="0"/>
    <xf numFmtId="1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4" fontId="15" fillId="0" borderId="2" applyAlignment="1" pivotButton="0" quotePrefix="0" xfId="0">
      <alignment horizontal="right" vertical="center" indent="1"/>
    </xf>
    <xf numFmtId="0" fontId="13" fillId="0" borderId="3" applyAlignment="1" pivotButton="0" quotePrefix="0" xfId="0">
      <alignment horizontal="center" vertical="center"/>
    </xf>
    <xf numFmtId="0" fontId="14" fillId="0" borderId="0" pivotButton="0" quotePrefix="0" xfId="0"/>
    <xf numFmtId="0" fontId="12" fillId="4" borderId="2" applyAlignment="1" pivotButton="0" quotePrefix="0" xfId="0">
      <alignment horizontal="center" vertical="center"/>
    </xf>
    <xf numFmtId="1" fontId="13" fillId="0" borderId="3" applyAlignment="1" pivotButton="0" quotePrefix="0" xfId="0">
      <alignment horizontal="center" vertical="center"/>
    </xf>
    <xf numFmtId="0" fontId="0" fillId="8" borderId="0" pivotButton="0" quotePrefix="0" xfId="0"/>
    <xf numFmtId="0" fontId="17" fillId="0" borderId="2" applyAlignment="1" pivotButton="0" quotePrefix="0" xfId="0">
      <alignment vertical="center" indent="1"/>
    </xf>
    <xf numFmtId="0" fontId="18" fillId="0" borderId="2" applyAlignment="1" pivotButton="0" quotePrefix="0" xfId="0">
      <alignment horizontal="center" vertical="center"/>
    </xf>
    <xf numFmtId="4" fontId="19" fillId="0" borderId="2" applyAlignment="1" pivotButton="0" quotePrefix="0" xfId="0">
      <alignment horizontal="right" vertical="center" indent="1"/>
    </xf>
    <xf numFmtId="0" fontId="16" fillId="0" borderId="2" applyAlignment="1" pivotButton="0" quotePrefix="0" xfId="0">
      <alignment vertical="center" indent="1"/>
    </xf>
    <xf numFmtId="0" fontId="20" fillId="5" borderId="0" applyAlignment="1" pivotButton="0" quotePrefix="0" xfId="0">
      <alignment horizontal="left" vertical="center" indent="1"/>
    </xf>
    <xf numFmtId="0" fontId="20" fillId="5" borderId="0" applyAlignment="1" pivotButton="0" quotePrefix="0" xfId="0">
      <alignment horizontal="left" vertical="center"/>
    </xf>
    <xf numFmtId="4" fontId="20" fillId="5" borderId="0" applyAlignment="1" pivotButton="0" quotePrefix="0" xfId="0">
      <alignment horizontal="right" vertical="center" indent="1"/>
    </xf>
    <xf numFmtId="0" fontId="22" fillId="5" borderId="0" applyAlignment="1" pivotButton="0" quotePrefix="0" xfId="0">
      <alignment horizontal="left" vertical="center" indent="1"/>
    </xf>
    <xf numFmtId="0" fontId="22" fillId="5" borderId="0" applyAlignment="1" pivotButton="0" quotePrefix="0" xfId="0">
      <alignment horizontal="left" vertical="center"/>
    </xf>
    <xf numFmtId="4" fontId="22" fillId="5" borderId="0" applyAlignment="1" pivotButton="0" quotePrefix="0" xfId="0">
      <alignment horizontal="right" vertical="center" indent="1"/>
    </xf>
    <xf numFmtId="0" fontId="21" fillId="0" borderId="0" applyAlignment="1" pivotButton="0" quotePrefix="0" xfId="0">
      <alignment vertical="center" indent="1"/>
    </xf>
    <xf numFmtId="4" fontId="21" fillId="0" borderId="0" applyAlignment="1" pivotButton="0" quotePrefix="0" xfId="0">
      <alignment horizontal="right" indent="1"/>
    </xf>
    <xf numFmtId="0" fontId="23" fillId="0" borderId="4" applyAlignment="1" pivotButton="0" quotePrefix="0" xfId="0">
      <alignment vertical="top" inden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2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E3E6EA"/>
          <bgColor rgb="00E3E6EA"/>
        </patternFill>
      </fill>
    </dxf>
    <dxf>
      <font>
        <name val="Calibri"/>
        <b val="1"/>
        <color rgb="007A5B00"/>
      </font>
      <fill>
        <patternFill patternType="solid">
          <fgColor rgb="00FFE9A8"/>
          <bgColor rgb="00FFE9A8"/>
        </patternFill>
      </fill>
    </dxf>
    <dxf>
      <font>
        <name val="Calibri"/>
        <b val="1"/>
        <color rgb="000B5A2A"/>
      </font>
      <fill>
        <patternFill patternType="solid">
          <fgColor rgb="009EDDB0"/>
          <bgColor rgb="009EDDB0"/>
        </patternFill>
      </fill>
    </dxf>
    <dxf>
      <font>
        <name val="Calibri"/>
        <b val="1"/>
        <color rgb="004A5668"/>
      </font>
      <fill>
        <patternFill patternType="solid">
          <fgColor rgb="00D5DBE3"/>
          <bgColor rgb="00D5DBE3"/>
        </patternFill>
      </fill>
    </dxf>
    <dxf>
      <font>
        <name val="Calibri"/>
        <b val="1"/>
        <color rgb="008A1710"/>
      </font>
      <fill>
        <patternFill patternType="solid">
          <fgColor rgb="00F6B3AE"/>
          <bgColor rgb="00F6B3AE"/>
        </patternFill>
      </fill>
    </dxf>
    <dxf>
      <font>
        <name val="Calibri"/>
        <b val="1"/>
        <color rgb="007A3F00"/>
      </font>
      <fill>
        <patternFill patternType="solid">
          <fgColor rgb="00FBCB9A"/>
          <bgColor rgb="00FBCB9A"/>
        </patternFill>
      </fill>
    </dxf>
    <dxf>
      <font>
        <name val="Calibri"/>
        <b val="1"/>
        <color rgb="000A4FA0"/>
      </font>
      <fill>
        <patternFill patternType="solid">
          <fgColor rgb="00B9D8F5"/>
          <bgColor rgb="00B9D8F5"/>
        </patternFill>
      </fill>
    </dxf>
    <dxf>
      <fill>
        <patternFill patternType="solid">
          <fgColor rgb="00EEF2F6"/>
          <bgColor rgb="00EEF2F6"/>
        </patternFill>
      </fill>
    </dxf>
    <dxf>
      <font>
        <name val="Calibri"/>
        <b val="1"/>
        <color rgb="0008203F"/>
      </font>
      <fill>
        <patternFill patternType="solid">
          <fgColor rgb="00C9DAF0"/>
          <bgColor rgb="00C9DA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EA58"/>
  <sheetViews>
    <sheetView showGridLines="0" zoomScale="90" workbookViewId="0">
      <pane xSplit="3" ySplit="14" topLeftCell="D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7" customWidth="1" min="9" max="9"/>
    <col width="5" customWidth="1" min="10" max="10"/>
    <col width="5" customWidth="1" min="11" max="11"/>
    <col width="11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hidden="1" outlineLevel="1" width="4.2" customWidth="1" min="44" max="74"/>
    <col hidden="1" outlineLevel="1" width="4.2" customWidth="1" min="75" max="105"/>
    <col width="1.5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" t="inlineStr">
        <is>
          <t>SERVICE TICKET</t>
        </is>
      </c>
    </row>
    <row r="2" ht="2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>
        <f>IF(A6="","",A6&amp;"  ·  ")&amp;IF(G6="","","Dossier "&amp;G6)</f>
        <v/>
      </c>
    </row>
    <row r="3" ht="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</row>
    <row r="4" ht="8" customHeight="1"/>
    <row r="5" ht="15" customHeight="1">
      <c r="A5" s="5" t="inlineStr">
        <is>
          <t>CLIENT · CUSTOMER</t>
        </is>
      </c>
      <c r="C5" s="5" t="inlineStr">
        <is>
          <t>PUITS / CHANTIER · WELL</t>
        </is>
      </c>
      <c r="G5" s="5" t="inlineStr">
        <is>
          <t>DOSSIER N° · JOB</t>
        </is>
      </c>
      <c r="J5" s="5" t="inlineStr">
        <is>
          <t>PO / CONTRAT</t>
        </is>
      </c>
    </row>
    <row r="6" ht="24" customHeight="1">
      <c r="A6" s="6" t="n"/>
      <c r="B6" s="7" t="n"/>
      <c r="C6" s="6" t="n"/>
      <c r="D6" s="7" t="n"/>
      <c r="E6" s="7" t="n"/>
      <c r="F6" s="7" t="n"/>
      <c r="G6" s="6" t="n"/>
      <c r="H6" s="7" t="n"/>
      <c r="I6" s="7" t="n"/>
      <c r="J6" s="6" t="n"/>
      <c r="K6" s="7" t="n"/>
      <c r="L6" s="7" t="n"/>
    </row>
    <row r="7" ht="6" customHeight="1"/>
    <row r="8" ht="15" customHeight="1">
      <c r="A8" s="5" t="inlineStr">
        <is>
          <t>INGÉNIEUR ENEDRIL</t>
        </is>
      </c>
      <c r="C8" s="5" t="inlineStr">
        <is>
          <t>DATE DE DÉBUT · START DATE</t>
        </is>
      </c>
      <c r="G8" s="5" t="inlineStr">
        <is>
          <t>DATE DE FIN (3 MOIS MAX)</t>
        </is>
      </c>
      <c r="J8" s="5" t="inlineStr">
        <is>
          <t>DURÉE (JOURS)</t>
        </is>
      </c>
    </row>
    <row r="9" ht="24" customHeight="1">
      <c r="A9" s="6" t="n"/>
      <c r="B9" s="7" t="n"/>
      <c r="C9" s="8" t="n"/>
      <c r="D9" s="7" t="n"/>
      <c r="E9" s="7" t="n"/>
      <c r="F9" s="7" t="n"/>
      <c r="G9" s="8" t="n"/>
      <c r="H9" s="7" t="n"/>
      <c r="I9" s="7" t="n"/>
      <c r="J9" s="9">
        <f>IF(C9="","",$DC$9-C9+1)</f>
        <v/>
      </c>
      <c r="K9" s="10" t="n"/>
      <c r="L9" s="10" t="n"/>
      <c r="DC9">
        <f>IF($C$9="","",MIN(IF($G$9="",EOMONTH($C$9,0),MAX($G$9,$C$9)),EOMONTH($C$9,2)))</f>
        <v/>
      </c>
      <c r="DD9">
        <f>IF($C$9="",0,MAX(0,MIN($DC$9,EOMONTH($C$9,0))-$C$9+1))</f>
        <v/>
      </c>
      <c r="DE9">
        <f>IF($C$9="",0,MAX(0,MIN($DC$9,EOMONTH($C$9,1))-DATE(YEAR($C$9),MONTH($C$9)+1,1)+1))</f>
        <v/>
      </c>
      <c r="DF9">
        <f>IF($C$9="",0,MAX(0,MIN($DC$9,EOMONTH($C$9,2))-DATE(YEAR($C$9),MONTH($C$9)+2,1)+1))</f>
        <v/>
      </c>
    </row>
    <row r="10" ht="16" customHeight="1">
      <c r="A10" s="11">
        <f>IF(N($DE$9)&gt;0,"⚠  Le chantier dépasse le 1er mois : cliquer sur le [+] au-dessus du calendrier pour déplier le mois suivant (et le 3e).","")</f>
        <v/>
      </c>
    </row>
    <row r="11" ht="18" customHeight="1">
      <c r="A11" s="12" t="inlineStr">
        <is>
          <t>Codes : S stand-by · O opérations · FOC gratuit · VR valeur de remplacement · RC restocking · MOB / DEMOB (comptés en S)</t>
        </is>
      </c>
    </row>
    <row r="12" ht="20" customHeight="1">
      <c r="M12" s="13">
        <f>IF(OR($C$9="",N($DD$9)=0),"",CHOOSE(MONTH($C$9),"JANVIER","FÉVRIER","MARS","AVRIL","MAI","JUIN","JUILLET","AOÛT","SEPTEMBRE","OCTOBRE","NOVEMBRE","DÉCEMBRE")&amp;" "&amp;YEAR($C$9)&amp;"   ·   du "&amp;TEXT(DAY($C$9),"00")&amp;"/"&amp;TEXT(MONTH($C$9),"00")&amp;" au "&amp;TEXT(DAY(($C$9+$DD$9-1)),"00")&amp;"/"&amp;TEXT(MONTH(($C$9+$DD$9-1)),"00")&amp;"/"&amp;YEAR(($C$9+$DD$9-1)))</f>
        <v/>
      </c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5">
        <f>IF(OR($C$9="",N($DE$9)=0),"",CHOOSE(MONTH(DATE(YEAR($C$9),MONTH($C$9)+1,1)),"JANVIER","FÉVRIER","MARS","AVRIL","MAI","JUIN","JUILLET","AOÛT","SEPTEMBRE","OCTOBRE","NOVEMBRE","DÉCEMBRE")&amp;" "&amp;YEAR(DATE(YEAR($C$9),MONTH($C$9)+1,1))&amp;"   ·   du "&amp;TEXT(DAY(DATE(YEAR($C$9),MONTH($C$9)+1,1)),"00")&amp;"/"&amp;TEXT(MONTH(DATE(YEAR($C$9),MONTH($C$9)+1,1)),"00")&amp;" au "&amp;TEXT(DAY((DATE(YEAR($C$9),MONTH($C$9)+1,1)+$DE$9-1)),"00")&amp;"/"&amp;TEXT(MONTH((DATE(YEAR($C$9),MONTH($C$9)+1,1)+$DE$9-1)),"00")&amp;"/"&amp;YEAR((DATE(YEAR($C$9),MONTH($C$9)+1,1)+$DE$9-1)))</f>
        <v/>
      </c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3">
        <f>IF(OR($C$9="",N($DF$9)=0),"",CHOOSE(MONTH(DATE(YEAR($C$9),MONTH($C$9)+2,1)),"JANVIER","FÉVRIER","MARS","AVRIL","MAI","JUIN","JUILLET","AOÛT","SEPTEMBRE","OCTOBRE","NOVEMBRE","DÉCEMBRE")&amp;" "&amp;YEAR(DATE(YEAR($C$9),MONTH($C$9)+2,1))&amp;"   ·   du "&amp;TEXT(DAY(DATE(YEAR($C$9),MONTH($C$9)+2,1)),"00")&amp;"/"&amp;TEXT(MONTH(DATE(YEAR($C$9),MONTH($C$9)+2,1)),"00")&amp;" au "&amp;TEXT(DAY((DATE(YEAR($C$9),MONTH($C$9)+2,1)+$DF$9-1)),"00")&amp;"/"&amp;TEXT(MONTH((DATE(YEAR($C$9),MONTH($C$9)+2,1)+$DF$9-1)),"00")&amp;"/"&amp;YEAR((DATE(YEAR($C$9),MONTH($C$9)+2,1)+$DF$9-1)))</f>
        <v/>
      </c>
      <c r="BX12" s="14" t="n"/>
      <c r="BY12" s="14" t="n"/>
      <c r="BZ12" s="14" t="n"/>
      <c r="CA12" s="14" t="n"/>
      <c r="CB12" s="14" t="n"/>
      <c r="CC12" s="14" t="n"/>
      <c r="CD12" s="14" t="n"/>
      <c r="CE12" s="14" t="n"/>
      <c r="CF12" s="14" t="n"/>
      <c r="CG12" s="14" t="n"/>
      <c r="CH12" s="14" t="n"/>
      <c r="CI12" s="14" t="n"/>
      <c r="CJ12" s="14" t="n"/>
      <c r="CK12" s="14" t="n"/>
      <c r="CL12" s="14" t="n"/>
      <c r="CM12" s="14" t="n"/>
      <c r="CN12" s="14" t="n"/>
      <c r="CO12" s="14" t="n"/>
      <c r="CP12" s="14" t="n"/>
      <c r="CQ12" s="14" t="n"/>
      <c r="CR12" s="14" t="n"/>
      <c r="CS12" s="14" t="n"/>
      <c r="CT12" s="14" t="n"/>
      <c r="CU12" s="14" t="n"/>
      <c r="CV12" s="14" t="n"/>
      <c r="CW12" s="14" t="n"/>
      <c r="CX12" s="14" t="n"/>
      <c r="CY12" s="14" t="n"/>
      <c r="CZ12" s="14" t="n"/>
      <c r="DA12" s="14" t="n"/>
    </row>
    <row r="13">
      <c r="A13" s="16" t="inlineStr">
        <is>
          <t>UC déjà
facturée</t>
        </is>
      </c>
      <c r="B13" s="16" t="inlineStr">
        <is>
          <t>Description</t>
        </is>
      </c>
      <c r="C13" s="16" t="inlineStr">
        <is>
          <t>Qté
Qty</t>
        </is>
      </c>
      <c r="D13" s="16" t="inlineStr">
        <is>
          <t>Stand-by
€ / jour</t>
        </is>
      </c>
      <c r="E13" s="16" t="inlineStr">
        <is>
          <t>Opér.
€ / jour</t>
        </is>
      </c>
      <c r="F13" s="16" t="inlineStr">
        <is>
          <t>UC
€</t>
        </is>
      </c>
      <c r="G13" s="16" t="inlineStr">
        <is>
          <t>Valeur
remplac.</t>
        </is>
      </c>
      <c r="H13" s="16" t="inlineStr">
        <is>
          <t>Inspect.
€</t>
        </is>
      </c>
      <c r="I13" s="16" t="inlineStr">
        <is>
          <t>Restock.
€</t>
        </is>
      </c>
      <c r="J13" s="16" t="inlineStr">
        <is>
          <t>Jours
S</t>
        </is>
      </c>
      <c r="K13" s="16" t="inlineStr">
        <is>
          <t>Jours
O</t>
        </is>
      </c>
      <c r="L13" s="16" t="inlineStr">
        <is>
          <t>Total
€ HT</t>
        </is>
      </c>
      <c r="M13" s="17">
        <f>IF(OR($C$9="",N($DD$9)&lt;=0),"",$C$9+0)</f>
        <v/>
      </c>
      <c r="N13" s="17">
        <f>IF(OR($C$9="",N($DD$9)&lt;=1),"",$C$9+1)</f>
        <v/>
      </c>
      <c r="O13" s="17">
        <f>IF(OR($C$9="",N($DD$9)&lt;=2),"",$C$9+2)</f>
        <v/>
      </c>
      <c r="P13" s="17">
        <f>IF(OR($C$9="",N($DD$9)&lt;=3),"",$C$9+3)</f>
        <v/>
      </c>
      <c r="Q13" s="17">
        <f>IF(OR($C$9="",N($DD$9)&lt;=4),"",$C$9+4)</f>
        <v/>
      </c>
      <c r="R13" s="17">
        <f>IF(OR($C$9="",N($DD$9)&lt;=5),"",$C$9+5)</f>
        <v/>
      </c>
      <c r="S13" s="17">
        <f>IF(OR($C$9="",N($DD$9)&lt;=6),"",$C$9+6)</f>
        <v/>
      </c>
      <c r="T13" s="17">
        <f>IF(OR($C$9="",N($DD$9)&lt;=7),"",$C$9+7)</f>
        <v/>
      </c>
      <c r="U13" s="17">
        <f>IF(OR($C$9="",N($DD$9)&lt;=8),"",$C$9+8)</f>
        <v/>
      </c>
      <c r="V13" s="17">
        <f>IF(OR($C$9="",N($DD$9)&lt;=9),"",$C$9+9)</f>
        <v/>
      </c>
      <c r="W13" s="17">
        <f>IF(OR($C$9="",N($DD$9)&lt;=10),"",$C$9+10)</f>
        <v/>
      </c>
      <c r="X13" s="17">
        <f>IF(OR($C$9="",N($DD$9)&lt;=11),"",$C$9+11)</f>
        <v/>
      </c>
      <c r="Y13" s="17">
        <f>IF(OR($C$9="",N($DD$9)&lt;=12),"",$C$9+12)</f>
        <v/>
      </c>
      <c r="Z13" s="17">
        <f>IF(OR($C$9="",N($DD$9)&lt;=13),"",$C$9+13)</f>
        <v/>
      </c>
      <c r="AA13" s="17">
        <f>IF(OR($C$9="",N($DD$9)&lt;=14),"",$C$9+14)</f>
        <v/>
      </c>
      <c r="AB13" s="17">
        <f>IF(OR($C$9="",N($DD$9)&lt;=15),"",$C$9+15)</f>
        <v/>
      </c>
      <c r="AC13" s="17">
        <f>IF(OR($C$9="",N($DD$9)&lt;=16),"",$C$9+16)</f>
        <v/>
      </c>
      <c r="AD13" s="17">
        <f>IF(OR($C$9="",N($DD$9)&lt;=17),"",$C$9+17)</f>
        <v/>
      </c>
      <c r="AE13" s="17">
        <f>IF(OR($C$9="",N($DD$9)&lt;=18),"",$C$9+18)</f>
        <v/>
      </c>
      <c r="AF13" s="17">
        <f>IF(OR($C$9="",N($DD$9)&lt;=19),"",$C$9+19)</f>
        <v/>
      </c>
      <c r="AG13" s="17">
        <f>IF(OR($C$9="",N($DD$9)&lt;=20),"",$C$9+20)</f>
        <v/>
      </c>
      <c r="AH13" s="17">
        <f>IF(OR($C$9="",N($DD$9)&lt;=21),"",$C$9+21)</f>
        <v/>
      </c>
      <c r="AI13" s="17">
        <f>IF(OR($C$9="",N($DD$9)&lt;=22),"",$C$9+22)</f>
        <v/>
      </c>
      <c r="AJ13" s="17">
        <f>IF(OR($C$9="",N($DD$9)&lt;=23),"",$C$9+23)</f>
        <v/>
      </c>
      <c r="AK13" s="17">
        <f>IF(OR($C$9="",N($DD$9)&lt;=24),"",$C$9+24)</f>
        <v/>
      </c>
      <c r="AL13" s="17">
        <f>IF(OR($C$9="",N($DD$9)&lt;=25),"",$C$9+25)</f>
        <v/>
      </c>
      <c r="AM13" s="17">
        <f>IF(OR($C$9="",N($DD$9)&lt;=26),"",$C$9+26)</f>
        <v/>
      </c>
      <c r="AN13" s="17">
        <f>IF(OR($C$9="",N($DD$9)&lt;=27),"",$C$9+27)</f>
        <v/>
      </c>
      <c r="AO13" s="17">
        <f>IF(OR($C$9="",N($DD$9)&lt;=28),"",$C$9+28)</f>
        <v/>
      </c>
      <c r="AP13" s="17">
        <f>IF(OR($C$9="",N($DD$9)&lt;=29),"",$C$9+29)</f>
        <v/>
      </c>
      <c r="AQ13" s="17">
        <f>IF(OR($C$9="",N($DD$9)&lt;=30),"",$C$9+30)</f>
        <v/>
      </c>
      <c r="AR13" s="17">
        <f>IF(OR($C$9="",N($DE$9)&lt;=0),"",DATE(YEAR($C$9),MONTH($C$9)+1,1)+0)</f>
        <v/>
      </c>
      <c r="AS13" s="17">
        <f>IF(OR($C$9="",N($DE$9)&lt;=1),"",DATE(YEAR($C$9),MONTH($C$9)+1,1)+1)</f>
        <v/>
      </c>
      <c r="AT13" s="17">
        <f>IF(OR($C$9="",N($DE$9)&lt;=2),"",DATE(YEAR($C$9),MONTH($C$9)+1,1)+2)</f>
        <v/>
      </c>
      <c r="AU13" s="17">
        <f>IF(OR($C$9="",N($DE$9)&lt;=3),"",DATE(YEAR($C$9),MONTH($C$9)+1,1)+3)</f>
        <v/>
      </c>
      <c r="AV13" s="17">
        <f>IF(OR($C$9="",N($DE$9)&lt;=4),"",DATE(YEAR($C$9),MONTH($C$9)+1,1)+4)</f>
        <v/>
      </c>
      <c r="AW13" s="17">
        <f>IF(OR($C$9="",N($DE$9)&lt;=5),"",DATE(YEAR($C$9),MONTH($C$9)+1,1)+5)</f>
        <v/>
      </c>
      <c r="AX13" s="17">
        <f>IF(OR($C$9="",N($DE$9)&lt;=6),"",DATE(YEAR($C$9),MONTH($C$9)+1,1)+6)</f>
        <v/>
      </c>
      <c r="AY13" s="17">
        <f>IF(OR($C$9="",N($DE$9)&lt;=7),"",DATE(YEAR($C$9),MONTH($C$9)+1,1)+7)</f>
        <v/>
      </c>
      <c r="AZ13" s="17">
        <f>IF(OR($C$9="",N($DE$9)&lt;=8),"",DATE(YEAR($C$9),MONTH($C$9)+1,1)+8)</f>
        <v/>
      </c>
      <c r="BA13" s="17">
        <f>IF(OR($C$9="",N($DE$9)&lt;=9),"",DATE(YEAR($C$9),MONTH($C$9)+1,1)+9)</f>
        <v/>
      </c>
      <c r="BB13" s="17">
        <f>IF(OR($C$9="",N($DE$9)&lt;=10),"",DATE(YEAR($C$9),MONTH($C$9)+1,1)+10)</f>
        <v/>
      </c>
      <c r="BC13" s="17">
        <f>IF(OR($C$9="",N($DE$9)&lt;=11),"",DATE(YEAR($C$9),MONTH($C$9)+1,1)+11)</f>
        <v/>
      </c>
      <c r="BD13" s="17">
        <f>IF(OR($C$9="",N($DE$9)&lt;=12),"",DATE(YEAR($C$9),MONTH($C$9)+1,1)+12)</f>
        <v/>
      </c>
      <c r="BE13" s="17">
        <f>IF(OR($C$9="",N($DE$9)&lt;=13),"",DATE(YEAR($C$9),MONTH($C$9)+1,1)+13)</f>
        <v/>
      </c>
      <c r="BF13" s="17">
        <f>IF(OR($C$9="",N($DE$9)&lt;=14),"",DATE(YEAR($C$9),MONTH($C$9)+1,1)+14)</f>
        <v/>
      </c>
      <c r="BG13" s="17">
        <f>IF(OR($C$9="",N($DE$9)&lt;=15),"",DATE(YEAR($C$9),MONTH($C$9)+1,1)+15)</f>
        <v/>
      </c>
      <c r="BH13" s="17">
        <f>IF(OR($C$9="",N($DE$9)&lt;=16),"",DATE(YEAR($C$9),MONTH($C$9)+1,1)+16)</f>
        <v/>
      </c>
      <c r="BI13" s="17">
        <f>IF(OR($C$9="",N($DE$9)&lt;=17),"",DATE(YEAR($C$9),MONTH($C$9)+1,1)+17)</f>
        <v/>
      </c>
      <c r="BJ13" s="17">
        <f>IF(OR($C$9="",N($DE$9)&lt;=18),"",DATE(YEAR($C$9),MONTH($C$9)+1,1)+18)</f>
        <v/>
      </c>
      <c r="BK13" s="17">
        <f>IF(OR($C$9="",N($DE$9)&lt;=19),"",DATE(YEAR($C$9),MONTH($C$9)+1,1)+19)</f>
        <v/>
      </c>
      <c r="BL13" s="17">
        <f>IF(OR($C$9="",N($DE$9)&lt;=20),"",DATE(YEAR($C$9),MONTH($C$9)+1,1)+20)</f>
        <v/>
      </c>
      <c r="BM13" s="17">
        <f>IF(OR($C$9="",N($DE$9)&lt;=21),"",DATE(YEAR($C$9),MONTH($C$9)+1,1)+21)</f>
        <v/>
      </c>
      <c r="BN13" s="17">
        <f>IF(OR($C$9="",N($DE$9)&lt;=22),"",DATE(YEAR($C$9),MONTH($C$9)+1,1)+22)</f>
        <v/>
      </c>
      <c r="BO13" s="17">
        <f>IF(OR($C$9="",N($DE$9)&lt;=23),"",DATE(YEAR($C$9),MONTH($C$9)+1,1)+23)</f>
        <v/>
      </c>
      <c r="BP13" s="17">
        <f>IF(OR($C$9="",N($DE$9)&lt;=24),"",DATE(YEAR($C$9),MONTH($C$9)+1,1)+24)</f>
        <v/>
      </c>
      <c r="BQ13" s="17">
        <f>IF(OR($C$9="",N($DE$9)&lt;=25),"",DATE(YEAR($C$9),MONTH($C$9)+1,1)+25)</f>
        <v/>
      </c>
      <c r="BR13" s="17">
        <f>IF(OR($C$9="",N($DE$9)&lt;=26),"",DATE(YEAR($C$9),MONTH($C$9)+1,1)+26)</f>
        <v/>
      </c>
      <c r="BS13" s="17">
        <f>IF(OR($C$9="",N($DE$9)&lt;=27),"",DATE(YEAR($C$9),MONTH($C$9)+1,1)+27)</f>
        <v/>
      </c>
      <c r="BT13" s="17">
        <f>IF(OR($C$9="",N($DE$9)&lt;=28),"",DATE(YEAR($C$9),MONTH($C$9)+1,1)+28)</f>
        <v/>
      </c>
      <c r="BU13" s="17">
        <f>IF(OR($C$9="",N($DE$9)&lt;=29),"",DATE(YEAR($C$9),MONTH($C$9)+1,1)+29)</f>
        <v/>
      </c>
      <c r="BV13" s="17">
        <f>IF(OR($C$9="",N($DE$9)&lt;=30),"",DATE(YEAR($C$9),MONTH($C$9)+1,1)+30)</f>
        <v/>
      </c>
      <c r="BW13" s="17">
        <f>IF(OR($C$9="",N($DF$9)&lt;=0),"",DATE(YEAR($C$9),MONTH($C$9)+2,1)+0)</f>
        <v/>
      </c>
      <c r="BX13" s="17">
        <f>IF(OR($C$9="",N($DF$9)&lt;=1),"",DATE(YEAR($C$9),MONTH($C$9)+2,1)+1)</f>
        <v/>
      </c>
      <c r="BY13" s="17">
        <f>IF(OR($C$9="",N($DF$9)&lt;=2),"",DATE(YEAR($C$9),MONTH($C$9)+2,1)+2)</f>
        <v/>
      </c>
      <c r="BZ13" s="17">
        <f>IF(OR($C$9="",N($DF$9)&lt;=3),"",DATE(YEAR($C$9),MONTH($C$9)+2,1)+3)</f>
        <v/>
      </c>
      <c r="CA13" s="17">
        <f>IF(OR($C$9="",N($DF$9)&lt;=4),"",DATE(YEAR($C$9),MONTH($C$9)+2,1)+4)</f>
        <v/>
      </c>
      <c r="CB13" s="17">
        <f>IF(OR($C$9="",N($DF$9)&lt;=5),"",DATE(YEAR($C$9),MONTH($C$9)+2,1)+5)</f>
        <v/>
      </c>
      <c r="CC13" s="17">
        <f>IF(OR($C$9="",N($DF$9)&lt;=6),"",DATE(YEAR($C$9),MONTH($C$9)+2,1)+6)</f>
        <v/>
      </c>
      <c r="CD13" s="17">
        <f>IF(OR($C$9="",N($DF$9)&lt;=7),"",DATE(YEAR($C$9),MONTH($C$9)+2,1)+7)</f>
        <v/>
      </c>
      <c r="CE13" s="17">
        <f>IF(OR($C$9="",N($DF$9)&lt;=8),"",DATE(YEAR($C$9),MONTH($C$9)+2,1)+8)</f>
        <v/>
      </c>
      <c r="CF13" s="17">
        <f>IF(OR($C$9="",N($DF$9)&lt;=9),"",DATE(YEAR($C$9),MONTH($C$9)+2,1)+9)</f>
        <v/>
      </c>
      <c r="CG13" s="17">
        <f>IF(OR($C$9="",N($DF$9)&lt;=10),"",DATE(YEAR($C$9),MONTH($C$9)+2,1)+10)</f>
        <v/>
      </c>
      <c r="CH13" s="17">
        <f>IF(OR($C$9="",N($DF$9)&lt;=11),"",DATE(YEAR($C$9),MONTH($C$9)+2,1)+11)</f>
        <v/>
      </c>
      <c r="CI13" s="17">
        <f>IF(OR($C$9="",N($DF$9)&lt;=12),"",DATE(YEAR($C$9),MONTH($C$9)+2,1)+12)</f>
        <v/>
      </c>
      <c r="CJ13" s="17">
        <f>IF(OR($C$9="",N($DF$9)&lt;=13),"",DATE(YEAR($C$9),MONTH($C$9)+2,1)+13)</f>
        <v/>
      </c>
      <c r="CK13" s="17">
        <f>IF(OR($C$9="",N($DF$9)&lt;=14),"",DATE(YEAR($C$9),MONTH($C$9)+2,1)+14)</f>
        <v/>
      </c>
      <c r="CL13" s="17">
        <f>IF(OR($C$9="",N($DF$9)&lt;=15),"",DATE(YEAR($C$9),MONTH($C$9)+2,1)+15)</f>
        <v/>
      </c>
      <c r="CM13" s="17">
        <f>IF(OR($C$9="",N($DF$9)&lt;=16),"",DATE(YEAR($C$9),MONTH($C$9)+2,1)+16)</f>
        <v/>
      </c>
      <c r="CN13" s="17">
        <f>IF(OR($C$9="",N($DF$9)&lt;=17),"",DATE(YEAR($C$9),MONTH($C$9)+2,1)+17)</f>
        <v/>
      </c>
      <c r="CO13" s="17">
        <f>IF(OR($C$9="",N($DF$9)&lt;=18),"",DATE(YEAR($C$9),MONTH($C$9)+2,1)+18)</f>
        <v/>
      </c>
      <c r="CP13" s="17">
        <f>IF(OR($C$9="",N($DF$9)&lt;=19),"",DATE(YEAR($C$9),MONTH($C$9)+2,1)+19)</f>
        <v/>
      </c>
      <c r="CQ13" s="17">
        <f>IF(OR($C$9="",N($DF$9)&lt;=20),"",DATE(YEAR($C$9),MONTH($C$9)+2,1)+20)</f>
        <v/>
      </c>
      <c r="CR13" s="17">
        <f>IF(OR($C$9="",N($DF$9)&lt;=21),"",DATE(YEAR($C$9),MONTH($C$9)+2,1)+21)</f>
        <v/>
      </c>
      <c r="CS13" s="17">
        <f>IF(OR($C$9="",N($DF$9)&lt;=22),"",DATE(YEAR($C$9),MONTH($C$9)+2,1)+22)</f>
        <v/>
      </c>
      <c r="CT13" s="17">
        <f>IF(OR($C$9="",N($DF$9)&lt;=23),"",DATE(YEAR($C$9),MONTH($C$9)+2,1)+23)</f>
        <v/>
      </c>
      <c r="CU13" s="17">
        <f>IF(OR($C$9="",N($DF$9)&lt;=24),"",DATE(YEAR($C$9),MONTH($C$9)+2,1)+24)</f>
        <v/>
      </c>
      <c r="CV13" s="17">
        <f>IF(OR($C$9="",N($DF$9)&lt;=25),"",DATE(YEAR($C$9),MONTH($C$9)+2,1)+25)</f>
        <v/>
      </c>
      <c r="CW13" s="17">
        <f>IF(OR($C$9="",N($DF$9)&lt;=26),"",DATE(YEAR($C$9),MONTH($C$9)+2,1)+26)</f>
        <v/>
      </c>
      <c r="CX13" s="17">
        <f>IF(OR($C$9="",N($DF$9)&lt;=27),"",DATE(YEAR($C$9),MONTH($C$9)+2,1)+27)</f>
        <v/>
      </c>
      <c r="CY13" s="17">
        <f>IF(OR($C$9="",N($DF$9)&lt;=28),"",DATE(YEAR($C$9),MONTH($C$9)+2,1)+28)</f>
        <v/>
      </c>
      <c r="CZ13" s="17">
        <f>IF(OR($C$9="",N($DF$9)&lt;=29),"",DATE(YEAR($C$9),MONTH($C$9)+2,1)+29)</f>
        <v/>
      </c>
      <c r="DA13" s="17">
        <f>IF(OR($C$9="",N($DF$9)&lt;=30),"",DATE(YEAR($C$9),MONTH($C$9)+2,1)+30)</f>
        <v/>
      </c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9">
        <f>IF(OR($C$9="",N($DD$9)&lt;=0),"",CHOOSE(WEEKDAY($C$9+0,2),"L","M","M","J","V","S","D"))</f>
        <v/>
      </c>
      <c r="N14" s="19">
        <f>IF(OR($C$9="",N($DD$9)&lt;=1),"",CHOOSE(WEEKDAY($C$9+1,2),"L","M","M","J","V","S","D"))</f>
        <v/>
      </c>
      <c r="O14" s="19">
        <f>IF(OR($C$9="",N($DD$9)&lt;=2),"",CHOOSE(WEEKDAY($C$9+2,2),"L","M","M","J","V","S","D"))</f>
        <v/>
      </c>
      <c r="P14" s="19">
        <f>IF(OR($C$9="",N($DD$9)&lt;=3),"",CHOOSE(WEEKDAY($C$9+3,2),"L","M","M","J","V","S","D"))</f>
        <v/>
      </c>
      <c r="Q14" s="19">
        <f>IF(OR($C$9="",N($DD$9)&lt;=4),"",CHOOSE(WEEKDAY($C$9+4,2),"L","M","M","J","V","S","D"))</f>
        <v/>
      </c>
      <c r="R14" s="19">
        <f>IF(OR($C$9="",N($DD$9)&lt;=5),"",CHOOSE(WEEKDAY($C$9+5,2),"L","M","M","J","V","S","D"))</f>
        <v/>
      </c>
      <c r="S14" s="19">
        <f>IF(OR($C$9="",N($DD$9)&lt;=6),"",CHOOSE(WEEKDAY($C$9+6,2),"L","M","M","J","V","S","D"))</f>
        <v/>
      </c>
      <c r="T14" s="19">
        <f>IF(OR($C$9="",N($DD$9)&lt;=7),"",CHOOSE(WEEKDAY($C$9+7,2),"L","M","M","J","V","S","D"))</f>
        <v/>
      </c>
      <c r="U14" s="19">
        <f>IF(OR($C$9="",N($DD$9)&lt;=8),"",CHOOSE(WEEKDAY($C$9+8,2),"L","M","M","J","V","S","D"))</f>
        <v/>
      </c>
      <c r="V14" s="19">
        <f>IF(OR($C$9="",N($DD$9)&lt;=9),"",CHOOSE(WEEKDAY($C$9+9,2),"L","M","M","J","V","S","D"))</f>
        <v/>
      </c>
      <c r="W14" s="19">
        <f>IF(OR($C$9="",N($DD$9)&lt;=10),"",CHOOSE(WEEKDAY($C$9+10,2),"L","M","M","J","V","S","D"))</f>
        <v/>
      </c>
      <c r="X14" s="19">
        <f>IF(OR($C$9="",N($DD$9)&lt;=11),"",CHOOSE(WEEKDAY($C$9+11,2),"L","M","M","J","V","S","D"))</f>
        <v/>
      </c>
      <c r="Y14" s="19">
        <f>IF(OR($C$9="",N($DD$9)&lt;=12),"",CHOOSE(WEEKDAY($C$9+12,2),"L","M","M","J","V","S","D"))</f>
        <v/>
      </c>
      <c r="Z14" s="19">
        <f>IF(OR($C$9="",N($DD$9)&lt;=13),"",CHOOSE(WEEKDAY($C$9+13,2),"L","M","M","J","V","S","D"))</f>
        <v/>
      </c>
      <c r="AA14" s="19">
        <f>IF(OR($C$9="",N($DD$9)&lt;=14),"",CHOOSE(WEEKDAY($C$9+14,2),"L","M","M","J","V","S","D"))</f>
        <v/>
      </c>
      <c r="AB14" s="19">
        <f>IF(OR($C$9="",N($DD$9)&lt;=15),"",CHOOSE(WEEKDAY($C$9+15,2),"L","M","M","J","V","S","D"))</f>
        <v/>
      </c>
      <c r="AC14" s="19">
        <f>IF(OR($C$9="",N($DD$9)&lt;=16),"",CHOOSE(WEEKDAY($C$9+16,2),"L","M","M","J","V","S","D"))</f>
        <v/>
      </c>
      <c r="AD14" s="19">
        <f>IF(OR($C$9="",N($DD$9)&lt;=17),"",CHOOSE(WEEKDAY($C$9+17,2),"L","M","M","J","V","S","D"))</f>
        <v/>
      </c>
      <c r="AE14" s="19">
        <f>IF(OR($C$9="",N($DD$9)&lt;=18),"",CHOOSE(WEEKDAY($C$9+18,2),"L","M","M","J","V","S","D"))</f>
        <v/>
      </c>
      <c r="AF14" s="19">
        <f>IF(OR($C$9="",N($DD$9)&lt;=19),"",CHOOSE(WEEKDAY($C$9+19,2),"L","M","M","J","V","S","D"))</f>
        <v/>
      </c>
      <c r="AG14" s="19">
        <f>IF(OR($C$9="",N($DD$9)&lt;=20),"",CHOOSE(WEEKDAY($C$9+20,2),"L","M","M","J","V","S","D"))</f>
        <v/>
      </c>
      <c r="AH14" s="19">
        <f>IF(OR($C$9="",N($DD$9)&lt;=21),"",CHOOSE(WEEKDAY($C$9+21,2),"L","M","M","J","V","S","D"))</f>
        <v/>
      </c>
      <c r="AI14" s="19">
        <f>IF(OR($C$9="",N($DD$9)&lt;=22),"",CHOOSE(WEEKDAY($C$9+22,2),"L","M","M","J","V","S","D"))</f>
        <v/>
      </c>
      <c r="AJ14" s="19">
        <f>IF(OR($C$9="",N($DD$9)&lt;=23),"",CHOOSE(WEEKDAY($C$9+23,2),"L","M","M","J","V","S","D"))</f>
        <v/>
      </c>
      <c r="AK14" s="19">
        <f>IF(OR($C$9="",N($DD$9)&lt;=24),"",CHOOSE(WEEKDAY($C$9+24,2),"L","M","M","J","V","S","D"))</f>
        <v/>
      </c>
      <c r="AL14" s="19">
        <f>IF(OR($C$9="",N($DD$9)&lt;=25),"",CHOOSE(WEEKDAY($C$9+25,2),"L","M","M","J","V","S","D"))</f>
        <v/>
      </c>
      <c r="AM14" s="19">
        <f>IF(OR($C$9="",N($DD$9)&lt;=26),"",CHOOSE(WEEKDAY($C$9+26,2),"L","M","M","J","V","S","D"))</f>
        <v/>
      </c>
      <c r="AN14" s="19">
        <f>IF(OR($C$9="",N($DD$9)&lt;=27),"",CHOOSE(WEEKDAY($C$9+27,2),"L","M","M","J","V","S","D"))</f>
        <v/>
      </c>
      <c r="AO14" s="19">
        <f>IF(OR($C$9="",N($DD$9)&lt;=28),"",CHOOSE(WEEKDAY($C$9+28,2),"L","M","M","J","V","S","D"))</f>
        <v/>
      </c>
      <c r="AP14" s="19">
        <f>IF(OR($C$9="",N($DD$9)&lt;=29),"",CHOOSE(WEEKDAY($C$9+29,2),"L","M","M","J","V","S","D"))</f>
        <v/>
      </c>
      <c r="AQ14" s="19">
        <f>IF(OR($C$9="",N($DD$9)&lt;=30),"",CHOOSE(WEEKDAY($C$9+30,2),"L","M","M","J","V","S","D"))</f>
        <v/>
      </c>
      <c r="AR14" s="19">
        <f>IF(OR($C$9="",N($DE$9)&lt;=0),"",CHOOSE(WEEKDAY(DATE(YEAR($C$9),MONTH($C$9)+1,1)+0,2),"L","M","M","J","V","S","D"))</f>
        <v/>
      </c>
      <c r="AS14" s="19">
        <f>IF(OR($C$9="",N($DE$9)&lt;=1),"",CHOOSE(WEEKDAY(DATE(YEAR($C$9),MONTH($C$9)+1,1)+1,2),"L","M","M","J","V","S","D"))</f>
        <v/>
      </c>
      <c r="AT14" s="19">
        <f>IF(OR($C$9="",N($DE$9)&lt;=2),"",CHOOSE(WEEKDAY(DATE(YEAR($C$9),MONTH($C$9)+1,1)+2,2),"L","M","M","J","V","S","D"))</f>
        <v/>
      </c>
      <c r="AU14" s="19">
        <f>IF(OR($C$9="",N($DE$9)&lt;=3),"",CHOOSE(WEEKDAY(DATE(YEAR($C$9),MONTH($C$9)+1,1)+3,2),"L","M","M","J","V","S","D"))</f>
        <v/>
      </c>
      <c r="AV14" s="19">
        <f>IF(OR($C$9="",N($DE$9)&lt;=4),"",CHOOSE(WEEKDAY(DATE(YEAR($C$9),MONTH($C$9)+1,1)+4,2),"L","M","M","J","V","S","D"))</f>
        <v/>
      </c>
      <c r="AW14" s="19">
        <f>IF(OR($C$9="",N($DE$9)&lt;=5),"",CHOOSE(WEEKDAY(DATE(YEAR($C$9),MONTH($C$9)+1,1)+5,2),"L","M","M","J","V","S","D"))</f>
        <v/>
      </c>
      <c r="AX14" s="19">
        <f>IF(OR($C$9="",N($DE$9)&lt;=6),"",CHOOSE(WEEKDAY(DATE(YEAR($C$9),MONTH($C$9)+1,1)+6,2),"L","M","M","J","V","S","D"))</f>
        <v/>
      </c>
      <c r="AY14" s="19">
        <f>IF(OR($C$9="",N($DE$9)&lt;=7),"",CHOOSE(WEEKDAY(DATE(YEAR($C$9),MONTH($C$9)+1,1)+7,2),"L","M","M","J","V","S","D"))</f>
        <v/>
      </c>
      <c r="AZ14" s="19">
        <f>IF(OR($C$9="",N($DE$9)&lt;=8),"",CHOOSE(WEEKDAY(DATE(YEAR($C$9),MONTH($C$9)+1,1)+8,2),"L","M","M","J","V","S","D"))</f>
        <v/>
      </c>
      <c r="BA14" s="19">
        <f>IF(OR($C$9="",N($DE$9)&lt;=9),"",CHOOSE(WEEKDAY(DATE(YEAR($C$9),MONTH($C$9)+1,1)+9,2),"L","M","M","J","V","S","D"))</f>
        <v/>
      </c>
      <c r="BB14" s="19">
        <f>IF(OR($C$9="",N($DE$9)&lt;=10),"",CHOOSE(WEEKDAY(DATE(YEAR($C$9),MONTH($C$9)+1,1)+10,2),"L","M","M","J","V","S","D"))</f>
        <v/>
      </c>
      <c r="BC14" s="19">
        <f>IF(OR($C$9="",N($DE$9)&lt;=11),"",CHOOSE(WEEKDAY(DATE(YEAR($C$9),MONTH($C$9)+1,1)+11,2),"L","M","M","J","V","S","D"))</f>
        <v/>
      </c>
      <c r="BD14" s="19">
        <f>IF(OR($C$9="",N($DE$9)&lt;=12),"",CHOOSE(WEEKDAY(DATE(YEAR($C$9),MONTH($C$9)+1,1)+12,2),"L","M","M","J","V","S","D"))</f>
        <v/>
      </c>
      <c r="BE14" s="19">
        <f>IF(OR($C$9="",N($DE$9)&lt;=13),"",CHOOSE(WEEKDAY(DATE(YEAR($C$9),MONTH($C$9)+1,1)+13,2),"L","M","M","J","V","S","D"))</f>
        <v/>
      </c>
      <c r="BF14" s="19">
        <f>IF(OR($C$9="",N($DE$9)&lt;=14),"",CHOOSE(WEEKDAY(DATE(YEAR($C$9),MONTH($C$9)+1,1)+14,2),"L","M","M","J","V","S","D"))</f>
        <v/>
      </c>
      <c r="BG14" s="19">
        <f>IF(OR($C$9="",N($DE$9)&lt;=15),"",CHOOSE(WEEKDAY(DATE(YEAR($C$9),MONTH($C$9)+1,1)+15,2),"L","M","M","J","V","S","D"))</f>
        <v/>
      </c>
      <c r="BH14" s="19">
        <f>IF(OR($C$9="",N($DE$9)&lt;=16),"",CHOOSE(WEEKDAY(DATE(YEAR($C$9),MONTH($C$9)+1,1)+16,2),"L","M","M","J","V","S","D"))</f>
        <v/>
      </c>
      <c r="BI14" s="19">
        <f>IF(OR($C$9="",N($DE$9)&lt;=17),"",CHOOSE(WEEKDAY(DATE(YEAR($C$9),MONTH($C$9)+1,1)+17,2),"L","M","M","J","V","S","D"))</f>
        <v/>
      </c>
      <c r="BJ14" s="19">
        <f>IF(OR($C$9="",N($DE$9)&lt;=18),"",CHOOSE(WEEKDAY(DATE(YEAR($C$9),MONTH($C$9)+1,1)+18,2),"L","M","M","J","V","S","D"))</f>
        <v/>
      </c>
      <c r="BK14" s="19">
        <f>IF(OR($C$9="",N($DE$9)&lt;=19),"",CHOOSE(WEEKDAY(DATE(YEAR($C$9),MONTH($C$9)+1,1)+19,2),"L","M","M","J","V","S","D"))</f>
        <v/>
      </c>
      <c r="BL14" s="19">
        <f>IF(OR($C$9="",N($DE$9)&lt;=20),"",CHOOSE(WEEKDAY(DATE(YEAR($C$9),MONTH($C$9)+1,1)+20,2),"L","M","M","J","V","S","D"))</f>
        <v/>
      </c>
      <c r="BM14" s="19">
        <f>IF(OR($C$9="",N($DE$9)&lt;=21),"",CHOOSE(WEEKDAY(DATE(YEAR($C$9),MONTH($C$9)+1,1)+21,2),"L","M","M","J","V","S","D"))</f>
        <v/>
      </c>
      <c r="BN14" s="19">
        <f>IF(OR($C$9="",N($DE$9)&lt;=22),"",CHOOSE(WEEKDAY(DATE(YEAR($C$9),MONTH($C$9)+1,1)+22,2),"L","M","M","J","V","S","D"))</f>
        <v/>
      </c>
      <c r="BO14" s="19">
        <f>IF(OR($C$9="",N($DE$9)&lt;=23),"",CHOOSE(WEEKDAY(DATE(YEAR($C$9),MONTH($C$9)+1,1)+23,2),"L","M","M","J","V","S","D"))</f>
        <v/>
      </c>
      <c r="BP14" s="19">
        <f>IF(OR($C$9="",N($DE$9)&lt;=24),"",CHOOSE(WEEKDAY(DATE(YEAR($C$9),MONTH($C$9)+1,1)+24,2),"L","M","M","J","V","S","D"))</f>
        <v/>
      </c>
      <c r="BQ14" s="19">
        <f>IF(OR($C$9="",N($DE$9)&lt;=25),"",CHOOSE(WEEKDAY(DATE(YEAR($C$9),MONTH($C$9)+1,1)+25,2),"L","M","M","J","V","S","D"))</f>
        <v/>
      </c>
      <c r="BR14" s="19">
        <f>IF(OR($C$9="",N($DE$9)&lt;=26),"",CHOOSE(WEEKDAY(DATE(YEAR($C$9),MONTH($C$9)+1,1)+26,2),"L","M","M","J","V","S","D"))</f>
        <v/>
      </c>
      <c r="BS14" s="19">
        <f>IF(OR($C$9="",N($DE$9)&lt;=27),"",CHOOSE(WEEKDAY(DATE(YEAR($C$9),MONTH($C$9)+1,1)+27,2),"L","M","M","J","V","S","D"))</f>
        <v/>
      </c>
      <c r="BT14" s="19">
        <f>IF(OR($C$9="",N($DE$9)&lt;=28),"",CHOOSE(WEEKDAY(DATE(YEAR($C$9),MONTH($C$9)+1,1)+28,2),"L","M","M","J","V","S","D"))</f>
        <v/>
      </c>
      <c r="BU14" s="19">
        <f>IF(OR($C$9="",N($DE$9)&lt;=29),"",CHOOSE(WEEKDAY(DATE(YEAR($C$9),MONTH($C$9)+1,1)+29,2),"L","M","M","J","V","S","D"))</f>
        <v/>
      </c>
      <c r="BV14" s="19">
        <f>IF(OR($C$9="",N($DE$9)&lt;=30),"",CHOOSE(WEEKDAY(DATE(YEAR($C$9),MONTH($C$9)+1,1)+30,2),"L","M","M","J","V","S","D"))</f>
        <v/>
      </c>
      <c r="BW14" s="19">
        <f>IF(OR($C$9="",N($DF$9)&lt;=0),"",CHOOSE(WEEKDAY(DATE(YEAR($C$9),MONTH($C$9)+2,1)+0,2),"L","M","M","J","V","S","D"))</f>
        <v/>
      </c>
      <c r="BX14" s="19">
        <f>IF(OR($C$9="",N($DF$9)&lt;=1),"",CHOOSE(WEEKDAY(DATE(YEAR($C$9),MONTH($C$9)+2,1)+1,2),"L","M","M","J","V","S","D"))</f>
        <v/>
      </c>
      <c r="BY14" s="19">
        <f>IF(OR($C$9="",N($DF$9)&lt;=2),"",CHOOSE(WEEKDAY(DATE(YEAR($C$9),MONTH($C$9)+2,1)+2,2),"L","M","M","J","V","S","D"))</f>
        <v/>
      </c>
      <c r="BZ14" s="19">
        <f>IF(OR($C$9="",N($DF$9)&lt;=3),"",CHOOSE(WEEKDAY(DATE(YEAR($C$9),MONTH($C$9)+2,1)+3,2),"L","M","M","J","V","S","D"))</f>
        <v/>
      </c>
      <c r="CA14" s="19">
        <f>IF(OR($C$9="",N($DF$9)&lt;=4),"",CHOOSE(WEEKDAY(DATE(YEAR($C$9),MONTH($C$9)+2,1)+4,2),"L","M","M","J","V","S","D"))</f>
        <v/>
      </c>
      <c r="CB14" s="19">
        <f>IF(OR($C$9="",N($DF$9)&lt;=5),"",CHOOSE(WEEKDAY(DATE(YEAR($C$9),MONTH($C$9)+2,1)+5,2),"L","M","M","J","V","S","D"))</f>
        <v/>
      </c>
      <c r="CC14" s="19">
        <f>IF(OR($C$9="",N($DF$9)&lt;=6),"",CHOOSE(WEEKDAY(DATE(YEAR($C$9),MONTH($C$9)+2,1)+6,2),"L","M","M","J","V","S","D"))</f>
        <v/>
      </c>
      <c r="CD14" s="19">
        <f>IF(OR($C$9="",N($DF$9)&lt;=7),"",CHOOSE(WEEKDAY(DATE(YEAR($C$9),MONTH($C$9)+2,1)+7,2),"L","M","M","J","V","S","D"))</f>
        <v/>
      </c>
      <c r="CE14" s="19">
        <f>IF(OR($C$9="",N($DF$9)&lt;=8),"",CHOOSE(WEEKDAY(DATE(YEAR($C$9),MONTH($C$9)+2,1)+8,2),"L","M","M","J","V","S","D"))</f>
        <v/>
      </c>
      <c r="CF14" s="19">
        <f>IF(OR($C$9="",N($DF$9)&lt;=9),"",CHOOSE(WEEKDAY(DATE(YEAR($C$9),MONTH($C$9)+2,1)+9,2),"L","M","M","J","V","S","D"))</f>
        <v/>
      </c>
      <c r="CG14" s="19">
        <f>IF(OR($C$9="",N($DF$9)&lt;=10),"",CHOOSE(WEEKDAY(DATE(YEAR($C$9),MONTH($C$9)+2,1)+10,2),"L","M","M","J","V","S","D"))</f>
        <v/>
      </c>
      <c r="CH14" s="19">
        <f>IF(OR($C$9="",N($DF$9)&lt;=11),"",CHOOSE(WEEKDAY(DATE(YEAR($C$9),MONTH($C$9)+2,1)+11,2),"L","M","M","J","V","S","D"))</f>
        <v/>
      </c>
      <c r="CI14" s="19">
        <f>IF(OR($C$9="",N($DF$9)&lt;=12),"",CHOOSE(WEEKDAY(DATE(YEAR($C$9),MONTH($C$9)+2,1)+12,2),"L","M","M","J","V","S","D"))</f>
        <v/>
      </c>
      <c r="CJ14" s="19">
        <f>IF(OR($C$9="",N($DF$9)&lt;=13),"",CHOOSE(WEEKDAY(DATE(YEAR($C$9),MONTH($C$9)+2,1)+13,2),"L","M","M","J","V","S","D"))</f>
        <v/>
      </c>
      <c r="CK14" s="19">
        <f>IF(OR($C$9="",N($DF$9)&lt;=14),"",CHOOSE(WEEKDAY(DATE(YEAR($C$9),MONTH($C$9)+2,1)+14,2),"L","M","M","J","V","S","D"))</f>
        <v/>
      </c>
      <c r="CL14" s="19">
        <f>IF(OR($C$9="",N($DF$9)&lt;=15),"",CHOOSE(WEEKDAY(DATE(YEAR($C$9),MONTH($C$9)+2,1)+15,2),"L","M","M","J","V","S","D"))</f>
        <v/>
      </c>
      <c r="CM14" s="19">
        <f>IF(OR($C$9="",N($DF$9)&lt;=16),"",CHOOSE(WEEKDAY(DATE(YEAR($C$9),MONTH($C$9)+2,1)+16,2),"L","M","M","J","V","S","D"))</f>
        <v/>
      </c>
      <c r="CN14" s="19">
        <f>IF(OR($C$9="",N($DF$9)&lt;=17),"",CHOOSE(WEEKDAY(DATE(YEAR($C$9),MONTH($C$9)+2,1)+17,2),"L","M","M","J","V","S","D"))</f>
        <v/>
      </c>
      <c r="CO14" s="19">
        <f>IF(OR($C$9="",N($DF$9)&lt;=18),"",CHOOSE(WEEKDAY(DATE(YEAR($C$9),MONTH($C$9)+2,1)+18,2),"L","M","M","J","V","S","D"))</f>
        <v/>
      </c>
      <c r="CP14" s="19">
        <f>IF(OR($C$9="",N($DF$9)&lt;=19),"",CHOOSE(WEEKDAY(DATE(YEAR($C$9),MONTH($C$9)+2,1)+19,2),"L","M","M","J","V","S","D"))</f>
        <v/>
      </c>
      <c r="CQ14" s="19">
        <f>IF(OR($C$9="",N($DF$9)&lt;=20),"",CHOOSE(WEEKDAY(DATE(YEAR($C$9),MONTH($C$9)+2,1)+20,2),"L","M","M","J","V","S","D"))</f>
        <v/>
      </c>
      <c r="CR14" s="19">
        <f>IF(OR($C$9="",N($DF$9)&lt;=21),"",CHOOSE(WEEKDAY(DATE(YEAR($C$9),MONTH($C$9)+2,1)+21,2),"L","M","M","J","V","S","D"))</f>
        <v/>
      </c>
      <c r="CS14" s="19">
        <f>IF(OR($C$9="",N($DF$9)&lt;=22),"",CHOOSE(WEEKDAY(DATE(YEAR($C$9),MONTH($C$9)+2,1)+22,2),"L","M","M","J","V","S","D"))</f>
        <v/>
      </c>
      <c r="CT14" s="19">
        <f>IF(OR($C$9="",N($DF$9)&lt;=23),"",CHOOSE(WEEKDAY(DATE(YEAR($C$9),MONTH($C$9)+2,1)+23,2),"L","M","M","J","V","S","D"))</f>
        <v/>
      </c>
      <c r="CU14" s="19">
        <f>IF(OR($C$9="",N($DF$9)&lt;=24),"",CHOOSE(WEEKDAY(DATE(YEAR($C$9),MONTH($C$9)+2,1)+24,2),"L","M","M","J","V","S","D"))</f>
        <v/>
      </c>
      <c r="CV14" s="19">
        <f>IF(OR($C$9="",N($DF$9)&lt;=25),"",CHOOSE(WEEKDAY(DATE(YEAR($C$9),MONTH($C$9)+2,1)+25,2),"L","M","M","J","V","S","D"))</f>
        <v/>
      </c>
      <c r="CW14" s="19">
        <f>IF(OR($C$9="",N($DF$9)&lt;=26),"",CHOOSE(WEEKDAY(DATE(YEAR($C$9),MONTH($C$9)+2,1)+26,2),"L","M","M","J","V","S","D"))</f>
        <v/>
      </c>
      <c r="CX14" s="19">
        <f>IF(OR($C$9="",N($DF$9)&lt;=27),"",CHOOSE(WEEKDAY(DATE(YEAR($C$9),MONTH($C$9)+2,1)+27,2),"L","M","M","J","V","S","D"))</f>
        <v/>
      </c>
      <c r="CY14" s="19">
        <f>IF(OR($C$9="",N($DF$9)&lt;=28),"",CHOOSE(WEEKDAY(DATE(YEAR($C$9),MONTH($C$9)+2,1)+28,2),"L","M","M","J","V","S","D"))</f>
        <v/>
      </c>
      <c r="CZ14" s="19">
        <f>IF(OR($C$9="",N($DF$9)&lt;=29),"",CHOOSE(WEEKDAY(DATE(YEAR($C$9),MONTH($C$9)+2,1)+29,2),"L","M","M","J","V","S","D"))</f>
        <v/>
      </c>
      <c r="DA14" s="19">
        <f>IF(OR($C$9="",N($DF$9)&lt;=30),"",CHOOSE(WEEKDAY(DATE(YEAR($C$9),MONTH($C$9)+2,1)+30,2),"L","M","M","J","V","S","D"))</f>
        <v/>
      </c>
      <c r="DC14" t="inlineStr">
        <is>
          <t>S1</t>
        </is>
      </c>
      <c r="DD14" t="inlineStr">
        <is>
          <t>O1</t>
        </is>
      </c>
      <c r="DE14" t="inlineStr">
        <is>
          <t>mob1</t>
        </is>
      </c>
      <c r="DF14" t="inlineStr">
        <is>
          <t>loc1</t>
        </is>
      </c>
      <c r="DG14" t="inlineStr">
        <is>
          <t>uc1</t>
        </is>
      </c>
      <c r="DH14" t="inlineStr">
        <is>
          <t>vr1</t>
        </is>
      </c>
      <c r="DI14" t="inlineStr">
        <is>
          <t>foc1</t>
        </is>
      </c>
      <c r="DJ14" t="inlineStr">
        <is>
          <t>S2</t>
        </is>
      </c>
      <c r="DK14" t="inlineStr">
        <is>
          <t>O2</t>
        </is>
      </c>
      <c r="DL14" t="inlineStr">
        <is>
          <t>mob2</t>
        </is>
      </c>
      <c r="DM14" t="inlineStr">
        <is>
          <t>loc2</t>
        </is>
      </c>
      <c r="DN14" t="inlineStr">
        <is>
          <t>uc2</t>
        </is>
      </c>
      <c r="DO14" t="inlineStr">
        <is>
          <t>vr2</t>
        </is>
      </c>
      <c r="DP14" t="inlineStr">
        <is>
          <t>foc2</t>
        </is>
      </c>
      <c r="DQ14" t="inlineStr">
        <is>
          <t>S3</t>
        </is>
      </c>
      <c r="DR14" t="inlineStr">
        <is>
          <t>O3</t>
        </is>
      </c>
      <c r="DS14" t="inlineStr">
        <is>
          <t>mob3</t>
        </is>
      </c>
      <c r="DT14" t="inlineStr">
        <is>
          <t>loc3</t>
        </is>
      </c>
      <c r="DU14" t="inlineStr">
        <is>
          <t>uc3</t>
        </is>
      </c>
      <c r="DV14" t="inlineStr">
        <is>
          <t>vr3</t>
        </is>
      </c>
      <c r="DW14" t="inlineStr">
        <is>
          <t>foc3</t>
        </is>
      </c>
      <c r="DX14" t="inlineStr">
        <is>
          <t>mois 1er O</t>
        </is>
      </c>
    </row>
    <row r="15" ht="20" customHeight="1">
      <c r="A15" s="20" t="inlineStr">
        <is>
          <t>OPÉRATEURS   ·   tarif journalier et mob / demob (codes MOB et DEMOB dans le calendrier)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</row>
    <row r="16" ht="30" customHeight="1">
      <c r="A16" s="21" t="n"/>
      <c r="B16" s="22" t="inlineStr">
        <is>
          <t>Nom / poste</t>
        </is>
      </c>
      <c r="C16" s="21" t="n"/>
      <c r="D16" s="22" t="inlineStr">
        <is>
          <t>Stand-by
€/j</t>
        </is>
      </c>
      <c r="E16" s="22" t="inlineStr">
        <is>
          <t>Tarif jour
€</t>
        </is>
      </c>
      <c r="F16" s="22" t="inlineStr">
        <is>
          <t>Mob-Demob
€</t>
        </is>
      </c>
      <c r="G16" s="21" t="n"/>
      <c r="H16" s="21" t="n"/>
      <c r="I16" s="22" t="inlineStr">
        <is>
          <t>Nb mob
/ demob</t>
        </is>
      </c>
      <c r="J16" s="22" t="inlineStr">
        <is>
          <t>Jours
S</t>
        </is>
      </c>
      <c r="K16" s="22" t="inlineStr">
        <is>
          <t>Jours
O</t>
        </is>
      </c>
      <c r="L16" s="22" t="inlineStr">
        <is>
          <t>Total
€ HT</t>
        </is>
      </c>
    </row>
    <row r="17" ht="18" customHeight="1">
      <c r="A17" s="23" t="n"/>
      <c r="B17" s="24" t="n"/>
      <c r="C17" s="23" t="n"/>
      <c r="D17" s="25" t="n"/>
      <c r="E17" s="25" t="n"/>
      <c r="F17" s="25" t="n"/>
      <c r="G17" s="26" t="n"/>
      <c r="H17" s="26" t="n"/>
      <c r="I17" s="27">
        <f>DE17+DL17+DS17</f>
        <v/>
      </c>
      <c r="J17" s="28">
        <f>DC17+DJ17+DQ17</f>
        <v/>
      </c>
      <c r="K17" s="28">
        <f>DD17+DK17+DR17</f>
        <v/>
      </c>
      <c r="L17" s="29">
        <f>IF(B17="","",DF17+DM17+DT17+DG17+DN17+DU17)</f>
        <v/>
      </c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 t="n"/>
      <c r="BH17" s="30" t="n"/>
      <c r="BI17" s="30" t="n"/>
      <c r="BJ17" s="30" t="n"/>
      <c r="BK17" s="30" t="n"/>
      <c r="BL17" s="30" t="n"/>
      <c r="BM17" s="30" t="n"/>
      <c r="BN17" s="30" t="n"/>
      <c r="BO17" s="30" t="n"/>
      <c r="BP17" s="30" t="n"/>
      <c r="BQ17" s="30" t="n"/>
      <c r="BR17" s="30" t="n"/>
      <c r="BS17" s="30" t="n"/>
      <c r="BT17" s="30" t="n"/>
      <c r="BU17" s="30" t="n"/>
      <c r="BV17" s="30" t="n"/>
      <c r="BW17" s="30" t="n"/>
      <c r="BX17" s="30" t="n"/>
      <c r="BY17" s="30" t="n"/>
      <c r="BZ17" s="30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C17" s="31">
        <f>IF(N($DD$9)=0,0,COUNTIF(INDEX($M17:$DA17,1):INDEX($M17:$DA17,0+MAX(1,N($DD$9))),"S")+COUNTIF(INDEX($M17:$DA17,1):INDEX($M17:$DA17,0+MAX(1,N($DD$9))),"MOB")+COUNTIF(INDEX($M17:$DA17,1):INDEX($M17:$DA17,0+MAX(1,N($DD$9))),"DEMOB"))</f>
        <v/>
      </c>
      <c r="DD17" s="31">
        <f>IF(N($DD$9)=0,0,COUNTIF(INDEX($M17:$DA17,1):INDEX($M17:$DA17,0+MAX(1,N($DD$9))),"O"))</f>
        <v/>
      </c>
      <c r="DE17" s="31">
        <f>IF(N($DD$9)=0,0,COUNTIF(INDEX($M17:$DA17,1):INDEX($M17:$DA17,0+MAX(1,N($DD$9))),"MOB")+COUNTIF(INDEX($M17:$DA17,1):INDEX($M17:$DA17,0+MAX(1,N($DD$9))),"DEMOB"))</f>
        <v/>
      </c>
      <c r="DF17" s="31">
        <f>IF(B17="",0,DC17*N(D17)+DD17*N(E17))</f>
        <v/>
      </c>
      <c r="DG17" s="31">
        <f>IF(B17="",0,DE17*N(F17))</f>
        <v/>
      </c>
      <c r="DH17" s="31" t="n">
        <v>0</v>
      </c>
      <c r="DI17" s="31" t="n">
        <v>0</v>
      </c>
      <c r="DJ17" s="31">
        <f>IF(N($DE$9)=0,0,COUNTIF(INDEX($M17:$DA17,32):INDEX($M17:$DA17,31+MAX(1,N($DE$9))),"S")+COUNTIF(INDEX($M17:$DA17,32):INDEX($M17:$DA17,31+MAX(1,N($DE$9))),"MOB")+COUNTIF(INDEX($M17:$DA17,32):INDEX($M17:$DA17,31+MAX(1,N($DE$9))),"DEMOB"))</f>
        <v/>
      </c>
      <c r="DK17" s="31">
        <f>IF(N($DE$9)=0,0,COUNTIF(INDEX($M17:$DA17,32):INDEX($M17:$DA17,31+MAX(1,N($DE$9))),"O"))</f>
        <v/>
      </c>
      <c r="DL17" s="31">
        <f>IF(N($DE$9)=0,0,COUNTIF(INDEX($M17:$DA17,32):INDEX($M17:$DA17,31+MAX(1,N($DE$9))),"MOB")+COUNTIF(INDEX($M17:$DA17,32):INDEX($M17:$DA17,31+MAX(1,N($DE$9))),"DEMOB"))</f>
        <v/>
      </c>
      <c r="DM17" s="31">
        <f>IF(B17="",0,DJ17*N(D17)+DK17*N(E17))</f>
        <v/>
      </c>
      <c r="DN17" s="31">
        <f>IF(B17="",0,DL17*N(F17))</f>
        <v/>
      </c>
      <c r="DO17" s="31" t="n">
        <v>0</v>
      </c>
      <c r="DP17" s="31" t="n">
        <v>0</v>
      </c>
      <c r="DQ17" s="31">
        <f>IF(N($DF$9)=0,0,COUNTIF(INDEX($M17:$DA17,63):INDEX($M17:$DA17,62+MAX(1,N($DF$9))),"S")+COUNTIF(INDEX($M17:$DA17,63):INDEX($M17:$DA17,62+MAX(1,N($DF$9))),"MOB")+COUNTIF(INDEX($M17:$DA17,63):INDEX($M17:$DA17,62+MAX(1,N($DF$9))),"DEMOB"))</f>
        <v/>
      </c>
      <c r="DR17" s="31">
        <f>IF(N($DF$9)=0,0,COUNTIF(INDEX($M17:$DA17,63):INDEX($M17:$DA17,62+MAX(1,N($DF$9))),"O"))</f>
        <v/>
      </c>
      <c r="DS17" s="31">
        <f>IF(N($DF$9)=0,0,COUNTIF(INDEX($M17:$DA17,63):INDEX($M17:$DA17,62+MAX(1,N($DF$9))),"MOB")+COUNTIF(INDEX($M17:$DA17,63):INDEX($M17:$DA17,62+MAX(1,N($DF$9))),"DEMOB"))</f>
        <v/>
      </c>
      <c r="DT17" s="31">
        <f>IF(B17="",0,DQ17*N(D17)+DR17*N(E17))</f>
        <v/>
      </c>
      <c r="DU17" s="31">
        <f>IF(B17="",0,DS17*N(F17))</f>
        <v/>
      </c>
      <c r="DV17" s="31" t="n">
        <v>0</v>
      </c>
      <c r="DW17" s="31" t="n">
        <v>0</v>
      </c>
      <c r="DX17" s="31" t="n">
        <v>0</v>
      </c>
      <c r="DY17" s="31" t="n">
        <v>0</v>
      </c>
      <c r="DZ17" s="31" t="n">
        <v>0</v>
      </c>
      <c r="EA17" s="31" t="n">
        <v>0</v>
      </c>
    </row>
    <row r="18" ht="18" customHeight="1">
      <c r="A18" s="23" t="n"/>
      <c r="B18" s="24" t="n"/>
      <c r="C18" s="23" t="n"/>
      <c r="D18" s="25" t="n"/>
      <c r="E18" s="25" t="n"/>
      <c r="F18" s="25" t="n"/>
      <c r="G18" s="26" t="n"/>
      <c r="H18" s="26" t="n"/>
      <c r="I18" s="27">
        <f>DE18+DL18+DS18</f>
        <v/>
      </c>
      <c r="J18" s="28">
        <f>DC18+DJ18+DQ18</f>
        <v/>
      </c>
      <c r="K18" s="28">
        <f>DD18+DK18+DR18</f>
        <v/>
      </c>
      <c r="L18" s="29">
        <f>IF(B18="","",DF18+DM18+DT18+DG18+DN18+DU18)</f>
        <v/>
      </c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  <c r="AH18" s="30" t="n"/>
      <c r="AI18" s="30" t="n"/>
      <c r="AJ18" s="30" t="n"/>
      <c r="AK18" s="30" t="n"/>
      <c r="AL18" s="30" t="n"/>
      <c r="AM18" s="30" t="n"/>
      <c r="AN18" s="30" t="n"/>
      <c r="AO18" s="30" t="n"/>
      <c r="AP18" s="30" t="n"/>
      <c r="AQ18" s="30" t="n"/>
      <c r="AR18" s="30" t="n"/>
      <c r="AS18" s="30" t="n"/>
      <c r="AT18" s="30" t="n"/>
      <c r="AU18" s="30" t="n"/>
      <c r="AV18" s="30" t="n"/>
      <c r="AW18" s="30" t="n"/>
      <c r="AX18" s="30" t="n"/>
      <c r="AY18" s="30" t="n"/>
      <c r="AZ18" s="30" t="n"/>
      <c r="BA18" s="30" t="n"/>
      <c r="BB18" s="30" t="n"/>
      <c r="BC18" s="30" t="n"/>
      <c r="BD18" s="30" t="n"/>
      <c r="BE18" s="30" t="n"/>
      <c r="BF18" s="30" t="n"/>
      <c r="BG18" s="30" t="n"/>
      <c r="BH18" s="30" t="n"/>
      <c r="BI18" s="30" t="n"/>
      <c r="BJ18" s="30" t="n"/>
      <c r="BK18" s="30" t="n"/>
      <c r="BL18" s="30" t="n"/>
      <c r="BM18" s="30" t="n"/>
      <c r="BN18" s="30" t="n"/>
      <c r="BO18" s="30" t="n"/>
      <c r="BP18" s="30" t="n"/>
      <c r="BQ18" s="30" t="n"/>
      <c r="BR18" s="30" t="n"/>
      <c r="BS18" s="30" t="n"/>
      <c r="BT18" s="30" t="n"/>
      <c r="BU18" s="30" t="n"/>
      <c r="BV18" s="30" t="n"/>
      <c r="BW18" s="30" t="n"/>
      <c r="BX18" s="30" t="n"/>
      <c r="BY18" s="30" t="n"/>
      <c r="BZ18" s="30" t="n"/>
      <c r="CA18" s="30" t="n"/>
      <c r="CB18" s="30" t="n"/>
      <c r="CC18" s="30" t="n"/>
      <c r="CD18" s="30" t="n"/>
      <c r="CE18" s="30" t="n"/>
      <c r="CF18" s="30" t="n"/>
      <c r="CG18" s="30" t="n"/>
      <c r="CH18" s="30" t="n"/>
      <c r="CI18" s="30" t="n"/>
      <c r="CJ18" s="30" t="n"/>
      <c r="CK18" s="30" t="n"/>
      <c r="CL18" s="30" t="n"/>
      <c r="CM18" s="30" t="n"/>
      <c r="CN18" s="30" t="n"/>
      <c r="CO18" s="30" t="n"/>
      <c r="CP18" s="30" t="n"/>
      <c r="CQ18" s="30" t="n"/>
      <c r="CR18" s="30" t="n"/>
      <c r="CS18" s="30" t="n"/>
      <c r="CT18" s="30" t="n"/>
      <c r="CU18" s="30" t="n"/>
      <c r="CV18" s="30" t="n"/>
      <c r="CW18" s="30" t="n"/>
      <c r="CX18" s="30" t="n"/>
      <c r="CY18" s="30" t="n"/>
      <c r="CZ18" s="30" t="n"/>
      <c r="DA18" s="30" t="n"/>
      <c r="DC18" s="31">
        <f>IF(N($DD$9)=0,0,COUNTIF(INDEX($M18:$DA18,1):INDEX($M18:$DA18,0+MAX(1,N($DD$9))),"S")+COUNTIF(INDEX($M18:$DA18,1):INDEX($M18:$DA18,0+MAX(1,N($DD$9))),"MOB")+COUNTIF(INDEX($M18:$DA18,1):INDEX($M18:$DA18,0+MAX(1,N($DD$9))),"DEMOB"))</f>
        <v/>
      </c>
      <c r="DD18" s="31">
        <f>IF(N($DD$9)=0,0,COUNTIF(INDEX($M18:$DA18,1):INDEX($M18:$DA18,0+MAX(1,N($DD$9))),"O"))</f>
        <v/>
      </c>
      <c r="DE18" s="31">
        <f>IF(N($DD$9)=0,0,COUNTIF(INDEX($M18:$DA18,1):INDEX($M18:$DA18,0+MAX(1,N($DD$9))),"MOB")+COUNTIF(INDEX($M18:$DA18,1):INDEX($M18:$DA18,0+MAX(1,N($DD$9))),"DEMOB"))</f>
        <v/>
      </c>
      <c r="DF18" s="31">
        <f>IF(B18="",0,DC18*N(D18)+DD18*N(E18))</f>
        <v/>
      </c>
      <c r="DG18" s="31">
        <f>IF(B18="",0,DE18*N(F18))</f>
        <v/>
      </c>
      <c r="DH18" s="31" t="n">
        <v>0</v>
      </c>
      <c r="DI18" s="31" t="n">
        <v>0</v>
      </c>
      <c r="DJ18" s="31">
        <f>IF(N($DE$9)=0,0,COUNTIF(INDEX($M18:$DA18,32):INDEX($M18:$DA18,31+MAX(1,N($DE$9))),"S")+COUNTIF(INDEX($M18:$DA18,32):INDEX($M18:$DA18,31+MAX(1,N($DE$9))),"MOB")+COUNTIF(INDEX($M18:$DA18,32):INDEX($M18:$DA18,31+MAX(1,N($DE$9))),"DEMOB"))</f>
        <v/>
      </c>
      <c r="DK18" s="31">
        <f>IF(N($DE$9)=0,0,COUNTIF(INDEX($M18:$DA18,32):INDEX($M18:$DA18,31+MAX(1,N($DE$9))),"O"))</f>
        <v/>
      </c>
      <c r="DL18" s="31">
        <f>IF(N($DE$9)=0,0,COUNTIF(INDEX($M18:$DA18,32):INDEX($M18:$DA18,31+MAX(1,N($DE$9))),"MOB")+COUNTIF(INDEX($M18:$DA18,32):INDEX($M18:$DA18,31+MAX(1,N($DE$9))),"DEMOB"))</f>
        <v/>
      </c>
      <c r="DM18" s="31">
        <f>IF(B18="",0,DJ18*N(D18)+DK18*N(E18))</f>
        <v/>
      </c>
      <c r="DN18" s="31">
        <f>IF(B18="",0,DL18*N(F18))</f>
        <v/>
      </c>
      <c r="DO18" s="31" t="n">
        <v>0</v>
      </c>
      <c r="DP18" s="31" t="n">
        <v>0</v>
      </c>
      <c r="DQ18" s="31">
        <f>IF(N($DF$9)=0,0,COUNTIF(INDEX($M18:$DA18,63):INDEX($M18:$DA18,62+MAX(1,N($DF$9))),"S")+COUNTIF(INDEX($M18:$DA18,63):INDEX($M18:$DA18,62+MAX(1,N($DF$9))),"MOB")+COUNTIF(INDEX($M18:$DA18,63):INDEX($M18:$DA18,62+MAX(1,N($DF$9))),"DEMOB"))</f>
        <v/>
      </c>
      <c r="DR18" s="31">
        <f>IF(N($DF$9)=0,0,COUNTIF(INDEX($M18:$DA18,63):INDEX($M18:$DA18,62+MAX(1,N($DF$9))),"O"))</f>
        <v/>
      </c>
      <c r="DS18" s="31">
        <f>IF(N($DF$9)=0,0,COUNTIF(INDEX($M18:$DA18,63):INDEX($M18:$DA18,62+MAX(1,N($DF$9))),"MOB")+COUNTIF(INDEX($M18:$DA18,63):INDEX($M18:$DA18,62+MAX(1,N($DF$9))),"DEMOB"))</f>
        <v/>
      </c>
      <c r="DT18" s="31">
        <f>IF(B18="",0,DQ18*N(D18)+DR18*N(E18))</f>
        <v/>
      </c>
      <c r="DU18" s="31">
        <f>IF(B18="",0,DS18*N(F18))</f>
        <v/>
      </c>
      <c r="DV18" s="31" t="n">
        <v>0</v>
      </c>
      <c r="DW18" s="31" t="n">
        <v>0</v>
      </c>
      <c r="DX18" s="31" t="n">
        <v>0</v>
      </c>
      <c r="DY18" s="31" t="n">
        <v>0</v>
      </c>
      <c r="DZ18" s="31" t="n">
        <v>0</v>
      </c>
      <c r="EA18" s="31" t="n">
        <v>0</v>
      </c>
    </row>
    <row r="19" ht="18" customHeight="1">
      <c r="A19" s="23" t="n"/>
      <c r="B19" s="24" t="n"/>
      <c r="C19" s="23" t="n"/>
      <c r="D19" s="25" t="n"/>
      <c r="E19" s="25" t="n"/>
      <c r="F19" s="25" t="n"/>
      <c r="G19" s="26" t="n"/>
      <c r="H19" s="26" t="n"/>
      <c r="I19" s="27">
        <f>DE19+DL19+DS19</f>
        <v/>
      </c>
      <c r="J19" s="28">
        <f>DC19+DJ19+DQ19</f>
        <v/>
      </c>
      <c r="K19" s="28">
        <f>DD19+DK19+DR19</f>
        <v/>
      </c>
      <c r="L19" s="29">
        <f>IF(B19="","",DF19+DM19+DT19+DG19+DN19+DU19)</f>
        <v/>
      </c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0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30" t="n"/>
      <c r="BB19" s="30" t="n"/>
      <c r="BC19" s="30" t="n"/>
      <c r="BD19" s="30" t="n"/>
      <c r="BE19" s="30" t="n"/>
      <c r="BF19" s="30" t="n"/>
      <c r="BG19" s="30" t="n"/>
      <c r="BH19" s="30" t="n"/>
      <c r="BI19" s="30" t="n"/>
      <c r="BJ19" s="30" t="n"/>
      <c r="BK19" s="30" t="n"/>
      <c r="BL19" s="30" t="n"/>
      <c r="BM19" s="30" t="n"/>
      <c r="BN19" s="30" t="n"/>
      <c r="BO19" s="30" t="n"/>
      <c r="BP19" s="30" t="n"/>
      <c r="BQ19" s="30" t="n"/>
      <c r="BR19" s="30" t="n"/>
      <c r="BS19" s="30" t="n"/>
      <c r="BT19" s="30" t="n"/>
      <c r="BU19" s="30" t="n"/>
      <c r="BV19" s="30" t="n"/>
      <c r="BW19" s="30" t="n"/>
      <c r="BX19" s="30" t="n"/>
      <c r="BY19" s="30" t="n"/>
      <c r="BZ19" s="30" t="n"/>
      <c r="CA19" s="30" t="n"/>
      <c r="CB19" s="30" t="n"/>
      <c r="CC19" s="30" t="n"/>
      <c r="CD19" s="30" t="n"/>
      <c r="CE19" s="30" t="n"/>
      <c r="CF19" s="30" t="n"/>
      <c r="CG19" s="30" t="n"/>
      <c r="CH19" s="30" t="n"/>
      <c r="CI19" s="30" t="n"/>
      <c r="CJ19" s="30" t="n"/>
      <c r="CK19" s="30" t="n"/>
      <c r="CL19" s="30" t="n"/>
      <c r="CM19" s="30" t="n"/>
      <c r="CN19" s="30" t="n"/>
      <c r="CO19" s="30" t="n"/>
      <c r="CP19" s="30" t="n"/>
      <c r="CQ19" s="30" t="n"/>
      <c r="CR19" s="30" t="n"/>
      <c r="CS19" s="30" t="n"/>
      <c r="CT19" s="30" t="n"/>
      <c r="CU19" s="30" t="n"/>
      <c r="CV19" s="30" t="n"/>
      <c r="CW19" s="30" t="n"/>
      <c r="CX19" s="30" t="n"/>
      <c r="CY19" s="30" t="n"/>
      <c r="CZ19" s="30" t="n"/>
      <c r="DA19" s="30" t="n"/>
      <c r="DC19" s="31">
        <f>IF(N($DD$9)=0,0,COUNTIF(INDEX($M19:$DA19,1):INDEX($M19:$DA19,0+MAX(1,N($DD$9))),"S")+COUNTIF(INDEX($M19:$DA19,1):INDEX($M19:$DA19,0+MAX(1,N($DD$9))),"MOB")+COUNTIF(INDEX($M19:$DA19,1):INDEX($M19:$DA19,0+MAX(1,N($DD$9))),"DEMOB"))</f>
        <v/>
      </c>
      <c r="DD19" s="31">
        <f>IF(N($DD$9)=0,0,COUNTIF(INDEX($M19:$DA19,1):INDEX($M19:$DA19,0+MAX(1,N($DD$9))),"O"))</f>
        <v/>
      </c>
      <c r="DE19" s="31">
        <f>IF(N($DD$9)=0,0,COUNTIF(INDEX($M19:$DA19,1):INDEX($M19:$DA19,0+MAX(1,N($DD$9))),"MOB")+COUNTIF(INDEX($M19:$DA19,1):INDEX($M19:$DA19,0+MAX(1,N($DD$9))),"DEMOB"))</f>
        <v/>
      </c>
      <c r="DF19" s="31">
        <f>IF(B19="",0,DC19*N(D19)+DD19*N(E19))</f>
        <v/>
      </c>
      <c r="DG19" s="31">
        <f>IF(B19="",0,DE19*N(F19))</f>
        <v/>
      </c>
      <c r="DH19" s="31" t="n">
        <v>0</v>
      </c>
      <c r="DI19" s="31" t="n">
        <v>0</v>
      </c>
      <c r="DJ19" s="31">
        <f>IF(N($DE$9)=0,0,COUNTIF(INDEX($M19:$DA19,32):INDEX($M19:$DA19,31+MAX(1,N($DE$9))),"S")+COUNTIF(INDEX($M19:$DA19,32):INDEX($M19:$DA19,31+MAX(1,N($DE$9))),"MOB")+COUNTIF(INDEX($M19:$DA19,32):INDEX($M19:$DA19,31+MAX(1,N($DE$9))),"DEMOB"))</f>
        <v/>
      </c>
      <c r="DK19" s="31">
        <f>IF(N($DE$9)=0,0,COUNTIF(INDEX($M19:$DA19,32):INDEX($M19:$DA19,31+MAX(1,N($DE$9))),"O"))</f>
        <v/>
      </c>
      <c r="DL19" s="31">
        <f>IF(N($DE$9)=0,0,COUNTIF(INDEX($M19:$DA19,32):INDEX($M19:$DA19,31+MAX(1,N($DE$9))),"MOB")+COUNTIF(INDEX($M19:$DA19,32):INDEX($M19:$DA19,31+MAX(1,N($DE$9))),"DEMOB"))</f>
        <v/>
      </c>
      <c r="DM19" s="31">
        <f>IF(B19="",0,DJ19*N(D19)+DK19*N(E19))</f>
        <v/>
      </c>
      <c r="DN19" s="31">
        <f>IF(B19="",0,DL19*N(F19))</f>
        <v/>
      </c>
      <c r="DO19" s="31" t="n">
        <v>0</v>
      </c>
      <c r="DP19" s="31" t="n">
        <v>0</v>
      </c>
      <c r="DQ19" s="31">
        <f>IF(N($DF$9)=0,0,COUNTIF(INDEX($M19:$DA19,63):INDEX($M19:$DA19,62+MAX(1,N($DF$9))),"S")+COUNTIF(INDEX($M19:$DA19,63):INDEX($M19:$DA19,62+MAX(1,N($DF$9))),"MOB")+COUNTIF(INDEX($M19:$DA19,63):INDEX($M19:$DA19,62+MAX(1,N($DF$9))),"DEMOB"))</f>
        <v/>
      </c>
      <c r="DR19" s="31">
        <f>IF(N($DF$9)=0,0,COUNTIF(INDEX($M19:$DA19,63):INDEX($M19:$DA19,62+MAX(1,N($DF$9))),"O"))</f>
        <v/>
      </c>
      <c r="DS19" s="31">
        <f>IF(N($DF$9)=0,0,COUNTIF(INDEX($M19:$DA19,63):INDEX($M19:$DA19,62+MAX(1,N($DF$9))),"MOB")+COUNTIF(INDEX($M19:$DA19,63):INDEX($M19:$DA19,62+MAX(1,N($DF$9))),"DEMOB"))</f>
        <v/>
      </c>
      <c r="DT19" s="31">
        <f>IF(B19="",0,DQ19*N(D19)+DR19*N(E19))</f>
        <v/>
      </c>
      <c r="DU19" s="31">
        <f>IF(B19="",0,DS19*N(F19))</f>
        <v/>
      </c>
      <c r="DV19" s="31" t="n">
        <v>0</v>
      </c>
      <c r="DW19" s="31" t="n">
        <v>0</v>
      </c>
      <c r="DX19" s="31" t="n">
        <v>0</v>
      </c>
      <c r="DY19" s="31" t="n">
        <v>0</v>
      </c>
      <c r="DZ19" s="31" t="n">
        <v>0</v>
      </c>
      <c r="EA19" s="31" t="n">
        <v>0</v>
      </c>
    </row>
    <row r="21" ht="20" customHeight="1">
      <c r="A21" s="20" t="inlineStr">
        <is>
          <t>MATÉRIEL LOUÉ   ·   copier les colonnes C à J de l’onglet « 2 Matériel » du devis et les coller en B22   ·   « UC déjà facturée » : Oui si l’UC a été facturée sur un ticket précédent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</row>
    <row r="22" ht="18" customHeight="1">
      <c r="A22" s="32" t="n"/>
      <c r="B22" s="24" t="n"/>
      <c r="C22" s="32" t="n"/>
      <c r="D22" s="25" t="n"/>
      <c r="E22" s="25" t="n"/>
      <c r="F22" s="25" t="n"/>
      <c r="G22" s="25" t="n"/>
      <c r="H22" s="25" t="n"/>
      <c r="I22" s="25" t="n"/>
      <c r="J22" s="28">
        <f>IF(B22="","",DC22+DJ22+DQ22)</f>
        <v/>
      </c>
      <c r="K22" s="28">
        <f>IF(B22="","",DD22+DK22+DR22)</f>
        <v/>
      </c>
      <c r="L22" s="29">
        <f>IF(B22="","",DF22+DM22+DT22+DG22+DN22+DU22+DH22+DO22+DV22)</f>
        <v/>
      </c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0" t="n"/>
      <c r="AH22" s="30" t="n"/>
      <c r="AI22" s="30" t="n"/>
      <c r="AJ22" s="30" t="n"/>
      <c r="AK22" s="30" t="n"/>
      <c r="AL22" s="30" t="n"/>
      <c r="AM22" s="30" t="n"/>
      <c r="AN22" s="30" t="n"/>
      <c r="AO22" s="30" t="n"/>
      <c r="AP22" s="30" t="n"/>
      <c r="AQ22" s="30" t="n"/>
      <c r="AR22" s="30" t="n"/>
      <c r="AS22" s="30" t="n"/>
      <c r="AT22" s="30" t="n"/>
      <c r="AU22" s="30" t="n"/>
      <c r="AV22" s="30" t="n"/>
      <c r="AW22" s="30" t="n"/>
      <c r="AX22" s="30" t="n"/>
      <c r="AY22" s="30" t="n"/>
      <c r="AZ22" s="30" t="n"/>
      <c r="BA22" s="30" t="n"/>
      <c r="BB22" s="30" t="n"/>
      <c r="BC22" s="30" t="n"/>
      <c r="BD22" s="30" t="n"/>
      <c r="BE22" s="30" t="n"/>
      <c r="BF22" s="30" t="n"/>
      <c r="BG22" s="30" t="n"/>
      <c r="BH22" s="30" t="n"/>
      <c r="BI22" s="30" t="n"/>
      <c r="BJ22" s="30" t="n"/>
      <c r="BK22" s="30" t="n"/>
      <c r="BL22" s="30" t="n"/>
      <c r="BM22" s="30" t="n"/>
      <c r="BN22" s="30" t="n"/>
      <c r="BO22" s="30" t="n"/>
      <c r="BP22" s="30" t="n"/>
      <c r="BQ22" s="30" t="n"/>
      <c r="BR22" s="30" t="n"/>
      <c r="BS22" s="30" t="n"/>
      <c r="BT22" s="30" t="n"/>
      <c r="BU22" s="30" t="n"/>
      <c r="BV22" s="30" t="n"/>
      <c r="BW22" s="30" t="n"/>
      <c r="BX22" s="30" t="n"/>
      <c r="BY22" s="30" t="n"/>
      <c r="BZ22" s="30" t="n"/>
      <c r="CA22" s="30" t="n"/>
      <c r="CB22" s="30" t="n"/>
      <c r="CC22" s="30" t="n"/>
      <c r="CD22" s="30" t="n"/>
      <c r="CE22" s="30" t="n"/>
      <c r="CF22" s="30" t="n"/>
      <c r="CG22" s="30" t="n"/>
      <c r="CH22" s="30" t="n"/>
      <c r="CI22" s="30" t="n"/>
      <c r="CJ22" s="30" t="n"/>
      <c r="CK22" s="30" t="n"/>
      <c r="CL22" s="30" t="n"/>
      <c r="CM22" s="30" t="n"/>
      <c r="CN22" s="30" t="n"/>
      <c r="CO22" s="30" t="n"/>
      <c r="CP22" s="30" t="n"/>
      <c r="CQ22" s="30" t="n"/>
      <c r="CR22" s="30" t="n"/>
      <c r="CS22" s="30" t="n"/>
      <c r="CT22" s="30" t="n"/>
      <c r="CU22" s="30" t="n"/>
      <c r="CV22" s="30" t="n"/>
      <c r="CW22" s="30" t="n"/>
      <c r="CX22" s="30" t="n"/>
      <c r="CY22" s="30" t="n"/>
      <c r="CZ22" s="30" t="n"/>
      <c r="DA22" s="30" t="n"/>
      <c r="DC22" s="31">
        <f>IF(N($DD$9)=0,0,COUNTIF(INDEX($M22:$DA22,1):INDEX($M22:$DA22,0+MAX(1,N($DD$9))),"S")+COUNTIF(INDEX($M22:$DA22,1):INDEX($M22:$DA22,0+MAX(1,N($DD$9))),"MOB")+COUNTIF(INDEX($M22:$DA22,1):INDEX($M22:$DA22,0+MAX(1,N($DD$9))),"DEMOB"))</f>
        <v/>
      </c>
      <c r="DD22" s="31">
        <f>IF(N($DD$9)=0,0,COUNTIF(INDEX($M22:$DA22,1):INDEX($M22:$DA22,0+MAX(1,N($DD$9))),"O"))</f>
        <v/>
      </c>
      <c r="DE22" s="31">
        <f>IF(N($DD$9)=0,0,COUNTIF(INDEX($M22:$DA22,1):INDEX($M22:$DA22,0+MAX(1,N($DD$9))),"MOB")+COUNTIF(INDEX($M22:$DA22,1):INDEX($M22:$DA22,0+MAX(1,N($DD$9))),"DEMOB"))</f>
        <v/>
      </c>
      <c r="DF22" s="31">
        <f>IF(B22="",0,IF(N(C22)&gt;0,C22,1)*(DC22*N(D22)+DD22*N(E22)))</f>
        <v/>
      </c>
      <c r="DG22" s="31">
        <f>IF(OR(B22="",A22="Oui",DX22&lt;&gt;1),0,IF(N(C22)&gt;0,C22,1)*(N(F22)+N(H22)))</f>
        <v/>
      </c>
      <c r="DH22" s="31">
        <f>IF(OR(B22="",N($DD$9)=0),0,IF(N(C22)&gt;0,C22,1)*(IF((COUNTIF(INDEX($M22:$DA22,1):INDEX($M22:$DA22,0+MAX(1,N($DD$9))),"VR"))&gt;0,N(G22),0)+IF((COUNTIF(INDEX($M22:$DA22,1):INDEX($M22:$DA22,0+MAX(1,N($DD$9))),"RC"))&gt;0,N(I22),0)))</f>
        <v/>
      </c>
      <c r="DI22" s="31">
        <f>IF(OR(B22="",N($DD$9)=0),0,IF(N(C22)&gt;0,C22,1)*(COUNTIF(INDEX($M22:$DA22,1):INDEX($M22:$DA22,0+MAX(1,N($DD$9))),"FOC"))*N(E22))</f>
        <v/>
      </c>
      <c r="DJ22" s="31">
        <f>IF(N($DE$9)=0,0,COUNTIF(INDEX($M22:$DA22,32):INDEX($M22:$DA22,31+MAX(1,N($DE$9))),"S")+COUNTIF(INDEX($M22:$DA22,32):INDEX($M22:$DA22,31+MAX(1,N($DE$9))),"MOB")+COUNTIF(INDEX($M22:$DA22,32):INDEX($M22:$DA22,31+MAX(1,N($DE$9))),"DEMOB"))</f>
        <v/>
      </c>
      <c r="DK22" s="31">
        <f>IF(N($DE$9)=0,0,COUNTIF(INDEX($M22:$DA22,32):INDEX($M22:$DA22,31+MAX(1,N($DE$9))),"O"))</f>
        <v/>
      </c>
      <c r="DL22" s="31">
        <f>IF(N($DE$9)=0,0,COUNTIF(INDEX($M22:$DA22,32):INDEX($M22:$DA22,31+MAX(1,N($DE$9))),"MOB")+COUNTIF(INDEX($M22:$DA22,32):INDEX($M22:$DA22,31+MAX(1,N($DE$9))),"DEMOB"))</f>
        <v/>
      </c>
      <c r="DM22" s="31">
        <f>IF(B22="",0,IF(N(C22)&gt;0,C22,1)*(DJ22*N(D22)+DK22*N(E22)))</f>
        <v/>
      </c>
      <c r="DN22" s="31">
        <f>IF(OR(B22="",A22="Oui",DX22&lt;&gt;2),0,IF(N(C22)&gt;0,C22,1)*(N(F22)+N(H22)))</f>
        <v/>
      </c>
      <c r="DO22" s="31">
        <f>IF(OR(B22="",N($DE$9)=0),0,IF(N(C22)&gt;0,C22,1)*(IF((COUNTIF(INDEX($M22:$DA22,32):INDEX($M22:$DA22,31+MAX(1,N($DE$9))),"VR"))&gt;0,N(G22),0)+IF((COUNTIF(INDEX($M22:$DA22,32):INDEX($M22:$DA22,31+MAX(1,N($DE$9))),"RC"))&gt;0,N(I22),0)))</f>
        <v/>
      </c>
      <c r="DP22" s="31">
        <f>IF(OR(B22="",N($DE$9)=0),0,IF(N(C22)&gt;0,C22,1)*(COUNTIF(INDEX($M22:$DA22,32):INDEX($M22:$DA22,31+MAX(1,N($DE$9))),"FOC"))*N(E22))</f>
        <v/>
      </c>
      <c r="DQ22" s="31">
        <f>IF(N($DF$9)=0,0,COUNTIF(INDEX($M22:$DA22,63):INDEX($M22:$DA22,62+MAX(1,N($DF$9))),"S")+COUNTIF(INDEX($M22:$DA22,63):INDEX($M22:$DA22,62+MAX(1,N($DF$9))),"MOB")+COUNTIF(INDEX($M22:$DA22,63):INDEX($M22:$DA22,62+MAX(1,N($DF$9))),"DEMOB"))</f>
        <v/>
      </c>
      <c r="DR22" s="31">
        <f>IF(N($DF$9)=0,0,COUNTIF(INDEX($M22:$DA22,63):INDEX($M22:$DA22,62+MAX(1,N($DF$9))),"O"))</f>
        <v/>
      </c>
      <c r="DS22" s="31">
        <f>IF(N($DF$9)=0,0,COUNTIF(INDEX($M22:$DA22,63):INDEX($M22:$DA22,62+MAX(1,N($DF$9))),"MOB")+COUNTIF(INDEX($M22:$DA22,63):INDEX($M22:$DA22,62+MAX(1,N($DF$9))),"DEMOB"))</f>
        <v/>
      </c>
      <c r="DT22" s="31">
        <f>IF(B22="",0,IF(N(C22)&gt;0,C22,1)*(DQ22*N(D22)+DR22*N(E22)))</f>
        <v/>
      </c>
      <c r="DU22" s="31">
        <f>IF(OR(B22="",A22="Oui",DX22&lt;&gt;3),0,IF(N(C22)&gt;0,C22,1)*(N(F22)+N(H22)))</f>
        <v/>
      </c>
      <c r="DV22" s="31">
        <f>IF(OR(B22="",N($DF$9)=0),0,IF(N(C22)&gt;0,C22,1)*(IF((COUNTIF(INDEX($M22:$DA22,63):INDEX($M22:$DA22,62+MAX(1,N($DF$9))),"VR"))&gt;0,N(G22),0)+IF((COUNTIF(INDEX($M22:$DA22,63):INDEX($M22:$DA22,62+MAX(1,N($DF$9))),"RC"))&gt;0,N(I22),0)))</f>
        <v/>
      </c>
      <c r="DW22" s="31">
        <f>IF(OR(B22="",N($DF$9)=0),0,IF(N(C22)&gt;0,C22,1)*(COUNTIF(INDEX($M22:$DA22,63):INDEX($M22:$DA22,62+MAX(1,N($DF$9))),"FOC"))*N(E22))</f>
        <v/>
      </c>
      <c r="DX22" s="31">
        <f>IF(B22="",0,IF(DD22&gt;0,1,IF(DK22&gt;0,2,IF(DR22&gt;0,3,0))))</f>
        <v/>
      </c>
      <c r="DY22" s="31" t="n"/>
      <c r="DZ22" s="31" t="n"/>
      <c r="EA22" s="31" t="n"/>
    </row>
    <row r="23" ht="18" customHeight="1">
      <c r="A23" s="32" t="n"/>
      <c r="B23" s="24" t="n"/>
      <c r="C23" s="32" t="n"/>
      <c r="D23" s="25" t="n"/>
      <c r="E23" s="25" t="n"/>
      <c r="F23" s="25" t="n"/>
      <c r="G23" s="25" t="n"/>
      <c r="H23" s="25" t="n"/>
      <c r="I23" s="25" t="n"/>
      <c r="J23" s="28">
        <f>IF(B23="","",DC23+DJ23+DQ23)</f>
        <v/>
      </c>
      <c r="K23" s="28">
        <f>IF(B23="","",DD23+DK23+DR23)</f>
        <v/>
      </c>
      <c r="L23" s="29">
        <f>IF(B23="","",DF23+DM23+DT23+DG23+DN23+DU23+DH23+DO23+DV23)</f>
        <v/>
      </c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0" t="n"/>
      <c r="BG23" s="30" t="n"/>
      <c r="BH23" s="30" t="n"/>
      <c r="BI23" s="30" t="n"/>
      <c r="BJ23" s="30" t="n"/>
      <c r="BK23" s="30" t="n"/>
      <c r="BL23" s="30" t="n"/>
      <c r="BM23" s="30" t="n"/>
      <c r="BN23" s="30" t="n"/>
      <c r="BO23" s="30" t="n"/>
      <c r="BP23" s="30" t="n"/>
      <c r="BQ23" s="30" t="n"/>
      <c r="BR23" s="30" t="n"/>
      <c r="BS23" s="30" t="n"/>
      <c r="BT23" s="30" t="n"/>
      <c r="BU23" s="30" t="n"/>
      <c r="BV23" s="30" t="n"/>
      <c r="BW23" s="30" t="n"/>
      <c r="BX23" s="30" t="n"/>
      <c r="BY23" s="30" t="n"/>
      <c r="BZ23" s="30" t="n"/>
      <c r="CA23" s="30" t="n"/>
      <c r="CB23" s="30" t="n"/>
      <c r="CC23" s="30" t="n"/>
      <c r="CD23" s="30" t="n"/>
      <c r="CE23" s="30" t="n"/>
      <c r="CF23" s="30" t="n"/>
      <c r="CG23" s="30" t="n"/>
      <c r="CH23" s="30" t="n"/>
      <c r="CI23" s="30" t="n"/>
      <c r="CJ23" s="30" t="n"/>
      <c r="CK23" s="30" t="n"/>
      <c r="CL23" s="30" t="n"/>
      <c r="CM23" s="30" t="n"/>
      <c r="CN23" s="30" t="n"/>
      <c r="CO23" s="30" t="n"/>
      <c r="CP23" s="30" t="n"/>
      <c r="CQ23" s="30" t="n"/>
      <c r="CR23" s="30" t="n"/>
      <c r="CS23" s="30" t="n"/>
      <c r="CT23" s="30" t="n"/>
      <c r="CU23" s="30" t="n"/>
      <c r="CV23" s="30" t="n"/>
      <c r="CW23" s="30" t="n"/>
      <c r="CX23" s="30" t="n"/>
      <c r="CY23" s="30" t="n"/>
      <c r="CZ23" s="30" t="n"/>
      <c r="DA23" s="30" t="n"/>
      <c r="DC23" s="31">
        <f>IF(N($DD$9)=0,0,COUNTIF(INDEX($M23:$DA23,1):INDEX($M23:$DA23,0+MAX(1,N($DD$9))),"S")+COUNTIF(INDEX($M23:$DA23,1):INDEX($M23:$DA23,0+MAX(1,N($DD$9))),"MOB")+COUNTIF(INDEX($M23:$DA23,1):INDEX($M23:$DA23,0+MAX(1,N($DD$9))),"DEMOB"))</f>
        <v/>
      </c>
      <c r="DD23" s="31">
        <f>IF(N($DD$9)=0,0,COUNTIF(INDEX($M23:$DA23,1):INDEX($M23:$DA23,0+MAX(1,N($DD$9))),"O"))</f>
        <v/>
      </c>
      <c r="DE23" s="31">
        <f>IF(N($DD$9)=0,0,COUNTIF(INDEX($M23:$DA23,1):INDEX($M23:$DA23,0+MAX(1,N($DD$9))),"MOB")+COUNTIF(INDEX($M23:$DA23,1):INDEX($M23:$DA23,0+MAX(1,N($DD$9))),"DEMOB"))</f>
        <v/>
      </c>
      <c r="DF23" s="31">
        <f>IF(B23="",0,IF(N(C23)&gt;0,C23,1)*(DC23*N(D23)+DD23*N(E23)))</f>
        <v/>
      </c>
      <c r="DG23" s="31">
        <f>IF(OR(B23="",A23="Oui",DX23&lt;&gt;1),0,IF(N(C23)&gt;0,C23,1)*(N(F23)+N(H23)))</f>
        <v/>
      </c>
      <c r="DH23" s="31">
        <f>IF(OR(B23="",N($DD$9)=0),0,IF(N(C23)&gt;0,C23,1)*(IF((COUNTIF(INDEX($M23:$DA23,1):INDEX($M23:$DA23,0+MAX(1,N($DD$9))),"VR"))&gt;0,N(G23),0)+IF((COUNTIF(INDEX($M23:$DA23,1):INDEX($M23:$DA23,0+MAX(1,N($DD$9))),"RC"))&gt;0,N(I23),0)))</f>
        <v/>
      </c>
      <c r="DI23" s="31">
        <f>IF(OR(B23="",N($DD$9)=0),0,IF(N(C23)&gt;0,C23,1)*(COUNTIF(INDEX($M23:$DA23,1):INDEX($M23:$DA23,0+MAX(1,N($DD$9))),"FOC"))*N(E23))</f>
        <v/>
      </c>
      <c r="DJ23" s="31">
        <f>IF(N($DE$9)=0,0,COUNTIF(INDEX($M23:$DA23,32):INDEX($M23:$DA23,31+MAX(1,N($DE$9))),"S")+COUNTIF(INDEX($M23:$DA23,32):INDEX($M23:$DA23,31+MAX(1,N($DE$9))),"MOB")+COUNTIF(INDEX($M23:$DA23,32):INDEX($M23:$DA23,31+MAX(1,N($DE$9))),"DEMOB"))</f>
        <v/>
      </c>
      <c r="DK23" s="31">
        <f>IF(N($DE$9)=0,0,COUNTIF(INDEX($M23:$DA23,32):INDEX($M23:$DA23,31+MAX(1,N($DE$9))),"O"))</f>
        <v/>
      </c>
      <c r="DL23" s="31">
        <f>IF(N($DE$9)=0,0,COUNTIF(INDEX($M23:$DA23,32):INDEX($M23:$DA23,31+MAX(1,N($DE$9))),"MOB")+COUNTIF(INDEX($M23:$DA23,32):INDEX($M23:$DA23,31+MAX(1,N($DE$9))),"DEMOB"))</f>
        <v/>
      </c>
      <c r="DM23" s="31">
        <f>IF(B23="",0,IF(N(C23)&gt;0,C23,1)*(DJ23*N(D23)+DK23*N(E23)))</f>
        <v/>
      </c>
      <c r="DN23" s="31">
        <f>IF(OR(B23="",A23="Oui",DX23&lt;&gt;2),0,IF(N(C23)&gt;0,C23,1)*(N(F23)+N(H23)))</f>
        <v/>
      </c>
      <c r="DO23" s="31">
        <f>IF(OR(B23="",N($DE$9)=0),0,IF(N(C23)&gt;0,C23,1)*(IF((COUNTIF(INDEX($M23:$DA23,32):INDEX($M23:$DA23,31+MAX(1,N($DE$9))),"VR"))&gt;0,N(G23),0)+IF((COUNTIF(INDEX($M23:$DA23,32):INDEX($M23:$DA23,31+MAX(1,N($DE$9))),"RC"))&gt;0,N(I23),0)))</f>
        <v/>
      </c>
      <c r="DP23" s="31">
        <f>IF(OR(B23="",N($DE$9)=0),0,IF(N(C23)&gt;0,C23,1)*(COUNTIF(INDEX($M23:$DA23,32):INDEX($M23:$DA23,31+MAX(1,N($DE$9))),"FOC"))*N(E23))</f>
        <v/>
      </c>
      <c r="DQ23" s="31">
        <f>IF(N($DF$9)=0,0,COUNTIF(INDEX($M23:$DA23,63):INDEX($M23:$DA23,62+MAX(1,N($DF$9))),"S")+COUNTIF(INDEX($M23:$DA23,63):INDEX($M23:$DA23,62+MAX(1,N($DF$9))),"MOB")+COUNTIF(INDEX($M23:$DA23,63):INDEX($M23:$DA23,62+MAX(1,N($DF$9))),"DEMOB"))</f>
        <v/>
      </c>
      <c r="DR23" s="31">
        <f>IF(N($DF$9)=0,0,COUNTIF(INDEX($M23:$DA23,63):INDEX($M23:$DA23,62+MAX(1,N($DF$9))),"O"))</f>
        <v/>
      </c>
      <c r="DS23" s="31">
        <f>IF(N($DF$9)=0,0,COUNTIF(INDEX($M23:$DA23,63):INDEX($M23:$DA23,62+MAX(1,N($DF$9))),"MOB")+COUNTIF(INDEX($M23:$DA23,63):INDEX($M23:$DA23,62+MAX(1,N($DF$9))),"DEMOB"))</f>
        <v/>
      </c>
      <c r="DT23" s="31">
        <f>IF(B23="",0,IF(N(C23)&gt;0,C23,1)*(DQ23*N(D23)+DR23*N(E23)))</f>
        <v/>
      </c>
      <c r="DU23" s="31">
        <f>IF(OR(B23="",A23="Oui",DX23&lt;&gt;3),0,IF(N(C23)&gt;0,C23,1)*(N(F23)+N(H23)))</f>
        <v/>
      </c>
      <c r="DV23" s="31">
        <f>IF(OR(B23="",N($DF$9)=0),0,IF(N(C23)&gt;0,C23,1)*(IF((COUNTIF(INDEX($M23:$DA23,63):INDEX($M23:$DA23,62+MAX(1,N($DF$9))),"VR"))&gt;0,N(G23),0)+IF((COUNTIF(INDEX($M23:$DA23,63):INDEX($M23:$DA23,62+MAX(1,N($DF$9))),"RC"))&gt;0,N(I23),0)))</f>
        <v/>
      </c>
      <c r="DW23" s="31">
        <f>IF(OR(B23="",N($DF$9)=0),0,IF(N(C23)&gt;0,C23,1)*(COUNTIF(INDEX($M23:$DA23,63):INDEX($M23:$DA23,62+MAX(1,N($DF$9))),"FOC"))*N(E23))</f>
        <v/>
      </c>
      <c r="DX23" s="31">
        <f>IF(B23="",0,IF(DD23&gt;0,1,IF(DK23&gt;0,2,IF(DR23&gt;0,3,0))))</f>
        <v/>
      </c>
      <c r="DY23" s="31" t="n"/>
      <c r="DZ23" s="31" t="n"/>
      <c r="EA23" s="31" t="n"/>
    </row>
    <row r="24" ht="18" customHeight="1">
      <c r="A24" s="32" t="n"/>
      <c r="B24" s="24" t="n"/>
      <c r="C24" s="32" t="n"/>
      <c r="D24" s="25" t="n"/>
      <c r="E24" s="25" t="n"/>
      <c r="F24" s="25" t="n"/>
      <c r="G24" s="25" t="n"/>
      <c r="H24" s="25" t="n"/>
      <c r="I24" s="25" t="n"/>
      <c r="J24" s="28">
        <f>IF(B24="","",DC24+DJ24+DQ24)</f>
        <v/>
      </c>
      <c r="K24" s="28">
        <f>IF(B24="","",DD24+DK24+DR24)</f>
        <v/>
      </c>
      <c r="L24" s="29">
        <f>IF(B24="","",DF24+DM24+DT24+DG24+DN24+DU24+DH24+DO24+DV24)</f>
        <v/>
      </c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0" t="n"/>
      <c r="AI24" s="30" t="n"/>
      <c r="AJ24" s="30" t="n"/>
      <c r="AK24" s="30" t="n"/>
      <c r="AL24" s="30" t="n"/>
      <c r="AM24" s="30" t="n"/>
      <c r="AN24" s="30" t="n"/>
      <c r="AO24" s="30" t="n"/>
      <c r="AP24" s="30" t="n"/>
      <c r="AQ24" s="30" t="n"/>
      <c r="AR24" s="30" t="n"/>
      <c r="AS24" s="30" t="n"/>
      <c r="AT24" s="30" t="n"/>
      <c r="AU24" s="30" t="n"/>
      <c r="AV24" s="30" t="n"/>
      <c r="AW24" s="30" t="n"/>
      <c r="AX24" s="30" t="n"/>
      <c r="AY24" s="30" t="n"/>
      <c r="AZ24" s="30" t="n"/>
      <c r="BA24" s="30" t="n"/>
      <c r="BB24" s="30" t="n"/>
      <c r="BC24" s="30" t="n"/>
      <c r="BD24" s="30" t="n"/>
      <c r="BE24" s="30" t="n"/>
      <c r="BF24" s="30" t="n"/>
      <c r="BG24" s="30" t="n"/>
      <c r="BH24" s="30" t="n"/>
      <c r="BI24" s="30" t="n"/>
      <c r="BJ24" s="30" t="n"/>
      <c r="BK24" s="30" t="n"/>
      <c r="BL24" s="30" t="n"/>
      <c r="BM24" s="30" t="n"/>
      <c r="BN24" s="30" t="n"/>
      <c r="BO24" s="30" t="n"/>
      <c r="BP24" s="30" t="n"/>
      <c r="BQ24" s="30" t="n"/>
      <c r="BR24" s="30" t="n"/>
      <c r="BS24" s="30" t="n"/>
      <c r="BT24" s="30" t="n"/>
      <c r="BU24" s="30" t="n"/>
      <c r="BV24" s="30" t="n"/>
      <c r="BW24" s="30" t="n"/>
      <c r="BX24" s="30" t="n"/>
      <c r="BY24" s="30" t="n"/>
      <c r="BZ24" s="30" t="n"/>
      <c r="CA24" s="30" t="n"/>
      <c r="CB24" s="30" t="n"/>
      <c r="CC24" s="30" t="n"/>
      <c r="CD24" s="30" t="n"/>
      <c r="CE24" s="30" t="n"/>
      <c r="CF24" s="30" t="n"/>
      <c r="CG24" s="30" t="n"/>
      <c r="CH24" s="30" t="n"/>
      <c r="CI24" s="30" t="n"/>
      <c r="CJ24" s="30" t="n"/>
      <c r="CK24" s="30" t="n"/>
      <c r="CL24" s="30" t="n"/>
      <c r="CM24" s="30" t="n"/>
      <c r="CN24" s="30" t="n"/>
      <c r="CO24" s="30" t="n"/>
      <c r="CP24" s="30" t="n"/>
      <c r="CQ24" s="30" t="n"/>
      <c r="CR24" s="30" t="n"/>
      <c r="CS24" s="30" t="n"/>
      <c r="CT24" s="30" t="n"/>
      <c r="CU24" s="30" t="n"/>
      <c r="CV24" s="30" t="n"/>
      <c r="CW24" s="30" t="n"/>
      <c r="CX24" s="30" t="n"/>
      <c r="CY24" s="30" t="n"/>
      <c r="CZ24" s="30" t="n"/>
      <c r="DA24" s="30" t="n"/>
      <c r="DC24" s="31">
        <f>IF(N($DD$9)=0,0,COUNTIF(INDEX($M24:$DA24,1):INDEX($M24:$DA24,0+MAX(1,N($DD$9))),"S")+COUNTIF(INDEX($M24:$DA24,1):INDEX($M24:$DA24,0+MAX(1,N($DD$9))),"MOB")+COUNTIF(INDEX($M24:$DA24,1):INDEX($M24:$DA24,0+MAX(1,N($DD$9))),"DEMOB"))</f>
        <v/>
      </c>
      <c r="DD24" s="31">
        <f>IF(N($DD$9)=0,0,COUNTIF(INDEX($M24:$DA24,1):INDEX($M24:$DA24,0+MAX(1,N($DD$9))),"O"))</f>
        <v/>
      </c>
      <c r="DE24" s="31">
        <f>IF(N($DD$9)=0,0,COUNTIF(INDEX($M24:$DA24,1):INDEX($M24:$DA24,0+MAX(1,N($DD$9))),"MOB")+COUNTIF(INDEX($M24:$DA24,1):INDEX($M24:$DA24,0+MAX(1,N($DD$9))),"DEMOB"))</f>
        <v/>
      </c>
      <c r="DF24" s="31">
        <f>IF(B24="",0,IF(N(C24)&gt;0,C24,1)*(DC24*N(D24)+DD24*N(E24)))</f>
        <v/>
      </c>
      <c r="DG24" s="31">
        <f>IF(OR(B24="",A24="Oui",DX24&lt;&gt;1),0,IF(N(C24)&gt;0,C24,1)*(N(F24)+N(H24)))</f>
        <v/>
      </c>
      <c r="DH24" s="31">
        <f>IF(OR(B24="",N($DD$9)=0),0,IF(N(C24)&gt;0,C24,1)*(IF((COUNTIF(INDEX($M24:$DA24,1):INDEX($M24:$DA24,0+MAX(1,N($DD$9))),"VR"))&gt;0,N(G24),0)+IF((COUNTIF(INDEX($M24:$DA24,1):INDEX($M24:$DA24,0+MAX(1,N($DD$9))),"RC"))&gt;0,N(I24),0)))</f>
        <v/>
      </c>
      <c r="DI24" s="31">
        <f>IF(OR(B24="",N($DD$9)=0),0,IF(N(C24)&gt;0,C24,1)*(COUNTIF(INDEX($M24:$DA24,1):INDEX($M24:$DA24,0+MAX(1,N($DD$9))),"FOC"))*N(E24))</f>
        <v/>
      </c>
      <c r="DJ24" s="31">
        <f>IF(N($DE$9)=0,0,COUNTIF(INDEX($M24:$DA24,32):INDEX($M24:$DA24,31+MAX(1,N($DE$9))),"S")+COUNTIF(INDEX($M24:$DA24,32):INDEX($M24:$DA24,31+MAX(1,N($DE$9))),"MOB")+COUNTIF(INDEX($M24:$DA24,32):INDEX($M24:$DA24,31+MAX(1,N($DE$9))),"DEMOB"))</f>
        <v/>
      </c>
      <c r="DK24" s="31">
        <f>IF(N($DE$9)=0,0,COUNTIF(INDEX($M24:$DA24,32):INDEX($M24:$DA24,31+MAX(1,N($DE$9))),"O"))</f>
        <v/>
      </c>
      <c r="DL24" s="31">
        <f>IF(N($DE$9)=0,0,COUNTIF(INDEX($M24:$DA24,32):INDEX($M24:$DA24,31+MAX(1,N($DE$9))),"MOB")+COUNTIF(INDEX($M24:$DA24,32):INDEX($M24:$DA24,31+MAX(1,N($DE$9))),"DEMOB"))</f>
        <v/>
      </c>
      <c r="DM24" s="31">
        <f>IF(B24="",0,IF(N(C24)&gt;0,C24,1)*(DJ24*N(D24)+DK24*N(E24)))</f>
        <v/>
      </c>
      <c r="DN24" s="31">
        <f>IF(OR(B24="",A24="Oui",DX24&lt;&gt;2),0,IF(N(C24)&gt;0,C24,1)*(N(F24)+N(H24)))</f>
        <v/>
      </c>
      <c r="DO24" s="31">
        <f>IF(OR(B24="",N($DE$9)=0),0,IF(N(C24)&gt;0,C24,1)*(IF((COUNTIF(INDEX($M24:$DA24,32):INDEX($M24:$DA24,31+MAX(1,N($DE$9))),"VR"))&gt;0,N(G24),0)+IF((COUNTIF(INDEX($M24:$DA24,32):INDEX($M24:$DA24,31+MAX(1,N($DE$9))),"RC"))&gt;0,N(I24),0)))</f>
        <v/>
      </c>
      <c r="DP24" s="31">
        <f>IF(OR(B24="",N($DE$9)=0),0,IF(N(C24)&gt;0,C24,1)*(COUNTIF(INDEX($M24:$DA24,32):INDEX($M24:$DA24,31+MAX(1,N($DE$9))),"FOC"))*N(E24))</f>
        <v/>
      </c>
      <c r="DQ24" s="31">
        <f>IF(N($DF$9)=0,0,COUNTIF(INDEX($M24:$DA24,63):INDEX($M24:$DA24,62+MAX(1,N($DF$9))),"S")+COUNTIF(INDEX($M24:$DA24,63):INDEX($M24:$DA24,62+MAX(1,N($DF$9))),"MOB")+COUNTIF(INDEX($M24:$DA24,63):INDEX($M24:$DA24,62+MAX(1,N($DF$9))),"DEMOB"))</f>
        <v/>
      </c>
      <c r="DR24" s="31">
        <f>IF(N($DF$9)=0,0,COUNTIF(INDEX($M24:$DA24,63):INDEX($M24:$DA24,62+MAX(1,N($DF$9))),"O"))</f>
        <v/>
      </c>
      <c r="DS24" s="31">
        <f>IF(N($DF$9)=0,0,COUNTIF(INDEX($M24:$DA24,63):INDEX($M24:$DA24,62+MAX(1,N($DF$9))),"MOB")+COUNTIF(INDEX($M24:$DA24,63):INDEX($M24:$DA24,62+MAX(1,N($DF$9))),"DEMOB"))</f>
        <v/>
      </c>
      <c r="DT24" s="31">
        <f>IF(B24="",0,IF(N(C24)&gt;0,C24,1)*(DQ24*N(D24)+DR24*N(E24)))</f>
        <v/>
      </c>
      <c r="DU24" s="31">
        <f>IF(OR(B24="",A24="Oui",DX24&lt;&gt;3),0,IF(N(C24)&gt;0,C24,1)*(N(F24)+N(H24)))</f>
        <v/>
      </c>
      <c r="DV24" s="31">
        <f>IF(OR(B24="",N($DF$9)=0),0,IF(N(C24)&gt;0,C24,1)*(IF((COUNTIF(INDEX($M24:$DA24,63):INDEX($M24:$DA24,62+MAX(1,N($DF$9))),"VR"))&gt;0,N(G24),0)+IF((COUNTIF(INDEX($M24:$DA24,63):INDEX($M24:$DA24,62+MAX(1,N($DF$9))),"RC"))&gt;0,N(I24),0)))</f>
        <v/>
      </c>
      <c r="DW24" s="31">
        <f>IF(OR(B24="",N($DF$9)=0),0,IF(N(C24)&gt;0,C24,1)*(COUNTIF(INDEX($M24:$DA24,63):INDEX($M24:$DA24,62+MAX(1,N($DF$9))),"FOC"))*N(E24))</f>
        <v/>
      </c>
      <c r="DX24" s="31">
        <f>IF(B24="",0,IF(DD24&gt;0,1,IF(DK24&gt;0,2,IF(DR24&gt;0,3,0))))</f>
        <v/>
      </c>
      <c r="DY24" s="31" t="n"/>
      <c r="DZ24" s="31" t="n"/>
      <c r="EA24" s="31" t="n"/>
    </row>
    <row r="25" ht="18" customHeight="1">
      <c r="A25" s="32" t="n"/>
      <c r="B25" s="24" t="n"/>
      <c r="C25" s="32" t="n"/>
      <c r="D25" s="25" t="n"/>
      <c r="E25" s="25" t="n"/>
      <c r="F25" s="25" t="n"/>
      <c r="G25" s="25" t="n"/>
      <c r="H25" s="25" t="n"/>
      <c r="I25" s="25" t="n"/>
      <c r="J25" s="28">
        <f>IF(B25="","",DC25+DJ25+DQ25)</f>
        <v/>
      </c>
      <c r="K25" s="28">
        <f>IF(B25="","",DD25+DK25+DR25)</f>
        <v/>
      </c>
      <c r="L25" s="29">
        <f>IF(B25="","",DF25+DM25+DT25+DG25+DN25+DU25+DH25+DO25+DV25)</f>
        <v/>
      </c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n"/>
      <c r="AD25" s="30" t="n"/>
      <c r="AE25" s="30" t="n"/>
      <c r="AF25" s="30" t="n"/>
      <c r="AG25" s="30" t="n"/>
      <c r="AH25" s="30" t="n"/>
      <c r="AI25" s="30" t="n"/>
      <c r="AJ25" s="30" t="n"/>
      <c r="AK25" s="30" t="n"/>
      <c r="AL25" s="30" t="n"/>
      <c r="AM25" s="30" t="n"/>
      <c r="AN25" s="30" t="n"/>
      <c r="AO25" s="30" t="n"/>
      <c r="AP25" s="30" t="n"/>
      <c r="AQ25" s="30" t="n"/>
      <c r="AR25" s="30" t="n"/>
      <c r="AS25" s="30" t="n"/>
      <c r="AT25" s="30" t="n"/>
      <c r="AU25" s="30" t="n"/>
      <c r="AV25" s="30" t="n"/>
      <c r="AW25" s="30" t="n"/>
      <c r="AX25" s="30" t="n"/>
      <c r="AY25" s="30" t="n"/>
      <c r="AZ25" s="30" t="n"/>
      <c r="BA25" s="30" t="n"/>
      <c r="BB25" s="30" t="n"/>
      <c r="BC25" s="30" t="n"/>
      <c r="BD25" s="30" t="n"/>
      <c r="BE25" s="30" t="n"/>
      <c r="BF25" s="30" t="n"/>
      <c r="BG25" s="30" t="n"/>
      <c r="BH25" s="30" t="n"/>
      <c r="BI25" s="30" t="n"/>
      <c r="BJ25" s="30" t="n"/>
      <c r="BK25" s="30" t="n"/>
      <c r="BL25" s="30" t="n"/>
      <c r="BM25" s="30" t="n"/>
      <c r="BN25" s="30" t="n"/>
      <c r="BO25" s="30" t="n"/>
      <c r="BP25" s="30" t="n"/>
      <c r="BQ25" s="30" t="n"/>
      <c r="BR25" s="30" t="n"/>
      <c r="BS25" s="30" t="n"/>
      <c r="BT25" s="30" t="n"/>
      <c r="BU25" s="30" t="n"/>
      <c r="BV25" s="30" t="n"/>
      <c r="BW25" s="30" t="n"/>
      <c r="BX25" s="30" t="n"/>
      <c r="BY25" s="30" t="n"/>
      <c r="BZ25" s="30" t="n"/>
      <c r="CA25" s="30" t="n"/>
      <c r="CB25" s="30" t="n"/>
      <c r="CC25" s="30" t="n"/>
      <c r="CD25" s="30" t="n"/>
      <c r="CE25" s="30" t="n"/>
      <c r="CF25" s="30" t="n"/>
      <c r="CG25" s="30" t="n"/>
      <c r="CH25" s="30" t="n"/>
      <c r="CI25" s="30" t="n"/>
      <c r="CJ25" s="30" t="n"/>
      <c r="CK25" s="30" t="n"/>
      <c r="CL25" s="30" t="n"/>
      <c r="CM25" s="30" t="n"/>
      <c r="CN25" s="30" t="n"/>
      <c r="CO25" s="30" t="n"/>
      <c r="CP25" s="30" t="n"/>
      <c r="CQ25" s="30" t="n"/>
      <c r="CR25" s="30" t="n"/>
      <c r="CS25" s="30" t="n"/>
      <c r="CT25" s="30" t="n"/>
      <c r="CU25" s="30" t="n"/>
      <c r="CV25" s="30" t="n"/>
      <c r="CW25" s="30" t="n"/>
      <c r="CX25" s="30" t="n"/>
      <c r="CY25" s="30" t="n"/>
      <c r="CZ25" s="30" t="n"/>
      <c r="DA25" s="30" t="n"/>
      <c r="DC25" s="31">
        <f>IF(N($DD$9)=0,0,COUNTIF(INDEX($M25:$DA25,1):INDEX($M25:$DA25,0+MAX(1,N($DD$9))),"S")+COUNTIF(INDEX($M25:$DA25,1):INDEX($M25:$DA25,0+MAX(1,N($DD$9))),"MOB")+COUNTIF(INDEX($M25:$DA25,1):INDEX($M25:$DA25,0+MAX(1,N($DD$9))),"DEMOB"))</f>
        <v/>
      </c>
      <c r="DD25" s="31">
        <f>IF(N($DD$9)=0,0,COUNTIF(INDEX($M25:$DA25,1):INDEX($M25:$DA25,0+MAX(1,N($DD$9))),"O"))</f>
        <v/>
      </c>
      <c r="DE25" s="31">
        <f>IF(N($DD$9)=0,0,COUNTIF(INDEX($M25:$DA25,1):INDEX($M25:$DA25,0+MAX(1,N($DD$9))),"MOB")+COUNTIF(INDEX($M25:$DA25,1):INDEX($M25:$DA25,0+MAX(1,N($DD$9))),"DEMOB"))</f>
        <v/>
      </c>
      <c r="DF25" s="31">
        <f>IF(B25="",0,IF(N(C25)&gt;0,C25,1)*(DC25*N(D25)+DD25*N(E25)))</f>
        <v/>
      </c>
      <c r="DG25" s="31">
        <f>IF(OR(B25="",A25="Oui",DX25&lt;&gt;1),0,IF(N(C25)&gt;0,C25,1)*(N(F25)+N(H25)))</f>
        <v/>
      </c>
      <c r="DH25" s="31">
        <f>IF(OR(B25="",N($DD$9)=0),0,IF(N(C25)&gt;0,C25,1)*(IF((COUNTIF(INDEX($M25:$DA25,1):INDEX($M25:$DA25,0+MAX(1,N($DD$9))),"VR"))&gt;0,N(G25),0)+IF((COUNTIF(INDEX($M25:$DA25,1):INDEX($M25:$DA25,0+MAX(1,N($DD$9))),"RC"))&gt;0,N(I25),0)))</f>
        <v/>
      </c>
      <c r="DI25" s="31">
        <f>IF(OR(B25="",N($DD$9)=0),0,IF(N(C25)&gt;0,C25,1)*(COUNTIF(INDEX($M25:$DA25,1):INDEX($M25:$DA25,0+MAX(1,N($DD$9))),"FOC"))*N(E25))</f>
        <v/>
      </c>
      <c r="DJ25" s="31">
        <f>IF(N($DE$9)=0,0,COUNTIF(INDEX($M25:$DA25,32):INDEX($M25:$DA25,31+MAX(1,N($DE$9))),"S")+COUNTIF(INDEX($M25:$DA25,32):INDEX($M25:$DA25,31+MAX(1,N($DE$9))),"MOB")+COUNTIF(INDEX($M25:$DA25,32):INDEX($M25:$DA25,31+MAX(1,N($DE$9))),"DEMOB"))</f>
        <v/>
      </c>
      <c r="DK25" s="31">
        <f>IF(N($DE$9)=0,0,COUNTIF(INDEX($M25:$DA25,32):INDEX($M25:$DA25,31+MAX(1,N($DE$9))),"O"))</f>
        <v/>
      </c>
      <c r="DL25" s="31">
        <f>IF(N($DE$9)=0,0,COUNTIF(INDEX($M25:$DA25,32):INDEX($M25:$DA25,31+MAX(1,N($DE$9))),"MOB")+COUNTIF(INDEX($M25:$DA25,32):INDEX($M25:$DA25,31+MAX(1,N($DE$9))),"DEMOB"))</f>
        <v/>
      </c>
      <c r="DM25" s="31">
        <f>IF(B25="",0,IF(N(C25)&gt;0,C25,1)*(DJ25*N(D25)+DK25*N(E25)))</f>
        <v/>
      </c>
      <c r="DN25" s="31">
        <f>IF(OR(B25="",A25="Oui",DX25&lt;&gt;2),0,IF(N(C25)&gt;0,C25,1)*(N(F25)+N(H25)))</f>
        <v/>
      </c>
      <c r="DO25" s="31">
        <f>IF(OR(B25="",N($DE$9)=0),0,IF(N(C25)&gt;0,C25,1)*(IF((COUNTIF(INDEX($M25:$DA25,32):INDEX($M25:$DA25,31+MAX(1,N($DE$9))),"VR"))&gt;0,N(G25),0)+IF((COUNTIF(INDEX($M25:$DA25,32):INDEX($M25:$DA25,31+MAX(1,N($DE$9))),"RC"))&gt;0,N(I25),0)))</f>
        <v/>
      </c>
      <c r="DP25" s="31">
        <f>IF(OR(B25="",N($DE$9)=0),0,IF(N(C25)&gt;0,C25,1)*(COUNTIF(INDEX($M25:$DA25,32):INDEX($M25:$DA25,31+MAX(1,N($DE$9))),"FOC"))*N(E25))</f>
        <v/>
      </c>
      <c r="DQ25" s="31">
        <f>IF(N($DF$9)=0,0,COUNTIF(INDEX($M25:$DA25,63):INDEX($M25:$DA25,62+MAX(1,N($DF$9))),"S")+COUNTIF(INDEX($M25:$DA25,63):INDEX($M25:$DA25,62+MAX(1,N($DF$9))),"MOB")+COUNTIF(INDEX($M25:$DA25,63):INDEX($M25:$DA25,62+MAX(1,N($DF$9))),"DEMOB"))</f>
        <v/>
      </c>
      <c r="DR25" s="31">
        <f>IF(N($DF$9)=0,0,COUNTIF(INDEX($M25:$DA25,63):INDEX($M25:$DA25,62+MAX(1,N($DF$9))),"O"))</f>
        <v/>
      </c>
      <c r="DS25" s="31">
        <f>IF(N($DF$9)=0,0,COUNTIF(INDEX($M25:$DA25,63):INDEX($M25:$DA25,62+MAX(1,N($DF$9))),"MOB")+COUNTIF(INDEX($M25:$DA25,63):INDEX($M25:$DA25,62+MAX(1,N($DF$9))),"DEMOB"))</f>
        <v/>
      </c>
      <c r="DT25" s="31">
        <f>IF(B25="",0,IF(N(C25)&gt;0,C25,1)*(DQ25*N(D25)+DR25*N(E25)))</f>
        <v/>
      </c>
      <c r="DU25" s="31">
        <f>IF(OR(B25="",A25="Oui",DX25&lt;&gt;3),0,IF(N(C25)&gt;0,C25,1)*(N(F25)+N(H25)))</f>
        <v/>
      </c>
      <c r="DV25" s="31">
        <f>IF(OR(B25="",N($DF$9)=0),0,IF(N(C25)&gt;0,C25,1)*(IF((COUNTIF(INDEX($M25:$DA25,63):INDEX($M25:$DA25,62+MAX(1,N($DF$9))),"VR"))&gt;0,N(G25),0)+IF((COUNTIF(INDEX($M25:$DA25,63):INDEX($M25:$DA25,62+MAX(1,N($DF$9))),"RC"))&gt;0,N(I25),0)))</f>
        <v/>
      </c>
      <c r="DW25" s="31">
        <f>IF(OR(B25="",N($DF$9)=0),0,IF(N(C25)&gt;0,C25,1)*(COUNTIF(INDEX($M25:$DA25,63):INDEX($M25:$DA25,62+MAX(1,N($DF$9))),"FOC"))*N(E25))</f>
        <v/>
      </c>
      <c r="DX25" s="31">
        <f>IF(B25="",0,IF(DD25&gt;0,1,IF(DK25&gt;0,2,IF(DR25&gt;0,3,0))))</f>
        <v/>
      </c>
      <c r="DY25" s="31" t="n"/>
      <c r="DZ25" s="31" t="n"/>
      <c r="EA25" s="31" t="n"/>
    </row>
    <row r="26" ht="18" customHeight="1">
      <c r="A26" s="32" t="n"/>
      <c r="B26" s="24" t="n"/>
      <c r="C26" s="32" t="n"/>
      <c r="D26" s="25" t="n"/>
      <c r="E26" s="25" t="n"/>
      <c r="F26" s="25" t="n"/>
      <c r="G26" s="25" t="n"/>
      <c r="H26" s="25" t="n"/>
      <c r="I26" s="25" t="n"/>
      <c r="J26" s="28">
        <f>IF(B26="","",DC26+DJ26+DQ26)</f>
        <v/>
      </c>
      <c r="K26" s="28">
        <f>IF(B26="","",DD26+DK26+DR26)</f>
        <v/>
      </c>
      <c r="L26" s="29">
        <f>IF(B26="","",DF26+DM26+DT26+DG26+DN26+DU26+DH26+DO26+DV26)</f>
        <v/>
      </c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  <c r="AB26" s="30" t="n"/>
      <c r="AC26" s="30" t="n"/>
      <c r="AD26" s="30" t="n"/>
      <c r="AE26" s="30" t="n"/>
      <c r="AF26" s="30" t="n"/>
      <c r="AG26" s="30" t="n"/>
      <c r="AH26" s="30" t="n"/>
      <c r="AI26" s="30" t="n"/>
      <c r="AJ26" s="30" t="n"/>
      <c r="AK26" s="30" t="n"/>
      <c r="AL26" s="30" t="n"/>
      <c r="AM26" s="30" t="n"/>
      <c r="AN26" s="30" t="n"/>
      <c r="AO26" s="30" t="n"/>
      <c r="AP26" s="30" t="n"/>
      <c r="AQ26" s="30" t="n"/>
      <c r="AR26" s="30" t="n"/>
      <c r="AS26" s="30" t="n"/>
      <c r="AT26" s="30" t="n"/>
      <c r="AU26" s="30" t="n"/>
      <c r="AV26" s="30" t="n"/>
      <c r="AW26" s="30" t="n"/>
      <c r="AX26" s="30" t="n"/>
      <c r="AY26" s="30" t="n"/>
      <c r="AZ26" s="30" t="n"/>
      <c r="BA26" s="30" t="n"/>
      <c r="BB26" s="30" t="n"/>
      <c r="BC26" s="30" t="n"/>
      <c r="BD26" s="30" t="n"/>
      <c r="BE26" s="30" t="n"/>
      <c r="BF26" s="30" t="n"/>
      <c r="BG26" s="30" t="n"/>
      <c r="BH26" s="30" t="n"/>
      <c r="BI26" s="30" t="n"/>
      <c r="BJ26" s="30" t="n"/>
      <c r="BK26" s="30" t="n"/>
      <c r="BL26" s="30" t="n"/>
      <c r="BM26" s="30" t="n"/>
      <c r="BN26" s="30" t="n"/>
      <c r="BO26" s="30" t="n"/>
      <c r="BP26" s="30" t="n"/>
      <c r="BQ26" s="30" t="n"/>
      <c r="BR26" s="30" t="n"/>
      <c r="BS26" s="30" t="n"/>
      <c r="BT26" s="30" t="n"/>
      <c r="BU26" s="30" t="n"/>
      <c r="BV26" s="30" t="n"/>
      <c r="BW26" s="30" t="n"/>
      <c r="BX26" s="30" t="n"/>
      <c r="BY26" s="30" t="n"/>
      <c r="BZ26" s="30" t="n"/>
      <c r="CA26" s="30" t="n"/>
      <c r="CB26" s="30" t="n"/>
      <c r="CC26" s="30" t="n"/>
      <c r="CD26" s="30" t="n"/>
      <c r="CE26" s="30" t="n"/>
      <c r="CF26" s="30" t="n"/>
      <c r="CG26" s="30" t="n"/>
      <c r="CH26" s="30" t="n"/>
      <c r="CI26" s="30" t="n"/>
      <c r="CJ26" s="30" t="n"/>
      <c r="CK26" s="30" t="n"/>
      <c r="CL26" s="30" t="n"/>
      <c r="CM26" s="30" t="n"/>
      <c r="CN26" s="30" t="n"/>
      <c r="CO26" s="30" t="n"/>
      <c r="CP26" s="30" t="n"/>
      <c r="CQ26" s="30" t="n"/>
      <c r="CR26" s="30" t="n"/>
      <c r="CS26" s="30" t="n"/>
      <c r="CT26" s="30" t="n"/>
      <c r="CU26" s="30" t="n"/>
      <c r="CV26" s="30" t="n"/>
      <c r="CW26" s="30" t="n"/>
      <c r="CX26" s="30" t="n"/>
      <c r="CY26" s="30" t="n"/>
      <c r="CZ26" s="30" t="n"/>
      <c r="DA26" s="30" t="n"/>
      <c r="DC26" s="31">
        <f>IF(N($DD$9)=0,0,COUNTIF(INDEX($M26:$DA26,1):INDEX($M26:$DA26,0+MAX(1,N($DD$9))),"S")+COUNTIF(INDEX($M26:$DA26,1):INDEX($M26:$DA26,0+MAX(1,N($DD$9))),"MOB")+COUNTIF(INDEX($M26:$DA26,1):INDEX($M26:$DA26,0+MAX(1,N($DD$9))),"DEMOB"))</f>
        <v/>
      </c>
      <c r="DD26" s="31">
        <f>IF(N($DD$9)=0,0,COUNTIF(INDEX($M26:$DA26,1):INDEX($M26:$DA26,0+MAX(1,N($DD$9))),"O"))</f>
        <v/>
      </c>
      <c r="DE26" s="31">
        <f>IF(N($DD$9)=0,0,COUNTIF(INDEX($M26:$DA26,1):INDEX($M26:$DA26,0+MAX(1,N($DD$9))),"MOB")+COUNTIF(INDEX($M26:$DA26,1):INDEX($M26:$DA26,0+MAX(1,N($DD$9))),"DEMOB"))</f>
        <v/>
      </c>
      <c r="DF26" s="31">
        <f>IF(B26="",0,IF(N(C26)&gt;0,C26,1)*(DC26*N(D26)+DD26*N(E26)))</f>
        <v/>
      </c>
      <c r="DG26" s="31">
        <f>IF(OR(B26="",A26="Oui",DX26&lt;&gt;1),0,IF(N(C26)&gt;0,C26,1)*(N(F26)+N(H26)))</f>
        <v/>
      </c>
      <c r="DH26" s="31">
        <f>IF(OR(B26="",N($DD$9)=0),0,IF(N(C26)&gt;0,C26,1)*(IF((COUNTIF(INDEX($M26:$DA26,1):INDEX($M26:$DA26,0+MAX(1,N($DD$9))),"VR"))&gt;0,N(G26),0)+IF((COUNTIF(INDEX($M26:$DA26,1):INDEX($M26:$DA26,0+MAX(1,N($DD$9))),"RC"))&gt;0,N(I26),0)))</f>
        <v/>
      </c>
      <c r="DI26" s="31">
        <f>IF(OR(B26="",N($DD$9)=0),0,IF(N(C26)&gt;0,C26,1)*(COUNTIF(INDEX($M26:$DA26,1):INDEX($M26:$DA26,0+MAX(1,N($DD$9))),"FOC"))*N(E26))</f>
        <v/>
      </c>
      <c r="DJ26" s="31">
        <f>IF(N($DE$9)=0,0,COUNTIF(INDEX($M26:$DA26,32):INDEX($M26:$DA26,31+MAX(1,N($DE$9))),"S")+COUNTIF(INDEX($M26:$DA26,32):INDEX($M26:$DA26,31+MAX(1,N($DE$9))),"MOB")+COUNTIF(INDEX($M26:$DA26,32):INDEX($M26:$DA26,31+MAX(1,N($DE$9))),"DEMOB"))</f>
        <v/>
      </c>
      <c r="DK26" s="31">
        <f>IF(N($DE$9)=0,0,COUNTIF(INDEX($M26:$DA26,32):INDEX($M26:$DA26,31+MAX(1,N($DE$9))),"O"))</f>
        <v/>
      </c>
      <c r="DL26" s="31">
        <f>IF(N($DE$9)=0,0,COUNTIF(INDEX($M26:$DA26,32):INDEX($M26:$DA26,31+MAX(1,N($DE$9))),"MOB")+COUNTIF(INDEX($M26:$DA26,32):INDEX($M26:$DA26,31+MAX(1,N($DE$9))),"DEMOB"))</f>
        <v/>
      </c>
      <c r="DM26" s="31">
        <f>IF(B26="",0,IF(N(C26)&gt;0,C26,1)*(DJ26*N(D26)+DK26*N(E26)))</f>
        <v/>
      </c>
      <c r="DN26" s="31">
        <f>IF(OR(B26="",A26="Oui",DX26&lt;&gt;2),0,IF(N(C26)&gt;0,C26,1)*(N(F26)+N(H26)))</f>
        <v/>
      </c>
      <c r="DO26" s="31">
        <f>IF(OR(B26="",N($DE$9)=0),0,IF(N(C26)&gt;0,C26,1)*(IF((COUNTIF(INDEX($M26:$DA26,32):INDEX($M26:$DA26,31+MAX(1,N($DE$9))),"VR"))&gt;0,N(G26),0)+IF((COUNTIF(INDEX($M26:$DA26,32):INDEX($M26:$DA26,31+MAX(1,N($DE$9))),"RC"))&gt;0,N(I26),0)))</f>
        <v/>
      </c>
      <c r="DP26" s="31">
        <f>IF(OR(B26="",N($DE$9)=0),0,IF(N(C26)&gt;0,C26,1)*(COUNTIF(INDEX($M26:$DA26,32):INDEX($M26:$DA26,31+MAX(1,N($DE$9))),"FOC"))*N(E26))</f>
        <v/>
      </c>
      <c r="DQ26" s="31">
        <f>IF(N($DF$9)=0,0,COUNTIF(INDEX($M26:$DA26,63):INDEX($M26:$DA26,62+MAX(1,N($DF$9))),"S")+COUNTIF(INDEX($M26:$DA26,63):INDEX($M26:$DA26,62+MAX(1,N($DF$9))),"MOB")+COUNTIF(INDEX($M26:$DA26,63):INDEX($M26:$DA26,62+MAX(1,N($DF$9))),"DEMOB"))</f>
        <v/>
      </c>
      <c r="DR26" s="31">
        <f>IF(N($DF$9)=0,0,COUNTIF(INDEX($M26:$DA26,63):INDEX($M26:$DA26,62+MAX(1,N($DF$9))),"O"))</f>
        <v/>
      </c>
      <c r="DS26" s="31">
        <f>IF(N($DF$9)=0,0,COUNTIF(INDEX($M26:$DA26,63):INDEX($M26:$DA26,62+MAX(1,N($DF$9))),"MOB")+COUNTIF(INDEX($M26:$DA26,63):INDEX($M26:$DA26,62+MAX(1,N($DF$9))),"DEMOB"))</f>
        <v/>
      </c>
      <c r="DT26" s="31">
        <f>IF(B26="",0,IF(N(C26)&gt;0,C26,1)*(DQ26*N(D26)+DR26*N(E26)))</f>
        <v/>
      </c>
      <c r="DU26" s="31">
        <f>IF(OR(B26="",A26="Oui",DX26&lt;&gt;3),0,IF(N(C26)&gt;0,C26,1)*(N(F26)+N(H26)))</f>
        <v/>
      </c>
      <c r="DV26" s="31">
        <f>IF(OR(B26="",N($DF$9)=0),0,IF(N(C26)&gt;0,C26,1)*(IF((COUNTIF(INDEX($M26:$DA26,63):INDEX($M26:$DA26,62+MAX(1,N($DF$9))),"VR"))&gt;0,N(G26),0)+IF((COUNTIF(INDEX($M26:$DA26,63):INDEX($M26:$DA26,62+MAX(1,N($DF$9))),"RC"))&gt;0,N(I26),0)))</f>
        <v/>
      </c>
      <c r="DW26" s="31">
        <f>IF(OR(B26="",N($DF$9)=0),0,IF(N(C26)&gt;0,C26,1)*(COUNTIF(INDEX($M26:$DA26,63):INDEX($M26:$DA26,62+MAX(1,N($DF$9))),"FOC"))*N(E26))</f>
        <v/>
      </c>
      <c r="DX26" s="31">
        <f>IF(B26="",0,IF(DD26&gt;0,1,IF(DK26&gt;0,2,IF(DR26&gt;0,3,0))))</f>
        <v/>
      </c>
      <c r="DY26" s="31" t="n"/>
      <c r="DZ26" s="31" t="n"/>
      <c r="EA26" s="31" t="n"/>
    </row>
    <row r="27" ht="18" customHeight="1">
      <c r="A27" s="32" t="n"/>
      <c r="B27" s="24" t="n"/>
      <c r="C27" s="32" t="n"/>
      <c r="D27" s="25" t="n"/>
      <c r="E27" s="25" t="n"/>
      <c r="F27" s="25" t="n"/>
      <c r="G27" s="25" t="n"/>
      <c r="H27" s="25" t="n"/>
      <c r="I27" s="25" t="n"/>
      <c r="J27" s="28">
        <f>IF(B27="","",DC27+DJ27+DQ27)</f>
        <v/>
      </c>
      <c r="K27" s="28">
        <f>IF(B27="","",DD27+DK27+DR27)</f>
        <v/>
      </c>
      <c r="L27" s="29">
        <f>IF(B27="","",DF27+DM27+DT27+DG27+DN27+DU27+DH27+DO27+DV27)</f>
        <v/>
      </c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30" t="n"/>
      <c r="BB27" s="30" t="n"/>
      <c r="BC27" s="30" t="n"/>
      <c r="BD27" s="30" t="n"/>
      <c r="BE27" s="30" t="n"/>
      <c r="BF27" s="30" t="n"/>
      <c r="BG27" s="30" t="n"/>
      <c r="BH27" s="30" t="n"/>
      <c r="BI27" s="30" t="n"/>
      <c r="BJ27" s="30" t="n"/>
      <c r="BK27" s="30" t="n"/>
      <c r="BL27" s="30" t="n"/>
      <c r="BM27" s="30" t="n"/>
      <c r="BN27" s="30" t="n"/>
      <c r="BO27" s="30" t="n"/>
      <c r="BP27" s="30" t="n"/>
      <c r="BQ27" s="30" t="n"/>
      <c r="BR27" s="30" t="n"/>
      <c r="BS27" s="30" t="n"/>
      <c r="BT27" s="30" t="n"/>
      <c r="BU27" s="30" t="n"/>
      <c r="BV27" s="30" t="n"/>
      <c r="BW27" s="30" t="n"/>
      <c r="BX27" s="30" t="n"/>
      <c r="BY27" s="30" t="n"/>
      <c r="BZ27" s="30" t="n"/>
      <c r="CA27" s="30" t="n"/>
      <c r="CB27" s="30" t="n"/>
      <c r="CC27" s="30" t="n"/>
      <c r="CD27" s="30" t="n"/>
      <c r="CE27" s="30" t="n"/>
      <c r="CF27" s="30" t="n"/>
      <c r="CG27" s="30" t="n"/>
      <c r="CH27" s="30" t="n"/>
      <c r="CI27" s="30" t="n"/>
      <c r="CJ27" s="30" t="n"/>
      <c r="CK27" s="30" t="n"/>
      <c r="CL27" s="30" t="n"/>
      <c r="CM27" s="30" t="n"/>
      <c r="CN27" s="30" t="n"/>
      <c r="CO27" s="30" t="n"/>
      <c r="CP27" s="30" t="n"/>
      <c r="CQ27" s="30" t="n"/>
      <c r="CR27" s="30" t="n"/>
      <c r="CS27" s="30" t="n"/>
      <c r="CT27" s="30" t="n"/>
      <c r="CU27" s="30" t="n"/>
      <c r="CV27" s="30" t="n"/>
      <c r="CW27" s="30" t="n"/>
      <c r="CX27" s="30" t="n"/>
      <c r="CY27" s="30" t="n"/>
      <c r="CZ27" s="30" t="n"/>
      <c r="DA27" s="30" t="n"/>
      <c r="DC27" s="31">
        <f>IF(N($DD$9)=0,0,COUNTIF(INDEX($M27:$DA27,1):INDEX($M27:$DA27,0+MAX(1,N($DD$9))),"S")+COUNTIF(INDEX($M27:$DA27,1):INDEX($M27:$DA27,0+MAX(1,N($DD$9))),"MOB")+COUNTIF(INDEX($M27:$DA27,1):INDEX($M27:$DA27,0+MAX(1,N($DD$9))),"DEMOB"))</f>
        <v/>
      </c>
      <c r="DD27" s="31">
        <f>IF(N($DD$9)=0,0,COUNTIF(INDEX($M27:$DA27,1):INDEX($M27:$DA27,0+MAX(1,N($DD$9))),"O"))</f>
        <v/>
      </c>
      <c r="DE27" s="31">
        <f>IF(N($DD$9)=0,0,COUNTIF(INDEX($M27:$DA27,1):INDEX($M27:$DA27,0+MAX(1,N($DD$9))),"MOB")+COUNTIF(INDEX($M27:$DA27,1):INDEX($M27:$DA27,0+MAX(1,N($DD$9))),"DEMOB"))</f>
        <v/>
      </c>
      <c r="DF27" s="31">
        <f>IF(B27="",0,IF(N(C27)&gt;0,C27,1)*(DC27*N(D27)+DD27*N(E27)))</f>
        <v/>
      </c>
      <c r="DG27" s="31">
        <f>IF(OR(B27="",A27="Oui",DX27&lt;&gt;1),0,IF(N(C27)&gt;0,C27,1)*(N(F27)+N(H27)))</f>
        <v/>
      </c>
      <c r="DH27" s="31">
        <f>IF(OR(B27="",N($DD$9)=0),0,IF(N(C27)&gt;0,C27,1)*(IF((COUNTIF(INDEX($M27:$DA27,1):INDEX($M27:$DA27,0+MAX(1,N($DD$9))),"VR"))&gt;0,N(G27),0)+IF((COUNTIF(INDEX($M27:$DA27,1):INDEX($M27:$DA27,0+MAX(1,N($DD$9))),"RC"))&gt;0,N(I27),0)))</f>
        <v/>
      </c>
      <c r="DI27" s="31">
        <f>IF(OR(B27="",N($DD$9)=0),0,IF(N(C27)&gt;0,C27,1)*(COUNTIF(INDEX($M27:$DA27,1):INDEX($M27:$DA27,0+MAX(1,N($DD$9))),"FOC"))*N(E27))</f>
        <v/>
      </c>
      <c r="DJ27" s="31">
        <f>IF(N($DE$9)=0,0,COUNTIF(INDEX($M27:$DA27,32):INDEX($M27:$DA27,31+MAX(1,N($DE$9))),"S")+COUNTIF(INDEX($M27:$DA27,32):INDEX($M27:$DA27,31+MAX(1,N($DE$9))),"MOB")+COUNTIF(INDEX($M27:$DA27,32):INDEX($M27:$DA27,31+MAX(1,N($DE$9))),"DEMOB"))</f>
        <v/>
      </c>
      <c r="DK27" s="31">
        <f>IF(N($DE$9)=0,0,COUNTIF(INDEX($M27:$DA27,32):INDEX($M27:$DA27,31+MAX(1,N($DE$9))),"O"))</f>
        <v/>
      </c>
      <c r="DL27" s="31">
        <f>IF(N($DE$9)=0,0,COUNTIF(INDEX($M27:$DA27,32):INDEX($M27:$DA27,31+MAX(1,N($DE$9))),"MOB")+COUNTIF(INDEX($M27:$DA27,32):INDEX($M27:$DA27,31+MAX(1,N($DE$9))),"DEMOB"))</f>
        <v/>
      </c>
      <c r="DM27" s="31">
        <f>IF(B27="",0,IF(N(C27)&gt;0,C27,1)*(DJ27*N(D27)+DK27*N(E27)))</f>
        <v/>
      </c>
      <c r="DN27" s="31">
        <f>IF(OR(B27="",A27="Oui",DX27&lt;&gt;2),0,IF(N(C27)&gt;0,C27,1)*(N(F27)+N(H27)))</f>
        <v/>
      </c>
      <c r="DO27" s="31">
        <f>IF(OR(B27="",N($DE$9)=0),0,IF(N(C27)&gt;0,C27,1)*(IF((COUNTIF(INDEX($M27:$DA27,32):INDEX($M27:$DA27,31+MAX(1,N($DE$9))),"VR"))&gt;0,N(G27),0)+IF((COUNTIF(INDEX($M27:$DA27,32):INDEX($M27:$DA27,31+MAX(1,N($DE$9))),"RC"))&gt;0,N(I27),0)))</f>
        <v/>
      </c>
      <c r="DP27" s="31">
        <f>IF(OR(B27="",N($DE$9)=0),0,IF(N(C27)&gt;0,C27,1)*(COUNTIF(INDEX($M27:$DA27,32):INDEX($M27:$DA27,31+MAX(1,N($DE$9))),"FOC"))*N(E27))</f>
        <v/>
      </c>
      <c r="DQ27" s="31">
        <f>IF(N($DF$9)=0,0,COUNTIF(INDEX($M27:$DA27,63):INDEX($M27:$DA27,62+MAX(1,N($DF$9))),"S")+COUNTIF(INDEX($M27:$DA27,63):INDEX($M27:$DA27,62+MAX(1,N($DF$9))),"MOB")+COUNTIF(INDEX($M27:$DA27,63):INDEX($M27:$DA27,62+MAX(1,N($DF$9))),"DEMOB"))</f>
        <v/>
      </c>
      <c r="DR27" s="31">
        <f>IF(N($DF$9)=0,0,COUNTIF(INDEX($M27:$DA27,63):INDEX($M27:$DA27,62+MAX(1,N($DF$9))),"O"))</f>
        <v/>
      </c>
      <c r="DS27" s="31">
        <f>IF(N($DF$9)=0,0,COUNTIF(INDEX($M27:$DA27,63):INDEX($M27:$DA27,62+MAX(1,N($DF$9))),"MOB")+COUNTIF(INDEX($M27:$DA27,63):INDEX($M27:$DA27,62+MAX(1,N($DF$9))),"DEMOB"))</f>
        <v/>
      </c>
      <c r="DT27" s="31">
        <f>IF(B27="",0,IF(N(C27)&gt;0,C27,1)*(DQ27*N(D27)+DR27*N(E27)))</f>
        <v/>
      </c>
      <c r="DU27" s="31">
        <f>IF(OR(B27="",A27="Oui",DX27&lt;&gt;3),0,IF(N(C27)&gt;0,C27,1)*(N(F27)+N(H27)))</f>
        <v/>
      </c>
      <c r="DV27" s="31">
        <f>IF(OR(B27="",N($DF$9)=0),0,IF(N(C27)&gt;0,C27,1)*(IF((COUNTIF(INDEX($M27:$DA27,63):INDEX($M27:$DA27,62+MAX(1,N($DF$9))),"VR"))&gt;0,N(G27),0)+IF((COUNTIF(INDEX($M27:$DA27,63):INDEX($M27:$DA27,62+MAX(1,N($DF$9))),"RC"))&gt;0,N(I27),0)))</f>
        <v/>
      </c>
      <c r="DW27" s="31">
        <f>IF(OR(B27="",N($DF$9)=0),0,IF(N(C27)&gt;0,C27,1)*(COUNTIF(INDEX($M27:$DA27,63):INDEX($M27:$DA27,62+MAX(1,N($DF$9))),"FOC"))*N(E27))</f>
        <v/>
      </c>
      <c r="DX27" s="31">
        <f>IF(B27="",0,IF(DD27&gt;0,1,IF(DK27&gt;0,2,IF(DR27&gt;0,3,0))))</f>
        <v/>
      </c>
      <c r="DY27" s="31" t="n"/>
      <c r="DZ27" s="31" t="n"/>
      <c r="EA27" s="31" t="n"/>
    </row>
    <row r="28" ht="18" customHeight="1">
      <c r="A28" s="32" t="n"/>
      <c r="B28" s="24" t="n"/>
      <c r="C28" s="32" t="n"/>
      <c r="D28" s="25" t="n"/>
      <c r="E28" s="25" t="n"/>
      <c r="F28" s="25" t="n"/>
      <c r="G28" s="25" t="n"/>
      <c r="H28" s="25" t="n"/>
      <c r="I28" s="25" t="n"/>
      <c r="J28" s="28">
        <f>IF(B28="","",DC28+DJ28+DQ28)</f>
        <v/>
      </c>
      <c r="K28" s="28">
        <f>IF(B28="","",DD28+DK28+DR28)</f>
        <v/>
      </c>
      <c r="L28" s="29">
        <f>IF(B28="","",DF28+DM28+DT28+DG28+DN28+DU28+DH28+DO28+DV28)</f>
        <v/>
      </c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30" t="n"/>
      <c r="AD28" s="30" t="n"/>
      <c r="AE28" s="30" t="n"/>
      <c r="AF28" s="30" t="n"/>
      <c r="AG28" s="30" t="n"/>
      <c r="AH28" s="30" t="n"/>
      <c r="AI28" s="30" t="n"/>
      <c r="AJ28" s="30" t="n"/>
      <c r="AK28" s="30" t="n"/>
      <c r="AL28" s="30" t="n"/>
      <c r="AM28" s="30" t="n"/>
      <c r="AN28" s="30" t="n"/>
      <c r="AO28" s="30" t="n"/>
      <c r="AP28" s="30" t="n"/>
      <c r="AQ28" s="30" t="n"/>
      <c r="AR28" s="30" t="n"/>
      <c r="AS28" s="30" t="n"/>
      <c r="AT28" s="30" t="n"/>
      <c r="AU28" s="30" t="n"/>
      <c r="AV28" s="30" t="n"/>
      <c r="AW28" s="30" t="n"/>
      <c r="AX28" s="30" t="n"/>
      <c r="AY28" s="30" t="n"/>
      <c r="AZ28" s="30" t="n"/>
      <c r="BA28" s="30" t="n"/>
      <c r="BB28" s="30" t="n"/>
      <c r="BC28" s="30" t="n"/>
      <c r="BD28" s="30" t="n"/>
      <c r="BE28" s="30" t="n"/>
      <c r="BF28" s="30" t="n"/>
      <c r="BG28" s="30" t="n"/>
      <c r="BH28" s="30" t="n"/>
      <c r="BI28" s="30" t="n"/>
      <c r="BJ28" s="30" t="n"/>
      <c r="BK28" s="30" t="n"/>
      <c r="BL28" s="30" t="n"/>
      <c r="BM28" s="30" t="n"/>
      <c r="BN28" s="30" t="n"/>
      <c r="BO28" s="30" t="n"/>
      <c r="BP28" s="30" t="n"/>
      <c r="BQ28" s="30" t="n"/>
      <c r="BR28" s="30" t="n"/>
      <c r="BS28" s="30" t="n"/>
      <c r="BT28" s="30" t="n"/>
      <c r="BU28" s="30" t="n"/>
      <c r="BV28" s="30" t="n"/>
      <c r="BW28" s="30" t="n"/>
      <c r="BX28" s="30" t="n"/>
      <c r="BY28" s="30" t="n"/>
      <c r="BZ28" s="30" t="n"/>
      <c r="CA28" s="30" t="n"/>
      <c r="CB28" s="30" t="n"/>
      <c r="CC28" s="30" t="n"/>
      <c r="CD28" s="30" t="n"/>
      <c r="CE28" s="30" t="n"/>
      <c r="CF28" s="30" t="n"/>
      <c r="CG28" s="30" t="n"/>
      <c r="CH28" s="30" t="n"/>
      <c r="CI28" s="30" t="n"/>
      <c r="CJ28" s="30" t="n"/>
      <c r="CK28" s="30" t="n"/>
      <c r="CL28" s="30" t="n"/>
      <c r="CM28" s="30" t="n"/>
      <c r="CN28" s="30" t="n"/>
      <c r="CO28" s="30" t="n"/>
      <c r="CP28" s="30" t="n"/>
      <c r="CQ28" s="30" t="n"/>
      <c r="CR28" s="30" t="n"/>
      <c r="CS28" s="30" t="n"/>
      <c r="CT28" s="30" t="n"/>
      <c r="CU28" s="30" t="n"/>
      <c r="CV28" s="30" t="n"/>
      <c r="CW28" s="30" t="n"/>
      <c r="CX28" s="30" t="n"/>
      <c r="CY28" s="30" t="n"/>
      <c r="CZ28" s="30" t="n"/>
      <c r="DA28" s="30" t="n"/>
      <c r="DC28" s="31">
        <f>IF(N($DD$9)=0,0,COUNTIF(INDEX($M28:$DA28,1):INDEX($M28:$DA28,0+MAX(1,N($DD$9))),"S")+COUNTIF(INDEX($M28:$DA28,1):INDEX($M28:$DA28,0+MAX(1,N($DD$9))),"MOB")+COUNTIF(INDEX($M28:$DA28,1):INDEX($M28:$DA28,0+MAX(1,N($DD$9))),"DEMOB"))</f>
        <v/>
      </c>
      <c r="DD28" s="31">
        <f>IF(N($DD$9)=0,0,COUNTIF(INDEX($M28:$DA28,1):INDEX($M28:$DA28,0+MAX(1,N($DD$9))),"O"))</f>
        <v/>
      </c>
      <c r="DE28" s="31">
        <f>IF(N($DD$9)=0,0,COUNTIF(INDEX($M28:$DA28,1):INDEX($M28:$DA28,0+MAX(1,N($DD$9))),"MOB")+COUNTIF(INDEX($M28:$DA28,1):INDEX($M28:$DA28,0+MAX(1,N($DD$9))),"DEMOB"))</f>
        <v/>
      </c>
      <c r="DF28" s="31">
        <f>IF(B28="",0,IF(N(C28)&gt;0,C28,1)*(DC28*N(D28)+DD28*N(E28)))</f>
        <v/>
      </c>
      <c r="DG28" s="31">
        <f>IF(OR(B28="",A28="Oui",DX28&lt;&gt;1),0,IF(N(C28)&gt;0,C28,1)*(N(F28)+N(H28)))</f>
        <v/>
      </c>
      <c r="DH28" s="31">
        <f>IF(OR(B28="",N($DD$9)=0),0,IF(N(C28)&gt;0,C28,1)*(IF((COUNTIF(INDEX($M28:$DA28,1):INDEX($M28:$DA28,0+MAX(1,N($DD$9))),"VR"))&gt;0,N(G28),0)+IF((COUNTIF(INDEX($M28:$DA28,1):INDEX($M28:$DA28,0+MAX(1,N($DD$9))),"RC"))&gt;0,N(I28),0)))</f>
        <v/>
      </c>
      <c r="DI28" s="31">
        <f>IF(OR(B28="",N($DD$9)=0),0,IF(N(C28)&gt;0,C28,1)*(COUNTIF(INDEX($M28:$DA28,1):INDEX($M28:$DA28,0+MAX(1,N($DD$9))),"FOC"))*N(E28))</f>
        <v/>
      </c>
      <c r="DJ28" s="31">
        <f>IF(N($DE$9)=0,0,COUNTIF(INDEX($M28:$DA28,32):INDEX($M28:$DA28,31+MAX(1,N($DE$9))),"S")+COUNTIF(INDEX($M28:$DA28,32):INDEX($M28:$DA28,31+MAX(1,N($DE$9))),"MOB")+COUNTIF(INDEX($M28:$DA28,32):INDEX($M28:$DA28,31+MAX(1,N($DE$9))),"DEMOB"))</f>
        <v/>
      </c>
      <c r="DK28" s="31">
        <f>IF(N($DE$9)=0,0,COUNTIF(INDEX($M28:$DA28,32):INDEX($M28:$DA28,31+MAX(1,N($DE$9))),"O"))</f>
        <v/>
      </c>
      <c r="DL28" s="31">
        <f>IF(N($DE$9)=0,0,COUNTIF(INDEX($M28:$DA28,32):INDEX($M28:$DA28,31+MAX(1,N($DE$9))),"MOB")+COUNTIF(INDEX($M28:$DA28,32):INDEX($M28:$DA28,31+MAX(1,N($DE$9))),"DEMOB"))</f>
        <v/>
      </c>
      <c r="DM28" s="31">
        <f>IF(B28="",0,IF(N(C28)&gt;0,C28,1)*(DJ28*N(D28)+DK28*N(E28)))</f>
        <v/>
      </c>
      <c r="DN28" s="31">
        <f>IF(OR(B28="",A28="Oui",DX28&lt;&gt;2),0,IF(N(C28)&gt;0,C28,1)*(N(F28)+N(H28)))</f>
        <v/>
      </c>
      <c r="DO28" s="31">
        <f>IF(OR(B28="",N($DE$9)=0),0,IF(N(C28)&gt;0,C28,1)*(IF((COUNTIF(INDEX($M28:$DA28,32):INDEX($M28:$DA28,31+MAX(1,N($DE$9))),"VR"))&gt;0,N(G28),0)+IF((COUNTIF(INDEX($M28:$DA28,32):INDEX($M28:$DA28,31+MAX(1,N($DE$9))),"RC"))&gt;0,N(I28),0)))</f>
        <v/>
      </c>
      <c r="DP28" s="31">
        <f>IF(OR(B28="",N($DE$9)=0),0,IF(N(C28)&gt;0,C28,1)*(COUNTIF(INDEX($M28:$DA28,32):INDEX($M28:$DA28,31+MAX(1,N($DE$9))),"FOC"))*N(E28))</f>
        <v/>
      </c>
      <c r="DQ28" s="31">
        <f>IF(N($DF$9)=0,0,COUNTIF(INDEX($M28:$DA28,63):INDEX($M28:$DA28,62+MAX(1,N($DF$9))),"S")+COUNTIF(INDEX($M28:$DA28,63):INDEX($M28:$DA28,62+MAX(1,N($DF$9))),"MOB")+COUNTIF(INDEX($M28:$DA28,63):INDEX($M28:$DA28,62+MAX(1,N($DF$9))),"DEMOB"))</f>
        <v/>
      </c>
      <c r="DR28" s="31">
        <f>IF(N($DF$9)=0,0,COUNTIF(INDEX($M28:$DA28,63):INDEX($M28:$DA28,62+MAX(1,N($DF$9))),"O"))</f>
        <v/>
      </c>
      <c r="DS28" s="31">
        <f>IF(N($DF$9)=0,0,COUNTIF(INDEX($M28:$DA28,63):INDEX($M28:$DA28,62+MAX(1,N($DF$9))),"MOB")+COUNTIF(INDEX($M28:$DA28,63):INDEX($M28:$DA28,62+MAX(1,N($DF$9))),"DEMOB"))</f>
        <v/>
      </c>
      <c r="DT28" s="31">
        <f>IF(B28="",0,IF(N(C28)&gt;0,C28,1)*(DQ28*N(D28)+DR28*N(E28)))</f>
        <v/>
      </c>
      <c r="DU28" s="31">
        <f>IF(OR(B28="",A28="Oui",DX28&lt;&gt;3),0,IF(N(C28)&gt;0,C28,1)*(N(F28)+N(H28)))</f>
        <v/>
      </c>
      <c r="DV28" s="31">
        <f>IF(OR(B28="",N($DF$9)=0),0,IF(N(C28)&gt;0,C28,1)*(IF((COUNTIF(INDEX($M28:$DA28,63):INDEX($M28:$DA28,62+MAX(1,N($DF$9))),"VR"))&gt;0,N(G28),0)+IF((COUNTIF(INDEX($M28:$DA28,63):INDEX($M28:$DA28,62+MAX(1,N($DF$9))),"RC"))&gt;0,N(I28),0)))</f>
        <v/>
      </c>
      <c r="DW28" s="31">
        <f>IF(OR(B28="",N($DF$9)=0),0,IF(N(C28)&gt;0,C28,1)*(COUNTIF(INDEX($M28:$DA28,63):INDEX($M28:$DA28,62+MAX(1,N($DF$9))),"FOC"))*N(E28))</f>
        <v/>
      </c>
      <c r="DX28" s="31">
        <f>IF(B28="",0,IF(DD28&gt;0,1,IF(DK28&gt;0,2,IF(DR28&gt;0,3,0))))</f>
        <v/>
      </c>
      <c r="DY28" s="31" t="n"/>
      <c r="DZ28" s="31" t="n"/>
      <c r="EA28" s="31" t="n"/>
    </row>
    <row r="29" ht="18" customHeight="1">
      <c r="A29" s="32" t="n"/>
      <c r="B29" s="24" t="n"/>
      <c r="C29" s="32" t="n"/>
      <c r="D29" s="25" t="n"/>
      <c r="E29" s="25" t="n"/>
      <c r="F29" s="25" t="n"/>
      <c r="G29" s="25" t="n"/>
      <c r="H29" s="25" t="n"/>
      <c r="I29" s="25" t="n"/>
      <c r="J29" s="28">
        <f>IF(B29="","",DC29+DJ29+DQ29)</f>
        <v/>
      </c>
      <c r="K29" s="28">
        <f>IF(B29="","",DD29+DK29+DR29)</f>
        <v/>
      </c>
      <c r="L29" s="29">
        <f>IF(B29="","",DF29+DM29+DT29+DG29+DN29+DU29+DH29+DO29+DV29)</f>
        <v/>
      </c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/>
      <c r="AQ29" s="30" t="n"/>
      <c r="AR29" s="30" t="n"/>
      <c r="AS29" s="30" t="n"/>
      <c r="AT29" s="30" t="n"/>
      <c r="AU29" s="30" t="n"/>
      <c r="AV29" s="30" t="n"/>
      <c r="AW29" s="30" t="n"/>
      <c r="AX29" s="30" t="n"/>
      <c r="AY29" s="30" t="n"/>
      <c r="AZ29" s="30" t="n"/>
      <c r="BA29" s="30" t="n"/>
      <c r="BB29" s="30" t="n"/>
      <c r="BC29" s="30" t="n"/>
      <c r="BD29" s="30" t="n"/>
      <c r="BE29" s="30" t="n"/>
      <c r="BF29" s="30" t="n"/>
      <c r="BG29" s="30" t="n"/>
      <c r="BH29" s="30" t="n"/>
      <c r="BI29" s="30" t="n"/>
      <c r="BJ29" s="30" t="n"/>
      <c r="BK29" s="30" t="n"/>
      <c r="BL29" s="30" t="n"/>
      <c r="BM29" s="30" t="n"/>
      <c r="BN29" s="30" t="n"/>
      <c r="BO29" s="30" t="n"/>
      <c r="BP29" s="30" t="n"/>
      <c r="BQ29" s="30" t="n"/>
      <c r="BR29" s="30" t="n"/>
      <c r="BS29" s="30" t="n"/>
      <c r="BT29" s="30" t="n"/>
      <c r="BU29" s="30" t="n"/>
      <c r="BV29" s="30" t="n"/>
      <c r="BW29" s="30" t="n"/>
      <c r="BX29" s="30" t="n"/>
      <c r="BY29" s="30" t="n"/>
      <c r="BZ29" s="30" t="n"/>
      <c r="CA29" s="30" t="n"/>
      <c r="CB29" s="30" t="n"/>
      <c r="CC29" s="30" t="n"/>
      <c r="CD29" s="30" t="n"/>
      <c r="CE29" s="30" t="n"/>
      <c r="CF29" s="30" t="n"/>
      <c r="CG29" s="30" t="n"/>
      <c r="CH29" s="30" t="n"/>
      <c r="CI29" s="30" t="n"/>
      <c r="CJ29" s="30" t="n"/>
      <c r="CK29" s="30" t="n"/>
      <c r="CL29" s="30" t="n"/>
      <c r="CM29" s="30" t="n"/>
      <c r="CN29" s="30" t="n"/>
      <c r="CO29" s="30" t="n"/>
      <c r="CP29" s="30" t="n"/>
      <c r="CQ29" s="30" t="n"/>
      <c r="CR29" s="30" t="n"/>
      <c r="CS29" s="30" t="n"/>
      <c r="CT29" s="30" t="n"/>
      <c r="CU29" s="30" t="n"/>
      <c r="CV29" s="30" t="n"/>
      <c r="CW29" s="30" t="n"/>
      <c r="CX29" s="30" t="n"/>
      <c r="CY29" s="30" t="n"/>
      <c r="CZ29" s="30" t="n"/>
      <c r="DA29" s="30" t="n"/>
      <c r="DC29" s="31">
        <f>IF(N($DD$9)=0,0,COUNTIF(INDEX($M29:$DA29,1):INDEX($M29:$DA29,0+MAX(1,N($DD$9))),"S")+COUNTIF(INDEX($M29:$DA29,1):INDEX($M29:$DA29,0+MAX(1,N($DD$9))),"MOB")+COUNTIF(INDEX($M29:$DA29,1):INDEX($M29:$DA29,0+MAX(1,N($DD$9))),"DEMOB"))</f>
        <v/>
      </c>
      <c r="DD29" s="31">
        <f>IF(N($DD$9)=0,0,COUNTIF(INDEX($M29:$DA29,1):INDEX($M29:$DA29,0+MAX(1,N($DD$9))),"O"))</f>
        <v/>
      </c>
      <c r="DE29" s="31">
        <f>IF(N($DD$9)=0,0,COUNTIF(INDEX($M29:$DA29,1):INDEX($M29:$DA29,0+MAX(1,N($DD$9))),"MOB")+COUNTIF(INDEX($M29:$DA29,1):INDEX($M29:$DA29,0+MAX(1,N($DD$9))),"DEMOB"))</f>
        <v/>
      </c>
      <c r="DF29" s="31">
        <f>IF(B29="",0,IF(N(C29)&gt;0,C29,1)*(DC29*N(D29)+DD29*N(E29)))</f>
        <v/>
      </c>
      <c r="DG29" s="31">
        <f>IF(OR(B29="",A29="Oui",DX29&lt;&gt;1),0,IF(N(C29)&gt;0,C29,1)*(N(F29)+N(H29)))</f>
        <v/>
      </c>
      <c r="DH29" s="31">
        <f>IF(OR(B29="",N($DD$9)=0),0,IF(N(C29)&gt;0,C29,1)*(IF((COUNTIF(INDEX($M29:$DA29,1):INDEX($M29:$DA29,0+MAX(1,N($DD$9))),"VR"))&gt;0,N(G29),0)+IF((COUNTIF(INDEX($M29:$DA29,1):INDEX($M29:$DA29,0+MAX(1,N($DD$9))),"RC"))&gt;0,N(I29),0)))</f>
        <v/>
      </c>
      <c r="DI29" s="31">
        <f>IF(OR(B29="",N($DD$9)=0),0,IF(N(C29)&gt;0,C29,1)*(COUNTIF(INDEX($M29:$DA29,1):INDEX($M29:$DA29,0+MAX(1,N($DD$9))),"FOC"))*N(E29))</f>
        <v/>
      </c>
      <c r="DJ29" s="31">
        <f>IF(N($DE$9)=0,0,COUNTIF(INDEX($M29:$DA29,32):INDEX($M29:$DA29,31+MAX(1,N($DE$9))),"S")+COUNTIF(INDEX($M29:$DA29,32):INDEX($M29:$DA29,31+MAX(1,N($DE$9))),"MOB")+COUNTIF(INDEX($M29:$DA29,32):INDEX($M29:$DA29,31+MAX(1,N($DE$9))),"DEMOB"))</f>
        <v/>
      </c>
      <c r="DK29" s="31">
        <f>IF(N($DE$9)=0,0,COUNTIF(INDEX($M29:$DA29,32):INDEX($M29:$DA29,31+MAX(1,N($DE$9))),"O"))</f>
        <v/>
      </c>
      <c r="DL29" s="31">
        <f>IF(N($DE$9)=0,0,COUNTIF(INDEX($M29:$DA29,32):INDEX($M29:$DA29,31+MAX(1,N($DE$9))),"MOB")+COUNTIF(INDEX($M29:$DA29,32):INDEX($M29:$DA29,31+MAX(1,N($DE$9))),"DEMOB"))</f>
        <v/>
      </c>
      <c r="DM29" s="31">
        <f>IF(B29="",0,IF(N(C29)&gt;0,C29,1)*(DJ29*N(D29)+DK29*N(E29)))</f>
        <v/>
      </c>
      <c r="DN29" s="31">
        <f>IF(OR(B29="",A29="Oui",DX29&lt;&gt;2),0,IF(N(C29)&gt;0,C29,1)*(N(F29)+N(H29)))</f>
        <v/>
      </c>
      <c r="DO29" s="31">
        <f>IF(OR(B29="",N($DE$9)=0),0,IF(N(C29)&gt;0,C29,1)*(IF((COUNTIF(INDEX($M29:$DA29,32):INDEX($M29:$DA29,31+MAX(1,N($DE$9))),"VR"))&gt;0,N(G29),0)+IF((COUNTIF(INDEX($M29:$DA29,32):INDEX($M29:$DA29,31+MAX(1,N($DE$9))),"RC"))&gt;0,N(I29),0)))</f>
        <v/>
      </c>
      <c r="DP29" s="31">
        <f>IF(OR(B29="",N($DE$9)=0),0,IF(N(C29)&gt;0,C29,1)*(COUNTIF(INDEX($M29:$DA29,32):INDEX($M29:$DA29,31+MAX(1,N($DE$9))),"FOC"))*N(E29))</f>
        <v/>
      </c>
      <c r="DQ29" s="31">
        <f>IF(N($DF$9)=0,0,COUNTIF(INDEX($M29:$DA29,63):INDEX($M29:$DA29,62+MAX(1,N($DF$9))),"S")+COUNTIF(INDEX($M29:$DA29,63):INDEX($M29:$DA29,62+MAX(1,N($DF$9))),"MOB")+COUNTIF(INDEX($M29:$DA29,63):INDEX($M29:$DA29,62+MAX(1,N($DF$9))),"DEMOB"))</f>
        <v/>
      </c>
      <c r="DR29" s="31">
        <f>IF(N($DF$9)=0,0,COUNTIF(INDEX($M29:$DA29,63):INDEX($M29:$DA29,62+MAX(1,N($DF$9))),"O"))</f>
        <v/>
      </c>
      <c r="DS29" s="31">
        <f>IF(N($DF$9)=0,0,COUNTIF(INDEX($M29:$DA29,63):INDEX($M29:$DA29,62+MAX(1,N($DF$9))),"MOB")+COUNTIF(INDEX($M29:$DA29,63):INDEX($M29:$DA29,62+MAX(1,N($DF$9))),"DEMOB"))</f>
        <v/>
      </c>
      <c r="DT29" s="31">
        <f>IF(B29="",0,IF(N(C29)&gt;0,C29,1)*(DQ29*N(D29)+DR29*N(E29)))</f>
        <v/>
      </c>
      <c r="DU29" s="31">
        <f>IF(OR(B29="",A29="Oui",DX29&lt;&gt;3),0,IF(N(C29)&gt;0,C29,1)*(N(F29)+N(H29)))</f>
        <v/>
      </c>
      <c r="DV29" s="31">
        <f>IF(OR(B29="",N($DF$9)=0),0,IF(N(C29)&gt;0,C29,1)*(IF((COUNTIF(INDEX($M29:$DA29,63):INDEX($M29:$DA29,62+MAX(1,N($DF$9))),"VR"))&gt;0,N(G29),0)+IF((COUNTIF(INDEX($M29:$DA29,63):INDEX($M29:$DA29,62+MAX(1,N($DF$9))),"RC"))&gt;0,N(I29),0)))</f>
        <v/>
      </c>
      <c r="DW29" s="31">
        <f>IF(OR(B29="",N($DF$9)=0),0,IF(N(C29)&gt;0,C29,1)*(COUNTIF(INDEX($M29:$DA29,63):INDEX($M29:$DA29,62+MAX(1,N($DF$9))),"FOC"))*N(E29))</f>
        <v/>
      </c>
      <c r="DX29" s="31">
        <f>IF(B29="",0,IF(DD29&gt;0,1,IF(DK29&gt;0,2,IF(DR29&gt;0,3,0))))</f>
        <v/>
      </c>
      <c r="DY29" s="31" t="n"/>
      <c r="DZ29" s="31" t="n"/>
      <c r="EA29" s="31" t="n"/>
    </row>
    <row r="30" ht="18" customHeight="1">
      <c r="A30" s="32" t="n"/>
      <c r="B30" s="24" t="n"/>
      <c r="C30" s="32" t="n"/>
      <c r="D30" s="25" t="n"/>
      <c r="E30" s="25" t="n"/>
      <c r="F30" s="25" t="n"/>
      <c r="G30" s="25" t="n"/>
      <c r="H30" s="25" t="n"/>
      <c r="I30" s="25" t="n"/>
      <c r="J30" s="28">
        <f>IF(B30="","",DC30+DJ30+DQ30)</f>
        <v/>
      </c>
      <c r="K30" s="28">
        <f>IF(B30="","",DD30+DK30+DR30)</f>
        <v/>
      </c>
      <c r="L30" s="29">
        <f>IF(B30="","",DF30+DM30+DT30+DG30+DN30+DU30+DH30+DO30+DV30)</f>
        <v/>
      </c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30" t="n"/>
      <c r="AJ30" s="30" t="n"/>
      <c r="AK30" s="30" t="n"/>
      <c r="AL30" s="30" t="n"/>
      <c r="AM30" s="30" t="n"/>
      <c r="AN30" s="30" t="n"/>
      <c r="AO30" s="30" t="n"/>
      <c r="AP30" s="30" t="n"/>
      <c r="AQ30" s="30" t="n"/>
      <c r="AR30" s="30" t="n"/>
      <c r="AS30" s="30" t="n"/>
      <c r="AT30" s="30" t="n"/>
      <c r="AU30" s="30" t="n"/>
      <c r="AV30" s="30" t="n"/>
      <c r="AW30" s="30" t="n"/>
      <c r="AX30" s="30" t="n"/>
      <c r="AY30" s="30" t="n"/>
      <c r="AZ30" s="30" t="n"/>
      <c r="BA30" s="30" t="n"/>
      <c r="BB30" s="30" t="n"/>
      <c r="BC30" s="30" t="n"/>
      <c r="BD30" s="30" t="n"/>
      <c r="BE30" s="30" t="n"/>
      <c r="BF30" s="30" t="n"/>
      <c r="BG30" s="30" t="n"/>
      <c r="BH30" s="30" t="n"/>
      <c r="BI30" s="30" t="n"/>
      <c r="BJ30" s="30" t="n"/>
      <c r="BK30" s="30" t="n"/>
      <c r="BL30" s="30" t="n"/>
      <c r="BM30" s="30" t="n"/>
      <c r="BN30" s="30" t="n"/>
      <c r="BO30" s="30" t="n"/>
      <c r="BP30" s="30" t="n"/>
      <c r="BQ30" s="30" t="n"/>
      <c r="BR30" s="30" t="n"/>
      <c r="BS30" s="30" t="n"/>
      <c r="BT30" s="30" t="n"/>
      <c r="BU30" s="30" t="n"/>
      <c r="BV30" s="30" t="n"/>
      <c r="BW30" s="30" t="n"/>
      <c r="BX30" s="30" t="n"/>
      <c r="BY30" s="30" t="n"/>
      <c r="BZ30" s="30" t="n"/>
      <c r="CA30" s="30" t="n"/>
      <c r="CB30" s="30" t="n"/>
      <c r="CC30" s="30" t="n"/>
      <c r="CD30" s="30" t="n"/>
      <c r="CE30" s="30" t="n"/>
      <c r="CF30" s="30" t="n"/>
      <c r="CG30" s="30" t="n"/>
      <c r="CH30" s="30" t="n"/>
      <c r="CI30" s="30" t="n"/>
      <c r="CJ30" s="30" t="n"/>
      <c r="CK30" s="30" t="n"/>
      <c r="CL30" s="30" t="n"/>
      <c r="CM30" s="30" t="n"/>
      <c r="CN30" s="30" t="n"/>
      <c r="CO30" s="30" t="n"/>
      <c r="CP30" s="30" t="n"/>
      <c r="CQ30" s="30" t="n"/>
      <c r="CR30" s="30" t="n"/>
      <c r="CS30" s="30" t="n"/>
      <c r="CT30" s="30" t="n"/>
      <c r="CU30" s="30" t="n"/>
      <c r="CV30" s="30" t="n"/>
      <c r="CW30" s="30" t="n"/>
      <c r="CX30" s="30" t="n"/>
      <c r="CY30" s="30" t="n"/>
      <c r="CZ30" s="30" t="n"/>
      <c r="DA30" s="30" t="n"/>
      <c r="DC30" s="31">
        <f>IF(N($DD$9)=0,0,COUNTIF(INDEX($M30:$DA30,1):INDEX($M30:$DA30,0+MAX(1,N($DD$9))),"S")+COUNTIF(INDEX($M30:$DA30,1):INDEX($M30:$DA30,0+MAX(1,N($DD$9))),"MOB")+COUNTIF(INDEX($M30:$DA30,1):INDEX($M30:$DA30,0+MAX(1,N($DD$9))),"DEMOB"))</f>
        <v/>
      </c>
      <c r="DD30" s="31">
        <f>IF(N($DD$9)=0,0,COUNTIF(INDEX($M30:$DA30,1):INDEX($M30:$DA30,0+MAX(1,N($DD$9))),"O"))</f>
        <v/>
      </c>
      <c r="DE30" s="31">
        <f>IF(N($DD$9)=0,0,COUNTIF(INDEX($M30:$DA30,1):INDEX($M30:$DA30,0+MAX(1,N($DD$9))),"MOB")+COUNTIF(INDEX($M30:$DA30,1):INDEX($M30:$DA30,0+MAX(1,N($DD$9))),"DEMOB"))</f>
        <v/>
      </c>
      <c r="DF30" s="31">
        <f>IF(B30="",0,IF(N(C30)&gt;0,C30,1)*(DC30*N(D30)+DD30*N(E30)))</f>
        <v/>
      </c>
      <c r="DG30" s="31">
        <f>IF(OR(B30="",A30="Oui",DX30&lt;&gt;1),0,IF(N(C30)&gt;0,C30,1)*(N(F30)+N(H30)))</f>
        <v/>
      </c>
      <c r="DH30" s="31">
        <f>IF(OR(B30="",N($DD$9)=0),0,IF(N(C30)&gt;0,C30,1)*(IF((COUNTIF(INDEX($M30:$DA30,1):INDEX($M30:$DA30,0+MAX(1,N($DD$9))),"VR"))&gt;0,N(G30),0)+IF((COUNTIF(INDEX($M30:$DA30,1):INDEX($M30:$DA30,0+MAX(1,N($DD$9))),"RC"))&gt;0,N(I30),0)))</f>
        <v/>
      </c>
      <c r="DI30" s="31">
        <f>IF(OR(B30="",N($DD$9)=0),0,IF(N(C30)&gt;0,C30,1)*(COUNTIF(INDEX($M30:$DA30,1):INDEX($M30:$DA30,0+MAX(1,N($DD$9))),"FOC"))*N(E30))</f>
        <v/>
      </c>
      <c r="DJ30" s="31">
        <f>IF(N($DE$9)=0,0,COUNTIF(INDEX($M30:$DA30,32):INDEX($M30:$DA30,31+MAX(1,N($DE$9))),"S")+COUNTIF(INDEX($M30:$DA30,32):INDEX($M30:$DA30,31+MAX(1,N($DE$9))),"MOB")+COUNTIF(INDEX($M30:$DA30,32):INDEX($M30:$DA30,31+MAX(1,N($DE$9))),"DEMOB"))</f>
        <v/>
      </c>
      <c r="DK30" s="31">
        <f>IF(N($DE$9)=0,0,COUNTIF(INDEX($M30:$DA30,32):INDEX($M30:$DA30,31+MAX(1,N($DE$9))),"O"))</f>
        <v/>
      </c>
      <c r="DL30" s="31">
        <f>IF(N($DE$9)=0,0,COUNTIF(INDEX($M30:$DA30,32):INDEX($M30:$DA30,31+MAX(1,N($DE$9))),"MOB")+COUNTIF(INDEX($M30:$DA30,32):INDEX($M30:$DA30,31+MAX(1,N($DE$9))),"DEMOB"))</f>
        <v/>
      </c>
      <c r="DM30" s="31">
        <f>IF(B30="",0,IF(N(C30)&gt;0,C30,1)*(DJ30*N(D30)+DK30*N(E30)))</f>
        <v/>
      </c>
      <c r="DN30" s="31">
        <f>IF(OR(B30="",A30="Oui",DX30&lt;&gt;2),0,IF(N(C30)&gt;0,C30,1)*(N(F30)+N(H30)))</f>
        <v/>
      </c>
      <c r="DO30" s="31">
        <f>IF(OR(B30="",N($DE$9)=0),0,IF(N(C30)&gt;0,C30,1)*(IF((COUNTIF(INDEX($M30:$DA30,32):INDEX($M30:$DA30,31+MAX(1,N($DE$9))),"VR"))&gt;0,N(G30),0)+IF((COUNTIF(INDEX($M30:$DA30,32):INDEX($M30:$DA30,31+MAX(1,N($DE$9))),"RC"))&gt;0,N(I30),0)))</f>
        <v/>
      </c>
      <c r="DP30" s="31">
        <f>IF(OR(B30="",N($DE$9)=0),0,IF(N(C30)&gt;0,C30,1)*(COUNTIF(INDEX($M30:$DA30,32):INDEX($M30:$DA30,31+MAX(1,N($DE$9))),"FOC"))*N(E30))</f>
        <v/>
      </c>
      <c r="DQ30" s="31">
        <f>IF(N($DF$9)=0,0,COUNTIF(INDEX($M30:$DA30,63):INDEX($M30:$DA30,62+MAX(1,N($DF$9))),"S")+COUNTIF(INDEX($M30:$DA30,63):INDEX($M30:$DA30,62+MAX(1,N($DF$9))),"MOB")+COUNTIF(INDEX($M30:$DA30,63):INDEX($M30:$DA30,62+MAX(1,N($DF$9))),"DEMOB"))</f>
        <v/>
      </c>
      <c r="DR30" s="31">
        <f>IF(N($DF$9)=0,0,COUNTIF(INDEX($M30:$DA30,63):INDEX($M30:$DA30,62+MAX(1,N($DF$9))),"O"))</f>
        <v/>
      </c>
      <c r="DS30" s="31">
        <f>IF(N($DF$9)=0,0,COUNTIF(INDEX($M30:$DA30,63):INDEX($M30:$DA30,62+MAX(1,N($DF$9))),"MOB")+COUNTIF(INDEX($M30:$DA30,63):INDEX($M30:$DA30,62+MAX(1,N($DF$9))),"DEMOB"))</f>
        <v/>
      </c>
      <c r="DT30" s="31">
        <f>IF(B30="",0,IF(N(C30)&gt;0,C30,1)*(DQ30*N(D30)+DR30*N(E30)))</f>
        <v/>
      </c>
      <c r="DU30" s="31">
        <f>IF(OR(B30="",A30="Oui",DX30&lt;&gt;3),0,IF(N(C30)&gt;0,C30,1)*(N(F30)+N(H30)))</f>
        <v/>
      </c>
      <c r="DV30" s="31">
        <f>IF(OR(B30="",N($DF$9)=0),0,IF(N(C30)&gt;0,C30,1)*(IF((COUNTIF(INDEX($M30:$DA30,63):INDEX($M30:$DA30,62+MAX(1,N($DF$9))),"VR"))&gt;0,N(G30),0)+IF((COUNTIF(INDEX($M30:$DA30,63):INDEX($M30:$DA30,62+MAX(1,N($DF$9))),"RC"))&gt;0,N(I30),0)))</f>
        <v/>
      </c>
      <c r="DW30" s="31">
        <f>IF(OR(B30="",N($DF$9)=0),0,IF(N(C30)&gt;0,C30,1)*(COUNTIF(INDEX($M30:$DA30,63):INDEX($M30:$DA30,62+MAX(1,N($DF$9))),"FOC"))*N(E30))</f>
        <v/>
      </c>
      <c r="DX30" s="31">
        <f>IF(B30="",0,IF(DD30&gt;0,1,IF(DK30&gt;0,2,IF(DR30&gt;0,3,0))))</f>
        <v/>
      </c>
      <c r="DY30" s="31" t="n"/>
      <c r="DZ30" s="31" t="n"/>
      <c r="EA30" s="31" t="n"/>
    </row>
    <row r="31" ht="18" customHeight="1">
      <c r="A31" s="32" t="n"/>
      <c r="B31" s="24" t="n"/>
      <c r="C31" s="32" t="n"/>
      <c r="D31" s="25" t="n"/>
      <c r="E31" s="25" t="n"/>
      <c r="F31" s="25" t="n"/>
      <c r="G31" s="25" t="n"/>
      <c r="H31" s="25" t="n"/>
      <c r="I31" s="25" t="n"/>
      <c r="J31" s="28">
        <f>IF(B31="","",DC31+DJ31+DQ31)</f>
        <v/>
      </c>
      <c r="K31" s="28">
        <f>IF(B31="","",DD31+DK31+DR31)</f>
        <v/>
      </c>
      <c r="L31" s="29">
        <f>IF(B31="","",DF31+DM31+DT31+DG31+DN31+DU31+DH31+DO31+DV31)</f>
        <v/>
      </c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30" t="n"/>
      <c r="AP31" s="30" t="n"/>
      <c r="AQ31" s="30" t="n"/>
      <c r="AR31" s="30" t="n"/>
      <c r="AS31" s="30" t="n"/>
      <c r="AT31" s="30" t="n"/>
      <c r="AU31" s="30" t="n"/>
      <c r="AV31" s="30" t="n"/>
      <c r="AW31" s="30" t="n"/>
      <c r="AX31" s="30" t="n"/>
      <c r="AY31" s="30" t="n"/>
      <c r="AZ31" s="30" t="n"/>
      <c r="BA31" s="30" t="n"/>
      <c r="BB31" s="30" t="n"/>
      <c r="BC31" s="30" t="n"/>
      <c r="BD31" s="30" t="n"/>
      <c r="BE31" s="30" t="n"/>
      <c r="BF31" s="30" t="n"/>
      <c r="BG31" s="30" t="n"/>
      <c r="BH31" s="30" t="n"/>
      <c r="BI31" s="30" t="n"/>
      <c r="BJ31" s="30" t="n"/>
      <c r="BK31" s="30" t="n"/>
      <c r="BL31" s="30" t="n"/>
      <c r="BM31" s="30" t="n"/>
      <c r="BN31" s="30" t="n"/>
      <c r="BO31" s="30" t="n"/>
      <c r="BP31" s="30" t="n"/>
      <c r="BQ31" s="30" t="n"/>
      <c r="BR31" s="30" t="n"/>
      <c r="BS31" s="30" t="n"/>
      <c r="BT31" s="30" t="n"/>
      <c r="BU31" s="30" t="n"/>
      <c r="BV31" s="30" t="n"/>
      <c r="BW31" s="30" t="n"/>
      <c r="BX31" s="30" t="n"/>
      <c r="BY31" s="30" t="n"/>
      <c r="BZ31" s="30" t="n"/>
      <c r="CA31" s="30" t="n"/>
      <c r="CB31" s="30" t="n"/>
      <c r="CC31" s="30" t="n"/>
      <c r="CD31" s="30" t="n"/>
      <c r="CE31" s="30" t="n"/>
      <c r="CF31" s="30" t="n"/>
      <c r="CG31" s="30" t="n"/>
      <c r="CH31" s="30" t="n"/>
      <c r="CI31" s="30" t="n"/>
      <c r="CJ31" s="30" t="n"/>
      <c r="CK31" s="30" t="n"/>
      <c r="CL31" s="30" t="n"/>
      <c r="CM31" s="30" t="n"/>
      <c r="CN31" s="30" t="n"/>
      <c r="CO31" s="30" t="n"/>
      <c r="CP31" s="30" t="n"/>
      <c r="CQ31" s="30" t="n"/>
      <c r="CR31" s="30" t="n"/>
      <c r="CS31" s="30" t="n"/>
      <c r="CT31" s="30" t="n"/>
      <c r="CU31" s="30" t="n"/>
      <c r="CV31" s="30" t="n"/>
      <c r="CW31" s="30" t="n"/>
      <c r="CX31" s="30" t="n"/>
      <c r="CY31" s="30" t="n"/>
      <c r="CZ31" s="30" t="n"/>
      <c r="DA31" s="30" t="n"/>
      <c r="DC31" s="31">
        <f>IF(N($DD$9)=0,0,COUNTIF(INDEX($M31:$DA31,1):INDEX($M31:$DA31,0+MAX(1,N($DD$9))),"S")+COUNTIF(INDEX($M31:$DA31,1):INDEX($M31:$DA31,0+MAX(1,N($DD$9))),"MOB")+COUNTIF(INDEX($M31:$DA31,1):INDEX($M31:$DA31,0+MAX(1,N($DD$9))),"DEMOB"))</f>
        <v/>
      </c>
      <c r="DD31" s="31">
        <f>IF(N($DD$9)=0,0,COUNTIF(INDEX($M31:$DA31,1):INDEX($M31:$DA31,0+MAX(1,N($DD$9))),"O"))</f>
        <v/>
      </c>
      <c r="DE31" s="31">
        <f>IF(N($DD$9)=0,0,COUNTIF(INDEX($M31:$DA31,1):INDEX($M31:$DA31,0+MAX(1,N($DD$9))),"MOB")+COUNTIF(INDEX($M31:$DA31,1):INDEX($M31:$DA31,0+MAX(1,N($DD$9))),"DEMOB"))</f>
        <v/>
      </c>
      <c r="DF31" s="31">
        <f>IF(B31="",0,IF(N(C31)&gt;0,C31,1)*(DC31*N(D31)+DD31*N(E31)))</f>
        <v/>
      </c>
      <c r="DG31" s="31">
        <f>IF(OR(B31="",A31="Oui",DX31&lt;&gt;1),0,IF(N(C31)&gt;0,C31,1)*(N(F31)+N(H31)))</f>
        <v/>
      </c>
      <c r="DH31" s="31">
        <f>IF(OR(B31="",N($DD$9)=0),0,IF(N(C31)&gt;0,C31,1)*(IF((COUNTIF(INDEX($M31:$DA31,1):INDEX($M31:$DA31,0+MAX(1,N($DD$9))),"VR"))&gt;0,N(G31),0)+IF((COUNTIF(INDEX($M31:$DA31,1):INDEX($M31:$DA31,0+MAX(1,N($DD$9))),"RC"))&gt;0,N(I31),0)))</f>
        <v/>
      </c>
      <c r="DI31" s="31">
        <f>IF(OR(B31="",N($DD$9)=0),0,IF(N(C31)&gt;0,C31,1)*(COUNTIF(INDEX($M31:$DA31,1):INDEX($M31:$DA31,0+MAX(1,N($DD$9))),"FOC"))*N(E31))</f>
        <v/>
      </c>
      <c r="DJ31" s="31">
        <f>IF(N($DE$9)=0,0,COUNTIF(INDEX($M31:$DA31,32):INDEX($M31:$DA31,31+MAX(1,N($DE$9))),"S")+COUNTIF(INDEX($M31:$DA31,32):INDEX($M31:$DA31,31+MAX(1,N($DE$9))),"MOB")+COUNTIF(INDEX($M31:$DA31,32):INDEX($M31:$DA31,31+MAX(1,N($DE$9))),"DEMOB"))</f>
        <v/>
      </c>
      <c r="DK31" s="31">
        <f>IF(N($DE$9)=0,0,COUNTIF(INDEX($M31:$DA31,32):INDEX($M31:$DA31,31+MAX(1,N($DE$9))),"O"))</f>
        <v/>
      </c>
      <c r="DL31" s="31">
        <f>IF(N($DE$9)=0,0,COUNTIF(INDEX($M31:$DA31,32):INDEX($M31:$DA31,31+MAX(1,N($DE$9))),"MOB")+COUNTIF(INDEX($M31:$DA31,32):INDEX($M31:$DA31,31+MAX(1,N($DE$9))),"DEMOB"))</f>
        <v/>
      </c>
      <c r="DM31" s="31">
        <f>IF(B31="",0,IF(N(C31)&gt;0,C31,1)*(DJ31*N(D31)+DK31*N(E31)))</f>
        <v/>
      </c>
      <c r="DN31" s="31">
        <f>IF(OR(B31="",A31="Oui",DX31&lt;&gt;2),0,IF(N(C31)&gt;0,C31,1)*(N(F31)+N(H31)))</f>
        <v/>
      </c>
      <c r="DO31" s="31">
        <f>IF(OR(B31="",N($DE$9)=0),0,IF(N(C31)&gt;0,C31,1)*(IF((COUNTIF(INDEX($M31:$DA31,32):INDEX($M31:$DA31,31+MAX(1,N($DE$9))),"VR"))&gt;0,N(G31),0)+IF((COUNTIF(INDEX($M31:$DA31,32):INDEX($M31:$DA31,31+MAX(1,N($DE$9))),"RC"))&gt;0,N(I31),0)))</f>
        <v/>
      </c>
      <c r="DP31" s="31">
        <f>IF(OR(B31="",N($DE$9)=0),0,IF(N(C31)&gt;0,C31,1)*(COUNTIF(INDEX($M31:$DA31,32):INDEX($M31:$DA31,31+MAX(1,N($DE$9))),"FOC"))*N(E31))</f>
        <v/>
      </c>
      <c r="DQ31" s="31">
        <f>IF(N($DF$9)=0,0,COUNTIF(INDEX($M31:$DA31,63):INDEX($M31:$DA31,62+MAX(1,N($DF$9))),"S")+COUNTIF(INDEX($M31:$DA31,63):INDEX($M31:$DA31,62+MAX(1,N($DF$9))),"MOB")+COUNTIF(INDEX($M31:$DA31,63):INDEX($M31:$DA31,62+MAX(1,N($DF$9))),"DEMOB"))</f>
        <v/>
      </c>
      <c r="DR31" s="31">
        <f>IF(N($DF$9)=0,0,COUNTIF(INDEX($M31:$DA31,63):INDEX($M31:$DA31,62+MAX(1,N($DF$9))),"O"))</f>
        <v/>
      </c>
      <c r="DS31" s="31">
        <f>IF(N($DF$9)=0,0,COUNTIF(INDEX($M31:$DA31,63):INDEX($M31:$DA31,62+MAX(1,N($DF$9))),"MOB")+COUNTIF(INDEX($M31:$DA31,63):INDEX($M31:$DA31,62+MAX(1,N($DF$9))),"DEMOB"))</f>
        <v/>
      </c>
      <c r="DT31" s="31">
        <f>IF(B31="",0,IF(N(C31)&gt;0,C31,1)*(DQ31*N(D31)+DR31*N(E31)))</f>
        <v/>
      </c>
      <c r="DU31" s="31">
        <f>IF(OR(B31="",A31="Oui",DX31&lt;&gt;3),0,IF(N(C31)&gt;0,C31,1)*(N(F31)+N(H31)))</f>
        <v/>
      </c>
      <c r="DV31" s="31">
        <f>IF(OR(B31="",N($DF$9)=0),0,IF(N(C31)&gt;0,C31,1)*(IF((COUNTIF(INDEX($M31:$DA31,63):INDEX($M31:$DA31,62+MAX(1,N($DF$9))),"VR"))&gt;0,N(G31),0)+IF((COUNTIF(INDEX($M31:$DA31,63):INDEX($M31:$DA31,62+MAX(1,N($DF$9))),"RC"))&gt;0,N(I31),0)))</f>
        <v/>
      </c>
      <c r="DW31" s="31">
        <f>IF(OR(B31="",N($DF$9)=0),0,IF(N(C31)&gt;0,C31,1)*(COUNTIF(INDEX($M31:$DA31,63):INDEX($M31:$DA31,62+MAX(1,N($DF$9))),"FOC"))*N(E31))</f>
        <v/>
      </c>
      <c r="DX31" s="31">
        <f>IF(B31="",0,IF(DD31&gt;0,1,IF(DK31&gt;0,2,IF(DR31&gt;0,3,0))))</f>
        <v/>
      </c>
      <c r="DY31" s="31" t="n"/>
      <c r="DZ31" s="31" t="n"/>
      <c r="EA31" s="31" t="n"/>
    </row>
    <row r="32" ht="18" customHeight="1">
      <c r="A32" s="32" t="n"/>
      <c r="B32" s="24" t="n"/>
      <c r="C32" s="32" t="n"/>
      <c r="D32" s="25" t="n"/>
      <c r="E32" s="25" t="n"/>
      <c r="F32" s="25" t="n"/>
      <c r="G32" s="25" t="n"/>
      <c r="H32" s="25" t="n"/>
      <c r="I32" s="25" t="n"/>
      <c r="J32" s="28">
        <f>IF(B32="","",DC32+DJ32+DQ32)</f>
        <v/>
      </c>
      <c r="K32" s="28">
        <f>IF(B32="","",DD32+DK32+DR32)</f>
        <v/>
      </c>
      <c r="L32" s="29">
        <f>IF(B32="","",DF32+DM32+DT32+DG32+DN32+DU32+DH32+DO32+DV32)</f>
        <v/>
      </c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0" t="n"/>
      <c r="AH32" s="30" t="n"/>
      <c r="AI32" s="30" t="n"/>
      <c r="AJ32" s="30" t="n"/>
      <c r="AK32" s="30" t="n"/>
      <c r="AL32" s="30" t="n"/>
      <c r="AM32" s="30" t="n"/>
      <c r="AN32" s="30" t="n"/>
      <c r="AO32" s="30" t="n"/>
      <c r="AP32" s="30" t="n"/>
      <c r="AQ32" s="30" t="n"/>
      <c r="AR32" s="30" t="n"/>
      <c r="AS32" s="30" t="n"/>
      <c r="AT32" s="30" t="n"/>
      <c r="AU32" s="30" t="n"/>
      <c r="AV32" s="30" t="n"/>
      <c r="AW32" s="30" t="n"/>
      <c r="AX32" s="30" t="n"/>
      <c r="AY32" s="30" t="n"/>
      <c r="AZ32" s="30" t="n"/>
      <c r="BA32" s="30" t="n"/>
      <c r="BB32" s="30" t="n"/>
      <c r="BC32" s="30" t="n"/>
      <c r="BD32" s="30" t="n"/>
      <c r="BE32" s="30" t="n"/>
      <c r="BF32" s="30" t="n"/>
      <c r="BG32" s="30" t="n"/>
      <c r="BH32" s="30" t="n"/>
      <c r="BI32" s="30" t="n"/>
      <c r="BJ32" s="30" t="n"/>
      <c r="BK32" s="30" t="n"/>
      <c r="BL32" s="30" t="n"/>
      <c r="BM32" s="30" t="n"/>
      <c r="BN32" s="30" t="n"/>
      <c r="BO32" s="30" t="n"/>
      <c r="BP32" s="30" t="n"/>
      <c r="BQ32" s="30" t="n"/>
      <c r="BR32" s="30" t="n"/>
      <c r="BS32" s="30" t="n"/>
      <c r="BT32" s="30" t="n"/>
      <c r="BU32" s="30" t="n"/>
      <c r="BV32" s="30" t="n"/>
      <c r="BW32" s="30" t="n"/>
      <c r="BX32" s="30" t="n"/>
      <c r="BY32" s="30" t="n"/>
      <c r="BZ32" s="30" t="n"/>
      <c r="CA32" s="30" t="n"/>
      <c r="CB32" s="30" t="n"/>
      <c r="CC32" s="30" t="n"/>
      <c r="CD32" s="30" t="n"/>
      <c r="CE32" s="30" t="n"/>
      <c r="CF32" s="30" t="n"/>
      <c r="CG32" s="30" t="n"/>
      <c r="CH32" s="30" t="n"/>
      <c r="CI32" s="30" t="n"/>
      <c r="CJ32" s="30" t="n"/>
      <c r="CK32" s="30" t="n"/>
      <c r="CL32" s="30" t="n"/>
      <c r="CM32" s="30" t="n"/>
      <c r="CN32" s="30" t="n"/>
      <c r="CO32" s="30" t="n"/>
      <c r="CP32" s="30" t="n"/>
      <c r="CQ32" s="30" t="n"/>
      <c r="CR32" s="30" t="n"/>
      <c r="CS32" s="30" t="n"/>
      <c r="CT32" s="30" t="n"/>
      <c r="CU32" s="30" t="n"/>
      <c r="CV32" s="30" t="n"/>
      <c r="CW32" s="30" t="n"/>
      <c r="CX32" s="30" t="n"/>
      <c r="CY32" s="30" t="n"/>
      <c r="CZ32" s="30" t="n"/>
      <c r="DA32" s="30" t="n"/>
      <c r="DC32" s="31">
        <f>IF(N($DD$9)=0,0,COUNTIF(INDEX($M32:$DA32,1):INDEX($M32:$DA32,0+MAX(1,N($DD$9))),"S")+COUNTIF(INDEX($M32:$DA32,1):INDEX($M32:$DA32,0+MAX(1,N($DD$9))),"MOB")+COUNTIF(INDEX($M32:$DA32,1):INDEX($M32:$DA32,0+MAX(1,N($DD$9))),"DEMOB"))</f>
        <v/>
      </c>
      <c r="DD32" s="31">
        <f>IF(N($DD$9)=0,0,COUNTIF(INDEX($M32:$DA32,1):INDEX($M32:$DA32,0+MAX(1,N($DD$9))),"O"))</f>
        <v/>
      </c>
      <c r="DE32" s="31">
        <f>IF(N($DD$9)=0,0,COUNTIF(INDEX($M32:$DA32,1):INDEX($M32:$DA32,0+MAX(1,N($DD$9))),"MOB")+COUNTIF(INDEX($M32:$DA32,1):INDEX($M32:$DA32,0+MAX(1,N($DD$9))),"DEMOB"))</f>
        <v/>
      </c>
      <c r="DF32" s="31">
        <f>IF(B32="",0,IF(N(C32)&gt;0,C32,1)*(DC32*N(D32)+DD32*N(E32)))</f>
        <v/>
      </c>
      <c r="DG32" s="31">
        <f>IF(OR(B32="",A32="Oui",DX32&lt;&gt;1),0,IF(N(C32)&gt;0,C32,1)*(N(F32)+N(H32)))</f>
        <v/>
      </c>
      <c r="DH32" s="31">
        <f>IF(OR(B32="",N($DD$9)=0),0,IF(N(C32)&gt;0,C32,1)*(IF((COUNTIF(INDEX($M32:$DA32,1):INDEX($M32:$DA32,0+MAX(1,N($DD$9))),"VR"))&gt;0,N(G32),0)+IF((COUNTIF(INDEX($M32:$DA32,1):INDEX($M32:$DA32,0+MAX(1,N($DD$9))),"RC"))&gt;0,N(I32),0)))</f>
        <v/>
      </c>
      <c r="DI32" s="31">
        <f>IF(OR(B32="",N($DD$9)=0),0,IF(N(C32)&gt;0,C32,1)*(COUNTIF(INDEX($M32:$DA32,1):INDEX($M32:$DA32,0+MAX(1,N($DD$9))),"FOC"))*N(E32))</f>
        <v/>
      </c>
      <c r="DJ32" s="31">
        <f>IF(N($DE$9)=0,0,COUNTIF(INDEX($M32:$DA32,32):INDEX($M32:$DA32,31+MAX(1,N($DE$9))),"S")+COUNTIF(INDEX($M32:$DA32,32):INDEX($M32:$DA32,31+MAX(1,N($DE$9))),"MOB")+COUNTIF(INDEX($M32:$DA32,32):INDEX($M32:$DA32,31+MAX(1,N($DE$9))),"DEMOB"))</f>
        <v/>
      </c>
      <c r="DK32" s="31">
        <f>IF(N($DE$9)=0,0,COUNTIF(INDEX($M32:$DA32,32):INDEX($M32:$DA32,31+MAX(1,N($DE$9))),"O"))</f>
        <v/>
      </c>
      <c r="DL32" s="31">
        <f>IF(N($DE$9)=0,0,COUNTIF(INDEX($M32:$DA32,32):INDEX($M32:$DA32,31+MAX(1,N($DE$9))),"MOB")+COUNTIF(INDEX($M32:$DA32,32):INDEX($M32:$DA32,31+MAX(1,N($DE$9))),"DEMOB"))</f>
        <v/>
      </c>
      <c r="DM32" s="31">
        <f>IF(B32="",0,IF(N(C32)&gt;0,C32,1)*(DJ32*N(D32)+DK32*N(E32)))</f>
        <v/>
      </c>
      <c r="DN32" s="31">
        <f>IF(OR(B32="",A32="Oui",DX32&lt;&gt;2),0,IF(N(C32)&gt;0,C32,1)*(N(F32)+N(H32)))</f>
        <v/>
      </c>
      <c r="DO32" s="31">
        <f>IF(OR(B32="",N($DE$9)=0),0,IF(N(C32)&gt;0,C32,1)*(IF((COUNTIF(INDEX($M32:$DA32,32):INDEX($M32:$DA32,31+MAX(1,N($DE$9))),"VR"))&gt;0,N(G32),0)+IF((COUNTIF(INDEX($M32:$DA32,32):INDEX($M32:$DA32,31+MAX(1,N($DE$9))),"RC"))&gt;0,N(I32),0)))</f>
        <v/>
      </c>
      <c r="DP32" s="31">
        <f>IF(OR(B32="",N($DE$9)=0),0,IF(N(C32)&gt;0,C32,1)*(COUNTIF(INDEX($M32:$DA32,32):INDEX($M32:$DA32,31+MAX(1,N($DE$9))),"FOC"))*N(E32))</f>
        <v/>
      </c>
      <c r="DQ32" s="31">
        <f>IF(N($DF$9)=0,0,COUNTIF(INDEX($M32:$DA32,63):INDEX($M32:$DA32,62+MAX(1,N($DF$9))),"S")+COUNTIF(INDEX($M32:$DA32,63):INDEX($M32:$DA32,62+MAX(1,N($DF$9))),"MOB")+COUNTIF(INDEX($M32:$DA32,63):INDEX($M32:$DA32,62+MAX(1,N($DF$9))),"DEMOB"))</f>
        <v/>
      </c>
      <c r="DR32" s="31">
        <f>IF(N($DF$9)=0,0,COUNTIF(INDEX($M32:$DA32,63):INDEX($M32:$DA32,62+MAX(1,N($DF$9))),"O"))</f>
        <v/>
      </c>
      <c r="DS32" s="31">
        <f>IF(N($DF$9)=0,0,COUNTIF(INDEX($M32:$DA32,63):INDEX($M32:$DA32,62+MAX(1,N($DF$9))),"MOB")+COUNTIF(INDEX($M32:$DA32,63):INDEX($M32:$DA32,62+MAX(1,N($DF$9))),"DEMOB"))</f>
        <v/>
      </c>
      <c r="DT32" s="31">
        <f>IF(B32="",0,IF(N(C32)&gt;0,C32,1)*(DQ32*N(D32)+DR32*N(E32)))</f>
        <v/>
      </c>
      <c r="DU32" s="31">
        <f>IF(OR(B32="",A32="Oui",DX32&lt;&gt;3),0,IF(N(C32)&gt;0,C32,1)*(N(F32)+N(H32)))</f>
        <v/>
      </c>
      <c r="DV32" s="31">
        <f>IF(OR(B32="",N($DF$9)=0),0,IF(N(C32)&gt;0,C32,1)*(IF((COUNTIF(INDEX($M32:$DA32,63):INDEX($M32:$DA32,62+MAX(1,N($DF$9))),"VR"))&gt;0,N(G32),0)+IF((COUNTIF(INDEX($M32:$DA32,63):INDEX($M32:$DA32,62+MAX(1,N($DF$9))),"RC"))&gt;0,N(I32),0)))</f>
        <v/>
      </c>
      <c r="DW32" s="31">
        <f>IF(OR(B32="",N($DF$9)=0),0,IF(N(C32)&gt;0,C32,1)*(COUNTIF(INDEX($M32:$DA32,63):INDEX($M32:$DA32,62+MAX(1,N($DF$9))),"FOC"))*N(E32))</f>
        <v/>
      </c>
      <c r="DX32" s="31">
        <f>IF(B32="",0,IF(DD32&gt;0,1,IF(DK32&gt;0,2,IF(DR32&gt;0,3,0))))</f>
        <v/>
      </c>
      <c r="DY32" s="31" t="n"/>
      <c r="DZ32" s="31" t="n"/>
      <c r="EA32" s="31" t="n"/>
    </row>
    <row r="33" ht="18" customHeight="1">
      <c r="A33" s="32" t="n"/>
      <c r="B33" s="24" t="n"/>
      <c r="C33" s="32" t="n"/>
      <c r="D33" s="25" t="n"/>
      <c r="E33" s="25" t="n"/>
      <c r="F33" s="25" t="n"/>
      <c r="G33" s="25" t="n"/>
      <c r="H33" s="25" t="n"/>
      <c r="I33" s="25" t="n"/>
      <c r="J33" s="28">
        <f>IF(B33="","",DC33+DJ33+DQ33)</f>
        <v/>
      </c>
      <c r="K33" s="28">
        <f>IF(B33="","",DD33+DK33+DR33)</f>
        <v/>
      </c>
      <c r="L33" s="29">
        <f>IF(B33="","",DF33+DM33+DT33+DG33+DN33+DU33+DH33+DO33+DV33)</f>
        <v/>
      </c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0" t="n"/>
      <c r="AR33" s="30" t="n"/>
      <c r="AS33" s="30" t="n"/>
      <c r="AT33" s="30" t="n"/>
      <c r="AU33" s="30" t="n"/>
      <c r="AV33" s="30" t="n"/>
      <c r="AW33" s="30" t="n"/>
      <c r="AX33" s="30" t="n"/>
      <c r="AY33" s="30" t="n"/>
      <c r="AZ33" s="30" t="n"/>
      <c r="BA33" s="30" t="n"/>
      <c r="BB33" s="30" t="n"/>
      <c r="BC33" s="30" t="n"/>
      <c r="BD33" s="30" t="n"/>
      <c r="BE33" s="30" t="n"/>
      <c r="BF33" s="30" t="n"/>
      <c r="BG33" s="30" t="n"/>
      <c r="BH33" s="30" t="n"/>
      <c r="BI33" s="30" t="n"/>
      <c r="BJ33" s="30" t="n"/>
      <c r="BK33" s="30" t="n"/>
      <c r="BL33" s="30" t="n"/>
      <c r="BM33" s="30" t="n"/>
      <c r="BN33" s="30" t="n"/>
      <c r="BO33" s="30" t="n"/>
      <c r="BP33" s="30" t="n"/>
      <c r="BQ33" s="30" t="n"/>
      <c r="BR33" s="30" t="n"/>
      <c r="BS33" s="30" t="n"/>
      <c r="BT33" s="30" t="n"/>
      <c r="BU33" s="30" t="n"/>
      <c r="BV33" s="30" t="n"/>
      <c r="BW33" s="30" t="n"/>
      <c r="BX33" s="30" t="n"/>
      <c r="BY33" s="30" t="n"/>
      <c r="BZ33" s="30" t="n"/>
      <c r="CA33" s="30" t="n"/>
      <c r="CB33" s="30" t="n"/>
      <c r="CC33" s="30" t="n"/>
      <c r="CD33" s="30" t="n"/>
      <c r="CE33" s="30" t="n"/>
      <c r="CF33" s="30" t="n"/>
      <c r="CG33" s="30" t="n"/>
      <c r="CH33" s="30" t="n"/>
      <c r="CI33" s="30" t="n"/>
      <c r="CJ33" s="30" t="n"/>
      <c r="CK33" s="30" t="n"/>
      <c r="CL33" s="30" t="n"/>
      <c r="CM33" s="30" t="n"/>
      <c r="CN33" s="30" t="n"/>
      <c r="CO33" s="30" t="n"/>
      <c r="CP33" s="30" t="n"/>
      <c r="CQ33" s="30" t="n"/>
      <c r="CR33" s="30" t="n"/>
      <c r="CS33" s="30" t="n"/>
      <c r="CT33" s="30" t="n"/>
      <c r="CU33" s="30" t="n"/>
      <c r="CV33" s="30" t="n"/>
      <c r="CW33" s="30" t="n"/>
      <c r="CX33" s="30" t="n"/>
      <c r="CY33" s="30" t="n"/>
      <c r="CZ33" s="30" t="n"/>
      <c r="DA33" s="30" t="n"/>
      <c r="DC33" s="31">
        <f>IF(N($DD$9)=0,0,COUNTIF(INDEX($M33:$DA33,1):INDEX($M33:$DA33,0+MAX(1,N($DD$9))),"S")+COUNTIF(INDEX($M33:$DA33,1):INDEX($M33:$DA33,0+MAX(1,N($DD$9))),"MOB")+COUNTIF(INDEX($M33:$DA33,1):INDEX($M33:$DA33,0+MAX(1,N($DD$9))),"DEMOB"))</f>
        <v/>
      </c>
      <c r="DD33" s="31">
        <f>IF(N($DD$9)=0,0,COUNTIF(INDEX($M33:$DA33,1):INDEX($M33:$DA33,0+MAX(1,N($DD$9))),"O"))</f>
        <v/>
      </c>
      <c r="DE33" s="31">
        <f>IF(N($DD$9)=0,0,COUNTIF(INDEX($M33:$DA33,1):INDEX($M33:$DA33,0+MAX(1,N($DD$9))),"MOB")+COUNTIF(INDEX($M33:$DA33,1):INDEX($M33:$DA33,0+MAX(1,N($DD$9))),"DEMOB"))</f>
        <v/>
      </c>
      <c r="DF33" s="31">
        <f>IF(B33="",0,IF(N(C33)&gt;0,C33,1)*(DC33*N(D33)+DD33*N(E33)))</f>
        <v/>
      </c>
      <c r="DG33" s="31">
        <f>IF(OR(B33="",A33="Oui",DX33&lt;&gt;1),0,IF(N(C33)&gt;0,C33,1)*(N(F33)+N(H33)))</f>
        <v/>
      </c>
      <c r="DH33" s="31">
        <f>IF(OR(B33="",N($DD$9)=0),0,IF(N(C33)&gt;0,C33,1)*(IF((COUNTIF(INDEX($M33:$DA33,1):INDEX($M33:$DA33,0+MAX(1,N($DD$9))),"VR"))&gt;0,N(G33),0)+IF((COUNTIF(INDEX($M33:$DA33,1):INDEX($M33:$DA33,0+MAX(1,N($DD$9))),"RC"))&gt;0,N(I33),0)))</f>
        <v/>
      </c>
      <c r="DI33" s="31">
        <f>IF(OR(B33="",N($DD$9)=0),0,IF(N(C33)&gt;0,C33,1)*(COUNTIF(INDEX($M33:$DA33,1):INDEX($M33:$DA33,0+MAX(1,N($DD$9))),"FOC"))*N(E33))</f>
        <v/>
      </c>
      <c r="DJ33" s="31">
        <f>IF(N($DE$9)=0,0,COUNTIF(INDEX($M33:$DA33,32):INDEX($M33:$DA33,31+MAX(1,N($DE$9))),"S")+COUNTIF(INDEX($M33:$DA33,32):INDEX($M33:$DA33,31+MAX(1,N($DE$9))),"MOB")+COUNTIF(INDEX($M33:$DA33,32):INDEX($M33:$DA33,31+MAX(1,N($DE$9))),"DEMOB"))</f>
        <v/>
      </c>
      <c r="DK33" s="31">
        <f>IF(N($DE$9)=0,0,COUNTIF(INDEX($M33:$DA33,32):INDEX($M33:$DA33,31+MAX(1,N($DE$9))),"O"))</f>
        <v/>
      </c>
      <c r="DL33" s="31">
        <f>IF(N($DE$9)=0,0,COUNTIF(INDEX($M33:$DA33,32):INDEX($M33:$DA33,31+MAX(1,N($DE$9))),"MOB")+COUNTIF(INDEX($M33:$DA33,32):INDEX($M33:$DA33,31+MAX(1,N($DE$9))),"DEMOB"))</f>
        <v/>
      </c>
      <c r="DM33" s="31">
        <f>IF(B33="",0,IF(N(C33)&gt;0,C33,1)*(DJ33*N(D33)+DK33*N(E33)))</f>
        <v/>
      </c>
      <c r="DN33" s="31">
        <f>IF(OR(B33="",A33="Oui",DX33&lt;&gt;2),0,IF(N(C33)&gt;0,C33,1)*(N(F33)+N(H33)))</f>
        <v/>
      </c>
      <c r="DO33" s="31">
        <f>IF(OR(B33="",N($DE$9)=0),0,IF(N(C33)&gt;0,C33,1)*(IF((COUNTIF(INDEX($M33:$DA33,32):INDEX($M33:$DA33,31+MAX(1,N($DE$9))),"VR"))&gt;0,N(G33),0)+IF((COUNTIF(INDEX($M33:$DA33,32):INDEX($M33:$DA33,31+MAX(1,N($DE$9))),"RC"))&gt;0,N(I33),0)))</f>
        <v/>
      </c>
      <c r="DP33" s="31">
        <f>IF(OR(B33="",N($DE$9)=0),0,IF(N(C33)&gt;0,C33,1)*(COUNTIF(INDEX($M33:$DA33,32):INDEX($M33:$DA33,31+MAX(1,N($DE$9))),"FOC"))*N(E33))</f>
        <v/>
      </c>
      <c r="DQ33" s="31">
        <f>IF(N($DF$9)=0,0,COUNTIF(INDEX($M33:$DA33,63):INDEX($M33:$DA33,62+MAX(1,N($DF$9))),"S")+COUNTIF(INDEX($M33:$DA33,63):INDEX($M33:$DA33,62+MAX(1,N($DF$9))),"MOB")+COUNTIF(INDEX($M33:$DA33,63):INDEX($M33:$DA33,62+MAX(1,N($DF$9))),"DEMOB"))</f>
        <v/>
      </c>
      <c r="DR33" s="31">
        <f>IF(N($DF$9)=0,0,COUNTIF(INDEX($M33:$DA33,63):INDEX($M33:$DA33,62+MAX(1,N($DF$9))),"O"))</f>
        <v/>
      </c>
      <c r="DS33" s="31">
        <f>IF(N($DF$9)=0,0,COUNTIF(INDEX($M33:$DA33,63):INDEX($M33:$DA33,62+MAX(1,N($DF$9))),"MOB")+COUNTIF(INDEX($M33:$DA33,63):INDEX($M33:$DA33,62+MAX(1,N($DF$9))),"DEMOB"))</f>
        <v/>
      </c>
      <c r="DT33" s="31">
        <f>IF(B33="",0,IF(N(C33)&gt;0,C33,1)*(DQ33*N(D33)+DR33*N(E33)))</f>
        <v/>
      </c>
      <c r="DU33" s="31">
        <f>IF(OR(B33="",A33="Oui",DX33&lt;&gt;3),0,IF(N(C33)&gt;0,C33,1)*(N(F33)+N(H33)))</f>
        <v/>
      </c>
      <c r="DV33" s="31">
        <f>IF(OR(B33="",N($DF$9)=0),0,IF(N(C33)&gt;0,C33,1)*(IF((COUNTIF(INDEX($M33:$DA33,63):INDEX($M33:$DA33,62+MAX(1,N($DF$9))),"VR"))&gt;0,N(G33),0)+IF((COUNTIF(INDEX($M33:$DA33,63):INDEX($M33:$DA33,62+MAX(1,N($DF$9))),"RC"))&gt;0,N(I33),0)))</f>
        <v/>
      </c>
      <c r="DW33" s="31">
        <f>IF(OR(B33="",N($DF$9)=0),0,IF(N(C33)&gt;0,C33,1)*(COUNTIF(INDEX($M33:$DA33,63):INDEX($M33:$DA33,62+MAX(1,N($DF$9))),"FOC"))*N(E33))</f>
        <v/>
      </c>
      <c r="DX33" s="31">
        <f>IF(B33="",0,IF(DD33&gt;0,1,IF(DK33&gt;0,2,IF(DR33&gt;0,3,0))))</f>
        <v/>
      </c>
      <c r="DY33" s="31" t="n"/>
      <c r="DZ33" s="31" t="n"/>
      <c r="EA33" s="31" t="n"/>
    </row>
    <row r="35" ht="20" customHeight="1">
      <c r="A35" s="20" t="inlineStr">
        <is>
          <t>SERRAGES   ·   saisir dans le calendrier le nombre de serrages effectués chaque jour   ·   prix par serrage en colonne « Opér. € »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</row>
    <row r="36" ht="18" customHeight="1">
      <c r="A36" s="23" t="n"/>
      <c r="B36" s="24" t="n"/>
      <c r="C36" s="23" t="n"/>
      <c r="D36" s="26" t="n"/>
      <c r="E36" s="25" t="n"/>
      <c r="F36" s="26" t="n"/>
      <c r="G36" s="26" t="n"/>
      <c r="H36" s="26" t="n"/>
      <c r="I36" s="26" t="n"/>
      <c r="J36" s="28">
        <f>IF(B36="","",SUM(INDEX($M36:$DA36,1):INDEX($M36:$DA36,0+MAX(1,N($DD$9))))+SUM(INDEX($M36:$DA36,32):INDEX($M36:$DA36,31+MAX(1,N($DE$9))))+SUM(INDEX($M36:$DA36,63):INDEX($M36:$DA36,62+MAX(1,N($DF$9)))))</f>
        <v/>
      </c>
      <c r="K36" s="28" t="n"/>
      <c r="L36" s="29">
        <f>IF(B36="","",DY36+DZ36+EA36)</f>
        <v/>
      </c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33" t="n"/>
      <c r="AC36" s="33" t="n"/>
      <c r="AD36" s="33" t="n"/>
      <c r="AE36" s="33" t="n"/>
      <c r="AF36" s="33" t="n"/>
      <c r="AG36" s="33" t="n"/>
      <c r="AH36" s="33" t="n"/>
      <c r="AI36" s="33" t="n"/>
      <c r="AJ36" s="33" t="n"/>
      <c r="AK36" s="33" t="n"/>
      <c r="AL36" s="33" t="n"/>
      <c r="AM36" s="33" t="n"/>
      <c r="AN36" s="33" t="n"/>
      <c r="AO36" s="33" t="n"/>
      <c r="AP36" s="33" t="n"/>
      <c r="AQ36" s="33" t="n"/>
      <c r="AR36" s="33" t="n"/>
      <c r="AS36" s="33" t="n"/>
      <c r="AT36" s="33" t="n"/>
      <c r="AU36" s="33" t="n"/>
      <c r="AV36" s="33" t="n"/>
      <c r="AW36" s="33" t="n"/>
      <c r="AX36" s="33" t="n"/>
      <c r="AY36" s="33" t="n"/>
      <c r="AZ36" s="33" t="n"/>
      <c r="BA36" s="33" t="n"/>
      <c r="BB36" s="33" t="n"/>
      <c r="BC36" s="33" t="n"/>
      <c r="BD36" s="33" t="n"/>
      <c r="BE36" s="33" t="n"/>
      <c r="BF36" s="33" t="n"/>
      <c r="BG36" s="33" t="n"/>
      <c r="BH36" s="33" t="n"/>
      <c r="BI36" s="33" t="n"/>
      <c r="BJ36" s="33" t="n"/>
      <c r="BK36" s="33" t="n"/>
      <c r="BL36" s="33" t="n"/>
      <c r="BM36" s="33" t="n"/>
      <c r="BN36" s="33" t="n"/>
      <c r="BO36" s="33" t="n"/>
      <c r="BP36" s="33" t="n"/>
      <c r="BQ36" s="33" t="n"/>
      <c r="BR36" s="33" t="n"/>
      <c r="BS36" s="33" t="n"/>
      <c r="BT36" s="33" t="n"/>
      <c r="BU36" s="33" t="n"/>
      <c r="BV36" s="33" t="n"/>
      <c r="BW36" s="33" t="n"/>
      <c r="BX36" s="33" t="n"/>
      <c r="BY36" s="33" t="n"/>
      <c r="BZ36" s="33" t="n"/>
      <c r="CA36" s="33" t="n"/>
      <c r="CB36" s="33" t="n"/>
      <c r="CC36" s="33" t="n"/>
      <c r="CD36" s="33" t="n"/>
      <c r="CE36" s="33" t="n"/>
      <c r="CF36" s="33" t="n"/>
      <c r="CG36" s="33" t="n"/>
      <c r="CH36" s="33" t="n"/>
      <c r="CI36" s="33" t="n"/>
      <c r="CJ36" s="33" t="n"/>
      <c r="CK36" s="33" t="n"/>
      <c r="CL36" s="33" t="n"/>
      <c r="CM36" s="33" t="n"/>
      <c r="CN36" s="33" t="n"/>
      <c r="CO36" s="33" t="n"/>
      <c r="CP36" s="33" t="n"/>
      <c r="CQ36" s="33" t="n"/>
      <c r="CR36" s="33" t="n"/>
      <c r="CS36" s="33" t="n"/>
      <c r="CT36" s="33" t="n"/>
      <c r="CU36" s="33" t="n"/>
      <c r="CV36" s="33" t="n"/>
      <c r="CW36" s="33" t="n"/>
      <c r="CX36" s="33" t="n"/>
      <c r="CY36" s="33" t="n"/>
      <c r="CZ36" s="33" t="n"/>
      <c r="DA36" s="33" t="n"/>
      <c r="DC36" s="31" t="n">
        <v>0</v>
      </c>
      <c r="DD36" s="31" t="n">
        <v>0</v>
      </c>
      <c r="DE36" s="31" t="n">
        <v>0</v>
      </c>
      <c r="DF36" s="31" t="n">
        <v>0</v>
      </c>
      <c r="DG36" s="31" t="n">
        <v>0</v>
      </c>
      <c r="DH36" s="31" t="n">
        <v>0</v>
      </c>
      <c r="DI36" s="31" t="n">
        <v>0</v>
      </c>
      <c r="DJ36" s="31" t="n">
        <v>0</v>
      </c>
      <c r="DK36" s="31" t="n">
        <v>0</v>
      </c>
      <c r="DL36" s="31" t="n">
        <v>0</v>
      </c>
      <c r="DM36" s="31" t="n">
        <v>0</v>
      </c>
      <c r="DN36" s="31" t="n">
        <v>0</v>
      </c>
      <c r="DO36" s="31" t="n">
        <v>0</v>
      </c>
      <c r="DP36" s="31" t="n">
        <v>0</v>
      </c>
      <c r="DQ36" s="31" t="n">
        <v>0</v>
      </c>
      <c r="DR36" s="31" t="n">
        <v>0</v>
      </c>
      <c r="DS36" s="31" t="n">
        <v>0</v>
      </c>
      <c r="DT36" s="31" t="n">
        <v>0</v>
      </c>
      <c r="DU36" s="31" t="n">
        <v>0</v>
      </c>
      <c r="DV36" s="31" t="n">
        <v>0</v>
      </c>
      <c r="DW36" s="31" t="n">
        <v>0</v>
      </c>
      <c r="DX36" s="31" t="n">
        <v>0</v>
      </c>
      <c r="DY36" s="31">
        <f>IF(OR(B36="",N($DD$9)=0),0,SUM(INDEX($M36:$DA36,1):INDEX($M36:$DA36,0+MAX(1,N($DD$9))))*N(E36))</f>
        <v/>
      </c>
      <c r="DZ36" s="31">
        <f>IF(OR(B36="",N($DE$9)=0),0,SUM(INDEX($M36:$DA36,32):INDEX($M36:$DA36,31+MAX(1,N($DE$9))))*N(E36))</f>
        <v/>
      </c>
      <c r="EA36" s="31">
        <f>IF(OR(B36="",N($DF$9)=0),0,SUM(INDEX($M36:$DA36,63):INDEX($M36:$DA36,62+MAX(1,N($DF$9))))*N(E36))</f>
        <v/>
      </c>
    </row>
    <row r="37" ht="18" customHeight="1">
      <c r="A37" s="23" t="n"/>
      <c r="B37" s="24" t="n"/>
      <c r="C37" s="23" t="n"/>
      <c r="D37" s="26" t="n"/>
      <c r="E37" s="25" t="n"/>
      <c r="F37" s="26" t="n"/>
      <c r="G37" s="26" t="n"/>
      <c r="H37" s="26" t="n"/>
      <c r="I37" s="26" t="n"/>
      <c r="J37" s="28">
        <f>IF(B37="","",SUM(INDEX($M37:$DA37,1):INDEX($M37:$DA37,0+MAX(1,N($DD$9))))+SUM(INDEX($M37:$DA37,32):INDEX($M37:$DA37,31+MAX(1,N($DE$9))))+SUM(INDEX($M37:$DA37,63):INDEX($M37:$DA37,62+MAX(1,N($DF$9)))))</f>
        <v/>
      </c>
      <c r="K37" s="28" t="n"/>
      <c r="L37" s="29">
        <f>IF(B37="","",DY37+DZ37+EA37)</f>
        <v/>
      </c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  <c r="AE37" s="33" t="n"/>
      <c r="AF37" s="33" t="n"/>
      <c r="AG37" s="33" t="n"/>
      <c r="AH37" s="33" t="n"/>
      <c r="AI37" s="33" t="n"/>
      <c r="AJ37" s="33" t="n"/>
      <c r="AK37" s="33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W37" s="33" t="n"/>
      <c r="AX37" s="33" t="n"/>
      <c r="AY37" s="33" t="n"/>
      <c r="AZ37" s="33" t="n"/>
      <c r="BA37" s="33" t="n"/>
      <c r="BB37" s="33" t="n"/>
      <c r="BC37" s="33" t="n"/>
      <c r="BD37" s="33" t="n"/>
      <c r="BE37" s="33" t="n"/>
      <c r="BF37" s="33" t="n"/>
      <c r="BG37" s="33" t="n"/>
      <c r="BH37" s="33" t="n"/>
      <c r="BI37" s="33" t="n"/>
      <c r="BJ37" s="33" t="n"/>
      <c r="BK37" s="33" t="n"/>
      <c r="BL37" s="33" t="n"/>
      <c r="BM37" s="33" t="n"/>
      <c r="BN37" s="33" t="n"/>
      <c r="BO37" s="33" t="n"/>
      <c r="BP37" s="33" t="n"/>
      <c r="BQ37" s="33" t="n"/>
      <c r="BR37" s="33" t="n"/>
      <c r="BS37" s="33" t="n"/>
      <c r="BT37" s="33" t="n"/>
      <c r="BU37" s="33" t="n"/>
      <c r="BV37" s="33" t="n"/>
      <c r="BW37" s="33" t="n"/>
      <c r="BX37" s="33" t="n"/>
      <c r="BY37" s="33" t="n"/>
      <c r="BZ37" s="33" t="n"/>
      <c r="CA37" s="33" t="n"/>
      <c r="CB37" s="33" t="n"/>
      <c r="CC37" s="33" t="n"/>
      <c r="CD37" s="33" t="n"/>
      <c r="CE37" s="33" t="n"/>
      <c r="CF37" s="33" t="n"/>
      <c r="CG37" s="33" t="n"/>
      <c r="CH37" s="33" t="n"/>
      <c r="CI37" s="33" t="n"/>
      <c r="CJ37" s="33" t="n"/>
      <c r="CK37" s="33" t="n"/>
      <c r="CL37" s="33" t="n"/>
      <c r="CM37" s="33" t="n"/>
      <c r="CN37" s="33" t="n"/>
      <c r="CO37" s="33" t="n"/>
      <c r="CP37" s="33" t="n"/>
      <c r="CQ37" s="33" t="n"/>
      <c r="CR37" s="33" t="n"/>
      <c r="CS37" s="33" t="n"/>
      <c r="CT37" s="33" t="n"/>
      <c r="CU37" s="33" t="n"/>
      <c r="CV37" s="33" t="n"/>
      <c r="CW37" s="33" t="n"/>
      <c r="CX37" s="33" t="n"/>
      <c r="CY37" s="33" t="n"/>
      <c r="CZ37" s="33" t="n"/>
      <c r="DA37" s="33" t="n"/>
      <c r="DC37" s="31" t="n">
        <v>0</v>
      </c>
      <c r="DD37" s="31" t="n">
        <v>0</v>
      </c>
      <c r="DE37" s="31" t="n">
        <v>0</v>
      </c>
      <c r="DF37" s="31" t="n">
        <v>0</v>
      </c>
      <c r="DG37" s="31" t="n">
        <v>0</v>
      </c>
      <c r="DH37" s="31" t="n">
        <v>0</v>
      </c>
      <c r="DI37" s="31" t="n">
        <v>0</v>
      </c>
      <c r="DJ37" s="31" t="n">
        <v>0</v>
      </c>
      <c r="DK37" s="31" t="n">
        <v>0</v>
      </c>
      <c r="DL37" s="31" t="n">
        <v>0</v>
      </c>
      <c r="DM37" s="31" t="n">
        <v>0</v>
      </c>
      <c r="DN37" s="31" t="n">
        <v>0</v>
      </c>
      <c r="DO37" s="31" t="n">
        <v>0</v>
      </c>
      <c r="DP37" s="31" t="n">
        <v>0</v>
      </c>
      <c r="DQ37" s="31" t="n">
        <v>0</v>
      </c>
      <c r="DR37" s="31" t="n">
        <v>0</v>
      </c>
      <c r="DS37" s="31" t="n">
        <v>0</v>
      </c>
      <c r="DT37" s="31" t="n">
        <v>0</v>
      </c>
      <c r="DU37" s="31" t="n">
        <v>0</v>
      </c>
      <c r="DV37" s="31" t="n">
        <v>0</v>
      </c>
      <c r="DW37" s="31" t="n">
        <v>0</v>
      </c>
      <c r="DX37" s="31" t="n">
        <v>0</v>
      </c>
      <c r="DY37" s="31">
        <f>IF(OR(B37="",N($DD$9)=0),0,SUM(INDEX($M37:$DA37,1):INDEX($M37:$DA37,0+MAX(1,N($DD$9))))*N(E37))</f>
        <v/>
      </c>
      <c r="DZ37" s="31">
        <f>IF(OR(B37="",N($DE$9)=0),0,SUM(INDEX($M37:$DA37,32):INDEX($M37:$DA37,31+MAX(1,N($DE$9))))*N(E37))</f>
        <v/>
      </c>
      <c r="EA37" s="31">
        <f>IF(OR(B37="",N($DF$9)=0),0,SUM(INDEX($M37:$DA37,63):INDEX($M37:$DA37,62+MAX(1,N($DF$9))))*N(E37))</f>
        <v/>
      </c>
    </row>
    <row r="39" ht="20" customHeight="1">
      <c r="A39" s="20" t="inlineStr">
        <is>
          <t>TRANSPORT ET AUTRES FRAIS   ·   quantité × prix unitaire (colonne « Opér. € »)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</row>
    <row r="40" ht="18" customHeight="1">
      <c r="A40" s="23" t="n"/>
      <c r="B40" s="24" t="n"/>
      <c r="C40" s="32" t="n"/>
      <c r="D40" s="26" t="n"/>
      <c r="E40" s="25" t="n"/>
      <c r="F40" s="26" t="n"/>
      <c r="G40" s="26" t="n"/>
      <c r="H40" s="26" t="n"/>
      <c r="I40" s="26" t="n"/>
      <c r="J40" s="28" t="n"/>
      <c r="K40" s="28" t="n"/>
      <c r="L40" s="29">
        <f>IF(B40="","",N(C40)*N(E40))</f>
        <v/>
      </c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  <c r="AA40" s="34" t="n"/>
      <c r="AB40" s="34" t="n"/>
      <c r="AC40" s="34" t="n"/>
      <c r="AD40" s="34" t="n"/>
      <c r="AE40" s="34" t="n"/>
      <c r="AF40" s="34" t="n"/>
      <c r="AG40" s="34" t="n"/>
      <c r="AH40" s="34" t="n"/>
      <c r="AI40" s="34" t="n"/>
      <c r="AJ40" s="34" t="n"/>
      <c r="AK40" s="34" t="n"/>
      <c r="AL40" s="34" t="n"/>
      <c r="AM40" s="34" t="n"/>
      <c r="AN40" s="34" t="n"/>
      <c r="AO40" s="34" t="n"/>
      <c r="AP40" s="34" t="n"/>
      <c r="AQ40" s="34" t="n"/>
      <c r="AR40" s="34" t="n"/>
      <c r="AS40" s="34" t="n"/>
      <c r="AT40" s="34" t="n"/>
      <c r="AU40" s="34" t="n"/>
      <c r="AV40" s="34" t="n"/>
      <c r="AW40" s="34" t="n"/>
      <c r="AX40" s="34" t="n"/>
      <c r="AY40" s="34" t="n"/>
      <c r="AZ40" s="34" t="n"/>
      <c r="BA40" s="34" t="n"/>
      <c r="BB40" s="34" t="n"/>
      <c r="BC40" s="34" t="n"/>
      <c r="BD40" s="34" t="n"/>
      <c r="BE40" s="34" t="n"/>
      <c r="BF40" s="34" t="n"/>
      <c r="BG40" s="34" t="n"/>
      <c r="BH40" s="34" t="n"/>
      <c r="BI40" s="34" t="n"/>
      <c r="BJ40" s="34" t="n"/>
      <c r="BK40" s="34" t="n"/>
      <c r="BL40" s="34" t="n"/>
      <c r="BM40" s="34" t="n"/>
      <c r="BN40" s="34" t="n"/>
      <c r="BO40" s="34" t="n"/>
      <c r="BP40" s="34" t="n"/>
      <c r="BQ40" s="34" t="n"/>
      <c r="BR40" s="34" t="n"/>
      <c r="BS40" s="34" t="n"/>
      <c r="BT40" s="34" t="n"/>
      <c r="BU40" s="34" t="n"/>
      <c r="BV40" s="34" t="n"/>
      <c r="BW40" s="34" t="n"/>
      <c r="BX40" s="34" t="n"/>
      <c r="BY40" s="34" t="n"/>
      <c r="BZ40" s="34" t="n"/>
      <c r="CA40" s="34" t="n"/>
      <c r="CB40" s="34" t="n"/>
      <c r="CC40" s="34" t="n"/>
      <c r="CD40" s="34" t="n"/>
      <c r="CE40" s="34" t="n"/>
      <c r="CF40" s="34" t="n"/>
      <c r="CG40" s="34" t="n"/>
      <c r="CH40" s="34" t="n"/>
      <c r="CI40" s="34" t="n"/>
      <c r="CJ40" s="34" t="n"/>
      <c r="CK40" s="34" t="n"/>
      <c r="CL40" s="34" t="n"/>
      <c r="CM40" s="34" t="n"/>
      <c r="CN40" s="34" t="n"/>
      <c r="CO40" s="34" t="n"/>
      <c r="CP40" s="34" t="n"/>
      <c r="CQ40" s="34" t="n"/>
      <c r="CR40" s="34" t="n"/>
      <c r="CS40" s="34" t="n"/>
      <c r="CT40" s="34" t="n"/>
      <c r="CU40" s="34" t="n"/>
      <c r="CV40" s="34" t="n"/>
      <c r="CW40" s="34" t="n"/>
      <c r="CX40" s="34" t="n"/>
      <c r="CY40" s="34" t="n"/>
      <c r="CZ40" s="34" t="n"/>
      <c r="DA40" s="34" t="n"/>
      <c r="DC40" s="31" t="n">
        <v>0</v>
      </c>
      <c r="DD40" s="31" t="n">
        <v>0</v>
      </c>
      <c r="DE40" s="31" t="n">
        <v>0</v>
      </c>
      <c r="DF40" s="31" t="n">
        <v>0</v>
      </c>
      <c r="DG40" s="31" t="n">
        <v>0</v>
      </c>
      <c r="DH40" s="31" t="n">
        <v>0</v>
      </c>
      <c r="DI40" s="31" t="n">
        <v>0</v>
      </c>
      <c r="DJ40" s="31" t="n">
        <v>0</v>
      </c>
      <c r="DK40" s="31" t="n">
        <v>0</v>
      </c>
      <c r="DL40" s="31" t="n">
        <v>0</v>
      </c>
      <c r="DM40" s="31" t="n">
        <v>0</v>
      </c>
      <c r="DN40" s="31" t="n">
        <v>0</v>
      </c>
      <c r="DO40" s="31" t="n">
        <v>0</v>
      </c>
      <c r="DP40" s="31" t="n">
        <v>0</v>
      </c>
      <c r="DQ40" s="31" t="n">
        <v>0</v>
      </c>
      <c r="DR40" s="31" t="n">
        <v>0</v>
      </c>
      <c r="DS40" s="31" t="n">
        <v>0</v>
      </c>
      <c r="DT40" s="31" t="n">
        <v>0</v>
      </c>
      <c r="DU40" s="31" t="n">
        <v>0</v>
      </c>
      <c r="DV40" s="31" t="n">
        <v>0</v>
      </c>
      <c r="DW40" s="31" t="n">
        <v>0</v>
      </c>
      <c r="DX40" s="31" t="n">
        <v>0</v>
      </c>
      <c r="DY40" s="31" t="n">
        <v>0</v>
      </c>
      <c r="DZ40" s="31" t="n">
        <v>0</v>
      </c>
      <c r="EA40" s="31" t="n">
        <v>0</v>
      </c>
    </row>
    <row r="41" ht="18" customHeight="1">
      <c r="A41" s="23" t="n"/>
      <c r="B41" s="24" t="n"/>
      <c r="C41" s="32" t="n"/>
      <c r="D41" s="26" t="n"/>
      <c r="E41" s="25" t="n"/>
      <c r="F41" s="26" t="n"/>
      <c r="G41" s="26" t="n"/>
      <c r="H41" s="26" t="n"/>
      <c r="I41" s="26" t="n"/>
      <c r="J41" s="28" t="n"/>
      <c r="K41" s="28" t="n"/>
      <c r="L41" s="29">
        <f>IF(B41="","",N(C41)*N(E41))</f>
        <v/>
      </c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  <c r="AA41" s="34" t="n"/>
      <c r="AB41" s="34" t="n"/>
      <c r="AC41" s="34" t="n"/>
      <c r="AD41" s="34" t="n"/>
      <c r="AE41" s="34" t="n"/>
      <c r="AF41" s="34" t="n"/>
      <c r="AG41" s="34" t="n"/>
      <c r="AH41" s="34" t="n"/>
      <c r="AI41" s="34" t="n"/>
      <c r="AJ41" s="34" t="n"/>
      <c r="AK41" s="34" t="n"/>
      <c r="AL41" s="34" t="n"/>
      <c r="AM41" s="34" t="n"/>
      <c r="AN41" s="34" t="n"/>
      <c r="AO41" s="34" t="n"/>
      <c r="AP41" s="34" t="n"/>
      <c r="AQ41" s="34" t="n"/>
      <c r="AR41" s="34" t="n"/>
      <c r="AS41" s="34" t="n"/>
      <c r="AT41" s="34" t="n"/>
      <c r="AU41" s="34" t="n"/>
      <c r="AV41" s="34" t="n"/>
      <c r="AW41" s="34" t="n"/>
      <c r="AX41" s="34" t="n"/>
      <c r="AY41" s="34" t="n"/>
      <c r="AZ41" s="34" t="n"/>
      <c r="BA41" s="34" t="n"/>
      <c r="BB41" s="34" t="n"/>
      <c r="BC41" s="34" t="n"/>
      <c r="BD41" s="34" t="n"/>
      <c r="BE41" s="34" t="n"/>
      <c r="BF41" s="34" t="n"/>
      <c r="BG41" s="34" t="n"/>
      <c r="BH41" s="34" t="n"/>
      <c r="BI41" s="34" t="n"/>
      <c r="BJ41" s="34" t="n"/>
      <c r="BK41" s="34" t="n"/>
      <c r="BL41" s="34" t="n"/>
      <c r="BM41" s="34" t="n"/>
      <c r="BN41" s="34" t="n"/>
      <c r="BO41" s="34" t="n"/>
      <c r="BP41" s="34" t="n"/>
      <c r="BQ41" s="34" t="n"/>
      <c r="BR41" s="34" t="n"/>
      <c r="BS41" s="34" t="n"/>
      <c r="BT41" s="34" t="n"/>
      <c r="BU41" s="34" t="n"/>
      <c r="BV41" s="34" t="n"/>
      <c r="BW41" s="34" t="n"/>
      <c r="BX41" s="34" t="n"/>
      <c r="BY41" s="34" t="n"/>
      <c r="BZ41" s="34" t="n"/>
      <c r="CA41" s="34" t="n"/>
      <c r="CB41" s="34" t="n"/>
      <c r="CC41" s="34" t="n"/>
      <c r="CD41" s="34" t="n"/>
      <c r="CE41" s="34" t="n"/>
      <c r="CF41" s="34" t="n"/>
      <c r="CG41" s="34" t="n"/>
      <c r="CH41" s="34" t="n"/>
      <c r="CI41" s="34" t="n"/>
      <c r="CJ41" s="34" t="n"/>
      <c r="CK41" s="34" t="n"/>
      <c r="CL41" s="34" t="n"/>
      <c r="CM41" s="34" t="n"/>
      <c r="CN41" s="34" t="n"/>
      <c r="CO41" s="34" t="n"/>
      <c r="CP41" s="34" t="n"/>
      <c r="CQ41" s="34" t="n"/>
      <c r="CR41" s="34" t="n"/>
      <c r="CS41" s="34" t="n"/>
      <c r="CT41" s="34" t="n"/>
      <c r="CU41" s="34" t="n"/>
      <c r="CV41" s="34" t="n"/>
      <c r="CW41" s="34" t="n"/>
      <c r="CX41" s="34" t="n"/>
      <c r="CY41" s="34" t="n"/>
      <c r="CZ41" s="34" t="n"/>
      <c r="DA41" s="34" t="n"/>
      <c r="DC41" s="31" t="n">
        <v>0</v>
      </c>
      <c r="DD41" s="31" t="n">
        <v>0</v>
      </c>
      <c r="DE41" s="31" t="n">
        <v>0</v>
      </c>
      <c r="DF41" s="31" t="n">
        <v>0</v>
      </c>
      <c r="DG41" s="31" t="n">
        <v>0</v>
      </c>
      <c r="DH41" s="31" t="n">
        <v>0</v>
      </c>
      <c r="DI41" s="31" t="n">
        <v>0</v>
      </c>
      <c r="DJ41" s="31" t="n">
        <v>0</v>
      </c>
      <c r="DK41" s="31" t="n">
        <v>0</v>
      </c>
      <c r="DL41" s="31" t="n">
        <v>0</v>
      </c>
      <c r="DM41" s="31" t="n">
        <v>0</v>
      </c>
      <c r="DN41" s="31" t="n">
        <v>0</v>
      </c>
      <c r="DO41" s="31" t="n">
        <v>0</v>
      </c>
      <c r="DP41" s="31" t="n">
        <v>0</v>
      </c>
      <c r="DQ41" s="31" t="n">
        <v>0</v>
      </c>
      <c r="DR41" s="31" t="n">
        <v>0</v>
      </c>
      <c r="DS41" s="31" t="n">
        <v>0</v>
      </c>
      <c r="DT41" s="31" t="n">
        <v>0</v>
      </c>
      <c r="DU41" s="31" t="n">
        <v>0</v>
      </c>
      <c r="DV41" s="31" t="n">
        <v>0</v>
      </c>
      <c r="DW41" s="31" t="n">
        <v>0</v>
      </c>
      <c r="DX41" s="31" t="n">
        <v>0</v>
      </c>
      <c r="DY41" s="31" t="n">
        <v>0</v>
      </c>
      <c r="DZ41" s="31" t="n">
        <v>0</v>
      </c>
      <c r="EA41" s="31" t="n">
        <v>0</v>
      </c>
    </row>
    <row r="42" ht="18" customHeight="1">
      <c r="A42" s="23" t="n"/>
      <c r="B42" s="24" t="n"/>
      <c r="C42" s="32" t="n"/>
      <c r="D42" s="26" t="n"/>
      <c r="E42" s="25" t="n"/>
      <c r="F42" s="26" t="n"/>
      <c r="G42" s="26" t="n"/>
      <c r="H42" s="26" t="n"/>
      <c r="I42" s="26" t="n"/>
      <c r="J42" s="28" t="n"/>
      <c r="K42" s="28" t="n"/>
      <c r="L42" s="29">
        <f>IF(B42="","",N(C42)*N(E42))</f>
        <v/>
      </c>
      <c r="M42" s="3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  <c r="AA42" s="34" t="n"/>
      <c r="AB42" s="34" t="n"/>
      <c r="AC42" s="34" t="n"/>
      <c r="AD42" s="34" t="n"/>
      <c r="AE42" s="34" t="n"/>
      <c r="AF42" s="34" t="n"/>
      <c r="AG42" s="34" t="n"/>
      <c r="AH42" s="34" t="n"/>
      <c r="AI42" s="34" t="n"/>
      <c r="AJ42" s="34" t="n"/>
      <c r="AK42" s="34" t="n"/>
      <c r="AL42" s="34" t="n"/>
      <c r="AM42" s="34" t="n"/>
      <c r="AN42" s="34" t="n"/>
      <c r="AO42" s="34" t="n"/>
      <c r="AP42" s="34" t="n"/>
      <c r="AQ42" s="34" t="n"/>
      <c r="AR42" s="34" t="n"/>
      <c r="AS42" s="34" t="n"/>
      <c r="AT42" s="34" t="n"/>
      <c r="AU42" s="34" t="n"/>
      <c r="AV42" s="34" t="n"/>
      <c r="AW42" s="34" t="n"/>
      <c r="AX42" s="34" t="n"/>
      <c r="AY42" s="34" t="n"/>
      <c r="AZ42" s="34" t="n"/>
      <c r="BA42" s="34" t="n"/>
      <c r="BB42" s="34" t="n"/>
      <c r="BC42" s="34" t="n"/>
      <c r="BD42" s="34" t="n"/>
      <c r="BE42" s="34" t="n"/>
      <c r="BF42" s="34" t="n"/>
      <c r="BG42" s="34" t="n"/>
      <c r="BH42" s="34" t="n"/>
      <c r="BI42" s="34" t="n"/>
      <c r="BJ42" s="34" t="n"/>
      <c r="BK42" s="34" t="n"/>
      <c r="BL42" s="34" t="n"/>
      <c r="BM42" s="34" t="n"/>
      <c r="BN42" s="34" t="n"/>
      <c r="BO42" s="34" t="n"/>
      <c r="BP42" s="34" t="n"/>
      <c r="BQ42" s="34" t="n"/>
      <c r="BR42" s="34" t="n"/>
      <c r="BS42" s="34" t="n"/>
      <c r="BT42" s="34" t="n"/>
      <c r="BU42" s="34" t="n"/>
      <c r="BV42" s="34" t="n"/>
      <c r="BW42" s="34" t="n"/>
      <c r="BX42" s="34" t="n"/>
      <c r="BY42" s="34" t="n"/>
      <c r="BZ42" s="34" t="n"/>
      <c r="CA42" s="34" t="n"/>
      <c r="CB42" s="34" t="n"/>
      <c r="CC42" s="34" t="n"/>
      <c r="CD42" s="34" t="n"/>
      <c r="CE42" s="34" t="n"/>
      <c r="CF42" s="34" t="n"/>
      <c r="CG42" s="34" t="n"/>
      <c r="CH42" s="34" t="n"/>
      <c r="CI42" s="34" t="n"/>
      <c r="CJ42" s="34" t="n"/>
      <c r="CK42" s="34" t="n"/>
      <c r="CL42" s="34" t="n"/>
      <c r="CM42" s="34" t="n"/>
      <c r="CN42" s="34" t="n"/>
      <c r="CO42" s="34" t="n"/>
      <c r="CP42" s="34" t="n"/>
      <c r="CQ42" s="34" t="n"/>
      <c r="CR42" s="34" t="n"/>
      <c r="CS42" s="34" t="n"/>
      <c r="CT42" s="34" t="n"/>
      <c r="CU42" s="34" t="n"/>
      <c r="CV42" s="34" t="n"/>
      <c r="CW42" s="34" t="n"/>
      <c r="CX42" s="34" t="n"/>
      <c r="CY42" s="34" t="n"/>
      <c r="CZ42" s="34" t="n"/>
      <c r="DA42" s="34" t="n"/>
      <c r="DC42" s="31" t="n">
        <v>0</v>
      </c>
      <c r="DD42" s="31" t="n">
        <v>0</v>
      </c>
      <c r="DE42" s="31" t="n">
        <v>0</v>
      </c>
      <c r="DF42" s="31" t="n">
        <v>0</v>
      </c>
      <c r="DG42" s="31" t="n">
        <v>0</v>
      </c>
      <c r="DH42" s="31" t="n">
        <v>0</v>
      </c>
      <c r="DI42" s="31" t="n">
        <v>0</v>
      </c>
      <c r="DJ42" s="31" t="n">
        <v>0</v>
      </c>
      <c r="DK42" s="31" t="n">
        <v>0</v>
      </c>
      <c r="DL42" s="31" t="n">
        <v>0</v>
      </c>
      <c r="DM42" s="31" t="n">
        <v>0</v>
      </c>
      <c r="DN42" s="31" t="n">
        <v>0</v>
      </c>
      <c r="DO42" s="31" t="n">
        <v>0</v>
      </c>
      <c r="DP42" s="31" t="n">
        <v>0</v>
      </c>
      <c r="DQ42" s="31" t="n">
        <v>0</v>
      </c>
      <c r="DR42" s="31" t="n">
        <v>0</v>
      </c>
      <c r="DS42" s="31" t="n">
        <v>0</v>
      </c>
      <c r="DT42" s="31" t="n">
        <v>0</v>
      </c>
      <c r="DU42" s="31" t="n">
        <v>0</v>
      </c>
      <c r="DV42" s="31" t="n">
        <v>0</v>
      </c>
      <c r="DW42" s="31" t="n">
        <v>0</v>
      </c>
      <c r="DX42" s="31" t="n">
        <v>0</v>
      </c>
      <c r="DY42" s="31" t="n">
        <v>0</v>
      </c>
      <c r="DZ42" s="31" t="n">
        <v>0</v>
      </c>
      <c r="EA42" s="31" t="n">
        <v>0</v>
      </c>
    </row>
    <row r="45" ht="20" customHeight="1">
      <c r="A45" s="20" t="inlineStr">
        <is>
          <t>RÉCAPITULATIF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20">
        <f>IF(OR($C$9="",N($DD$9)=0),"","FACTURATION · "&amp;CHOOSE(MONTH($C$9),"JANVIER","FÉVRIER","MARS","AVRIL","MAI","JUIN","JUILLET","AOÛT","SEPTEMBRE","OCTOBRE","NOVEMBRE","DÉCEMBRE")&amp;" "&amp;YEAR($C$9)&amp;"   (hors transport et autres frais)")</f>
        <v/>
      </c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20">
        <f>IF(OR($C$9="",N($DE$9)=0),"","FACTURATION · "&amp;CHOOSE(MONTH(DATE(YEAR($C$9),MONTH($C$9)+1,1)),"JANVIER","FÉVRIER","MARS","AVRIL","MAI","JUIN","JUILLET","AOÛT","SEPTEMBRE","OCTOBRE","NOVEMBRE","DÉCEMBRE")&amp;" "&amp;YEAR(DATE(YEAR($C$9),MONTH($C$9)+1,1))&amp;"   (hors transport et autres frais)")</f>
        <v/>
      </c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20">
        <f>IF(OR($C$9="",N($DF$9)=0),"","FACTURATION · "&amp;CHOOSE(MONTH(DATE(YEAR($C$9),MONTH($C$9)+2,1)),"JANVIER","FÉVRIER","MARS","AVRIL","MAI","JUIN","JUILLET","AOÛT","SEPTEMBRE","OCTOBRE","NOVEMBRE","DÉCEMBRE")&amp;" "&amp;YEAR(DATE(YEAR($C$9),MONTH($C$9)+2,1))&amp;"   (hors transport et autres frais)")</f>
        <v/>
      </c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</row>
    <row r="46" ht="18" customHeight="1">
      <c r="A46" s="35">
        <f>"Opérateurs · tarif journalier ("&amp;SUM(K17:K19)&amp;" j opérations, "&amp;SUM(J17:J19)&amp;" j stand-by)"</f>
        <v/>
      </c>
      <c r="B46" s="23" t="n"/>
      <c r="C46" s="23" t="n"/>
      <c r="D46" s="23" t="n"/>
      <c r="E46" s="23" t="n"/>
      <c r="F46" s="23" t="n"/>
      <c r="G46" s="36" t="inlineStr">
        <is>
          <t>910XFISHINGOP</t>
        </is>
      </c>
      <c r="H46" s="23" t="n"/>
      <c r="I46" s="23" t="n"/>
      <c r="J46" s="23" t="n"/>
      <c r="K46" s="23" t="n"/>
      <c r="L46" s="37">
        <f>SUM(DF17:DF19)+SUM(DM17:DM19)+SUM(DT17:DT19)</f>
        <v/>
      </c>
      <c r="M46" s="38" t="inlineStr">
        <is>
          <t>Opérateurs · jours</t>
        </is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9">
        <f>IF(N($DD$9)=0,"",SUM(DF17:DF19))</f>
        <v/>
      </c>
      <c r="AF46" s="23" t="n"/>
      <c r="AG46" s="23" t="n"/>
      <c r="AH46" s="23" t="n"/>
      <c r="AI46" s="23" t="n"/>
      <c r="AJ46" s="23" t="n"/>
      <c r="AK46" s="23" t="n"/>
      <c r="AL46" s="23" t="n"/>
      <c r="AR46" s="38" t="inlineStr">
        <is>
          <t>Opérateurs · jours</t>
        </is>
      </c>
      <c r="AS46" s="23" t="n"/>
      <c r="AT46" s="23" t="n"/>
      <c r="AU46" s="23" t="n"/>
      <c r="AV46" s="23" t="n"/>
      <c r="AW46" s="23" t="n"/>
      <c r="AX46" s="23" t="n"/>
      <c r="AY46" s="23" t="n"/>
      <c r="AZ46" s="23" t="n"/>
      <c r="BA46" s="23" t="n"/>
      <c r="BB46" s="23" t="n"/>
      <c r="BC46" s="23" t="n"/>
      <c r="BD46" s="23" t="n"/>
      <c r="BE46" s="23" t="n"/>
      <c r="BF46" s="23" t="n"/>
      <c r="BG46" s="23" t="n"/>
      <c r="BH46" s="23" t="n"/>
      <c r="BI46" s="23" t="n"/>
      <c r="BJ46" s="29">
        <f>IF(N($DE$9)=0,"",SUM(DM17:DM19))</f>
        <v/>
      </c>
      <c r="BK46" s="23" t="n"/>
      <c r="BL46" s="23" t="n"/>
      <c r="BM46" s="23" t="n"/>
      <c r="BN46" s="23" t="n"/>
      <c r="BO46" s="23" t="n"/>
      <c r="BP46" s="23" t="n"/>
      <c r="BQ46" s="23" t="n"/>
      <c r="BW46" s="38" t="inlineStr">
        <is>
          <t>Opérateurs · jours</t>
        </is>
      </c>
      <c r="BX46" s="23" t="n"/>
      <c r="BY46" s="23" t="n"/>
      <c r="BZ46" s="23" t="n"/>
      <c r="CA46" s="23" t="n"/>
      <c r="CB46" s="23" t="n"/>
      <c r="CC46" s="23" t="n"/>
      <c r="CD46" s="23" t="n"/>
      <c r="CE46" s="23" t="n"/>
      <c r="CF46" s="23" t="n"/>
      <c r="CG46" s="23" t="n"/>
      <c r="CH46" s="23" t="n"/>
      <c r="CI46" s="23" t="n"/>
      <c r="CJ46" s="23" t="n"/>
      <c r="CK46" s="23" t="n"/>
      <c r="CL46" s="23" t="n"/>
      <c r="CM46" s="23" t="n"/>
      <c r="CN46" s="23" t="n"/>
      <c r="CO46" s="29">
        <f>IF(N($DF$9)=0,"",SUM(DT17:DT19))</f>
        <v/>
      </c>
      <c r="CP46" s="23" t="n"/>
      <c r="CQ46" s="23" t="n"/>
      <c r="CR46" s="23" t="n"/>
      <c r="CS46" s="23" t="n"/>
      <c r="CT46" s="23" t="n"/>
      <c r="CU46" s="23" t="n"/>
      <c r="CV46" s="23" t="n"/>
    </row>
    <row r="47" ht="18" customHeight="1">
      <c r="A47" s="35">
        <f>"Opérateurs · mob / demob ("&amp;SUM(I17:I19)&amp;")"</f>
        <v/>
      </c>
      <c r="B47" s="23" t="n"/>
      <c r="C47" s="23" t="n"/>
      <c r="D47" s="23" t="n"/>
      <c r="E47" s="23" t="n"/>
      <c r="F47" s="23" t="n"/>
      <c r="G47" s="36" t="inlineStr">
        <is>
          <t>900XMOBDEMOB</t>
        </is>
      </c>
      <c r="H47" s="23" t="n"/>
      <c r="I47" s="23" t="n"/>
      <c r="J47" s="23" t="n"/>
      <c r="K47" s="23" t="n"/>
      <c r="L47" s="37">
        <f>SUM(DG17:DG19)+SUM(DN17:DN19)+SUM(DU17:DU19)</f>
        <v/>
      </c>
      <c r="M47" s="38" t="inlineStr">
        <is>
          <t>Opérateurs · mob / demob</t>
        </is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9">
        <f>IF(N($DD$9)=0,"",SUM(DG17:DG19))</f>
        <v/>
      </c>
      <c r="AF47" s="23" t="n"/>
      <c r="AG47" s="23" t="n"/>
      <c r="AH47" s="23" t="n"/>
      <c r="AI47" s="23" t="n"/>
      <c r="AJ47" s="23" t="n"/>
      <c r="AK47" s="23" t="n"/>
      <c r="AL47" s="23" t="n"/>
      <c r="AR47" s="38" t="inlineStr">
        <is>
          <t>Opérateurs · mob / demob</t>
        </is>
      </c>
      <c r="AS47" s="23" t="n"/>
      <c r="AT47" s="23" t="n"/>
      <c r="AU47" s="23" t="n"/>
      <c r="AV47" s="23" t="n"/>
      <c r="AW47" s="23" t="n"/>
      <c r="AX47" s="23" t="n"/>
      <c r="AY47" s="23" t="n"/>
      <c r="AZ47" s="23" t="n"/>
      <c r="BA47" s="23" t="n"/>
      <c r="BB47" s="23" t="n"/>
      <c r="BC47" s="23" t="n"/>
      <c r="BD47" s="23" t="n"/>
      <c r="BE47" s="23" t="n"/>
      <c r="BF47" s="23" t="n"/>
      <c r="BG47" s="23" t="n"/>
      <c r="BH47" s="23" t="n"/>
      <c r="BI47" s="23" t="n"/>
      <c r="BJ47" s="29">
        <f>IF(N($DE$9)=0,"",SUM(DN17:DN19))</f>
        <v/>
      </c>
      <c r="BK47" s="23" t="n"/>
      <c r="BL47" s="23" t="n"/>
      <c r="BM47" s="23" t="n"/>
      <c r="BN47" s="23" t="n"/>
      <c r="BO47" s="23" t="n"/>
      <c r="BP47" s="23" t="n"/>
      <c r="BQ47" s="23" t="n"/>
      <c r="BW47" s="38" t="inlineStr">
        <is>
          <t>Opérateurs · mob / demob</t>
        </is>
      </c>
      <c r="BX47" s="23" t="n"/>
      <c r="BY47" s="23" t="n"/>
      <c r="BZ47" s="23" t="n"/>
      <c r="CA47" s="23" t="n"/>
      <c r="CB47" s="23" t="n"/>
      <c r="CC47" s="23" t="n"/>
      <c r="CD47" s="23" t="n"/>
      <c r="CE47" s="23" t="n"/>
      <c r="CF47" s="23" t="n"/>
      <c r="CG47" s="23" t="n"/>
      <c r="CH47" s="23" t="n"/>
      <c r="CI47" s="23" t="n"/>
      <c r="CJ47" s="23" t="n"/>
      <c r="CK47" s="23" t="n"/>
      <c r="CL47" s="23" t="n"/>
      <c r="CM47" s="23" t="n"/>
      <c r="CN47" s="23" t="n"/>
      <c r="CO47" s="29">
        <f>IF(N($DF$9)=0,"",SUM(DU17:DU19))</f>
        <v/>
      </c>
      <c r="CP47" s="23" t="n"/>
      <c r="CQ47" s="23" t="n"/>
      <c r="CR47" s="23" t="n"/>
      <c r="CS47" s="23" t="n"/>
      <c r="CT47" s="23" t="n"/>
      <c r="CU47" s="23" t="n"/>
      <c r="CV47" s="23" t="n"/>
    </row>
    <row r="48" ht="18" customHeight="1">
      <c r="A48" s="35" t="inlineStr">
        <is>
          <t>Location du matériel (stand-by + opérations)</t>
        </is>
      </c>
      <c r="B48" s="23" t="n"/>
      <c r="C48" s="23" t="n"/>
      <c r="D48" s="23" t="n"/>
      <c r="E48" s="23" t="n"/>
      <c r="F48" s="23" t="n"/>
      <c r="G48" s="36" t="inlineStr">
        <is>
          <t>904XRENTALEQUIPMT</t>
        </is>
      </c>
      <c r="H48" s="23" t="n"/>
      <c r="I48" s="23" t="n"/>
      <c r="J48" s="23" t="n"/>
      <c r="K48" s="23" t="n"/>
      <c r="L48" s="37">
        <f>SUM(DF22:DF33)+SUM(DM22:DM33)+SUM(DT22:DT33)</f>
        <v/>
      </c>
      <c r="M48" s="38" t="inlineStr">
        <is>
          <t>Location du matériel</t>
        </is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9">
        <f>IF(N($DD$9)=0,"",SUM(DF22:DF33))</f>
        <v/>
      </c>
      <c r="AF48" s="23" t="n"/>
      <c r="AG48" s="23" t="n"/>
      <c r="AH48" s="23" t="n"/>
      <c r="AI48" s="23" t="n"/>
      <c r="AJ48" s="23" t="n"/>
      <c r="AK48" s="23" t="n"/>
      <c r="AL48" s="23" t="n"/>
      <c r="AR48" s="38" t="inlineStr">
        <is>
          <t>Location du matériel</t>
        </is>
      </c>
      <c r="AS48" s="23" t="n"/>
      <c r="AT48" s="23" t="n"/>
      <c r="AU48" s="23" t="n"/>
      <c r="AV48" s="23" t="n"/>
      <c r="AW48" s="23" t="n"/>
      <c r="AX48" s="23" t="n"/>
      <c r="AY48" s="23" t="n"/>
      <c r="AZ48" s="23" t="n"/>
      <c r="BA48" s="23" t="n"/>
      <c r="BB48" s="23" t="n"/>
      <c r="BC48" s="23" t="n"/>
      <c r="BD48" s="23" t="n"/>
      <c r="BE48" s="23" t="n"/>
      <c r="BF48" s="23" t="n"/>
      <c r="BG48" s="23" t="n"/>
      <c r="BH48" s="23" t="n"/>
      <c r="BI48" s="23" t="n"/>
      <c r="BJ48" s="29">
        <f>IF(N($DE$9)=0,"",SUM(DM22:DM33))</f>
        <v/>
      </c>
      <c r="BK48" s="23" t="n"/>
      <c r="BL48" s="23" t="n"/>
      <c r="BM48" s="23" t="n"/>
      <c r="BN48" s="23" t="n"/>
      <c r="BO48" s="23" t="n"/>
      <c r="BP48" s="23" t="n"/>
      <c r="BQ48" s="23" t="n"/>
      <c r="BW48" s="38" t="inlineStr">
        <is>
          <t>Location du matériel</t>
        </is>
      </c>
      <c r="BX48" s="23" t="n"/>
      <c r="BY48" s="23" t="n"/>
      <c r="BZ48" s="23" t="n"/>
      <c r="CA48" s="23" t="n"/>
      <c r="CB48" s="23" t="n"/>
      <c r="CC48" s="23" t="n"/>
      <c r="CD48" s="23" t="n"/>
      <c r="CE48" s="23" t="n"/>
      <c r="CF48" s="23" t="n"/>
      <c r="CG48" s="23" t="n"/>
      <c r="CH48" s="23" t="n"/>
      <c r="CI48" s="23" t="n"/>
      <c r="CJ48" s="23" t="n"/>
      <c r="CK48" s="23" t="n"/>
      <c r="CL48" s="23" t="n"/>
      <c r="CM48" s="23" t="n"/>
      <c r="CN48" s="23" t="n"/>
      <c r="CO48" s="29">
        <f>IF(N($DF$9)=0,"",SUM(DT22:DT33))</f>
        <v/>
      </c>
      <c r="CP48" s="23" t="n"/>
      <c r="CQ48" s="23" t="n"/>
      <c r="CR48" s="23" t="n"/>
      <c r="CS48" s="23" t="n"/>
      <c r="CT48" s="23" t="n"/>
      <c r="CU48" s="23" t="n"/>
      <c r="CV48" s="23" t="n"/>
    </row>
    <row r="49" ht="18" customHeight="1">
      <c r="A49" s="35" t="inlineStr">
        <is>
          <t>Utilisation charge et inspection (UC, une seule fois)</t>
        </is>
      </c>
      <c r="B49" s="23" t="n"/>
      <c r="C49" s="23" t="n"/>
      <c r="D49" s="23" t="n"/>
      <c r="E49" s="23" t="n"/>
      <c r="F49" s="23" t="n"/>
      <c r="G49" s="36" t="inlineStr">
        <is>
          <t>905XUC</t>
        </is>
      </c>
      <c r="H49" s="23" t="n"/>
      <c r="I49" s="23" t="n"/>
      <c r="J49" s="23" t="n"/>
      <c r="K49" s="23" t="n"/>
      <c r="L49" s="37">
        <f>SUM(DG22:DG33)+SUM(DN22:DN33)+SUM(DU22:DU33)</f>
        <v/>
      </c>
      <c r="M49" s="38" t="inlineStr">
        <is>
          <t>UC et inspection</t>
        </is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9">
        <f>IF(N($DD$9)=0,"",SUM(DG22:DG33))</f>
        <v/>
      </c>
      <c r="AF49" s="23" t="n"/>
      <c r="AG49" s="23" t="n"/>
      <c r="AH49" s="23" t="n"/>
      <c r="AI49" s="23" t="n"/>
      <c r="AJ49" s="23" t="n"/>
      <c r="AK49" s="23" t="n"/>
      <c r="AL49" s="23" t="n"/>
      <c r="AR49" s="38" t="inlineStr">
        <is>
          <t>UC et inspection</t>
        </is>
      </c>
      <c r="AS49" s="23" t="n"/>
      <c r="AT49" s="23" t="n"/>
      <c r="AU49" s="23" t="n"/>
      <c r="AV49" s="23" t="n"/>
      <c r="AW49" s="23" t="n"/>
      <c r="AX49" s="23" t="n"/>
      <c r="AY49" s="23" t="n"/>
      <c r="AZ49" s="23" t="n"/>
      <c r="BA49" s="23" t="n"/>
      <c r="BB49" s="23" t="n"/>
      <c r="BC49" s="23" t="n"/>
      <c r="BD49" s="23" t="n"/>
      <c r="BE49" s="23" t="n"/>
      <c r="BF49" s="23" t="n"/>
      <c r="BG49" s="23" t="n"/>
      <c r="BH49" s="23" t="n"/>
      <c r="BI49" s="23" t="n"/>
      <c r="BJ49" s="29">
        <f>IF(N($DE$9)=0,"",SUM(DN22:DN33))</f>
        <v/>
      </c>
      <c r="BK49" s="23" t="n"/>
      <c r="BL49" s="23" t="n"/>
      <c r="BM49" s="23" t="n"/>
      <c r="BN49" s="23" t="n"/>
      <c r="BO49" s="23" t="n"/>
      <c r="BP49" s="23" t="n"/>
      <c r="BQ49" s="23" t="n"/>
      <c r="BW49" s="38" t="inlineStr">
        <is>
          <t>UC et inspection</t>
        </is>
      </c>
      <c r="BX49" s="23" t="n"/>
      <c r="BY49" s="23" t="n"/>
      <c r="BZ49" s="23" t="n"/>
      <c r="CA49" s="23" t="n"/>
      <c r="CB49" s="23" t="n"/>
      <c r="CC49" s="23" t="n"/>
      <c r="CD49" s="23" t="n"/>
      <c r="CE49" s="23" t="n"/>
      <c r="CF49" s="23" t="n"/>
      <c r="CG49" s="23" t="n"/>
      <c r="CH49" s="23" t="n"/>
      <c r="CI49" s="23" t="n"/>
      <c r="CJ49" s="23" t="n"/>
      <c r="CK49" s="23" t="n"/>
      <c r="CL49" s="23" t="n"/>
      <c r="CM49" s="23" t="n"/>
      <c r="CN49" s="23" t="n"/>
      <c r="CO49" s="29">
        <f>IF(N($DF$9)=0,"",SUM(DU22:DU33))</f>
        <v/>
      </c>
      <c r="CP49" s="23" t="n"/>
      <c r="CQ49" s="23" t="n"/>
      <c r="CR49" s="23" t="n"/>
      <c r="CS49" s="23" t="n"/>
      <c r="CT49" s="23" t="n"/>
      <c r="CU49" s="23" t="n"/>
      <c r="CV49" s="23" t="n"/>
    </row>
    <row r="50" ht="18" customHeight="1">
      <c r="A50" s="35" t="inlineStr">
        <is>
          <t>Valeur de remplacement et restocking</t>
        </is>
      </c>
      <c r="B50" s="23" t="n"/>
      <c r="C50" s="23" t="n"/>
      <c r="D50" s="23" t="n"/>
      <c r="E50" s="23" t="n"/>
      <c r="F50" s="23" t="n"/>
      <c r="G50" s="36" t="inlineStr"/>
      <c r="H50" s="23" t="n"/>
      <c r="I50" s="23" t="n"/>
      <c r="J50" s="23" t="n"/>
      <c r="K50" s="23" t="n"/>
      <c r="L50" s="37">
        <f>SUM(DH22:DH33)+SUM(DO22:DO33)+SUM(DV22:DV33)</f>
        <v/>
      </c>
      <c r="M50" s="38" t="inlineStr">
        <is>
          <t>Valeur de remplacement, restocking</t>
        </is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9">
        <f>IF(N($DD$9)=0,"",SUM(DH22:DH33))</f>
        <v/>
      </c>
      <c r="AF50" s="23" t="n"/>
      <c r="AG50" s="23" t="n"/>
      <c r="AH50" s="23" t="n"/>
      <c r="AI50" s="23" t="n"/>
      <c r="AJ50" s="23" t="n"/>
      <c r="AK50" s="23" t="n"/>
      <c r="AL50" s="23" t="n"/>
      <c r="AR50" s="38" t="inlineStr">
        <is>
          <t>Valeur de remplacement, restocking</t>
        </is>
      </c>
      <c r="AS50" s="23" t="n"/>
      <c r="AT50" s="23" t="n"/>
      <c r="AU50" s="23" t="n"/>
      <c r="AV50" s="23" t="n"/>
      <c r="AW50" s="23" t="n"/>
      <c r="AX50" s="23" t="n"/>
      <c r="AY50" s="23" t="n"/>
      <c r="AZ50" s="23" t="n"/>
      <c r="BA50" s="23" t="n"/>
      <c r="BB50" s="23" t="n"/>
      <c r="BC50" s="23" t="n"/>
      <c r="BD50" s="23" t="n"/>
      <c r="BE50" s="23" t="n"/>
      <c r="BF50" s="23" t="n"/>
      <c r="BG50" s="23" t="n"/>
      <c r="BH50" s="23" t="n"/>
      <c r="BI50" s="23" t="n"/>
      <c r="BJ50" s="29">
        <f>IF(N($DE$9)=0,"",SUM(DO22:DO33))</f>
        <v/>
      </c>
      <c r="BK50" s="23" t="n"/>
      <c r="BL50" s="23" t="n"/>
      <c r="BM50" s="23" t="n"/>
      <c r="BN50" s="23" t="n"/>
      <c r="BO50" s="23" t="n"/>
      <c r="BP50" s="23" t="n"/>
      <c r="BQ50" s="23" t="n"/>
      <c r="BW50" s="38" t="inlineStr">
        <is>
          <t>Valeur de remplacement, restocking</t>
        </is>
      </c>
      <c r="BX50" s="23" t="n"/>
      <c r="BY50" s="23" t="n"/>
      <c r="BZ50" s="23" t="n"/>
      <c r="CA50" s="23" t="n"/>
      <c r="CB50" s="23" t="n"/>
      <c r="CC50" s="23" t="n"/>
      <c r="CD50" s="23" t="n"/>
      <c r="CE50" s="23" t="n"/>
      <c r="CF50" s="23" t="n"/>
      <c r="CG50" s="23" t="n"/>
      <c r="CH50" s="23" t="n"/>
      <c r="CI50" s="23" t="n"/>
      <c r="CJ50" s="23" t="n"/>
      <c r="CK50" s="23" t="n"/>
      <c r="CL50" s="23" t="n"/>
      <c r="CM50" s="23" t="n"/>
      <c r="CN50" s="23" t="n"/>
      <c r="CO50" s="29">
        <f>IF(N($DF$9)=0,"",SUM(DV22:DV33))</f>
        <v/>
      </c>
      <c r="CP50" s="23" t="n"/>
      <c r="CQ50" s="23" t="n"/>
      <c r="CR50" s="23" t="n"/>
      <c r="CS50" s="23" t="n"/>
      <c r="CT50" s="23" t="n"/>
      <c r="CU50" s="23" t="n"/>
      <c r="CV50" s="23" t="n"/>
    </row>
    <row r="51" ht="18" customHeight="1">
      <c r="A51" s="35" t="inlineStr">
        <is>
          <t>Serrages</t>
        </is>
      </c>
      <c r="B51" s="23" t="n"/>
      <c r="C51" s="23" t="n"/>
      <c r="D51" s="23" t="n"/>
      <c r="E51" s="23" t="n"/>
      <c r="F51" s="23" t="n"/>
      <c r="G51" s="36" t="inlineStr"/>
      <c r="H51" s="23" t="n"/>
      <c r="I51" s="23" t="n"/>
      <c r="J51" s="23" t="n"/>
      <c r="K51" s="23" t="n"/>
      <c r="L51" s="37">
        <f>SUM(L36:L37)</f>
        <v/>
      </c>
      <c r="M51" s="38" t="inlineStr">
        <is>
          <t>Serrages</t>
        </is>
      </c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9">
        <f>IF(N($DD$9)=0,"",SUM(DY36:DY37))</f>
        <v/>
      </c>
      <c r="AF51" s="23" t="n"/>
      <c r="AG51" s="23" t="n"/>
      <c r="AH51" s="23" t="n"/>
      <c r="AI51" s="23" t="n"/>
      <c r="AJ51" s="23" t="n"/>
      <c r="AK51" s="23" t="n"/>
      <c r="AL51" s="23" t="n"/>
      <c r="AR51" s="38" t="inlineStr">
        <is>
          <t>Serrages</t>
        </is>
      </c>
      <c r="AS51" s="23" t="n"/>
      <c r="AT51" s="23" t="n"/>
      <c r="AU51" s="23" t="n"/>
      <c r="AV51" s="23" t="n"/>
      <c r="AW51" s="23" t="n"/>
      <c r="AX51" s="23" t="n"/>
      <c r="AY51" s="23" t="n"/>
      <c r="AZ51" s="23" t="n"/>
      <c r="BA51" s="23" t="n"/>
      <c r="BB51" s="23" t="n"/>
      <c r="BC51" s="23" t="n"/>
      <c r="BD51" s="23" t="n"/>
      <c r="BE51" s="23" t="n"/>
      <c r="BF51" s="23" t="n"/>
      <c r="BG51" s="23" t="n"/>
      <c r="BH51" s="23" t="n"/>
      <c r="BI51" s="23" t="n"/>
      <c r="BJ51" s="29">
        <f>IF(N($DE$9)=0,"",SUM(DZ36:DZ37))</f>
        <v/>
      </c>
      <c r="BK51" s="23" t="n"/>
      <c r="BL51" s="23" t="n"/>
      <c r="BM51" s="23" t="n"/>
      <c r="BN51" s="23" t="n"/>
      <c r="BO51" s="23" t="n"/>
      <c r="BP51" s="23" t="n"/>
      <c r="BQ51" s="23" t="n"/>
      <c r="BW51" s="38" t="inlineStr">
        <is>
          <t>Serrages</t>
        </is>
      </c>
      <c r="BX51" s="23" t="n"/>
      <c r="BY51" s="23" t="n"/>
      <c r="BZ51" s="23" t="n"/>
      <c r="CA51" s="23" t="n"/>
      <c r="CB51" s="23" t="n"/>
      <c r="CC51" s="23" t="n"/>
      <c r="CD51" s="23" t="n"/>
      <c r="CE51" s="23" t="n"/>
      <c r="CF51" s="23" t="n"/>
      <c r="CG51" s="23" t="n"/>
      <c r="CH51" s="23" t="n"/>
      <c r="CI51" s="23" t="n"/>
      <c r="CJ51" s="23" t="n"/>
      <c r="CK51" s="23" t="n"/>
      <c r="CL51" s="23" t="n"/>
      <c r="CM51" s="23" t="n"/>
      <c r="CN51" s="23" t="n"/>
      <c r="CO51" s="29">
        <f>IF(N($DF$9)=0,"",SUM(EA36:EA37))</f>
        <v/>
      </c>
      <c r="CP51" s="23" t="n"/>
      <c r="CQ51" s="23" t="n"/>
      <c r="CR51" s="23" t="n"/>
      <c r="CS51" s="23" t="n"/>
      <c r="CT51" s="23" t="n"/>
      <c r="CU51" s="23" t="n"/>
      <c r="CV51" s="23" t="n"/>
    </row>
    <row r="52" ht="18" customHeight="1">
      <c r="A52" s="35" t="inlineStr">
        <is>
          <t>Transport et autres frais</t>
        </is>
      </c>
      <c r="B52" s="23" t="n"/>
      <c r="C52" s="23" t="n"/>
      <c r="D52" s="23" t="n"/>
      <c r="E52" s="23" t="n"/>
      <c r="F52" s="23" t="n"/>
      <c r="G52" s="36" t="inlineStr">
        <is>
          <t>900XMOBDEMOB</t>
        </is>
      </c>
      <c r="H52" s="23" t="n"/>
      <c r="I52" s="23" t="n"/>
      <c r="J52" s="23" t="n"/>
      <c r="K52" s="23" t="n"/>
      <c r="L52" s="37">
        <f>SUM(L40:L42)</f>
        <v/>
      </c>
    </row>
    <row r="53" ht="26" customHeight="1">
      <c r="A53" s="39" t="inlineStr">
        <is>
          <t>TOTAL HT À FACTURER</t>
        </is>
      </c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1">
        <f>SUM(L46:L52)</f>
        <v/>
      </c>
      <c r="M53" s="42">
        <f>IF(N($DD$9)=0,"","TOTAL À FACTURER · "&amp;CHOOSE(MONTH($C$9),"JANVIER","FÉVRIER","MARS","AVRIL","MAI","JUIN","JUILLET","AOÛT","SEPTEMBRE","OCTOBRE","NOVEMBRE","DÉCEMBRE")&amp;" "&amp;YEAR($C$9))</f>
        <v/>
      </c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  <c r="AB53" s="43" t="n"/>
      <c r="AC53" s="43" t="n"/>
      <c r="AD53" s="43" t="n"/>
      <c r="AE53" s="44">
        <f>IF(N($DD$9)=0,"",SUM(AE46:AE51))</f>
        <v/>
      </c>
      <c r="AF53" s="43" t="n"/>
      <c r="AG53" s="43" t="n"/>
      <c r="AH53" s="43" t="n"/>
      <c r="AI53" s="43" t="n"/>
      <c r="AJ53" s="43" t="n"/>
      <c r="AK53" s="43" t="n"/>
      <c r="AL53" s="43" t="n"/>
      <c r="AR53" s="42">
        <f>IF(N($DE$9)=0,"","TOTAL À FACTURER · "&amp;CHOOSE(MONTH(DATE(YEAR($C$9),MONTH($C$9)+1,1)),"JANVIER","FÉVRIER","MARS","AVRIL","MAI","JUIN","JUILLET","AOÛT","SEPTEMBRE","OCTOBRE","NOVEMBRE","DÉCEMBRE")&amp;" "&amp;YEAR(DATE(YEAR($C$9),MONTH($C$9)+1,1)))</f>
        <v/>
      </c>
      <c r="AS53" s="43" t="n"/>
      <c r="AT53" s="43" t="n"/>
      <c r="AU53" s="43" t="n"/>
      <c r="AV53" s="43" t="n"/>
      <c r="AW53" s="43" t="n"/>
      <c r="AX53" s="43" t="n"/>
      <c r="AY53" s="43" t="n"/>
      <c r="AZ53" s="43" t="n"/>
      <c r="BA53" s="43" t="n"/>
      <c r="BB53" s="43" t="n"/>
      <c r="BC53" s="43" t="n"/>
      <c r="BD53" s="43" t="n"/>
      <c r="BE53" s="43" t="n"/>
      <c r="BF53" s="43" t="n"/>
      <c r="BG53" s="43" t="n"/>
      <c r="BH53" s="43" t="n"/>
      <c r="BI53" s="43" t="n"/>
      <c r="BJ53" s="44">
        <f>IF(N($DE$9)=0,"",SUM(BJ46:BJ51))</f>
        <v/>
      </c>
      <c r="BK53" s="43" t="n"/>
      <c r="BL53" s="43" t="n"/>
      <c r="BM53" s="43" t="n"/>
      <c r="BN53" s="43" t="n"/>
      <c r="BO53" s="43" t="n"/>
      <c r="BP53" s="43" t="n"/>
      <c r="BQ53" s="43" t="n"/>
      <c r="BW53" s="42">
        <f>IF(N($DF$9)=0,"","TOTAL À FACTURER · "&amp;CHOOSE(MONTH(DATE(YEAR($C$9),MONTH($C$9)+2,1)),"JANVIER","FÉVRIER","MARS","AVRIL","MAI","JUIN","JUILLET","AOÛT","SEPTEMBRE","OCTOBRE","NOVEMBRE","DÉCEMBRE")&amp;" "&amp;YEAR(DATE(YEAR($C$9),MONTH($C$9)+2,1)))</f>
        <v/>
      </c>
      <c r="BX53" s="43" t="n"/>
      <c r="BY53" s="43" t="n"/>
      <c r="BZ53" s="43" t="n"/>
      <c r="CA53" s="43" t="n"/>
      <c r="CB53" s="43" t="n"/>
      <c r="CC53" s="43" t="n"/>
      <c r="CD53" s="43" t="n"/>
      <c r="CE53" s="43" t="n"/>
      <c r="CF53" s="43" t="n"/>
      <c r="CG53" s="43" t="n"/>
      <c r="CH53" s="43" t="n"/>
      <c r="CI53" s="43" t="n"/>
      <c r="CJ53" s="43" t="n"/>
      <c r="CK53" s="43" t="n"/>
      <c r="CL53" s="43" t="n"/>
      <c r="CM53" s="43" t="n"/>
      <c r="CN53" s="43" t="n"/>
      <c r="CO53" s="44">
        <f>IF(N($DF$9)=0,"",SUM(CO46:CO51))</f>
        <v/>
      </c>
      <c r="CP53" s="43" t="n"/>
      <c r="CQ53" s="43" t="n"/>
      <c r="CR53" s="43" t="n"/>
      <c r="CS53" s="43" t="n"/>
      <c r="CT53" s="43" t="n"/>
      <c r="CU53" s="43" t="n"/>
      <c r="CV53" s="43" t="n"/>
    </row>
    <row r="54" ht="16" customHeight="1">
      <c r="A54" s="45" t="inlineStr">
        <is>
          <t>Gratuit (FOC), pour information</t>
        </is>
      </c>
      <c r="L54" s="46">
        <f>SUM(DI22:DI33)+SUM(DP22:DP33)+SUM(DW22:DW33)</f>
        <v/>
      </c>
    </row>
    <row r="56" ht="17" customHeight="1">
      <c r="A56" s="47" t="inlineStr">
        <is>
          <t>POUR ENEDRIL · Nom, date, signature</t>
        </is>
      </c>
      <c r="B56" s="48" t="n"/>
      <c r="C56" s="48" t="n"/>
      <c r="D56" s="48" t="n"/>
      <c r="E56" s="49" t="n"/>
      <c r="F56" s="47" t="inlineStr">
        <is>
          <t>POUR LE CLIENT · Nom, date, signature, cachet</t>
        </is>
      </c>
      <c r="G56" s="48" t="n"/>
      <c r="H56" s="48" t="n"/>
      <c r="I56" s="48" t="n"/>
      <c r="J56" s="48" t="n"/>
      <c r="K56" s="48" t="n"/>
      <c r="L56" s="49" t="n"/>
    </row>
    <row r="57" ht="17" customHeight="1">
      <c r="A57" s="50" t="n"/>
      <c r="B57" s="51" t="n"/>
      <c r="C57" s="51" t="n"/>
      <c r="D57" s="51" t="n"/>
      <c r="E57" s="52" t="n"/>
      <c r="F57" s="50" t="n"/>
      <c r="G57" s="51" t="n"/>
      <c r="H57" s="51" t="n"/>
      <c r="I57" s="51" t="n"/>
      <c r="J57" s="51" t="n"/>
      <c r="K57" s="51" t="n"/>
      <c r="L57" s="52" t="n"/>
    </row>
    <row r="58" ht="17" customHeight="1">
      <c r="A58" s="53" t="n"/>
      <c r="B58" s="23" t="n"/>
      <c r="C58" s="23" t="n"/>
      <c r="D58" s="23" t="n"/>
      <c r="E58" s="54" t="n"/>
      <c r="F58" s="53" t="n"/>
      <c r="G58" s="23" t="n"/>
      <c r="H58" s="23" t="n"/>
      <c r="I58" s="23" t="n"/>
      <c r="J58" s="23" t="n"/>
      <c r="K58" s="23" t="n"/>
      <c r="L58" s="54" t="n"/>
    </row>
  </sheetData>
  <mergeCells count="95">
    <mergeCell ref="AR48:BI48"/>
    <mergeCell ref="CO46:CV46"/>
    <mergeCell ref="BW12:DA12"/>
    <mergeCell ref="A50:F50"/>
    <mergeCell ref="CO48:CV48"/>
    <mergeCell ref="G48:K48"/>
    <mergeCell ref="A47:F47"/>
    <mergeCell ref="A54:K54"/>
    <mergeCell ref="B13:B14"/>
    <mergeCell ref="D13:D14"/>
    <mergeCell ref="C6:F6"/>
    <mergeCell ref="F13:F14"/>
    <mergeCell ref="CO49:CV49"/>
    <mergeCell ref="H13:H14"/>
    <mergeCell ref="AR51:BI51"/>
    <mergeCell ref="M47:AD47"/>
    <mergeCell ref="G9:I9"/>
    <mergeCell ref="AR50:BI50"/>
    <mergeCell ref="BJ48:BQ48"/>
    <mergeCell ref="A51:F51"/>
    <mergeCell ref="A53:K53"/>
    <mergeCell ref="G50:K50"/>
    <mergeCell ref="A9:B9"/>
    <mergeCell ref="BW46:CN46"/>
    <mergeCell ref="CO53:CV53"/>
    <mergeCell ref="G52:K52"/>
    <mergeCell ref="M51:AD51"/>
    <mergeCell ref="G6:I6"/>
    <mergeCell ref="E13:E14"/>
    <mergeCell ref="BW48:CN48"/>
    <mergeCell ref="G13:G14"/>
    <mergeCell ref="BW47:CN47"/>
    <mergeCell ref="BJ50:BQ50"/>
    <mergeCell ref="AR53:BI53"/>
    <mergeCell ref="BJ46:BQ46"/>
    <mergeCell ref="C5:F5"/>
    <mergeCell ref="A48:F48"/>
    <mergeCell ref="M53:AD53"/>
    <mergeCell ref="A8:B8"/>
    <mergeCell ref="M50:AD50"/>
    <mergeCell ref="J5:L5"/>
    <mergeCell ref="BW51:CN51"/>
    <mergeCell ref="G51:K51"/>
    <mergeCell ref="BJ47:BQ47"/>
    <mergeCell ref="G8:I8"/>
    <mergeCell ref="M49:AD49"/>
    <mergeCell ref="CO50:CV50"/>
    <mergeCell ref="M48:AD48"/>
    <mergeCell ref="J6:L6"/>
    <mergeCell ref="A46:F46"/>
    <mergeCell ref="C8:F8"/>
    <mergeCell ref="AE46:AL46"/>
    <mergeCell ref="AR12:BV12"/>
    <mergeCell ref="BJ51:BQ51"/>
    <mergeCell ref="AE47:AL47"/>
    <mergeCell ref="G5:I5"/>
    <mergeCell ref="BJ49:BQ49"/>
    <mergeCell ref="CO51:CV51"/>
    <mergeCell ref="A13:A14"/>
    <mergeCell ref="A5:B5"/>
    <mergeCell ref="AE48:AL48"/>
    <mergeCell ref="J8:L8"/>
    <mergeCell ref="AR47:BI47"/>
    <mergeCell ref="M1:AQ1"/>
    <mergeCell ref="A49:F49"/>
    <mergeCell ref="BW50:CN50"/>
    <mergeCell ref="G47:K47"/>
    <mergeCell ref="BJ53:BQ53"/>
    <mergeCell ref="AE49:AL49"/>
    <mergeCell ref="J9:L9"/>
    <mergeCell ref="G46:K46"/>
    <mergeCell ref="BW49:CN49"/>
    <mergeCell ref="M12:AQ12"/>
    <mergeCell ref="J13:J14"/>
    <mergeCell ref="L13:L14"/>
    <mergeCell ref="AE51:AL51"/>
    <mergeCell ref="AE50:AL50"/>
    <mergeCell ref="A6:B6"/>
    <mergeCell ref="AR49:BI49"/>
    <mergeCell ref="M46:AD46"/>
    <mergeCell ref="BW53:CN53"/>
    <mergeCell ref="G49:K49"/>
    <mergeCell ref="A52:F52"/>
    <mergeCell ref="A10:L10"/>
    <mergeCell ref="I13:I14"/>
    <mergeCell ref="K13:K14"/>
    <mergeCell ref="A56:E58"/>
    <mergeCell ref="AE53:AL53"/>
    <mergeCell ref="C13:C14"/>
    <mergeCell ref="C9:F9"/>
    <mergeCell ref="M2:AQ2"/>
    <mergeCell ref="A11:L11"/>
    <mergeCell ref="CO47:CV47"/>
    <mergeCell ref="AR46:BI46"/>
    <mergeCell ref="F56:L58"/>
  </mergeCells>
  <conditionalFormatting sqref="M17:DA19 M22:DA33 M36:DA37">
    <cfRule type="expression" priority="1" dxfId="0" stopIfTrue="1">
      <formula>M$13=""</formula>
    </cfRule>
    <cfRule type="cellIs" priority="2" operator="equal" dxfId="1">
      <formula>"S"</formula>
    </cfRule>
    <cfRule type="cellIs" priority="3" operator="equal" dxfId="2">
      <formula>"O"</formula>
    </cfRule>
    <cfRule type="cellIs" priority="4" operator="equal" dxfId="3">
      <formula>"FOC"</formula>
    </cfRule>
    <cfRule type="cellIs" priority="5" operator="equal" dxfId="4">
      <formula>"VR"</formula>
    </cfRule>
    <cfRule type="cellIs" priority="6" operator="equal" dxfId="5">
      <formula>"RC"</formula>
    </cfRule>
    <cfRule type="cellIs" priority="7" operator="equal" dxfId="6">
      <formula>"MOB"</formula>
    </cfRule>
    <cfRule type="cellIs" priority="8" operator="equal" dxfId="6">
      <formula>"DEMOB"</formula>
    </cfRule>
    <cfRule type="expression" priority="9" dxfId="7">
      <formula>AND(M$13&lt;&gt;"",WEEKDAY(M$13,2)&gt;5)</formula>
    </cfRule>
  </conditionalFormatting>
  <conditionalFormatting sqref="B22:I33">
    <cfRule type="expression" priority="10" dxfId="8">
      <formula>AND($B22&lt;&gt;"",N($C22)=0,N($E22)=0)</formula>
    </cfRule>
  </conditionalFormatting>
  <dataValidations count="3">
    <dataValidation sqref="A9" showDropDown="0" showInputMessage="0" showErrorMessage="0" allowBlank="1" type="list">
      <formula1>=Listes!$A$2:$A$12</formula1>
    </dataValidation>
    <dataValidation sqref="A22:A33" showDropDown="0" showInputMessage="0" showErrorMessage="0" allowBlank="1" type="list">
      <formula1>=Listes!$E$1</formula1>
    </dataValidation>
    <dataValidation sqref="M17:DA19 M22:DA33" showDropDown="0" showInputMessage="0" showErrorMessage="1" allowBlank="1" error="Codes : S, O, FOC, VR, RC, MOB, DEMOB." type="list" errorStyle="warning">
      <formula1>=Listes!$C$2:$C$8</formula1>
    </dataValidation>
  </dataValidations>
  <pageMargins left="0.3" right="0.3" top="0.35" bottom="0.4" header="0.5" footer="0.5"/>
  <pageSetup orientation="landscape" paperSize="9" scale="52"/>
  <headerFooter>
    <oddHeader/>
    <oddFooter>&amp;C&amp;8 Enedril · Service ticket · &amp;P / &amp;N</oddFooter>
    <evenHeader/>
    <evenFooter/>
    <firstHeader/>
    <firstFooter/>
  </headerFooter>
  <colBreaks count="2" manualBreakCount="2">
    <brk id="43" min="0" max="16383" man="1"/>
    <brk id="74" min="0" max="16383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9FB6CE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3" max="3"/>
  </cols>
  <sheetData>
    <row r="1">
      <c r="A1" s="55" t="inlineStr">
        <is>
          <t>Ingénieur Enedril</t>
        </is>
      </c>
      <c r="C1" s="55" t="inlineStr">
        <is>
          <t>Codes du calendrier</t>
        </is>
      </c>
      <c r="E1" s="55" t="inlineStr">
        <is>
          <t>Oui</t>
        </is>
      </c>
    </row>
    <row r="2">
      <c r="A2" t="inlineStr">
        <is>
          <t>Fabien JACQUOT</t>
        </is>
      </c>
      <c r="C2" t="inlineStr">
        <is>
          <t>S</t>
        </is>
      </c>
    </row>
    <row r="3">
      <c r="A3" t="inlineStr">
        <is>
          <t>Alexis ESTINES</t>
        </is>
      </c>
      <c r="C3" t="inlineStr">
        <is>
          <t>O</t>
        </is>
      </c>
    </row>
    <row r="4">
      <c r="A4" t="inlineStr">
        <is>
          <t>Paul HYNDERICK</t>
        </is>
      </c>
      <c r="C4" t="inlineStr">
        <is>
          <t>FOC</t>
        </is>
      </c>
    </row>
    <row r="5">
      <c r="A5" t="inlineStr">
        <is>
          <t>Céline CARDONA</t>
        </is>
      </c>
      <c r="C5" t="inlineStr">
        <is>
          <t>VR</t>
        </is>
      </c>
    </row>
    <row r="6">
      <c r="A6" t="inlineStr">
        <is>
          <t>Koen MONDELAERS</t>
        </is>
      </c>
      <c r="C6" t="inlineStr">
        <is>
          <t>RC</t>
        </is>
      </c>
    </row>
    <row r="7">
      <c r="A7" t="inlineStr">
        <is>
          <t>Luigi LIBERATORE</t>
        </is>
      </c>
      <c r="C7" t="inlineStr">
        <is>
          <t>MOB</t>
        </is>
      </c>
    </row>
    <row r="8">
      <c r="C8" t="inlineStr">
        <is>
          <t>DEMOB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2026-10-29T07:11:01Z</dcterms:created>
  <dcterms:modified xmlns:dcterms="http://purl.org/dc/terms/" xmlns:xsi="http://www.w3.org/2001/XMLSchema-instance" xsi:type="dcterms:W3CDTF">2026-10-29T07:11:01Z</dcterms:modified>
</cp:coreProperties>
</file>