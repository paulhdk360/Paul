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Listes" sheetId="3" state="visible" r:id="rId3"/>
  </sheets>
  <externalReferences>
    <externalReference xmlns:r="http://schemas.openxmlformats.org/officeDocument/2006/relationships" r:id="rIdExt1"/>
  </externalReference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externalLink" Target="externalLinks/externalLink1.xml" Id="rIdExt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0_Servicing/5_Stock/Inventaire/Mouvements%20et%20modif%20Immo.xlsx" TargetMode="External"/><Relationship Id="rId2" Type="http://schemas.openxmlformats.org/officeDocument/2006/relationships/externalLinkPath" Target="file:///Z:\MUSTANG%20SERVICES\10_Servicing\5_Stock\Inventaire\Mouvements%20et%20modif%20Immo.xlsx" TargetMode="External"/><Relationship Id="rId1" Type="http://schemas.openxmlformats.org/officeDocument/2006/relationships/externalLinkPath" Target="/MUSTANG%20SERVICES/10_Servicing/5_Stock/Inventaire/Mouvements%20et%20modif%20Im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° comptes Immo"/>
      <sheetName val="Fabrication - Achat - 2014 et +"/>
      <sheetName val="Sorties d'immo - obsolète"/>
      <sheetName val="Sorties de stocks"/>
    </sheetNames>
    <sheetDataSet>
      <sheetData sheetId="0"/>
      <sheetData sheetId="1">
        <row r="1">
          <cell r="X1" t="str">
            <v>n° colonne :</v>
          </cell>
          <cell r="Z1">
            <v>1</v>
          </cell>
          <cell r="AA1">
            <v>2</v>
          </cell>
          <cell r="AB1">
            <v>3</v>
          </cell>
          <cell r="AC1">
            <v>4</v>
          </cell>
          <cell r="AD1">
            <v>5</v>
          </cell>
          <cell r="AE1">
            <v>6</v>
          </cell>
          <cell r="AF1">
            <v>7</v>
          </cell>
          <cell r="AG1">
            <v>8</v>
          </cell>
          <cell r="AH1">
            <v>9</v>
          </cell>
          <cell r="AI1">
            <v>10</v>
          </cell>
          <cell r="AJ1">
            <v>11</v>
          </cell>
          <cell r="AK1">
            <v>12</v>
          </cell>
          <cell r="AL1">
            <v>13</v>
          </cell>
          <cell r="AM1">
            <v>14</v>
          </cell>
          <cell r="AN1">
            <v>15</v>
          </cell>
          <cell r="AO1">
            <v>16</v>
          </cell>
          <cell r="AP1">
            <v>17</v>
          </cell>
          <cell r="AQ1">
            <v>18</v>
          </cell>
          <cell r="AR1">
            <v>19</v>
          </cell>
          <cell r="AS1">
            <v>20</v>
          </cell>
          <cell r="AT1">
            <v>21</v>
          </cell>
          <cell r="AU1">
            <v>22</v>
          </cell>
          <cell r="AV1">
            <v>23</v>
          </cell>
        </row>
        <row r="2">
          <cell r="Z2" t="str">
            <v>INVENTAIRE</v>
          </cell>
          <cell r="AA2" t="str">
            <v>Indiquer le SN pour faire afficher la désignation standardiser. OD à compléter pour les outils rechargés</v>
          </cell>
          <cell r="AB2" t="str">
            <v>formule changée</v>
          </cell>
          <cell r="AC2"/>
          <cell r="AD2"/>
          <cell r="AE2"/>
          <cell r="AF2"/>
          <cell r="AG2"/>
          <cell r="AH2"/>
          <cell r="AI2"/>
          <cell r="AJ2"/>
          <cell r="AK2"/>
          <cell r="AL2"/>
          <cell r="AM2"/>
          <cell r="AN2"/>
          <cell r="AO2"/>
          <cell r="AP2"/>
          <cell r="AQ2"/>
          <cell r="AR2"/>
          <cell r="AS2"/>
          <cell r="AT2"/>
          <cell r="AU2"/>
          <cell r="AV2"/>
        </row>
        <row r="3">
          <cell r="Z3" t="str">
            <v>SN</v>
          </cell>
          <cell r="AA3" t="str">
            <v>Désignation</v>
          </cell>
          <cell r="AB3" t="str">
            <v>poids (kg)</v>
          </cell>
          <cell r="AC3" t="str">
            <v>OD</v>
          </cell>
          <cell r="AD3" t="str">
            <v>LG (mm)</v>
          </cell>
          <cell r="AE3" t="str">
            <v>conn up</v>
          </cell>
          <cell r="AF3" t="str">
            <v>conn down</v>
          </cell>
          <cell r="AG3" t="str">
            <v>other spec</v>
          </cell>
          <cell r="AH3" t="str">
            <v>statut</v>
          </cell>
          <cell r="AI3" t="str">
            <v>statut
en STOCK</v>
          </cell>
          <cell r="AJ3" t="str">
            <v>statut
sur CHANTIER</v>
          </cell>
          <cell r="AK3" t="str">
            <v>statut maintenance et inspection EN COURS</v>
          </cell>
          <cell r="AL3" t="str">
            <v>loc</v>
          </cell>
          <cell r="AM3" t="str">
            <v>stock</v>
          </cell>
          <cell r="AN3" t="str">
            <v>immo</v>
          </cell>
          <cell r="AO3" t="str">
            <v>obsolète</v>
          </cell>
          <cell r="AP3" t="str">
            <v>absent</v>
          </cell>
          <cell r="AQ3" t="str">
            <v>date contrôle</v>
          </cell>
          <cell r="AR3" t="str">
            <v>Comments</v>
          </cell>
          <cell r="AS3" t="str">
            <v>identification ligne dans stock pour index</v>
          </cell>
          <cell r="AT3" t="str">
            <v>Ref</v>
          </cell>
          <cell r="AU3" t="str">
            <v>Origine</v>
          </cell>
          <cell r="AV3" t="str">
            <v>HS code</v>
          </cell>
        </row>
        <row r="4">
          <cell r="Z4">
            <v>0</v>
          </cell>
          <cell r="AA4" t="str">
            <v>Indiquer le SN pour faire afficher la désignation standardiser. OD à compléter pour les outils rechargés</v>
          </cell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 t="str">
            <v/>
          </cell>
          <cell r="AO4"/>
          <cell r="AP4"/>
          <cell r="AQ4"/>
          <cell r="AR4"/>
          <cell r="AS4"/>
          <cell r="AT4"/>
          <cell r="AU4"/>
          <cell r="AV4"/>
        </row>
        <row r="5">
          <cell r="Z5" t="str">
            <v/>
          </cell>
          <cell r="AA5"/>
          <cell r="AB5"/>
          <cell r="AC5"/>
          <cell r="AD5"/>
          <cell r="AE5"/>
          <cell r="AF5"/>
          <cell r="AG5"/>
          <cell r="AH5" t="str">
            <v>en stock</v>
          </cell>
          <cell r="AI5"/>
          <cell r="AJ5"/>
          <cell r="AK5"/>
          <cell r="AL5"/>
          <cell r="AM5"/>
          <cell r="AN5">
            <v>2015</v>
          </cell>
          <cell r="AO5"/>
          <cell r="AP5"/>
          <cell r="AQ5"/>
          <cell r="AR5"/>
          <cell r="AS5"/>
          <cell r="AT5"/>
          <cell r="AU5"/>
          <cell r="AV5"/>
        </row>
        <row r="6">
          <cell r="Z6">
            <v>2030001</v>
          </cell>
          <cell r="AA6"/>
          <cell r="AB6"/>
          <cell r="AC6"/>
          <cell r="AD6"/>
          <cell r="AE6"/>
          <cell r="AF6"/>
          <cell r="AG6"/>
          <cell r="AH6" t="str">
            <v>en stock</v>
          </cell>
          <cell r="AI6"/>
          <cell r="AJ6"/>
          <cell r="AK6"/>
          <cell r="AL6"/>
          <cell r="AM6"/>
          <cell r="AN6" t="str">
            <v/>
          </cell>
          <cell r="AO6"/>
          <cell r="AP6"/>
          <cell r="AQ6"/>
          <cell r="AR6"/>
          <cell r="AS6"/>
          <cell r="AT6"/>
          <cell r="AU6"/>
          <cell r="AV6"/>
        </row>
        <row r="7">
          <cell r="Z7">
            <v>2030002</v>
          </cell>
          <cell r="AA7"/>
          <cell r="AB7"/>
          <cell r="AC7"/>
          <cell r="AD7"/>
          <cell r="AE7"/>
          <cell r="AF7"/>
          <cell r="AG7"/>
          <cell r="AH7" t="str">
            <v>en stock</v>
          </cell>
          <cell r="AI7"/>
          <cell r="AJ7"/>
          <cell r="AK7"/>
          <cell r="AL7"/>
          <cell r="AM7"/>
          <cell r="AN7" t="str">
            <v/>
          </cell>
          <cell r="AO7"/>
          <cell r="AP7"/>
          <cell r="AQ7"/>
          <cell r="AR7"/>
          <cell r="AS7"/>
          <cell r="AT7"/>
          <cell r="AU7"/>
          <cell r="AV7"/>
        </row>
        <row r="8">
          <cell r="Z8">
            <v>10</v>
          </cell>
          <cell r="AA8" t="str">
            <v>Loading Basket 4200mm x 1200mm L</v>
          </cell>
          <cell r="AB8">
            <v>780</v>
          </cell>
          <cell r="AC8">
            <v>1200</v>
          </cell>
          <cell r="AD8">
            <v>4200</v>
          </cell>
          <cell r="AE8"/>
          <cell r="AF8"/>
          <cell r="AG8" t="str">
            <v>L</v>
          </cell>
          <cell r="AH8" t="str">
            <v>sur chantier</v>
          </cell>
          <cell r="AI8" t="str">
            <v/>
          </cell>
          <cell r="AJ8">
            <v>1</v>
          </cell>
          <cell r="AK8">
            <v>0</v>
          </cell>
          <cell r="AL8"/>
          <cell r="AM8"/>
          <cell r="AN8">
            <v>10</v>
          </cell>
          <cell r="AO8"/>
          <cell r="AP8"/>
          <cell r="AQ8"/>
          <cell r="AR8"/>
          <cell r="AS8">
            <v>5</v>
          </cell>
          <cell r="AT8"/>
          <cell r="AU8" t="str">
            <v>FR</v>
          </cell>
          <cell r="AV8">
            <v>86090090</v>
          </cell>
        </row>
        <row r="9">
          <cell r="Z9">
            <v>11</v>
          </cell>
          <cell r="AA9" t="str">
            <v>Loading Basket 4200mm x 1200mm L</v>
          </cell>
          <cell r="AB9">
            <v>780</v>
          </cell>
          <cell r="AC9">
            <v>1200</v>
          </cell>
          <cell r="AD9">
            <v>4200</v>
          </cell>
          <cell r="AE9"/>
          <cell r="AF9"/>
          <cell r="AG9" t="str">
            <v>L</v>
          </cell>
          <cell r="AH9" t="str">
            <v>sur chantier</v>
          </cell>
          <cell r="AI9" t="str">
            <v/>
          </cell>
          <cell r="AJ9">
            <v>1</v>
          </cell>
          <cell r="AK9">
            <v>0</v>
          </cell>
          <cell r="AL9"/>
          <cell r="AM9"/>
          <cell r="AN9">
            <v>11</v>
          </cell>
          <cell r="AO9"/>
          <cell r="AP9"/>
          <cell r="AQ9"/>
          <cell r="AR9"/>
          <cell r="AS9">
            <v>6</v>
          </cell>
          <cell r="AT9"/>
          <cell r="AU9" t="str">
            <v>FR</v>
          </cell>
          <cell r="AV9">
            <v>86090090</v>
          </cell>
        </row>
        <row r="10">
          <cell r="Z10">
            <v>12</v>
          </cell>
          <cell r="AA10" t="str">
            <v>Loading Basket 3200mm x 1200mm M</v>
          </cell>
          <cell r="AB10">
            <v>500</v>
          </cell>
          <cell r="AC10">
            <v>1200</v>
          </cell>
          <cell r="AD10">
            <v>3200</v>
          </cell>
          <cell r="AE10"/>
          <cell r="AF10"/>
          <cell r="AG10" t="str">
            <v>M</v>
          </cell>
          <cell r="AH10" t="str">
            <v xml:space="preserve"> en stock </v>
          </cell>
          <cell r="AI10">
            <v>1</v>
          </cell>
          <cell r="AJ10">
            <v>0</v>
          </cell>
          <cell r="AK10">
            <v>0</v>
          </cell>
          <cell r="AL10"/>
          <cell r="AM10"/>
          <cell r="AN10">
            <v>12</v>
          </cell>
          <cell r="AO10"/>
          <cell r="AP10"/>
          <cell r="AQ10"/>
          <cell r="AR10"/>
          <cell r="AS10">
            <v>11</v>
          </cell>
          <cell r="AT10"/>
          <cell r="AU10" t="str">
            <v>FR</v>
          </cell>
          <cell r="AV10">
            <v>86090090</v>
          </cell>
        </row>
        <row r="11">
          <cell r="Z11">
            <v>13</v>
          </cell>
          <cell r="AA11" t="str">
            <v>Loading Basket 3200mm x 1200mm M</v>
          </cell>
          <cell r="AB11">
            <v>500</v>
          </cell>
          <cell r="AC11">
            <v>1200</v>
          </cell>
          <cell r="AD11">
            <v>3200</v>
          </cell>
          <cell r="AE11"/>
          <cell r="AF11"/>
          <cell r="AG11" t="str">
            <v>M</v>
          </cell>
          <cell r="AH11" t="str">
            <v>sur chantier</v>
          </cell>
          <cell r="AI11" t="str">
            <v/>
          </cell>
          <cell r="AJ11">
            <v>1</v>
          </cell>
          <cell r="AK11">
            <v>0</v>
          </cell>
          <cell r="AL11"/>
          <cell r="AM11"/>
          <cell r="AN11">
            <v>13</v>
          </cell>
          <cell r="AO11"/>
          <cell r="AP11"/>
          <cell r="AQ11"/>
          <cell r="AR11"/>
          <cell r="AS11">
            <v>12</v>
          </cell>
          <cell r="AT11"/>
          <cell r="AU11" t="str">
            <v>FR</v>
          </cell>
          <cell r="AV11">
            <v>86090090</v>
          </cell>
        </row>
        <row r="12">
          <cell r="Z12">
            <v>14</v>
          </cell>
          <cell r="AA12" t="str">
            <v>Loading Basket 2200mm x 1200mm S</v>
          </cell>
          <cell r="AB12">
            <v>400</v>
          </cell>
          <cell r="AC12">
            <v>1200</v>
          </cell>
          <cell r="AD12">
            <v>2200</v>
          </cell>
          <cell r="AE12"/>
          <cell r="AF12"/>
          <cell r="AG12" t="str">
            <v>S</v>
          </cell>
          <cell r="AH12" t="str">
            <v xml:space="preserve"> en stock </v>
          </cell>
          <cell r="AI12">
            <v>1</v>
          </cell>
          <cell r="AJ12">
            <v>0</v>
          </cell>
          <cell r="AK12">
            <v>0</v>
          </cell>
          <cell r="AL12"/>
          <cell r="AM12"/>
          <cell r="AN12">
            <v>14</v>
          </cell>
          <cell r="AO12"/>
          <cell r="AP12"/>
          <cell r="AQ12"/>
          <cell r="AR12"/>
          <cell r="AS12">
            <v>13</v>
          </cell>
          <cell r="AT12"/>
          <cell r="AU12" t="str">
            <v>FR</v>
          </cell>
          <cell r="AV12">
            <v>86090090</v>
          </cell>
        </row>
        <row r="13">
          <cell r="Z13">
            <v>15</v>
          </cell>
          <cell r="AA13" t="str">
            <v>Loading Basket 2200mm x 1200mm S</v>
          </cell>
          <cell r="AB13">
            <v>400</v>
          </cell>
          <cell r="AC13">
            <v>1200</v>
          </cell>
          <cell r="AD13">
            <v>2200</v>
          </cell>
          <cell r="AE13"/>
          <cell r="AF13"/>
          <cell r="AG13" t="str">
            <v>S</v>
          </cell>
          <cell r="AH13" t="str">
            <v>sur chantier</v>
          </cell>
          <cell r="AI13" t="str">
            <v/>
          </cell>
          <cell r="AJ13">
            <v>1</v>
          </cell>
          <cell r="AK13">
            <v>0</v>
          </cell>
          <cell r="AL13"/>
          <cell r="AM13"/>
          <cell r="AN13">
            <v>15</v>
          </cell>
          <cell r="AO13"/>
          <cell r="AP13"/>
          <cell r="AQ13"/>
          <cell r="AR13"/>
          <cell r="AS13">
            <v>14</v>
          </cell>
          <cell r="AT13"/>
          <cell r="AU13" t="str">
            <v>FR</v>
          </cell>
          <cell r="AV13">
            <v>86090090</v>
          </cell>
        </row>
        <row r="14">
          <cell r="Z14" t="str">
            <v>"1"</v>
          </cell>
          <cell r="AA14" t="str">
            <v>Bac à boue</v>
          </cell>
          <cell r="AB14"/>
          <cell r="AC14"/>
          <cell r="AD14"/>
          <cell r="AE14"/>
          <cell r="AF14"/>
          <cell r="AG14"/>
          <cell r="AH14" t="str">
            <v>en stock</v>
          </cell>
          <cell r="AI14"/>
          <cell r="AJ14"/>
          <cell r="AK14"/>
          <cell r="AL14"/>
          <cell r="AM14"/>
          <cell r="AN14">
            <v>16</v>
          </cell>
          <cell r="AO14"/>
          <cell r="AP14"/>
          <cell r="AQ14"/>
          <cell r="AR14"/>
          <cell r="AS14"/>
          <cell r="AT14"/>
          <cell r="AU14" t="str">
            <v>FR</v>
          </cell>
          <cell r="AV14"/>
        </row>
        <row r="15">
          <cell r="Z15" t="str">
            <v>"2"</v>
          </cell>
          <cell r="AA15" t="str">
            <v>Bac à boue</v>
          </cell>
          <cell r="AB15"/>
          <cell r="AC15"/>
          <cell r="AD15"/>
          <cell r="AE15"/>
          <cell r="AF15"/>
          <cell r="AG15"/>
          <cell r="AH15" t="str">
            <v>en stock</v>
          </cell>
          <cell r="AI15"/>
          <cell r="AJ15"/>
          <cell r="AK15"/>
          <cell r="AL15"/>
          <cell r="AM15"/>
          <cell r="AN15">
            <v>17</v>
          </cell>
          <cell r="AO15"/>
          <cell r="AP15"/>
          <cell r="AQ15"/>
          <cell r="AR15"/>
          <cell r="AS15"/>
          <cell r="AT15"/>
          <cell r="AU15" t="str">
            <v>FR</v>
          </cell>
          <cell r="AV15"/>
        </row>
        <row r="16">
          <cell r="Z16" t="str">
            <v>1013-02237</v>
          </cell>
          <cell r="AA16" t="str">
            <v>Wachs Machine to cut form 7" to 9-5/8" csg</v>
          </cell>
          <cell r="AB16"/>
          <cell r="AC16"/>
          <cell r="AD16"/>
          <cell r="AE16"/>
          <cell r="AF16"/>
          <cell r="AG16"/>
          <cell r="AH16" t="str">
            <v>en stock</v>
          </cell>
          <cell r="AI16"/>
          <cell r="AJ16"/>
          <cell r="AK16"/>
          <cell r="AL16"/>
          <cell r="AM16"/>
          <cell r="AN16">
            <v>18</v>
          </cell>
          <cell r="AO16"/>
          <cell r="AP16"/>
          <cell r="AQ16"/>
          <cell r="AR16"/>
          <cell r="AS16"/>
          <cell r="AT16"/>
          <cell r="AU16" t="str">
            <v/>
          </cell>
          <cell r="AV16"/>
        </row>
        <row r="17">
          <cell r="Z17">
            <v>3020003</v>
          </cell>
          <cell r="AA17" t="str">
            <v>DTU 8200
4-1/2" REG Pin up x 4-1/2" REG Box down</v>
          </cell>
          <cell r="AB17">
            <v>308</v>
          </cell>
          <cell r="AC17">
            <v>8200</v>
          </cell>
          <cell r="AD17">
            <v>1880</v>
          </cell>
          <cell r="AE17" t="str">
            <v>4-1/2" REG Pin</v>
          </cell>
          <cell r="AF17" t="str">
            <v>4-1/2" REG Box</v>
          </cell>
          <cell r="AG17"/>
          <cell r="AH17" t="str">
            <v xml:space="preserve"> en stock </v>
          </cell>
          <cell r="AI17">
            <v>1</v>
          </cell>
          <cell r="AJ17">
            <v>0</v>
          </cell>
          <cell r="AK17">
            <v>0</v>
          </cell>
          <cell r="AL17"/>
          <cell r="AM17"/>
          <cell r="AN17">
            <v>3020003</v>
          </cell>
          <cell r="AO17"/>
          <cell r="AP17"/>
          <cell r="AQ17"/>
          <cell r="AR17"/>
          <cell r="AS17">
            <v>8</v>
          </cell>
          <cell r="AT17" t="str">
            <v>302-8200</v>
          </cell>
          <cell r="AU17" t="str">
            <v>FR</v>
          </cell>
          <cell r="AV17"/>
        </row>
        <row r="18">
          <cell r="Z18">
            <v>2050004</v>
          </cell>
          <cell r="AA18" t="str">
            <v>Section Mill 5500 
3-1/2" REG Pin up</v>
          </cell>
          <cell r="AB18">
            <v>170</v>
          </cell>
          <cell r="AC18">
            <v>5500</v>
          </cell>
          <cell r="AD18">
            <v>1280</v>
          </cell>
          <cell r="AE18" t="str">
            <v>3-1/2" REG Pin</v>
          </cell>
          <cell r="AF18" t="str">
            <v>3-1/2" REG Box</v>
          </cell>
          <cell r="AG18"/>
          <cell r="AH18" t="str">
            <v xml:space="preserve"> en stock </v>
          </cell>
          <cell r="AI18">
            <v>1</v>
          </cell>
          <cell r="AJ18">
            <v>0</v>
          </cell>
          <cell r="AK18">
            <v>0</v>
          </cell>
          <cell r="AL18"/>
          <cell r="AM18"/>
          <cell r="AN18">
            <v>2050004</v>
          </cell>
          <cell r="AO18"/>
          <cell r="AP18"/>
          <cell r="AQ18"/>
          <cell r="AR18"/>
          <cell r="AS18">
            <v>8</v>
          </cell>
          <cell r="AT18" t="str">
            <v>205-5500</v>
          </cell>
          <cell r="AU18" t="str">
            <v>FR</v>
          </cell>
          <cell r="AV18"/>
        </row>
        <row r="19">
          <cell r="Z19">
            <v>2050005</v>
          </cell>
          <cell r="AA19" t="str">
            <v>Section Mill 5500 
3-1/2" REG Pin up</v>
          </cell>
          <cell r="AB19">
            <v>170</v>
          </cell>
          <cell r="AC19">
            <v>5500</v>
          </cell>
          <cell r="AD19">
            <v>1955</v>
          </cell>
          <cell r="AE19" t="str">
            <v>3-1/2" REG Pin</v>
          </cell>
          <cell r="AF19" t="str">
            <v>3-1/2" REG Box</v>
          </cell>
          <cell r="AG19"/>
          <cell r="AH19" t="str">
            <v xml:space="preserve"> en stock </v>
          </cell>
          <cell r="AI19">
            <v>1</v>
          </cell>
          <cell r="AJ19">
            <v>0</v>
          </cell>
          <cell r="AK19">
            <v>0</v>
          </cell>
          <cell r="AL19"/>
          <cell r="AM19"/>
          <cell r="AN19">
            <v>2050005</v>
          </cell>
          <cell r="AO19"/>
          <cell r="AP19"/>
          <cell r="AQ19"/>
          <cell r="AR19"/>
          <cell r="AS19">
            <v>9</v>
          </cell>
          <cell r="AT19" t="str">
            <v>205-5500</v>
          </cell>
          <cell r="AU19" t="str">
            <v>FR</v>
          </cell>
          <cell r="AV19"/>
        </row>
        <row r="20">
          <cell r="Z20">
            <v>2050006</v>
          </cell>
          <cell r="AA20" t="str">
            <v>Section Mill 8200 
4-1/2" REG Pin up</v>
          </cell>
          <cell r="AB20">
            <v>426</v>
          </cell>
          <cell r="AC20">
            <v>8200</v>
          </cell>
          <cell r="AD20">
            <v>2380</v>
          </cell>
          <cell r="AE20" t="str">
            <v>4-1/2" REG Pin</v>
          </cell>
          <cell r="AF20" t="str">
            <v>4" IF Box</v>
          </cell>
          <cell r="AG20"/>
          <cell r="AH20" t="str">
            <v xml:space="preserve"> en stock </v>
          </cell>
          <cell r="AI20">
            <v>1</v>
          </cell>
          <cell r="AJ20">
            <v>0</v>
          </cell>
          <cell r="AK20">
            <v>0</v>
          </cell>
          <cell r="AL20"/>
          <cell r="AM20"/>
          <cell r="AN20">
            <v>2050006</v>
          </cell>
          <cell r="AO20"/>
          <cell r="AP20"/>
          <cell r="AQ20"/>
          <cell r="AR20"/>
          <cell r="AS20">
            <v>10</v>
          </cell>
          <cell r="AT20" t="str">
            <v>205-8200</v>
          </cell>
          <cell r="AU20" t="str">
            <v>FR</v>
          </cell>
          <cell r="AV20"/>
        </row>
        <row r="21">
          <cell r="Z21">
            <v>8020007</v>
          </cell>
          <cell r="AA21" t="str">
            <v>Bit Sub
4-1/2" IF Box x 4-1/2" REG Box BF</v>
          </cell>
          <cell r="AB21">
            <v>88.141396297499981</v>
          </cell>
          <cell r="AC21">
            <v>6.5</v>
          </cell>
          <cell r="AD21">
            <v>600</v>
          </cell>
          <cell r="AE21" t="str">
            <v>4-1/2" IF Box</v>
          </cell>
          <cell r="AF21" t="str">
            <v>4-1/2" REG Box BF</v>
          </cell>
          <cell r="AG21"/>
          <cell r="AH21" t="str">
            <v xml:space="preserve"> en stock </v>
          </cell>
          <cell r="AI21">
            <v>1</v>
          </cell>
          <cell r="AJ21">
            <v>0</v>
          </cell>
          <cell r="AK21">
            <v>0</v>
          </cell>
          <cell r="AL21"/>
          <cell r="AM21"/>
          <cell r="AN21">
            <v>8020007</v>
          </cell>
          <cell r="AO21"/>
          <cell r="AP21"/>
          <cell r="AQ21"/>
          <cell r="AR21"/>
          <cell r="AS21">
            <v>50</v>
          </cell>
          <cell r="AT21"/>
          <cell r="AU21" t="str">
            <v>FR</v>
          </cell>
          <cell r="AV21"/>
        </row>
        <row r="22">
          <cell r="Z22">
            <v>8020008</v>
          </cell>
          <cell r="AA22" t="str">
            <v>Bit Sub
3-1/2" IF Box x 3-1/2" REG Box BF</v>
          </cell>
          <cell r="AB22">
            <v>34.664011317000003</v>
          </cell>
          <cell r="AC22">
            <v>4.75</v>
          </cell>
          <cell r="AD22">
            <v>450</v>
          </cell>
          <cell r="AE22" t="str">
            <v>3-1/2" IF Box</v>
          </cell>
          <cell r="AF22" t="str">
            <v>3-1/2" REG Box BF</v>
          </cell>
          <cell r="AG22"/>
          <cell r="AH22" t="str">
            <v xml:space="preserve"> en stock </v>
          </cell>
          <cell r="AI22">
            <v>1</v>
          </cell>
          <cell r="AJ22">
            <v>0</v>
          </cell>
          <cell r="AK22">
            <v>0</v>
          </cell>
          <cell r="AL22"/>
          <cell r="AM22"/>
          <cell r="AN22">
            <v>8020008</v>
          </cell>
          <cell r="AO22"/>
          <cell r="AP22"/>
          <cell r="AQ22"/>
          <cell r="AR22"/>
          <cell r="AS22">
            <v>36</v>
          </cell>
          <cell r="AT22"/>
          <cell r="AU22" t="str">
            <v>FR</v>
          </cell>
          <cell r="AV22"/>
        </row>
        <row r="23">
          <cell r="Z23">
            <v>8020009</v>
          </cell>
          <cell r="AA23" t="str">
            <v>Bit Sub
2-3/8" IF Box x 2-3/8" REG Box BF</v>
          </cell>
          <cell r="AB23">
            <v>17.776416060000003</v>
          </cell>
          <cell r="AC23">
            <v>3.5</v>
          </cell>
          <cell r="AD23">
            <v>400</v>
          </cell>
          <cell r="AE23" t="str">
            <v>2-3/8" IF Box</v>
          </cell>
          <cell r="AF23" t="str">
            <v>2-3/8" REG Box BF</v>
          </cell>
          <cell r="AG23"/>
          <cell r="AH23" t="str">
            <v>en stock</v>
          </cell>
          <cell r="AI23">
            <v>0</v>
          </cell>
          <cell r="AJ23">
            <v>0</v>
          </cell>
          <cell r="AK23">
            <v>1</v>
          </cell>
          <cell r="AL23"/>
          <cell r="AM23"/>
          <cell r="AN23">
            <v>8020009</v>
          </cell>
          <cell r="AO23"/>
          <cell r="AP23"/>
          <cell r="AQ23"/>
          <cell r="AR23"/>
          <cell r="AS23">
            <v>73</v>
          </cell>
          <cell r="AT23"/>
          <cell r="AU23" t="str">
            <v/>
          </cell>
          <cell r="AV23"/>
        </row>
        <row r="24">
          <cell r="Z24">
            <v>8130010</v>
          </cell>
          <cell r="AA24" t="str">
            <v>XO
3-1/2" EU Pin x 3-1/2" IF Box</v>
          </cell>
          <cell r="AB24">
            <v>23.841383567137502</v>
          </cell>
          <cell r="AC24">
            <v>4.75</v>
          </cell>
          <cell r="AD24">
            <v>445</v>
          </cell>
          <cell r="AE24" t="str">
            <v>3-1/2" EU Pin</v>
          </cell>
          <cell r="AF24" t="str">
            <v>3-1/2" IF Box</v>
          </cell>
          <cell r="AG24"/>
          <cell r="AH24" t="str">
            <v>sur chantier</v>
          </cell>
          <cell r="AI24" t="str">
            <v/>
          </cell>
          <cell r="AJ24">
            <v>1</v>
          </cell>
          <cell r="AK24">
            <v>0</v>
          </cell>
          <cell r="AL24"/>
          <cell r="AM24"/>
          <cell r="AN24">
            <v>8130010</v>
          </cell>
          <cell r="AO24"/>
          <cell r="AP24"/>
          <cell r="AQ24"/>
          <cell r="AR24"/>
          <cell r="AS24">
            <v>100</v>
          </cell>
          <cell r="AT24"/>
          <cell r="AU24" t="str">
            <v>FR</v>
          </cell>
          <cell r="AV24"/>
        </row>
        <row r="25">
          <cell r="Z25">
            <v>8130011</v>
          </cell>
          <cell r="AA25" t="str">
            <v>XO
2-7/8" EU Pin x 2-3/8" REG Box</v>
          </cell>
          <cell r="AB25">
            <v>10.094288480737502</v>
          </cell>
          <cell r="AC25">
            <v>3.125</v>
          </cell>
          <cell r="AD25">
            <v>340</v>
          </cell>
          <cell r="AE25" t="str">
            <v>2-7/8" EU Pin</v>
          </cell>
          <cell r="AF25" t="str">
            <v>2-3/8" REG Box</v>
          </cell>
          <cell r="AG25"/>
          <cell r="AH25" t="str">
            <v xml:space="preserve"> en stock </v>
          </cell>
          <cell r="AI25">
            <v>1</v>
          </cell>
          <cell r="AJ25">
            <v>0</v>
          </cell>
          <cell r="AK25">
            <v>0</v>
          </cell>
          <cell r="AL25"/>
          <cell r="AM25"/>
          <cell r="AN25">
            <v>8130011</v>
          </cell>
          <cell r="AO25"/>
          <cell r="AP25"/>
          <cell r="AQ25"/>
          <cell r="AR25"/>
          <cell r="AS25">
            <v>68</v>
          </cell>
          <cell r="AT25"/>
          <cell r="AU25" t="str">
            <v>FR</v>
          </cell>
          <cell r="AV25"/>
        </row>
        <row r="26">
          <cell r="Z26">
            <v>8130012</v>
          </cell>
          <cell r="AA26" t="str">
            <v>XO
2-7/8" EU Pin x 3-1/2" IF Box</v>
          </cell>
          <cell r="AB26">
            <v>31.108728105000004</v>
          </cell>
          <cell r="AC26">
            <v>4.75</v>
          </cell>
          <cell r="AD26">
            <v>450</v>
          </cell>
          <cell r="AE26" t="str">
            <v>2-7/8" EU Pin</v>
          </cell>
          <cell r="AF26" t="str">
            <v>3-1/2" IF Box</v>
          </cell>
          <cell r="AG26"/>
          <cell r="AH26" t="str">
            <v>maintenance</v>
          </cell>
          <cell r="AI26" t="str">
            <v/>
          </cell>
          <cell r="AJ26">
            <v>0</v>
          </cell>
          <cell r="AK26">
            <v>1</v>
          </cell>
          <cell r="AL26"/>
          <cell r="AM26"/>
          <cell r="AN26">
            <v>8130012</v>
          </cell>
          <cell r="AO26"/>
          <cell r="AP26"/>
          <cell r="AQ26"/>
          <cell r="AR26"/>
          <cell r="AS26">
            <v>76</v>
          </cell>
          <cell r="AT26"/>
          <cell r="AU26" t="str">
            <v>FR</v>
          </cell>
          <cell r="AV26"/>
        </row>
        <row r="27">
          <cell r="Z27">
            <v>8130013</v>
          </cell>
          <cell r="AA27" t="str">
            <v>XO
2-3/8" EU Pin x 2-3/8" REG Box</v>
          </cell>
          <cell r="AB27">
            <v>12.702730642874998</v>
          </cell>
          <cell r="AC27">
            <v>3.5</v>
          </cell>
          <cell r="AD27">
            <v>350</v>
          </cell>
          <cell r="AE27" t="str">
            <v>2-3/8" EU Pin</v>
          </cell>
          <cell r="AF27" t="str">
            <v>2-3/8" REG Box</v>
          </cell>
          <cell r="AG27"/>
          <cell r="AH27" t="str">
            <v xml:space="preserve"> en stock </v>
          </cell>
          <cell r="AI27">
            <v>1</v>
          </cell>
          <cell r="AJ27">
            <v>0</v>
          </cell>
          <cell r="AK27">
            <v>0</v>
          </cell>
          <cell r="AL27"/>
          <cell r="AM27"/>
          <cell r="AN27">
            <v>8130013</v>
          </cell>
          <cell r="AO27"/>
          <cell r="AP27"/>
          <cell r="AQ27"/>
          <cell r="AR27"/>
          <cell r="AS27">
            <v>14</v>
          </cell>
          <cell r="AT27"/>
          <cell r="AU27" t="str">
            <v>FR</v>
          </cell>
          <cell r="AV27"/>
        </row>
        <row r="28">
          <cell r="Z28">
            <v>8130014</v>
          </cell>
          <cell r="AA28" t="str">
            <v>XO
2-3/8" EU Pin x 2-7/8" IF Box</v>
          </cell>
          <cell r="AB28">
            <v>19.291732081781248</v>
          </cell>
          <cell r="AC28">
            <v>4.125</v>
          </cell>
          <cell r="AD28">
            <v>350</v>
          </cell>
          <cell r="AE28" t="str">
            <v>2-3/8" EU Pin</v>
          </cell>
          <cell r="AF28" t="str">
            <v>2-7/8" IF Box</v>
          </cell>
          <cell r="AG28"/>
          <cell r="AH28" t="str">
            <v xml:space="preserve"> en stock </v>
          </cell>
          <cell r="AI28">
            <v>1</v>
          </cell>
          <cell r="AJ28">
            <v>0</v>
          </cell>
          <cell r="AK28">
            <v>0</v>
          </cell>
          <cell r="AL28"/>
          <cell r="AM28"/>
          <cell r="AN28">
            <v>8130014</v>
          </cell>
          <cell r="AO28"/>
          <cell r="AP28"/>
          <cell r="AQ28"/>
          <cell r="AR28"/>
          <cell r="AS28">
            <v>15</v>
          </cell>
          <cell r="AT28"/>
          <cell r="AU28" t="str">
            <v>FR</v>
          </cell>
          <cell r="AV28"/>
        </row>
        <row r="29">
          <cell r="Z29">
            <v>8130015</v>
          </cell>
          <cell r="AA29"/>
          <cell r="AB29"/>
          <cell r="AC29"/>
          <cell r="AD29"/>
          <cell r="AE29"/>
          <cell r="AF29"/>
          <cell r="AG29"/>
          <cell r="AH29" t="str">
            <v>en stock</v>
          </cell>
          <cell r="AI29"/>
          <cell r="AJ29"/>
          <cell r="AK29"/>
          <cell r="AL29"/>
          <cell r="AM29"/>
          <cell r="AN29" t="str">
            <v/>
          </cell>
          <cell r="AO29"/>
          <cell r="AP29"/>
          <cell r="AQ29"/>
          <cell r="AR29"/>
          <cell r="AS29"/>
          <cell r="AT29"/>
          <cell r="AU29" t="str">
            <v/>
          </cell>
          <cell r="AV29"/>
        </row>
        <row r="30">
          <cell r="Z30">
            <v>8130016</v>
          </cell>
          <cell r="AA30" t="str">
            <v>XO
6-5/8" REG Pin x 7-5/8" REG Box</v>
          </cell>
          <cell r="AB30">
            <v>101.68109986319999</v>
          </cell>
          <cell r="AC30">
            <v>9.5</v>
          </cell>
          <cell r="AD30">
            <v>330</v>
          </cell>
          <cell r="AE30" t="str">
            <v>6-5/8" REG Pin</v>
          </cell>
          <cell r="AF30" t="str">
            <v>7-5/8" REG Box</v>
          </cell>
          <cell r="AG30"/>
          <cell r="AH30" t="str">
            <v xml:space="preserve"> en stock </v>
          </cell>
          <cell r="AI30">
            <v>1</v>
          </cell>
          <cell r="AJ30">
            <v>0</v>
          </cell>
          <cell r="AK30">
            <v>0</v>
          </cell>
          <cell r="AL30"/>
          <cell r="AM30"/>
          <cell r="AN30">
            <v>8130016</v>
          </cell>
          <cell r="AO30"/>
          <cell r="AP30"/>
          <cell r="AQ30"/>
          <cell r="AR30"/>
          <cell r="AS30">
            <v>215</v>
          </cell>
          <cell r="AT30"/>
          <cell r="AU30" t="str">
            <v>FR</v>
          </cell>
          <cell r="AV30"/>
        </row>
        <row r="31">
          <cell r="Z31">
            <v>8130017</v>
          </cell>
          <cell r="AA31" t="str">
            <v>XO
2-3/8" REG Pin x 2-7/8" EU Box</v>
          </cell>
          <cell r="AB31">
            <v>17.776416060000003</v>
          </cell>
          <cell r="AC31">
            <v>3.5</v>
          </cell>
          <cell r="AD31">
            <v>400</v>
          </cell>
          <cell r="AE31" t="str">
            <v>2-3/8" REG Pin</v>
          </cell>
          <cell r="AF31" t="str">
            <v>2-7/8" EU Box</v>
          </cell>
          <cell r="AG31"/>
          <cell r="AH31" t="str">
            <v xml:space="preserve"> en stock </v>
          </cell>
          <cell r="AI31">
            <v>1</v>
          </cell>
          <cell r="AJ31">
            <v>0</v>
          </cell>
          <cell r="AK31">
            <v>0</v>
          </cell>
          <cell r="AL31"/>
          <cell r="AM31"/>
          <cell r="AN31">
            <v>8130017</v>
          </cell>
          <cell r="AO31"/>
          <cell r="AP31"/>
          <cell r="AQ31"/>
          <cell r="AR31"/>
          <cell r="AS31">
            <v>50</v>
          </cell>
          <cell r="AT31"/>
          <cell r="AU31" t="str">
            <v>FR</v>
          </cell>
          <cell r="AV31"/>
        </row>
        <row r="32">
          <cell r="Z32">
            <v>8135406</v>
          </cell>
          <cell r="AA32" t="str">
            <v>XO
3-1/2" REG Pin x 3-1/2" REG Pin</v>
          </cell>
          <cell r="AB32">
            <v>17.776416060000003</v>
          </cell>
          <cell r="AC32">
            <v>4.5</v>
          </cell>
          <cell r="AD32">
            <v>250</v>
          </cell>
          <cell r="AE32" t="str">
            <v>3-1/2" REG Pin</v>
          </cell>
          <cell r="AF32" t="str">
            <v>3-1/2" REG Pin</v>
          </cell>
          <cell r="AG32"/>
          <cell r="AH32" t="str">
            <v>maintenance</v>
          </cell>
          <cell r="AI32" t="str">
            <v/>
          </cell>
          <cell r="AJ32">
            <v>0</v>
          </cell>
          <cell r="AK32">
            <v>1</v>
          </cell>
          <cell r="AL32"/>
          <cell r="AM32"/>
          <cell r="AN32">
            <v>8130018</v>
          </cell>
          <cell r="AO32"/>
          <cell r="AP32"/>
          <cell r="AQ32"/>
          <cell r="AR32"/>
          <cell r="AS32">
            <v>135</v>
          </cell>
          <cell r="AT32"/>
          <cell r="AU32" t="str">
            <v>FR</v>
          </cell>
          <cell r="AV32"/>
        </row>
        <row r="33">
          <cell r="Z33">
            <v>8130019</v>
          </cell>
          <cell r="AA33" t="str">
            <v>XO
2-3/8" REG Pin x 2-3/8" IF Box BF</v>
          </cell>
          <cell r="AB33">
            <v>16.418495388749999</v>
          </cell>
          <cell r="AC33">
            <v>3.375</v>
          </cell>
          <cell r="AD33">
            <v>400</v>
          </cell>
          <cell r="AE33" t="str">
            <v>2-3/8" REG Pin</v>
          </cell>
          <cell r="AF33" t="str">
            <v>2-3/8" IF Box BF</v>
          </cell>
          <cell r="AG33"/>
          <cell r="AH33" t="str">
            <v>maintenance</v>
          </cell>
          <cell r="AI33" t="str">
            <v/>
          </cell>
          <cell r="AJ33">
            <v>0</v>
          </cell>
          <cell r="AK33">
            <v>1</v>
          </cell>
          <cell r="AL33"/>
          <cell r="AM33"/>
          <cell r="AN33">
            <v>8130019</v>
          </cell>
          <cell r="AO33"/>
          <cell r="AP33"/>
          <cell r="AQ33"/>
          <cell r="AR33"/>
          <cell r="AS33">
            <v>46</v>
          </cell>
          <cell r="AT33"/>
          <cell r="AU33" t="str">
            <v>FR</v>
          </cell>
          <cell r="AV33"/>
        </row>
        <row r="34">
          <cell r="Z34">
            <v>8130020</v>
          </cell>
          <cell r="AA34" t="str">
            <v>XO
2-3/8" REG Pin x 2-3/8" REG Pin</v>
          </cell>
          <cell r="AB34">
            <v>17.776416060000003</v>
          </cell>
          <cell r="AC34">
            <v>3.5</v>
          </cell>
          <cell r="AD34">
            <v>400</v>
          </cell>
          <cell r="AE34" t="str">
            <v>2-3/8" REG Pin</v>
          </cell>
          <cell r="AF34" t="str">
            <v>2-3/8" REG Pin</v>
          </cell>
          <cell r="AG34"/>
          <cell r="AH34" t="str">
            <v xml:space="preserve"> en stock </v>
          </cell>
          <cell r="AI34">
            <v>1</v>
          </cell>
          <cell r="AJ34">
            <v>0</v>
          </cell>
          <cell r="AK34">
            <v>0</v>
          </cell>
          <cell r="AL34"/>
          <cell r="AM34"/>
          <cell r="AN34">
            <v>8130020</v>
          </cell>
          <cell r="AO34"/>
          <cell r="AP34"/>
          <cell r="AQ34"/>
          <cell r="AR34"/>
          <cell r="AS34">
            <v>49</v>
          </cell>
          <cell r="AT34"/>
          <cell r="AU34" t="str">
            <v>FR</v>
          </cell>
          <cell r="AV34"/>
        </row>
        <row r="35">
          <cell r="Z35">
            <v>8080021</v>
          </cell>
          <cell r="AA35" t="str">
            <v>Float Sub 6-1/2" Lg 585 mm
4-1/2" IF Pin x 4-1/2" IF Box BF (4R)</v>
          </cell>
          <cell r="AB35">
            <v>78</v>
          </cell>
          <cell r="AC35">
            <v>6.5</v>
          </cell>
          <cell r="AD35">
            <v>585</v>
          </cell>
          <cell r="AE35" t="str">
            <v>4-1/2" IF Box BF</v>
          </cell>
          <cell r="AF35" t="str">
            <v>4-1/2" IF Pin</v>
          </cell>
          <cell r="AG35" t="str">
            <v>4R</v>
          </cell>
          <cell r="AH35" t="str">
            <v>sur chantier</v>
          </cell>
          <cell r="AI35" t="str">
            <v/>
          </cell>
          <cell r="AJ35">
            <v>1</v>
          </cell>
          <cell r="AK35">
            <v>0</v>
          </cell>
          <cell r="AL35"/>
          <cell r="AM35"/>
          <cell r="AN35">
            <v>8130021</v>
          </cell>
          <cell r="AO35"/>
          <cell r="AP35"/>
          <cell r="AQ35"/>
          <cell r="AR35"/>
          <cell r="AS35">
            <v>16</v>
          </cell>
          <cell r="AT35"/>
          <cell r="AU35" t="str">
            <v>FR</v>
          </cell>
          <cell r="AV35"/>
        </row>
        <row r="36">
          <cell r="Z36">
            <v>8130022</v>
          </cell>
          <cell r="AA36" t="str">
            <v>XO
3-1/2" IF Pin x 3-1/2" REG Pin</v>
          </cell>
          <cell r="AB36">
            <v>35.930580961274998</v>
          </cell>
          <cell r="AC36">
            <v>4.75</v>
          </cell>
          <cell r="AD36">
            <v>490</v>
          </cell>
          <cell r="AE36" t="str">
            <v>3-1/2" IF Pin</v>
          </cell>
          <cell r="AF36" t="str">
            <v>3-1/2" REG Pin</v>
          </cell>
          <cell r="AG36"/>
          <cell r="AH36" t="str">
            <v>maintenance</v>
          </cell>
          <cell r="AI36" t="str">
            <v/>
          </cell>
          <cell r="AJ36">
            <v>0</v>
          </cell>
          <cell r="AK36">
            <v>1</v>
          </cell>
          <cell r="AL36"/>
          <cell r="AM36"/>
          <cell r="AN36">
            <v>8130022</v>
          </cell>
          <cell r="AO36"/>
          <cell r="AP36"/>
          <cell r="AQ36"/>
          <cell r="AR36"/>
          <cell r="AS36">
            <v>120</v>
          </cell>
          <cell r="AT36"/>
          <cell r="AU36" t="str">
            <v>FR</v>
          </cell>
          <cell r="AV36"/>
        </row>
        <row r="37">
          <cell r="Z37">
            <v>8130023</v>
          </cell>
          <cell r="AA37" t="str">
            <v>XO
3-1/2" IF Pin x 3-1/2" IF Pin</v>
          </cell>
          <cell r="AB37">
            <v>32.219754108749996</v>
          </cell>
          <cell r="AC37">
            <v>4.75</v>
          </cell>
          <cell r="AD37">
            <v>500</v>
          </cell>
          <cell r="AE37" t="str">
            <v>3-1/2" IF Pin</v>
          </cell>
          <cell r="AF37" t="str">
            <v>3-1/2" IF Pin</v>
          </cell>
          <cell r="AG37"/>
          <cell r="AH37" t="str">
            <v xml:space="preserve"> en stock </v>
          </cell>
          <cell r="AI37">
            <v>1</v>
          </cell>
          <cell r="AJ37">
            <v>0</v>
          </cell>
          <cell r="AK37">
            <v>0</v>
          </cell>
          <cell r="AL37"/>
          <cell r="AM37"/>
          <cell r="AN37">
            <v>8130023</v>
          </cell>
          <cell r="AO37"/>
          <cell r="AP37"/>
          <cell r="AQ37"/>
          <cell r="AR37"/>
          <cell r="AS37">
            <v>114</v>
          </cell>
          <cell r="AT37"/>
          <cell r="AU37" t="str">
            <v>FR</v>
          </cell>
          <cell r="AV37"/>
        </row>
        <row r="38">
          <cell r="Z38">
            <v>8130024</v>
          </cell>
          <cell r="AA38" t="str">
            <v>XO
2-3/8" IF Pin x 2-3/8" REG Pin</v>
          </cell>
          <cell r="AB38">
            <v>17.776416060000003</v>
          </cell>
          <cell r="AC38">
            <v>3.5</v>
          </cell>
          <cell r="AD38">
            <v>400</v>
          </cell>
          <cell r="AE38" t="str">
            <v>2-3/8" IF Pin</v>
          </cell>
          <cell r="AF38" t="str">
            <v>2-3/8" REG Pin</v>
          </cell>
          <cell r="AG38"/>
          <cell r="AH38" t="str">
            <v xml:space="preserve"> en stock </v>
          </cell>
          <cell r="AI38">
            <v>1</v>
          </cell>
          <cell r="AJ38">
            <v>0</v>
          </cell>
          <cell r="AK38">
            <v>0</v>
          </cell>
          <cell r="AL38"/>
          <cell r="AM38"/>
          <cell r="AN38">
            <v>8130024</v>
          </cell>
          <cell r="AO38"/>
          <cell r="AP38"/>
          <cell r="AQ38"/>
          <cell r="AR38"/>
          <cell r="AS38">
            <v>26</v>
          </cell>
          <cell r="AT38"/>
          <cell r="AU38" t="str">
            <v>FR</v>
          </cell>
          <cell r="AV38"/>
        </row>
        <row r="39">
          <cell r="Z39">
            <v>8130025</v>
          </cell>
          <cell r="AA39"/>
          <cell r="AB39"/>
          <cell r="AC39"/>
          <cell r="AD39"/>
          <cell r="AE39"/>
          <cell r="AF39"/>
          <cell r="AG39"/>
          <cell r="AH39" t="str">
            <v>en stock</v>
          </cell>
          <cell r="AI39"/>
          <cell r="AJ39"/>
          <cell r="AK39"/>
          <cell r="AL39"/>
          <cell r="AM39"/>
          <cell r="AN39" t="str">
            <v/>
          </cell>
          <cell r="AO39"/>
          <cell r="AP39"/>
          <cell r="AQ39"/>
          <cell r="AR39"/>
          <cell r="AS39"/>
          <cell r="AT39"/>
          <cell r="AU39" t="str">
            <v/>
          </cell>
          <cell r="AV39"/>
        </row>
        <row r="40">
          <cell r="Z40">
            <v>8130026</v>
          </cell>
          <cell r="AA40" t="str">
            <v>XO
2-3/8" IF Pin x 2-3/8" IF Pin</v>
          </cell>
          <cell r="AB40">
            <v>15.80125872</v>
          </cell>
          <cell r="AC40">
            <v>3.5</v>
          </cell>
          <cell r="AD40">
            <v>400</v>
          </cell>
          <cell r="AE40" t="str">
            <v>2-3/8" IF Pin</v>
          </cell>
          <cell r="AF40" t="str">
            <v>2-3/8" IF Pin</v>
          </cell>
          <cell r="AG40"/>
          <cell r="AH40" t="str">
            <v xml:space="preserve"> en stock </v>
          </cell>
          <cell r="AI40">
            <v>1</v>
          </cell>
          <cell r="AJ40">
            <v>0</v>
          </cell>
          <cell r="AK40">
            <v>0</v>
          </cell>
          <cell r="AL40"/>
          <cell r="AM40"/>
          <cell r="AN40">
            <v>8130026</v>
          </cell>
          <cell r="AO40"/>
          <cell r="AP40"/>
          <cell r="AQ40"/>
          <cell r="AR40"/>
          <cell r="AS40">
            <v>19</v>
          </cell>
          <cell r="AT40"/>
          <cell r="AU40" t="str">
            <v>FR</v>
          </cell>
          <cell r="AV40"/>
        </row>
        <row r="41">
          <cell r="Z41">
            <v>8130027</v>
          </cell>
          <cell r="AA41"/>
          <cell r="AB41"/>
          <cell r="AC41"/>
          <cell r="AD41"/>
          <cell r="AE41"/>
          <cell r="AF41"/>
          <cell r="AG41"/>
          <cell r="AH41" t="str">
            <v>en stock</v>
          </cell>
          <cell r="AI41"/>
          <cell r="AJ41"/>
          <cell r="AK41"/>
          <cell r="AL41"/>
          <cell r="AM41"/>
          <cell r="AN41" t="str">
            <v/>
          </cell>
          <cell r="AO41"/>
          <cell r="AP41"/>
          <cell r="AQ41"/>
          <cell r="AR41"/>
          <cell r="AS41"/>
          <cell r="AT41"/>
          <cell r="AU41" t="str">
            <v/>
          </cell>
          <cell r="AV41"/>
        </row>
        <row r="42">
          <cell r="Z42">
            <v>1060028</v>
          </cell>
          <cell r="AA42" t="str">
            <v>Impression block 4 1/2" OD
 2-3/8" REG Box</v>
          </cell>
          <cell r="AB42">
            <v>28</v>
          </cell>
          <cell r="AC42">
            <v>4.5</v>
          </cell>
          <cell r="AD42">
            <v>530</v>
          </cell>
          <cell r="AE42" t="str">
            <v>2-3/8" REG Box</v>
          </cell>
          <cell r="AF42"/>
          <cell r="AG42"/>
          <cell r="AH42" t="str">
            <v xml:space="preserve"> en stock </v>
          </cell>
          <cell r="AI42">
            <v>1</v>
          </cell>
          <cell r="AJ42">
            <v>0</v>
          </cell>
          <cell r="AK42">
            <v>0</v>
          </cell>
          <cell r="AL42" t="str">
            <v>4-3</v>
          </cell>
          <cell r="AM42"/>
          <cell r="AN42">
            <v>1060028</v>
          </cell>
          <cell r="AO42"/>
          <cell r="AP42"/>
          <cell r="AQ42"/>
          <cell r="AR42"/>
          <cell r="AS42">
            <v>8</v>
          </cell>
          <cell r="AT42"/>
          <cell r="AU42" t="str">
            <v>FR</v>
          </cell>
          <cell r="AV42"/>
        </row>
        <row r="43">
          <cell r="Z43">
            <v>8130029</v>
          </cell>
          <cell r="AA43" t="str">
            <v>XO
3-1/2" IF Pin x 3-1/2" REG Pin</v>
          </cell>
          <cell r="AB43">
            <v>36.910752791250005</v>
          </cell>
          <cell r="AC43">
            <v>4.75</v>
          </cell>
          <cell r="AD43">
            <v>460</v>
          </cell>
          <cell r="AE43" t="str">
            <v>3-1/2" IF Pin</v>
          </cell>
          <cell r="AF43" t="str">
            <v>3-1/2" REG Pin</v>
          </cell>
          <cell r="AG43"/>
          <cell r="AH43" t="str">
            <v xml:space="preserve"> en stock </v>
          </cell>
          <cell r="AI43">
            <v>1</v>
          </cell>
          <cell r="AJ43">
            <v>0</v>
          </cell>
          <cell r="AK43">
            <v>0</v>
          </cell>
          <cell r="AL43"/>
          <cell r="AM43"/>
          <cell r="AN43">
            <v>8130029</v>
          </cell>
          <cell r="AO43"/>
          <cell r="AP43"/>
          <cell r="AQ43"/>
          <cell r="AR43"/>
          <cell r="AS43">
            <v>118</v>
          </cell>
          <cell r="AT43"/>
          <cell r="AU43" t="str">
            <v>FR</v>
          </cell>
          <cell r="AV43"/>
        </row>
        <row r="44">
          <cell r="Z44">
            <v>5170030</v>
          </cell>
          <cell r="AA44" t="str">
            <v>WO Junk Catcher w/ saver sub
4-1/2" FJWP Pin x Box</v>
          </cell>
          <cell r="AB44">
            <v>26</v>
          </cell>
          <cell r="AC44">
            <v>4.625</v>
          </cell>
          <cell r="AD44">
            <v>500</v>
          </cell>
          <cell r="AE44" t="str">
            <v>4-1/2" FJWP Box</v>
          </cell>
          <cell r="AF44" t="str">
            <v>4-1/2" FJWP Pin</v>
          </cell>
          <cell r="AG44"/>
          <cell r="AH44" t="str">
            <v xml:space="preserve"> en stock </v>
          </cell>
          <cell r="AI44">
            <v>1</v>
          </cell>
          <cell r="AJ44">
            <v>0</v>
          </cell>
          <cell r="AK44">
            <v>0</v>
          </cell>
          <cell r="AL44"/>
          <cell r="AM44"/>
          <cell r="AN44">
            <v>5170030</v>
          </cell>
          <cell r="AO44"/>
          <cell r="AP44"/>
          <cell r="AQ44"/>
          <cell r="AR44"/>
          <cell r="AS44">
            <v>5</v>
          </cell>
          <cell r="AT44"/>
          <cell r="AU44" t="str">
            <v>FR</v>
          </cell>
          <cell r="AV44"/>
        </row>
        <row r="45">
          <cell r="Z45">
            <v>5120031</v>
          </cell>
          <cell r="AA45" t="str">
            <v>WO Top Sub
2-7/8" EU Box x 4-1/2" FJWP Pin</v>
          </cell>
          <cell r="AB45">
            <v>16</v>
          </cell>
          <cell r="AC45">
            <v>4.5</v>
          </cell>
          <cell r="AD45">
            <v>420</v>
          </cell>
          <cell r="AE45" t="str">
            <v>2-7/8" EU Box</v>
          </cell>
          <cell r="AF45" t="str">
            <v>4-1/2" FJWP Pin</v>
          </cell>
          <cell r="AG45" t="str">
            <v xml:space="preserve"> - </v>
          </cell>
          <cell r="AH45" t="str">
            <v>sur chantier</v>
          </cell>
          <cell r="AI45" t="str">
            <v/>
          </cell>
          <cell r="AJ45">
            <v>1</v>
          </cell>
          <cell r="AK45">
            <v>0</v>
          </cell>
          <cell r="AL45"/>
          <cell r="AM45"/>
          <cell r="AN45">
            <v>5120031</v>
          </cell>
          <cell r="AO45"/>
          <cell r="AP45"/>
          <cell r="AQ45"/>
          <cell r="AR45"/>
          <cell r="AS45">
            <v>18</v>
          </cell>
          <cell r="AT45"/>
          <cell r="AU45" t="str">
            <v>FR</v>
          </cell>
          <cell r="AV45"/>
        </row>
        <row r="46">
          <cell r="Z46">
            <v>5120032</v>
          </cell>
          <cell r="AA46" t="str">
            <v>WO Top Sub
3-1/2" IF Box x 5-3/8" BRS Pin</v>
          </cell>
          <cell r="AB46">
            <v>52</v>
          </cell>
          <cell r="AC46">
            <v>5.375</v>
          </cell>
          <cell r="AD46">
            <v>580</v>
          </cell>
          <cell r="AE46" t="str">
            <v>3-1/2" IF Box</v>
          </cell>
          <cell r="AF46" t="str">
            <v>5-3/8" BRS Pin</v>
          </cell>
          <cell r="AG46"/>
          <cell r="AH46" t="str">
            <v>en stock</v>
          </cell>
          <cell r="AI46"/>
          <cell r="AJ46"/>
          <cell r="AK46"/>
          <cell r="AL46"/>
          <cell r="AM46"/>
          <cell r="AN46">
            <v>5120032</v>
          </cell>
          <cell r="AO46"/>
          <cell r="AP46"/>
          <cell r="AQ46"/>
          <cell r="AR46"/>
          <cell r="AS46">
            <v>19</v>
          </cell>
          <cell r="AT46"/>
          <cell r="AU46" t="str">
            <v/>
          </cell>
          <cell r="AV46"/>
        </row>
        <row r="47">
          <cell r="Z47">
            <v>5120033</v>
          </cell>
          <cell r="AA47" t="str">
            <v>WO Top Sub
2-7/8" EU Box x 4-1/2" FJWP Pin</v>
          </cell>
          <cell r="AB47"/>
          <cell r="AC47"/>
          <cell r="AD47"/>
          <cell r="AE47"/>
          <cell r="AF47"/>
          <cell r="AG47"/>
          <cell r="AH47" t="str">
            <v>en stock</v>
          </cell>
          <cell r="AI47"/>
          <cell r="AJ47"/>
          <cell r="AK47"/>
          <cell r="AL47"/>
          <cell r="AM47"/>
          <cell r="AN47" t="str">
            <v/>
          </cell>
          <cell r="AO47"/>
          <cell r="AP47"/>
          <cell r="AQ47"/>
          <cell r="AR47"/>
          <cell r="AS47"/>
          <cell r="AT47"/>
          <cell r="AU47" t="str">
            <v/>
          </cell>
          <cell r="AV47"/>
        </row>
        <row r="48">
          <cell r="Z48">
            <v>8130034</v>
          </cell>
          <cell r="AA48" t="str">
            <v>XO
2-7/8" EU Pin x 2-7/8" IF Box</v>
          </cell>
          <cell r="AB48">
            <v>16</v>
          </cell>
          <cell r="AC48">
            <v>4.0625</v>
          </cell>
          <cell r="AD48">
            <v>445</v>
          </cell>
          <cell r="AE48" t="str">
            <v>2-7/8" EU Pin</v>
          </cell>
          <cell r="AF48" t="str">
            <v>2-7/8" IF Box</v>
          </cell>
          <cell r="AG48"/>
          <cell r="AH48" t="str">
            <v xml:space="preserve"> en stock </v>
          </cell>
          <cell r="AI48">
            <v>1</v>
          </cell>
          <cell r="AJ48">
            <v>0</v>
          </cell>
          <cell r="AK48">
            <v>0</v>
          </cell>
          <cell r="AL48"/>
          <cell r="AM48"/>
          <cell r="AN48">
            <v>8130034</v>
          </cell>
          <cell r="AO48"/>
          <cell r="AP48"/>
          <cell r="AQ48"/>
          <cell r="AR48"/>
          <cell r="AS48">
            <v>74</v>
          </cell>
          <cell r="AT48"/>
          <cell r="AU48" t="str">
            <v>FR</v>
          </cell>
          <cell r="AV48"/>
        </row>
        <row r="49">
          <cell r="Z49">
            <v>8130035</v>
          </cell>
          <cell r="AA49" t="str">
            <v>XO
2-7/8" IF Pin x 2-7/8" EU Box</v>
          </cell>
          <cell r="AB49">
            <v>38.515568129999998</v>
          </cell>
          <cell r="AC49">
            <v>4.75</v>
          </cell>
          <cell r="AD49">
            <v>480</v>
          </cell>
          <cell r="AE49" t="str">
            <v>2-7/8" IF Pin</v>
          </cell>
          <cell r="AF49" t="str">
            <v>2-7/8" EU Box</v>
          </cell>
          <cell r="AG49"/>
          <cell r="AH49" t="str">
            <v xml:space="preserve"> en stock </v>
          </cell>
          <cell r="AI49">
            <v>1</v>
          </cell>
          <cell r="AJ49">
            <v>0</v>
          </cell>
          <cell r="AK49">
            <v>0</v>
          </cell>
          <cell r="AL49"/>
          <cell r="AM49"/>
          <cell r="AN49">
            <v>8130035</v>
          </cell>
          <cell r="AO49"/>
          <cell r="AP49"/>
          <cell r="AQ49"/>
          <cell r="AR49"/>
          <cell r="AS49">
            <v>81</v>
          </cell>
          <cell r="AT49"/>
          <cell r="AU49" t="str">
            <v>FR</v>
          </cell>
          <cell r="AV49"/>
        </row>
        <row r="50">
          <cell r="Z50">
            <v>8020036</v>
          </cell>
          <cell r="AA50" t="str">
            <v>Bit Sub
2-3/8" IF Box x 3-1/2" REG Box</v>
          </cell>
          <cell r="AB50">
            <v>18</v>
          </cell>
          <cell r="AC50">
            <v>4.125</v>
          </cell>
          <cell r="AD50">
            <v>500</v>
          </cell>
          <cell r="AE50" t="str">
            <v>2-3/8" IF Box</v>
          </cell>
          <cell r="AF50" t="str">
            <v>3-1/2" REG Box</v>
          </cell>
          <cell r="AG50"/>
          <cell r="AH50" t="str">
            <v xml:space="preserve"> en stock </v>
          </cell>
          <cell r="AI50">
            <v>1</v>
          </cell>
          <cell r="AJ50">
            <v>0</v>
          </cell>
          <cell r="AK50">
            <v>0</v>
          </cell>
          <cell r="AL50"/>
          <cell r="AM50"/>
          <cell r="AN50">
            <v>8020036</v>
          </cell>
          <cell r="AO50"/>
          <cell r="AP50"/>
          <cell r="AQ50"/>
          <cell r="AR50"/>
          <cell r="AS50">
            <v>11</v>
          </cell>
          <cell r="AT50"/>
          <cell r="AU50" t="str">
            <v>FR</v>
          </cell>
          <cell r="AV50"/>
        </row>
        <row r="51">
          <cell r="Z51">
            <v>8130037</v>
          </cell>
          <cell r="AA51" t="str">
            <v>XO
2-7/8" REG Pin x 2-3/8" REG Box</v>
          </cell>
          <cell r="AB51">
            <v>20</v>
          </cell>
          <cell r="AC51">
            <v>3.75</v>
          </cell>
          <cell r="AD51">
            <v>500</v>
          </cell>
          <cell r="AE51" t="str">
            <v>2-7/8" REG Pin</v>
          </cell>
          <cell r="AF51" t="str">
            <v>2-3/8" REG Box</v>
          </cell>
          <cell r="AG51"/>
          <cell r="AH51" t="str">
            <v xml:space="preserve"> en stock </v>
          </cell>
          <cell r="AI51">
            <v>1</v>
          </cell>
          <cell r="AJ51">
            <v>0</v>
          </cell>
          <cell r="AK51">
            <v>0</v>
          </cell>
          <cell r="AL51"/>
          <cell r="AM51"/>
          <cell r="AN51">
            <v>8130037</v>
          </cell>
          <cell r="AO51"/>
          <cell r="AP51"/>
          <cell r="AQ51"/>
          <cell r="AR51"/>
          <cell r="AS51">
            <v>90</v>
          </cell>
          <cell r="AT51"/>
          <cell r="AU51" t="str">
            <v>FR</v>
          </cell>
          <cell r="AV51"/>
        </row>
        <row r="52">
          <cell r="Z52">
            <v>8130038</v>
          </cell>
          <cell r="AA52" t="str">
            <v>XO
2-3/8" REG Pin x 2-7/8" REG Box</v>
          </cell>
          <cell r="AB52">
            <v>22</v>
          </cell>
          <cell r="AC52">
            <v>3.75</v>
          </cell>
          <cell r="AD52">
            <v>515</v>
          </cell>
          <cell r="AE52" t="str">
            <v>2-3/8" REG Pin</v>
          </cell>
          <cell r="AF52" t="str">
            <v>2-7/8" REG Box</v>
          </cell>
          <cell r="AG52"/>
          <cell r="AH52" t="str">
            <v xml:space="preserve"> en stock </v>
          </cell>
          <cell r="AI52">
            <v>1</v>
          </cell>
          <cell r="AJ52">
            <v>0</v>
          </cell>
          <cell r="AK52">
            <v>0</v>
          </cell>
          <cell r="AL52"/>
          <cell r="AM52"/>
          <cell r="AN52">
            <v>8130038</v>
          </cell>
          <cell r="AO52"/>
          <cell r="AP52"/>
          <cell r="AQ52"/>
          <cell r="AR52"/>
          <cell r="AS52">
            <v>53</v>
          </cell>
          <cell r="AT52"/>
          <cell r="AU52" t="str">
            <v>FR</v>
          </cell>
          <cell r="AV52"/>
        </row>
        <row r="53">
          <cell r="Z53">
            <v>8020039</v>
          </cell>
          <cell r="AA53" t="str">
            <v>Bit Sub
2-3/8" REG Box x 2-3/8" REG Box</v>
          </cell>
          <cell r="AB53">
            <v>11.875633506750001</v>
          </cell>
          <cell r="AC53">
            <v>3.125</v>
          </cell>
          <cell r="AD53">
            <v>400</v>
          </cell>
          <cell r="AE53" t="str">
            <v>2-3/8" REG Box</v>
          </cell>
          <cell r="AF53" t="str">
            <v>2-3/8" REG Box</v>
          </cell>
          <cell r="AG53"/>
          <cell r="AH53" t="str">
            <v>maintenance</v>
          </cell>
          <cell r="AI53" t="str">
            <v/>
          </cell>
          <cell r="AJ53">
            <v>0</v>
          </cell>
          <cell r="AK53">
            <v>1</v>
          </cell>
          <cell r="AL53"/>
          <cell r="AM53"/>
          <cell r="AN53">
            <v>8020039</v>
          </cell>
          <cell r="AO53"/>
          <cell r="AP53"/>
          <cell r="AQ53"/>
          <cell r="AR53"/>
          <cell r="AS53">
            <v>13</v>
          </cell>
          <cell r="AT53"/>
          <cell r="AU53" t="str">
            <v>FR</v>
          </cell>
          <cell r="AV53"/>
        </row>
        <row r="54">
          <cell r="Z54">
            <v>8130040</v>
          </cell>
          <cell r="AA54" t="str">
            <v>XO
2-7/8" EU Pin x 2-3/8" REG Box</v>
          </cell>
          <cell r="AB54">
            <v>10.242733899571876</v>
          </cell>
          <cell r="AC54">
            <v>3.125</v>
          </cell>
          <cell r="AD54">
            <v>345</v>
          </cell>
          <cell r="AE54" t="str">
            <v>2-7/8" EU Pin</v>
          </cell>
          <cell r="AF54" t="str">
            <v>2-3/8" REG Box</v>
          </cell>
          <cell r="AG54"/>
          <cell r="AH54" t="str">
            <v xml:space="preserve"> en stock </v>
          </cell>
          <cell r="AI54">
            <v>1</v>
          </cell>
          <cell r="AJ54">
            <v>0</v>
          </cell>
          <cell r="AK54">
            <v>0</v>
          </cell>
          <cell r="AL54"/>
          <cell r="AM54"/>
          <cell r="AN54">
            <v>8130040</v>
          </cell>
          <cell r="AO54"/>
          <cell r="AP54"/>
          <cell r="AQ54"/>
          <cell r="AR54"/>
          <cell r="AS54">
            <v>67</v>
          </cell>
          <cell r="AT54"/>
          <cell r="AU54" t="str">
            <v/>
          </cell>
          <cell r="AV54"/>
        </row>
        <row r="55">
          <cell r="Z55">
            <v>5120041</v>
          </cell>
          <cell r="AA55"/>
          <cell r="AB55"/>
          <cell r="AC55"/>
          <cell r="AD55"/>
          <cell r="AE55"/>
          <cell r="AF55"/>
          <cell r="AG55"/>
          <cell r="AH55" t="str">
            <v>en stock</v>
          </cell>
          <cell r="AI55"/>
          <cell r="AJ55"/>
          <cell r="AK55"/>
          <cell r="AL55"/>
          <cell r="AM55"/>
          <cell r="AN55" t="str">
            <v/>
          </cell>
          <cell r="AO55"/>
          <cell r="AP55"/>
          <cell r="AQ55"/>
          <cell r="AR55"/>
          <cell r="AS55"/>
          <cell r="AT55"/>
          <cell r="AU55" t="str">
            <v/>
          </cell>
          <cell r="AV55"/>
        </row>
        <row r="56">
          <cell r="Z56">
            <v>5100042</v>
          </cell>
          <cell r="AA56" t="str">
            <v>WO Pipe
4-1/2" FJWP Pin x Box</v>
          </cell>
          <cell r="AB56">
            <v>0</v>
          </cell>
          <cell r="AC56">
            <v>4.5</v>
          </cell>
          <cell r="AD56">
            <v>0</v>
          </cell>
          <cell r="AE56" t="str">
            <v>4-1/2" FJWP Box</v>
          </cell>
          <cell r="AF56" t="str">
            <v>4-1/2" FJWP Pin</v>
          </cell>
          <cell r="AG56"/>
          <cell r="AH56" t="str">
            <v>maintenance</v>
          </cell>
          <cell r="AI56" t="str">
            <v/>
          </cell>
          <cell r="AJ56">
            <v>0</v>
          </cell>
          <cell r="AK56">
            <v>1</v>
          </cell>
          <cell r="AL56"/>
          <cell r="AM56"/>
          <cell r="AN56">
            <v>5100042</v>
          </cell>
          <cell r="AO56"/>
          <cell r="AP56"/>
          <cell r="AQ56"/>
          <cell r="AR56"/>
          <cell r="AS56">
            <v>22</v>
          </cell>
          <cell r="AT56" t="str">
            <v>509-4,500FJWP</v>
          </cell>
          <cell r="AU56" t="str">
            <v>n° réattribué</v>
          </cell>
          <cell r="AV56"/>
        </row>
        <row r="57">
          <cell r="Z57">
            <v>5100043</v>
          </cell>
          <cell r="AA57" t="str">
            <v>WO Pipe
4-1/2" FJWP Pin x Box</v>
          </cell>
          <cell r="AB57">
            <v>0</v>
          </cell>
          <cell r="AC57">
            <v>4.5</v>
          </cell>
          <cell r="AD57">
            <v>0</v>
          </cell>
          <cell r="AE57" t="str">
            <v>4-1/2" FJWP Box</v>
          </cell>
          <cell r="AF57" t="str">
            <v>4-1/2" FJWP Pin</v>
          </cell>
          <cell r="AG57"/>
          <cell r="AH57" t="str">
            <v>maintenance</v>
          </cell>
          <cell r="AI57" t="str">
            <v/>
          </cell>
          <cell r="AJ57">
            <v>0</v>
          </cell>
          <cell r="AK57">
            <v>1</v>
          </cell>
          <cell r="AL57"/>
          <cell r="AM57"/>
          <cell r="AN57">
            <v>5100043</v>
          </cell>
          <cell r="AO57"/>
          <cell r="AP57"/>
          <cell r="AQ57"/>
          <cell r="AR57"/>
          <cell r="AS57">
            <v>23</v>
          </cell>
          <cell r="AT57" t="str">
            <v>509-4,500FJWP</v>
          </cell>
          <cell r="AU57" t="str">
            <v>n° réattribué</v>
          </cell>
          <cell r="AV57"/>
        </row>
        <row r="58">
          <cell r="Z58">
            <v>5100044</v>
          </cell>
          <cell r="AA58" t="str">
            <v>WO Pipe
4-1/2" FJWP Pin x Box</v>
          </cell>
          <cell r="AB58">
            <v>0</v>
          </cell>
          <cell r="AC58">
            <v>4.5</v>
          </cell>
          <cell r="AD58">
            <v>0</v>
          </cell>
          <cell r="AE58" t="str">
            <v>4-1/2" FJWP Box</v>
          </cell>
          <cell r="AF58" t="str">
            <v>4-1/2" FJWP Pin</v>
          </cell>
          <cell r="AG58"/>
          <cell r="AH58" t="str">
            <v>maintenance</v>
          </cell>
          <cell r="AI58" t="str">
            <v/>
          </cell>
          <cell r="AJ58">
            <v>0</v>
          </cell>
          <cell r="AK58">
            <v>1</v>
          </cell>
          <cell r="AL58"/>
          <cell r="AM58"/>
          <cell r="AN58">
            <v>5100044</v>
          </cell>
          <cell r="AO58"/>
          <cell r="AP58"/>
          <cell r="AQ58"/>
          <cell r="AR58"/>
          <cell r="AS58">
            <v>24</v>
          </cell>
          <cell r="AT58" t="str">
            <v>509-4,500FJWP</v>
          </cell>
          <cell r="AU58" t="str">
            <v>n° réattribué</v>
          </cell>
          <cell r="AV58"/>
        </row>
        <row r="59">
          <cell r="Z59">
            <v>5100045</v>
          </cell>
          <cell r="AA59" t="str">
            <v>WO Pipe
4-1/2" FJWP Pin x Box</v>
          </cell>
          <cell r="AB59">
            <v>0</v>
          </cell>
          <cell r="AC59">
            <v>4.5</v>
          </cell>
          <cell r="AD59">
            <v>0</v>
          </cell>
          <cell r="AE59" t="str">
            <v>4-1/2" FJWP Box</v>
          </cell>
          <cell r="AF59" t="str">
            <v>4-1/2" FJWP Pin</v>
          </cell>
          <cell r="AG59"/>
          <cell r="AH59" t="str">
            <v>maintenance</v>
          </cell>
          <cell r="AI59" t="str">
            <v/>
          </cell>
          <cell r="AJ59">
            <v>0</v>
          </cell>
          <cell r="AK59">
            <v>1</v>
          </cell>
          <cell r="AL59"/>
          <cell r="AM59"/>
          <cell r="AN59">
            <v>5100045</v>
          </cell>
          <cell r="AO59"/>
          <cell r="AP59"/>
          <cell r="AQ59"/>
          <cell r="AR59"/>
          <cell r="AS59">
            <v>25</v>
          </cell>
          <cell r="AT59" t="str">
            <v>509-4,500FJWP</v>
          </cell>
          <cell r="AU59" t="str">
            <v>n° réattribué</v>
          </cell>
          <cell r="AV59"/>
        </row>
        <row r="60">
          <cell r="Z60">
            <v>5090046</v>
          </cell>
          <cell r="AA60" t="str">
            <v>WO Extension Lg 2007 mm
4-1/2" FJWP Pin x Box</v>
          </cell>
          <cell r="AB60">
            <v>64</v>
          </cell>
          <cell r="AC60">
            <v>4.5</v>
          </cell>
          <cell r="AD60">
            <v>2007</v>
          </cell>
          <cell r="AE60" t="str">
            <v>4-1/2" FJWP Box</v>
          </cell>
          <cell r="AF60" t="str">
            <v>4-1/2" FJWP Pin</v>
          </cell>
          <cell r="AG60"/>
          <cell r="AH60" t="str">
            <v xml:space="preserve"> en stock </v>
          </cell>
          <cell r="AI60">
            <v>1</v>
          </cell>
          <cell r="AJ60">
            <v>0</v>
          </cell>
          <cell r="AK60">
            <v>0</v>
          </cell>
          <cell r="AL60"/>
          <cell r="AM60"/>
          <cell r="AN60">
            <v>5090046</v>
          </cell>
          <cell r="AO60"/>
          <cell r="AP60"/>
          <cell r="AQ60"/>
          <cell r="AR60"/>
          <cell r="AS60">
            <v>34</v>
          </cell>
          <cell r="AT60" t="str">
            <v>509-4,500FJWP</v>
          </cell>
          <cell r="AU60" t="str">
            <v>FR</v>
          </cell>
          <cell r="AV60"/>
        </row>
        <row r="61">
          <cell r="Z61">
            <v>5090047</v>
          </cell>
          <cell r="AA61" t="str">
            <v>WO Extension Lg 1960 mm
4-1/2" FJWP Pin x Box</v>
          </cell>
          <cell r="AB61">
            <v>47</v>
          </cell>
          <cell r="AC61">
            <v>4.5</v>
          </cell>
          <cell r="AD61">
            <v>1960</v>
          </cell>
          <cell r="AE61" t="str">
            <v>4-1/2" FJWP Box</v>
          </cell>
          <cell r="AF61" t="str">
            <v>4-1/2" FJWP Pin</v>
          </cell>
          <cell r="AG61"/>
          <cell r="AH61" t="str">
            <v xml:space="preserve"> en stock </v>
          </cell>
          <cell r="AI61">
            <v>1</v>
          </cell>
          <cell r="AJ61">
            <v>0</v>
          </cell>
          <cell r="AK61">
            <v>0</v>
          </cell>
          <cell r="AL61"/>
          <cell r="AM61"/>
          <cell r="AN61">
            <v>5090047</v>
          </cell>
          <cell r="AO61"/>
          <cell r="AP61"/>
          <cell r="AQ61"/>
          <cell r="AR61"/>
          <cell r="AS61">
            <v>31</v>
          </cell>
          <cell r="AT61" t="str">
            <v>509-4,500FJWP</v>
          </cell>
          <cell r="AU61" t="str">
            <v>FR</v>
          </cell>
          <cell r="AV61"/>
        </row>
        <row r="62">
          <cell r="Z62">
            <v>5090048</v>
          </cell>
          <cell r="AA62" t="str">
            <v>WO Extension Lg 2000 mm
4-1/2" FJWP Pin x Box</v>
          </cell>
          <cell r="AB62">
            <v>47</v>
          </cell>
          <cell r="AC62">
            <v>4.5</v>
          </cell>
          <cell r="AD62">
            <v>2000</v>
          </cell>
          <cell r="AE62" t="str">
            <v>4-1/2" FJWP Box</v>
          </cell>
          <cell r="AF62" t="str">
            <v>4-1/2" FJWP Pin</v>
          </cell>
          <cell r="AG62"/>
          <cell r="AH62" t="str">
            <v xml:space="preserve"> en stock </v>
          </cell>
          <cell r="AI62">
            <v>1</v>
          </cell>
          <cell r="AJ62">
            <v>0</v>
          </cell>
          <cell r="AK62">
            <v>0</v>
          </cell>
          <cell r="AL62"/>
          <cell r="AM62"/>
          <cell r="AN62">
            <v>5090048</v>
          </cell>
          <cell r="AO62"/>
          <cell r="AP62"/>
          <cell r="AQ62"/>
          <cell r="AR62"/>
          <cell r="AS62">
            <v>32</v>
          </cell>
          <cell r="AT62" t="str">
            <v>509-4,500FJWP</v>
          </cell>
          <cell r="AU62" t="str">
            <v>FR</v>
          </cell>
          <cell r="AV62"/>
        </row>
        <row r="63">
          <cell r="Z63">
            <v>5170049</v>
          </cell>
          <cell r="AA63"/>
          <cell r="AB63"/>
          <cell r="AC63"/>
          <cell r="AD63"/>
          <cell r="AE63"/>
          <cell r="AF63"/>
          <cell r="AG63"/>
          <cell r="AH63" t="str">
            <v>en stock</v>
          </cell>
          <cell r="AI63"/>
          <cell r="AJ63"/>
          <cell r="AK63"/>
          <cell r="AL63"/>
          <cell r="AM63"/>
          <cell r="AN63" t="str">
            <v/>
          </cell>
          <cell r="AO63"/>
          <cell r="AP63"/>
          <cell r="AQ63"/>
          <cell r="AR63"/>
          <cell r="AS63"/>
          <cell r="AT63"/>
          <cell r="AU63" t="str">
            <v/>
          </cell>
          <cell r="AV63"/>
        </row>
        <row r="64">
          <cell r="Z64">
            <v>5110050</v>
          </cell>
          <cell r="AA64" t="str">
            <v>WO Shoe
4-1/2" FJWP Box</v>
          </cell>
          <cell r="AB64">
            <v>7.6660794258750027</v>
          </cell>
          <cell r="AC64" t="str">
            <v>flush</v>
          </cell>
          <cell r="AD64">
            <v>600</v>
          </cell>
          <cell r="AE64" t="str">
            <v>4-1/2" FJWP Box</v>
          </cell>
          <cell r="AF64"/>
          <cell r="AG64" t="str">
            <v>CC</v>
          </cell>
          <cell r="AH64" t="str">
            <v xml:space="preserve"> en stock </v>
          </cell>
          <cell r="AI64">
            <v>1</v>
          </cell>
          <cell r="AJ64">
            <v>0</v>
          </cell>
          <cell r="AK64">
            <v>0</v>
          </cell>
          <cell r="AL64"/>
          <cell r="AM64"/>
          <cell r="AN64">
            <v>5110050</v>
          </cell>
          <cell r="AO64"/>
          <cell r="AP64"/>
          <cell r="AQ64"/>
          <cell r="AR64"/>
          <cell r="AS64">
            <v>48</v>
          </cell>
          <cell r="AT64"/>
          <cell r="AU64" t="str">
            <v>FR</v>
          </cell>
          <cell r="AV64"/>
        </row>
        <row r="65">
          <cell r="Z65">
            <v>5110051</v>
          </cell>
          <cell r="AA65"/>
          <cell r="AB65"/>
          <cell r="AC65"/>
          <cell r="AD65"/>
          <cell r="AE65"/>
          <cell r="AF65"/>
          <cell r="AG65"/>
          <cell r="AH65" t="str">
            <v>en stock</v>
          </cell>
          <cell r="AI65"/>
          <cell r="AJ65"/>
          <cell r="AK65"/>
          <cell r="AL65"/>
          <cell r="AM65"/>
          <cell r="AN65" t="str">
            <v/>
          </cell>
          <cell r="AO65"/>
          <cell r="AP65"/>
          <cell r="AQ65"/>
          <cell r="AR65"/>
          <cell r="AS65"/>
          <cell r="AT65"/>
          <cell r="AU65" t="str">
            <v/>
          </cell>
          <cell r="AV65"/>
        </row>
        <row r="66">
          <cell r="Z66">
            <v>5110052</v>
          </cell>
          <cell r="AA66"/>
          <cell r="AB66"/>
          <cell r="AC66"/>
          <cell r="AD66"/>
          <cell r="AE66"/>
          <cell r="AF66"/>
          <cell r="AG66"/>
          <cell r="AH66" t="str">
            <v>en stock</v>
          </cell>
          <cell r="AI66"/>
          <cell r="AJ66"/>
          <cell r="AK66"/>
          <cell r="AL66"/>
          <cell r="AM66"/>
          <cell r="AN66" t="str">
            <v/>
          </cell>
          <cell r="AO66"/>
          <cell r="AP66"/>
          <cell r="AQ66"/>
          <cell r="AR66"/>
          <cell r="AS66"/>
          <cell r="AT66"/>
          <cell r="AU66" t="str">
            <v/>
          </cell>
          <cell r="AV66"/>
        </row>
        <row r="67">
          <cell r="Z67">
            <v>5110053</v>
          </cell>
          <cell r="AA67"/>
          <cell r="AB67"/>
          <cell r="AC67"/>
          <cell r="AD67"/>
          <cell r="AE67"/>
          <cell r="AF67"/>
          <cell r="AG67"/>
          <cell r="AH67" t="str">
            <v>en stock</v>
          </cell>
          <cell r="AI67"/>
          <cell r="AJ67"/>
          <cell r="AK67"/>
          <cell r="AL67"/>
          <cell r="AM67"/>
          <cell r="AN67" t="str">
            <v/>
          </cell>
          <cell r="AO67"/>
          <cell r="AP67"/>
          <cell r="AQ67"/>
          <cell r="AR67"/>
          <cell r="AS67"/>
          <cell r="AT67"/>
          <cell r="AU67" t="str">
            <v/>
          </cell>
          <cell r="AV67"/>
        </row>
        <row r="68">
          <cell r="Z68">
            <v>5110054</v>
          </cell>
          <cell r="AA68"/>
          <cell r="AB68"/>
          <cell r="AC68"/>
          <cell r="AD68"/>
          <cell r="AE68"/>
          <cell r="AF68"/>
          <cell r="AG68"/>
          <cell r="AH68" t="str">
            <v>en stock</v>
          </cell>
          <cell r="AI68"/>
          <cell r="AJ68"/>
          <cell r="AK68"/>
          <cell r="AL68"/>
          <cell r="AM68"/>
          <cell r="AN68" t="str">
            <v/>
          </cell>
          <cell r="AO68"/>
          <cell r="AP68"/>
          <cell r="AQ68"/>
          <cell r="AR68"/>
          <cell r="AS68"/>
          <cell r="AT68"/>
          <cell r="AU68" t="str">
            <v/>
          </cell>
          <cell r="AV68"/>
        </row>
        <row r="69">
          <cell r="Z69">
            <v>5170055</v>
          </cell>
          <cell r="AA69" t="str">
            <v>WO Junk Catcher
4-1/2" FJWP Pin x Box</v>
          </cell>
          <cell r="AB69">
            <v>22</v>
          </cell>
          <cell r="AC69">
            <v>4.5</v>
          </cell>
          <cell r="AD69">
            <v>505</v>
          </cell>
          <cell r="AE69" t="str">
            <v>4-1/2" FJWP Box</v>
          </cell>
          <cell r="AF69" t="str">
            <v>4-1/2" FJWP Pin</v>
          </cell>
          <cell r="AG69"/>
          <cell r="AH69" t="str">
            <v xml:space="preserve"> en stock </v>
          </cell>
          <cell r="AI69">
            <v>1</v>
          </cell>
          <cell r="AJ69">
            <v>0</v>
          </cell>
          <cell r="AK69">
            <v>0</v>
          </cell>
          <cell r="AL69"/>
          <cell r="AM69"/>
          <cell r="AN69">
            <v>5170055</v>
          </cell>
          <cell r="AO69"/>
          <cell r="AP69"/>
          <cell r="AQ69"/>
          <cell r="AR69"/>
          <cell r="AS69">
            <v>6</v>
          </cell>
          <cell r="AT69"/>
          <cell r="AU69" t="str">
            <v>FR</v>
          </cell>
          <cell r="AV69"/>
        </row>
        <row r="70">
          <cell r="Z70">
            <v>5150056</v>
          </cell>
          <cell r="AA70" t="str">
            <v>WO Lift Plug 
4-1/2" FJWP Pin</v>
          </cell>
          <cell r="AB70">
            <v>8</v>
          </cell>
          <cell r="AC70">
            <v>6</v>
          </cell>
          <cell r="AD70"/>
          <cell r="AE70" t="str">
            <v>4-1/2" FJWP Pin</v>
          </cell>
          <cell r="AF70"/>
          <cell r="AG70"/>
          <cell r="AH70" t="str">
            <v xml:space="preserve"> en stock </v>
          </cell>
          <cell r="AI70">
            <v>1</v>
          </cell>
          <cell r="AJ70">
            <v>0</v>
          </cell>
          <cell r="AK70">
            <v>0</v>
          </cell>
          <cell r="AL70"/>
          <cell r="AM70"/>
          <cell r="AN70">
            <v>5150056</v>
          </cell>
          <cell r="AO70"/>
          <cell r="AP70"/>
          <cell r="AQ70"/>
          <cell r="AR70"/>
          <cell r="AS70">
            <v>6</v>
          </cell>
          <cell r="AT70"/>
          <cell r="AU70" t="str">
            <v>FR</v>
          </cell>
          <cell r="AV70"/>
        </row>
        <row r="71">
          <cell r="Z71">
            <v>8130057</v>
          </cell>
          <cell r="AA71" t="str">
            <v>XO
2-7/8" REG Pin x 3-1/2" REG Box</v>
          </cell>
          <cell r="AB71">
            <v>20.622494339606249</v>
          </cell>
          <cell r="AC71">
            <v>4</v>
          </cell>
          <cell r="AD71">
            <v>370</v>
          </cell>
          <cell r="AE71" t="str">
            <v>2-7/8" REG Pin</v>
          </cell>
          <cell r="AF71" t="str">
            <v>3-1/2" REG Box</v>
          </cell>
          <cell r="AG71"/>
          <cell r="AH71" t="str">
            <v>maintenance</v>
          </cell>
          <cell r="AI71" t="str">
            <v/>
          </cell>
          <cell r="AJ71">
            <v>0</v>
          </cell>
          <cell r="AK71">
            <v>1</v>
          </cell>
          <cell r="AL71"/>
          <cell r="AM71"/>
          <cell r="AN71">
            <v>8130057</v>
          </cell>
          <cell r="AO71"/>
          <cell r="AP71"/>
          <cell r="AQ71"/>
          <cell r="AR71"/>
          <cell r="AS71">
            <v>95</v>
          </cell>
          <cell r="AT71"/>
          <cell r="AU71" t="str">
            <v>FR</v>
          </cell>
          <cell r="AV71"/>
        </row>
        <row r="72">
          <cell r="Z72">
            <v>3010058</v>
          </cell>
          <cell r="AA72" t="str">
            <v>RTU 5700
3-1/2" IF Box up</v>
          </cell>
          <cell r="AB72">
            <v>156</v>
          </cell>
          <cell r="AC72">
            <v>5700</v>
          </cell>
          <cell r="AD72">
            <v>1870</v>
          </cell>
          <cell r="AE72" t="str">
            <v>3-1/2" IF Box</v>
          </cell>
          <cell r="AF72" t="str">
            <v>nose</v>
          </cell>
          <cell r="AG72"/>
          <cell r="AH72" t="str">
            <v xml:space="preserve"> en stock </v>
          </cell>
          <cell r="AI72">
            <v>1</v>
          </cell>
          <cell r="AJ72">
            <v>0</v>
          </cell>
          <cell r="AK72">
            <v>0</v>
          </cell>
          <cell r="AL72"/>
          <cell r="AM72"/>
          <cell r="AN72">
            <v>3010058</v>
          </cell>
          <cell r="AO72"/>
          <cell r="AP72"/>
          <cell r="AQ72"/>
          <cell r="AR72"/>
          <cell r="AS72">
            <v>7</v>
          </cell>
          <cell r="AT72" t="str">
            <v>301-5700</v>
          </cell>
          <cell r="AU72" t="str">
            <v>FR</v>
          </cell>
          <cell r="AV72"/>
        </row>
        <row r="73">
          <cell r="Z73">
            <v>8130059</v>
          </cell>
          <cell r="AA73" t="str">
            <v>XO
7-5/8" REG Pin x 6-5/8" REG Box</v>
          </cell>
          <cell r="AB73">
            <v>104.76234531359999</v>
          </cell>
          <cell r="AC73">
            <v>9.5</v>
          </cell>
          <cell r="AD73">
            <v>340</v>
          </cell>
          <cell r="AE73" t="str">
            <v>7-5/8" REG Pin</v>
          </cell>
          <cell r="AF73" t="str">
            <v>6-5/8" REG Box</v>
          </cell>
          <cell r="AG73"/>
          <cell r="AH73" t="str">
            <v xml:space="preserve"> en stock </v>
          </cell>
          <cell r="AI73">
            <v>1</v>
          </cell>
          <cell r="AJ73">
            <v>0</v>
          </cell>
          <cell r="AK73">
            <v>0</v>
          </cell>
          <cell r="AL73"/>
          <cell r="AM73"/>
          <cell r="AN73">
            <v>8130059</v>
          </cell>
          <cell r="AO73"/>
          <cell r="AP73"/>
          <cell r="AQ73"/>
          <cell r="AR73"/>
          <cell r="AS73">
            <v>226</v>
          </cell>
          <cell r="AT73"/>
          <cell r="AU73" t="str">
            <v>FR</v>
          </cell>
          <cell r="AV73"/>
        </row>
        <row r="74">
          <cell r="Z74">
            <v>8130060</v>
          </cell>
          <cell r="AA74" t="str">
            <v>XO
6-5/8" REG Pin x 7-5/8" REG Box</v>
          </cell>
          <cell r="AB74">
            <v>104.76234531359999</v>
          </cell>
          <cell r="AC74">
            <v>9.5</v>
          </cell>
          <cell r="AD74">
            <v>340</v>
          </cell>
          <cell r="AE74" t="str">
            <v>6-5/8" REG Pin</v>
          </cell>
          <cell r="AF74" t="str">
            <v>7-5/8" REG Box</v>
          </cell>
          <cell r="AG74"/>
          <cell r="AH74" t="str">
            <v xml:space="preserve"> en stock </v>
          </cell>
          <cell r="AI74">
            <v>1</v>
          </cell>
          <cell r="AJ74">
            <v>0</v>
          </cell>
          <cell r="AK74">
            <v>0</v>
          </cell>
          <cell r="AL74"/>
          <cell r="AM74"/>
          <cell r="AN74">
            <v>8130060</v>
          </cell>
          <cell r="AO74"/>
          <cell r="AP74"/>
          <cell r="AQ74"/>
          <cell r="AR74"/>
          <cell r="AS74">
            <v>216</v>
          </cell>
          <cell r="AT74"/>
          <cell r="AU74" t="str">
            <v>FR</v>
          </cell>
          <cell r="AV74"/>
        </row>
        <row r="75">
          <cell r="Z75">
            <v>8130061</v>
          </cell>
          <cell r="AA75" t="str">
            <v>XO
2-3/8" IF Pin x 2-7/8" EU Box</v>
          </cell>
          <cell r="AB75">
            <v>13.546691356343745</v>
          </cell>
          <cell r="AC75">
            <v>3.6680000000000001</v>
          </cell>
          <cell r="AD75">
            <v>330</v>
          </cell>
          <cell r="AE75" t="str">
            <v>2-3/8" IF Pin</v>
          </cell>
          <cell r="AF75" t="str">
            <v>2-7/8" EU Box</v>
          </cell>
          <cell r="AG75"/>
          <cell r="AH75" t="str">
            <v>maintenance</v>
          </cell>
          <cell r="AI75" t="str">
            <v/>
          </cell>
          <cell r="AJ75">
            <v>0</v>
          </cell>
          <cell r="AK75">
            <v>1</v>
          </cell>
          <cell r="AL75"/>
          <cell r="AM75"/>
          <cell r="AN75">
            <v>8130061</v>
          </cell>
          <cell r="AO75"/>
          <cell r="AP75"/>
          <cell r="AQ75"/>
          <cell r="AR75"/>
          <cell r="AS75">
            <v>31</v>
          </cell>
          <cell r="AT75"/>
          <cell r="AU75" t="str">
            <v>FR</v>
          </cell>
          <cell r="AV75"/>
        </row>
        <row r="76">
          <cell r="Z76"/>
          <cell r="AA76"/>
          <cell r="AB76"/>
          <cell r="AC76"/>
          <cell r="AD76"/>
          <cell r="AE76"/>
          <cell r="AF76"/>
          <cell r="AG76"/>
          <cell r="AH76" t="str">
            <v>en stock</v>
          </cell>
          <cell r="AI76"/>
          <cell r="AJ76"/>
          <cell r="AK76"/>
          <cell r="AL76"/>
          <cell r="AM76"/>
          <cell r="AN76" t="str">
            <v/>
          </cell>
          <cell r="AO76"/>
          <cell r="AP76"/>
          <cell r="AQ76"/>
          <cell r="AR76"/>
          <cell r="AS76"/>
          <cell r="AT76"/>
          <cell r="AU76" t="str">
            <v/>
          </cell>
          <cell r="AV76"/>
        </row>
        <row r="77">
          <cell r="Z77">
            <v>4040062</v>
          </cell>
          <cell r="AA77" t="str">
            <v>Intensifier 6-1/2" OD 
4-1/2" IF Pin x Box</v>
          </cell>
          <cell r="AB77">
            <v>460</v>
          </cell>
          <cell r="AC77">
            <v>6.5</v>
          </cell>
          <cell r="AD77">
            <v>3940</v>
          </cell>
          <cell r="AE77" t="str">
            <v>4-1/2" IF Box</v>
          </cell>
          <cell r="AF77" t="str">
            <v>4-1/2" IF Pin</v>
          </cell>
          <cell r="AG77"/>
          <cell r="AH77" t="str">
            <v>sur chantier</v>
          </cell>
          <cell r="AI77" t="str">
            <v/>
          </cell>
          <cell r="AJ77">
            <v>1</v>
          </cell>
          <cell r="AK77">
            <v>0</v>
          </cell>
          <cell r="AL77"/>
          <cell r="AM77"/>
          <cell r="AN77" t="str">
            <v/>
          </cell>
          <cell r="AO77"/>
          <cell r="AP77"/>
          <cell r="AQ77"/>
          <cell r="AR77"/>
          <cell r="AS77">
            <v>12</v>
          </cell>
          <cell r="AT77" t="str">
            <v>404-6,500</v>
          </cell>
          <cell r="AU77" t="str">
            <v/>
          </cell>
          <cell r="AV77"/>
        </row>
        <row r="78">
          <cell r="Z78">
            <v>4040063</v>
          </cell>
          <cell r="AA78"/>
          <cell r="AB78"/>
          <cell r="AC78"/>
          <cell r="AD78"/>
          <cell r="AE78"/>
          <cell r="AF78"/>
          <cell r="AG78"/>
          <cell r="AH78" t="str">
            <v>en stock</v>
          </cell>
          <cell r="AI78"/>
          <cell r="AJ78"/>
          <cell r="AK78"/>
          <cell r="AL78"/>
          <cell r="AM78"/>
          <cell r="AN78" t="str">
            <v/>
          </cell>
          <cell r="AO78"/>
          <cell r="AP78"/>
          <cell r="AQ78"/>
          <cell r="AR78"/>
          <cell r="AS78"/>
          <cell r="AT78"/>
          <cell r="AU78" t="str">
            <v/>
          </cell>
          <cell r="AV78"/>
        </row>
        <row r="79">
          <cell r="Z79">
            <v>4040064</v>
          </cell>
          <cell r="AA79"/>
          <cell r="AB79"/>
          <cell r="AC79"/>
          <cell r="AD79"/>
          <cell r="AE79"/>
          <cell r="AF79"/>
          <cell r="AG79"/>
          <cell r="AH79" t="str">
            <v>en stock</v>
          </cell>
          <cell r="AI79"/>
          <cell r="AJ79"/>
          <cell r="AK79"/>
          <cell r="AL79"/>
          <cell r="AM79"/>
          <cell r="AN79" t="str">
            <v/>
          </cell>
          <cell r="AO79"/>
          <cell r="AP79"/>
          <cell r="AQ79"/>
          <cell r="AR79"/>
          <cell r="AS79"/>
          <cell r="AT79"/>
          <cell r="AU79" t="str">
            <v/>
          </cell>
          <cell r="AV79"/>
        </row>
        <row r="80">
          <cell r="Z80">
            <v>4030065</v>
          </cell>
          <cell r="AA80"/>
          <cell r="AB80"/>
          <cell r="AC80"/>
          <cell r="AD80"/>
          <cell r="AE80"/>
          <cell r="AF80"/>
          <cell r="AG80"/>
          <cell r="AH80" t="str">
            <v>en stock</v>
          </cell>
          <cell r="AI80"/>
          <cell r="AJ80"/>
          <cell r="AK80"/>
          <cell r="AL80"/>
          <cell r="AM80"/>
          <cell r="AN80" t="str">
            <v/>
          </cell>
          <cell r="AO80"/>
          <cell r="AP80"/>
          <cell r="AQ80"/>
          <cell r="AR80"/>
          <cell r="AS80"/>
          <cell r="AT80"/>
          <cell r="AU80" t="str">
            <v/>
          </cell>
          <cell r="AV80"/>
        </row>
        <row r="81">
          <cell r="Z81"/>
          <cell r="AA81"/>
          <cell r="AB81"/>
          <cell r="AC81"/>
          <cell r="AD81"/>
          <cell r="AE81"/>
          <cell r="AF81"/>
          <cell r="AG81"/>
          <cell r="AH81" t="str">
            <v>en stock</v>
          </cell>
          <cell r="AI81"/>
          <cell r="AJ81"/>
          <cell r="AK81"/>
          <cell r="AL81"/>
          <cell r="AM81"/>
          <cell r="AN81" t="str">
            <v/>
          </cell>
          <cell r="AO81"/>
          <cell r="AP81"/>
          <cell r="AQ81"/>
          <cell r="AR81"/>
          <cell r="AS81"/>
          <cell r="AT81"/>
          <cell r="AU81" t="str">
            <v/>
          </cell>
          <cell r="AV81"/>
        </row>
        <row r="82">
          <cell r="Z82">
            <v>4030066</v>
          </cell>
          <cell r="AA82" t="str">
            <v>Jar Z 6-1/4" OD 
4-1/2" IF Pin down x Box up</v>
          </cell>
          <cell r="AB82">
            <v>300</v>
          </cell>
          <cell r="AC82">
            <v>6.25</v>
          </cell>
          <cell r="AD82">
            <v>2385</v>
          </cell>
          <cell r="AE82" t="str">
            <v>4-1/2" IF Box</v>
          </cell>
          <cell r="AF82" t="str">
            <v>4-1/2" IF Pin</v>
          </cell>
          <cell r="AG82"/>
          <cell r="AH82" t="str">
            <v>sur chantier</v>
          </cell>
          <cell r="AI82" t="str">
            <v/>
          </cell>
          <cell r="AJ82">
            <v>1</v>
          </cell>
          <cell r="AK82">
            <v>0</v>
          </cell>
          <cell r="AL82"/>
          <cell r="AM82"/>
          <cell r="AN82" t="str">
            <v/>
          </cell>
          <cell r="AO82"/>
          <cell r="AP82"/>
          <cell r="AQ82"/>
          <cell r="AR82"/>
          <cell r="AS82">
            <v>17</v>
          </cell>
          <cell r="AT82" t="str">
            <v>403-6,250</v>
          </cell>
          <cell r="AU82" t="str">
            <v/>
          </cell>
          <cell r="AV82"/>
        </row>
        <row r="83">
          <cell r="Z83" t="str">
            <v>(4030067)</v>
          </cell>
          <cell r="AA83"/>
          <cell r="AB83"/>
          <cell r="AC83"/>
          <cell r="AD83"/>
          <cell r="AE83"/>
          <cell r="AF83"/>
          <cell r="AG83"/>
          <cell r="AH83" t="str">
            <v>en stock</v>
          </cell>
          <cell r="AI83"/>
          <cell r="AJ83"/>
          <cell r="AK83"/>
          <cell r="AL83"/>
          <cell r="AM83"/>
          <cell r="AN83" t="str">
            <v/>
          </cell>
          <cell r="AO83"/>
          <cell r="AP83"/>
          <cell r="AQ83"/>
          <cell r="AR83"/>
          <cell r="AS83"/>
          <cell r="AT83"/>
          <cell r="AU83" t="str">
            <v/>
          </cell>
          <cell r="AV83"/>
        </row>
        <row r="84">
          <cell r="Z84">
            <v>4030067</v>
          </cell>
          <cell r="AA84" t="str">
            <v>Jar Z 6-1/4" OD 
4-1/2" IF Pin down x Box up</v>
          </cell>
          <cell r="AB84">
            <v>300</v>
          </cell>
          <cell r="AC84">
            <v>6.25</v>
          </cell>
          <cell r="AD84">
            <v>2385</v>
          </cell>
          <cell r="AE84" t="str">
            <v>4-1/2" IF Box</v>
          </cell>
          <cell r="AF84" t="str">
            <v>4-1/2" IF Pin</v>
          </cell>
          <cell r="AG84"/>
          <cell r="AH84" t="str">
            <v>maintenance</v>
          </cell>
          <cell r="AI84" t="str">
            <v/>
          </cell>
          <cell r="AJ84">
            <v>0</v>
          </cell>
          <cell r="AK84">
            <v>1</v>
          </cell>
          <cell r="AL84"/>
          <cell r="AM84"/>
          <cell r="AN84" t="str">
            <v/>
          </cell>
          <cell r="AO84"/>
          <cell r="AP84"/>
          <cell r="AQ84"/>
          <cell r="AR84"/>
          <cell r="AS84">
            <v>18</v>
          </cell>
          <cell r="AT84" t="str">
            <v>403-6,250</v>
          </cell>
          <cell r="AU84" t="str">
            <v/>
          </cell>
          <cell r="AV84"/>
        </row>
        <row r="85">
          <cell r="Z85">
            <v>4030068</v>
          </cell>
          <cell r="AA85"/>
          <cell r="AB85"/>
          <cell r="AC85"/>
          <cell r="AD85"/>
          <cell r="AE85"/>
          <cell r="AF85"/>
          <cell r="AG85"/>
          <cell r="AH85" t="str">
            <v>en stock</v>
          </cell>
          <cell r="AI85"/>
          <cell r="AJ85"/>
          <cell r="AK85"/>
          <cell r="AL85"/>
          <cell r="AM85"/>
          <cell r="AN85" t="str">
            <v/>
          </cell>
          <cell r="AO85"/>
          <cell r="AP85"/>
          <cell r="AQ85"/>
          <cell r="AR85"/>
          <cell r="AS85"/>
          <cell r="AT85"/>
          <cell r="AU85" t="str">
            <v/>
          </cell>
          <cell r="AV85"/>
        </row>
        <row r="86">
          <cell r="Z86">
            <v>4030069</v>
          </cell>
          <cell r="AA86"/>
          <cell r="AB86"/>
          <cell r="AC86"/>
          <cell r="AD86"/>
          <cell r="AE86"/>
          <cell r="AF86"/>
          <cell r="AG86"/>
          <cell r="AH86" t="str">
            <v>en stock</v>
          </cell>
          <cell r="AI86"/>
          <cell r="AJ86"/>
          <cell r="AK86"/>
          <cell r="AL86"/>
          <cell r="AM86"/>
          <cell r="AN86" t="str">
            <v/>
          </cell>
          <cell r="AO86"/>
          <cell r="AP86"/>
          <cell r="AQ86"/>
          <cell r="AR86"/>
          <cell r="AS86"/>
          <cell r="AT86"/>
          <cell r="AU86" t="str">
            <v/>
          </cell>
          <cell r="AV86"/>
        </row>
        <row r="87">
          <cell r="Z87">
            <v>4030070</v>
          </cell>
          <cell r="AA87"/>
          <cell r="AB87"/>
          <cell r="AC87"/>
          <cell r="AD87"/>
          <cell r="AE87"/>
          <cell r="AF87"/>
          <cell r="AG87"/>
          <cell r="AH87" t="str">
            <v>en stock</v>
          </cell>
          <cell r="AI87"/>
          <cell r="AJ87"/>
          <cell r="AK87"/>
          <cell r="AL87"/>
          <cell r="AM87"/>
          <cell r="AN87" t="str">
            <v/>
          </cell>
          <cell r="AO87"/>
          <cell r="AP87"/>
          <cell r="AQ87"/>
          <cell r="AR87"/>
          <cell r="AS87"/>
          <cell r="AT87"/>
          <cell r="AU87" t="str">
            <v/>
          </cell>
          <cell r="AV87"/>
        </row>
        <row r="88">
          <cell r="Z88">
            <v>4030070</v>
          </cell>
          <cell r="AA88" t="str">
            <v>Jar Z 3-1/8" 
2-3/8" REG Pin down x Box up</v>
          </cell>
          <cell r="AB88">
            <v>58</v>
          </cell>
          <cell r="AC88">
            <v>3.125</v>
          </cell>
          <cell r="AD88">
            <v>1900</v>
          </cell>
          <cell r="AE88" t="str">
            <v>2-3/8" REG Box</v>
          </cell>
          <cell r="AF88" t="str">
            <v>2-3/8" REG Pin</v>
          </cell>
          <cell r="AG88"/>
          <cell r="AH88" t="str">
            <v xml:space="preserve"> en stock </v>
          </cell>
          <cell r="AI88">
            <v>1</v>
          </cell>
          <cell r="AJ88">
            <v>0</v>
          </cell>
          <cell r="AK88">
            <v>0</v>
          </cell>
          <cell r="AL88"/>
          <cell r="AM88"/>
          <cell r="AN88" t="str">
            <v/>
          </cell>
          <cell r="AO88"/>
          <cell r="AP88"/>
          <cell r="AQ88"/>
          <cell r="AR88"/>
          <cell r="AS88">
            <v>5</v>
          </cell>
          <cell r="AT88" t="str">
            <v>403-3,125</v>
          </cell>
          <cell r="AU88" t="str">
            <v/>
          </cell>
          <cell r="AV88"/>
        </row>
        <row r="89">
          <cell r="Z89"/>
          <cell r="AA89"/>
          <cell r="AB89"/>
          <cell r="AC89"/>
          <cell r="AD89"/>
          <cell r="AE89"/>
          <cell r="AF89"/>
          <cell r="AG89"/>
          <cell r="AH89" t="str">
            <v>en stock</v>
          </cell>
          <cell r="AI89"/>
          <cell r="AJ89"/>
          <cell r="AK89"/>
          <cell r="AL89"/>
          <cell r="AM89"/>
          <cell r="AN89" t="str">
            <v/>
          </cell>
          <cell r="AO89"/>
          <cell r="AP89"/>
          <cell r="AQ89"/>
          <cell r="AR89"/>
          <cell r="AS89"/>
          <cell r="AT89"/>
          <cell r="AU89" t="str">
            <v/>
          </cell>
          <cell r="AV89"/>
        </row>
        <row r="90">
          <cell r="Z90">
            <v>4030071</v>
          </cell>
          <cell r="AA90" t="str">
            <v>Jar Z 3-1/8" 
2-3/8" REG Pin down x Box up</v>
          </cell>
          <cell r="AB90">
            <v>60</v>
          </cell>
          <cell r="AC90">
            <v>3.125</v>
          </cell>
          <cell r="AD90">
            <v>1900</v>
          </cell>
          <cell r="AE90" t="str">
            <v>2-3/8" REG Box</v>
          </cell>
          <cell r="AF90" t="str">
            <v>2-3/8" REG Pin</v>
          </cell>
          <cell r="AG90"/>
          <cell r="AH90" t="str">
            <v>maintenance</v>
          </cell>
          <cell r="AI90" t="str">
            <v/>
          </cell>
          <cell r="AJ90">
            <v>0</v>
          </cell>
          <cell r="AK90">
            <v>1</v>
          </cell>
          <cell r="AL90"/>
          <cell r="AM90"/>
          <cell r="AN90" t="str">
            <v/>
          </cell>
          <cell r="AO90"/>
          <cell r="AP90"/>
          <cell r="AQ90"/>
          <cell r="AR90"/>
          <cell r="AS90">
            <v>6</v>
          </cell>
          <cell r="AT90" t="str">
            <v>403-3,125</v>
          </cell>
          <cell r="AU90" t="str">
            <v/>
          </cell>
          <cell r="AV90"/>
        </row>
        <row r="91">
          <cell r="Z91">
            <v>4020072</v>
          </cell>
          <cell r="AA91" t="str">
            <v>Bumper Sub 8" OD
6-5/8" REG Pin down x Box up</v>
          </cell>
          <cell r="AB91">
            <v>277</v>
          </cell>
          <cell r="AC91">
            <v>7.75</v>
          </cell>
          <cell r="AD91">
            <v>1580</v>
          </cell>
          <cell r="AE91" t="str">
            <v>6-5/8" REG Box</v>
          </cell>
          <cell r="AF91" t="str">
            <v>6-5/8" REG Pin</v>
          </cell>
          <cell r="AG91"/>
          <cell r="AH91" t="str">
            <v xml:space="preserve"> en stock </v>
          </cell>
          <cell r="AI91">
            <v>1</v>
          </cell>
          <cell r="AJ91">
            <v>0</v>
          </cell>
          <cell r="AK91">
            <v>0</v>
          </cell>
          <cell r="AL91"/>
          <cell r="AM91"/>
          <cell r="AN91">
            <v>4020072</v>
          </cell>
          <cell r="AO91"/>
          <cell r="AP91"/>
          <cell r="AQ91"/>
          <cell r="AR91"/>
          <cell r="AS91">
            <v>23</v>
          </cell>
          <cell r="AT91" t="str">
            <v>402-8,000</v>
          </cell>
          <cell r="AU91" t="str">
            <v/>
          </cell>
          <cell r="AV91"/>
        </row>
        <row r="92">
          <cell r="Z92"/>
          <cell r="AA92"/>
          <cell r="AB92"/>
          <cell r="AC92"/>
          <cell r="AD92"/>
          <cell r="AE92"/>
          <cell r="AF92"/>
          <cell r="AG92"/>
          <cell r="AH92" t="str">
            <v>en stock</v>
          </cell>
          <cell r="AI92"/>
          <cell r="AJ92"/>
          <cell r="AK92"/>
          <cell r="AL92"/>
          <cell r="AM92"/>
          <cell r="AN92" t="str">
            <v/>
          </cell>
          <cell r="AO92"/>
          <cell r="AP92"/>
          <cell r="AQ92"/>
          <cell r="AR92"/>
          <cell r="AS92"/>
          <cell r="AT92"/>
          <cell r="AU92" t="str">
            <v/>
          </cell>
          <cell r="AV92"/>
        </row>
        <row r="93">
          <cell r="Z93">
            <v>4020073</v>
          </cell>
          <cell r="AA93" t="str">
            <v>Bumper Sub 6-1/4" OD
4-1/2" IF Pin down x Box up</v>
          </cell>
          <cell r="AB93">
            <v>157</v>
          </cell>
          <cell r="AC93">
            <v>6.25</v>
          </cell>
          <cell r="AD93">
            <v>1420</v>
          </cell>
          <cell r="AE93" t="str">
            <v>4-1/2" IF Box</v>
          </cell>
          <cell r="AF93" t="str">
            <v>4-1/2" IF Pin</v>
          </cell>
          <cell r="AG93"/>
          <cell r="AH93" t="str">
            <v>maintenance</v>
          </cell>
          <cell r="AI93" t="str">
            <v/>
          </cell>
          <cell r="AJ93">
            <v>0</v>
          </cell>
          <cell r="AK93">
            <v>1</v>
          </cell>
          <cell r="AL93"/>
          <cell r="AM93"/>
          <cell r="AN93" t="str">
            <v/>
          </cell>
          <cell r="AO93"/>
          <cell r="AP93"/>
          <cell r="AQ93"/>
          <cell r="AR93"/>
          <cell r="AS93">
            <v>16</v>
          </cell>
          <cell r="AT93" t="str">
            <v>402-6,250</v>
          </cell>
          <cell r="AU93" t="str">
            <v/>
          </cell>
          <cell r="AV93"/>
        </row>
        <row r="94">
          <cell r="Z94"/>
          <cell r="AA94"/>
          <cell r="AB94"/>
          <cell r="AC94"/>
          <cell r="AD94"/>
          <cell r="AE94"/>
          <cell r="AF94"/>
          <cell r="AG94"/>
          <cell r="AH94" t="str">
            <v>en stock</v>
          </cell>
          <cell r="AI94"/>
          <cell r="AJ94"/>
          <cell r="AK94"/>
          <cell r="AL94"/>
          <cell r="AM94"/>
          <cell r="AN94" t="str">
            <v/>
          </cell>
          <cell r="AO94"/>
          <cell r="AP94"/>
          <cell r="AQ94"/>
          <cell r="AR94"/>
          <cell r="AS94"/>
          <cell r="AT94"/>
          <cell r="AU94" t="str">
            <v/>
          </cell>
          <cell r="AV94"/>
        </row>
        <row r="95">
          <cell r="Z95">
            <v>4020074</v>
          </cell>
          <cell r="AA95" t="str">
            <v xml:space="preserve">Bumper Sub 6-1/4" OD
4-1/2" IF Pin down x Box up </v>
          </cell>
          <cell r="AB95">
            <v>157</v>
          </cell>
          <cell r="AC95">
            <v>6.25</v>
          </cell>
          <cell r="AD95">
            <v>1420</v>
          </cell>
          <cell r="AE95" t="str">
            <v>4-1/2" IF Box</v>
          </cell>
          <cell r="AF95" t="str">
            <v>4-1/2" IF Pin</v>
          </cell>
          <cell r="AG95"/>
          <cell r="AH95" t="str">
            <v>sur chantier</v>
          </cell>
          <cell r="AI95" t="str">
            <v/>
          </cell>
          <cell r="AJ95">
            <v>1</v>
          </cell>
          <cell r="AK95">
            <v>0</v>
          </cell>
          <cell r="AL95"/>
          <cell r="AM95"/>
          <cell r="AN95" t="str">
            <v/>
          </cell>
          <cell r="AO95"/>
          <cell r="AP95"/>
          <cell r="AQ95"/>
          <cell r="AR95"/>
          <cell r="AS95">
            <v>17</v>
          </cell>
          <cell r="AT95" t="str">
            <v>402-6,250</v>
          </cell>
          <cell r="AU95" t="str">
            <v/>
          </cell>
          <cell r="AV95"/>
        </row>
        <row r="96">
          <cell r="Z96">
            <v>4020075</v>
          </cell>
          <cell r="AA96"/>
          <cell r="AB96"/>
          <cell r="AC96"/>
          <cell r="AD96"/>
          <cell r="AE96"/>
          <cell r="AF96"/>
          <cell r="AG96"/>
          <cell r="AH96" t="str">
            <v>en stock</v>
          </cell>
          <cell r="AI96"/>
          <cell r="AJ96"/>
          <cell r="AK96"/>
          <cell r="AL96"/>
          <cell r="AM96"/>
          <cell r="AN96" t="str">
            <v/>
          </cell>
          <cell r="AO96"/>
          <cell r="AP96"/>
          <cell r="AQ96"/>
          <cell r="AR96"/>
          <cell r="AS96"/>
          <cell r="AT96"/>
          <cell r="AU96" t="str">
            <v/>
          </cell>
          <cell r="AV96"/>
        </row>
        <row r="97">
          <cell r="Z97">
            <v>4020075</v>
          </cell>
          <cell r="AA97" t="str">
            <v xml:space="preserve">Bumper Sub 4-3/4" OD
3-1/2" IF Pin down x Box up </v>
          </cell>
          <cell r="AB97">
            <v>98</v>
          </cell>
          <cell r="AC97">
            <v>4.75</v>
          </cell>
          <cell r="AD97">
            <v>1455</v>
          </cell>
          <cell r="AE97" t="str">
            <v>3-1/2" IF Box</v>
          </cell>
          <cell r="AF97" t="str">
            <v>3-1/2" IF Pin</v>
          </cell>
          <cell r="AG97"/>
          <cell r="AH97" t="str">
            <v>maintenance</v>
          </cell>
          <cell r="AI97" t="str">
            <v/>
          </cell>
          <cell r="AJ97">
            <v>0</v>
          </cell>
          <cell r="AK97">
            <v>1</v>
          </cell>
          <cell r="AL97"/>
          <cell r="AM97"/>
          <cell r="AN97" t="str">
            <v/>
          </cell>
          <cell r="AO97"/>
          <cell r="AP97"/>
          <cell r="AQ97"/>
          <cell r="AR97"/>
          <cell r="AS97">
            <v>11</v>
          </cell>
          <cell r="AT97" t="str">
            <v>402-4,750</v>
          </cell>
          <cell r="AU97" t="str">
            <v/>
          </cell>
          <cell r="AV97"/>
        </row>
        <row r="98">
          <cell r="Z98">
            <v>4020076</v>
          </cell>
          <cell r="AA98"/>
          <cell r="AB98"/>
          <cell r="AC98"/>
          <cell r="AD98"/>
          <cell r="AE98"/>
          <cell r="AF98"/>
          <cell r="AG98"/>
          <cell r="AH98" t="str">
            <v>en stock</v>
          </cell>
          <cell r="AI98"/>
          <cell r="AJ98"/>
          <cell r="AK98"/>
          <cell r="AL98"/>
          <cell r="AM98"/>
          <cell r="AN98" t="str">
            <v/>
          </cell>
          <cell r="AO98"/>
          <cell r="AP98"/>
          <cell r="AQ98"/>
          <cell r="AR98"/>
          <cell r="AS98"/>
          <cell r="AT98"/>
          <cell r="AU98" t="str">
            <v/>
          </cell>
          <cell r="AV98"/>
        </row>
        <row r="99">
          <cell r="Z99">
            <v>4020077</v>
          </cell>
          <cell r="AA99"/>
          <cell r="AB99"/>
          <cell r="AC99"/>
          <cell r="AD99"/>
          <cell r="AE99"/>
          <cell r="AF99"/>
          <cell r="AG99"/>
          <cell r="AH99" t="str">
            <v>en stock</v>
          </cell>
          <cell r="AI99"/>
          <cell r="AJ99"/>
          <cell r="AK99"/>
          <cell r="AL99"/>
          <cell r="AM99"/>
          <cell r="AN99" t="str">
            <v/>
          </cell>
          <cell r="AO99"/>
          <cell r="AP99"/>
          <cell r="AQ99"/>
          <cell r="AR99"/>
          <cell r="AS99"/>
          <cell r="AT99"/>
          <cell r="AU99" t="str">
            <v/>
          </cell>
          <cell r="AV99"/>
        </row>
        <row r="100">
          <cell r="Z100">
            <v>4020078</v>
          </cell>
          <cell r="AA100"/>
          <cell r="AB100"/>
          <cell r="AC100"/>
          <cell r="AD100"/>
          <cell r="AE100"/>
          <cell r="AF100"/>
          <cell r="AG100"/>
          <cell r="AH100" t="str">
            <v>en stock</v>
          </cell>
          <cell r="AI100"/>
          <cell r="AJ100"/>
          <cell r="AK100"/>
          <cell r="AL100"/>
          <cell r="AM100"/>
          <cell r="AN100" t="str">
            <v/>
          </cell>
          <cell r="AO100"/>
          <cell r="AP100"/>
          <cell r="AQ100"/>
          <cell r="AR100"/>
          <cell r="AS100"/>
          <cell r="AT100"/>
          <cell r="AU100" t="str">
            <v/>
          </cell>
          <cell r="AV100"/>
        </row>
        <row r="101">
          <cell r="Z101">
            <v>7040079</v>
          </cell>
          <cell r="AA101"/>
          <cell r="AB101"/>
          <cell r="AC101"/>
          <cell r="AD101"/>
          <cell r="AE101"/>
          <cell r="AF101"/>
          <cell r="AG101"/>
          <cell r="AH101" t="str">
            <v>en stock</v>
          </cell>
          <cell r="AI101"/>
          <cell r="AJ101"/>
          <cell r="AK101"/>
          <cell r="AL101"/>
          <cell r="AM101"/>
          <cell r="AN101" t="str">
            <v/>
          </cell>
          <cell r="AO101"/>
          <cell r="AP101"/>
          <cell r="AQ101"/>
          <cell r="AR101"/>
          <cell r="AS101"/>
          <cell r="AT101"/>
          <cell r="AU101" t="str">
            <v/>
          </cell>
          <cell r="AV101"/>
        </row>
        <row r="102">
          <cell r="Z102">
            <v>7120080</v>
          </cell>
          <cell r="AA102" t="str">
            <v>Releasing Spear 8-1/4" OD Mandrel CA 9281
6-5/8" REG Box</v>
          </cell>
          <cell r="AB102">
            <v>230</v>
          </cell>
          <cell r="AC102">
            <v>8.25</v>
          </cell>
          <cell r="AD102" t="str">
            <v>CA 9281</v>
          </cell>
          <cell r="AE102" t="str">
            <v>6-5/8" REG Box</v>
          </cell>
          <cell r="AF102" t="str">
            <v>4-1/2" IF Pin</v>
          </cell>
          <cell r="AG102"/>
          <cell r="AH102" t="str">
            <v>maintenance</v>
          </cell>
          <cell r="AI102" t="str">
            <v/>
          </cell>
          <cell r="AJ102">
            <v>0</v>
          </cell>
          <cell r="AK102">
            <v>1</v>
          </cell>
          <cell r="AL102"/>
          <cell r="AM102"/>
          <cell r="AN102" t="str">
            <v/>
          </cell>
          <cell r="AO102"/>
          <cell r="AP102"/>
          <cell r="AQ102"/>
          <cell r="AR102"/>
          <cell r="AS102">
            <v>30</v>
          </cell>
          <cell r="AT102"/>
          <cell r="AU102" t="str">
            <v/>
          </cell>
          <cell r="AV102"/>
        </row>
        <row r="103">
          <cell r="Z103">
            <v>7120081</v>
          </cell>
          <cell r="AA103" t="str">
            <v>Releasing Spear 2-13/16" OD Mandrel CA 9410
2-3/8" REG Box</v>
          </cell>
          <cell r="AB103">
            <v>24</v>
          </cell>
          <cell r="AC103">
            <v>2.8125</v>
          </cell>
          <cell r="AD103" t="str">
            <v>CA 9410</v>
          </cell>
          <cell r="AE103" t="str">
            <v>2-3/8" REG Box</v>
          </cell>
          <cell r="AF103" t="str">
            <v>1-1/4" REG Pin</v>
          </cell>
          <cell r="AG103"/>
          <cell r="AH103" t="str">
            <v xml:space="preserve"> en stock </v>
          </cell>
          <cell r="AI103">
            <v>1</v>
          </cell>
          <cell r="AJ103">
            <v>0</v>
          </cell>
          <cell r="AK103">
            <v>0</v>
          </cell>
          <cell r="AL103"/>
          <cell r="AM103"/>
          <cell r="AN103" t="str">
            <v/>
          </cell>
          <cell r="AO103"/>
          <cell r="AP103"/>
          <cell r="AQ103"/>
          <cell r="AR103"/>
          <cell r="AS103">
            <v>13</v>
          </cell>
          <cell r="AT103"/>
          <cell r="AU103" t="str">
            <v/>
          </cell>
          <cell r="AV103"/>
        </row>
        <row r="104">
          <cell r="Z104">
            <v>7120082</v>
          </cell>
          <cell r="AA104"/>
          <cell r="AB104"/>
          <cell r="AC104"/>
          <cell r="AD104"/>
          <cell r="AE104"/>
          <cell r="AF104"/>
          <cell r="AG104"/>
          <cell r="AH104" t="str">
            <v>en stock</v>
          </cell>
          <cell r="AI104"/>
          <cell r="AJ104"/>
          <cell r="AK104"/>
          <cell r="AL104"/>
          <cell r="AM104"/>
          <cell r="AN104" t="str">
            <v>cf 7120665</v>
          </cell>
          <cell r="AO104"/>
          <cell r="AP104"/>
          <cell r="AQ104"/>
          <cell r="AR104"/>
          <cell r="AS104"/>
          <cell r="AT104"/>
          <cell r="AU104" t="str">
            <v/>
          </cell>
          <cell r="AV104"/>
        </row>
        <row r="105">
          <cell r="Z105">
            <v>7040083</v>
          </cell>
          <cell r="AA105" t="str">
            <v>3-7/8" XSH Overshot - CA 21300
2-3/8" REG Box</v>
          </cell>
          <cell r="AB105">
            <v>18</v>
          </cell>
          <cell r="AC105" t="str">
            <v>3-7/8" XSH</v>
          </cell>
          <cell r="AD105">
            <v>822</v>
          </cell>
          <cell r="AE105" t="str">
            <v>2-3/8" REG Box</v>
          </cell>
          <cell r="AF105"/>
          <cell r="AG105"/>
          <cell r="AH105" t="str">
            <v xml:space="preserve"> en stock </v>
          </cell>
          <cell r="AI105">
            <v>1</v>
          </cell>
          <cell r="AJ105">
            <v>0</v>
          </cell>
          <cell r="AK105">
            <v>0</v>
          </cell>
          <cell r="AL105"/>
          <cell r="AM105"/>
          <cell r="AN105">
            <v>7040083</v>
          </cell>
          <cell r="AO105"/>
          <cell r="AP105"/>
          <cell r="AQ105"/>
          <cell r="AR105"/>
          <cell r="AS105">
            <v>13</v>
          </cell>
          <cell r="AT105" t="str">
            <v>704-21300</v>
          </cell>
          <cell r="AU105" t="str">
            <v/>
          </cell>
          <cell r="AV105"/>
        </row>
        <row r="106">
          <cell r="Z106">
            <v>7040084</v>
          </cell>
          <cell r="AA106" t="str">
            <v>8-1/8" SH Overshot - CA 9217
4-1/2" IF Box</v>
          </cell>
          <cell r="AB106">
            <v>96</v>
          </cell>
          <cell r="AC106" t="str">
            <v>8-1/8" SH</v>
          </cell>
          <cell r="AD106">
            <v>1250</v>
          </cell>
          <cell r="AE106" t="str">
            <v>4-1/2" IF Box</v>
          </cell>
          <cell r="AF106"/>
          <cell r="AG106"/>
          <cell r="AH106" t="str">
            <v xml:space="preserve"> en stock </v>
          </cell>
          <cell r="AI106">
            <v>1</v>
          </cell>
          <cell r="AJ106">
            <v>0</v>
          </cell>
          <cell r="AK106">
            <v>0</v>
          </cell>
          <cell r="AL106"/>
          <cell r="AM106"/>
          <cell r="AN106">
            <v>7040084</v>
          </cell>
          <cell r="AO106"/>
          <cell r="AP106"/>
          <cell r="AQ106"/>
          <cell r="AR106"/>
          <cell r="AS106">
            <v>65</v>
          </cell>
          <cell r="AT106" t="str">
            <v>704-9217</v>
          </cell>
          <cell r="AU106" t="str">
            <v/>
          </cell>
          <cell r="AV106"/>
        </row>
        <row r="107">
          <cell r="Z107">
            <v>1050085</v>
          </cell>
          <cell r="AA107" t="str">
            <v>External Casing Patch for 7" csg</v>
          </cell>
          <cell r="AB107">
            <v>85</v>
          </cell>
          <cell r="AC107">
            <v>8.375</v>
          </cell>
          <cell r="AD107" t="str">
            <v>Packer</v>
          </cell>
          <cell r="AE107" t="str">
            <v>Type Vam 7"</v>
          </cell>
          <cell r="AF107"/>
          <cell r="AG107"/>
          <cell r="AH107" t="str">
            <v>en stock</v>
          </cell>
          <cell r="AI107">
            <v>0</v>
          </cell>
          <cell r="AJ107">
            <v>0</v>
          </cell>
          <cell r="AK107">
            <v>1</v>
          </cell>
          <cell r="AL107"/>
          <cell r="AM107"/>
          <cell r="AN107">
            <v>1050085</v>
          </cell>
          <cell r="AO107"/>
          <cell r="AP107"/>
          <cell r="AQ107"/>
          <cell r="AR107"/>
          <cell r="AS107">
            <v>6</v>
          </cell>
          <cell r="AT107"/>
          <cell r="AU107" t="str">
            <v/>
          </cell>
          <cell r="AV107"/>
        </row>
        <row r="108">
          <cell r="Z108" t="str">
            <v xml:space="preserve"> - </v>
          </cell>
          <cell r="AA108" t="str">
            <v>Seg. Gr. 9283 13 3/8" csg</v>
          </cell>
          <cell r="AB108"/>
          <cell r="AC108"/>
          <cell r="AD108"/>
          <cell r="AE108"/>
          <cell r="AF108"/>
          <cell r="AG108"/>
          <cell r="AH108" t="str">
            <v>en stock</v>
          </cell>
          <cell r="AI108"/>
          <cell r="AJ108"/>
          <cell r="AK108"/>
          <cell r="AL108"/>
          <cell r="AM108"/>
          <cell r="AN108">
            <v>22</v>
          </cell>
          <cell r="AO108"/>
          <cell r="AP108"/>
          <cell r="AQ108"/>
          <cell r="AR108"/>
          <cell r="AS108"/>
          <cell r="AT108"/>
          <cell r="AU108" t="str">
            <v/>
          </cell>
          <cell r="AV108"/>
        </row>
        <row r="109">
          <cell r="Z109">
            <v>7120086</v>
          </cell>
          <cell r="AA109"/>
          <cell r="AB109"/>
          <cell r="AC109"/>
          <cell r="AD109"/>
          <cell r="AE109"/>
          <cell r="AF109"/>
          <cell r="AG109"/>
          <cell r="AH109" t="str">
            <v>en stock</v>
          </cell>
          <cell r="AI109"/>
          <cell r="AJ109"/>
          <cell r="AK109"/>
          <cell r="AL109"/>
          <cell r="AM109"/>
          <cell r="AN109" t="str">
            <v/>
          </cell>
          <cell r="AO109"/>
          <cell r="AP109"/>
          <cell r="AQ109"/>
          <cell r="AR109"/>
          <cell r="AS109"/>
          <cell r="AT109"/>
          <cell r="AU109" t="str">
            <v/>
          </cell>
          <cell r="AV109"/>
        </row>
        <row r="110">
          <cell r="Z110">
            <v>7040087</v>
          </cell>
          <cell r="AA110"/>
          <cell r="AB110"/>
          <cell r="AC110"/>
          <cell r="AD110"/>
          <cell r="AE110"/>
          <cell r="AF110"/>
          <cell r="AG110"/>
          <cell r="AH110" t="str">
            <v>en stock</v>
          </cell>
          <cell r="AI110"/>
          <cell r="AJ110"/>
          <cell r="AK110"/>
          <cell r="AL110"/>
          <cell r="AM110"/>
          <cell r="AN110">
            <v>7040087</v>
          </cell>
          <cell r="AO110"/>
          <cell r="AP110"/>
          <cell r="AQ110"/>
          <cell r="AR110"/>
          <cell r="AS110"/>
          <cell r="AT110"/>
          <cell r="AU110" t="str">
            <v/>
          </cell>
          <cell r="AV110"/>
        </row>
        <row r="111">
          <cell r="Z111">
            <v>5090088</v>
          </cell>
          <cell r="AA111" t="str">
            <v>WO Extension Lg 5600 mm
3-3/4" ACME Pin x Box</v>
          </cell>
          <cell r="AB111">
            <v>120.20066887237505</v>
          </cell>
          <cell r="AC111">
            <v>3.75</v>
          </cell>
          <cell r="AD111">
            <v>5600</v>
          </cell>
          <cell r="AE111" t="str">
            <v>3-3/4" ACME Box</v>
          </cell>
          <cell r="AF111" t="str">
            <v>3-3/4" ACME Pin</v>
          </cell>
          <cell r="AG111"/>
          <cell r="AH111" t="str">
            <v xml:space="preserve"> en stock </v>
          </cell>
          <cell r="AI111">
            <v>1</v>
          </cell>
          <cell r="AJ111">
            <v>0</v>
          </cell>
          <cell r="AK111">
            <v>0</v>
          </cell>
          <cell r="AL111"/>
          <cell r="AM111"/>
          <cell r="AN111">
            <v>5090088</v>
          </cell>
          <cell r="AO111"/>
          <cell r="AP111"/>
          <cell r="AQ111"/>
          <cell r="AR111"/>
          <cell r="AS111">
            <v>14</v>
          </cell>
          <cell r="AT111" t="str">
            <v>509-3,750ACME</v>
          </cell>
          <cell r="AU111" t="str">
            <v>FR</v>
          </cell>
          <cell r="AV111"/>
        </row>
        <row r="112">
          <cell r="Z112">
            <v>5090089</v>
          </cell>
          <cell r="AA112" t="str">
            <v>WO Extension Lg 1130 mm
3-3/4" ACME(6) Pin x Box</v>
          </cell>
          <cell r="AB112">
            <v>19.180629481406253</v>
          </cell>
          <cell r="AC112">
            <v>3.75</v>
          </cell>
          <cell r="AD112">
            <v>1130</v>
          </cell>
          <cell r="AE112" t="str">
            <v>3-3/4" ACME(6) Box</v>
          </cell>
          <cell r="AF112" t="str">
            <v>3-3/4" ACME(6) Pin</v>
          </cell>
          <cell r="AG112"/>
          <cell r="AH112" t="str">
            <v xml:space="preserve"> en stock </v>
          </cell>
          <cell r="AI112">
            <v>1</v>
          </cell>
          <cell r="AJ112">
            <v>0</v>
          </cell>
          <cell r="AK112">
            <v>0</v>
          </cell>
          <cell r="AL112"/>
          <cell r="AM112"/>
          <cell r="AN112">
            <v>5090089</v>
          </cell>
          <cell r="AO112"/>
          <cell r="AP112"/>
          <cell r="AQ112"/>
          <cell r="AR112"/>
          <cell r="AS112">
            <v>16</v>
          </cell>
          <cell r="AT112" t="str">
            <v>509-3,750ACME</v>
          </cell>
          <cell r="AU112" t="str">
            <v>FR</v>
          </cell>
          <cell r="AV112"/>
        </row>
        <row r="113">
          <cell r="Z113">
            <v>5090090</v>
          </cell>
          <cell r="AA113" t="str">
            <v>WO Extension Lg 1920 mm
3-3/4" ACME Pin x Box</v>
          </cell>
          <cell r="AB113">
            <v>41.211657899100011</v>
          </cell>
          <cell r="AC113">
            <v>3.75</v>
          </cell>
          <cell r="AD113">
            <v>1920</v>
          </cell>
          <cell r="AE113" t="str">
            <v>3-3/4" ACME Box</v>
          </cell>
          <cell r="AF113" t="str">
            <v>3-3/4" ACME Pin</v>
          </cell>
          <cell r="AG113"/>
          <cell r="AH113" t="str">
            <v xml:space="preserve"> en stock </v>
          </cell>
          <cell r="AI113">
            <v>1</v>
          </cell>
          <cell r="AJ113">
            <v>0</v>
          </cell>
          <cell r="AK113">
            <v>0</v>
          </cell>
          <cell r="AL113"/>
          <cell r="AM113"/>
          <cell r="AN113">
            <v>5090090</v>
          </cell>
          <cell r="AO113"/>
          <cell r="AP113"/>
          <cell r="AQ113"/>
          <cell r="AR113"/>
          <cell r="AS113">
            <v>13</v>
          </cell>
          <cell r="AT113" t="str">
            <v>509-3,750ACME</v>
          </cell>
          <cell r="AU113" t="str">
            <v>FR</v>
          </cell>
          <cell r="AV113"/>
        </row>
        <row r="114">
          <cell r="Z114">
            <v>5110091</v>
          </cell>
          <cell r="AA114" t="str">
            <v>WO Shoe
3-3/4" ACME(4) Box</v>
          </cell>
          <cell r="AB114">
            <v>14</v>
          </cell>
          <cell r="AC114" t="str">
            <v>flush</v>
          </cell>
          <cell r="AD114">
            <v>600</v>
          </cell>
          <cell r="AE114" t="str">
            <v>3-3/4" ACME(4) Box</v>
          </cell>
          <cell r="AF114"/>
          <cell r="AG114" t="str">
            <v>CC</v>
          </cell>
          <cell r="AH114" t="str">
            <v xml:space="preserve"> en stock </v>
          </cell>
          <cell r="AI114">
            <v>1</v>
          </cell>
          <cell r="AJ114">
            <v>0</v>
          </cell>
          <cell r="AK114">
            <v>0</v>
          </cell>
          <cell r="AL114"/>
          <cell r="AM114"/>
          <cell r="AN114">
            <v>5110091</v>
          </cell>
          <cell r="AO114"/>
          <cell r="AP114"/>
          <cell r="AQ114"/>
          <cell r="AR114"/>
          <cell r="AS114">
            <v>26</v>
          </cell>
          <cell r="AT114"/>
          <cell r="AU114" t="str">
            <v>FR</v>
          </cell>
          <cell r="AV114"/>
        </row>
        <row r="115">
          <cell r="Z115">
            <v>5110092</v>
          </cell>
          <cell r="AA115" t="str">
            <v>WO Shoe
3-3/4" ACME(4) Box</v>
          </cell>
          <cell r="AB115">
            <v>14</v>
          </cell>
          <cell r="AC115">
            <v>0</v>
          </cell>
          <cell r="AD115">
            <v>600</v>
          </cell>
          <cell r="AE115" t="str">
            <v>3-3/4" ACME(4) Box</v>
          </cell>
          <cell r="AF115"/>
          <cell r="AG115" t="str">
            <v>BLANK</v>
          </cell>
          <cell r="AH115" t="str">
            <v xml:space="preserve"> en stock </v>
          </cell>
          <cell r="AI115">
            <v>1</v>
          </cell>
          <cell r="AJ115">
            <v>0</v>
          </cell>
          <cell r="AK115">
            <v>0</v>
          </cell>
          <cell r="AL115"/>
          <cell r="AM115"/>
          <cell r="AN115">
            <v>5110092</v>
          </cell>
          <cell r="AO115"/>
          <cell r="AP115"/>
          <cell r="AQ115"/>
          <cell r="AR115"/>
          <cell r="AS115">
            <v>27</v>
          </cell>
          <cell r="AT115"/>
          <cell r="AU115" t="str">
            <v>FR</v>
          </cell>
          <cell r="AV115"/>
        </row>
        <row r="116">
          <cell r="Z116">
            <v>5110093</v>
          </cell>
          <cell r="AA116" t="str">
            <v>WO Shoe
3-3/4" ACME(4) Box</v>
          </cell>
          <cell r="AB116">
            <v>14</v>
          </cell>
          <cell r="AC116">
            <v>0</v>
          </cell>
          <cell r="AD116">
            <v>600</v>
          </cell>
          <cell r="AE116" t="str">
            <v>3-3/4" ACME(4) Box</v>
          </cell>
          <cell r="AF116"/>
          <cell r="AG116" t="str">
            <v>BLANK</v>
          </cell>
          <cell r="AH116" t="str">
            <v xml:space="preserve"> en stock </v>
          </cell>
          <cell r="AI116">
            <v>1</v>
          </cell>
          <cell r="AJ116">
            <v>0</v>
          </cell>
          <cell r="AK116">
            <v>0</v>
          </cell>
          <cell r="AL116"/>
          <cell r="AM116"/>
          <cell r="AN116">
            <v>5110093</v>
          </cell>
          <cell r="AO116"/>
          <cell r="AP116"/>
          <cell r="AQ116"/>
          <cell r="AR116"/>
          <cell r="AS116">
            <v>28</v>
          </cell>
          <cell r="AT116"/>
          <cell r="AU116" t="str">
            <v>FR</v>
          </cell>
          <cell r="AV116"/>
        </row>
        <row r="117">
          <cell r="Z117">
            <v>5110094</v>
          </cell>
          <cell r="AA117" t="str">
            <v>WO Shoe
3-3/4" ACME(4) Box</v>
          </cell>
          <cell r="AB117">
            <v>14</v>
          </cell>
          <cell r="AC117">
            <v>0</v>
          </cell>
          <cell r="AD117">
            <v>600</v>
          </cell>
          <cell r="AE117" t="str">
            <v>3-3/4" ACME(4) Box</v>
          </cell>
          <cell r="AF117"/>
          <cell r="AG117" t="str">
            <v>BLANK</v>
          </cell>
          <cell r="AH117" t="str">
            <v xml:space="preserve"> en stock </v>
          </cell>
          <cell r="AI117">
            <v>1</v>
          </cell>
          <cell r="AJ117">
            <v>0</v>
          </cell>
          <cell r="AK117">
            <v>0</v>
          </cell>
          <cell r="AL117"/>
          <cell r="AM117"/>
          <cell r="AN117">
            <v>5110094</v>
          </cell>
          <cell r="AO117"/>
          <cell r="AP117"/>
          <cell r="AQ117"/>
          <cell r="AR117"/>
          <cell r="AS117">
            <v>29</v>
          </cell>
          <cell r="AT117"/>
          <cell r="AU117" t="str">
            <v>FR</v>
          </cell>
          <cell r="AV117"/>
        </row>
        <row r="118">
          <cell r="Z118">
            <v>5110095</v>
          </cell>
          <cell r="AA118" t="str">
            <v>WO Shoe
3-3/4" ACME(4) Box</v>
          </cell>
          <cell r="AB118">
            <v>14</v>
          </cell>
          <cell r="AC118">
            <v>0</v>
          </cell>
          <cell r="AD118">
            <v>600</v>
          </cell>
          <cell r="AE118" t="str">
            <v>3-3/4" ACME(4) Box</v>
          </cell>
          <cell r="AF118"/>
          <cell r="AG118" t="str">
            <v>BLANK</v>
          </cell>
          <cell r="AH118" t="str">
            <v xml:space="preserve"> en stock </v>
          </cell>
          <cell r="AI118">
            <v>1</v>
          </cell>
          <cell r="AJ118">
            <v>0</v>
          </cell>
          <cell r="AK118">
            <v>0</v>
          </cell>
          <cell r="AL118"/>
          <cell r="AM118"/>
          <cell r="AN118">
            <v>5110095</v>
          </cell>
          <cell r="AO118"/>
          <cell r="AP118"/>
          <cell r="AQ118"/>
          <cell r="AR118"/>
          <cell r="AS118">
            <v>30</v>
          </cell>
          <cell r="AT118"/>
          <cell r="AU118" t="str">
            <v>FR</v>
          </cell>
          <cell r="AV118"/>
        </row>
        <row r="119">
          <cell r="Z119">
            <v>5110096</v>
          </cell>
          <cell r="AA119" t="str">
            <v>WO Shoe
3-3/4" ACME(4) Box</v>
          </cell>
          <cell r="AB119">
            <v>14</v>
          </cell>
          <cell r="AC119">
            <v>0</v>
          </cell>
          <cell r="AD119">
            <v>600</v>
          </cell>
          <cell r="AE119" t="str">
            <v>3-3/4" ACME(4) Box</v>
          </cell>
          <cell r="AF119"/>
          <cell r="AG119" t="str">
            <v>BLANK</v>
          </cell>
          <cell r="AH119" t="str">
            <v xml:space="preserve"> en stock </v>
          </cell>
          <cell r="AI119">
            <v>1</v>
          </cell>
          <cell r="AJ119">
            <v>0</v>
          </cell>
          <cell r="AK119">
            <v>0</v>
          </cell>
          <cell r="AL119"/>
          <cell r="AM119"/>
          <cell r="AN119">
            <v>5110096</v>
          </cell>
          <cell r="AO119"/>
          <cell r="AP119"/>
          <cell r="AQ119"/>
          <cell r="AR119"/>
          <cell r="AS119">
            <v>31</v>
          </cell>
          <cell r="AT119"/>
          <cell r="AU119" t="str">
            <v>FR</v>
          </cell>
          <cell r="AV119"/>
        </row>
        <row r="120">
          <cell r="Z120">
            <v>5120097</v>
          </cell>
          <cell r="AA120" t="str">
            <v>WO Top Sub
2-3/8" REG Pin x 3-3/4" ACME(6) Pin</v>
          </cell>
          <cell r="AB120">
            <v>32</v>
          </cell>
          <cell r="AC120">
            <v>3.75</v>
          </cell>
          <cell r="AD120">
            <v>670</v>
          </cell>
          <cell r="AE120" t="str">
            <v>2-3/8" REG Pin</v>
          </cell>
          <cell r="AF120" t="str">
            <v>3-3/4" ACME(6) Pin</v>
          </cell>
          <cell r="AG120" t="str">
            <v xml:space="preserve"> - </v>
          </cell>
          <cell r="AH120" t="str">
            <v xml:space="preserve"> en stock </v>
          </cell>
          <cell r="AI120">
            <v>1</v>
          </cell>
          <cell r="AJ120">
            <v>0</v>
          </cell>
          <cell r="AK120">
            <v>0</v>
          </cell>
          <cell r="AL120"/>
          <cell r="AM120"/>
          <cell r="AN120">
            <v>5120097</v>
          </cell>
          <cell r="AO120"/>
          <cell r="AP120"/>
          <cell r="AQ120"/>
          <cell r="AR120"/>
          <cell r="AS120">
            <v>9</v>
          </cell>
          <cell r="AT120"/>
          <cell r="AU120" t="str">
            <v>FR</v>
          </cell>
          <cell r="AV120"/>
        </row>
        <row r="121">
          <cell r="Z121">
            <v>2030098</v>
          </cell>
          <cell r="AA121" t="str">
            <v>Pipe Cutter 3600s
2-3/8" IF Box up x 2-3/8" REG Box down</v>
          </cell>
          <cell r="AB121">
            <v>40</v>
          </cell>
          <cell r="AC121">
            <v>3600</v>
          </cell>
          <cell r="AD121">
            <v>910</v>
          </cell>
          <cell r="AE121" t="str">
            <v>2-3/8" IF Box</v>
          </cell>
          <cell r="AF121" t="str">
            <v>2-3/8" REG Box</v>
          </cell>
          <cell r="AG121"/>
          <cell r="AH121" t="str">
            <v>maintenance</v>
          </cell>
          <cell r="AI121" t="str">
            <v/>
          </cell>
          <cell r="AJ121">
            <v>0</v>
          </cell>
          <cell r="AK121">
            <v>1</v>
          </cell>
          <cell r="AL121"/>
          <cell r="AM121"/>
          <cell r="AN121">
            <v>2030003</v>
          </cell>
          <cell r="AO121"/>
          <cell r="AP121"/>
          <cell r="AQ121"/>
          <cell r="AR121"/>
          <cell r="AS121">
            <v>6</v>
          </cell>
          <cell r="AT121" t="str">
            <v>203-3600</v>
          </cell>
          <cell r="AU121" t="str">
            <v/>
          </cell>
          <cell r="AV121"/>
        </row>
        <row r="122">
          <cell r="Z122">
            <v>8020099</v>
          </cell>
          <cell r="AA122" t="str">
            <v>Bit Sub
2-7/8" REG Box x 2-7/8" REG Box BF</v>
          </cell>
          <cell r="AB122">
            <v>23.072306677875002</v>
          </cell>
          <cell r="AC122">
            <v>3.875</v>
          </cell>
          <cell r="AD122">
            <v>445</v>
          </cell>
          <cell r="AE122" t="str">
            <v>2-7/8" REG Box</v>
          </cell>
          <cell r="AF122" t="str">
            <v>2-7/8" REG Box BF</v>
          </cell>
          <cell r="AG122"/>
          <cell r="AH122" t="str">
            <v xml:space="preserve"> en stock </v>
          </cell>
          <cell r="AI122">
            <v>1</v>
          </cell>
          <cell r="AJ122">
            <v>0</v>
          </cell>
          <cell r="AK122">
            <v>0</v>
          </cell>
          <cell r="AL122"/>
          <cell r="AM122"/>
          <cell r="AN122">
            <v>8020099</v>
          </cell>
          <cell r="AO122"/>
          <cell r="AP122"/>
          <cell r="AQ122"/>
          <cell r="AR122"/>
          <cell r="AS122">
            <v>23</v>
          </cell>
          <cell r="AT122"/>
          <cell r="AU122" t="str">
            <v>FR</v>
          </cell>
          <cell r="AV122"/>
        </row>
        <row r="123">
          <cell r="Z123">
            <v>8020100</v>
          </cell>
          <cell r="AA123" t="str">
            <v>Bit Sub
2-3/8" REG Box x 2-7/8" REG Box</v>
          </cell>
          <cell r="AB123">
            <v>22</v>
          </cell>
          <cell r="AC123">
            <v>3.875</v>
          </cell>
          <cell r="AD123">
            <v>550</v>
          </cell>
          <cell r="AE123" t="str">
            <v>2-3/8" REG Box</v>
          </cell>
          <cell r="AF123" t="str">
            <v>2-7/8" REG Box</v>
          </cell>
          <cell r="AG123"/>
          <cell r="AH123" t="str">
            <v xml:space="preserve"> en stock </v>
          </cell>
          <cell r="AI123">
            <v>1</v>
          </cell>
          <cell r="AJ123">
            <v>0</v>
          </cell>
          <cell r="AK123">
            <v>0</v>
          </cell>
          <cell r="AL123"/>
          <cell r="AM123"/>
          <cell r="AN123" t="str">
            <v/>
          </cell>
          <cell r="AO123"/>
          <cell r="AP123"/>
          <cell r="AQ123"/>
          <cell r="AR123"/>
          <cell r="AS123">
            <v>17</v>
          </cell>
          <cell r="AT123"/>
          <cell r="AU123" t="str">
            <v>FR</v>
          </cell>
          <cell r="AV123"/>
        </row>
        <row r="124">
          <cell r="Z124">
            <v>8130101</v>
          </cell>
          <cell r="AA124" t="str">
            <v>XO
3-1/2" EU Pin x 4-1/2" IF Box</v>
          </cell>
          <cell r="AB124">
            <v>59.378167533750002</v>
          </cell>
          <cell r="AC124">
            <v>6.25</v>
          </cell>
          <cell r="AD124">
            <v>500</v>
          </cell>
          <cell r="AE124" t="str">
            <v>3-1/2" EU Pin</v>
          </cell>
          <cell r="AF124" t="str">
            <v>4-1/2" IF Box</v>
          </cell>
          <cell r="AG124"/>
          <cell r="AH124" t="str">
            <v xml:space="preserve"> en stock </v>
          </cell>
          <cell r="AI124">
            <v>1</v>
          </cell>
          <cell r="AJ124">
            <v>0</v>
          </cell>
          <cell r="AK124">
            <v>0</v>
          </cell>
          <cell r="AL124"/>
          <cell r="AM124"/>
          <cell r="AN124">
            <v>8130101</v>
          </cell>
          <cell r="AO124"/>
          <cell r="AP124"/>
          <cell r="AQ124"/>
          <cell r="AR124"/>
          <cell r="AS124">
            <v>99</v>
          </cell>
          <cell r="AT124"/>
          <cell r="AU124" t="str">
            <v>FR</v>
          </cell>
          <cell r="AV124"/>
        </row>
        <row r="125">
          <cell r="Z125">
            <v>5100102</v>
          </cell>
          <cell r="AA125"/>
          <cell r="AB125"/>
          <cell r="AC125"/>
          <cell r="AD125"/>
          <cell r="AE125"/>
          <cell r="AF125"/>
          <cell r="AG125"/>
          <cell r="AH125" t="str">
            <v>en stock</v>
          </cell>
          <cell r="AI125"/>
          <cell r="AJ125"/>
          <cell r="AK125"/>
          <cell r="AL125"/>
          <cell r="AM125"/>
          <cell r="AN125">
            <v>5100102</v>
          </cell>
          <cell r="AO125"/>
          <cell r="AP125"/>
          <cell r="AQ125"/>
          <cell r="AR125"/>
          <cell r="AS125"/>
          <cell r="AT125"/>
          <cell r="AU125" t="str">
            <v/>
          </cell>
          <cell r="AV125"/>
        </row>
        <row r="126">
          <cell r="Z126">
            <v>5100103</v>
          </cell>
          <cell r="AA126"/>
          <cell r="AB126"/>
          <cell r="AC126"/>
          <cell r="AD126"/>
          <cell r="AE126"/>
          <cell r="AF126"/>
          <cell r="AG126"/>
          <cell r="AH126" t="str">
            <v>en stock</v>
          </cell>
          <cell r="AI126"/>
          <cell r="AJ126"/>
          <cell r="AK126"/>
          <cell r="AL126"/>
          <cell r="AM126"/>
          <cell r="AN126">
            <v>5100103</v>
          </cell>
          <cell r="AO126"/>
          <cell r="AP126"/>
          <cell r="AQ126"/>
          <cell r="AR126"/>
          <cell r="AS126"/>
          <cell r="AT126"/>
          <cell r="AU126" t="str">
            <v/>
          </cell>
          <cell r="AV126"/>
        </row>
        <row r="127">
          <cell r="Z127">
            <v>5100104</v>
          </cell>
          <cell r="AA127"/>
          <cell r="AB127"/>
          <cell r="AC127"/>
          <cell r="AD127"/>
          <cell r="AE127"/>
          <cell r="AF127"/>
          <cell r="AG127"/>
          <cell r="AH127" t="str">
            <v>en stock</v>
          </cell>
          <cell r="AI127"/>
          <cell r="AJ127"/>
          <cell r="AK127"/>
          <cell r="AL127"/>
          <cell r="AM127"/>
          <cell r="AN127">
            <v>5100104</v>
          </cell>
          <cell r="AO127"/>
          <cell r="AP127"/>
          <cell r="AQ127"/>
          <cell r="AR127"/>
          <cell r="AS127"/>
          <cell r="AT127"/>
          <cell r="AU127" t="str">
            <v/>
          </cell>
          <cell r="AV127"/>
        </row>
        <row r="128">
          <cell r="Z128">
            <v>5100105</v>
          </cell>
          <cell r="AA128"/>
          <cell r="AB128"/>
          <cell r="AC128"/>
          <cell r="AD128"/>
          <cell r="AE128"/>
          <cell r="AF128"/>
          <cell r="AG128"/>
          <cell r="AH128" t="str">
            <v>en stock</v>
          </cell>
          <cell r="AI128"/>
          <cell r="AJ128"/>
          <cell r="AK128"/>
          <cell r="AL128"/>
          <cell r="AM128"/>
          <cell r="AN128">
            <v>5100105</v>
          </cell>
          <cell r="AO128"/>
          <cell r="AP128"/>
          <cell r="AQ128"/>
          <cell r="AR128"/>
          <cell r="AS128"/>
          <cell r="AT128"/>
          <cell r="AU128" t="str">
            <v/>
          </cell>
          <cell r="AV128"/>
        </row>
        <row r="129">
          <cell r="Z129">
            <v>5100106</v>
          </cell>
          <cell r="AA129"/>
          <cell r="AB129"/>
          <cell r="AC129"/>
          <cell r="AD129"/>
          <cell r="AE129"/>
          <cell r="AF129"/>
          <cell r="AG129"/>
          <cell r="AH129" t="str">
            <v>en stock</v>
          </cell>
          <cell r="AI129"/>
          <cell r="AJ129"/>
          <cell r="AK129"/>
          <cell r="AL129"/>
          <cell r="AM129"/>
          <cell r="AN129" t="str">
            <v/>
          </cell>
          <cell r="AO129"/>
          <cell r="AP129"/>
          <cell r="AQ129"/>
          <cell r="AR129"/>
          <cell r="AS129"/>
          <cell r="AT129"/>
          <cell r="AU129" t="str">
            <v/>
          </cell>
          <cell r="AV129"/>
        </row>
        <row r="130">
          <cell r="Z130">
            <v>5100107</v>
          </cell>
          <cell r="AA130"/>
          <cell r="AB130"/>
          <cell r="AC130"/>
          <cell r="AD130"/>
          <cell r="AE130"/>
          <cell r="AF130"/>
          <cell r="AG130"/>
          <cell r="AH130" t="str">
            <v>en stock</v>
          </cell>
          <cell r="AI130"/>
          <cell r="AJ130"/>
          <cell r="AK130"/>
          <cell r="AL130"/>
          <cell r="AM130"/>
          <cell r="AN130" t="str">
            <v/>
          </cell>
          <cell r="AO130"/>
          <cell r="AP130"/>
          <cell r="AQ130"/>
          <cell r="AR130"/>
          <cell r="AS130"/>
          <cell r="AT130"/>
          <cell r="AU130" t="str">
            <v/>
          </cell>
          <cell r="AV130"/>
        </row>
        <row r="131">
          <cell r="Z131">
            <v>5100108</v>
          </cell>
          <cell r="AA131"/>
          <cell r="AB131"/>
          <cell r="AC131"/>
          <cell r="AD131"/>
          <cell r="AE131"/>
          <cell r="AF131"/>
          <cell r="AG131"/>
          <cell r="AH131" t="str">
            <v>en stock</v>
          </cell>
          <cell r="AI131"/>
          <cell r="AJ131"/>
          <cell r="AK131"/>
          <cell r="AL131"/>
          <cell r="AM131"/>
          <cell r="AN131">
            <v>5100108</v>
          </cell>
          <cell r="AO131"/>
          <cell r="AP131"/>
          <cell r="AQ131"/>
          <cell r="AR131"/>
          <cell r="AS131"/>
          <cell r="AT131"/>
          <cell r="AU131" t="str">
            <v>FR</v>
          </cell>
          <cell r="AV131"/>
        </row>
        <row r="132">
          <cell r="Z132">
            <v>5090109</v>
          </cell>
          <cell r="AA132" t="str">
            <v>WO Extension Lg 1190 mm
5-1/2" FJWP Pin x Box</v>
          </cell>
          <cell r="AB132">
            <v>30.482232886218746</v>
          </cell>
          <cell r="AC132">
            <v>5.5</v>
          </cell>
          <cell r="AD132">
            <v>1190</v>
          </cell>
          <cell r="AE132" t="str">
            <v>5-1/2" FJWP Box</v>
          </cell>
          <cell r="AF132" t="str">
            <v>5-1/2" FJWP Pin</v>
          </cell>
          <cell r="AG132"/>
          <cell r="AH132" t="str">
            <v xml:space="preserve"> en stock </v>
          </cell>
          <cell r="AI132">
            <v>1</v>
          </cell>
          <cell r="AJ132">
            <v>0</v>
          </cell>
          <cell r="AK132">
            <v>0</v>
          </cell>
          <cell r="AL132"/>
          <cell r="AM132"/>
          <cell r="AN132">
            <v>5090109</v>
          </cell>
          <cell r="AO132"/>
          <cell r="AP132"/>
          <cell r="AQ132"/>
          <cell r="AR132"/>
          <cell r="AS132">
            <v>42</v>
          </cell>
          <cell r="AT132" t="str">
            <v>509-5,500FJWP</v>
          </cell>
          <cell r="AU132" t="str">
            <v>FR</v>
          </cell>
          <cell r="AV132"/>
        </row>
        <row r="133">
          <cell r="Z133">
            <v>5090110</v>
          </cell>
          <cell r="AA133" t="str">
            <v>WO Extension Lg 2040 mm
5-1/2" FJWP Pin x Box</v>
          </cell>
          <cell r="AB133">
            <v>52.255256376374994</v>
          </cell>
          <cell r="AC133">
            <v>5.5</v>
          </cell>
          <cell r="AD133">
            <v>2040</v>
          </cell>
          <cell r="AE133" t="str">
            <v>5-1/2" FJWP Box</v>
          </cell>
          <cell r="AF133" t="str">
            <v>5-1/2" FJWP Pin</v>
          </cell>
          <cell r="AG133"/>
          <cell r="AH133" t="str">
            <v>maintenance</v>
          </cell>
          <cell r="AI133" t="str">
            <v/>
          </cell>
          <cell r="AJ133">
            <v>0</v>
          </cell>
          <cell r="AK133">
            <v>1</v>
          </cell>
          <cell r="AL133"/>
          <cell r="AM133"/>
          <cell r="AN133">
            <v>5090110</v>
          </cell>
          <cell r="AO133"/>
          <cell r="AP133"/>
          <cell r="AQ133"/>
          <cell r="AR133"/>
          <cell r="AS133">
            <v>45</v>
          </cell>
          <cell r="AT133" t="str">
            <v>509-5,500FJWP</v>
          </cell>
          <cell r="AU133" t="str">
            <v>FR</v>
          </cell>
          <cell r="AV133"/>
        </row>
        <row r="134">
          <cell r="Z134">
            <v>5090111</v>
          </cell>
          <cell r="AA134" t="str">
            <v>WO Extension Lg 3020 mm
5-1/2" FJWP Pin x Box</v>
          </cell>
          <cell r="AB134">
            <v>77.358271694437491</v>
          </cell>
          <cell r="AC134">
            <v>5.5</v>
          </cell>
          <cell r="AD134">
            <v>3020</v>
          </cell>
          <cell r="AE134" t="str">
            <v>5-1/2" FJWP Box</v>
          </cell>
          <cell r="AF134" t="str">
            <v>5-1/2" FJWP Pin</v>
          </cell>
          <cell r="AG134"/>
          <cell r="AH134" t="str">
            <v xml:space="preserve"> en stock </v>
          </cell>
          <cell r="AI134">
            <v>1</v>
          </cell>
          <cell r="AJ134">
            <v>0</v>
          </cell>
          <cell r="AK134">
            <v>0</v>
          </cell>
          <cell r="AL134"/>
          <cell r="AM134"/>
          <cell r="AN134">
            <v>5090111</v>
          </cell>
          <cell r="AO134"/>
          <cell r="AP134"/>
          <cell r="AQ134"/>
          <cell r="AR134"/>
          <cell r="AS134">
            <v>56</v>
          </cell>
          <cell r="AT134" t="str">
            <v>509-5,500FJWP</v>
          </cell>
          <cell r="AU134" t="str">
            <v>FR</v>
          </cell>
          <cell r="AV134"/>
        </row>
        <row r="135">
          <cell r="Z135">
            <v>8130112</v>
          </cell>
          <cell r="AA135" t="str">
            <v>XO
2-3/8" REG Pin x 2-1/4" PRT Box</v>
          </cell>
          <cell r="AB135">
            <v>10</v>
          </cell>
          <cell r="AC135">
            <v>3.375</v>
          </cell>
          <cell r="AD135">
            <v>300</v>
          </cell>
          <cell r="AE135" t="str">
            <v>2-3/8" REG Pin</v>
          </cell>
          <cell r="AF135" t="str">
            <v>2-1/4" PRT Box</v>
          </cell>
          <cell r="AG135"/>
          <cell r="AH135" t="str">
            <v xml:space="preserve"> en stock </v>
          </cell>
          <cell r="AI135">
            <v>1</v>
          </cell>
          <cell r="AJ135">
            <v>0</v>
          </cell>
          <cell r="AK135">
            <v>0</v>
          </cell>
          <cell r="AL135"/>
          <cell r="AM135"/>
          <cell r="AN135">
            <v>8130112</v>
          </cell>
          <cell r="AO135"/>
          <cell r="AP135"/>
          <cell r="AQ135"/>
          <cell r="AR135"/>
          <cell r="AS135">
            <v>40</v>
          </cell>
          <cell r="AT135"/>
          <cell r="AU135" t="str">
            <v>FR</v>
          </cell>
          <cell r="AV135"/>
        </row>
        <row r="136">
          <cell r="Z136">
            <v>5090113</v>
          </cell>
          <cell r="AA136"/>
          <cell r="AB136"/>
          <cell r="AC136"/>
          <cell r="AD136"/>
          <cell r="AE136"/>
          <cell r="AF136"/>
          <cell r="AG136"/>
          <cell r="AH136" t="str">
            <v>en stock</v>
          </cell>
          <cell r="AI136"/>
          <cell r="AJ136"/>
          <cell r="AK136"/>
          <cell r="AL136"/>
          <cell r="AM136"/>
          <cell r="AN136" t="str">
            <v>cf 8135487</v>
          </cell>
          <cell r="AO136"/>
          <cell r="AP136"/>
          <cell r="AQ136"/>
          <cell r="AR136"/>
          <cell r="AS136"/>
          <cell r="AT136"/>
          <cell r="AU136" t="str">
            <v/>
          </cell>
          <cell r="AV136"/>
        </row>
        <row r="137">
          <cell r="Z137" t="str">
            <v xml:space="preserve"> - </v>
          </cell>
          <cell r="AA137" t="str">
            <v>set de protecteurs 5-3/4" BRS</v>
          </cell>
          <cell r="AB137"/>
          <cell r="AC137"/>
          <cell r="AD137"/>
          <cell r="AE137"/>
          <cell r="AF137"/>
          <cell r="AG137"/>
          <cell r="AH137" t="str">
            <v>en stock</v>
          </cell>
          <cell r="AI137"/>
          <cell r="AJ137"/>
          <cell r="AK137"/>
          <cell r="AL137"/>
          <cell r="AM137"/>
          <cell r="AN137">
            <v>34</v>
          </cell>
          <cell r="AO137"/>
          <cell r="AP137"/>
          <cell r="AQ137"/>
          <cell r="AR137"/>
          <cell r="AS137" t="e">
            <v>#N/A</v>
          </cell>
          <cell r="AT137" t="str">
            <v>509-7,625FJWP</v>
          </cell>
          <cell r="AU137" t="str">
            <v>FR</v>
          </cell>
          <cell r="AV137"/>
        </row>
        <row r="138">
          <cell r="Z138">
            <v>5100114</v>
          </cell>
          <cell r="AA138" t="str">
            <v>WO Pipe
7-5/8" FJWP Pin x Box</v>
          </cell>
          <cell r="AB138">
            <v>386.63704930499966</v>
          </cell>
          <cell r="AC138">
            <v>7.625</v>
          </cell>
          <cell r="AD138">
            <v>9000</v>
          </cell>
          <cell r="AE138" t="str">
            <v>7-5/8" FJWP Box</v>
          </cell>
          <cell r="AF138" t="str">
            <v>7-5/8" FJWP Pin</v>
          </cell>
          <cell r="AG138"/>
          <cell r="AH138" t="str">
            <v xml:space="preserve"> en stock </v>
          </cell>
          <cell r="AI138">
            <v>1</v>
          </cell>
          <cell r="AJ138">
            <v>0</v>
          </cell>
          <cell r="AK138">
            <v>0</v>
          </cell>
          <cell r="AL138"/>
          <cell r="AM138"/>
          <cell r="AN138">
            <v>5100114</v>
          </cell>
          <cell r="AO138"/>
          <cell r="AP138"/>
          <cell r="AQ138"/>
          <cell r="AR138"/>
          <cell r="AS138">
            <v>91</v>
          </cell>
          <cell r="AT138" t="str">
            <v>509-7,625FJWP</v>
          </cell>
          <cell r="AU138" t="str">
            <v>FR</v>
          </cell>
          <cell r="AV138"/>
        </row>
        <row r="139">
          <cell r="Z139">
            <v>5100115</v>
          </cell>
          <cell r="AA139" t="str">
            <v>WO Pipe
7-5/8" FJWP Pin x Box</v>
          </cell>
          <cell r="AB139" t="e">
            <v>#VALUE!</v>
          </cell>
          <cell r="AC139" t="e">
            <v>#VALUE!</v>
          </cell>
          <cell r="AD139" t="e">
            <v>#VALUE!</v>
          </cell>
          <cell r="AE139" t="str">
            <v>7-5/8" FJWP Box</v>
          </cell>
          <cell r="AF139" t="str">
            <v>7-5/8" FJWP Pin</v>
          </cell>
          <cell r="AG139"/>
          <cell r="AH139" t="str">
            <v xml:space="preserve"> en stock </v>
          </cell>
          <cell r="AI139">
            <v>1</v>
          </cell>
          <cell r="AJ139">
            <v>0</v>
          </cell>
          <cell r="AK139">
            <v>0</v>
          </cell>
          <cell r="AL139"/>
          <cell r="AM139"/>
          <cell r="AN139">
            <v>5100115</v>
          </cell>
          <cell r="AO139"/>
          <cell r="AP139"/>
          <cell r="AQ139"/>
          <cell r="AR139"/>
          <cell r="AS139">
            <v>92</v>
          </cell>
          <cell r="AT139" t="str">
            <v>509-7,625FJWP</v>
          </cell>
          <cell r="AU139" t="str">
            <v>FR</v>
          </cell>
          <cell r="AV139"/>
        </row>
        <row r="140">
          <cell r="Z140">
            <v>5100116</v>
          </cell>
          <cell r="AA140" t="str">
            <v>WO Pipe
7-5/8" FJWP Pin x Box</v>
          </cell>
          <cell r="AB140">
            <v>386.63704930499966</v>
          </cell>
          <cell r="AC140">
            <v>7.625</v>
          </cell>
          <cell r="AD140">
            <v>9000</v>
          </cell>
          <cell r="AE140" t="str">
            <v>7-5/8" FJWP Box</v>
          </cell>
          <cell r="AF140" t="str">
            <v>7-5/8" FJWP Pin</v>
          </cell>
          <cell r="AG140"/>
          <cell r="AH140" t="str">
            <v xml:space="preserve"> en stock </v>
          </cell>
          <cell r="AI140">
            <v>1</v>
          </cell>
          <cell r="AJ140">
            <v>0</v>
          </cell>
          <cell r="AK140">
            <v>0</v>
          </cell>
          <cell r="AL140"/>
          <cell r="AM140"/>
          <cell r="AN140">
            <v>5100116</v>
          </cell>
          <cell r="AO140"/>
          <cell r="AP140"/>
          <cell r="AQ140"/>
          <cell r="AR140"/>
          <cell r="AS140">
            <v>93</v>
          </cell>
          <cell r="AT140" t="str">
            <v>509-7,625FJWP</v>
          </cell>
          <cell r="AU140" t="str">
            <v>FR</v>
          </cell>
          <cell r="AV140"/>
        </row>
        <row r="141">
          <cell r="Z141">
            <v>5100117</v>
          </cell>
          <cell r="AA141" t="str">
            <v>WO Pipe
7-5/8" FJWP Pin x Box</v>
          </cell>
          <cell r="AB141">
            <v>386.63704930499966</v>
          </cell>
          <cell r="AC141">
            <v>7.625</v>
          </cell>
          <cell r="AD141">
            <v>9000</v>
          </cell>
          <cell r="AE141" t="str">
            <v>7-5/8" FJWP Box</v>
          </cell>
          <cell r="AF141" t="str">
            <v>7-5/8" FJWP Pin</v>
          </cell>
          <cell r="AG141"/>
          <cell r="AH141" t="str">
            <v xml:space="preserve"> en stock </v>
          </cell>
          <cell r="AI141">
            <v>1</v>
          </cell>
          <cell r="AJ141">
            <v>0</v>
          </cell>
          <cell r="AK141">
            <v>0</v>
          </cell>
          <cell r="AL141"/>
          <cell r="AM141"/>
          <cell r="AN141">
            <v>5100117</v>
          </cell>
          <cell r="AO141"/>
          <cell r="AP141"/>
          <cell r="AQ141"/>
          <cell r="AR141"/>
          <cell r="AS141">
            <v>94</v>
          </cell>
          <cell r="AT141" t="str">
            <v>509-7,625FJWP</v>
          </cell>
          <cell r="AU141" t="str">
            <v>FR</v>
          </cell>
          <cell r="AV141"/>
        </row>
        <row r="142">
          <cell r="Z142">
            <v>5090118</v>
          </cell>
          <cell r="AA142"/>
          <cell r="AB142"/>
          <cell r="AC142"/>
          <cell r="AD142"/>
          <cell r="AE142"/>
          <cell r="AF142"/>
          <cell r="AG142"/>
          <cell r="AH142" t="str">
            <v>en stock</v>
          </cell>
          <cell r="AI142"/>
          <cell r="AJ142"/>
          <cell r="AK142"/>
          <cell r="AL142"/>
          <cell r="AM142"/>
          <cell r="AN142" t="str">
            <v/>
          </cell>
          <cell r="AO142"/>
          <cell r="AP142"/>
          <cell r="AQ142"/>
          <cell r="AR142"/>
          <cell r="AS142"/>
          <cell r="AT142"/>
          <cell r="AU142" t="str">
            <v/>
          </cell>
          <cell r="AV142"/>
        </row>
        <row r="143">
          <cell r="Z143">
            <v>5090119</v>
          </cell>
          <cell r="AA143"/>
          <cell r="AB143"/>
          <cell r="AC143"/>
          <cell r="AD143"/>
          <cell r="AE143"/>
          <cell r="AF143"/>
          <cell r="AG143"/>
          <cell r="AH143" t="str">
            <v>en stock</v>
          </cell>
          <cell r="AI143"/>
          <cell r="AJ143"/>
          <cell r="AK143"/>
          <cell r="AL143"/>
          <cell r="AM143"/>
          <cell r="AN143" t="str">
            <v/>
          </cell>
          <cell r="AO143"/>
          <cell r="AP143"/>
          <cell r="AQ143"/>
          <cell r="AR143"/>
          <cell r="AS143"/>
          <cell r="AT143"/>
          <cell r="AU143" t="str">
            <v/>
          </cell>
          <cell r="AV143"/>
        </row>
        <row r="144">
          <cell r="Z144">
            <v>5090120</v>
          </cell>
          <cell r="AA144"/>
          <cell r="AB144"/>
          <cell r="AC144"/>
          <cell r="AD144"/>
          <cell r="AE144"/>
          <cell r="AF144"/>
          <cell r="AG144"/>
          <cell r="AH144" t="str">
            <v>en stock</v>
          </cell>
          <cell r="AI144"/>
          <cell r="AJ144"/>
          <cell r="AK144"/>
          <cell r="AL144"/>
          <cell r="AM144"/>
          <cell r="AN144" t="str">
            <v/>
          </cell>
          <cell r="AO144"/>
          <cell r="AP144"/>
          <cell r="AQ144"/>
          <cell r="AR144"/>
          <cell r="AS144"/>
          <cell r="AT144"/>
          <cell r="AU144" t="str">
            <v/>
          </cell>
          <cell r="AV144"/>
        </row>
        <row r="145">
          <cell r="Z145">
            <v>5090121</v>
          </cell>
          <cell r="AA145"/>
          <cell r="AB145"/>
          <cell r="AC145"/>
          <cell r="AD145"/>
          <cell r="AE145"/>
          <cell r="AF145"/>
          <cell r="AG145"/>
          <cell r="AH145" t="str">
            <v>en stock</v>
          </cell>
          <cell r="AI145"/>
          <cell r="AJ145"/>
          <cell r="AK145"/>
          <cell r="AL145"/>
          <cell r="AM145"/>
          <cell r="AN145" t="str">
            <v/>
          </cell>
          <cell r="AO145"/>
          <cell r="AP145"/>
          <cell r="AQ145"/>
          <cell r="AR145"/>
          <cell r="AS145"/>
          <cell r="AT145"/>
          <cell r="AU145" t="str">
            <v/>
          </cell>
          <cell r="AV145"/>
        </row>
        <row r="146">
          <cell r="Z146">
            <v>5090122</v>
          </cell>
          <cell r="AA146"/>
          <cell r="AB146"/>
          <cell r="AC146"/>
          <cell r="AD146"/>
          <cell r="AE146"/>
          <cell r="AF146"/>
          <cell r="AG146"/>
          <cell r="AH146" t="str">
            <v>en stock</v>
          </cell>
          <cell r="AI146"/>
          <cell r="AJ146"/>
          <cell r="AK146"/>
          <cell r="AL146"/>
          <cell r="AM146"/>
          <cell r="AN146" t="str">
            <v/>
          </cell>
          <cell r="AO146"/>
          <cell r="AP146"/>
          <cell r="AQ146"/>
          <cell r="AR146"/>
          <cell r="AS146"/>
          <cell r="AT146"/>
          <cell r="AU146" t="str">
            <v/>
          </cell>
          <cell r="AV146"/>
        </row>
        <row r="147">
          <cell r="Z147">
            <v>5090123</v>
          </cell>
          <cell r="AA147"/>
          <cell r="AB147"/>
          <cell r="AC147"/>
          <cell r="AD147"/>
          <cell r="AE147"/>
          <cell r="AF147"/>
          <cell r="AG147"/>
          <cell r="AH147" t="str">
            <v>en stock</v>
          </cell>
          <cell r="AI147"/>
          <cell r="AJ147"/>
          <cell r="AK147"/>
          <cell r="AL147"/>
          <cell r="AM147"/>
          <cell r="AN147" t="str">
            <v/>
          </cell>
          <cell r="AO147"/>
          <cell r="AP147"/>
          <cell r="AQ147"/>
          <cell r="AR147"/>
          <cell r="AS147"/>
          <cell r="AT147"/>
          <cell r="AU147" t="str">
            <v/>
          </cell>
          <cell r="AV147"/>
        </row>
        <row r="148">
          <cell r="Z148">
            <v>5100124</v>
          </cell>
          <cell r="AA148"/>
          <cell r="AB148"/>
          <cell r="AC148"/>
          <cell r="AD148"/>
          <cell r="AE148"/>
          <cell r="AF148"/>
          <cell r="AG148"/>
          <cell r="AH148" t="str">
            <v>en stock</v>
          </cell>
          <cell r="AI148"/>
          <cell r="AJ148"/>
          <cell r="AK148"/>
          <cell r="AL148"/>
          <cell r="AM148"/>
          <cell r="AN148" t="str">
            <v/>
          </cell>
          <cell r="AO148"/>
          <cell r="AP148"/>
          <cell r="AQ148"/>
          <cell r="AR148"/>
          <cell r="AS148"/>
          <cell r="AT148"/>
          <cell r="AU148" t="str">
            <v/>
          </cell>
          <cell r="AV148"/>
        </row>
        <row r="149">
          <cell r="Z149">
            <v>5110125</v>
          </cell>
          <cell r="AA149"/>
          <cell r="AB149"/>
          <cell r="AC149"/>
          <cell r="AD149"/>
          <cell r="AE149"/>
          <cell r="AF149"/>
          <cell r="AG149"/>
          <cell r="AH149" t="str">
            <v>en stock</v>
          </cell>
          <cell r="AI149"/>
          <cell r="AJ149"/>
          <cell r="AK149"/>
          <cell r="AL149"/>
          <cell r="AM149"/>
          <cell r="AN149" t="str">
            <v/>
          </cell>
          <cell r="AO149"/>
          <cell r="AP149"/>
          <cell r="AQ149"/>
          <cell r="AR149"/>
          <cell r="AS149"/>
          <cell r="AT149"/>
          <cell r="AU149" t="str">
            <v/>
          </cell>
          <cell r="AV149"/>
        </row>
        <row r="150">
          <cell r="Z150">
            <v>5110126</v>
          </cell>
          <cell r="AA150"/>
          <cell r="AB150"/>
          <cell r="AC150"/>
          <cell r="AD150"/>
          <cell r="AE150"/>
          <cell r="AF150"/>
          <cell r="AG150"/>
          <cell r="AH150" t="str">
            <v>en stock</v>
          </cell>
          <cell r="AI150"/>
          <cell r="AJ150"/>
          <cell r="AK150"/>
          <cell r="AL150"/>
          <cell r="AM150"/>
          <cell r="AN150" t="str">
            <v/>
          </cell>
          <cell r="AO150"/>
          <cell r="AP150"/>
          <cell r="AQ150"/>
          <cell r="AR150"/>
          <cell r="AS150"/>
          <cell r="AT150"/>
          <cell r="AU150" t="str">
            <v/>
          </cell>
          <cell r="AV150"/>
        </row>
        <row r="151">
          <cell r="Z151">
            <v>5110127</v>
          </cell>
          <cell r="AA151"/>
          <cell r="AB151"/>
          <cell r="AC151"/>
          <cell r="AD151"/>
          <cell r="AE151"/>
          <cell r="AF151"/>
          <cell r="AG151"/>
          <cell r="AH151" t="str">
            <v>en stock</v>
          </cell>
          <cell r="AI151"/>
          <cell r="AJ151"/>
          <cell r="AK151"/>
          <cell r="AL151"/>
          <cell r="AM151"/>
          <cell r="AN151" t="str">
            <v/>
          </cell>
          <cell r="AO151"/>
          <cell r="AP151"/>
          <cell r="AQ151"/>
          <cell r="AR151"/>
          <cell r="AS151"/>
          <cell r="AT151"/>
          <cell r="AU151" t="str">
            <v/>
          </cell>
          <cell r="AV151"/>
        </row>
        <row r="152">
          <cell r="Z152">
            <v>5110128</v>
          </cell>
          <cell r="AA152"/>
          <cell r="AB152"/>
          <cell r="AC152"/>
          <cell r="AD152"/>
          <cell r="AE152"/>
          <cell r="AF152"/>
          <cell r="AG152"/>
          <cell r="AH152" t="str">
            <v>en stock</v>
          </cell>
          <cell r="AI152"/>
          <cell r="AJ152"/>
          <cell r="AK152"/>
          <cell r="AL152"/>
          <cell r="AM152"/>
          <cell r="AN152" t="str">
            <v/>
          </cell>
          <cell r="AO152"/>
          <cell r="AP152"/>
          <cell r="AQ152"/>
          <cell r="AR152"/>
          <cell r="AS152"/>
          <cell r="AT152"/>
          <cell r="AU152" t="str">
            <v/>
          </cell>
          <cell r="AV152"/>
        </row>
        <row r="153">
          <cell r="Z153">
            <v>5110129</v>
          </cell>
          <cell r="AA153"/>
          <cell r="AB153"/>
          <cell r="AC153"/>
          <cell r="AD153"/>
          <cell r="AE153"/>
          <cell r="AF153"/>
          <cell r="AG153"/>
          <cell r="AH153" t="str">
            <v>en stock</v>
          </cell>
          <cell r="AI153"/>
          <cell r="AJ153"/>
          <cell r="AK153"/>
          <cell r="AL153"/>
          <cell r="AM153"/>
          <cell r="AN153" t="str">
            <v/>
          </cell>
          <cell r="AO153"/>
          <cell r="AP153"/>
          <cell r="AQ153"/>
          <cell r="AR153"/>
          <cell r="AS153"/>
          <cell r="AT153"/>
          <cell r="AU153" t="str">
            <v/>
          </cell>
          <cell r="AV153"/>
        </row>
        <row r="154">
          <cell r="Z154">
            <v>5110130</v>
          </cell>
          <cell r="AA154"/>
          <cell r="AB154"/>
          <cell r="AC154"/>
          <cell r="AD154"/>
          <cell r="AE154"/>
          <cell r="AF154"/>
          <cell r="AG154"/>
          <cell r="AH154" t="str">
            <v>en stock</v>
          </cell>
          <cell r="AI154"/>
          <cell r="AJ154"/>
          <cell r="AK154"/>
          <cell r="AL154"/>
          <cell r="AM154"/>
          <cell r="AN154" t="str">
            <v/>
          </cell>
          <cell r="AO154"/>
          <cell r="AP154"/>
          <cell r="AQ154"/>
          <cell r="AR154"/>
          <cell r="AS154"/>
          <cell r="AT154"/>
          <cell r="AU154" t="str">
            <v/>
          </cell>
          <cell r="AV154"/>
        </row>
        <row r="155">
          <cell r="Z155">
            <v>5110131</v>
          </cell>
          <cell r="AA155"/>
          <cell r="AB155"/>
          <cell r="AC155"/>
          <cell r="AD155"/>
          <cell r="AE155"/>
          <cell r="AF155"/>
          <cell r="AG155"/>
          <cell r="AH155" t="str">
            <v>en stock</v>
          </cell>
          <cell r="AI155"/>
          <cell r="AJ155"/>
          <cell r="AK155"/>
          <cell r="AL155"/>
          <cell r="AM155"/>
          <cell r="AN155" t="str">
            <v/>
          </cell>
          <cell r="AO155"/>
          <cell r="AP155"/>
          <cell r="AQ155"/>
          <cell r="AR155"/>
          <cell r="AS155"/>
          <cell r="AT155"/>
          <cell r="AU155" t="str">
            <v/>
          </cell>
          <cell r="AV155"/>
        </row>
        <row r="156">
          <cell r="Z156">
            <v>5110132</v>
          </cell>
          <cell r="AA156" t="str">
            <v>WO Shoe
7-5/8" FJWP Box</v>
          </cell>
          <cell r="AB156">
            <v>0</v>
          </cell>
          <cell r="AC156" t="str">
            <v>flush</v>
          </cell>
          <cell r="AD156">
            <v>360</v>
          </cell>
          <cell r="AE156" t="str">
            <v>7-5/8" FJWP Box</v>
          </cell>
          <cell r="AF156"/>
          <cell r="AG156" t="str">
            <v>CC</v>
          </cell>
          <cell r="AH156" t="str">
            <v>maintenance</v>
          </cell>
          <cell r="AI156" t="str">
            <v/>
          </cell>
          <cell r="AJ156">
            <v>0</v>
          </cell>
          <cell r="AK156">
            <v>1</v>
          </cell>
          <cell r="AL156"/>
          <cell r="AM156"/>
          <cell r="AN156">
            <v>5110132</v>
          </cell>
          <cell r="AO156"/>
          <cell r="AP156"/>
          <cell r="AQ156"/>
          <cell r="AR156">
            <v>24276250058</v>
          </cell>
          <cell r="AS156">
            <v>155</v>
          </cell>
          <cell r="AT156"/>
          <cell r="AU156" t="str">
            <v>FR</v>
          </cell>
          <cell r="AV156"/>
        </row>
        <row r="157">
          <cell r="Z157">
            <v>5120133</v>
          </cell>
          <cell r="AA157"/>
          <cell r="AB157"/>
          <cell r="AC157"/>
          <cell r="AD157"/>
          <cell r="AE157"/>
          <cell r="AF157"/>
          <cell r="AG157"/>
          <cell r="AH157" t="str">
            <v>en stock</v>
          </cell>
          <cell r="AI157"/>
          <cell r="AJ157"/>
          <cell r="AK157"/>
          <cell r="AL157"/>
          <cell r="AM157"/>
          <cell r="AN157" t="str">
            <v/>
          </cell>
          <cell r="AO157"/>
          <cell r="AP157"/>
          <cell r="AQ157"/>
          <cell r="AR157"/>
          <cell r="AS157"/>
          <cell r="AT157"/>
          <cell r="AU157" t="str">
            <v/>
          </cell>
          <cell r="AV157"/>
        </row>
        <row r="158">
          <cell r="Z158">
            <v>5120134</v>
          </cell>
          <cell r="AA158"/>
          <cell r="AB158"/>
          <cell r="AC158"/>
          <cell r="AD158"/>
          <cell r="AE158"/>
          <cell r="AF158"/>
          <cell r="AG158"/>
          <cell r="AH158" t="str">
            <v>en stock</v>
          </cell>
          <cell r="AI158"/>
          <cell r="AJ158"/>
          <cell r="AK158"/>
          <cell r="AL158"/>
          <cell r="AM158"/>
          <cell r="AN158" t="str">
            <v/>
          </cell>
          <cell r="AO158"/>
          <cell r="AP158"/>
          <cell r="AQ158"/>
          <cell r="AR158"/>
          <cell r="AS158"/>
          <cell r="AT158"/>
          <cell r="AU158" t="str">
            <v/>
          </cell>
          <cell r="AV158"/>
        </row>
        <row r="159">
          <cell r="Z159">
            <v>5150135</v>
          </cell>
          <cell r="AA159" t="str">
            <v>WO Lift Plug 
7-5/8" FJWP Pin</v>
          </cell>
          <cell r="AB159">
            <v>28</v>
          </cell>
          <cell r="AC159">
            <v>8.625</v>
          </cell>
          <cell r="AD159"/>
          <cell r="AE159" t="str">
            <v>7-5/8" FJWP Pin</v>
          </cell>
          <cell r="AF159"/>
          <cell r="AG159"/>
          <cell r="AH159" t="str">
            <v xml:space="preserve"> en stock </v>
          </cell>
          <cell r="AI159">
            <v>1</v>
          </cell>
          <cell r="AJ159">
            <v>0</v>
          </cell>
          <cell r="AK159">
            <v>0</v>
          </cell>
          <cell r="AL159"/>
          <cell r="AM159"/>
          <cell r="AN159">
            <v>5150135</v>
          </cell>
          <cell r="AO159"/>
          <cell r="AP159"/>
          <cell r="AQ159"/>
          <cell r="AR159"/>
          <cell r="AS159">
            <v>21</v>
          </cell>
          <cell r="AT159"/>
          <cell r="AU159" t="str">
            <v/>
          </cell>
          <cell r="AV159"/>
        </row>
        <row r="160">
          <cell r="Z160">
            <v>5150136</v>
          </cell>
          <cell r="AA160" t="str">
            <v>WO Lift Plug 
7-5/8" FJWP Pin</v>
          </cell>
          <cell r="AB160">
            <v>0</v>
          </cell>
          <cell r="AC160">
            <v>8.625</v>
          </cell>
          <cell r="AD160"/>
          <cell r="AE160" t="str">
            <v>7-5/8" FJWP Pin</v>
          </cell>
          <cell r="AF160"/>
          <cell r="AG160"/>
          <cell r="AH160" t="str">
            <v xml:space="preserve"> en stock </v>
          </cell>
          <cell r="AI160">
            <v>1</v>
          </cell>
          <cell r="AJ160">
            <v>0</v>
          </cell>
          <cell r="AK160">
            <v>0</v>
          </cell>
          <cell r="AL160"/>
          <cell r="AM160"/>
          <cell r="AN160">
            <v>5150136</v>
          </cell>
          <cell r="AO160"/>
          <cell r="AP160"/>
          <cell r="AQ160"/>
          <cell r="AR160"/>
          <cell r="AS160">
            <v>22</v>
          </cell>
          <cell r="AT160"/>
          <cell r="AU160" t="str">
            <v/>
          </cell>
          <cell r="AV160"/>
        </row>
        <row r="161">
          <cell r="Z161">
            <v>7040137</v>
          </cell>
          <cell r="AA161" t="str">
            <v>2-5/16" SFS Overshot - CA 11480
7/8" ROD Pin</v>
          </cell>
          <cell r="AB161">
            <v>4</v>
          </cell>
          <cell r="AC161" t="str">
            <v>2-5/16" SFS</v>
          </cell>
          <cell r="AD161">
            <v>285</v>
          </cell>
          <cell r="AE161" t="str">
            <v>7/8" ROD Pin</v>
          </cell>
          <cell r="AF161"/>
          <cell r="AG161"/>
          <cell r="AH161" t="str">
            <v xml:space="preserve"> en stock </v>
          </cell>
          <cell r="AI161">
            <v>1</v>
          </cell>
          <cell r="AJ161">
            <v>0</v>
          </cell>
          <cell r="AK161">
            <v>0</v>
          </cell>
          <cell r="AL161"/>
          <cell r="AM161"/>
          <cell r="AN161">
            <v>7040137</v>
          </cell>
          <cell r="AO161"/>
          <cell r="AP161"/>
          <cell r="AQ161"/>
          <cell r="AR161"/>
          <cell r="AS161">
            <v>6</v>
          </cell>
          <cell r="AT161" t="str">
            <v>704-11480</v>
          </cell>
          <cell r="AU161" t="str">
            <v/>
          </cell>
          <cell r="AV161"/>
        </row>
        <row r="162">
          <cell r="Z162">
            <v>5100137</v>
          </cell>
          <cell r="AA162"/>
          <cell r="AB162" t="e">
            <v>#VALUE!</v>
          </cell>
          <cell r="AC162" t="e">
            <v>#VALUE!</v>
          </cell>
          <cell r="AD162" t="e">
            <v>#VALUE!</v>
          </cell>
          <cell r="AE162" t="e">
            <v>#N/A</v>
          </cell>
          <cell r="AF162" t="e">
            <v>#N/A</v>
          </cell>
          <cell r="AG162"/>
          <cell r="AH162" t="e">
            <v>#VALUE!</v>
          </cell>
          <cell r="AI162" t="e">
            <v>#VALUE!</v>
          </cell>
          <cell r="AJ162" t="e">
            <v>#VALUE!</v>
          </cell>
          <cell r="AK162" t="e">
            <v>#VALUE!</v>
          </cell>
          <cell r="AL162"/>
          <cell r="AM162"/>
          <cell r="AN162" t="str">
            <v/>
          </cell>
          <cell r="AO162"/>
          <cell r="AP162"/>
          <cell r="AQ162"/>
          <cell r="AR162"/>
          <cell r="AS162" t="e">
            <v>#N/A</v>
          </cell>
          <cell r="AT162"/>
          <cell r="AU162" t="str">
            <v/>
          </cell>
          <cell r="AV162"/>
        </row>
        <row r="163">
          <cell r="Z163" t="str">
            <v xml:space="preserve"> - </v>
          </cell>
          <cell r="AA163" t="str">
            <v>Set Protecteurs 7 5/8" HYD</v>
          </cell>
          <cell r="AB163"/>
          <cell r="AC163"/>
          <cell r="AD163"/>
          <cell r="AE163"/>
          <cell r="AF163"/>
          <cell r="AG163"/>
          <cell r="AH163" t="str">
            <v>en stock</v>
          </cell>
          <cell r="AI163"/>
          <cell r="AJ163"/>
          <cell r="AK163"/>
          <cell r="AL163"/>
          <cell r="AM163"/>
          <cell r="AN163">
            <v>33</v>
          </cell>
          <cell r="AO163"/>
          <cell r="AP163"/>
          <cell r="AQ163"/>
          <cell r="AR163"/>
          <cell r="AS163" t="e">
            <v>#N/A</v>
          </cell>
          <cell r="AT163"/>
          <cell r="AU163" t="str">
            <v>FR</v>
          </cell>
          <cell r="AV163"/>
        </row>
        <row r="164">
          <cell r="Z164">
            <v>2015</v>
          </cell>
          <cell r="AA164"/>
          <cell r="AB164"/>
          <cell r="AC164"/>
          <cell r="AD164"/>
          <cell r="AE164"/>
          <cell r="AF164"/>
          <cell r="AG164"/>
          <cell r="AH164" t="str">
            <v>en stock</v>
          </cell>
          <cell r="AI164"/>
          <cell r="AJ164"/>
          <cell r="AK164"/>
          <cell r="AL164"/>
          <cell r="AM164"/>
          <cell r="AN164" t="str">
            <v/>
          </cell>
          <cell r="AO164"/>
          <cell r="AP164"/>
          <cell r="AQ164"/>
          <cell r="AR164"/>
          <cell r="AS164"/>
          <cell r="AT164"/>
          <cell r="AU164" t="str">
            <v/>
          </cell>
          <cell r="AV164"/>
        </row>
        <row r="165">
          <cell r="Z165" t="str">
            <v xml:space="preserve"> - </v>
          </cell>
          <cell r="AA165"/>
          <cell r="AB165"/>
          <cell r="AC165"/>
          <cell r="AD165"/>
          <cell r="AE165"/>
          <cell r="AF165"/>
          <cell r="AG165"/>
          <cell r="AH165" t="str">
            <v>en stock</v>
          </cell>
          <cell r="AI165"/>
          <cell r="AJ165"/>
          <cell r="AK165"/>
          <cell r="AL165"/>
          <cell r="AM165"/>
          <cell r="AN165" t="str">
            <v/>
          </cell>
          <cell r="AO165"/>
          <cell r="AP165"/>
          <cell r="AQ165"/>
          <cell r="AR165"/>
          <cell r="AS165"/>
          <cell r="AT165"/>
          <cell r="AU165" t="str">
            <v/>
          </cell>
          <cell r="AV165"/>
        </row>
        <row r="166">
          <cell r="Z166" t="str">
            <v>ref 807-2,875-10,40HT26</v>
          </cell>
          <cell r="AA166" t="str">
            <v>DP 2-7/8" 10,40# Range2
HT 26 Pin x Box</v>
          </cell>
          <cell r="AB166">
            <v>10.4</v>
          </cell>
          <cell r="AC166">
            <v>2.875</v>
          </cell>
          <cell r="AD166" t="str">
            <v>R2</v>
          </cell>
          <cell r="AE166" t="str">
            <v>HT 26 Box</v>
          </cell>
          <cell r="AF166" t="str">
            <v>HT 26 Pin</v>
          </cell>
          <cell r="AG166"/>
          <cell r="AH166" t="str">
            <v>maintenance</v>
          </cell>
          <cell r="AI166">
            <v>2</v>
          </cell>
          <cell r="AJ166">
            <v>0</v>
          </cell>
          <cell r="AK166">
            <v>34</v>
          </cell>
          <cell r="AL166"/>
          <cell r="AM166"/>
          <cell r="AN166" t="str">
            <v/>
          </cell>
          <cell r="AO166">
            <v>4</v>
          </cell>
          <cell r="AP166"/>
          <cell r="AQ166"/>
          <cell r="AR166"/>
          <cell r="AS166">
            <v>10</v>
          </cell>
          <cell r="AT166"/>
          <cell r="AU166" t="str">
            <v/>
          </cell>
          <cell r="AV166"/>
        </row>
        <row r="167">
          <cell r="Z167">
            <v>8065260</v>
          </cell>
          <cell r="AA167"/>
          <cell r="AB167"/>
          <cell r="AC167"/>
          <cell r="AD167"/>
          <cell r="AE167"/>
          <cell r="AF167"/>
          <cell r="AG167"/>
          <cell r="AH167" t="str">
            <v>en stock</v>
          </cell>
          <cell r="AI167"/>
          <cell r="AJ167"/>
          <cell r="AK167"/>
          <cell r="AL167"/>
          <cell r="AM167"/>
          <cell r="AN167">
            <v>8065260</v>
          </cell>
          <cell r="AO167"/>
          <cell r="AP167"/>
          <cell r="AQ167"/>
          <cell r="AR167"/>
          <cell r="AS167"/>
          <cell r="AT167"/>
          <cell r="AU167" t="str">
            <v/>
          </cell>
          <cell r="AV167"/>
        </row>
        <row r="168">
          <cell r="Z168">
            <v>8065261</v>
          </cell>
          <cell r="AA168"/>
          <cell r="AB168"/>
          <cell r="AC168"/>
          <cell r="AD168"/>
          <cell r="AE168"/>
          <cell r="AF168"/>
          <cell r="AG168"/>
          <cell r="AH168" t="str">
            <v>en stock</v>
          </cell>
          <cell r="AI168"/>
          <cell r="AJ168"/>
          <cell r="AK168"/>
          <cell r="AL168"/>
          <cell r="AM168"/>
          <cell r="AN168">
            <v>8065261</v>
          </cell>
          <cell r="AO168"/>
          <cell r="AP168"/>
          <cell r="AQ168"/>
          <cell r="AR168"/>
          <cell r="AS168"/>
          <cell r="AT168"/>
          <cell r="AU168" t="str">
            <v/>
          </cell>
          <cell r="AV168"/>
        </row>
        <row r="169">
          <cell r="Z169">
            <v>8065262</v>
          </cell>
          <cell r="AA169"/>
          <cell r="AB169"/>
          <cell r="AC169"/>
          <cell r="AD169"/>
          <cell r="AE169"/>
          <cell r="AF169"/>
          <cell r="AG169"/>
          <cell r="AH169" t="str">
            <v>en stock</v>
          </cell>
          <cell r="AI169"/>
          <cell r="AJ169"/>
          <cell r="AK169"/>
          <cell r="AL169"/>
          <cell r="AM169"/>
          <cell r="AN169">
            <v>8065262</v>
          </cell>
          <cell r="AO169"/>
          <cell r="AP169"/>
          <cell r="AQ169"/>
          <cell r="AR169"/>
          <cell r="AS169"/>
          <cell r="AT169"/>
          <cell r="AU169" t="str">
            <v/>
          </cell>
          <cell r="AV169"/>
        </row>
        <row r="170">
          <cell r="Z170">
            <v>8065263</v>
          </cell>
          <cell r="AA170"/>
          <cell r="AB170"/>
          <cell r="AC170"/>
          <cell r="AD170"/>
          <cell r="AE170"/>
          <cell r="AF170"/>
          <cell r="AG170"/>
          <cell r="AH170" t="str">
            <v>en stock</v>
          </cell>
          <cell r="AI170"/>
          <cell r="AJ170"/>
          <cell r="AK170"/>
          <cell r="AL170"/>
          <cell r="AM170"/>
          <cell r="AN170">
            <v>8065263</v>
          </cell>
          <cell r="AO170"/>
          <cell r="AP170"/>
          <cell r="AQ170"/>
          <cell r="AR170"/>
          <cell r="AS170"/>
          <cell r="AT170"/>
          <cell r="AU170" t="str">
            <v/>
          </cell>
          <cell r="AV170"/>
        </row>
        <row r="171">
          <cell r="Z171">
            <v>5095264</v>
          </cell>
          <cell r="AA171" t="str">
            <v>WO Extension Lg 6300 mm
2-1/2" HQ Box x Box</v>
          </cell>
          <cell r="AB171">
            <v>76</v>
          </cell>
          <cell r="AC171">
            <v>2.5</v>
          </cell>
          <cell r="AD171">
            <v>6300</v>
          </cell>
          <cell r="AE171" t="str">
            <v>2-1/2" HQ Pin</v>
          </cell>
          <cell r="AF171" t="str">
            <v>2-1/2" HQ Box</v>
          </cell>
          <cell r="AG171"/>
          <cell r="AH171" t="str">
            <v xml:space="preserve"> en stock </v>
          </cell>
          <cell r="AI171">
            <v>6</v>
          </cell>
          <cell r="AJ171">
            <v>0</v>
          </cell>
          <cell r="AK171">
            <v>0</v>
          </cell>
          <cell r="AL171"/>
          <cell r="AM171"/>
          <cell r="AN171" t="str">
            <v/>
          </cell>
          <cell r="AO171"/>
          <cell r="AP171"/>
          <cell r="AQ171"/>
          <cell r="AR171" t="str">
            <v xml:space="preserve"> + 17 sur le même rack</v>
          </cell>
          <cell r="AS171" t="e">
            <v>#N/A</v>
          </cell>
          <cell r="AT171" t="str">
            <v>509-2,500HQ</v>
          </cell>
          <cell r="AU171" t="str">
            <v/>
          </cell>
          <cell r="AV171"/>
        </row>
        <row r="172">
          <cell r="Z172" t="str">
            <v xml:space="preserve"> - </v>
          </cell>
          <cell r="AA172"/>
          <cell r="AB172"/>
          <cell r="AC172"/>
          <cell r="AD172"/>
          <cell r="AE172"/>
          <cell r="AF172"/>
          <cell r="AG172"/>
          <cell r="AH172" t="str">
            <v>en stock</v>
          </cell>
          <cell r="AI172"/>
          <cell r="AJ172"/>
          <cell r="AK172"/>
          <cell r="AL172"/>
          <cell r="AM172"/>
          <cell r="AN172" t="str">
            <v/>
          </cell>
          <cell r="AO172"/>
          <cell r="AP172"/>
          <cell r="AQ172"/>
          <cell r="AR172"/>
          <cell r="AS172"/>
          <cell r="AT172"/>
          <cell r="AU172" t="str">
            <v/>
          </cell>
          <cell r="AV172"/>
        </row>
        <row r="173">
          <cell r="Z173">
            <v>8095196</v>
          </cell>
          <cell r="AA173" t="str">
            <v>Near Bit Stab
3-1/2" IF Box x 3-1/2" REG Box BF</v>
          </cell>
          <cell r="AB173">
            <v>114</v>
          </cell>
          <cell r="AC173">
            <v>5.875</v>
          </cell>
          <cell r="AD173">
            <v>1600</v>
          </cell>
          <cell r="AE173" t="str">
            <v>3-1/2" IF Box</v>
          </cell>
          <cell r="AF173" t="str">
            <v>3-1/2" REG Box BF</v>
          </cell>
          <cell r="AG173" t="str">
            <v>Carbure</v>
          </cell>
          <cell r="AH173" t="str">
            <v xml:space="preserve"> en stock </v>
          </cell>
          <cell r="AI173">
            <v>1</v>
          </cell>
          <cell r="AJ173">
            <v>0</v>
          </cell>
          <cell r="AK173">
            <v>0</v>
          </cell>
          <cell r="AL173"/>
          <cell r="AM173"/>
          <cell r="AN173">
            <v>8095196</v>
          </cell>
          <cell r="AO173"/>
          <cell r="AP173"/>
          <cell r="AQ173"/>
          <cell r="AR173"/>
          <cell r="AS173">
            <v>6</v>
          </cell>
          <cell r="AT173"/>
          <cell r="AU173" t="str">
            <v/>
          </cell>
          <cell r="AV173"/>
        </row>
        <row r="174">
          <cell r="Z174">
            <v>8115197</v>
          </cell>
          <cell r="AA174" t="str">
            <v>String Stab
3-1/2" IF Pin x 3-1/2" IF Box</v>
          </cell>
          <cell r="AB174">
            <v>112</v>
          </cell>
          <cell r="AC174">
            <v>6.75</v>
          </cell>
          <cell r="AD174">
            <v>1485</v>
          </cell>
          <cell r="AE174" t="str">
            <v>3-1/2" IF Box</v>
          </cell>
          <cell r="AF174" t="str">
            <v>3-1/2" IF Pin</v>
          </cell>
          <cell r="AG174" t="str">
            <v>Carbure</v>
          </cell>
          <cell r="AH174" t="str">
            <v xml:space="preserve"> en stock </v>
          </cell>
          <cell r="AI174">
            <v>1</v>
          </cell>
          <cell r="AJ174">
            <v>0</v>
          </cell>
          <cell r="AK174">
            <v>0</v>
          </cell>
          <cell r="AL174"/>
          <cell r="AM174"/>
          <cell r="AN174">
            <v>8115197</v>
          </cell>
          <cell r="AO174"/>
          <cell r="AP174"/>
          <cell r="AQ174"/>
          <cell r="AR174"/>
          <cell r="AS174">
            <v>22</v>
          </cell>
          <cell r="AT174"/>
          <cell r="AU174" t="str">
            <v/>
          </cell>
          <cell r="AV174"/>
        </row>
        <row r="175">
          <cell r="Z175">
            <v>8115198</v>
          </cell>
          <cell r="AA175" t="str">
            <v>String Stab
3-1/2" IF Pin x 3-1/2" IF Box</v>
          </cell>
          <cell r="AB175">
            <v>104</v>
          </cell>
          <cell r="AC175">
            <v>6</v>
          </cell>
          <cell r="AD175">
            <v>1310</v>
          </cell>
          <cell r="AE175" t="str">
            <v>3-1/2" IF Box</v>
          </cell>
          <cell r="AF175" t="str">
            <v>3-1/2" IF Pin</v>
          </cell>
          <cell r="AG175" t="str">
            <v>Carbure</v>
          </cell>
          <cell r="AH175" t="str">
            <v>maintenance</v>
          </cell>
          <cell r="AI175" t="str">
            <v/>
          </cell>
          <cell r="AJ175">
            <v>0</v>
          </cell>
          <cell r="AK175">
            <v>1</v>
          </cell>
          <cell r="AL175"/>
          <cell r="AM175"/>
          <cell r="AN175">
            <v>8115198</v>
          </cell>
          <cell r="AO175"/>
          <cell r="AP175"/>
          <cell r="AQ175"/>
          <cell r="AR175"/>
          <cell r="AS175">
            <v>19</v>
          </cell>
          <cell r="AT175"/>
          <cell r="AU175" t="str">
            <v/>
          </cell>
          <cell r="AV175"/>
        </row>
        <row r="176">
          <cell r="Z176">
            <v>8115200</v>
          </cell>
          <cell r="AA176" t="str">
            <v>String Stab
3-1/2" IF Pin SRG x 3-1/2" IF Box BB</v>
          </cell>
          <cell r="AB176">
            <v>100</v>
          </cell>
          <cell r="AC176">
            <v>5.875</v>
          </cell>
          <cell r="AD176">
            <v>1340</v>
          </cell>
          <cell r="AE176" t="str">
            <v>3-1/2" IF Box BB</v>
          </cell>
          <cell r="AF176" t="str">
            <v>3-1/2" IF Pin SRG</v>
          </cell>
          <cell r="AG176" t="str">
            <v>Carbure</v>
          </cell>
          <cell r="AH176" t="str">
            <v>en stock</v>
          </cell>
          <cell r="AI176">
            <v>0</v>
          </cell>
          <cell r="AJ176">
            <v>0</v>
          </cell>
          <cell r="AK176">
            <v>1</v>
          </cell>
          <cell r="AL176"/>
          <cell r="AM176"/>
          <cell r="AN176">
            <v>8115200</v>
          </cell>
          <cell r="AO176"/>
          <cell r="AP176"/>
          <cell r="AQ176"/>
          <cell r="AR176"/>
          <cell r="AS176">
            <v>12</v>
          </cell>
          <cell r="AT176"/>
          <cell r="AU176" t="str">
            <v/>
          </cell>
          <cell r="AV176"/>
        </row>
        <row r="177">
          <cell r="Z177">
            <v>8115250</v>
          </cell>
          <cell r="AA177"/>
          <cell r="AB177"/>
          <cell r="AC177"/>
          <cell r="AD177"/>
          <cell r="AE177"/>
          <cell r="AF177"/>
          <cell r="AG177"/>
          <cell r="AH177" t="str">
            <v>en stock</v>
          </cell>
          <cell r="AI177"/>
          <cell r="AJ177"/>
          <cell r="AK177"/>
          <cell r="AL177"/>
          <cell r="AM177"/>
          <cell r="AN177" t="str">
            <v/>
          </cell>
          <cell r="AO177"/>
          <cell r="AP177"/>
          <cell r="AQ177"/>
          <cell r="AR177"/>
          <cell r="AS177"/>
          <cell r="AT177"/>
          <cell r="AU177" t="str">
            <v/>
          </cell>
          <cell r="AV177"/>
        </row>
        <row r="178">
          <cell r="Z178">
            <v>8115251</v>
          </cell>
          <cell r="AA178" t="str">
            <v>String Stab
6-5/8" REG Pin x 6-5/8" REG Box</v>
          </cell>
          <cell r="AB178">
            <v>402</v>
          </cell>
          <cell r="AC178">
            <v>11.6875</v>
          </cell>
          <cell r="AD178">
            <v>1450</v>
          </cell>
          <cell r="AE178" t="str">
            <v>6-5/8" REG Box</v>
          </cell>
          <cell r="AF178" t="str">
            <v>6-5/8" REG Pin</v>
          </cell>
          <cell r="AG178" t="str">
            <v>Carbure</v>
          </cell>
          <cell r="AH178" t="str">
            <v xml:space="preserve"> en stock </v>
          </cell>
          <cell r="AI178">
            <v>1</v>
          </cell>
          <cell r="AJ178">
            <v>0</v>
          </cell>
          <cell r="AK178">
            <v>0</v>
          </cell>
          <cell r="AL178"/>
          <cell r="AM178"/>
          <cell r="AN178">
            <v>8115251</v>
          </cell>
          <cell r="AO178"/>
          <cell r="AP178"/>
          <cell r="AQ178"/>
          <cell r="AR178"/>
          <cell r="AS178">
            <v>63</v>
          </cell>
          <cell r="AT178"/>
          <cell r="AU178" t="str">
            <v>sortie de 7055251 et 7055252</v>
          </cell>
          <cell r="AV178"/>
        </row>
        <row r="179">
          <cell r="Z179">
            <v>8095252</v>
          </cell>
          <cell r="AA179"/>
          <cell r="AB179"/>
          <cell r="AC179"/>
          <cell r="AD179"/>
          <cell r="AE179"/>
          <cell r="AF179"/>
          <cell r="AG179"/>
          <cell r="AH179" t="str">
            <v>en stock</v>
          </cell>
          <cell r="AI179"/>
          <cell r="AJ179"/>
          <cell r="AK179"/>
          <cell r="AL179"/>
          <cell r="AM179"/>
          <cell r="AN179" t="str">
            <v/>
          </cell>
          <cell r="AO179"/>
          <cell r="AP179"/>
          <cell r="AQ179"/>
          <cell r="AR179"/>
          <cell r="AS179"/>
          <cell r="AT179"/>
          <cell r="AU179" t="str">
            <v/>
          </cell>
          <cell r="AV179"/>
        </row>
        <row r="180">
          <cell r="Z180">
            <v>8115253</v>
          </cell>
          <cell r="AA180"/>
          <cell r="AB180"/>
          <cell r="AC180"/>
          <cell r="AD180"/>
          <cell r="AE180"/>
          <cell r="AF180"/>
          <cell r="AG180"/>
          <cell r="AH180" t="str">
            <v>en stock</v>
          </cell>
          <cell r="AI180"/>
          <cell r="AJ180"/>
          <cell r="AK180"/>
          <cell r="AL180"/>
          <cell r="AM180"/>
          <cell r="AN180" t="str">
            <v/>
          </cell>
          <cell r="AO180"/>
          <cell r="AP180"/>
          <cell r="AQ180"/>
          <cell r="AR180"/>
          <cell r="AS180"/>
          <cell r="AT180"/>
          <cell r="AU180" t="str">
            <v>sortie de 2015253</v>
          </cell>
          <cell r="AV180"/>
        </row>
        <row r="181">
          <cell r="Z181">
            <v>8115254</v>
          </cell>
          <cell r="AA181"/>
          <cell r="AB181"/>
          <cell r="AC181"/>
          <cell r="AD181"/>
          <cell r="AE181"/>
          <cell r="AF181"/>
          <cell r="AG181"/>
          <cell r="AH181" t="str">
            <v>en stock</v>
          </cell>
          <cell r="AI181"/>
          <cell r="AJ181"/>
          <cell r="AK181"/>
          <cell r="AL181"/>
          <cell r="AM181"/>
          <cell r="AN181" t="str">
            <v/>
          </cell>
          <cell r="AO181"/>
          <cell r="AP181"/>
          <cell r="AQ181"/>
          <cell r="AR181"/>
          <cell r="AS181"/>
          <cell r="AT181"/>
          <cell r="AU181" t="str">
            <v>sortie de 7015254</v>
          </cell>
          <cell r="AV181"/>
        </row>
        <row r="182">
          <cell r="Z182">
            <v>8115255</v>
          </cell>
          <cell r="AA182"/>
          <cell r="AB182"/>
          <cell r="AC182"/>
          <cell r="AD182"/>
          <cell r="AE182"/>
          <cell r="AF182"/>
          <cell r="AG182"/>
          <cell r="AH182" t="str">
            <v>en stock</v>
          </cell>
          <cell r="AI182"/>
          <cell r="AJ182"/>
          <cell r="AK182"/>
          <cell r="AL182"/>
          <cell r="AM182"/>
          <cell r="AN182" t="str">
            <v/>
          </cell>
          <cell r="AO182"/>
          <cell r="AP182"/>
          <cell r="AQ182"/>
          <cell r="AR182"/>
          <cell r="AS182"/>
          <cell r="AT182"/>
          <cell r="AU182" t="str">
            <v>sortie de 8135255</v>
          </cell>
          <cell r="AV182"/>
        </row>
        <row r="183">
          <cell r="Z183">
            <v>8115256</v>
          </cell>
          <cell r="AA183" t="str">
            <v>String Stab
4" IF Pin x 4" IF Box</v>
          </cell>
          <cell r="AB183">
            <v>188</v>
          </cell>
          <cell r="AC183">
            <v>8.25</v>
          </cell>
          <cell r="AD183">
            <v>1250</v>
          </cell>
          <cell r="AE183" t="str">
            <v>4" IF Box</v>
          </cell>
          <cell r="AF183" t="str">
            <v>4" IF Pin</v>
          </cell>
          <cell r="AG183" t="str">
            <v>Carbure</v>
          </cell>
          <cell r="AH183" t="str">
            <v xml:space="preserve"> en stock </v>
          </cell>
          <cell r="AI183">
            <v>1</v>
          </cell>
          <cell r="AJ183">
            <v>0</v>
          </cell>
          <cell r="AK183">
            <v>0</v>
          </cell>
          <cell r="AL183"/>
          <cell r="AM183"/>
          <cell r="AN183">
            <v>8110781</v>
          </cell>
          <cell r="AO183"/>
          <cell r="AP183"/>
          <cell r="AQ183"/>
          <cell r="AR183"/>
          <cell r="AS183">
            <v>32</v>
          </cell>
          <cell r="AT183"/>
          <cell r="AU183" t="str">
            <v/>
          </cell>
          <cell r="AV183"/>
        </row>
        <row r="184">
          <cell r="Z184">
            <v>8115257</v>
          </cell>
          <cell r="AA184"/>
          <cell r="AB184"/>
          <cell r="AC184"/>
          <cell r="AD184"/>
          <cell r="AE184"/>
          <cell r="AF184"/>
          <cell r="AG184"/>
          <cell r="AH184" t="str">
            <v>en stock</v>
          </cell>
          <cell r="AI184"/>
          <cell r="AJ184"/>
          <cell r="AK184"/>
          <cell r="AL184"/>
          <cell r="AM184"/>
          <cell r="AN184" t="str">
            <v/>
          </cell>
          <cell r="AO184"/>
          <cell r="AP184"/>
          <cell r="AQ184"/>
          <cell r="AR184"/>
          <cell r="AS184"/>
          <cell r="AT184"/>
          <cell r="AU184" t="str">
            <v/>
          </cell>
          <cell r="AV184"/>
        </row>
        <row r="185">
          <cell r="Z185">
            <v>8095258</v>
          </cell>
          <cell r="AA185"/>
          <cell r="AB185"/>
          <cell r="AC185"/>
          <cell r="AD185"/>
          <cell r="AE185"/>
          <cell r="AF185"/>
          <cell r="AG185"/>
          <cell r="AH185" t="str">
            <v>en stock</v>
          </cell>
          <cell r="AI185"/>
          <cell r="AJ185"/>
          <cell r="AK185"/>
          <cell r="AL185"/>
          <cell r="AM185"/>
          <cell r="AN185" t="str">
            <v/>
          </cell>
          <cell r="AO185"/>
          <cell r="AP185"/>
          <cell r="AQ185"/>
          <cell r="AR185"/>
          <cell r="AS185"/>
          <cell r="AT185"/>
          <cell r="AU185" t="str">
            <v/>
          </cell>
          <cell r="AV185"/>
        </row>
        <row r="186">
          <cell r="Z186">
            <v>8115259</v>
          </cell>
          <cell r="AA186"/>
          <cell r="AB186"/>
          <cell r="AC186"/>
          <cell r="AD186"/>
          <cell r="AE186"/>
          <cell r="AF186"/>
          <cell r="AG186"/>
          <cell r="AH186" t="str">
            <v>en stock</v>
          </cell>
          <cell r="AI186"/>
          <cell r="AJ186"/>
          <cell r="AK186"/>
          <cell r="AL186"/>
          <cell r="AM186"/>
          <cell r="AN186" t="str">
            <v/>
          </cell>
          <cell r="AO186"/>
          <cell r="AP186"/>
          <cell r="AQ186"/>
          <cell r="AR186"/>
          <cell r="AS186"/>
          <cell r="AT186"/>
          <cell r="AU186" t="str">
            <v/>
          </cell>
          <cell r="AV186"/>
        </row>
        <row r="187">
          <cell r="Z187" t="str">
            <v xml:space="preserve"> - </v>
          </cell>
          <cell r="AA187"/>
          <cell r="AB187"/>
          <cell r="AC187"/>
          <cell r="AD187"/>
          <cell r="AE187"/>
          <cell r="AF187"/>
          <cell r="AG187"/>
          <cell r="AH187" t="str">
            <v>en stock</v>
          </cell>
          <cell r="AI187"/>
          <cell r="AJ187"/>
          <cell r="AK187"/>
          <cell r="AL187"/>
          <cell r="AM187"/>
          <cell r="AN187" t="str">
            <v/>
          </cell>
          <cell r="AO187"/>
          <cell r="AP187"/>
          <cell r="AQ187"/>
          <cell r="AR187"/>
          <cell r="AS187"/>
          <cell r="AT187"/>
          <cell r="AU187" t="str">
            <v/>
          </cell>
          <cell r="AV187"/>
        </row>
        <row r="188">
          <cell r="Z188" t="str">
            <v/>
          </cell>
          <cell r="AA188"/>
          <cell r="AB188"/>
          <cell r="AC188"/>
          <cell r="AD188"/>
          <cell r="AE188"/>
          <cell r="AF188"/>
          <cell r="AG188"/>
          <cell r="AH188" t="str">
            <v>en stock</v>
          </cell>
          <cell r="AI188"/>
          <cell r="AJ188"/>
          <cell r="AK188"/>
          <cell r="AL188"/>
          <cell r="AM188"/>
          <cell r="AN188" t="str">
            <v/>
          </cell>
          <cell r="AO188"/>
          <cell r="AP188"/>
          <cell r="AQ188"/>
          <cell r="AR188"/>
          <cell r="AS188"/>
          <cell r="AT188"/>
          <cell r="AU188" t="str">
            <v/>
          </cell>
          <cell r="AV188"/>
        </row>
        <row r="189">
          <cell r="Z189" t="str">
            <v/>
          </cell>
          <cell r="AA189"/>
          <cell r="AB189"/>
          <cell r="AC189"/>
          <cell r="AD189"/>
          <cell r="AE189"/>
          <cell r="AF189"/>
          <cell r="AG189"/>
          <cell r="AH189" t="str">
            <v>en stock</v>
          </cell>
          <cell r="AI189"/>
          <cell r="AJ189"/>
          <cell r="AK189"/>
          <cell r="AL189"/>
          <cell r="AM189"/>
          <cell r="AN189" t="str">
            <v/>
          </cell>
          <cell r="AO189"/>
          <cell r="AP189"/>
          <cell r="AQ189"/>
          <cell r="AR189"/>
          <cell r="AS189"/>
          <cell r="AT189"/>
          <cell r="AU189" t="str">
            <v/>
          </cell>
          <cell r="AV189"/>
        </row>
        <row r="190">
          <cell r="Z190" t="str">
            <v/>
          </cell>
          <cell r="AA190"/>
          <cell r="AB190"/>
          <cell r="AC190"/>
          <cell r="AD190"/>
          <cell r="AE190"/>
          <cell r="AF190"/>
          <cell r="AG190"/>
          <cell r="AH190" t="str">
            <v>en stock</v>
          </cell>
          <cell r="AI190"/>
          <cell r="AJ190"/>
          <cell r="AK190"/>
          <cell r="AL190"/>
          <cell r="AM190"/>
          <cell r="AN190" t="str">
            <v/>
          </cell>
          <cell r="AO190"/>
          <cell r="AP190"/>
          <cell r="AQ190"/>
          <cell r="AR190"/>
          <cell r="AS190"/>
          <cell r="AT190"/>
          <cell r="AU190" t="str">
            <v/>
          </cell>
          <cell r="AV190"/>
        </row>
        <row r="191">
          <cell r="Z191" t="str">
            <v/>
          </cell>
          <cell r="AA191"/>
          <cell r="AB191"/>
          <cell r="AC191"/>
          <cell r="AD191"/>
          <cell r="AE191"/>
          <cell r="AF191"/>
          <cell r="AG191"/>
          <cell r="AH191" t="str">
            <v>en stock</v>
          </cell>
          <cell r="AI191"/>
          <cell r="AJ191"/>
          <cell r="AK191"/>
          <cell r="AL191"/>
          <cell r="AM191"/>
          <cell r="AN191" t="str">
            <v/>
          </cell>
          <cell r="AO191"/>
          <cell r="AP191"/>
          <cell r="AQ191"/>
          <cell r="AR191"/>
          <cell r="AS191"/>
          <cell r="AT191"/>
          <cell r="AU191" t="str">
            <v/>
          </cell>
          <cell r="AV191"/>
        </row>
        <row r="192">
          <cell r="Z192">
            <v>8025001</v>
          </cell>
          <cell r="AA192" t="str">
            <v>Bit Sub
7-5/8" REG Box x 7-5/8" REG Box BF</v>
          </cell>
          <cell r="AB192">
            <v>283.31163095624993</v>
          </cell>
          <cell r="AC192">
            <v>9.5</v>
          </cell>
          <cell r="AD192">
            <v>900</v>
          </cell>
          <cell r="AE192" t="str">
            <v>7-5/8" REG Box</v>
          </cell>
          <cell r="AF192" t="str">
            <v>7-5/8" REG Box BF</v>
          </cell>
          <cell r="AG192"/>
          <cell r="AH192" t="str">
            <v>en stock</v>
          </cell>
          <cell r="AI192">
            <v>0</v>
          </cell>
          <cell r="AJ192">
            <v>0</v>
          </cell>
          <cell r="AK192">
            <v>1</v>
          </cell>
          <cell r="AL192"/>
          <cell r="AM192"/>
          <cell r="AN192" t="str">
            <v/>
          </cell>
          <cell r="AO192"/>
          <cell r="AP192"/>
          <cell r="AQ192"/>
          <cell r="AR192"/>
          <cell r="AS192">
            <v>64</v>
          </cell>
          <cell r="AT192"/>
          <cell r="AU192" t="str">
            <v/>
          </cell>
          <cell r="AV192"/>
        </row>
        <row r="193">
          <cell r="Z193">
            <v>8025002</v>
          </cell>
          <cell r="AA193"/>
          <cell r="AB193"/>
          <cell r="AC193"/>
          <cell r="AD193"/>
          <cell r="AE193"/>
          <cell r="AF193"/>
          <cell r="AG193"/>
          <cell r="AH193" t="str">
            <v>en stock</v>
          </cell>
          <cell r="AI193"/>
          <cell r="AJ193"/>
          <cell r="AK193"/>
          <cell r="AL193"/>
          <cell r="AM193"/>
          <cell r="AN193" t="str">
            <v/>
          </cell>
          <cell r="AO193"/>
          <cell r="AP193"/>
          <cell r="AQ193"/>
          <cell r="AR193"/>
          <cell r="AS193"/>
          <cell r="AT193"/>
          <cell r="AU193" t="str">
            <v/>
          </cell>
          <cell r="AV193"/>
        </row>
        <row r="194">
          <cell r="Z194">
            <v>8135003</v>
          </cell>
          <cell r="AA194" t="str">
            <v>XO
2-7/8" EU Pin x 2-7/8" EU Pin</v>
          </cell>
          <cell r="AB194">
            <v>7.6670052808781248</v>
          </cell>
          <cell r="AC194">
            <v>3.5</v>
          </cell>
          <cell r="AD194">
            <v>260</v>
          </cell>
          <cell r="AE194" t="str">
            <v>2-7/8" EU Pin</v>
          </cell>
          <cell r="AF194" t="str">
            <v>2-7/8" EU Pin</v>
          </cell>
          <cell r="AG194"/>
          <cell r="AH194" t="str">
            <v xml:space="preserve"> en stock </v>
          </cell>
          <cell r="AI194">
            <v>1</v>
          </cell>
          <cell r="AJ194">
            <v>0</v>
          </cell>
          <cell r="AK194">
            <v>0</v>
          </cell>
          <cell r="AL194"/>
          <cell r="AM194"/>
          <cell r="AN194" t="str">
            <v/>
          </cell>
          <cell r="AO194"/>
          <cell r="AP194"/>
          <cell r="AQ194"/>
          <cell r="AR194"/>
          <cell r="AS194">
            <v>73</v>
          </cell>
          <cell r="AT194"/>
          <cell r="AU194" t="str">
            <v/>
          </cell>
          <cell r="AV194"/>
        </row>
        <row r="195">
          <cell r="Z195">
            <v>8135004</v>
          </cell>
          <cell r="AA195"/>
          <cell r="AB195"/>
          <cell r="AC195"/>
          <cell r="AD195"/>
          <cell r="AE195"/>
          <cell r="AF195"/>
          <cell r="AG195"/>
          <cell r="AH195" t="str">
            <v>en stock</v>
          </cell>
          <cell r="AI195"/>
          <cell r="AJ195"/>
          <cell r="AK195"/>
          <cell r="AL195"/>
          <cell r="AM195"/>
          <cell r="AN195" t="str">
            <v/>
          </cell>
          <cell r="AO195"/>
          <cell r="AP195"/>
          <cell r="AQ195"/>
          <cell r="AR195"/>
          <cell r="AS195"/>
          <cell r="AT195"/>
          <cell r="AU195" t="str">
            <v/>
          </cell>
          <cell r="AV195"/>
        </row>
        <row r="196">
          <cell r="Z196">
            <v>8025005</v>
          </cell>
          <cell r="AA196" t="str">
            <v>Bit Sub
2-7/8" EU Box x 3-1/2" REG Box</v>
          </cell>
          <cell r="AB196">
            <v>24.854346095139842</v>
          </cell>
          <cell r="AC196">
            <v>4.3125</v>
          </cell>
          <cell r="AD196">
            <v>405</v>
          </cell>
          <cell r="AE196" t="str">
            <v>2-7/8" EU Box</v>
          </cell>
          <cell r="AF196" t="str">
            <v>3-1/2" REG Box</v>
          </cell>
          <cell r="AG196"/>
          <cell r="AH196" t="str">
            <v xml:space="preserve"> en stock </v>
          </cell>
          <cell r="AI196">
            <v>1</v>
          </cell>
          <cell r="AJ196">
            <v>0</v>
          </cell>
          <cell r="AK196">
            <v>0</v>
          </cell>
          <cell r="AL196"/>
          <cell r="AM196"/>
          <cell r="AN196" t="str">
            <v/>
          </cell>
          <cell r="AO196"/>
          <cell r="AP196"/>
          <cell r="AQ196"/>
          <cell r="AR196"/>
          <cell r="AS196">
            <v>26</v>
          </cell>
          <cell r="AT196"/>
          <cell r="AU196" t="str">
            <v/>
          </cell>
          <cell r="AV196"/>
        </row>
        <row r="197">
          <cell r="Z197">
            <v>5085006</v>
          </cell>
          <cell r="AA197" t="str">
            <v>Taper Mill 
3-1/2" REG Pin</v>
          </cell>
          <cell r="AB197">
            <v>82</v>
          </cell>
          <cell r="AC197">
            <v>5.75</v>
          </cell>
          <cell r="AD197">
            <v>82</v>
          </cell>
          <cell r="AE197" t="str">
            <v>3-1/2" REG Pin</v>
          </cell>
          <cell r="AF197"/>
          <cell r="AG197"/>
          <cell r="AH197" t="str">
            <v xml:space="preserve"> en stock </v>
          </cell>
          <cell r="AI197">
            <v>1</v>
          </cell>
          <cell r="AJ197">
            <v>0</v>
          </cell>
          <cell r="AK197">
            <v>0</v>
          </cell>
          <cell r="AL197"/>
          <cell r="AM197"/>
          <cell r="AN197">
            <v>5085006</v>
          </cell>
          <cell r="AO197"/>
          <cell r="AP197"/>
          <cell r="AQ197"/>
          <cell r="AR197"/>
          <cell r="AS197">
            <v>19</v>
          </cell>
          <cell r="AT197"/>
          <cell r="AU197" t="str">
            <v/>
          </cell>
          <cell r="AV197"/>
        </row>
        <row r="198">
          <cell r="Z198">
            <v>5085007</v>
          </cell>
          <cell r="AA198" t="str">
            <v>Taper Mill 
3-1/2" REG Pin</v>
          </cell>
          <cell r="AB198">
            <v>70</v>
          </cell>
          <cell r="AC198">
            <v>5.875</v>
          </cell>
          <cell r="AD198">
            <v>70</v>
          </cell>
          <cell r="AE198" t="str">
            <v>3-1/2" REG Pin</v>
          </cell>
          <cell r="AF198"/>
          <cell r="AG198"/>
          <cell r="AH198" t="str">
            <v xml:space="preserve"> en stock </v>
          </cell>
          <cell r="AI198">
            <v>1</v>
          </cell>
          <cell r="AJ198">
            <v>0</v>
          </cell>
          <cell r="AK198">
            <v>0</v>
          </cell>
          <cell r="AL198"/>
          <cell r="AM198"/>
          <cell r="AN198">
            <v>5085007</v>
          </cell>
          <cell r="AO198"/>
          <cell r="AP198"/>
          <cell r="AQ198"/>
          <cell r="AR198"/>
          <cell r="AS198">
            <v>21</v>
          </cell>
          <cell r="AT198" t="str">
            <v>508-</v>
          </cell>
          <cell r="AU198" t="str">
            <v/>
          </cell>
          <cell r="AV198"/>
        </row>
        <row r="199">
          <cell r="Z199">
            <v>5065008</v>
          </cell>
          <cell r="AA199" t="str">
            <v>String Mill 6 OD 
3-1/2" IF Box x Taper Mill 6"</v>
          </cell>
          <cell r="AB199">
            <v>184</v>
          </cell>
          <cell r="AC199">
            <v>6</v>
          </cell>
          <cell r="AD199">
            <v>2575</v>
          </cell>
          <cell r="AE199" t="str">
            <v>3-1/2" IF Box</v>
          </cell>
          <cell r="AF199" t="str">
            <v>Taper Mill 6"</v>
          </cell>
          <cell r="AG199"/>
          <cell r="AH199" t="str">
            <v xml:space="preserve"> en stock </v>
          </cell>
          <cell r="AI199">
            <v>1</v>
          </cell>
          <cell r="AJ199">
            <v>0</v>
          </cell>
          <cell r="AK199">
            <v>0</v>
          </cell>
          <cell r="AL199"/>
          <cell r="AM199"/>
          <cell r="AN199" t="str">
            <v/>
          </cell>
          <cell r="AO199"/>
          <cell r="AP199"/>
          <cell r="AQ199"/>
          <cell r="AR199"/>
          <cell r="AS199">
            <v>13</v>
          </cell>
          <cell r="AT199"/>
          <cell r="AU199" t="str">
            <v/>
          </cell>
          <cell r="AV199"/>
        </row>
        <row r="200">
          <cell r="Z200">
            <v>8025009</v>
          </cell>
          <cell r="AA200"/>
          <cell r="AB200"/>
          <cell r="AC200"/>
          <cell r="AD200"/>
          <cell r="AE200"/>
          <cell r="AF200"/>
          <cell r="AG200"/>
          <cell r="AH200" t="str">
            <v>en stock</v>
          </cell>
          <cell r="AI200"/>
          <cell r="AJ200"/>
          <cell r="AK200"/>
          <cell r="AL200"/>
          <cell r="AM200"/>
          <cell r="AN200" t="str">
            <v/>
          </cell>
          <cell r="AO200"/>
          <cell r="AP200"/>
          <cell r="AQ200"/>
          <cell r="AR200"/>
          <cell r="AS200"/>
          <cell r="AT200"/>
          <cell r="AU200" t="str">
            <v/>
          </cell>
          <cell r="AV200"/>
        </row>
        <row r="201">
          <cell r="Z201">
            <v>5045010</v>
          </cell>
          <cell r="AA201" t="str">
            <v>Viper Pilot Mill
3-1/2" REG Pin x Pilot</v>
          </cell>
          <cell r="AB201">
            <v>61</v>
          </cell>
          <cell r="AC201">
            <v>5.9375</v>
          </cell>
          <cell r="AD201">
            <v>1100</v>
          </cell>
          <cell r="AE201" t="str">
            <v>3-1/2" REG Pin</v>
          </cell>
          <cell r="AF201" t="str">
            <v>Pilot</v>
          </cell>
          <cell r="AG201"/>
          <cell r="AH201" t="str">
            <v xml:space="preserve"> en stock </v>
          </cell>
          <cell r="AI201">
            <v>1</v>
          </cell>
          <cell r="AJ201">
            <v>0</v>
          </cell>
          <cell r="AK201">
            <v>0</v>
          </cell>
          <cell r="AL201"/>
          <cell r="AM201"/>
          <cell r="AN201" t="str">
            <v/>
          </cell>
          <cell r="AO201"/>
          <cell r="AP201"/>
          <cell r="AQ201"/>
          <cell r="AR201"/>
          <cell r="AS201">
            <v>13</v>
          </cell>
          <cell r="AT201"/>
          <cell r="AU201" t="str">
            <v/>
          </cell>
          <cell r="AV201"/>
        </row>
        <row r="202">
          <cell r="Z202">
            <v>5115011</v>
          </cell>
          <cell r="AA202"/>
          <cell r="AB202"/>
          <cell r="AC202"/>
          <cell r="AD202"/>
          <cell r="AE202"/>
          <cell r="AF202"/>
          <cell r="AG202"/>
          <cell r="AH202" t="str">
            <v>en stock</v>
          </cell>
          <cell r="AI202"/>
          <cell r="AJ202"/>
          <cell r="AK202"/>
          <cell r="AL202"/>
          <cell r="AM202"/>
          <cell r="AN202" t="str">
            <v/>
          </cell>
          <cell r="AO202"/>
          <cell r="AP202"/>
          <cell r="AQ202"/>
          <cell r="AR202"/>
          <cell r="AS202"/>
          <cell r="AT202"/>
          <cell r="AU202" t="str">
            <v/>
          </cell>
          <cell r="AV202"/>
        </row>
        <row r="203">
          <cell r="Z203">
            <v>5115012</v>
          </cell>
          <cell r="AA203"/>
          <cell r="AB203"/>
          <cell r="AC203"/>
          <cell r="AD203"/>
          <cell r="AE203"/>
          <cell r="AF203"/>
          <cell r="AG203"/>
          <cell r="AH203" t="str">
            <v>en stock</v>
          </cell>
          <cell r="AI203"/>
          <cell r="AJ203"/>
          <cell r="AK203"/>
          <cell r="AL203"/>
          <cell r="AM203"/>
          <cell r="AN203" t="str">
            <v/>
          </cell>
          <cell r="AO203"/>
          <cell r="AP203"/>
          <cell r="AQ203"/>
          <cell r="AR203"/>
          <cell r="AS203"/>
          <cell r="AT203"/>
          <cell r="AU203" t="str">
            <v/>
          </cell>
          <cell r="AV203"/>
        </row>
        <row r="204">
          <cell r="Z204">
            <v>7085013</v>
          </cell>
          <cell r="AA204" t="str">
            <v>Extension PMT Lg 910 mm
2-1/4" PRT Box x 2-1/4" PRT Pin</v>
          </cell>
          <cell r="AB204">
            <v>18</v>
          </cell>
          <cell r="AC204">
            <v>2.25</v>
          </cell>
          <cell r="AD204">
            <v>910</v>
          </cell>
          <cell r="AE204" t="str">
            <v>2-1/4" PRT Box</v>
          </cell>
          <cell r="AF204" t="str">
            <v>2-1/4" PRT Pin</v>
          </cell>
          <cell r="AG204"/>
          <cell r="AH204" t="str">
            <v xml:space="preserve"> en stock </v>
          </cell>
          <cell r="AI204">
            <v>1</v>
          </cell>
          <cell r="AJ204">
            <v>0</v>
          </cell>
          <cell r="AK204">
            <v>0</v>
          </cell>
          <cell r="AL204"/>
          <cell r="AM204"/>
          <cell r="AN204"/>
          <cell r="AO204"/>
          <cell r="AP204"/>
          <cell r="AQ204"/>
          <cell r="AR204"/>
          <cell r="AS204">
            <v>21</v>
          </cell>
          <cell r="AT204"/>
          <cell r="AU204" t="str">
            <v/>
          </cell>
          <cell r="AV204"/>
        </row>
        <row r="205">
          <cell r="Z205">
            <v>7105014</v>
          </cell>
          <cell r="AA205" t="str">
            <v>Packer Retriever Tool PR 250 325 - SN5455
2-1/4" PRT Box</v>
          </cell>
          <cell r="AB205">
            <v>18</v>
          </cell>
          <cell r="AC205" t="str">
            <v>PR250325</v>
          </cell>
          <cell r="AD205">
            <v>785</v>
          </cell>
          <cell r="AE205" t="str">
            <v>2-1/4" PRT Box</v>
          </cell>
          <cell r="AF205" t="str">
            <v>SN 5455</v>
          </cell>
          <cell r="AG205"/>
          <cell r="AH205" t="str">
            <v xml:space="preserve"> en stock </v>
          </cell>
          <cell r="AI205">
            <v>1</v>
          </cell>
          <cell r="AJ205">
            <v>0</v>
          </cell>
          <cell r="AK205">
            <v>0</v>
          </cell>
          <cell r="AL205"/>
          <cell r="AM205"/>
          <cell r="AN205" t="str">
            <v/>
          </cell>
          <cell r="AO205"/>
          <cell r="AP205"/>
          <cell r="AQ205"/>
          <cell r="AR205"/>
          <cell r="AS205">
            <v>5</v>
          </cell>
          <cell r="AT205"/>
          <cell r="AU205" t="str">
            <v/>
          </cell>
          <cell r="AV205"/>
        </row>
        <row r="206">
          <cell r="Z206">
            <v>4035015</v>
          </cell>
          <cell r="AA206"/>
          <cell r="AB206"/>
          <cell r="AC206"/>
          <cell r="AD206"/>
          <cell r="AE206"/>
          <cell r="AF206"/>
          <cell r="AG206"/>
          <cell r="AH206" t="str">
            <v>en stock</v>
          </cell>
          <cell r="AI206"/>
          <cell r="AJ206"/>
          <cell r="AK206"/>
          <cell r="AL206"/>
          <cell r="AM206"/>
          <cell r="AN206" t="str">
            <v/>
          </cell>
          <cell r="AO206"/>
          <cell r="AP206"/>
          <cell r="AQ206"/>
          <cell r="AR206"/>
          <cell r="AS206"/>
          <cell r="AT206"/>
          <cell r="AU206" t="str">
            <v/>
          </cell>
          <cell r="AV206"/>
        </row>
        <row r="207">
          <cell r="Z207">
            <v>5075016</v>
          </cell>
          <cell r="AA207" t="str">
            <v>Super Junk Mill 12" OD
6-5/8" REG Pin</v>
          </cell>
          <cell r="AB207">
            <v>182</v>
          </cell>
          <cell r="AC207">
            <v>12</v>
          </cell>
          <cell r="AD207"/>
          <cell r="AE207" t="str">
            <v>6-5/8" REG Pin</v>
          </cell>
          <cell r="AF207"/>
          <cell r="AG207"/>
          <cell r="AH207" t="str">
            <v>en stock</v>
          </cell>
          <cell r="AI207"/>
          <cell r="AJ207"/>
          <cell r="AK207"/>
          <cell r="AL207"/>
          <cell r="AM207"/>
          <cell r="AN207" t="str">
            <v/>
          </cell>
          <cell r="AO207"/>
          <cell r="AP207"/>
          <cell r="AQ207"/>
          <cell r="AR207"/>
          <cell r="AS207"/>
          <cell r="AT207"/>
          <cell r="AU207" t="str">
            <v/>
          </cell>
          <cell r="AV207"/>
        </row>
        <row r="208">
          <cell r="Z208">
            <v>5075017</v>
          </cell>
          <cell r="AA208" t="str">
            <v>Super Junk Mill 
6-5/8" REG Pin</v>
          </cell>
          <cell r="AB208">
            <v>156</v>
          </cell>
          <cell r="AC208">
            <v>10.5</v>
          </cell>
          <cell r="AD208">
            <v>640</v>
          </cell>
          <cell r="AE208" t="str">
            <v>6-5/8" REG Pin</v>
          </cell>
          <cell r="AF208"/>
          <cell r="AG208" t="str">
            <v>C</v>
          </cell>
          <cell r="AH208" t="str">
            <v>maintenance</v>
          </cell>
          <cell r="AI208" t="str">
            <v/>
          </cell>
          <cell r="AJ208">
            <v>0</v>
          </cell>
          <cell r="AK208">
            <v>1</v>
          </cell>
          <cell r="AL208"/>
          <cell r="AM208"/>
          <cell r="AN208" t="str">
            <v/>
          </cell>
          <cell r="AO208"/>
          <cell r="AP208"/>
          <cell r="AQ208"/>
          <cell r="AR208"/>
          <cell r="AS208">
            <v>75</v>
          </cell>
          <cell r="AT208" t="str">
            <v>507-</v>
          </cell>
          <cell r="AU208" t="str">
            <v/>
          </cell>
          <cell r="AV208"/>
        </row>
        <row r="209">
          <cell r="Z209">
            <v>5035018</v>
          </cell>
          <cell r="AA209" t="str">
            <v>Junk Mill 
3-1/2" REG Pin</v>
          </cell>
          <cell r="AB209">
            <v>50</v>
          </cell>
          <cell r="AC209">
            <v>6.6875</v>
          </cell>
          <cell r="AD209">
            <v>0</v>
          </cell>
          <cell r="AE209" t="str">
            <v>3-1/2" REG Pin</v>
          </cell>
          <cell r="AF209"/>
          <cell r="AG209" t="str">
            <v>C</v>
          </cell>
          <cell r="AH209" t="str">
            <v>maintenance</v>
          </cell>
          <cell r="AI209" t="str">
            <v/>
          </cell>
          <cell r="AJ209">
            <v>0</v>
          </cell>
          <cell r="AK209">
            <v>1</v>
          </cell>
          <cell r="AL209"/>
          <cell r="AM209"/>
          <cell r="AN209" t="str">
            <v/>
          </cell>
          <cell r="AO209"/>
          <cell r="AP209"/>
          <cell r="AQ209"/>
          <cell r="AR209"/>
          <cell r="AS209">
            <v>68</v>
          </cell>
          <cell r="AT209" t="str">
            <v>503-</v>
          </cell>
          <cell r="AU209" t="str">
            <v/>
          </cell>
          <cell r="AV209"/>
        </row>
        <row r="210">
          <cell r="Z210">
            <v>5075019</v>
          </cell>
          <cell r="AA210" t="str">
            <v>Super Junk Mill 
3-1/2" REG Pin</v>
          </cell>
          <cell r="AB210">
            <v>58</v>
          </cell>
          <cell r="AC210">
            <v>5.5</v>
          </cell>
          <cell r="AD210">
            <v>645</v>
          </cell>
          <cell r="AE210" t="str">
            <v>3-1/2" REG Pin</v>
          </cell>
          <cell r="AF210"/>
          <cell r="AG210" t="str">
            <v>C</v>
          </cell>
          <cell r="AH210" t="str">
            <v xml:space="preserve"> en stock </v>
          </cell>
          <cell r="AI210">
            <v>1</v>
          </cell>
          <cell r="AJ210">
            <v>0</v>
          </cell>
          <cell r="AK210">
            <v>0</v>
          </cell>
          <cell r="AL210"/>
          <cell r="AM210"/>
          <cell r="AN210" t="str">
            <v/>
          </cell>
          <cell r="AO210"/>
          <cell r="AP210"/>
          <cell r="AQ210"/>
          <cell r="AR210"/>
          <cell r="AS210">
            <v>23</v>
          </cell>
          <cell r="AT210" t="str">
            <v>507-</v>
          </cell>
          <cell r="AU210" t="str">
            <v/>
          </cell>
          <cell r="AV210"/>
        </row>
        <row r="211">
          <cell r="Z211">
            <v>5035020</v>
          </cell>
          <cell r="AA211" t="str">
            <v>Junk Mill 
3-1/2" REG Pin</v>
          </cell>
          <cell r="AB211">
            <v>52</v>
          </cell>
          <cell r="AC211">
            <v>6</v>
          </cell>
          <cell r="AD211">
            <v>0</v>
          </cell>
          <cell r="AE211" t="str">
            <v>3-1/2" REG Pin</v>
          </cell>
          <cell r="AF211"/>
          <cell r="AG211" t="str">
            <v>C</v>
          </cell>
          <cell r="AH211" t="str">
            <v>maintenance</v>
          </cell>
          <cell r="AI211" t="str">
            <v/>
          </cell>
          <cell r="AJ211">
            <v>0</v>
          </cell>
          <cell r="AK211">
            <v>1</v>
          </cell>
          <cell r="AL211"/>
          <cell r="AM211"/>
          <cell r="AN211" t="str">
            <v/>
          </cell>
          <cell r="AO211"/>
          <cell r="AP211"/>
          <cell r="AQ211"/>
          <cell r="AR211"/>
          <cell r="AS211">
            <v>34</v>
          </cell>
          <cell r="AT211" t="str">
            <v>503-</v>
          </cell>
          <cell r="AU211" t="str">
            <v/>
          </cell>
          <cell r="AV211"/>
        </row>
        <row r="212">
          <cell r="Z212">
            <v>5035021</v>
          </cell>
          <cell r="AA212" t="str">
            <v>Junk Mill 
3-1/2" REG Pin</v>
          </cell>
          <cell r="AB212">
            <v>50</v>
          </cell>
          <cell r="AC212">
            <v>6</v>
          </cell>
          <cell r="AD212">
            <v>0</v>
          </cell>
          <cell r="AE212" t="str">
            <v>3-1/2" REG Pin</v>
          </cell>
          <cell r="AF212"/>
          <cell r="AG212" t="str">
            <v>C</v>
          </cell>
          <cell r="AH212" t="str">
            <v xml:space="preserve"> en stock </v>
          </cell>
          <cell r="AI212">
            <v>1</v>
          </cell>
          <cell r="AJ212">
            <v>0</v>
          </cell>
          <cell r="AK212">
            <v>0</v>
          </cell>
          <cell r="AL212"/>
          <cell r="AM212"/>
          <cell r="AN212" t="str">
            <v/>
          </cell>
          <cell r="AO212"/>
          <cell r="AP212"/>
          <cell r="AQ212"/>
          <cell r="AR212"/>
          <cell r="AS212">
            <v>33</v>
          </cell>
          <cell r="AT212" t="str">
            <v>503-</v>
          </cell>
          <cell r="AU212" t="str">
            <v/>
          </cell>
          <cell r="AV212"/>
        </row>
        <row r="213">
          <cell r="Z213">
            <v>5035022</v>
          </cell>
          <cell r="AA213" t="str">
            <v>Junk Mill 
3-1/2" REG Pin</v>
          </cell>
          <cell r="AB213">
            <v>66</v>
          </cell>
          <cell r="AC213">
            <v>5.125</v>
          </cell>
          <cell r="AD213">
            <v>2</v>
          </cell>
          <cell r="AE213" t="str">
            <v>3-1/2" REG Pin</v>
          </cell>
          <cell r="AF213"/>
          <cell r="AG213" t="str">
            <v>C</v>
          </cell>
          <cell r="AH213" t="str">
            <v xml:space="preserve"> en stock </v>
          </cell>
          <cell r="AI213">
            <v>1</v>
          </cell>
          <cell r="AJ213">
            <v>0</v>
          </cell>
          <cell r="AK213">
            <v>0</v>
          </cell>
          <cell r="AL213"/>
          <cell r="AM213"/>
          <cell r="AN213" t="str">
            <v/>
          </cell>
          <cell r="AO213"/>
          <cell r="AP213"/>
          <cell r="AQ213"/>
          <cell r="AR213"/>
          <cell r="AS213">
            <v>22</v>
          </cell>
          <cell r="AT213" t="str">
            <v>503-</v>
          </cell>
          <cell r="AU213" t="str">
            <v/>
          </cell>
          <cell r="AV213"/>
        </row>
        <row r="214">
          <cell r="Z214">
            <v>5035023</v>
          </cell>
          <cell r="AA214" t="str">
            <v>Junk Mill 
3-1/2" REG Pin</v>
          </cell>
          <cell r="AB214">
            <v>46</v>
          </cell>
          <cell r="AC214">
            <v>6</v>
          </cell>
          <cell r="AD214">
            <v>0</v>
          </cell>
          <cell r="AE214" t="str">
            <v>3-1/2" REG Pin</v>
          </cell>
          <cell r="AF214"/>
          <cell r="AG214" t="str">
            <v>C</v>
          </cell>
          <cell r="AH214" t="str">
            <v>maintenance</v>
          </cell>
          <cell r="AI214" t="str">
            <v/>
          </cell>
          <cell r="AJ214">
            <v>0</v>
          </cell>
          <cell r="AK214">
            <v>1</v>
          </cell>
          <cell r="AL214"/>
          <cell r="AM214"/>
          <cell r="AN214" t="str">
            <v/>
          </cell>
          <cell r="AO214"/>
          <cell r="AP214"/>
          <cell r="AQ214"/>
          <cell r="AR214"/>
          <cell r="AS214">
            <v>32</v>
          </cell>
          <cell r="AT214" t="str">
            <v>503-</v>
          </cell>
          <cell r="AU214" t="str">
            <v/>
          </cell>
          <cell r="AV214"/>
        </row>
        <row r="215">
          <cell r="Z215">
            <v>5075024</v>
          </cell>
          <cell r="AA215" t="str">
            <v>Super Junk Mill 
2-3/8" REG Pin</v>
          </cell>
          <cell r="AB215">
            <v>22</v>
          </cell>
          <cell r="AC215">
            <v>4.5</v>
          </cell>
          <cell r="AD215">
            <v>525</v>
          </cell>
          <cell r="AE215" t="str">
            <v>2-3/8" REG Pin</v>
          </cell>
          <cell r="AF215"/>
          <cell r="AG215" t="str">
            <v>C</v>
          </cell>
          <cell r="AH215" t="str">
            <v xml:space="preserve"> en stock </v>
          </cell>
          <cell r="AI215">
            <v>1</v>
          </cell>
          <cell r="AJ215">
            <v>0</v>
          </cell>
          <cell r="AK215">
            <v>0</v>
          </cell>
          <cell r="AL215"/>
          <cell r="AM215"/>
          <cell r="AN215" t="str">
            <v/>
          </cell>
          <cell r="AO215"/>
          <cell r="AP215"/>
          <cell r="AQ215"/>
          <cell r="AR215"/>
          <cell r="AS215">
            <v>12</v>
          </cell>
          <cell r="AT215" t="str">
            <v>507-</v>
          </cell>
          <cell r="AU215" t="str">
            <v/>
          </cell>
          <cell r="AV215"/>
        </row>
        <row r="216">
          <cell r="Z216">
            <v>5075025</v>
          </cell>
          <cell r="AA216" t="str">
            <v>Super Junk Mill 
2-3/8" REG Pin</v>
          </cell>
          <cell r="AB216">
            <v>22</v>
          </cell>
          <cell r="AC216">
            <v>4.5</v>
          </cell>
          <cell r="AD216">
            <v>520</v>
          </cell>
          <cell r="AE216" t="str">
            <v>2-3/8" REG Pin</v>
          </cell>
          <cell r="AF216"/>
          <cell r="AG216" t="str">
            <v>C</v>
          </cell>
          <cell r="AH216" t="str">
            <v xml:space="preserve"> en stock </v>
          </cell>
          <cell r="AI216">
            <v>1</v>
          </cell>
          <cell r="AJ216">
            <v>0</v>
          </cell>
          <cell r="AK216">
            <v>0</v>
          </cell>
          <cell r="AL216"/>
          <cell r="AM216"/>
          <cell r="AN216" t="str">
            <v/>
          </cell>
          <cell r="AO216"/>
          <cell r="AP216"/>
          <cell r="AQ216"/>
          <cell r="AR216"/>
          <cell r="AS216">
            <v>13</v>
          </cell>
          <cell r="AT216" t="str">
            <v>507-</v>
          </cell>
          <cell r="AU216" t="str">
            <v/>
          </cell>
          <cell r="AV216"/>
        </row>
        <row r="217">
          <cell r="Z217">
            <v>5075026</v>
          </cell>
          <cell r="AA217"/>
          <cell r="AB217"/>
          <cell r="AC217"/>
          <cell r="AD217"/>
          <cell r="AE217"/>
          <cell r="AF217"/>
          <cell r="AG217"/>
          <cell r="AH217" t="str">
            <v>en stock</v>
          </cell>
          <cell r="AI217"/>
          <cell r="AJ217"/>
          <cell r="AK217"/>
          <cell r="AL217"/>
          <cell r="AM217"/>
          <cell r="AN217" t="str">
            <v/>
          </cell>
          <cell r="AO217"/>
          <cell r="AP217"/>
          <cell r="AQ217"/>
          <cell r="AR217"/>
          <cell r="AS217"/>
          <cell r="AT217" t="str">
            <v>507-</v>
          </cell>
          <cell r="AU217" t="str">
            <v/>
          </cell>
          <cell r="AV217"/>
        </row>
        <row r="218">
          <cell r="Z218">
            <v>5075027</v>
          </cell>
          <cell r="AA218" t="str">
            <v>Super Junk Mill 
6-5/8" REG Pin</v>
          </cell>
          <cell r="AB218">
            <v>156</v>
          </cell>
          <cell r="AC218">
            <v>9.375</v>
          </cell>
          <cell r="AD218">
            <v>600</v>
          </cell>
          <cell r="AE218" t="str">
            <v>6-5/8" REG Pin</v>
          </cell>
          <cell r="AF218"/>
          <cell r="AG218" t="str">
            <v>C</v>
          </cell>
          <cell r="AH218" t="str">
            <v>maintenance</v>
          </cell>
          <cell r="AI218" t="str">
            <v/>
          </cell>
          <cell r="AJ218">
            <v>0</v>
          </cell>
          <cell r="AK218">
            <v>1</v>
          </cell>
          <cell r="AL218"/>
          <cell r="AM218"/>
          <cell r="AN218" t="str">
            <v/>
          </cell>
          <cell r="AO218"/>
          <cell r="AP218"/>
          <cell r="AQ218"/>
          <cell r="AR218"/>
          <cell r="AS218">
            <v>74</v>
          </cell>
          <cell r="AT218" t="str">
            <v>507-</v>
          </cell>
          <cell r="AU218" t="str">
            <v/>
          </cell>
          <cell r="AV218"/>
        </row>
        <row r="219">
          <cell r="Z219">
            <v>5075028</v>
          </cell>
          <cell r="AA219"/>
          <cell r="AB219"/>
          <cell r="AC219"/>
          <cell r="AD219"/>
          <cell r="AE219"/>
          <cell r="AF219"/>
          <cell r="AG219"/>
          <cell r="AH219" t="str">
            <v>en stock</v>
          </cell>
          <cell r="AI219"/>
          <cell r="AJ219"/>
          <cell r="AK219"/>
          <cell r="AL219"/>
          <cell r="AM219"/>
          <cell r="AN219" t="str">
            <v/>
          </cell>
          <cell r="AO219"/>
          <cell r="AP219"/>
          <cell r="AQ219"/>
          <cell r="AR219"/>
          <cell r="AS219"/>
          <cell r="AT219" t="str">
            <v>507-</v>
          </cell>
          <cell r="AU219" t="str">
            <v/>
          </cell>
          <cell r="AV219"/>
        </row>
        <row r="220">
          <cell r="Z220">
            <v>5035029</v>
          </cell>
          <cell r="AA220" t="str">
            <v>Junk Mill 
3-1/2" REG Pin</v>
          </cell>
          <cell r="AB220">
            <v>48</v>
          </cell>
          <cell r="AC220">
            <v>6</v>
          </cell>
          <cell r="AD220">
            <v>0</v>
          </cell>
          <cell r="AE220" t="str">
            <v>3-1/2" REG Pin</v>
          </cell>
          <cell r="AF220"/>
          <cell r="AG220" t="str">
            <v>C</v>
          </cell>
          <cell r="AH220" t="str">
            <v xml:space="preserve"> en stock </v>
          </cell>
          <cell r="AI220">
            <v>1</v>
          </cell>
          <cell r="AJ220">
            <v>0</v>
          </cell>
          <cell r="AK220">
            <v>0</v>
          </cell>
          <cell r="AL220"/>
          <cell r="AM220"/>
          <cell r="AN220" t="str">
            <v/>
          </cell>
          <cell r="AO220"/>
          <cell r="AP220"/>
          <cell r="AQ220"/>
          <cell r="AR220"/>
          <cell r="AS220">
            <v>35</v>
          </cell>
          <cell r="AT220" t="str">
            <v>503-</v>
          </cell>
          <cell r="AU220" t="str">
            <v/>
          </cell>
          <cell r="AV220"/>
        </row>
        <row r="221">
          <cell r="Z221">
            <v>5075030</v>
          </cell>
          <cell r="AA221" t="str">
            <v>Super Junk Mill 
6-5/8" REG Pin</v>
          </cell>
          <cell r="AB221">
            <v>136</v>
          </cell>
          <cell r="AC221">
            <v>12.75</v>
          </cell>
          <cell r="AD221">
            <v>390</v>
          </cell>
          <cell r="AE221" t="str">
            <v>6-5/8" REG Pin</v>
          </cell>
          <cell r="AF221"/>
          <cell r="AG221" t="str">
            <v>C</v>
          </cell>
          <cell r="AH221" t="str">
            <v xml:space="preserve"> en stock </v>
          </cell>
          <cell r="AI221">
            <v>1</v>
          </cell>
          <cell r="AJ221">
            <v>0</v>
          </cell>
          <cell r="AK221">
            <v>0</v>
          </cell>
          <cell r="AL221"/>
          <cell r="AM221"/>
          <cell r="AN221" t="str">
            <v/>
          </cell>
          <cell r="AO221"/>
          <cell r="AP221"/>
          <cell r="AQ221"/>
          <cell r="AR221"/>
          <cell r="AS221">
            <v>86</v>
          </cell>
          <cell r="AT221" t="str">
            <v>507-</v>
          </cell>
          <cell r="AU221" t="str">
            <v/>
          </cell>
          <cell r="AV221"/>
        </row>
        <row r="222">
          <cell r="Z222">
            <v>5085031</v>
          </cell>
          <cell r="AA222"/>
          <cell r="AB222">
            <v>0</v>
          </cell>
          <cell r="AC222">
            <v>6.5</v>
          </cell>
          <cell r="AD222">
            <v>970</v>
          </cell>
          <cell r="AE222" t="str">
            <v>3-1/2" REG Pin</v>
          </cell>
          <cell r="AF222"/>
          <cell r="AG222"/>
          <cell r="AH222" t="str">
            <v>en stock</v>
          </cell>
          <cell r="AI222"/>
          <cell r="AJ222"/>
          <cell r="AK222"/>
          <cell r="AL222"/>
          <cell r="AM222"/>
          <cell r="AN222" t="str">
            <v/>
          </cell>
          <cell r="AO222"/>
          <cell r="AP222"/>
          <cell r="AQ222"/>
          <cell r="AR222"/>
          <cell r="AS222"/>
          <cell r="AT222"/>
          <cell r="AU222" t="str">
            <v/>
          </cell>
          <cell r="AV222"/>
        </row>
        <row r="223">
          <cell r="Z223">
            <v>8135032</v>
          </cell>
          <cell r="AA223"/>
          <cell r="AB223"/>
          <cell r="AC223"/>
          <cell r="AD223"/>
          <cell r="AE223"/>
          <cell r="AF223"/>
          <cell r="AG223"/>
          <cell r="AH223" t="str">
            <v>en stock</v>
          </cell>
          <cell r="AI223"/>
          <cell r="AJ223"/>
          <cell r="AK223"/>
          <cell r="AL223"/>
          <cell r="AM223"/>
          <cell r="AN223" t="str">
            <v/>
          </cell>
          <cell r="AO223"/>
          <cell r="AP223"/>
          <cell r="AQ223"/>
          <cell r="AR223"/>
          <cell r="AS223"/>
          <cell r="AT223"/>
          <cell r="AU223" t="str">
            <v/>
          </cell>
          <cell r="AV223"/>
        </row>
        <row r="224">
          <cell r="Z224">
            <v>8025033</v>
          </cell>
          <cell r="AA224" t="str">
            <v>Bit Sub
3-1/2" IF Box x 3-1/2" REG Box BF</v>
          </cell>
          <cell r="AB224">
            <v>36.509548956562497</v>
          </cell>
          <cell r="AC224">
            <v>4.75</v>
          </cell>
          <cell r="AD224">
            <v>455</v>
          </cell>
          <cell r="AE224" t="str">
            <v>3-1/2" IF Box</v>
          </cell>
          <cell r="AF224" t="str">
            <v>3-1/2" REG Box BF</v>
          </cell>
          <cell r="AG224"/>
          <cell r="AH224" t="str">
            <v>maintenance</v>
          </cell>
          <cell r="AI224" t="str">
            <v/>
          </cell>
          <cell r="AJ224">
            <v>0</v>
          </cell>
          <cell r="AK224">
            <v>1</v>
          </cell>
          <cell r="AL224"/>
          <cell r="AM224"/>
          <cell r="AN224" t="str">
            <v/>
          </cell>
          <cell r="AO224"/>
          <cell r="AP224"/>
          <cell r="AQ224"/>
          <cell r="AR224"/>
          <cell r="AS224">
            <v>34</v>
          </cell>
          <cell r="AT224"/>
          <cell r="AU224" t="str">
            <v/>
          </cell>
          <cell r="AV224"/>
        </row>
        <row r="225">
          <cell r="Z225">
            <v>5055034</v>
          </cell>
          <cell r="AA225" t="str">
            <v>Pilot Mill
4-1/2" IF Box x SJM - Pilot</v>
          </cell>
          <cell r="AB225">
            <v>84</v>
          </cell>
          <cell r="AC225">
            <v>7.5</v>
          </cell>
          <cell r="AD225">
            <v>710</v>
          </cell>
          <cell r="AE225" t="str">
            <v>4-1/2" IF Box</v>
          </cell>
          <cell r="AF225" t="str">
            <v>SJM - Pilot</v>
          </cell>
          <cell r="AG225" t="str">
            <v>carbure</v>
          </cell>
          <cell r="AH225" t="str">
            <v xml:space="preserve"> en stock </v>
          </cell>
          <cell r="AI225">
            <v>1</v>
          </cell>
          <cell r="AJ225">
            <v>0</v>
          </cell>
          <cell r="AK225">
            <v>0</v>
          </cell>
          <cell r="AL225"/>
          <cell r="AM225"/>
          <cell r="AN225" t="str">
            <v/>
          </cell>
          <cell r="AO225"/>
          <cell r="AP225"/>
          <cell r="AQ225"/>
          <cell r="AR225"/>
          <cell r="AS225">
            <v>13</v>
          </cell>
          <cell r="AT225"/>
          <cell r="AU225" t="str">
            <v/>
          </cell>
          <cell r="AV225"/>
        </row>
        <row r="226">
          <cell r="Z226">
            <v>5075035</v>
          </cell>
          <cell r="AA226" t="str">
            <v>Super Junk Mill 
6-5/8" REG Pin</v>
          </cell>
          <cell r="AB226">
            <v>182</v>
          </cell>
          <cell r="AC226">
            <v>11.625</v>
          </cell>
          <cell r="AD226">
            <v>650</v>
          </cell>
          <cell r="AE226" t="str">
            <v>6-5/8" REG Pin</v>
          </cell>
          <cell r="AF226"/>
          <cell r="AG226" t="str">
            <v>C</v>
          </cell>
          <cell r="AH226" t="str">
            <v xml:space="preserve"> en stock </v>
          </cell>
          <cell r="AI226">
            <v>1</v>
          </cell>
          <cell r="AJ226">
            <v>0</v>
          </cell>
          <cell r="AK226">
            <v>0</v>
          </cell>
          <cell r="AL226"/>
          <cell r="AM226"/>
          <cell r="AN226" t="str">
            <v/>
          </cell>
          <cell r="AO226"/>
          <cell r="AP226"/>
          <cell r="AQ226"/>
          <cell r="AR226"/>
          <cell r="AS226">
            <v>80</v>
          </cell>
          <cell r="AT226" t="str">
            <v>507-</v>
          </cell>
          <cell r="AU226" t="str">
            <v/>
          </cell>
          <cell r="AV226"/>
        </row>
        <row r="227">
          <cell r="Z227">
            <v>5035036</v>
          </cell>
          <cell r="AA227"/>
          <cell r="AB227"/>
          <cell r="AC227"/>
          <cell r="AD227"/>
          <cell r="AE227"/>
          <cell r="AF227"/>
          <cell r="AG227"/>
          <cell r="AH227" t="str">
            <v>en stock</v>
          </cell>
          <cell r="AI227"/>
          <cell r="AJ227"/>
          <cell r="AK227"/>
          <cell r="AL227"/>
          <cell r="AM227"/>
          <cell r="AN227" t="str">
            <v/>
          </cell>
          <cell r="AO227"/>
          <cell r="AP227" t="str">
            <v>x</v>
          </cell>
          <cell r="AQ227"/>
          <cell r="AR227"/>
          <cell r="AS227"/>
          <cell r="AT227"/>
          <cell r="AU227" t="str">
            <v/>
          </cell>
          <cell r="AV227"/>
        </row>
        <row r="228">
          <cell r="Z228">
            <v>5035037</v>
          </cell>
          <cell r="AA228" t="str">
            <v>Junk Mill 
6-5/8" REG Pin</v>
          </cell>
          <cell r="AB228">
            <v>178</v>
          </cell>
          <cell r="AC228">
            <v>12.0625</v>
          </cell>
          <cell r="AD228">
            <v>0</v>
          </cell>
          <cell r="AE228" t="str">
            <v>6-5/8" REG Pin</v>
          </cell>
          <cell r="AF228"/>
          <cell r="AG228" t="str">
            <v>C</v>
          </cell>
          <cell r="AH228" t="str">
            <v xml:space="preserve"> en stock </v>
          </cell>
          <cell r="AI228">
            <v>1</v>
          </cell>
          <cell r="AJ228">
            <v>0</v>
          </cell>
          <cell r="AK228">
            <v>0</v>
          </cell>
          <cell r="AL228"/>
          <cell r="AM228"/>
          <cell r="AN228" t="str">
            <v/>
          </cell>
          <cell r="AO228"/>
          <cell r="AP228"/>
          <cell r="AQ228"/>
          <cell r="AR228"/>
          <cell r="AS228">
            <v>89</v>
          </cell>
          <cell r="AT228" t="str">
            <v>503-</v>
          </cell>
          <cell r="AU228" t="str">
            <v/>
          </cell>
          <cell r="AV228"/>
        </row>
        <row r="229">
          <cell r="Z229">
            <v>5035038</v>
          </cell>
          <cell r="AA229"/>
          <cell r="AB229"/>
          <cell r="AC229"/>
          <cell r="AD229"/>
          <cell r="AE229"/>
          <cell r="AF229"/>
          <cell r="AG229"/>
          <cell r="AH229" t="str">
            <v>en stock</v>
          </cell>
          <cell r="AI229"/>
          <cell r="AJ229"/>
          <cell r="AK229"/>
          <cell r="AL229"/>
          <cell r="AM229"/>
          <cell r="AN229" t="str">
            <v/>
          </cell>
          <cell r="AO229"/>
          <cell r="AP229"/>
          <cell r="AQ229"/>
          <cell r="AR229"/>
          <cell r="AS229"/>
          <cell r="AT229"/>
          <cell r="AU229" t="str">
            <v/>
          </cell>
          <cell r="AV229"/>
        </row>
        <row r="230">
          <cell r="Z230">
            <v>5035039</v>
          </cell>
          <cell r="AA230"/>
          <cell r="AB230"/>
          <cell r="AC230"/>
          <cell r="AD230"/>
          <cell r="AE230"/>
          <cell r="AF230"/>
          <cell r="AG230"/>
          <cell r="AH230" t="str">
            <v>en stock</v>
          </cell>
          <cell r="AI230"/>
          <cell r="AJ230"/>
          <cell r="AK230"/>
          <cell r="AL230"/>
          <cell r="AM230"/>
          <cell r="AN230" t="str">
            <v/>
          </cell>
          <cell r="AO230"/>
          <cell r="AP230"/>
          <cell r="AQ230"/>
          <cell r="AR230"/>
          <cell r="AS230"/>
          <cell r="AT230"/>
          <cell r="AU230" t="str">
            <v/>
          </cell>
          <cell r="AV230"/>
        </row>
        <row r="231">
          <cell r="Z231">
            <v>5035040</v>
          </cell>
          <cell r="AA231" t="str">
            <v>Junk Mill 
4-1/2" REG Pin</v>
          </cell>
          <cell r="AB231">
            <v>96</v>
          </cell>
          <cell r="AC231">
            <v>8.5</v>
          </cell>
          <cell r="AD231">
            <v>0</v>
          </cell>
          <cell r="AE231" t="str">
            <v>4-1/2" REG Pin</v>
          </cell>
          <cell r="AF231"/>
          <cell r="AG231" t="str">
            <v>Insert</v>
          </cell>
          <cell r="AH231" t="str">
            <v>maintenance</v>
          </cell>
          <cell r="AI231" t="str">
            <v/>
          </cell>
          <cell r="AJ231">
            <v>0</v>
          </cell>
          <cell r="AK231">
            <v>1</v>
          </cell>
          <cell r="AL231"/>
          <cell r="AM231"/>
          <cell r="AN231" t="str">
            <v/>
          </cell>
          <cell r="AO231"/>
          <cell r="AP231"/>
          <cell r="AQ231"/>
          <cell r="AR231"/>
          <cell r="AS231">
            <v>72</v>
          </cell>
          <cell r="AT231" t="str">
            <v>503-</v>
          </cell>
          <cell r="AU231" t="str">
            <v/>
          </cell>
          <cell r="AV231"/>
        </row>
        <row r="232">
          <cell r="Z232">
            <v>5075041</v>
          </cell>
          <cell r="AA232"/>
          <cell r="AB232"/>
          <cell r="AC232"/>
          <cell r="AD232"/>
          <cell r="AE232"/>
          <cell r="AF232"/>
          <cell r="AG232"/>
          <cell r="AH232" t="str">
            <v>en stock</v>
          </cell>
          <cell r="AI232"/>
          <cell r="AJ232"/>
          <cell r="AK232"/>
          <cell r="AL232"/>
          <cell r="AM232"/>
          <cell r="AN232" t="str">
            <v/>
          </cell>
          <cell r="AO232"/>
          <cell r="AP232"/>
          <cell r="AQ232"/>
          <cell r="AR232"/>
          <cell r="AS232"/>
          <cell r="AT232"/>
          <cell r="AU232" t="str">
            <v/>
          </cell>
          <cell r="AV232"/>
        </row>
        <row r="233">
          <cell r="Z233">
            <v>5075042</v>
          </cell>
          <cell r="AA233" t="str">
            <v>Super Junk Mill 
6-5/8" REG Pin</v>
          </cell>
          <cell r="AB233">
            <v>222</v>
          </cell>
          <cell r="AC233">
            <v>12</v>
          </cell>
          <cell r="AD233">
            <v>760</v>
          </cell>
          <cell r="AE233" t="str">
            <v>6-5/8" REG Pin</v>
          </cell>
          <cell r="AF233"/>
          <cell r="AG233" t="str">
            <v>C</v>
          </cell>
          <cell r="AH233" t="str">
            <v>maintenance</v>
          </cell>
          <cell r="AI233" t="str">
            <v/>
          </cell>
          <cell r="AJ233">
            <v>0</v>
          </cell>
          <cell r="AK233">
            <v>1</v>
          </cell>
          <cell r="AL233"/>
          <cell r="AM233"/>
          <cell r="AN233" t="str">
            <v/>
          </cell>
          <cell r="AO233"/>
          <cell r="AP233"/>
          <cell r="AQ233"/>
          <cell r="AR233"/>
          <cell r="AS233">
            <v>78</v>
          </cell>
          <cell r="AT233" t="str">
            <v>507-</v>
          </cell>
          <cell r="AU233" t="str">
            <v/>
          </cell>
          <cell r="AV233"/>
        </row>
        <row r="234">
          <cell r="Z234">
            <v>5025043</v>
          </cell>
          <cell r="AA234" t="str">
            <v>Economill 
6-5/8" REG Pin</v>
          </cell>
          <cell r="AB234">
            <v>76</v>
          </cell>
          <cell r="AC234">
            <v>12.125</v>
          </cell>
          <cell r="AD234">
            <v>165</v>
          </cell>
          <cell r="AE234" t="str">
            <v>6-5/8" REG Pin</v>
          </cell>
          <cell r="AF234"/>
          <cell r="AG234" t="str">
            <v>C</v>
          </cell>
          <cell r="AH234" t="str">
            <v>maintenance</v>
          </cell>
          <cell r="AI234" t="str">
            <v/>
          </cell>
          <cell r="AJ234">
            <v>0</v>
          </cell>
          <cell r="AK234">
            <v>1</v>
          </cell>
          <cell r="AL234"/>
          <cell r="AM234"/>
          <cell r="AN234" t="str">
            <v/>
          </cell>
          <cell r="AO234"/>
          <cell r="AP234"/>
          <cell r="AQ234"/>
          <cell r="AR234"/>
          <cell r="AS234">
            <v>60</v>
          </cell>
          <cell r="AT234"/>
          <cell r="AU234" t="str">
            <v/>
          </cell>
          <cell r="AV234"/>
        </row>
        <row r="235">
          <cell r="Z235">
            <v>5025044</v>
          </cell>
          <cell r="AA235" t="str">
            <v>Economill 
4-1/2" REG Pin</v>
          </cell>
          <cell r="AB235">
            <v>32</v>
          </cell>
          <cell r="AC235">
            <v>8.1875</v>
          </cell>
          <cell r="AD235">
            <v>130</v>
          </cell>
          <cell r="AE235" t="str">
            <v>4-1/2" REG Pin</v>
          </cell>
          <cell r="AF235"/>
          <cell r="AG235" t="str">
            <v>C</v>
          </cell>
          <cell r="AH235" t="str">
            <v xml:space="preserve"> en stock </v>
          </cell>
          <cell r="AI235">
            <v>1</v>
          </cell>
          <cell r="AJ235">
            <v>0</v>
          </cell>
          <cell r="AK235">
            <v>0</v>
          </cell>
          <cell r="AL235"/>
          <cell r="AM235"/>
          <cell r="AN235" t="str">
            <v/>
          </cell>
          <cell r="AO235"/>
          <cell r="AP235"/>
          <cell r="AQ235"/>
          <cell r="AR235"/>
          <cell r="AS235">
            <v>52</v>
          </cell>
          <cell r="AT235"/>
          <cell r="AU235" t="str">
            <v/>
          </cell>
          <cell r="AV235"/>
        </row>
        <row r="236">
          <cell r="Z236">
            <v>5025045</v>
          </cell>
          <cell r="AA236" t="str">
            <v>Economill 
4-1/2" REG Pin</v>
          </cell>
          <cell r="AB236">
            <v>36</v>
          </cell>
          <cell r="AC236">
            <v>9.875</v>
          </cell>
          <cell r="AD236">
            <v>140</v>
          </cell>
          <cell r="AE236" t="str">
            <v>4-1/2" REG Pin</v>
          </cell>
          <cell r="AF236"/>
          <cell r="AG236" t="str">
            <v>C</v>
          </cell>
          <cell r="AH236" t="str">
            <v xml:space="preserve"> en stock </v>
          </cell>
          <cell r="AI236">
            <v>1</v>
          </cell>
          <cell r="AJ236">
            <v>0</v>
          </cell>
          <cell r="AK236">
            <v>0</v>
          </cell>
          <cell r="AL236"/>
          <cell r="AM236"/>
          <cell r="AN236" t="str">
            <v/>
          </cell>
          <cell r="AO236"/>
          <cell r="AP236"/>
          <cell r="AQ236"/>
          <cell r="AR236"/>
          <cell r="AS236">
            <v>59</v>
          </cell>
          <cell r="AT236"/>
          <cell r="AU236" t="str">
            <v/>
          </cell>
          <cell r="AV236"/>
        </row>
        <row r="237">
          <cell r="Z237">
            <v>5115046</v>
          </cell>
          <cell r="AA237" t="str">
            <v>WO Shoe
5-1/2" FJWP Box</v>
          </cell>
          <cell r="AB237">
            <v>12</v>
          </cell>
          <cell r="AC237" t="str">
            <v>flush</v>
          </cell>
          <cell r="AD237">
            <v>535</v>
          </cell>
          <cell r="AE237" t="str">
            <v>5-1/2" FJWP Box</v>
          </cell>
          <cell r="AF237"/>
          <cell r="AG237" t="str">
            <v>carbide</v>
          </cell>
          <cell r="AH237" t="str">
            <v xml:space="preserve"> en stock </v>
          </cell>
          <cell r="AI237">
            <v>1</v>
          </cell>
          <cell r="AJ237">
            <v>0</v>
          </cell>
          <cell r="AK237">
            <v>0</v>
          </cell>
          <cell r="AL237" t="str">
            <v>H6</v>
          </cell>
          <cell r="AM237"/>
          <cell r="AN237" t="str">
            <v/>
          </cell>
          <cell r="AO237"/>
          <cell r="AP237"/>
          <cell r="AQ237"/>
          <cell r="AR237"/>
          <cell r="AS237">
            <v>96</v>
          </cell>
          <cell r="AT237"/>
          <cell r="AU237" t="str">
            <v/>
          </cell>
          <cell r="AV237"/>
        </row>
        <row r="238">
          <cell r="Z238">
            <v>5115047</v>
          </cell>
          <cell r="AA238" t="str">
            <v>WO Shoe
5-1/2" FJWP Box</v>
          </cell>
          <cell r="AB238">
            <v>12</v>
          </cell>
          <cell r="AC238">
            <v>6.0625</v>
          </cell>
          <cell r="AD238">
            <v>410</v>
          </cell>
          <cell r="AE238" t="str">
            <v>5-1/2" FJWP Box</v>
          </cell>
          <cell r="AF238"/>
          <cell r="AG238" t="str">
            <v>CC</v>
          </cell>
          <cell r="AH238" t="str">
            <v>maintenance</v>
          </cell>
          <cell r="AI238" t="str">
            <v/>
          </cell>
          <cell r="AJ238">
            <v>0</v>
          </cell>
          <cell r="AK238">
            <v>1</v>
          </cell>
          <cell r="AL238"/>
          <cell r="AM238"/>
          <cell r="AN238" t="str">
            <v/>
          </cell>
          <cell r="AO238"/>
          <cell r="AP238"/>
          <cell r="AQ238"/>
          <cell r="AR238"/>
          <cell r="AS238">
            <v>100</v>
          </cell>
          <cell r="AT238"/>
          <cell r="AU238" t="str">
            <v/>
          </cell>
          <cell r="AV238"/>
        </row>
        <row r="239">
          <cell r="Z239">
            <v>5115048</v>
          </cell>
          <cell r="AA239" t="str">
            <v>WO Shoe
5-1/2" FJWP Box</v>
          </cell>
          <cell r="AB239">
            <v>14</v>
          </cell>
          <cell r="AC239">
            <v>5.9375</v>
          </cell>
          <cell r="AD239">
            <v>460</v>
          </cell>
          <cell r="AE239" t="str">
            <v>5-1/2" FJWP Box</v>
          </cell>
          <cell r="AF239"/>
          <cell r="AG239" t="str">
            <v>CC</v>
          </cell>
          <cell r="AH239" t="str">
            <v>maintenance</v>
          </cell>
          <cell r="AI239" t="str">
            <v/>
          </cell>
          <cell r="AJ239">
            <v>0</v>
          </cell>
          <cell r="AK239">
            <v>1</v>
          </cell>
          <cell r="AL239"/>
          <cell r="AM239"/>
          <cell r="AN239" t="str">
            <v/>
          </cell>
          <cell r="AO239"/>
          <cell r="AP239"/>
          <cell r="AQ239"/>
          <cell r="AR239"/>
          <cell r="AS239">
            <v>102</v>
          </cell>
          <cell r="AT239"/>
          <cell r="AU239" t="str">
            <v/>
          </cell>
          <cell r="AV239"/>
        </row>
        <row r="240">
          <cell r="Z240">
            <v>5115049</v>
          </cell>
          <cell r="AA240" t="str">
            <v>WO Shoe
5-1/2" FJWP Box</v>
          </cell>
          <cell r="AB240">
            <v>12</v>
          </cell>
          <cell r="AC240" t="str">
            <v>flush</v>
          </cell>
          <cell r="AD240">
            <v>490</v>
          </cell>
          <cell r="AE240" t="str">
            <v>5-1/2" FJWP Box</v>
          </cell>
          <cell r="AF240"/>
          <cell r="AG240" t="str">
            <v>CC</v>
          </cell>
          <cell r="AH240" t="str">
            <v xml:space="preserve"> en stock </v>
          </cell>
          <cell r="AI240">
            <v>1</v>
          </cell>
          <cell r="AJ240">
            <v>0</v>
          </cell>
          <cell r="AK240">
            <v>0</v>
          </cell>
          <cell r="AL240"/>
          <cell r="AM240"/>
          <cell r="AN240" t="str">
            <v/>
          </cell>
          <cell r="AO240"/>
          <cell r="AP240"/>
          <cell r="AQ240"/>
          <cell r="AR240"/>
          <cell r="AS240">
            <v>101</v>
          </cell>
          <cell r="AT240"/>
          <cell r="AU240" t="str">
            <v/>
          </cell>
          <cell r="AV240"/>
        </row>
        <row r="241">
          <cell r="Z241">
            <v>5115050</v>
          </cell>
          <cell r="AA241"/>
          <cell r="AB241"/>
          <cell r="AC241"/>
          <cell r="AD241"/>
          <cell r="AE241"/>
          <cell r="AF241"/>
          <cell r="AG241"/>
          <cell r="AH241" t="str">
            <v>en stock</v>
          </cell>
          <cell r="AI241"/>
          <cell r="AJ241"/>
          <cell r="AK241"/>
          <cell r="AL241"/>
          <cell r="AM241"/>
          <cell r="AN241" t="str">
            <v/>
          </cell>
          <cell r="AO241"/>
          <cell r="AP241"/>
          <cell r="AQ241"/>
          <cell r="AR241"/>
          <cell r="AS241"/>
          <cell r="AT241"/>
          <cell r="AU241" t="str">
            <v/>
          </cell>
          <cell r="AV241"/>
        </row>
        <row r="242">
          <cell r="Z242">
            <v>5115051</v>
          </cell>
          <cell r="AA242" t="str">
            <v>WO Shoe
5-1/2" FJWP Box</v>
          </cell>
          <cell r="AB242">
            <v>12</v>
          </cell>
          <cell r="AC242" t="str">
            <v>flush</v>
          </cell>
          <cell r="AD242">
            <v>460</v>
          </cell>
          <cell r="AE242" t="str">
            <v>5-1/2" FJWP Box</v>
          </cell>
          <cell r="AF242"/>
          <cell r="AG242" t="str">
            <v>carbide</v>
          </cell>
          <cell r="AH242" t="str">
            <v xml:space="preserve"> en stock </v>
          </cell>
          <cell r="AI242">
            <v>1</v>
          </cell>
          <cell r="AJ242">
            <v>0</v>
          </cell>
          <cell r="AK242">
            <v>0</v>
          </cell>
          <cell r="AL242" t="str">
            <v>H6</v>
          </cell>
          <cell r="AM242"/>
          <cell r="AN242" t="str">
            <v/>
          </cell>
          <cell r="AO242"/>
          <cell r="AP242"/>
          <cell r="AQ242"/>
          <cell r="AR242"/>
          <cell r="AS242">
            <v>97</v>
          </cell>
          <cell r="AT242"/>
          <cell r="AU242" t="str">
            <v/>
          </cell>
          <cell r="AV242"/>
        </row>
        <row r="243">
          <cell r="Z243">
            <v>8135052</v>
          </cell>
          <cell r="AA243" t="str">
            <v>XO
4-1/2" IF Pin x 4-1/2" IF Pin</v>
          </cell>
          <cell r="AB243">
            <v>31.030956284737492</v>
          </cell>
          <cell r="AC243">
            <v>6.375</v>
          </cell>
          <cell r="AD243">
            <v>240</v>
          </cell>
          <cell r="AE243" t="str">
            <v>4-1/2" IF Pin</v>
          </cell>
          <cell r="AF243" t="str">
            <v>4-1/2" IF Pin</v>
          </cell>
          <cell r="AG243"/>
          <cell r="AH243" t="str">
            <v xml:space="preserve"> en stock </v>
          </cell>
          <cell r="AI243">
            <v>1</v>
          </cell>
          <cell r="AJ243">
            <v>0</v>
          </cell>
          <cell r="AK243">
            <v>0</v>
          </cell>
          <cell r="AL243"/>
          <cell r="AM243"/>
          <cell r="AN243" t="str">
            <v/>
          </cell>
          <cell r="AO243"/>
          <cell r="AP243"/>
          <cell r="AQ243"/>
          <cell r="AR243"/>
          <cell r="AS243">
            <v>169</v>
          </cell>
          <cell r="AT243"/>
          <cell r="AU243" t="str">
            <v/>
          </cell>
          <cell r="AV243"/>
        </row>
        <row r="244">
          <cell r="Z244">
            <v>8135053</v>
          </cell>
          <cell r="AA244" t="str">
            <v>XO
4" IF Pin x 4-1/2" REG Pin</v>
          </cell>
          <cell r="AB244">
            <v>24.531454162799989</v>
          </cell>
          <cell r="AC244">
            <v>5.8125</v>
          </cell>
          <cell r="AD244">
            <v>240</v>
          </cell>
          <cell r="AE244" t="str">
            <v>4" IF Pin</v>
          </cell>
          <cell r="AF244" t="str">
            <v>4-1/2" REG Pin</v>
          </cell>
          <cell r="AG244"/>
          <cell r="AH244" t="str">
            <v xml:space="preserve"> en stock </v>
          </cell>
          <cell r="AI244">
            <v>1</v>
          </cell>
          <cell r="AJ244">
            <v>0</v>
          </cell>
          <cell r="AK244">
            <v>0</v>
          </cell>
          <cell r="AL244"/>
          <cell r="AM244"/>
          <cell r="AN244" t="str">
            <v/>
          </cell>
          <cell r="AO244"/>
          <cell r="AP244"/>
          <cell r="AQ244"/>
          <cell r="AR244"/>
          <cell r="AS244">
            <v>149</v>
          </cell>
          <cell r="AT244"/>
          <cell r="AU244" t="str">
            <v/>
          </cell>
          <cell r="AV244"/>
        </row>
        <row r="245">
          <cell r="Z245">
            <v>8025054</v>
          </cell>
          <cell r="AA245" t="str">
            <v>Bit Sub
4" IF Box x 4-1/2" REG Box</v>
          </cell>
          <cell r="AB245">
            <v>52.853358708393735</v>
          </cell>
          <cell r="AC245">
            <v>6</v>
          </cell>
          <cell r="AD245">
            <v>510</v>
          </cell>
          <cell r="AE245" t="str">
            <v>4" IF Box</v>
          </cell>
          <cell r="AF245" t="str">
            <v>4-1/2" REG Box</v>
          </cell>
          <cell r="AG245"/>
          <cell r="AH245" t="str">
            <v xml:space="preserve"> en stock </v>
          </cell>
          <cell r="AI245">
            <v>1</v>
          </cell>
          <cell r="AJ245">
            <v>0</v>
          </cell>
          <cell r="AK245">
            <v>0</v>
          </cell>
          <cell r="AL245"/>
          <cell r="AM245"/>
          <cell r="AN245" t="str">
            <v/>
          </cell>
          <cell r="AO245"/>
          <cell r="AP245"/>
          <cell r="AQ245"/>
          <cell r="AR245"/>
          <cell r="AS245">
            <v>45</v>
          </cell>
          <cell r="AT245"/>
          <cell r="AU245" t="str">
            <v/>
          </cell>
          <cell r="AV245"/>
        </row>
        <row r="246">
          <cell r="Z246">
            <v>8025055</v>
          </cell>
          <cell r="AA246" t="str">
            <v>Bit Sub
2-7/8" IF Box x 3-1/2" REG Box</v>
          </cell>
          <cell r="AB246">
            <v>21.447431147390628</v>
          </cell>
          <cell r="AC246">
            <v>4.8125</v>
          </cell>
          <cell r="AD246">
            <v>300</v>
          </cell>
          <cell r="AE246" t="str">
            <v>2-7/8" IF Box</v>
          </cell>
          <cell r="AF246" t="str">
            <v>3-1/2" REG Box</v>
          </cell>
          <cell r="AG246"/>
          <cell r="AH246" t="str">
            <v xml:space="preserve"> en stock </v>
          </cell>
          <cell r="AI246">
            <v>1</v>
          </cell>
          <cell r="AJ246">
            <v>0</v>
          </cell>
          <cell r="AK246">
            <v>0</v>
          </cell>
          <cell r="AL246"/>
          <cell r="AM246"/>
          <cell r="AN246" t="str">
            <v/>
          </cell>
          <cell r="AO246"/>
          <cell r="AP246"/>
          <cell r="AQ246"/>
          <cell r="AR246"/>
          <cell r="AS246">
            <v>22</v>
          </cell>
          <cell r="AT246"/>
          <cell r="AU246" t="str">
            <v/>
          </cell>
          <cell r="AV246"/>
        </row>
        <row r="247">
          <cell r="Z247">
            <v>8025056</v>
          </cell>
          <cell r="AA247" t="str">
            <v>Bit Sub
3-1/2" IF Box x 3-1/2" IF Box</v>
          </cell>
          <cell r="AB247">
            <v>24.733290553481247</v>
          </cell>
          <cell r="AC247">
            <v>4.75</v>
          </cell>
          <cell r="AD247">
            <v>370</v>
          </cell>
          <cell r="AE247" t="str">
            <v>3-1/2" IF Box</v>
          </cell>
          <cell r="AF247" t="str">
            <v>3-1/2" IF Box</v>
          </cell>
          <cell r="AG247"/>
          <cell r="AH247" t="str">
            <v>maintenance</v>
          </cell>
          <cell r="AI247" t="str">
            <v/>
          </cell>
          <cell r="AJ247">
            <v>0</v>
          </cell>
          <cell r="AK247">
            <v>1</v>
          </cell>
          <cell r="AL247"/>
          <cell r="AM247"/>
          <cell r="AN247">
            <v>8025104</v>
          </cell>
          <cell r="AO247"/>
          <cell r="AP247"/>
          <cell r="AQ247"/>
          <cell r="AR247"/>
          <cell r="AS247">
            <v>30</v>
          </cell>
          <cell r="AT247"/>
          <cell r="AU247" t="str">
            <v>réattribution n° d'immo</v>
          </cell>
          <cell r="AV247"/>
        </row>
        <row r="248">
          <cell r="Z248">
            <v>8025057</v>
          </cell>
          <cell r="AA248" t="str">
            <v>Bit Sub
6-5/8" REG Box x 6-5/8" REG Box BF</v>
          </cell>
          <cell r="AB248">
            <v>138.74400149329688</v>
          </cell>
          <cell r="AC248">
            <v>8</v>
          </cell>
          <cell r="AD248">
            <v>860</v>
          </cell>
          <cell r="AE248" t="str">
            <v>6-5/8" REG Box</v>
          </cell>
          <cell r="AF248" t="str">
            <v>6-5/8" REG Box BF</v>
          </cell>
          <cell r="AG248"/>
          <cell r="AH248" t="str">
            <v>maintenance</v>
          </cell>
          <cell r="AI248" t="str">
            <v/>
          </cell>
          <cell r="AJ248">
            <v>0</v>
          </cell>
          <cell r="AK248">
            <v>1</v>
          </cell>
          <cell r="AL248"/>
          <cell r="AM248"/>
          <cell r="AN248" t="str">
            <v/>
          </cell>
          <cell r="AO248"/>
          <cell r="AP248"/>
          <cell r="AQ248"/>
          <cell r="AR248"/>
          <cell r="AS248">
            <v>57</v>
          </cell>
          <cell r="AT248"/>
          <cell r="AU248" t="str">
            <v/>
          </cell>
          <cell r="AV248"/>
        </row>
        <row r="249">
          <cell r="Z249">
            <v>8135058</v>
          </cell>
          <cell r="AA249"/>
          <cell r="AB249"/>
          <cell r="AC249"/>
          <cell r="AD249"/>
          <cell r="AE249"/>
          <cell r="AF249"/>
          <cell r="AG249"/>
          <cell r="AH249" t="str">
            <v>en stock</v>
          </cell>
          <cell r="AI249"/>
          <cell r="AJ249"/>
          <cell r="AK249"/>
          <cell r="AL249"/>
          <cell r="AM249"/>
          <cell r="AN249" t="str">
            <v/>
          </cell>
          <cell r="AO249"/>
          <cell r="AP249"/>
          <cell r="AQ249"/>
          <cell r="AR249"/>
          <cell r="AS249"/>
          <cell r="AT249"/>
          <cell r="AU249" t="str">
            <v/>
          </cell>
          <cell r="AV249"/>
        </row>
        <row r="250">
          <cell r="Z250">
            <v>8025059</v>
          </cell>
          <cell r="AA250"/>
          <cell r="AB250"/>
          <cell r="AC250"/>
          <cell r="AD250"/>
          <cell r="AE250"/>
          <cell r="AF250"/>
          <cell r="AG250"/>
          <cell r="AH250" t="str">
            <v>en stock</v>
          </cell>
          <cell r="AI250"/>
          <cell r="AJ250"/>
          <cell r="AK250"/>
          <cell r="AL250"/>
          <cell r="AM250"/>
          <cell r="AN250" t="str">
            <v/>
          </cell>
          <cell r="AO250"/>
          <cell r="AP250"/>
          <cell r="AQ250"/>
          <cell r="AR250"/>
          <cell r="AS250"/>
          <cell r="AT250"/>
          <cell r="AU250" t="str">
            <v/>
          </cell>
          <cell r="AV250"/>
        </row>
        <row r="251">
          <cell r="Z251">
            <v>8025060</v>
          </cell>
          <cell r="AA251"/>
          <cell r="AB251"/>
          <cell r="AC251"/>
          <cell r="AD251"/>
          <cell r="AE251"/>
          <cell r="AF251"/>
          <cell r="AG251"/>
          <cell r="AH251" t="str">
            <v>en stock</v>
          </cell>
          <cell r="AI251"/>
          <cell r="AJ251"/>
          <cell r="AK251"/>
          <cell r="AL251"/>
          <cell r="AM251"/>
          <cell r="AN251" t="str">
            <v>cf 8025064</v>
          </cell>
          <cell r="AO251"/>
          <cell r="AP251"/>
          <cell r="AQ251"/>
          <cell r="AR251"/>
          <cell r="AS251"/>
          <cell r="AT251"/>
          <cell r="AU251" t="str">
            <v>réattribution n° d'immo</v>
          </cell>
          <cell r="AV251"/>
        </row>
        <row r="252">
          <cell r="Z252">
            <v>8025061</v>
          </cell>
          <cell r="AA252" t="str">
            <v>Bit Sub
4" IF Box x 4-1/2" REG Box</v>
          </cell>
          <cell r="AB252">
            <v>54.563721517499999</v>
          </cell>
          <cell r="AC252">
            <v>5.875</v>
          </cell>
          <cell r="AD252">
            <v>500</v>
          </cell>
          <cell r="AE252" t="str">
            <v>4" IF Box</v>
          </cell>
          <cell r="AF252" t="str">
            <v>4-1/2" REG Box</v>
          </cell>
          <cell r="AG252"/>
          <cell r="AH252" t="str">
            <v>maintenance</v>
          </cell>
          <cell r="AI252" t="str">
            <v/>
          </cell>
          <cell r="AJ252">
            <v>0</v>
          </cell>
          <cell r="AK252">
            <v>1</v>
          </cell>
          <cell r="AL252"/>
          <cell r="AM252"/>
          <cell r="AN252" t="str">
            <v/>
          </cell>
          <cell r="AO252"/>
          <cell r="AP252"/>
          <cell r="AQ252"/>
          <cell r="AR252"/>
          <cell r="AS252">
            <v>43</v>
          </cell>
          <cell r="AT252"/>
          <cell r="AU252" t="str">
            <v/>
          </cell>
          <cell r="AV252"/>
        </row>
        <row r="253">
          <cell r="Z253">
            <v>8135062</v>
          </cell>
          <cell r="AA253" t="str">
            <v>XO
4" IF Pin x 4-1/2" REG Pin</v>
          </cell>
          <cell r="AB253">
            <v>31.772257523906251</v>
          </cell>
          <cell r="AC253">
            <v>6.25</v>
          </cell>
          <cell r="AD253">
            <v>250</v>
          </cell>
          <cell r="AE253" t="str">
            <v>4" IF Pin</v>
          </cell>
          <cell r="AF253" t="str">
            <v>4-1/2" REG Pin</v>
          </cell>
          <cell r="AG253"/>
          <cell r="AH253" t="str">
            <v>maintenance</v>
          </cell>
          <cell r="AI253" t="str">
            <v/>
          </cell>
          <cell r="AJ253">
            <v>0</v>
          </cell>
          <cell r="AK253">
            <v>1</v>
          </cell>
          <cell r="AL253"/>
          <cell r="AM253"/>
          <cell r="AN253">
            <v>8135062</v>
          </cell>
          <cell r="AO253"/>
          <cell r="AP253"/>
          <cell r="AQ253"/>
          <cell r="AR253"/>
          <cell r="AS253">
            <v>148</v>
          </cell>
          <cell r="AT253"/>
          <cell r="AU253" t="str">
            <v/>
          </cell>
          <cell r="AV253"/>
        </row>
        <row r="254">
          <cell r="Z254">
            <v>8135063</v>
          </cell>
          <cell r="AA254" t="str">
            <v>XO
2-3/8" IF Pin x 3-1/2" REG Pin</v>
          </cell>
          <cell r="AB254">
            <v>11.949701906999998</v>
          </cell>
          <cell r="AC254">
            <v>4</v>
          </cell>
          <cell r="AD254">
            <v>220</v>
          </cell>
          <cell r="AE254" t="str">
            <v>2-3/8" IF Pin</v>
          </cell>
          <cell r="AF254" t="str">
            <v>3-1/2" REG Pin</v>
          </cell>
          <cell r="AG254"/>
          <cell r="AH254" t="str">
            <v xml:space="preserve"> en stock </v>
          </cell>
          <cell r="AI254">
            <v>1</v>
          </cell>
          <cell r="AJ254">
            <v>0</v>
          </cell>
          <cell r="AK254">
            <v>0</v>
          </cell>
          <cell r="AL254"/>
          <cell r="AM254"/>
          <cell r="AN254" t="str">
            <v/>
          </cell>
          <cell r="AO254"/>
          <cell r="AP254"/>
          <cell r="AQ254"/>
          <cell r="AR254"/>
          <cell r="AS254">
            <v>38</v>
          </cell>
          <cell r="AT254"/>
          <cell r="AU254" t="str">
            <v/>
          </cell>
          <cell r="AV254"/>
        </row>
        <row r="255">
          <cell r="Z255">
            <v>8025064</v>
          </cell>
          <cell r="AA255" t="str">
            <v>Bit Sub
4-1/2" IF Box x 4-1/2" REG Box BF</v>
          </cell>
          <cell r="AB255">
            <v>68.526695128795311</v>
          </cell>
          <cell r="AC255">
            <v>6.375</v>
          </cell>
          <cell r="AD255">
            <v>530</v>
          </cell>
          <cell r="AE255" t="str">
            <v>4-1/2" IF Box</v>
          </cell>
          <cell r="AF255" t="str">
            <v>4-1/2" REG Box BF</v>
          </cell>
          <cell r="AG255"/>
          <cell r="AH255" t="str">
            <v xml:space="preserve"> en stock </v>
          </cell>
          <cell r="AI255">
            <v>1</v>
          </cell>
          <cell r="AJ255">
            <v>0</v>
          </cell>
          <cell r="AK255">
            <v>0</v>
          </cell>
          <cell r="AL255"/>
          <cell r="AM255"/>
          <cell r="AN255">
            <v>8025060</v>
          </cell>
          <cell r="AO255"/>
          <cell r="AP255"/>
          <cell r="AQ255"/>
          <cell r="AR255"/>
          <cell r="AS255">
            <v>49</v>
          </cell>
          <cell r="AT255"/>
          <cell r="AU255" t="str">
            <v/>
          </cell>
          <cell r="AV255"/>
        </row>
        <row r="256">
          <cell r="Z256">
            <v>8025065</v>
          </cell>
          <cell r="AA256" t="str">
            <v>Bit Sub
HT 26 Box x HT 26 Box</v>
          </cell>
          <cell r="AB256">
            <v>15.832120553437498</v>
          </cell>
          <cell r="AC256">
            <v>3.3125</v>
          </cell>
          <cell r="AD256">
            <v>450</v>
          </cell>
          <cell r="AE256" t="str">
            <v>HT 26 Box</v>
          </cell>
          <cell r="AF256" t="str">
            <v>HT 26 Box</v>
          </cell>
          <cell r="AG256"/>
          <cell r="AH256" t="str">
            <v xml:space="preserve"> en stock </v>
          </cell>
          <cell r="AI256">
            <v>1</v>
          </cell>
          <cell r="AJ256">
            <v>0</v>
          </cell>
          <cell r="AK256">
            <v>0</v>
          </cell>
          <cell r="AL256"/>
          <cell r="AM256"/>
          <cell r="AN256" t="str">
            <v/>
          </cell>
          <cell r="AO256"/>
          <cell r="AP256"/>
          <cell r="AQ256"/>
          <cell r="AR256"/>
          <cell r="AS256">
            <v>6</v>
          </cell>
          <cell r="AT256"/>
          <cell r="AU256" t="str">
            <v/>
          </cell>
          <cell r="AV256"/>
        </row>
        <row r="257">
          <cell r="Z257">
            <v>8025066</v>
          </cell>
          <cell r="AA257"/>
          <cell r="AB257"/>
          <cell r="AC257"/>
          <cell r="AD257"/>
          <cell r="AE257"/>
          <cell r="AF257"/>
          <cell r="AG257"/>
          <cell r="AH257" t="str">
            <v>en stock</v>
          </cell>
          <cell r="AI257"/>
          <cell r="AJ257"/>
          <cell r="AK257"/>
          <cell r="AL257"/>
          <cell r="AM257"/>
          <cell r="AN257" t="str">
            <v/>
          </cell>
          <cell r="AO257"/>
          <cell r="AP257"/>
          <cell r="AQ257"/>
          <cell r="AR257"/>
          <cell r="AS257"/>
          <cell r="AT257"/>
          <cell r="AU257" t="str">
            <v/>
          </cell>
          <cell r="AV257"/>
        </row>
        <row r="258">
          <cell r="Z258">
            <v>8025067</v>
          </cell>
          <cell r="AA258" t="str">
            <v>Bit Sub
3-1/2" IF Box x 3-1/2" IF Box</v>
          </cell>
          <cell r="AB258">
            <v>61.498992727575001</v>
          </cell>
          <cell r="AC258">
            <v>4.75</v>
          </cell>
          <cell r="AD258">
            <v>920</v>
          </cell>
          <cell r="AE258" t="str">
            <v>3-1/2" IF Box</v>
          </cell>
          <cell r="AF258" t="str">
            <v>3-1/2" IF Box</v>
          </cell>
          <cell r="AG258"/>
          <cell r="AH258" t="str">
            <v xml:space="preserve"> en stock </v>
          </cell>
          <cell r="AI258">
            <v>1</v>
          </cell>
          <cell r="AJ258">
            <v>0</v>
          </cell>
          <cell r="AK258">
            <v>0</v>
          </cell>
          <cell r="AL258"/>
          <cell r="AM258"/>
          <cell r="AN258" t="str">
            <v/>
          </cell>
          <cell r="AO258"/>
          <cell r="AP258"/>
          <cell r="AQ258"/>
          <cell r="AR258"/>
          <cell r="AS258">
            <v>31</v>
          </cell>
          <cell r="AT258"/>
          <cell r="AU258" t="str">
            <v/>
          </cell>
          <cell r="AV258"/>
        </row>
        <row r="259">
          <cell r="Z259">
            <v>8135068</v>
          </cell>
          <cell r="AA259" t="str">
            <v>XO
HT 26 Pin x 2-3/8" REG Box</v>
          </cell>
          <cell r="AB259">
            <v>12</v>
          </cell>
          <cell r="AC259">
            <v>3.375</v>
          </cell>
          <cell r="AD259">
            <v>290</v>
          </cell>
          <cell r="AE259" t="str">
            <v>HT 26 Pin</v>
          </cell>
          <cell r="AF259" t="str">
            <v>2-3/8" REG Box</v>
          </cell>
          <cell r="AG259"/>
          <cell r="AH259" t="str">
            <v>maintenance</v>
          </cell>
          <cell r="AI259" t="str">
            <v/>
          </cell>
          <cell r="AJ259">
            <v>0</v>
          </cell>
          <cell r="AK259">
            <v>1</v>
          </cell>
          <cell r="AL259"/>
          <cell r="AM259"/>
          <cell r="AN259" t="str">
            <v/>
          </cell>
          <cell r="AO259"/>
          <cell r="AP259"/>
          <cell r="AQ259"/>
          <cell r="AR259"/>
          <cell r="AS259">
            <v>5</v>
          </cell>
          <cell r="AT259"/>
          <cell r="AU259" t="str">
            <v/>
          </cell>
          <cell r="AV259"/>
        </row>
        <row r="260">
          <cell r="Z260">
            <v>8025069</v>
          </cell>
          <cell r="AA260" t="str">
            <v>Bit Sub
3-1/2" IF Box x 6-5/8" REG Box</v>
          </cell>
          <cell r="AB260">
            <v>86</v>
          </cell>
          <cell r="AC260">
            <v>7.75</v>
          </cell>
          <cell r="AD260">
            <v>800</v>
          </cell>
          <cell r="AE260" t="str">
            <v>3-1/2" IF Box</v>
          </cell>
          <cell r="AF260" t="str">
            <v>6-5/8" REG Box</v>
          </cell>
          <cell r="AG260"/>
          <cell r="AH260" t="str">
            <v xml:space="preserve"> en stock </v>
          </cell>
          <cell r="AI260">
            <v>1</v>
          </cell>
          <cell r="AJ260">
            <v>0</v>
          </cell>
          <cell r="AK260">
            <v>0</v>
          </cell>
          <cell r="AL260"/>
          <cell r="AM260"/>
          <cell r="AN260">
            <v>8025069</v>
          </cell>
          <cell r="AO260"/>
          <cell r="AP260"/>
          <cell r="AQ260"/>
          <cell r="AR260"/>
          <cell r="AS260">
            <v>39</v>
          </cell>
          <cell r="AT260"/>
          <cell r="AU260" t="str">
            <v/>
          </cell>
          <cell r="AV260"/>
        </row>
        <row r="261">
          <cell r="Z261">
            <v>5025070</v>
          </cell>
          <cell r="AA261" t="str">
            <v>Economill 
2-3/8" REG Pin</v>
          </cell>
          <cell r="AB261">
            <v>7</v>
          </cell>
          <cell r="AC261">
            <v>4.1875</v>
          </cell>
          <cell r="AD261">
            <v>130</v>
          </cell>
          <cell r="AE261" t="str">
            <v>2-3/8" REG Pin</v>
          </cell>
          <cell r="AF261"/>
          <cell r="AG261" t="str">
            <v>C</v>
          </cell>
          <cell r="AH261" t="str">
            <v>maintenance</v>
          </cell>
          <cell r="AI261" t="str">
            <v/>
          </cell>
          <cell r="AJ261">
            <v>0</v>
          </cell>
          <cell r="AK261">
            <v>1</v>
          </cell>
          <cell r="AL261"/>
          <cell r="AM261"/>
          <cell r="AN261" t="str">
            <v/>
          </cell>
          <cell r="AO261"/>
          <cell r="AP261"/>
          <cell r="AQ261"/>
          <cell r="AR261"/>
          <cell r="AS261">
            <v>14</v>
          </cell>
          <cell r="AT261"/>
          <cell r="AU261" t="str">
            <v/>
          </cell>
          <cell r="AV261"/>
        </row>
        <row r="262">
          <cell r="Z262">
            <v>5025071</v>
          </cell>
          <cell r="AA262"/>
          <cell r="AB262"/>
          <cell r="AC262"/>
          <cell r="AD262"/>
          <cell r="AE262"/>
          <cell r="AF262"/>
          <cell r="AG262"/>
          <cell r="AH262" t="str">
            <v>en stock</v>
          </cell>
          <cell r="AI262"/>
          <cell r="AJ262"/>
          <cell r="AK262"/>
          <cell r="AL262"/>
          <cell r="AM262"/>
          <cell r="AN262" t="str">
            <v/>
          </cell>
          <cell r="AO262"/>
          <cell r="AP262"/>
          <cell r="AQ262"/>
          <cell r="AR262"/>
          <cell r="AS262"/>
          <cell r="AT262"/>
          <cell r="AU262" t="str">
            <v/>
          </cell>
          <cell r="AV262"/>
        </row>
        <row r="263">
          <cell r="Z263">
            <v>5025071</v>
          </cell>
          <cell r="AA263" t="str">
            <v>Economill 
2-3/8" REG Pin</v>
          </cell>
          <cell r="AB263">
            <v>7</v>
          </cell>
          <cell r="AC263">
            <v>4.125</v>
          </cell>
          <cell r="AD263">
            <v>115</v>
          </cell>
          <cell r="AE263" t="str">
            <v>2-3/8" REG Pin</v>
          </cell>
          <cell r="AF263"/>
          <cell r="AG263" t="str">
            <v>C</v>
          </cell>
          <cell r="AH263" t="str">
            <v>maintenance</v>
          </cell>
          <cell r="AI263" t="str">
            <v/>
          </cell>
          <cell r="AJ263">
            <v>0</v>
          </cell>
          <cell r="AK263">
            <v>1</v>
          </cell>
          <cell r="AL263"/>
          <cell r="AM263"/>
          <cell r="AN263" t="str">
            <v/>
          </cell>
          <cell r="AO263"/>
          <cell r="AP263"/>
          <cell r="AQ263"/>
          <cell r="AR263"/>
          <cell r="AS263">
            <v>11</v>
          </cell>
          <cell r="AT263"/>
          <cell r="AU263" t="str">
            <v>reconstruite</v>
          </cell>
          <cell r="AV263"/>
        </row>
        <row r="264">
          <cell r="Z264">
            <v>5025072</v>
          </cell>
          <cell r="AA264" t="str">
            <v>Economill 
2-3/8" REG Pin</v>
          </cell>
          <cell r="AB264">
            <v>6</v>
          </cell>
          <cell r="AC264">
            <v>3.75</v>
          </cell>
          <cell r="AD264">
            <v>125</v>
          </cell>
          <cell r="AE264" t="str">
            <v>2-3/8" REG Pin</v>
          </cell>
          <cell r="AF264"/>
          <cell r="AG264" t="str">
            <v>C</v>
          </cell>
          <cell r="AH264" t="str">
            <v xml:space="preserve"> en stock </v>
          </cell>
          <cell r="AI264">
            <v>1</v>
          </cell>
          <cell r="AJ264">
            <v>0</v>
          </cell>
          <cell r="AK264">
            <v>0</v>
          </cell>
          <cell r="AL264"/>
          <cell r="AM264"/>
          <cell r="AN264" t="str">
            <v/>
          </cell>
          <cell r="AO264"/>
          <cell r="AP264"/>
          <cell r="AQ264"/>
          <cell r="AR264"/>
          <cell r="AS264">
            <v>10</v>
          </cell>
          <cell r="AT264"/>
          <cell r="AU264" t="str">
            <v/>
          </cell>
          <cell r="AV264"/>
        </row>
        <row r="265">
          <cell r="Z265">
            <v>5025073</v>
          </cell>
          <cell r="AA265" t="str">
            <v>Economill 
2-3/8" REG Pin</v>
          </cell>
          <cell r="AB265">
            <v>7</v>
          </cell>
          <cell r="AC265">
            <v>4.125</v>
          </cell>
          <cell r="AD265">
            <v>130</v>
          </cell>
          <cell r="AE265" t="str">
            <v>2-3/8" REG Pin</v>
          </cell>
          <cell r="AF265"/>
          <cell r="AG265" t="str">
            <v>C</v>
          </cell>
          <cell r="AH265" t="str">
            <v>maintenance</v>
          </cell>
          <cell r="AI265" t="str">
            <v/>
          </cell>
          <cell r="AJ265">
            <v>0</v>
          </cell>
          <cell r="AK265">
            <v>1</v>
          </cell>
          <cell r="AL265"/>
          <cell r="AM265"/>
          <cell r="AN265" t="str">
            <v/>
          </cell>
          <cell r="AO265"/>
          <cell r="AP265"/>
          <cell r="AQ265"/>
          <cell r="AR265"/>
          <cell r="AS265">
            <v>13</v>
          </cell>
          <cell r="AT265"/>
          <cell r="AU265" t="str">
            <v/>
          </cell>
          <cell r="AV265"/>
        </row>
        <row r="266">
          <cell r="Z266">
            <v>5025074</v>
          </cell>
          <cell r="AA266" t="str">
            <v>Economill 
2-3/8" REG Pin</v>
          </cell>
          <cell r="AB266">
            <v>6</v>
          </cell>
          <cell r="AC266">
            <v>3.4375</v>
          </cell>
          <cell r="AD266">
            <v>130</v>
          </cell>
          <cell r="AE266" t="str">
            <v>2-3/8" REG Pin</v>
          </cell>
          <cell r="AF266"/>
          <cell r="AG266" t="str">
            <v>C</v>
          </cell>
          <cell r="AH266" t="str">
            <v xml:space="preserve"> en stock </v>
          </cell>
          <cell r="AI266">
            <v>1</v>
          </cell>
          <cell r="AJ266">
            <v>0</v>
          </cell>
          <cell r="AK266">
            <v>0</v>
          </cell>
          <cell r="AL266"/>
          <cell r="AM266"/>
          <cell r="AN266" t="str">
            <v/>
          </cell>
          <cell r="AO266"/>
          <cell r="AP266"/>
          <cell r="AQ266"/>
          <cell r="AR266"/>
          <cell r="AS266">
            <v>5</v>
          </cell>
          <cell r="AT266"/>
          <cell r="AU266" t="str">
            <v/>
          </cell>
          <cell r="AV266"/>
        </row>
        <row r="267">
          <cell r="Z267">
            <v>5025075</v>
          </cell>
          <cell r="AA267"/>
          <cell r="AB267"/>
          <cell r="AC267"/>
          <cell r="AD267"/>
          <cell r="AE267"/>
          <cell r="AF267"/>
          <cell r="AG267"/>
          <cell r="AH267" t="str">
            <v>en stock</v>
          </cell>
          <cell r="AI267"/>
          <cell r="AJ267"/>
          <cell r="AK267"/>
          <cell r="AL267"/>
          <cell r="AM267"/>
          <cell r="AN267" t="str">
            <v/>
          </cell>
          <cell r="AO267"/>
          <cell r="AP267"/>
          <cell r="AQ267"/>
          <cell r="AR267"/>
          <cell r="AS267"/>
          <cell r="AT267"/>
          <cell r="AU267" t="str">
            <v/>
          </cell>
          <cell r="AV267"/>
        </row>
        <row r="268">
          <cell r="Z268">
            <v>5025075</v>
          </cell>
          <cell r="AA268" t="str">
            <v>Economill 
2-3/8" REG Pin</v>
          </cell>
          <cell r="AB268">
            <v>5</v>
          </cell>
          <cell r="AC268">
            <v>3.75</v>
          </cell>
          <cell r="AD268">
            <v>110</v>
          </cell>
          <cell r="AE268" t="str">
            <v>2-3/8" REG Pin</v>
          </cell>
          <cell r="AF268"/>
          <cell r="AG268" t="str">
            <v>C</v>
          </cell>
          <cell r="AH268" t="str">
            <v>maintenance</v>
          </cell>
          <cell r="AI268" t="str">
            <v/>
          </cell>
          <cell r="AJ268">
            <v>0</v>
          </cell>
          <cell r="AK268">
            <v>1</v>
          </cell>
          <cell r="AL268"/>
          <cell r="AM268"/>
          <cell r="AN268" t="str">
            <v/>
          </cell>
          <cell r="AO268"/>
          <cell r="AP268"/>
          <cell r="AQ268"/>
          <cell r="AR268"/>
          <cell r="AS268">
            <v>6</v>
          </cell>
          <cell r="AT268"/>
          <cell r="AU268" t="str">
            <v>reconstruite</v>
          </cell>
          <cell r="AV268"/>
        </row>
        <row r="269">
          <cell r="Z269">
            <v>5025076</v>
          </cell>
          <cell r="AA269" t="str">
            <v>Economill 
3-1/2" REG Pin</v>
          </cell>
          <cell r="AB269">
            <v>20</v>
          </cell>
          <cell r="AC269">
            <v>6.5</v>
          </cell>
          <cell r="AD269">
            <v>180</v>
          </cell>
          <cell r="AE269" t="str">
            <v>3-1/2" REG Pin</v>
          </cell>
          <cell r="AF269"/>
          <cell r="AG269" t="str">
            <v>C</v>
          </cell>
          <cell r="AH269" t="str">
            <v xml:space="preserve"> en stock </v>
          </cell>
          <cell r="AI269">
            <v>1</v>
          </cell>
          <cell r="AJ269">
            <v>0</v>
          </cell>
          <cell r="AK269">
            <v>0</v>
          </cell>
          <cell r="AL269"/>
          <cell r="AM269"/>
          <cell r="AN269" t="str">
            <v/>
          </cell>
          <cell r="AO269"/>
          <cell r="AP269"/>
          <cell r="AQ269"/>
          <cell r="AR269"/>
          <cell r="AS269">
            <v>50</v>
          </cell>
          <cell r="AT269"/>
          <cell r="AU269" t="str">
            <v/>
          </cell>
          <cell r="AV269"/>
        </row>
        <row r="270">
          <cell r="Z270">
            <v>5025077</v>
          </cell>
          <cell r="AA270" t="str">
            <v>Economill 
3-1/2" REG Pin</v>
          </cell>
          <cell r="AB270">
            <v>21</v>
          </cell>
          <cell r="AC270">
            <v>6.75</v>
          </cell>
          <cell r="AD270">
            <v>200</v>
          </cell>
          <cell r="AE270" t="str">
            <v>3-1/2" REG Pin</v>
          </cell>
          <cell r="AF270"/>
          <cell r="AG270" t="str">
            <v>C</v>
          </cell>
          <cell r="AH270" t="str">
            <v xml:space="preserve"> en stock </v>
          </cell>
          <cell r="AI270">
            <v>1</v>
          </cell>
          <cell r="AJ270">
            <v>0</v>
          </cell>
          <cell r="AK270">
            <v>0</v>
          </cell>
          <cell r="AL270"/>
          <cell r="AM270"/>
          <cell r="AN270" t="str">
            <v/>
          </cell>
          <cell r="AO270"/>
          <cell r="AP270"/>
          <cell r="AQ270"/>
          <cell r="AR270"/>
          <cell r="AS270">
            <v>48</v>
          </cell>
          <cell r="AT270"/>
          <cell r="AU270" t="str">
            <v/>
          </cell>
          <cell r="AV270"/>
        </row>
        <row r="271">
          <cell r="Z271">
            <v>5025078</v>
          </cell>
          <cell r="AA271" t="str">
            <v>Economill 
3-1/2" REG Pin</v>
          </cell>
          <cell r="AB271">
            <v>16</v>
          </cell>
          <cell r="AC271">
            <v>5.75</v>
          </cell>
          <cell r="AD271">
            <v>165</v>
          </cell>
          <cell r="AE271" t="str">
            <v>3-1/2" REG Pin</v>
          </cell>
          <cell r="AF271"/>
          <cell r="AG271" t="str">
            <v>C</v>
          </cell>
          <cell r="AH271" t="str">
            <v xml:space="preserve"> en stock </v>
          </cell>
          <cell r="AI271">
            <v>1</v>
          </cell>
          <cell r="AJ271">
            <v>0</v>
          </cell>
          <cell r="AK271">
            <v>0</v>
          </cell>
          <cell r="AL271"/>
          <cell r="AM271"/>
          <cell r="AN271" t="str">
            <v/>
          </cell>
          <cell r="AO271"/>
          <cell r="AP271"/>
          <cell r="AQ271"/>
          <cell r="AR271"/>
          <cell r="AS271">
            <v>26</v>
          </cell>
          <cell r="AT271"/>
          <cell r="AU271" t="str">
            <v/>
          </cell>
          <cell r="AV271"/>
        </row>
        <row r="272">
          <cell r="Z272">
            <v>5025079</v>
          </cell>
          <cell r="AA272" t="str">
            <v>Economill 
3-1/2" REG Pin</v>
          </cell>
          <cell r="AB272">
            <v>14</v>
          </cell>
          <cell r="AC272">
            <v>5.875</v>
          </cell>
          <cell r="AD272">
            <v>140</v>
          </cell>
          <cell r="AE272" t="str">
            <v>3-1/2" REG Pin</v>
          </cell>
          <cell r="AF272"/>
          <cell r="AG272" t="str">
            <v>C</v>
          </cell>
          <cell r="AH272" t="str">
            <v xml:space="preserve"> en stock </v>
          </cell>
          <cell r="AI272">
            <v>1</v>
          </cell>
          <cell r="AJ272">
            <v>0</v>
          </cell>
          <cell r="AK272">
            <v>0</v>
          </cell>
          <cell r="AL272"/>
          <cell r="AM272"/>
          <cell r="AN272" t="str">
            <v/>
          </cell>
          <cell r="AO272"/>
          <cell r="AP272"/>
          <cell r="AQ272"/>
          <cell r="AR272"/>
          <cell r="AS272">
            <v>29</v>
          </cell>
          <cell r="AT272"/>
          <cell r="AU272" t="str">
            <v/>
          </cell>
          <cell r="AV272"/>
        </row>
        <row r="273">
          <cell r="Z273">
            <v>5025080</v>
          </cell>
          <cell r="AA273" t="str">
            <v>Economill 
3-1/2" REG Pin</v>
          </cell>
          <cell r="AB273">
            <v>17</v>
          </cell>
          <cell r="AC273">
            <v>6.6875</v>
          </cell>
          <cell r="AD273">
            <v>175</v>
          </cell>
          <cell r="AE273" t="str">
            <v>3-1/2" REG Pin</v>
          </cell>
          <cell r="AF273"/>
          <cell r="AG273" t="str">
            <v>C</v>
          </cell>
          <cell r="AH273" t="str">
            <v>maintenance</v>
          </cell>
          <cell r="AI273" t="str">
            <v/>
          </cell>
          <cell r="AJ273">
            <v>0</v>
          </cell>
          <cell r="AK273">
            <v>1</v>
          </cell>
          <cell r="AL273"/>
          <cell r="AM273"/>
          <cell r="AN273" t="str">
            <v/>
          </cell>
          <cell r="AO273"/>
          <cell r="AP273"/>
          <cell r="AQ273"/>
          <cell r="AR273"/>
          <cell r="AS273">
            <v>49</v>
          </cell>
          <cell r="AT273"/>
          <cell r="AU273" t="str">
            <v/>
          </cell>
          <cell r="AV273"/>
        </row>
        <row r="274">
          <cell r="Z274">
            <v>5025081</v>
          </cell>
          <cell r="AA274" t="str">
            <v>Economill 
3-1/2" REG Pin</v>
          </cell>
          <cell r="AB274">
            <v>17</v>
          </cell>
          <cell r="AC274">
            <v>5.5</v>
          </cell>
          <cell r="AD274">
            <v>170</v>
          </cell>
          <cell r="AE274" t="str">
            <v>3-1/2" REG Pin</v>
          </cell>
          <cell r="AF274"/>
          <cell r="AG274" t="str">
            <v>C</v>
          </cell>
          <cell r="AH274" t="str">
            <v xml:space="preserve"> en stock </v>
          </cell>
          <cell r="AI274">
            <v>1</v>
          </cell>
          <cell r="AJ274">
            <v>0</v>
          </cell>
          <cell r="AK274">
            <v>0</v>
          </cell>
          <cell r="AL274"/>
          <cell r="AM274"/>
          <cell r="AN274" t="str">
            <v/>
          </cell>
          <cell r="AO274"/>
          <cell r="AP274"/>
          <cell r="AQ274"/>
          <cell r="AR274"/>
          <cell r="AS274">
            <v>23</v>
          </cell>
          <cell r="AT274"/>
          <cell r="AU274" t="str">
            <v/>
          </cell>
          <cell r="AV274"/>
        </row>
        <row r="275">
          <cell r="Z275">
            <v>5115081</v>
          </cell>
          <cell r="AA275" t="str">
            <v>WO Lip Guide
5-1/2" FJWP Box</v>
          </cell>
          <cell r="AB275">
            <v>14</v>
          </cell>
          <cell r="AC275" t="str">
            <v>flush</v>
          </cell>
          <cell r="AD275">
            <v>345</v>
          </cell>
          <cell r="AE275" t="str">
            <v>5-1/2" FJWP Box</v>
          </cell>
          <cell r="AF275"/>
          <cell r="AG275" t="str">
            <v xml:space="preserve"> - </v>
          </cell>
          <cell r="AH275" t="str">
            <v xml:space="preserve"> en stock </v>
          </cell>
          <cell r="AI275">
            <v>1</v>
          </cell>
          <cell r="AJ275">
            <v>0</v>
          </cell>
          <cell r="AK275">
            <v>0</v>
          </cell>
          <cell r="AL275"/>
          <cell r="AM275"/>
          <cell r="AN275" t="str">
            <v/>
          </cell>
          <cell r="AO275"/>
          <cell r="AP275"/>
          <cell r="AQ275"/>
          <cell r="AR275"/>
          <cell r="AS275">
            <v>95</v>
          </cell>
          <cell r="AT275"/>
          <cell r="AU275" t="str">
            <v/>
          </cell>
          <cell r="AV275"/>
        </row>
        <row r="276">
          <cell r="Z276">
            <v>5025082</v>
          </cell>
          <cell r="AA276"/>
          <cell r="AB276"/>
          <cell r="AC276"/>
          <cell r="AD276"/>
          <cell r="AE276"/>
          <cell r="AF276"/>
          <cell r="AG276"/>
          <cell r="AH276" t="str">
            <v>en stock</v>
          </cell>
          <cell r="AI276"/>
          <cell r="AJ276"/>
          <cell r="AK276"/>
          <cell r="AL276"/>
          <cell r="AM276"/>
          <cell r="AN276" t="str">
            <v/>
          </cell>
          <cell r="AO276"/>
          <cell r="AP276"/>
          <cell r="AQ276"/>
          <cell r="AR276"/>
          <cell r="AS276"/>
          <cell r="AT276"/>
          <cell r="AU276" t="str">
            <v/>
          </cell>
          <cell r="AV276"/>
        </row>
        <row r="277">
          <cell r="Z277">
            <v>8135083</v>
          </cell>
          <cell r="AA277" t="str">
            <v>XO
4-1/2" IF Pin x 3-1/2" IF Box</v>
          </cell>
          <cell r="AB277">
            <v>57.967473127321867</v>
          </cell>
          <cell r="AC277">
            <v>6.5</v>
          </cell>
          <cell r="AD277">
            <v>415</v>
          </cell>
          <cell r="AE277" t="str">
            <v>4-1/2" IF Pin</v>
          </cell>
          <cell r="AF277" t="str">
            <v>3-1/2" IF Box</v>
          </cell>
          <cell r="AG277"/>
          <cell r="AH277" t="str">
            <v>sur chantier</v>
          </cell>
          <cell r="AI277" t="str">
            <v/>
          </cell>
          <cell r="AJ277">
            <v>1</v>
          </cell>
          <cell r="AK277">
            <v>0</v>
          </cell>
          <cell r="AL277"/>
          <cell r="AM277"/>
          <cell r="AN277" t="str">
            <v/>
          </cell>
          <cell r="AO277"/>
          <cell r="AP277"/>
          <cell r="AQ277"/>
          <cell r="AR277"/>
          <cell r="AS277">
            <v>160</v>
          </cell>
          <cell r="AT277"/>
          <cell r="AU277" t="str">
            <v/>
          </cell>
          <cell r="AV277"/>
        </row>
        <row r="278">
          <cell r="Z278">
            <v>8025084</v>
          </cell>
          <cell r="AA278" t="str">
            <v>Bit Sub
4" IF Box x 4-1/2" REG Box</v>
          </cell>
          <cell r="AB278">
            <v>35.386178219437497</v>
          </cell>
          <cell r="AC278">
            <v>6</v>
          </cell>
          <cell r="AD278">
            <v>315</v>
          </cell>
          <cell r="AE278" t="str">
            <v>4" IF Box</v>
          </cell>
          <cell r="AF278" t="str">
            <v>4-1/2" REG Box</v>
          </cell>
          <cell r="AG278"/>
          <cell r="AH278" t="str">
            <v>maintenance</v>
          </cell>
          <cell r="AI278" t="str">
            <v/>
          </cell>
          <cell r="AJ278">
            <v>0</v>
          </cell>
          <cell r="AK278">
            <v>1</v>
          </cell>
          <cell r="AL278"/>
          <cell r="AM278"/>
          <cell r="AN278">
            <v>8025084</v>
          </cell>
          <cell r="AO278"/>
          <cell r="AP278"/>
          <cell r="AQ278"/>
          <cell r="AR278"/>
          <cell r="AS278">
            <v>44</v>
          </cell>
          <cell r="AT278"/>
          <cell r="AU278" t="str">
            <v/>
          </cell>
          <cell r="AV278"/>
        </row>
        <row r="279">
          <cell r="Z279">
            <v>8135085</v>
          </cell>
          <cell r="AA279" t="str">
            <v>XO
4-1/2" REG Pin x 3-1/2" IF Box</v>
          </cell>
          <cell r="AB279">
            <v>40</v>
          </cell>
          <cell r="AC279">
            <v>5.75</v>
          </cell>
          <cell r="AD279">
            <v>460</v>
          </cell>
          <cell r="AE279" t="str">
            <v>4-1/2" REG Pin</v>
          </cell>
          <cell r="AF279" t="str">
            <v>3-1/2" IF Box</v>
          </cell>
          <cell r="AG279"/>
          <cell r="AH279" t="str">
            <v>maintenance</v>
          </cell>
          <cell r="AI279" t="str">
            <v/>
          </cell>
          <cell r="AJ279">
            <v>0</v>
          </cell>
          <cell r="AK279">
            <v>1</v>
          </cell>
          <cell r="AL279"/>
          <cell r="AM279"/>
          <cell r="AN279" t="str">
            <v/>
          </cell>
          <cell r="AO279"/>
          <cell r="AP279"/>
          <cell r="AQ279"/>
          <cell r="AR279"/>
          <cell r="AS279">
            <v>182</v>
          </cell>
          <cell r="AT279"/>
          <cell r="AU279" t="str">
            <v/>
          </cell>
          <cell r="AV279"/>
        </row>
        <row r="280">
          <cell r="Z280">
            <v>8135086</v>
          </cell>
          <cell r="AA280"/>
          <cell r="AB280"/>
          <cell r="AC280"/>
          <cell r="AD280"/>
          <cell r="AE280"/>
          <cell r="AF280"/>
          <cell r="AG280"/>
          <cell r="AH280" t="str">
            <v>en stock</v>
          </cell>
          <cell r="AI280"/>
          <cell r="AJ280"/>
          <cell r="AK280"/>
          <cell r="AL280"/>
          <cell r="AM280"/>
          <cell r="AN280" t="str">
            <v/>
          </cell>
          <cell r="AO280"/>
          <cell r="AP280"/>
          <cell r="AQ280"/>
          <cell r="AR280"/>
          <cell r="AS280"/>
          <cell r="AT280"/>
          <cell r="AU280" t="str">
            <v/>
          </cell>
          <cell r="AV280"/>
        </row>
        <row r="281">
          <cell r="Z281">
            <v>8135087</v>
          </cell>
          <cell r="AA281" t="str">
            <v>XO
4-1/2" IF Pin x 4" IF Box</v>
          </cell>
          <cell r="AB281">
            <v>40.610315074570316</v>
          </cell>
          <cell r="AC281">
            <v>6.25</v>
          </cell>
          <cell r="AD281">
            <v>330</v>
          </cell>
          <cell r="AE281" t="str">
            <v>4-1/2" IF Pin</v>
          </cell>
          <cell r="AF281" t="str">
            <v>4" IF Box</v>
          </cell>
          <cell r="AG281"/>
          <cell r="AH281" t="str">
            <v>maintenance</v>
          </cell>
          <cell r="AI281" t="str">
            <v/>
          </cell>
          <cell r="AJ281">
            <v>0</v>
          </cell>
          <cell r="AK281">
            <v>1</v>
          </cell>
          <cell r="AL281"/>
          <cell r="AM281"/>
          <cell r="AN281" t="str">
            <v/>
          </cell>
          <cell r="AO281"/>
          <cell r="AP281"/>
          <cell r="AQ281"/>
          <cell r="AR281"/>
          <cell r="AS281">
            <v>165</v>
          </cell>
          <cell r="AT281"/>
          <cell r="AU281" t="str">
            <v/>
          </cell>
          <cell r="AV281"/>
        </row>
        <row r="282">
          <cell r="Z282">
            <v>8135088</v>
          </cell>
          <cell r="AA282" t="str">
            <v>XO
3-1/2" IF Pin x 2-7/8" IF Box</v>
          </cell>
          <cell r="AB282">
            <v>23.380153466414065</v>
          </cell>
          <cell r="AC282">
            <v>4.6875</v>
          </cell>
          <cell r="AD282">
            <v>350</v>
          </cell>
          <cell r="AE282" t="str">
            <v>3-1/2" IF Pin</v>
          </cell>
          <cell r="AF282" t="str">
            <v>2-7/8" IF Box</v>
          </cell>
          <cell r="AG282"/>
          <cell r="AH282" t="str">
            <v>maintenance</v>
          </cell>
          <cell r="AI282" t="str">
            <v/>
          </cell>
          <cell r="AJ282">
            <v>0</v>
          </cell>
          <cell r="AK282">
            <v>1</v>
          </cell>
          <cell r="AL282"/>
          <cell r="AM282"/>
          <cell r="AN282" t="str">
            <v/>
          </cell>
          <cell r="AO282"/>
          <cell r="AP282"/>
          <cell r="AQ282"/>
          <cell r="AR282"/>
          <cell r="AS282">
            <v>104</v>
          </cell>
          <cell r="AT282"/>
          <cell r="AU282" t="str">
            <v/>
          </cell>
          <cell r="AV282"/>
        </row>
        <row r="283">
          <cell r="Z283">
            <v>8135089</v>
          </cell>
          <cell r="AA283" t="str">
            <v>XO
4-1/2" IF Pin x 3-1/2" IF Box</v>
          </cell>
          <cell r="AB283">
            <v>52.810769378250008</v>
          </cell>
          <cell r="AC283">
            <v>6.25</v>
          </cell>
          <cell r="AD283">
            <v>400</v>
          </cell>
          <cell r="AE283" t="str">
            <v>4-1/2" IF Pin</v>
          </cell>
          <cell r="AF283" t="str">
            <v>3-1/2" IF Box</v>
          </cell>
          <cell r="AG283"/>
          <cell r="AH283" t="str">
            <v>sur chantier</v>
          </cell>
          <cell r="AI283" t="str">
            <v/>
          </cell>
          <cell r="AJ283">
            <v>1</v>
          </cell>
          <cell r="AK283">
            <v>0</v>
          </cell>
          <cell r="AL283"/>
          <cell r="AM283"/>
          <cell r="AN283" t="str">
            <v/>
          </cell>
          <cell r="AO283"/>
          <cell r="AP283"/>
          <cell r="AQ283"/>
          <cell r="AR283"/>
          <cell r="AS283">
            <v>159</v>
          </cell>
          <cell r="AT283"/>
          <cell r="AU283" t="str">
            <v/>
          </cell>
          <cell r="AV283"/>
        </row>
        <row r="284">
          <cell r="Z284">
            <v>8085090</v>
          </cell>
          <cell r="AA284" t="str">
            <v>Float Sub 7-11/16" Lg 480 mm
6-5/8" REG Pin x 6-5/8" REG Box BF (5F-6R)</v>
          </cell>
          <cell r="AB284">
            <v>102.45881806582496</v>
          </cell>
          <cell r="AC284">
            <v>7.6875</v>
          </cell>
          <cell r="AD284">
            <v>480</v>
          </cell>
          <cell r="AE284" t="str">
            <v>6-5/8" REG Box BF</v>
          </cell>
          <cell r="AF284" t="str">
            <v>6-5/8" REG Pin</v>
          </cell>
          <cell r="AG284" t="str">
            <v>5F-6R</v>
          </cell>
          <cell r="AH284" t="str">
            <v>maintenance</v>
          </cell>
          <cell r="AI284" t="str">
            <v/>
          </cell>
          <cell r="AJ284">
            <v>0</v>
          </cell>
          <cell r="AK284">
            <v>1</v>
          </cell>
          <cell r="AL284"/>
          <cell r="AM284"/>
          <cell r="AN284">
            <v>8135090</v>
          </cell>
          <cell r="AO284"/>
          <cell r="AP284"/>
          <cell r="AQ284"/>
          <cell r="AR284"/>
          <cell r="AS284">
            <v>27</v>
          </cell>
          <cell r="AT284"/>
          <cell r="AU284" t="str">
            <v/>
          </cell>
          <cell r="AV284"/>
        </row>
        <row r="285">
          <cell r="Z285">
            <v>8135091</v>
          </cell>
          <cell r="AA285" t="str">
            <v>XO
4" IF Pin x 4-1/2" IF Box</v>
          </cell>
          <cell r="AB285">
            <v>70.480712112890629</v>
          </cell>
          <cell r="AC285">
            <v>6.5</v>
          </cell>
          <cell r="AD285">
            <v>500</v>
          </cell>
          <cell r="AE285" t="str">
            <v>4" IF Pin</v>
          </cell>
          <cell r="AF285" t="str">
            <v>4-1/2" IF Box</v>
          </cell>
          <cell r="AG285"/>
          <cell r="AH285" t="str">
            <v xml:space="preserve"> en stock </v>
          </cell>
          <cell r="AI285">
            <v>1</v>
          </cell>
          <cell r="AJ285">
            <v>0</v>
          </cell>
          <cell r="AK285">
            <v>0</v>
          </cell>
          <cell r="AL285"/>
          <cell r="AM285"/>
          <cell r="AN285" t="str">
            <v/>
          </cell>
          <cell r="AO285"/>
          <cell r="AP285"/>
          <cell r="AQ285"/>
          <cell r="AR285"/>
          <cell r="AS285">
            <v>144</v>
          </cell>
          <cell r="AT285"/>
          <cell r="AU285" t="str">
            <v/>
          </cell>
          <cell r="AV285"/>
        </row>
        <row r="286">
          <cell r="Z286">
            <v>8135092</v>
          </cell>
          <cell r="AA286" t="str">
            <v>Latéral Jet Sub 6-7/16" OD
4-1/2" IF Pin x Box</v>
          </cell>
          <cell r="AB286">
            <v>71.290835240624986</v>
          </cell>
          <cell r="AC286">
            <v>6.4375</v>
          </cell>
          <cell r="AD286">
            <v>500</v>
          </cell>
          <cell r="AE286" t="str">
            <v>4-1/2" IF Box</v>
          </cell>
          <cell r="AF286" t="str">
            <v>4-1/2" IF Pin</v>
          </cell>
          <cell r="AG286"/>
          <cell r="AH286" t="str">
            <v xml:space="preserve"> en stock </v>
          </cell>
          <cell r="AI286">
            <v>1</v>
          </cell>
          <cell r="AJ286">
            <v>0</v>
          </cell>
          <cell r="AK286">
            <v>0</v>
          </cell>
          <cell r="AL286"/>
          <cell r="AM286"/>
          <cell r="AN286">
            <v>8135092</v>
          </cell>
          <cell r="AO286"/>
          <cell r="AP286"/>
          <cell r="AQ286"/>
          <cell r="AR286"/>
          <cell r="AS286">
            <v>6</v>
          </cell>
          <cell r="AT286"/>
          <cell r="AU286" t="str">
            <v/>
          </cell>
          <cell r="AV286"/>
        </row>
        <row r="287">
          <cell r="Z287">
            <v>8135093</v>
          </cell>
          <cell r="AA287" t="str">
            <v>XO
4" IF Pin x 4-1/2" IF Box</v>
          </cell>
          <cell r="AB287">
            <v>71.185519234019523</v>
          </cell>
          <cell r="AC287">
            <v>6.5</v>
          </cell>
          <cell r="AD287">
            <v>505</v>
          </cell>
          <cell r="AE287" t="str">
            <v>4" IF Pin</v>
          </cell>
          <cell r="AF287" t="str">
            <v>4-1/2" IF Box</v>
          </cell>
          <cell r="AG287"/>
          <cell r="AH287" t="str">
            <v xml:space="preserve"> en stock </v>
          </cell>
          <cell r="AI287">
            <v>1</v>
          </cell>
          <cell r="AJ287">
            <v>0</v>
          </cell>
          <cell r="AK287">
            <v>0</v>
          </cell>
          <cell r="AL287"/>
          <cell r="AM287"/>
          <cell r="AN287" t="str">
            <v/>
          </cell>
          <cell r="AO287"/>
          <cell r="AP287"/>
          <cell r="AQ287"/>
          <cell r="AR287"/>
          <cell r="AS287">
            <v>145</v>
          </cell>
          <cell r="AT287"/>
          <cell r="AU287" t="str">
            <v/>
          </cell>
          <cell r="AV287"/>
        </row>
        <row r="288">
          <cell r="Z288">
            <v>5155094</v>
          </cell>
          <cell r="AA288"/>
          <cell r="AB288"/>
          <cell r="AC288"/>
          <cell r="AD288"/>
          <cell r="AE288"/>
          <cell r="AF288"/>
          <cell r="AG288"/>
          <cell r="AH288" t="str">
            <v>en stock</v>
          </cell>
          <cell r="AI288"/>
          <cell r="AJ288"/>
          <cell r="AK288"/>
          <cell r="AL288"/>
          <cell r="AM288"/>
          <cell r="AN288" t="str">
            <v/>
          </cell>
          <cell r="AO288"/>
          <cell r="AP288" t="str">
            <v>x</v>
          </cell>
          <cell r="AQ288"/>
          <cell r="AR288"/>
          <cell r="AS288"/>
          <cell r="AT288"/>
          <cell r="AU288" t="str">
            <v/>
          </cell>
          <cell r="AV288"/>
        </row>
        <row r="289">
          <cell r="Z289">
            <v>5115095</v>
          </cell>
          <cell r="AA289"/>
          <cell r="AB289"/>
          <cell r="AC289"/>
          <cell r="AD289"/>
          <cell r="AE289"/>
          <cell r="AF289"/>
          <cell r="AG289"/>
          <cell r="AH289" t="str">
            <v>en stock</v>
          </cell>
          <cell r="AI289"/>
          <cell r="AJ289"/>
          <cell r="AK289"/>
          <cell r="AL289"/>
          <cell r="AM289"/>
          <cell r="AN289" t="str">
            <v/>
          </cell>
          <cell r="AO289"/>
          <cell r="AP289"/>
          <cell r="AQ289"/>
          <cell r="AR289"/>
          <cell r="AS289"/>
          <cell r="AT289"/>
          <cell r="AU289" t="str">
            <v/>
          </cell>
          <cell r="AV289"/>
        </row>
        <row r="290">
          <cell r="Z290">
            <v>5115096</v>
          </cell>
          <cell r="AA290" t="str">
            <v>WO Shoe
5-1/2" FJWP Box</v>
          </cell>
          <cell r="AB290">
            <v>0</v>
          </cell>
          <cell r="AC290">
            <v>5.75</v>
          </cell>
          <cell r="AD290">
            <v>340</v>
          </cell>
          <cell r="AE290" t="str">
            <v>5-1/2" FJWP Box</v>
          </cell>
          <cell r="AF290"/>
          <cell r="AG290" t="str">
            <v>CC</v>
          </cell>
          <cell r="AH290" t="str">
            <v xml:space="preserve"> en stock </v>
          </cell>
          <cell r="AI290">
            <v>1</v>
          </cell>
          <cell r="AJ290">
            <v>0</v>
          </cell>
          <cell r="AK290">
            <v>0</v>
          </cell>
          <cell r="AL290"/>
          <cell r="AM290"/>
          <cell r="AN290" t="str">
            <v/>
          </cell>
          <cell r="AO290"/>
          <cell r="AP290"/>
          <cell r="AQ290"/>
          <cell r="AR290"/>
          <cell r="AS290">
            <v>98</v>
          </cell>
          <cell r="AT290"/>
          <cell r="AU290" t="str">
            <v/>
          </cell>
          <cell r="AV290"/>
        </row>
        <row r="291">
          <cell r="Z291">
            <v>5115097</v>
          </cell>
          <cell r="AA291" t="str">
            <v>WO Shoe
4-1/2" FJWP Box</v>
          </cell>
          <cell r="AB291"/>
          <cell r="AC291"/>
          <cell r="AD291"/>
          <cell r="AE291"/>
          <cell r="AF291"/>
          <cell r="AG291"/>
          <cell r="AH291" t="str">
            <v>en stock</v>
          </cell>
          <cell r="AI291"/>
          <cell r="AJ291"/>
          <cell r="AK291"/>
          <cell r="AL291"/>
          <cell r="AM291"/>
          <cell r="AN291" t="str">
            <v/>
          </cell>
          <cell r="AO291"/>
          <cell r="AP291"/>
          <cell r="AQ291"/>
          <cell r="AR291"/>
          <cell r="AS291"/>
          <cell r="AT291"/>
          <cell r="AU291" t="str">
            <v/>
          </cell>
          <cell r="AV291"/>
        </row>
        <row r="292">
          <cell r="Z292">
            <v>8085098</v>
          </cell>
          <cell r="AA292" t="str">
            <v>Float Sub 4-3/4" Lg 500 mm
3-1/2" IF Pin x 3-1/2" IF Box BF (3-1/2" IF)</v>
          </cell>
          <cell r="AB292">
            <v>34.002024989765623</v>
          </cell>
          <cell r="AC292">
            <v>4.75</v>
          </cell>
          <cell r="AD292">
            <v>500</v>
          </cell>
          <cell r="AE292" t="str">
            <v>3-1/2" IF Box BF</v>
          </cell>
          <cell r="AF292" t="str">
            <v>3-1/2" IF Pin</v>
          </cell>
          <cell r="AG292" t="str">
            <v>3-1/2" IF</v>
          </cell>
          <cell r="AH292" t="str">
            <v xml:space="preserve"> en stock </v>
          </cell>
          <cell r="AI292">
            <v>1</v>
          </cell>
          <cell r="AJ292">
            <v>0</v>
          </cell>
          <cell r="AK292">
            <v>0</v>
          </cell>
          <cell r="AL292"/>
          <cell r="AM292"/>
          <cell r="AN292" t="str">
            <v/>
          </cell>
          <cell r="AO292"/>
          <cell r="AP292"/>
          <cell r="AQ292"/>
          <cell r="AR292"/>
          <cell r="AS292">
            <v>7</v>
          </cell>
          <cell r="AT292"/>
          <cell r="AU292" t="str">
            <v/>
          </cell>
          <cell r="AV292"/>
        </row>
        <row r="293">
          <cell r="Z293">
            <v>8135099</v>
          </cell>
          <cell r="AA293" t="str">
            <v>XO
2-7/8" EU Pin x 3-1/2" IF Box</v>
          </cell>
          <cell r="AB293">
            <v>29.331086499000001</v>
          </cell>
          <cell r="AC293">
            <v>4.75</v>
          </cell>
          <cell r="AD293">
            <v>400</v>
          </cell>
          <cell r="AE293" t="str">
            <v>2-7/8" EU Pin</v>
          </cell>
          <cell r="AF293" t="str">
            <v>3-1/2" IF Box</v>
          </cell>
          <cell r="AG293"/>
          <cell r="AH293" t="str">
            <v>sur chantier</v>
          </cell>
          <cell r="AI293" t="str">
            <v/>
          </cell>
          <cell r="AJ293">
            <v>1</v>
          </cell>
          <cell r="AK293">
            <v>0</v>
          </cell>
          <cell r="AL293"/>
          <cell r="AM293"/>
          <cell r="AN293" t="str">
            <v/>
          </cell>
          <cell r="AO293"/>
          <cell r="AP293"/>
          <cell r="AQ293"/>
          <cell r="AR293"/>
          <cell r="AS293">
            <v>75</v>
          </cell>
          <cell r="AT293"/>
          <cell r="AU293" t="str">
            <v/>
          </cell>
          <cell r="AV293"/>
        </row>
        <row r="294">
          <cell r="Z294">
            <v>8135100</v>
          </cell>
          <cell r="AA294"/>
          <cell r="AB294"/>
          <cell r="AC294"/>
          <cell r="AD294"/>
          <cell r="AE294"/>
          <cell r="AF294"/>
          <cell r="AG294"/>
          <cell r="AH294" t="str">
            <v>en stock</v>
          </cell>
          <cell r="AI294"/>
          <cell r="AJ294"/>
          <cell r="AK294"/>
          <cell r="AL294"/>
          <cell r="AM294"/>
          <cell r="AN294" t="str">
            <v/>
          </cell>
          <cell r="AO294"/>
          <cell r="AP294"/>
          <cell r="AQ294"/>
          <cell r="AR294"/>
          <cell r="AS294"/>
          <cell r="AT294"/>
          <cell r="AU294" t="str">
            <v/>
          </cell>
          <cell r="AV294"/>
        </row>
        <row r="295">
          <cell r="Z295">
            <v>8135101</v>
          </cell>
          <cell r="AA295"/>
          <cell r="AB295"/>
          <cell r="AC295"/>
          <cell r="AD295"/>
          <cell r="AE295"/>
          <cell r="AF295"/>
          <cell r="AG295"/>
          <cell r="AH295" t="str">
            <v>en stock</v>
          </cell>
          <cell r="AI295"/>
          <cell r="AJ295"/>
          <cell r="AK295"/>
          <cell r="AL295"/>
          <cell r="AM295"/>
          <cell r="AN295" t="str">
            <v/>
          </cell>
          <cell r="AO295"/>
          <cell r="AP295"/>
          <cell r="AQ295"/>
          <cell r="AR295"/>
          <cell r="AS295"/>
          <cell r="AT295"/>
          <cell r="AU295" t="str">
            <v/>
          </cell>
          <cell r="AV295"/>
        </row>
        <row r="296">
          <cell r="Z296">
            <v>7025102</v>
          </cell>
          <cell r="AA296" t="str">
            <v>Fishing Magnet 3-3/4" OD
2-3/8" REG Pin</v>
          </cell>
          <cell r="AB296">
            <v>17</v>
          </cell>
          <cell r="AC296">
            <v>3.75</v>
          </cell>
          <cell r="AD296">
            <v>400</v>
          </cell>
          <cell r="AE296" t="str">
            <v>2-3/8" REG Pin</v>
          </cell>
          <cell r="AF296"/>
          <cell r="AG296"/>
          <cell r="AH296" t="str">
            <v xml:space="preserve"> en stock </v>
          </cell>
          <cell r="AI296">
            <v>1</v>
          </cell>
          <cell r="AJ296">
            <v>0</v>
          </cell>
          <cell r="AK296">
            <v>0</v>
          </cell>
          <cell r="AL296"/>
          <cell r="AM296"/>
          <cell r="AN296" t="str">
            <v/>
          </cell>
          <cell r="AO296"/>
          <cell r="AP296"/>
          <cell r="AQ296"/>
          <cell r="AR296"/>
          <cell r="AS296">
            <v>5</v>
          </cell>
          <cell r="AT296"/>
          <cell r="AU296" t="str">
            <v/>
          </cell>
          <cell r="AV296"/>
        </row>
        <row r="297">
          <cell r="Z297">
            <v>8025103</v>
          </cell>
          <cell r="AA297" t="str">
            <v>Bit Sub
5-3/8" BRS Box x 5-3/8" BRS Box</v>
          </cell>
          <cell r="AB297">
            <v>28.047851464668735</v>
          </cell>
          <cell r="AC297">
            <v>5.75</v>
          </cell>
          <cell r="AD297">
            <v>510</v>
          </cell>
          <cell r="AE297" t="str">
            <v>5-3/8" BRS Box</v>
          </cell>
          <cell r="AF297" t="str">
            <v>5-3/8" BRS Box</v>
          </cell>
          <cell r="AG297"/>
          <cell r="AH297" t="str">
            <v xml:space="preserve"> en stock </v>
          </cell>
          <cell r="AI297">
            <v>1</v>
          </cell>
          <cell r="AJ297">
            <v>0</v>
          </cell>
          <cell r="AK297">
            <v>0</v>
          </cell>
          <cell r="AL297"/>
          <cell r="AM297"/>
          <cell r="AN297" t="str">
            <v/>
          </cell>
          <cell r="AO297"/>
          <cell r="AP297"/>
          <cell r="AQ297"/>
          <cell r="AR297"/>
          <cell r="AS297">
            <v>40</v>
          </cell>
          <cell r="AT297"/>
          <cell r="AU297" t="str">
            <v/>
          </cell>
          <cell r="AV297"/>
        </row>
        <row r="298">
          <cell r="Z298">
            <v>8025104</v>
          </cell>
          <cell r="AA298"/>
          <cell r="AB298"/>
          <cell r="AC298"/>
          <cell r="AD298"/>
          <cell r="AE298"/>
          <cell r="AF298"/>
          <cell r="AG298"/>
          <cell r="AH298" t="str">
            <v>en stock</v>
          </cell>
          <cell r="AI298"/>
          <cell r="AJ298"/>
          <cell r="AK298"/>
          <cell r="AL298"/>
          <cell r="AM298"/>
          <cell r="AN298" t="str">
            <v>cf 8025056</v>
          </cell>
          <cell r="AO298"/>
          <cell r="AP298"/>
          <cell r="AQ298"/>
          <cell r="AR298"/>
          <cell r="AS298"/>
          <cell r="AT298"/>
          <cell r="AU298">
            <v>2018</v>
          </cell>
          <cell r="AV298"/>
        </row>
        <row r="299">
          <cell r="Z299">
            <v>5025105</v>
          </cell>
          <cell r="AA299" t="str">
            <v>Economill 
3-1/2" REG Pin</v>
          </cell>
          <cell r="AB299">
            <v>10</v>
          </cell>
          <cell r="AC299">
            <v>4.75</v>
          </cell>
          <cell r="AD299">
            <v>130</v>
          </cell>
          <cell r="AE299" t="str">
            <v>3-1/2" REG Pin</v>
          </cell>
          <cell r="AF299"/>
          <cell r="AG299" t="str">
            <v>C</v>
          </cell>
          <cell r="AH299" t="str">
            <v>maintenance</v>
          </cell>
          <cell r="AI299" t="str">
            <v/>
          </cell>
          <cell r="AJ299">
            <v>0</v>
          </cell>
          <cell r="AK299">
            <v>1</v>
          </cell>
          <cell r="AL299"/>
          <cell r="AM299"/>
          <cell r="AN299" t="str">
            <v/>
          </cell>
          <cell r="AO299"/>
          <cell r="AP299"/>
          <cell r="AQ299"/>
          <cell r="AR299"/>
          <cell r="AS299">
            <v>18</v>
          </cell>
          <cell r="AT299"/>
          <cell r="AU299" t="str">
            <v/>
          </cell>
          <cell r="AV299"/>
        </row>
        <row r="300">
          <cell r="Z300">
            <v>8135106</v>
          </cell>
          <cell r="AA300" t="str">
            <v>XO
2-3/8" REG Pin x 2-3/8" IF Box</v>
          </cell>
          <cell r="AB300">
            <v>10.999157437124998</v>
          </cell>
          <cell r="AC300">
            <v>3.375</v>
          </cell>
          <cell r="AD300">
            <v>275</v>
          </cell>
          <cell r="AE300" t="str">
            <v>2-3/8" REG Pin</v>
          </cell>
          <cell r="AF300" t="str">
            <v>2-3/8" IF Box</v>
          </cell>
          <cell r="AG300"/>
          <cell r="AH300" t="str">
            <v xml:space="preserve"> en stock </v>
          </cell>
          <cell r="AI300">
            <v>1</v>
          </cell>
          <cell r="AJ300">
            <v>0</v>
          </cell>
          <cell r="AK300">
            <v>0</v>
          </cell>
          <cell r="AL300"/>
          <cell r="AM300"/>
          <cell r="AN300" t="str">
            <v/>
          </cell>
          <cell r="AO300"/>
          <cell r="AP300"/>
          <cell r="AQ300"/>
          <cell r="AR300"/>
          <cell r="AS300">
            <v>43</v>
          </cell>
          <cell r="AT300"/>
          <cell r="AU300" t="str">
            <v/>
          </cell>
          <cell r="AV300"/>
        </row>
        <row r="301">
          <cell r="Z301">
            <v>8135107</v>
          </cell>
          <cell r="AA301" t="str">
            <v>XO
2-3/8" REG Pin x 2-3/8" IF Box</v>
          </cell>
          <cell r="AB301">
            <v>8.619710079093748</v>
          </cell>
          <cell r="AC301">
            <v>3.375</v>
          </cell>
          <cell r="AD301">
            <v>210</v>
          </cell>
          <cell r="AE301" t="str">
            <v>2-3/8" REG Pin</v>
          </cell>
          <cell r="AF301" t="str">
            <v>2-3/8" IF Box</v>
          </cell>
          <cell r="AG301"/>
          <cell r="AH301" t="str">
            <v xml:space="preserve"> en stock </v>
          </cell>
          <cell r="AI301">
            <v>1</v>
          </cell>
          <cell r="AJ301">
            <v>0</v>
          </cell>
          <cell r="AK301">
            <v>0</v>
          </cell>
          <cell r="AL301"/>
          <cell r="AM301"/>
          <cell r="AN301" t="str">
            <v/>
          </cell>
          <cell r="AO301"/>
          <cell r="AP301"/>
          <cell r="AQ301"/>
          <cell r="AR301"/>
          <cell r="AS301">
            <v>42</v>
          </cell>
          <cell r="AT301"/>
          <cell r="AU301" t="str">
            <v/>
          </cell>
          <cell r="AV301"/>
        </row>
        <row r="302">
          <cell r="Z302">
            <v>8135108</v>
          </cell>
          <cell r="AA302" t="str">
            <v>XO
4-1/2" IF Pin x 4" IF Box</v>
          </cell>
          <cell r="AB302">
            <v>31.630910326762503</v>
          </cell>
          <cell r="AC302">
            <v>6.25</v>
          </cell>
          <cell r="AD302">
            <v>260</v>
          </cell>
          <cell r="AE302" t="str">
            <v>4-1/2" IF Pin</v>
          </cell>
          <cell r="AF302" t="str">
            <v>4" IF Box</v>
          </cell>
          <cell r="AG302"/>
          <cell r="AH302" t="str">
            <v>sur chantier</v>
          </cell>
          <cell r="AI302" t="str">
            <v/>
          </cell>
          <cell r="AJ302">
            <v>1</v>
          </cell>
          <cell r="AK302">
            <v>0</v>
          </cell>
          <cell r="AL302"/>
          <cell r="AM302"/>
          <cell r="AN302" t="str">
            <v/>
          </cell>
          <cell r="AO302"/>
          <cell r="AP302"/>
          <cell r="AQ302"/>
          <cell r="AR302"/>
          <cell r="AS302">
            <v>166</v>
          </cell>
          <cell r="AT302"/>
          <cell r="AU302" t="str">
            <v/>
          </cell>
          <cell r="AV302"/>
        </row>
        <row r="303">
          <cell r="Z303">
            <v>5065109</v>
          </cell>
          <cell r="AA303" t="str">
            <v>String Mill 5,875 OD 
3-1/2" IF Box x 3-1/2" IF Pin SRG</v>
          </cell>
          <cell r="AB303">
            <v>154</v>
          </cell>
          <cell r="AC303">
            <v>5.875</v>
          </cell>
          <cell r="AD303">
            <v>2000</v>
          </cell>
          <cell r="AE303" t="str">
            <v>3-1/2" IF Box</v>
          </cell>
          <cell r="AF303" t="str">
            <v>3-1/2" IF Pin SRG</v>
          </cell>
          <cell r="AG303"/>
          <cell r="AH303" t="str">
            <v>maintenance</v>
          </cell>
          <cell r="AI303" t="str">
            <v/>
          </cell>
          <cell r="AJ303">
            <v>0</v>
          </cell>
          <cell r="AK303">
            <v>1</v>
          </cell>
          <cell r="AL303"/>
          <cell r="AM303"/>
          <cell r="AN303" t="str">
            <v/>
          </cell>
          <cell r="AO303"/>
          <cell r="AP303"/>
          <cell r="AQ303"/>
          <cell r="AR303"/>
          <cell r="AS303">
            <v>10</v>
          </cell>
          <cell r="AT303"/>
          <cell r="AU303" t="str">
            <v/>
          </cell>
          <cell r="AV303"/>
        </row>
        <row r="304">
          <cell r="Z304">
            <v>8135110</v>
          </cell>
          <cell r="AA304" t="str">
            <v>XO
4-1/2" IF Pin x 6-5/8" REG Box</v>
          </cell>
          <cell r="AB304">
            <v>90.770824506375007</v>
          </cell>
          <cell r="AC304">
            <v>7.75</v>
          </cell>
          <cell r="AD304">
            <v>450</v>
          </cell>
          <cell r="AE304" t="str">
            <v>4-1/2" IF Pin</v>
          </cell>
          <cell r="AF304" t="str">
            <v>6-5/8" REG Box</v>
          </cell>
          <cell r="AG304"/>
          <cell r="AH304" t="str">
            <v xml:space="preserve"> en stock </v>
          </cell>
          <cell r="AI304">
            <v>1</v>
          </cell>
          <cell r="AJ304">
            <v>0</v>
          </cell>
          <cell r="AK304">
            <v>0</v>
          </cell>
          <cell r="AL304"/>
          <cell r="AM304"/>
          <cell r="AN304" t="str">
            <v/>
          </cell>
          <cell r="AO304"/>
          <cell r="AP304"/>
          <cell r="AQ304"/>
          <cell r="AR304"/>
          <cell r="AS304">
            <v>174</v>
          </cell>
          <cell r="AT304"/>
          <cell r="AU304" t="str">
            <v/>
          </cell>
          <cell r="AV304"/>
        </row>
        <row r="305">
          <cell r="Z305">
            <v>8135111</v>
          </cell>
          <cell r="AA305" t="str">
            <v>XO
6-5/8" REG Pin x 4-1/2" IF Box</v>
          </cell>
          <cell r="AB305">
            <v>74</v>
          </cell>
          <cell r="AC305">
            <v>7.75</v>
          </cell>
          <cell r="AD305">
            <v>430</v>
          </cell>
          <cell r="AE305" t="str">
            <v>6-5/8" REG Pin</v>
          </cell>
          <cell r="AF305" t="str">
            <v>4-1/2" IF Box</v>
          </cell>
          <cell r="AG305"/>
          <cell r="AH305" t="str">
            <v>sur chantier</v>
          </cell>
          <cell r="AI305" t="str">
            <v/>
          </cell>
          <cell r="AJ305">
            <v>1</v>
          </cell>
          <cell r="AK305">
            <v>0</v>
          </cell>
          <cell r="AL305"/>
          <cell r="AM305"/>
          <cell r="AN305" t="str">
            <v/>
          </cell>
          <cell r="AO305"/>
          <cell r="AP305"/>
          <cell r="AQ305"/>
          <cell r="AR305"/>
          <cell r="AS305">
            <v>263</v>
          </cell>
          <cell r="AT305"/>
          <cell r="AU305" t="str">
            <v/>
          </cell>
          <cell r="AV305"/>
        </row>
        <row r="306">
          <cell r="Z306">
            <v>8135112</v>
          </cell>
          <cell r="AA306" t="str">
            <v>XO
6-5/8" REG Pin x 4" IF Box</v>
          </cell>
          <cell r="AB306">
            <v>168</v>
          </cell>
          <cell r="AC306">
            <v>8</v>
          </cell>
          <cell r="AD306">
            <v>925</v>
          </cell>
          <cell r="AE306" t="str">
            <v>6-5/8" REG Pin</v>
          </cell>
          <cell r="AF306" t="str">
            <v>4" IF Box</v>
          </cell>
          <cell r="AG306"/>
          <cell r="AH306" t="str">
            <v xml:space="preserve"> en stock </v>
          </cell>
          <cell r="AI306">
            <v>1</v>
          </cell>
          <cell r="AJ306">
            <v>0</v>
          </cell>
          <cell r="AK306">
            <v>0</v>
          </cell>
          <cell r="AL306"/>
          <cell r="AM306"/>
          <cell r="AN306" t="str">
            <v/>
          </cell>
          <cell r="AO306"/>
          <cell r="AP306"/>
          <cell r="AQ306"/>
          <cell r="AR306"/>
          <cell r="AS306">
            <v>205</v>
          </cell>
          <cell r="AT306"/>
          <cell r="AU306" t="str">
            <v/>
          </cell>
          <cell r="AV306"/>
        </row>
        <row r="307">
          <cell r="Z307">
            <v>8135113</v>
          </cell>
          <cell r="AA307" t="str">
            <v>XO
3-1/2" REG Pin x 3-1/2" IF Box</v>
          </cell>
          <cell r="AB307">
            <v>80</v>
          </cell>
          <cell r="AC307">
            <v>4.75</v>
          </cell>
          <cell r="AD307">
            <v>1135</v>
          </cell>
          <cell r="AE307" t="str">
            <v>3-1/2" REG Pin</v>
          </cell>
          <cell r="AF307" t="str">
            <v>3-1/2" IF Box</v>
          </cell>
          <cell r="AG307"/>
          <cell r="AH307" t="str">
            <v xml:space="preserve"> en stock </v>
          </cell>
          <cell r="AI307">
            <v>1</v>
          </cell>
          <cell r="AJ307">
            <v>0</v>
          </cell>
          <cell r="AK307">
            <v>0</v>
          </cell>
          <cell r="AL307"/>
          <cell r="AM307"/>
          <cell r="AN307" t="str">
            <v/>
          </cell>
          <cell r="AO307"/>
          <cell r="AP307"/>
          <cell r="AQ307"/>
          <cell r="AR307"/>
          <cell r="AS307">
            <v>133</v>
          </cell>
          <cell r="AT307"/>
          <cell r="AU307" t="str">
            <v/>
          </cell>
          <cell r="AV307"/>
        </row>
        <row r="308">
          <cell r="Z308">
            <v>8135114</v>
          </cell>
          <cell r="AA308" t="str">
            <v>XO
4-1/2" REG Pin x 4-1/2" IF Box</v>
          </cell>
          <cell r="AB308">
            <v>142</v>
          </cell>
          <cell r="AC308">
            <v>6.5</v>
          </cell>
          <cell r="AD308">
            <v>1120</v>
          </cell>
          <cell r="AE308" t="str">
            <v>4-1/2" REG Pin</v>
          </cell>
          <cell r="AF308" t="str">
            <v>4-1/2" IF Box</v>
          </cell>
          <cell r="AG308"/>
          <cell r="AH308" t="str">
            <v>maintenance</v>
          </cell>
          <cell r="AI308" t="str">
            <v/>
          </cell>
          <cell r="AJ308">
            <v>0</v>
          </cell>
          <cell r="AK308">
            <v>1</v>
          </cell>
          <cell r="AL308"/>
          <cell r="AM308"/>
          <cell r="AN308" t="str">
            <v/>
          </cell>
          <cell r="AO308"/>
          <cell r="AP308"/>
          <cell r="AQ308"/>
          <cell r="AR308"/>
          <cell r="AS308">
            <v>183</v>
          </cell>
          <cell r="AT308"/>
          <cell r="AU308" t="str">
            <v/>
          </cell>
          <cell r="AV308"/>
        </row>
        <row r="309">
          <cell r="Z309">
            <v>8085115</v>
          </cell>
          <cell r="AA309" t="str">
            <v xml:space="preserve">7-11/16" OD Saver Sub
6-5/8" REG Pin x Box
Set on : </v>
          </cell>
          <cell r="AB309">
            <v>102.45881806582496</v>
          </cell>
          <cell r="AC309">
            <v>7.6875</v>
          </cell>
          <cell r="AD309">
            <v>480</v>
          </cell>
          <cell r="AE309" t="str">
            <v>6-5/8" REG Box</v>
          </cell>
          <cell r="AF309" t="str">
            <v>6-5/8" REG Pin</v>
          </cell>
          <cell r="AG309" t="str">
            <v>DJ</v>
          </cell>
          <cell r="AH309" t="str">
            <v>sur chantier</v>
          </cell>
          <cell r="AI309" t="str">
            <v/>
          </cell>
          <cell r="AJ309">
            <v>1</v>
          </cell>
          <cell r="AK309">
            <v>0</v>
          </cell>
          <cell r="AL309"/>
          <cell r="AM309"/>
          <cell r="AN309" t="str">
            <v/>
          </cell>
          <cell r="AO309"/>
          <cell r="AP309"/>
          <cell r="AQ309"/>
          <cell r="AR309"/>
          <cell r="AS309">
            <v>95</v>
          </cell>
          <cell r="AT309"/>
          <cell r="AU309" t="str">
            <v/>
          </cell>
          <cell r="AV309"/>
        </row>
        <row r="310">
          <cell r="Z310">
            <v>8135116</v>
          </cell>
          <cell r="AA310" t="str">
            <v>XO
6-5/8" REG Pin x 4-1/2" IF Box</v>
          </cell>
          <cell r="AB310">
            <v>92.678085812812512</v>
          </cell>
          <cell r="AC310">
            <v>7.75</v>
          </cell>
          <cell r="AD310">
            <v>500</v>
          </cell>
          <cell r="AE310" t="str">
            <v>6-5/8" REG Pin</v>
          </cell>
          <cell r="AF310" t="str">
            <v>4-1/2" IF Box</v>
          </cell>
          <cell r="AG310"/>
          <cell r="AH310" t="str">
            <v xml:space="preserve"> en stock </v>
          </cell>
          <cell r="AI310">
            <v>1</v>
          </cell>
          <cell r="AJ310">
            <v>0</v>
          </cell>
          <cell r="AK310">
            <v>0</v>
          </cell>
          <cell r="AL310"/>
          <cell r="AM310"/>
          <cell r="AN310">
            <v>8135116</v>
          </cell>
          <cell r="AO310"/>
          <cell r="AP310"/>
          <cell r="AQ310"/>
          <cell r="AR310"/>
          <cell r="AS310">
            <v>208</v>
          </cell>
          <cell r="AT310"/>
          <cell r="AU310" t="str">
            <v/>
          </cell>
          <cell r="AV310"/>
        </row>
        <row r="311">
          <cell r="Z311">
            <v>8135302</v>
          </cell>
          <cell r="AA311" t="str">
            <v>XO
4" IF Pin x 3-1/2" IF Box</v>
          </cell>
          <cell r="AB311">
            <v>55.048715229970306</v>
          </cell>
          <cell r="AC311">
            <v>5.625</v>
          </cell>
          <cell r="AD311">
            <v>530</v>
          </cell>
          <cell r="AE311" t="str">
            <v>4" IF Pin</v>
          </cell>
          <cell r="AF311" t="str">
            <v>3-1/2" IF Box</v>
          </cell>
          <cell r="AG311"/>
          <cell r="AH311" t="str">
            <v>maintenance</v>
          </cell>
          <cell r="AI311" t="str">
            <v/>
          </cell>
          <cell r="AJ311">
            <v>0</v>
          </cell>
          <cell r="AK311">
            <v>1</v>
          </cell>
          <cell r="AL311"/>
          <cell r="AM311"/>
          <cell r="AN311">
            <v>8135117</v>
          </cell>
          <cell r="AO311"/>
          <cell r="AP311"/>
          <cell r="AQ311"/>
          <cell r="AR311"/>
          <cell r="AS311">
            <v>138</v>
          </cell>
          <cell r="AT311"/>
          <cell r="AU311" t="str">
            <v/>
          </cell>
          <cell r="AV311"/>
        </row>
        <row r="312">
          <cell r="Z312">
            <v>8135118</v>
          </cell>
          <cell r="AA312" t="str">
            <v>XO
6-5/8" REG Pin x 3-1/2" IF Box</v>
          </cell>
          <cell r="AB312">
            <v>59.845415691993736</v>
          </cell>
          <cell r="AC312">
            <v>7.875</v>
          </cell>
          <cell r="AD312">
            <v>280</v>
          </cell>
          <cell r="AE312" t="str">
            <v>6-5/8" REG Pin</v>
          </cell>
          <cell r="AF312" t="str">
            <v>3-1/2" IF Box</v>
          </cell>
          <cell r="AG312"/>
          <cell r="AH312" t="str">
            <v>maintenance</v>
          </cell>
          <cell r="AI312" t="str">
            <v/>
          </cell>
          <cell r="AJ312">
            <v>0</v>
          </cell>
          <cell r="AK312">
            <v>1</v>
          </cell>
          <cell r="AL312"/>
          <cell r="AM312"/>
          <cell r="AN312" t="str">
            <v/>
          </cell>
          <cell r="AO312"/>
          <cell r="AP312"/>
          <cell r="AQ312"/>
          <cell r="AR312"/>
          <cell r="AS312">
            <v>202</v>
          </cell>
          <cell r="AT312"/>
          <cell r="AU312" t="str">
            <v/>
          </cell>
          <cell r="AV312"/>
        </row>
        <row r="313">
          <cell r="Z313">
            <v>5055119</v>
          </cell>
          <cell r="AA313" t="str">
            <v>Pilot Mill
2-3/8" REG Box x Pilot</v>
          </cell>
          <cell r="AB313">
            <v>60</v>
          </cell>
          <cell r="AC313">
            <v>6.625</v>
          </cell>
          <cell r="AD313">
            <v>900</v>
          </cell>
          <cell r="AE313" t="str">
            <v>2-3/8" REG Box</v>
          </cell>
          <cell r="AF313" t="str">
            <v>Pilot</v>
          </cell>
          <cell r="AG313" t="str">
            <v>carbure</v>
          </cell>
          <cell r="AH313" t="str">
            <v xml:space="preserve"> en stock </v>
          </cell>
          <cell r="AI313">
            <v>1</v>
          </cell>
          <cell r="AJ313">
            <v>0</v>
          </cell>
          <cell r="AK313">
            <v>0</v>
          </cell>
          <cell r="AL313"/>
          <cell r="AM313"/>
          <cell r="AN313" t="str">
            <v/>
          </cell>
          <cell r="AO313"/>
          <cell r="AP313"/>
          <cell r="AQ313"/>
          <cell r="AR313"/>
          <cell r="AS313">
            <v>12</v>
          </cell>
          <cell r="AT313"/>
          <cell r="AU313" t="str">
            <v/>
          </cell>
          <cell r="AV313"/>
        </row>
        <row r="314">
          <cell r="Z314">
            <v>5055120</v>
          </cell>
          <cell r="AA314" t="str">
            <v>Pilot Mill
2-3/8" REG Box x Pilot</v>
          </cell>
          <cell r="AB314">
            <v>56</v>
          </cell>
          <cell r="AC314">
            <v>6.25</v>
          </cell>
          <cell r="AD314">
            <v>950</v>
          </cell>
          <cell r="AE314" t="str">
            <v>2-3/8" REG Box</v>
          </cell>
          <cell r="AF314" t="str">
            <v>Pilot</v>
          </cell>
          <cell r="AG314" t="str">
            <v>carbure</v>
          </cell>
          <cell r="AH314" t="str">
            <v xml:space="preserve"> en stock </v>
          </cell>
          <cell r="AI314">
            <v>1</v>
          </cell>
          <cell r="AJ314">
            <v>0</v>
          </cell>
          <cell r="AK314">
            <v>0</v>
          </cell>
          <cell r="AL314"/>
          <cell r="AM314"/>
          <cell r="AN314" t="str">
            <v/>
          </cell>
          <cell r="AO314"/>
          <cell r="AP314"/>
          <cell r="AQ314"/>
          <cell r="AR314"/>
          <cell r="AS314">
            <v>11</v>
          </cell>
          <cell r="AT314"/>
          <cell r="AU314" t="str">
            <v/>
          </cell>
          <cell r="AV314"/>
        </row>
        <row r="315">
          <cell r="Z315">
            <v>5045121</v>
          </cell>
          <cell r="AA315" t="str">
            <v xml:space="preserve">Viper Pilot Mill
3-1/2" REG Pin x  - </v>
          </cell>
          <cell r="AB315">
            <v>44</v>
          </cell>
          <cell r="AC315">
            <v>6.1875</v>
          </cell>
          <cell r="AD315">
            <v>790</v>
          </cell>
          <cell r="AE315" t="str">
            <v>3-1/2" REG Pin</v>
          </cell>
          <cell r="AF315" t="str">
            <v xml:space="preserve"> - </v>
          </cell>
          <cell r="AG315" t="str">
            <v>Insert</v>
          </cell>
          <cell r="AH315" t="str">
            <v xml:space="preserve"> en stock </v>
          </cell>
          <cell r="AI315">
            <v>1</v>
          </cell>
          <cell r="AJ315">
            <v>0</v>
          </cell>
          <cell r="AK315">
            <v>0</v>
          </cell>
          <cell r="AL315"/>
          <cell r="AM315"/>
          <cell r="AN315">
            <v>5045121</v>
          </cell>
          <cell r="AO315"/>
          <cell r="AP315"/>
          <cell r="AQ315"/>
          <cell r="AR315"/>
          <cell r="AS315">
            <v>16</v>
          </cell>
          <cell r="AT315"/>
          <cell r="AU315" t="str">
            <v/>
          </cell>
          <cell r="AV315"/>
        </row>
        <row r="316">
          <cell r="Z316">
            <v>5045122</v>
          </cell>
          <cell r="AA316" t="str">
            <v>Viper Pilot Mill
3-1/2" REG Pin x 2-3/8" REG Pin</v>
          </cell>
          <cell r="AB316">
            <v>54</v>
          </cell>
          <cell r="AC316">
            <v>5.75</v>
          </cell>
          <cell r="AD316">
            <v>830</v>
          </cell>
          <cell r="AE316" t="str">
            <v>3-1/2" REG Pin</v>
          </cell>
          <cell r="AF316" t="str">
            <v>2-3/8" REG Pin</v>
          </cell>
          <cell r="AG316" t="str">
            <v>Insert Ring</v>
          </cell>
          <cell r="AH316" t="str">
            <v xml:space="preserve"> en stock </v>
          </cell>
          <cell r="AI316">
            <v>1</v>
          </cell>
          <cell r="AJ316">
            <v>0</v>
          </cell>
          <cell r="AK316">
            <v>0</v>
          </cell>
          <cell r="AL316"/>
          <cell r="AM316"/>
          <cell r="AN316" t="str">
            <v/>
          </cell>
          <cell r="AO316"/>
          <cell r="AP316"/>
          <cell r="AQ316"/>
          <cell r="AR316"/>
          <cell r="AS316">
            <v>12</v>
          </cell>
          <cell r="AT316"/>
          <cell r="AU316" t="str">
            <v/>
          </cell>
          <cell r="AV316"/>
        </row>
        <row r="317">
          <cell r="Z317">
            <v>5045123</v>
          </cell>
          <cell r="AA317" t="str">
            <v>Viper Pilot Mill
2-3/8" REG Pin x Pilot</v>
          </cell>
          <cell r="AB317">
            <v>16</v>
          </cell>
          <cell r="AC317">
            <v>4.375</v>
          </cell>
          <cell r="AD317">
            <v>560</v>
          </cell>
          <cell r="AE317" t="str">
            <v>2-3/8" REG Pin</v>
          </cell>
          <cell r="AF317" t="str">
            <v>Pilot</v>
          </cell>
          <cell r="AG317" t="str">
            <v>Insert Ring</v>
          </cell>
          <cell r="AH317" t="str">
            <v xml:space="preserve"> en stock </v>
          </cell>
          <cell r="AI317">
            <v>1</v>
          </cell>
          <cell r="AJ317">
            <v>0</v>
          </cell>
          <cell r="AK317">
            <v>0</v>
          </cell>
          <cell r="AL317"/>
          <cell r="AM317"/>
          <cell r="AN317" t="str">
            <v/>
          </cell>
          <cell r="AO317"/>
          <cell r="AP317"/>
          <cell r="AQ317"/>
          <cell r="AR317"/>
          <cell r="AS317">
            <v>10</v>
          </cell>
          <cell r="AT317"/>
          <cell r="AU317" t="str">
            <v/>
          </cell>
          <cell r="AV317"/>
        </row>
        <row r="318">
          <cell r="Z318">
            <v>5055124</v>
          </cell>
          <cell r="AA318" t="str">
            <v>Pilot Mill
2-3/8" REG Pin x Pilot</v>
          </cell>
          <cell r="AB318">
            <v>22</v>
          </cell>
          <cell r="AC318">
            <v>4.3125</v>
          </cell>
          <cell r="AD318">
            <v>600</v>
          </cell>
          <cell r="AE318" t="str">
            <v>2-3/8" REG Pin</v>
          </cell>
          <cell r="AF318" t="str">
            <v>Pilot</v>
          </cell>
          <cell r="AG318" t="str">
            <v>carbure</v>
          </cell>
          <cell r="AH318" t="str">
            <v xml:space="preserve"> en stock </v>
          </cell>
          <cell r="AI318">
            <v>1</v>
          </cell>
          <cell r="AJ318">
            <v>0</v>
          </cell>
          <cell r="AK318">
            <v>0</v>
          </cell>
          <cell r="AL318"/>
          <cell r="AM318"/>
          <cell r="AN318" t="str">
            <v/>
          </cell>
          <cell r="AO318"/>
          <cell r="AP318"/>
          <cell r="AQ318"/>
          <cell r="AR318"/>
          <cell r="AS318">
            <v>5</v>
          </cell>
          <cell r="AT318"/>
          <cell r="AU318" t="str">
            <v/>
          </cell>
          <cell r="AV318"/>
        </row>
        <row r="319">
          <cell r="Z319">
            <v>5045125</v>
          </cell>
          <cell r="AA319" t="str">
            <v>Viper Pilot Mill
2-3/8" REG Pin x 2-1/4" PRT Pin</v>
          </cell>
          <cell r="AB319">
            <v>32</v>
          </cell>
          <cell r="AC319">
            <v>3.875</v>
          </cell>
          <cell r="AD319">
            <v>975</v>
          </cell>
          <cell r="AE319" t="str">
            <v>2-3/8" REG Pin</v>
          </cell>
          <cell r="AF319" t="str">
            <v>2-1/4" PRT Pin</v>
          </cell>
          <cell r="AG319" t="str">
            <v>Insert</v>
          </cell>
          <cell r="AH319" t="str">
            <v xml:space="preserve"> en stock </v>
          </cell>
          <cell r="AI319">
            <v>1</v>
          </cell>
          <cell r="AJ319">
            <v>0</v>
          </cell>
          <cell r="AK319">
            <v>0</v>
          </cell>
          <cell r="AL319"/>
          <cell r="AM319"/>
          <cell r="AN319" t="str">
            <v/>
          </cell>
          <cell r="AO319"/>
          <cell r="AP319"/>
          <cell r="AQ319"/>
          <cell r="AR319"/>
          <cell r="AS319">
            <v>9</v>
          </cell>
          <cell r="AT319"/>
          <cell r="AU319" t="str">
            <v/>
          </cell>
          <cell r="AV319"/>
        </row>
        <row r="320">
          <cell r="Z320">
            <v>5045126</v>
          </cell>
          <cell r="AA320" t="str">
            <v>Viper Pilot Mill
2-3/8" REG Pin x Pilot</v>
          </cell>
          <cell r="AB320">
            <v>16</v>
          </cell>
          <cell r="AC320">
            <v>3.0625</v>
          </cell>
          <cell r="AD320">
            <v>700</v>
          </cell>
          <cell r="AE320" t="str">
            <v>2-3/8" REG Pin</v>
          </cell>
          <cell r="AF320" t="str">
            <v>Pilot</v>
          </cell>
          <cell r="AG320" t="str">
            <v>Insert</v>
          </cell>
          <cell r="AH320" t="str">
            <v xml:space="preserve"> en stock </v>
          </cell>
          <cell r="AI320">
            <v>1</v>
          </cell>
          <cell r="AJ320">
            <v>0</v>
          </cell>
          <cell r="AK320">
            <v>0</v>
          </cell>
          <cell r="AL320"/>
          <cell r="AM320"/>
          <cell r="AN320" t="str">
            <v/>
          </cell>
          <cell r="AO320"/>
          <cell r="AP320"/>
          <cell r="AQ320"/>
          <cell r="AR320"/>
          <cell r="AS320">
            <v>5</v>
          </cell>
          <cell r="AT320"/>
          <cell r="AU320" t="str">
            <v/>
          </cell>
          <cell r="AV320"/>
        </row>
        <row r="321">
          <cell r="Z321">
            <v>5045127</v>
          </cell>
          <cell r="AA321" t="str">
            <v>Viper Pilot Mill
2-3/8" REG Pin x Pilot</v>
          </cell>
          <cell r="AB321">
            <v>16</v>
          </cell>
          <cell r="AC321">
            <v>3.0625</v>
          </cell>
          <cell r="AD321">
            <v>670</v>
          </cell>
          <cell r="AE321" t="str">
            <v>2-3/8" REG Pin</v>
          </cell>
          <cell r="AF321" t="str">
            <v>Pilot</v>
          </cell>
          <cell r="AG321" t="str">
            <v>Insert</v>
          </cell>
          <cell r="AH321" t="str">
            <v xml:space="preserve"> en stock </v>
          </cell>
          <cell r="AI321">
            <v>1</v>
          </cell>
          <cell r="AJ321">
            <v>0</v>
          </cell>
          <cell r="AK321">
            <v>0</v>
          </cell>
          <cell r="AL321"/>
          <cell r="AM321"/>
          <cell r="AN321" t="str">
            <v/>
          </cell>
          <cell r="AO321"/>
          <cell r="AP321"/>
          <cell r="AQ321"/>
          <cell r="AR321"/>
          <cell r="AS321">
            <v>6</v>
          </cell>
          <cell r="AT321"/>
          <cell r="AU321" t="str">
            <v/>
          </cell>
          <cell r="AV321"/>
        </row>
        <row r="322">
          <cell r="Z322">
            <v>5055128</v>
          </cell>
          <cell r="AA322" t="str">
            <v>Pilot Mill
2-3/8" REG Pin x Pilot</v>
          </cell>
          <cell r="AB322">
            <v>28</v>
          </cell>
          <cell r="AC322">
            <v>5.5625</v>
          </cell>
          <cell r="AD322">
            <v>640</v>
          </cell>
          <cell r="AE322" t="str">
            <v>2-3/8" REG Pin</v>
          </cell>
          <cell r="AF322" t="str">
            <v>Pilot</v>
          </cell>
          <cell r="AG322" t="str">
            <v>carbure</v>
          </cell>
          <cell r="AH322" t="str">
            <v xml:space="preserve"> en stock </v>
          </cell>
          <cell r="AI322">
            <v>1</v>
          </cell>
          <cell r="AJ322">
            <v>0</v>
          </cell>
          <cell r="AK322">
            <v>0</v>
          </cell>
          <cell r="AL322"/>
          <cell r="AM322"/>
          <cell r="AN322" t="str">
            <v/>
          </cell>
          <cell r="AO322"/>
          <cell r="AP322"/>
          <cell r="AQ322"/>
          <cell r="AR322"/>
          <cell r="AS322">
            <v>6</v>
          </cell>
          <cell r="AT322"/>
          <cell r="AU322" t="str">
            <v/>
          </cell>
          <cell r="AV322"/>
        </row>
        <row r="323">
          <cell r="Z323">
            <v>5125129</v>
          </cell>
          <cell r="AA323"/>
          <cell r="AB323"/>
          <cell r="AC323"/>
          <cell r="AD323"/>
          <cell r="AE323"/>
          <cell r="AF323"/>
          <cell r="AG323"/>
          <cell r="AH323" t="str">
            <v>en stock</v>
          </cell>
          <cell r="AI323"/>
          <cell r="AJ323"/>
          <cell r="AK323"/>
          <cell r="AL323"/>
          <cell r="AM323"/>
          <cell r="AN323" t="str">
            <v/>
          </cell>
          <cell r="AO323"/>
          <cell r="AP323"/>
          <cell r="AQ323"/>
          <cell r="AR323"/>
          <cell r="AS323"/>
          <cell r="AT323"/>
          <cell r="AU323" t="str">
            <v/>
          </cell>
          <cell r="AV323"/>
        </row>
        <row r="324">
          <cell r="Z324">
            <v>5045130</v>
          </cell>
          <cell r="AA324" t="str">
            <v>Viper Pilot Mill
3-1/2" REG Pin x Pilot</v>
          </cell>
          <cell r="AB324">
            <v>43</v>
          </cell>
          <cell r="AC324">
            <v>6</v>
          </cell>
          <cell r="AD324">
            <v>655</v>
          </cell>
          <cell r="AE324" t="str">
            <v>3-1/2" REG Pin</v>
          </cell>
          <cell r="AF324" t="str">
            <v>Pilot</v>
          </cell>
          <cell r="AG324" t="str">
            <v>Insert Ring</v>
          </cell>
          <cell r="AH324" t="str">
            <v xml:space="preserve"> en stock </v>
          </cell>
          <cell r="AI324">
            <v>1</v>
          </cell>
          <cell r="AJ324">
            <v>0</v>
          </cell>
          <cell r="AK324">
            <v>0</v>
          </cell>
          <cell r="AL324"/>
          <cell r="AM324"/>
          <cell r="AN324" t="str">
            <v/>
          </cell>
          <cell r="AO324"/>
          <cell r="AP324"/>
          <cell r="AQ324"/>
          <cell r="AR324"/>
          <cell r="AS324">
            <v>15</v>
          </cell>
          <cell r="AT324"/>
          <cell r="AU324" t="str">
            <v/>
          </cell>
          <cell r="AV324"/>
        </row>
        <row r="325">
          <cell r="Z325">
            <v>5055131</v>
          </cell>
          <cell r="AA325" t="str">
            <v>Pilot Mill
2-7/8" REG Pin x Pilot</v>
          </cell>
          <cell r="AB325">
            <v>38</v>
          </cell>
          <cell r="AC325">
            <v>5.9375</v>
          </cell>
          <cell r="AD325">
            <v>605</v>
          </cell>
          <cell r="AE325" t="str">
            <v>2-7/8" REG Pin</v>
          </cell>
          <cell r="AF325" t="str">
            <v>Pilot</v>
          </cell>
          <cell r="AG325" t="str">
            <v>carbure</v>
          </cell>
          <cell r="AH325" t="str">
            <v xml:space="preserve"> en stock </v>
          </cell>
          <cell r="AI325">
            <v>1</v>
          </cell>
          <cell r="AJ325">
            <v>0</v>
          </cell>
          <cell r="AK325">
            <v>0</v>
          </cell>
          <cell r="AL325"/>
          <cell r="AM325"/>
          <cell r="AN325" t="str">
            <v/>
          </cell>
          <cell r="AO325"/>
          <cell r="AP325"/>
          <cell r="AQ325"/>
          <cell r="AR325"/>
          <cell r="AS325">
            <v>9</v>
          </cell>
          <cell r="AT325"/>
          <cell r="AU325" t="str">
            <v/>
          </cell>
          <cell r="AV325"/>
        </row>
        <row r="326">
          <cell r="Z326">
            <v>5055132</v>
          </cell>
          <cell r="AA326" t="str">
            <v>Pilot Mill
2-7/8" REG Pin x Pilot</v>
          </cell>
          <cell r="AB326">
            <v>36</v>
          </cell>
          <cell r="AC326">
            <v>5.6875</v>
          </cell>
          <cell r="AD326">
            <v>595</v>
          </cell>
          <cell r="AE326" t="str">
            <v>2-7/8" REG Pin</v>
          </cell>
          <cell r="AF326" t="str">
            <v>Pilot</v>
          </cell>
          <cell r="AG326" t="str">
            <v>carbure</v>
          </cell>
          <cell r="AH326" t="str">
            <v xml:space="preserve"> en stock </v>
          </cell>
          <cell r="AI326">
            <v>1</v>
          </cell>
          <cell r="AJ326">
            <v>0</v>
          </cell>
          <cell r="AK326">
            <v>0</v>
          </cell>
          <cell r="AL326"/>
          <cell r="AM326"/>
          <cell r="AN326" t="str">
            <v/>
          </cell>
          <cell r="AO326"/>
          <cell r="AP326"/>
          <cell r="AQ326"/>
          <cell r="AR326"/>
          <cell r="AS326">
            <v>8</v>
          </cell>
          <cell r="AT326"/>
          <cell r="AU326" t="str">
            <v/>
          </cell>
          <cell r="AV326"/>
        </row>
        <row r="327">
          <cell r="Z327">
            <v>5125133</v>
          </cell>
          <cell r="AA327" t="str">
            <v>WO Top Sub
2-3/8" REG Box x 4" FJWP Pin x 2-3/8" REG Box in</v>
          </cell>
          <cell r="AB327">
            <v>24</v>
          </cell>
          <cell r="AC327">
            <v>4</v>
          </cell>
          <cell r="AD327">
            <v>540</v>
          </cell>
          <cell r="AE327" t="str">
            <v>2-3/8" REG Box</v>
          </cell>
          <cell r="AF327" t="str">
            <v>4" FJWP Pin</v>
          </cell>
          <cell r="AG327" t="str">
            <v>2-3/8" REG Box</v>
          </cell>
          <cell r="AH327" t="str">
            <v xml:space="preserve"> en stock </v>
          </cell>
          <cell r="AI327">
            <v>1</v>
          </cell>
          <cell r="AJ327">
            <v>0</v>
          </cell>
          <cell r="AK327">
            <v>0</v>
          </cell>
          <cell r="AL327"/>
          <cell r="AM327"/>
          <cell r="AN327" t="str">
            <v/>
          </cell>
          <cell r="AO327"/>
          <cell r="AP327"/>
          <cell r="AQ327"/>
          <cell r="AR327"/>
          <cell r="AS327">
            <v>11</v>
          </cell>
          <cell r="AT327"/>
          <cell r="AU327" t="str">
            <v/>
          </cell>
          <cell r="AV327"/>
        </row>
        <row r="328">
          <cell r="Z328">
            <v>7125134</v>
          </cell>
          <cell r="AA328" t="str">
            <v>Releasing Spear 11-3/4" OD Mandrel Type AZ RSP13
6-5/8" REG Box</v>
          </cell>
          <cell r="AB328">
            <v>634</v>
          </cell>
          <cell r="AC328">
            <v>11.75</v>
          </cell>
          <cell r="AD328" t="str">
            <v>CA RSP-13</v>
          </cell>
          <cell r="AE328" t="str">
            <v>6-5/8" REG Box</v>
          </cell>
          <cell r="AF328" t="str">
            <v>bull nose nut</v>
          </cell>
          <cell r="AG328"/>
          <cell r="AH328" t="str">
            <v xml:space="preserve"> en stock </v>
          </cell>
          <cell r="AI328">
            <v>1</v>
          </cell>
          <cell r="AJ328">
            <v>0</v>
          </cell>
          <cell r="AK328">
            <v>0</v>
          </cell>
          <cell r="AL328"/>
          <cell r="AM328"/>
          <cell r="AN328" t="str">
            <v/>
          </cell>
          <cell r="AO328"/>
          <cell r="AP328"/>
          <cell r="AQ328"/>
          <cell r="AR328"/>
          <cell r="AS328">
            <v>35</v>
          </cell>
          <cell r="AT328"/>
          <cell r="AU328" t="str">
            <v/>
          </cell>
          <cell r="AV328"/>
        </row>
        <row r="329">
          <cell r="Z329">
            <v>1095135</v>
          </cell>
          <cell r="AA329"/>
          <cell r="AB329"/>
          <cell r="AC329"/>
          <cell r="AD329"/>
          <cell r="AE329"/>
          <cell r="AF329"/>
          <cell r="AG329"/>
          <cell r="AH329" t="str">
            <v>en stock</v>
          </cell>
          <cell r="AI329"/>
          <cell r="AJ329"/>
          <cell r="AK329"/>
          <cell r="AL329"/>
          <cell r="AM329"/>
          <cell r="AN329" t="str">
            <v/>
          </cell>
          <cell r="AO329"/>
          <cell r="AP329"/>
          <cell r="AQ329"/>
          <cell r="AR329"/>
          <cell r="AS329"/>
          <cell r="AT329"/>
          <cell r="AU329" t="str">
            <v/>
          </cell>
          <cell r="AV329"/>
        </row>
        <row r="330">
          <cell r="Z330">
            <v>1095136</v>
          </cell>
          <cell r="AA330"/>
          <cell r="AB330"/>
          <cell r="AC330"/>
          <cell r="AD330"/>
          <cell r="AE330"/>
          <cell r="AF330"/>
          <cell r="AG330"/>
          <cell r="AH330" t="str">
            <v>en stock</v>
          </cell>
          <cell r="AI330"/>
          <cell r="AJ330"/>
          <cell r="AK330"/>
          <cell r="AL330"/>
          <cell r="AM330"/>
          <cell r="AN330" t="str">
            <v/>
          </cell>
          <cell r="AO330"/>
          <cell r="AP330"/>
          <cell r="AQ330"/>
          <cell r="AR330"/>
          <cell r="AS330"/>
          <cell r="AT330"/>
          <cell r="AU330" t="str">
            <v/>
          </cell>
          <cell r="AV330"/>
        </row>
        <row r="331">
          <cell r="Z331">
            <v>5035137</v>
          </cell>
          <cell r="AA331" t="str">
            <v>Junk Mill 
2-3/8' REG Pin</v>
          </cell>
          <cell r="AB331">
            <v>12</v>
          </cell>
          <cell r="AC331">
            <v>4.125</v>
          </cell>
          <cell r="AD331">
            <v>0</v>
          </cell>
          <cell r="AE331" t="str">
            <v>2-3/8' REG Pin</v>
          </cell>
          <cell r="AF331"/>
          <cell r="AG331" t="str">
            <v>C</v>
          </cell>
          <cell r="AH331" t="str">
            <v xml:space="preserve"> en stock </v>
          </cell>
          <cell r="AI331">
            <v>1</v>
          </cell>
          <cell r="AJ331">
            <v>0</v>
          </cell>
          <cell r="AK331">
            <v>0</v>
          </cell>
          <cell r="AL331"/>
          <cell r="AM331"/>
          <cell r="AN331" t="str">
            <v/>
          </cell>
          <cell r="AO331"/>
          <cell r="AP331"/>
          <cell r="AQ331"/>
          <cell r="AR331"/>
          <cell r="AS331">
            <v>8</v>
          </cell>
          <cell r="AT331" t="str">
            <v>503-</v>
          </cell>
          <cell r="AU331" t="str">
            <v/>
          </cell>
          <cell r="AV331"/>
        </row>
        <row r="332">
          <cell r="Z332">
            <v>5025138</v>
          </cell>
          <cell r="AA332"/>
          <cell r="AB332"/>
          <cell r="AC332"/>
          <cell r="AD332"/>
          <cell r="AE332"/>
          <cell r="AF332"/>
          <cell r="AG332"/>
          <cell r="AH332" t="str">
            <v>en stock</v>
          </cell>
          <cell r="AI332"/>
          <cell r="AJ332"/>
          <cell r="AK332"/>
          <cell r="AL332"/>
          <cell r="AM332"/>
          <cell r="AN332" t="str">
            <v/>
          </cell>
          <cell r="AO332"/>
          <cell r="AP332"/>
          <cell r="AQ332"/>
          <cell r="AR332"/>
          <cell r="AS332"/>
          <cell r="AT332"/>
          <cell r="AU332" t="str">
            <v/>
          </cell>
          <cell r="AV332"/>
        </row>
        <row r="333">
          <cell r="Z333">
            <v>5035139</v>
          </cell>
          <cell r="AA333" t="str">
            <v>Junk Mill 
3-1/2" REG Pin</v>
          </cell>
          <cell r="AB333">
            <v>34</v>
          </cell>
          <cell r="AC333">
            <v>5.5</v>
          </cell>
          <cell r="AD333">
            <v>0</v>
          </cell>
          <cell r="AE333" t="str">
            <v>3-1/2" REG Pin</v>
          </cell>
          <cell r="AF333"/>
          <cell r="AG333" t="str">
            <v>C</v>
          </cell>
          <cell r="AH333" t="str">
            <v xml:space="preserve"> en stock </v>
          </cell>
          <cell r="AI333">
            <v>1</v>
          </cell>
          <cell r="AJ333">
            <v>0</v>
          </cell>
          <cell r="AK333">
            <v>0</v>
          </cell>
          <cell r="AL333"/>
          <cell r="AM333"/>
          <cell r="AN333" t="str">
            <v/>
          </cell>
          <cell r="AO333"/>
          <cell r="AP333"/>
          <cell r="AQ333"/>
          <cell r="AR333"/>
          <cell r="AS333">
            <v>23</v>
          </cell>
          <cell r="AT333" t="str">
            <v>503-</v>
          </cell>
          <cell r="AU333" t="str">
            <v/>
          </cell>
          <cell r="AV333"/>
        </row>
        <row r="334">
          <cell r="Z334">
            <v>5035140</v>
          </cell>
          <cell r="AA334" t="str">
            <v>Junk Mill 
2-3/8" REG Pin</v>
          </cell>
          <cell r="AB334">
            <v>18</v>
          </cell>
          <cell r="AC334">
            <v>4.25</v>
          </cell>
          <cell r="AD334">
            <v>0</v>
          </cell>
          <cell r="AE334" t="str">
            <v>2-3/8" REG Pin</v>
          </cell>
          <cell r="AF334"/>
          <cell r="AG334" t="str">
            <v>C</v>
          </cell>
          <cell r="AH334" t="str">
            <v xml:space="preserve"> en stock </v>
          </cell>
          <cell r="AI334">
            <v>1</v>
          </cell>
          <cell r="AJ334">
            <v>0</v>
          </cell>
          <cell r="AK334">
            <v>0</v>
          </cell>
          <cell r="AL334"/>
          <cell r="AM334"/>
          <cell r="AN334" t="str">
            <v/>
          </cell>
          <cell r="AO334"/>
          <cell r="AP334"/>
          <cell r="AQ334"/>
          <cell r="AR334"/>
          <cell r="AS334">
            <v>9</v>
          </cell>
          <cell r="AT334" t="str">
            <v>503-</v>
          </cell>
          <cell r="AU334" t="str">
            <v/>
          </cell>
          <cell r="AV334"/>
        </row>
        <row r="335">
          <cell r="Z335">
            <v>5035141</v>
          </cell>
          <cell r="AA335"/>
          <cell r="AB335"/>
          <cell r="AC335"/>
          <cell r="AD335"/>
          <cell r="AE335"/>
          <cell r="AF335"/>
          <cell r="AG335"/>
          <cell r="AH335" t="str">
            <v>en stock</v>
          </cell>
          <cell r="AI335"/>
          <cell r="AJ335"/>
          <cell r="AK335"/>
          <cell r="AL335"/>
          <cell r="AM335"/>
          <cell r="AN335" t="str">
            <v/>
          </cell>
          <cell r="AO335"/>
          <cell r="AP335"/>
          <cell r="AQ335"/>
          <cell r="AR335"/>
          <cell r="AS335"/>
          <cell r="AT335"/>
          <cell r="AU335" t="str">
            <v/>
          </cell>
          <cell r="AV335"/>
        </row>
        <row r="336">
          <cell r="Z336">
            <v>5075142</v>
          </cell>
          <cell r="AA336" t="str">
            <v>Super Junk Mill 
2-3/8" REG Pin</v>
          </cell>
          <cell r="AB336">
            <v>20</v>
          </cell>
          <cell r="AC336">
            <v>3.875</v>
          </cell>
          <cell r="AD336">
            <v>495</v>
          </cell>
          <cell r="AE336" t="str">
            <v>2-3/8" REG Pin</v>
          </cell>
          <cell r="AF336"/>
          <cell r="AG336" t="str">
            <v>C</v>
          </cell>
          <cell r="AH336" t="str">
            <v xml:space="preserve"> en stock </v>
          </cell>
          <cell r="AI336">
            <v>1</v>
          </cell>
          <cell r="AJ336">
            <v>0</v>
          </cell>
          <cell r="AK336">
            <v>0</v>
          </cell>
          <cell r="AL336"/>
          <cell r="AM336"/>
          <cell r="AN336" t="str">
            <v/>
          </cell>
          <cell r="AO336"/>
          <cell r="AP336"/>
          <cell r="AQ336"/>
          <cell r="AR336"/>
          <cell r="AS336">
            <v>7</v>
          </cell>
          <cell r="AT336" t="str">
            <v>507-</v>
          </cell>
          <cell r="AU336" t="str">
            <v/>
          </cell>
          <cell r="AV336"/>
        </row>
        <row r="337">
          <cell r="Z337">
            <v>5075143</v>
          </cell>
          <cell r="AA337" t="str">
            <v>Super Junk Mill 
2-3/8" REG Pin</v>
          </cell>
          <cell r="AB337">
            <v>22</v>
          </cell>
          <cell r="AC337">
            <v>3.875</v>
          </cell>
          <cell r="AD337">
            <v>450</v>
          </cell>
          <cell r="AE337" t="str">
            <v>2-3/8" REG Pin</v>
          </cell>
          <cell r="AF337"/>
          <cell r="AG337" t="str">
            <v>C</v>
          </cell>
          <cell r="AH337" t="str">
            <v xml:space="preserve"> en stock </v>
          </cell>
          <cell r="AI337">
            <v>1</v>
          </cell>
          <cell r="AJ337">
            <v>0</v>
          </cell>
          <cell r="AK337">
            <v>0</v>
          </cell>
          <cell r="AL337"/>
          <cell r="AM337"/>
          <cell r="AN337" t="str">
            <v/>
          </cell>
          <cell r="AO337"/>
          <cell r="AP337"/>
          <cell r="AQ337"/>
          <cell r="AR337"/>
          <cell r="AS337">
            <v>8</v>
          </cell>
          <cell r="AT337" t="str">
            <v>507-</v>
          </cell>
          <cell r="AU337" t="str">
            <v/>
          </cell>
          <cell r="AV337"/>
        </row>
        <row r="338">
          <cell r="Z338">
            <v>5075144</v>
          </cell>
          <cell r="AA338" t="str">
            <v>Super Junk Mill 
2-3/8" REG Pin</v>
          </cell>
          <cell r="AB338">
            <v>12</v>
          </cell>
          <cell r="AC338">
            <v>4.375</v>
          </cell>
          <cell r="AD338">
            <v>255</v>
          </cell>
          <cell r="AE338" t="str">
            <v>2-3/8" REG Pin</v>
          </cell>
          <cell r="AF338"/>
          <cell r="AG338" t="str">
            <v>C</v>
          </cell>
          <cell r="AH338" t="str">
            <v xml:space="preserve"> en stock </v>
          </cell>
          <cell r="AI338">
            <v>1</v>
          </cell>
          <cell r="AJ338">
            <v>0</v>
          </cell>
          <cell r="AK338">
            <v>0</v>
          </cell>
          <cell r="AL338"/>
          <cell r="AM338"/>
          <cell r="AN338" t="str">
            <v/>
          </cell>
          <cell r="AO338"/>
          <cell r="AP338"/>
          <cell r="AQ338"/>
          <cell r="AR338"/>
          <cell r="AS338">
            <v>10</v>
          </cell>
          <cell r="AT338" t="str">
            <v>507-</v>
          </cell>
          <cell r="AU338" t="str">
            <v/>
          </cell>
          <cell r="AV338"/>
        </row>
        <row r="339">
          <cell r="Z339">
            <v>5075145</v>
          </cell>
          <cell r="AA339" t="str">
            <v>Super Junk Mill 
3-1/2" REG Pin</v>
          </cell>
          <cell r="AB339">
            <v>58</v>
          </cell>
          <cell r="AC339">
            <v>5.5</v>
          </cell>
          <cell r="AD339">
            <v>650</v>
          </cell>
          <cell r="AE339" t="str">
            <v>3-1/2" REG Pin</v>
          </cell>
          <cell r="AF339"/>
          <cell r="AG339" t="str">
            <v>C</v>
          </cell>
          <cell r="AH339" t="str">
            <v xml:space="preserve"> en stock </v>
          </cell>
          <cell r="AI339">
            <v>1</v>
          </cell>
          <cell r="AJ339">
            <v>0</v>
          </cell>
          <cell r="AK339">
            <v>0</v>
          </cell>
          <cell r="AL339"/>
          <cell r="AM339"/>
          <cell r="AN339" t="str">
            <v/>
          </cell>
          <cell r="AO339"/>
          <cell r="AP339"/>
          <cell r="AQ339"/>
          <cell r="AR339"/>
          <cell r="AS339">
            <v>24</v>
          </cell>
          <cell r="AT339" t="str">
            <v>507-</v>
          </cell>
          <cell r="AU339" t="str">
            <v/>
          </cell>
          <cell r="AV339"/>
        </row>
        <row r="340">
          <cell r="Z340">
            <v>5075146</v>
          </cell>
          <cell r="AA340" t="str">
            <v>Super Junk Mill 
3-1/2" REG Pin</v>
          </cell>
          <cell r="AB340">
            <v>60</v>
          </cell>
          <cell r="AC340">
            <v>6.125</v>
          </cell>
          <cell r="AD340">
            <v>640</v>
          </cell>
          <cell r="AE340" t="str">
            <v>3-1/2" REG Pin</v>
          </cell>
          <cell r="AF340"/>
          <cell r="AG340" t="str">
            <v>C</v>
          </cell>
          <cell r="AH340" t="str">
            <v>maintenance</v>
          </cell>
          <cell r="AI340" t="str">
            <v/>
          </cell>
          <cell r="AJ340">
            <v>0</v>
          </cell>
          <cell r="AK340">
            <v>1</v>
          </cell>
          <cell r="AL340"/>
          <cell r="AM340"/>
          <cell r="AN340" t="str">
            <v/>
          </cell>
          <cell r="AO340"/>
          <cell r="AP340"/>
          <cell r="AQ340"/>
          <cell r="AR340"/>
          <cell r="AS340">
            <v>58</v>
          </cell>
          <cell r="AT340" t="str">
            <v>507-</v>
          </cell>
          <cell r="AU340" t="str">
            <v/>
          </cell>
          <cell r="AV340"/>
        </row>
        <row r="341">
          <cell r="Z341">
            <v>5075147</v>
          </cell>
          <cell r="AA341" t="str">
            <v>Super Junk Mill 9 1/2" OD
4-1/2" REG Pin</v>
          </cell>
          <cell r="AB341"/>
          <cell r="AC341">
            <v>9.5</v>
          </cell>
          <cell r="AD341"/>
          <cell r="AE341" t="str">
            <v>4-1/2" REG Pin</v>
          </cell>
          <cell r="AF341"/>
          <cell r="AG341"/>
          <cell r="AH341" t="str">
            <v>en stock</v>
          </cell>
          <cell r="AI341"/>
          <cell r="AJ341"/>
          <cell r="AK341"/>
          <cell r="AL341"/>
          <cell r="AM341"/>
          <cell r="AN341" t="str">
            <v/>
          </cell>
          <cell r="AO341"/>
          <cell r="AP341"/>
          <cell r="AQ341"/>
          <cell r="AR341"/>
          <cell r="AS341"/>
          <cell r="AT341" t="str">
            <v>507-</v>
          </cell>
          <cell r="AU341" t="str">
            <v/>
          </cell>
          <cell r="AV341"/>
        </row>
        <row r="342">
          <cell r="Z342">
            <v>5075148</v>
          </cell>
          <cell r="AA342" t="str">
            <v>Super Junk Mill 
2-3/8" REG Pin</v>
          </cell>
          <cell r="AB342">
            <v>17</v>
          </cell>
          <cell r="AC342">
            <v>4.5</v>
          </cell>
          <cell r="AD342">
            <v>400</v>
          </cell>
          <cell r="AE342" t="str">
            <v>2-3/8" REG Pin</v>
          </cell>
          <cell r="AF342"/>
          <cell r="AG342" t="str">
            <v>C</v>
          </cell>
          <cell r="AH342" t="str">
            <v xml:space="preserve"> en stock </v>
          </cell>
          <cell r="AI342">
            <v>1</v>
          </cell>
          <cell r="AJ342">
            <v>0</v>
          </cell>
          <cell r="AK342">
            <v>0</v>
          </cell>
          <cell r="AL342"/>
          <cell r="AM342"/>
          <cell r="AN342" t="str">
            <v/>
          </cell>
          <cell r="AO342"/>
          <cell r="AP342"/>
          <cell r="AQ342"/>
          <cell r="AR342"/>
          <cell r="AS342">
            <v>11</v>
          </cell>
          <cell r="AT342" t="str">
            <v>507-</v>
          </cell>
          <cell r="AU342" t="str">
            <v/>
          </cell>
          <cell r="AV342"/>
        </row>
        <row r="343">
          <cell r="Z343">
            <v>5085149</v>
          </cell>
          <cell r="AA343" t="str">
            <v>Taper Mill 
2-3/8" REG Pin</v>
          </cell>
          <cell r="AB343">
            <v>0</v>
          </cell>
          <cell r="AC343">
            <v>3.75</v>
          </cell>
          <cell r="AD343">
            <v>0</v>
          </cell>
          <cell r="AE343" t="str">
            <v>2-3/8" REG Pin</v>
          </cell>
          <cell r="AF343"/>
          <cell r="AG343"/>
          <cell r="AH343" t="str">
            <v>maintenance</v>
          </cell>
          <cell r="AI343" t="str">
            <v/>
          </cell>
          <cell r="AJ343">
            <v>0</v>
          </cell>
          <cell r="AK343">
            <v>1</v>
          </cell>
          <cell r="AL343"/>
          <cell r="AM343"/>
          <cell r="AN343" t="str">
            <v/>
          </cell>
          <cell r="AO343"/>
          <cell r="AP343"/>
          <cell r="AQ343"/>
          <cell r="AR343"/>
          <cell r="AS343">
            <v>9</v>
          </cell>
          <cell r="AT343" t="str">
            <v>508-</v>
          </cell>
          <cell r="AU343" t="str">
            <v/>
          </cell>
          <cell r="AV343"/>
        </row>
        <row r="344">
          <cell r="Z344">
            <v>5085150</v>
          </cell>
          <cell r="AA344" t="str">
            <v>Taper Mill 
2-1/4" PRT Box</v>
          </cell>
          <cell r="AB344">
            <v>8</v>
          </cell>
          <cell r="AC344">
            <v>2.875</v>
          </cell>
          <cell r="AD344">
            <v>8</v>
          </cell>
          <cell r="AE344" t="str">
            <v>2-1/4" PRT Box</v>
          </cell>
          <cell r="AF344"/>
          <cell r="AG344"/>
          <cell r="AH344" t="str">
            <v xml:space="preserve"> en stock </v>
          </cell>
          <cell r="AI344">
            <v>1</v>
          </cell>
          <cell r="AJ344">
            <v>0</v>
          </cell>
          <cell r="AK344">
            <v>0</v>
          </cell>
          <cell r="AL344"/>
          <cell r="AM344"/>
          <cell r="AN344" t="str">
            <v/>
          </cell>
          <cell r="AO344"/>
          <cell r="AP344"/>
          <cell r="AQ344"/>
          <cell r="AR344"/>
          <cell r="AS344">
            <v>6</v>
          </cell>
          <cell r="AT344" t="str">
            <v>508-</v>
          </cell>
          <cell r="AU344" t="str">
            <v/>
          </cell>
          <cell r="AV344"/>
        </row>
        <row r="345">
          <cell r="Z345">
            <v>5085151</v>
          </cell>
          <cell r="AA345" t="str">
            <v>Taper Mill 
2-3/8" REG Pin</v>
          </cell>
          <cell r="AB345">
            <v>0</v>
          </cell>
          <cell r="AC345">
            <v>3.4375</v>
          </cell>
          <cell r="AD345">
            <v>0</v>
          </cell>
          <cell r="AE345" t="str">
            <v>2-3/8" REG Pin</v>
          </cell>
          <cell r="AF345"/>
          <cell r="AG345"/>
          <cell r="AH345" t="str">
            <v xml:space="preserve"> en stock </v>
          </cell>
          <cell r="AI345">
            <v>1</v>
          </cell>
          <cell r="AJ345">
            <v>0</v>
          </cell>
          <cell r="AK345">
            <v>0</v>
          </cell>
          <cell r="AL345"/>
          <cell r="AM345"/>
          <cell r="AN345" t="str">
            <v/>
          </cell>
          <cell r="AO345"/>
          <cell r="AP345"/>
          <cell r="AQ345"/>
          <cell r="AR345"/>
          <cell r="AS345">
            <v>8</v>
          </cell>
          <cell r="AT345" t="str">
            <v>508-</v>
          </cell>
          <cell r="AU345" t="str">
            <v/>
          </cell>
          <cell r="AV345"/>
        </row>
        <row r="346">
          <cell r="Z346">
            <v>5085152</v>
          </cell>
          <cell r="AA346" t="str">
            <v>Taper Mill 
2-3/8" REG Pin</v>
          </cell>
          <cell r="AB346">
            <v>34</v>
          </cell>
          <cell r="AC346">
            <v>3.875</v>
          </cell>
          <cell r="AD346">
            <v>34</v>
          </cell>
          <cell r="AE346" t="str">
            <v>2-3/8" REG Pin</v>
          </cell>
          <cell r="AF346"/>
          <cell r="AG346"/>
          <cell r="AH346" t="str">
            <v>maintenance</v>
          </cell>
          <cell r="AI346" t="str">
            <v/>
          </cell>
          <cell r="AJ346">
            <v>0</v>
          </cell>
          <cell r="AK346">
            <v>1</v>
          </cell>
          <cell r="AL346"/>
          <cell r="AM346"/>
          <cell r="AN346" t="str">
            <v/>
          </cell>
          <cell r="AO346"/>
          <cell r="AP346"/>
          <cell r="AQ346"/>
          <cell r="AR346"/>
          <cell r="AS346">
            <v>10</v>
          </cell>
          <cell r="AT346" t="str">
            <v>508-</v>
          </cell>
          <cell r="AU346" t="str">
            <v/>
          </cell>
          <cell r="AV346"/>
        </row>
        <row r="347">
          <cell r="Z347">
            <v>5085153</v>
          </cell>
          <cell r="AA347" t="str">
            <v>Taper Mill 
2-7/8" REG Pin</v>
          </cell>
          <cell r="AB347">
            <v>54</v>
          </cell>
          <cell r="AC347">
            <v>4.6875</v>
          </cell>
          <cell r="AD347">
            <v>54</v>
          </cell>
          <cell r="AE347" t="str">
            <v>2-7/8" REG Pin</v>
          </cell>
          <cell r="AF347"/>
          <cell r="AG347"/>
          <cell r="AH347" t="str">
            <v xml:space="preserve"> en stock </v>
          </cell>
          <cell r="AI347">
            <v>1</v>
          </cell>
          <cell r="AJ347">
            <v>0</v>
          </cell>
          <cell r="AK347">
            <v>0</v>
          </cell>
          <cell r="AL347"/>
          <cell r="AM347"/>
          <cell r="AN347" t="str">
            <v/>
          </cell>
          <cell r="AO347"/>
          <cell r="AP347"/>
          <cell r="AQ347"/>
          <cell r="AR347"/>
          <cell r="AS347">
            <v>15</v>
          </cell>
          <cell r="AT347" t="str">
            <v>508-</v>
          </cell>
          <cell r="AU347" t="str">
            <v/>
          </cell>
          <cell r="AV347"/>
        </row>
        <row r="348">
          <cell r="Z348">
            <v>5085154</v>
          </cell>
          <cell r="AA348" t="str">
            <v>Taper Mill 
2-3/8" REG Pin</v>
          </cell>
          <cell r="AB348">
            <v>40</v>
          </cell>
          <cell r="AC348">
            <v>4.625</v>
          </cell>
          <cell r="AD348">
            <v>40</v>
          </cell>
          <cell r="AE348" t="str">
            <v>2-3/8" REG Pin</v>
          </cell>
          <cell r="AF348"/>
          <cell r="AG348"/>
          <cell r="AH348" t="str">
            <v>maintenance</v>
          </cell>
          <cell r="AI348" t="str">
            <v/>
          </cell>
          <cell r="AJ348">
            <v>0</v>
          </cell>
          <cell r="AK348">
            <v>1</v>
          </cell>
          <cell r="AL348"/>
          <cell r="AM348"/>
          <cell r="AN348" t="str">
            <v/>
          </cell>
          <cell r="AO348"/>
          <cell r="AP348"/>
          <cell r="AQ348"/>
          <cell r="AR348"/>
          <cell r="AS348">
            <v>18</v>
          </cell>
          <cell r="AT348" t="str">
            <v>508-</v>
          </cell>
          <cell r="AU348" t="str">
            <v/>
          </cell>
          <cell r="AV348"/>
        </row>
        <row r="349">
          <cell r="Z349">
            <v>5085155</v>
          </cell>
          <cell r="AA349" t="str">
            <v>Taper Mill 
3-1/2" REG Pin</v>
          </cell>
          <cell r="AB349">
            <v>38</v>
          </cell>
          <cell r="AC349">
            <v>6.125</v>
          </cell>
          <cell r="AD349">
            <v>38</v>
          </cell>
          <cell r="AE349" t="str">
            <v>3-1/2" REG Pin</v>
          </cell>
          <cell r="AF349"/>
          <cell r="AG349"/>
          <cell r="AH349" t="str">
            <v xml:space="preserve"> en stock </v>
          </cell>
          <cell r="AI349">
            <v>1</v>
          </cell>
          <cell r="AJ349">
            <v>0</v>
          </cell>
          <cell r="AK349">
            <v>0</v>
          </cell>
          <cell r="AL349"/>
          <cell r="AM349"/>
          <cell r="AN349">
            <v>5085155</v>
          </cell>
          <cell r="AO349"/>
          <cell r="AP349"/>
          <cell r="AQ349"/>
          <cell r="AR349"/>
          <cell r="AS349">
            <v>24</v>
          </cell>
          <cell r="AT349" t="str">
            <v>508-</v>
          </cell>
          <cell r="AU349" t="str">
            <v/>
          </cell>
          <cell r="AV349"/>
        </row>
        <row r="350">
          <cell r="Z350">
            <v>5085156</v>
          </cell>
          <cell r="AA350" t="str">
            <v>Taper Mill 
4-1/2" REG Pin</v>
          </cell>
          <cell r="AB350">
            <v>58</v>
          </cell>
          <cell r="AC350">
            <v>7.375</v>
          </cell>
          <cell r="AD350">
            <v>58</v>
          </cell>
          <cell r="AE350" t="str">
            <v>4-1/2" REG Pin</v>
          </cell>
          <cell r="AF350"/>
          <cell r="AG350"/>
          <cell r="AH350" t="str">
            <v>maintenance</v>
          </cell>
          <cell r="AI350" t="str">
            <v/>
          </cell>
          <cell r="AJ350">
            <v>0</v>
          </cell>
          <cell r="AK350">
            <v>1</v>
          </cell>
          <cell r="AL350"/>
          <cell r="AM350"/>
          <cell r="AN350">
            <v>5085156</v>
          </cell>
          <cell r="AO350"/>
          <cell r="AP350"/>
          <cell r="AQ350"/>
          <cell r="AR350"/>
          <cell r="AS350">
            <v>37</v>
          </cell>
          <cell r="AT350" t="str">
            <v>508-</v>
          </cell>
          <cell r="AU350" t="str">
            <v/>
          </cell>
          <cell r="AV350"/>
        </row>
        <row r="351">
          <cell r="Z351">
            <v>5055157</v>
          </cell>
          <cell r="AA351" t="str">
            <v>Pilot Mill
3-1/2" REG Box x Pilot</v>
          </cell>
          <cell r="AB351">
            <v>78</v>
          </cell>
          <cell r="AC351">
            <v>8.375</v>
          </cell>
          <cell r="AD351">
            <v>950</v>
          </cell>
          <cell r="AE351" t="str">
            <v>3-1/2" REG Box</v>
          </cell>
          <cell r="AF351" t="str">
            <v>Pilot</v>
          </cell>
          <cell r="AG351" t="str">
            <v>carbure</v>
          </cell>
          <cell r="AH351" t="str">
            <v xml:space="preserve"> en stock </v>
          </cell>
          <cell r="AI351">
            <v>1</v>
          </cell>
          <cell r="AJ351">
            <v>0</v>
          </cell>
          <cell r="AK351">
            <v>0</v>
          </cell>
          <cell r="AL351"/>
          <cell r="AM351"/>
          <cell r="AN351" t="str">
            <v/>
          </cell>
          <cell r="AO351"/>
          <cell r="AP351"/>
          <cell r="AQ351"/>
          <cell r="AR351"/>
          <cell r="AS351">
            <v>14</v>
          </cell>
          <cell r="AT351"/>
          <cell r="AU351" t="str">
            <v/>
          </cell>
          <cell r="AV351"/>
        </row>
        <row r="352">
          <cell r="Z352">
            <v>5045158</v>
          </cell>
          <cell r="AA352" t="str">
            <v>Viper Pilot Mill
4-1/2" REG Pin x Pilot</v>
          </cell>
          <cell r="AB352">
            <v>96</v>
          </cell>
          <cell r="AC352">
            <v>8.5625</v>
          </cell>
          <cell r="AD352">
            <v>925</v>
          </cell>
          <cell r="AE352" t="str">
            <v>4-1/2" REG Pin</v>
          </cell>
          <cell r="AF352" t="str">
            <v>Pilot</v>
          </cell>
          <cell r="AG352" t="str">
            <v>Insert</v>
          </cell>
          <cell r="AH352" t="str">
            <v xml:space="preserve"> en stock </v>
          </cell>
          <cell r="AI352">
            <v>1</v>
          </cell>
          <cell r="AJ352">
            <v>0</v>
          </cell>
          <cell r="AK352">
            <v>0</v>
          </cell>
          <cell r="AL352"/>
          <cell r="AM352"/>
          <cell r="AN352" t="str">
            <v/>
          </cell>
          <cell r="AO352"/>
          <cell r="AP352"/>
          <cell r="AQ352"/>
          <cell r="AR352"/>
          <cell r="AS352">
            <v>31</v>
          </cell>
          <cell r="AT352"/>
          <cell r="AU352" t="str">
            <v/>
          </cell>
          <cell r="AV352"/>
        </row>
        <row r="353">
          <cell r="Z353">
            <v>5115159</v>
          </cell>
          <cell r="AA353" t="str">
            <v>WO Shoe
8-5/8" FJWP Box</v>
          </cell>
          <cell r="AB353">
            <v>56</v>
          </cell>
          <cell r="AC353">
            <v>8.75</v>
          </cell>
          <cell r="AD353">
            <v>1010</v>
          </cell>
          <cell r="AE353" t="str">
            <v>8-5/8" FJWP Box</v>
          </cell>
          <cell r="AF353"/>
          <cell r="AG353" t="str">
            <v>plaquettes</v>
          </cell>
          <cell r="AH353" t="str">
            <v>maintenance</v>
          </cell>
          <cell r="AI353" t="str">
            <v/>
          </cell>
          <cell r="AJ353">
            <v>0</v>
          </cell>
          <cell r="AK353">
            <v>1</v>
          </cell>
          <cell r="AL353"/>
          <cell r="AM353"/>
          <cell r="AN353" t="str">
            <v/>
          </cell>
          <cell r="AO353"/>
          <cell r="AP353"/>
          <cell r="AQ353"/>
          <cell r="AR353"/>
          <cell r="AS353">
            <v>198</v>
          </cell>
          <cell r="AT353"/>
          <cell r="AU353" t="str">
            <v/>
          </cell>
          <cell r="AV353"/>
        </row>
        <row r="354">
          <cell r="Z354">
            <v>5115160</v>
          </cell>
          <cell r="AA354" t="str">
            <v>WO Shoe
8-5/8" FJWP Box</v>
          </cell>
          <cell r="AB354">
            <v>56</v>
          </cell>
          <cell r="AC354">
            <v>8.75</v>
          </cell>
          <cell r="AD354">
            <v>1010</v>
          </cell>
          <cell r="AE354" t="str">
            <v>8-5/8" FJWP Box</v>
          </cell>
          <cell r="AF354"/>
          <cell r="AG354" t="str">
            <v>CC</v>
          </cell>
          <cell r="AH354" t="str">
            <v xml:space="preserve"> en stock </v>
          </cell>
          <cell r="AI354">
            <v>1</v>
          </cell>
          <cell r="AJ354">
            <v>0</v>
          </cell>
          <cell r="AK354">
            <v>0</v>
          </cell>
          <cell r="AL354"/>
          <cell r="AM354"/>
          <cell r="AN354" t="str">
            <v/>
          </cell>
          <cell r="AO354"/>
          <cell r="AP354"/>
          <cell r="AQ354"/>
          <cell r="AR354"/>
          <cell r="AS354">
            <v>199</v>
          </cell>
          <cell r="AT354"/>
          <cell r="AU354" t="str">
            <v/>
          </cell>
          <cell r="AV354"/>
        </row>
        <row r="355">
          <cell r="Z355">
            <v>5045161</v>
          </cell>
          <cell r="AA355" t="str">
            <v>Viper Pilot Mill
4-1/2" IF Box x 3-1/2" IF Box</v>
          </cell>
          <cell r="AB355">
            <v>88</v>
          </cell>
          <cell r="AC355">
            <v>7.375</v>
          </cell>
          <cell r="AD355">
            <v>990</v>
          </cell>
          <cell r="AE355" t="str">
            <v>4-1/2" IF Box</v>
          </cell>
          <cell r="AF355" t="str">
            <v>3-1/2" IF Box</v>
          </cell>
          <cell r="AG355" t="str">
            <v>Insert</v>
          </cell>
          <cell r="AH355" t="str">
            <v xml:space="preserve"> en stock </v>
          </cell>
          <cell r="AI355">
            <v>1</v>
          </cell>
          <cell r="AJ355">
            <v>0</v>
          </cell>
          <cell r="AK355">
            <v>0</v>
          </cell>
          <cell r="AL355"/>
          <cell r="AM355"/>
          <cell r="AN355" t="str">
            <v/>
          </cell>
          <cell r="AO355"/>
          <cell r="AP355"/>
          <cell r="AQ355"/>
          <cell r="AR355"/>
          <cell r="AS355">
            <v>19</v>
          </cell>
          <cell r="AT355"/>
          <cell r="AU355" t="str">
            <v/>
          </cell>
          <cell r="AV355"/>
        </row>
        <row r="356">
          <cell r="Z356">
            <v>5045162</v>
          </cell>
          <cell r="AA356" t="str">
            <v>Viper Pilot Mill
4-1/2" REG Pin x Pilot</v>
          </cell>
          <cell r="AB356">
            <v>168</v>
          </cell>
          <cell r="AC356">
            <v>7.75</v>
          </cell>
          <cell r="AD356">
            <v>1380</v>
          </cell>
          <cell r="AE356" t="str">
            <v>4-1/2" REG Pin</v>
          </cell>
          <cell r="AF356" t="str">
            <v>Pilot</v>
          </cell>
          <cell r="AG356" t="str">
            <v>Insert</v>
          </cell>
          <cell r="AH356" t="str">
            <v xml:space="preserve"> en stock </v>
          </cell>
          <cell r="AI356">
            <v>1</v>
          </cell>
          <cell r="AJ356">
            <v>0</v>
          </cell>
          <cell r="AK356">
            <v>0</v>
          </cell>
          <cell r="AL356"/>
          <cell r="AM356"/>
          <cell r="AN356" t="str">
            <v/>
          </cell>
          <cell r="AO356"/>
          <cell r="AP356"/>
          <cell r="AQ356"/>
          <cell r="AR356"/>
          <cell r="AS356">
            <v>20</v>
          </cell>
          <cell r="AT356"/>
          <cell r="AU356" t="str">
            <v/>
          </cell>
          <cell r="AV356"/>
        </row>
        <row r="357">
          <cell r="Z357">
            <v>7045163</v>
          </cell>
          <cell r="AA357"/>
          <cell r="AB357"/>
          <cell r="AC357"/>
          <cell r="AD357"/>
          <cell r="AE357"/>
          <cell r="AF357"/>
          <cell r="AG357"/>
          <cell r="AH357" t="str">
            <v>en stock</v>
          </cell>
          <cell r="AI357"/>
          <cell r="AJ357"/>
          <cell r="AK357"/>
          <cell r="AL357"/>
          <cell r="AM357"/>
          <cell r="AN357" t="str">
            <v/>
          </cell>
          <cell r="AO357"/>
          <cell r="AP357"/>
          <cell r="AQ357"/>
          <cell r="AR357"/>
          <cell r="AS357"/>
          <cell r="AT357"/>
          <cell r="AU357" t="str">
            <v/>
          </cell>
          <cell r="AV357"/>
        </row>
        <row r="358">
          <cell r="Z358">
            <v>7045164</v>
          </cell>
          <cell r="AA358"/>
          <cell r="AB358"/>
          <cell r="AC358"/>
          <cell r="AD358"/>
          <cell r="AE358"/>
          <cell r="AF358"/>
          <cell r="AG358"/>
          <cell r="AH358" t="str">
            <v>en stock</v>
          </cell>
          <cell r="AI358"/>
          <cell r="AJ358"/>
          <cell r="AK358"/>
          <cell r="AL358"/>
          <cell r="AM358"/>
          <cell r="AN358" t="str">
            <v/>
          </cell>
          <cell r="AO358"/>
          <cell r="AP358"/>
          <cell r="AQ358"/>
          <cell r="AR358"/>
          <cell r="AS358"/>
          <cell r="AT358"/>
          <cell r="AU358" t="str">
            <v/>
          </cell>
          <cell r="AV358"/>
        </row>
        <row r="359">
          <cell r="Z359">
            <v>7045165</v>
          </cell>
          <cell r="AA359" t="str">
            <v>9-5/8" FS Overshot - CA 264
4-1/2" IF Box</v>
          </cell>
          <cell r="AB359">
            <v>132</v>
          </cell>
          <cell r="AC359" t="str">
            <v>9-5/8" FS</v>
          </cell>
          <cell r="AD359">
            <v>1230</v>
          </cell>
          <cell r="AE359" t="str">
            <v>4-1/2" IF Box</v>
          </cell>
          <cell r="AF359">
            <v>72962500015</v>
          </cell>
          <cell r="AG359"/>
          <cell r="AH359" t="str">
            <v>maintenance</v>
          </cell>
          <cell r="AI359" t="str">
            <v/>
          </cell>
          <cell r="AJ359">
            <v>0</v>
          </cell>
          <cell r="AK359">
            <v>1</v>
          </cell>
          <cell r="AL359"/>
          <cell r="AM359"/>
          <cell r="AN359" t="str">
            <v/>
          </cell>
          <cell r="AO359"/>
          <cell r="AP359"/>
          <cell r="AQ359"/>
          <cell r="AR359"/>
          <cell r="AS359">
            <v>82</v>
          </cell>
          <cell r="AT359" t="str">
            <v>704-264</v>
          </cell>
          <cell r="AU359" t="str">
            <v/>
          </cell>
          <cell r="AV359"/>
        </row>
        <row r="360">
          <cell r="Z360">
            <v>7045166</v>
          </cell>
          <cell r="AA360" t="str">
            <v>9-5/8" FS Overshot - CA 264
6-5/8" REG Box</v>
          </cell>
          <cell r="AB360">
            <v>154</v>
          </cell>
          <cell r="AC360" t="str">
            <v>9-5/8" FS</v>
          </cell>
          <cell r="AD360">
            <v>1200</v>
          </cell>
          <cell r="AE360" t="str">
            <v>6-5/8" REG Box</v>
          </cell>
          <cell r="AF360">
            <v>72962500030</v>
          </cell>
          <cell r="AG360"/>
          <cell r="AH360" t="str">
            <v xml:space="preserve"> en stock </v>
          </cell>
          <cell r="AI360">
            <v>1</v>
          </cell>
          <cell r="AJ360">
            <v>0</v>
          </cell>
          <cell r="AK360">
            <v>0</v>
          </cell>
          <cell r="AL360"/>
          <cell r="AM360"/>
          <cell r="AN360" t="str">
            <v/>
          </cell>
          <cell r="AO360"/>
          <cell r="AP360"/>
          <cell r="AQ360"/>
          <cell r="AR360"/>
          <cell r="AS360">
            <v>83</v>
          </cell>
          <cell r="AT360" t="str">
            <v>704-264</v>
          </cell>
          <cell r="AU360" t="str">
            <v/>
          </cell>
          <cell r="AV360"/>
        </row>
        <row r="361">
          <cell r="Z361">
            <v>7045167</v>
          </cell>
          <cell r="AA361"/>
          <cell r="AB361"/>
          <cell r="AC361"/>
          <cell r="AD361"/>
          <cell r="AE361"/>
          <cell r="AF361"/>
          <cell r="AG361"/>
          <cell r="AH361" t="str">
            <v>en stock</v>
          </cell>
          <cell r="AI361"/>
          <cell r="AJ361"/>
          <cell r="AK361"/>
          <cell r="AL361"/>
          <cell r="AM361"/>
          <cell r="AN361" t="str">
            <v/>
          </cell>
          <cell r="AO361"/>
          <cell r="AP361"/>
          <cell r="AQ361"/>
          <cell r="AR361"/>
          <cell r="AS361"/>
          <cell r="AT361"/>
          <cell r="AU361" t="str">
            <v/>
          </cell>
          <cell r="AV361"/>
        </row>
        <row r="362">
          <cell r="Z362">
            <v>7045168</v>
          </cell>
          <cell r="AA362"/>
          <cell r="AB362"/>
          <cell r="AC362"/>
          <cell r="AD362"/>
          <cell r="AE362"/>
          <cell r="AF362"/>
          <cell r="AG362"/>
          <cell r="AH362" t="str">
            <v>en stock</v>
          </cell>
          <cell r="AI362"/>
          <cell r="AJ362"/>
          <cell r="AK362"/>
          <cell r="AL362"/>
          <cell r="AM362"/>
          <cell r="AN362" t="str">
            <v/>
          </cell>
          <cell r="AO362"/>
          <cell r="AP362"/>
          <cell r="AQ362"/>
          <cell r="AR362"/>
          <cell r="AS362"/>
          <cell r="AT362"/>
          <cell r="AU362" t="str">
            <v/>
          </cell>
          <cell r="AV362"/>
        </row>
        <row r="363">
          <cell r="Z363">
            <v>7055169</v>
          </cell>
          <cell r="AA363" t="str">
            <v>Extension 5-3/4" FS Lg 790mm CA 8975
5-3/4" FS Sellers Pin x Box</v>
          </cell>
          <cell r="AB363">
            <v>29.013209614593745</v>
          </cell>
          <cell r="AC363" t="str">
            <v>5-3/4" FS</v>
          </cell>
          <cell r="AD363">
            <v>790</v>
          </cell>
          <cell r="AE363" t="str">
            <v>5-3/4" FS Sellers Box</v>
          </cell>
          <cell r="AF363" t="str">
            <v>5-3/4" FS Sellers Pin</v>
          </cell>
          <cell r="AG363">
            <v>8975</v>
          </cell>
          <cell r="AH363" t="str">
            <v>maintenance</v>
          </cell>
          <cell r="AI363" t="str">
            <v/>
          </cell>
          <cell r="AJ363">
            <v>0</v>
          </cell>
          <cell r="AK363">
            <v>1</v>
          </cell>
          <cell r="AL363"/>
          <cell r="AM363"/>
          <cell r="AN363" t="str">
            <v/>
          </cell>
          <cell r="AO363"/>
          <cell r="AP363"/>
          <cell r="AQ363"/>
          <cell r="AR363"/>
          <cell r="AS363">
            <v>24</v>
          </cell>
          <cell r="AT363" t="str">
            <v>705-8975</v>
          </cell>
          <cell r="AU363" t="str">
            <v/>
          </cell>
          <cell r="AV363"/>
        </row>
        <row r="364">
          <cell r="Z364">
            <v>7055170</v>
          </cell>
          <cell r="AA364" t="str">
            <v>Extension 9-5/8" FS Lg 815mm CA 264
9-5/8" FS Sellers Pin x Box</v>
          </cell>
          <cell r="AB364">
            <v>85.719359609324968</v>
          </cell>
          <cell r="AC364" t="str">
            <v>9-5/8" FS</v>
          </cell>
          <cell r="AD364">
            <v>815</v>
          </cell>
          <cell r="AE364" t="str">
            <v>9-5/8" FS Sellers Box</v>
          </cell>
          <cell r="AF364" t="str">
            <v>9-5/8" FS Sellers Pin</v>
          </cell>
          <cell r="AG364">
            <v>264</v>
          </cell>
          <cell r="AH364" t="str">
            <v xml:space="preserve"> en stock </v>
          </cell>
          <cell r="AI364">
            <v>1</v>
          </cell>
          <cell r="AJ364">
            <v>0</v>
          </cell>
          <cell r="AK364">
            <v>0</v>
          </cell>
          <cell r="AL364"/>
          <cell r="AM364"/>
          <cell r="AN364" t="str">
            <v/>
          </cell>
          <cell r="AO364"/>
          <cell r="AP364"/>
          <cell r="AQ364"/>
          <cell r="AR364"/>
          <cell r="AS364">
            <v>60</v>
          </cell>
          <cell r="AT364" t="str">
            <v>705-264</v>
          </cell>
          <cell r="AU364" t="str">
            <v/>
          </cell>
          <cell r="AV364"/>
        </row>
        <row r="365">
          <cell r="Z365">
            <v>7055171</v>
          </cell>
          <cell r="AA365" t="str">
            <v>Extension 9-5/8" FS Lg 815mm CA 264
9-5/8" FS Sellers Pin x Box</v>
          </cell>
          <cell r="AB365">
            <v>79.129432315415656</v>
          </cell>
          <cell r="AC365" t="str">
            <v>9-5/8" FS</v>
          </cell>
          <cell r="AD365">
            <v>815</v>
          </cell>
          <cell r="AE365" t="str">
            <v>9-5/8" FS Sellers Box</v>
          </cell>
          <cell r="AF365" t="str">
            <v>9-5/8" FS Sellers Pin</v>
          </cell>
          <cell r="AG365">
            <v>264</v>
          </cell>
          <cell r="AH365" t="str">
            <v xml:space="preserve"> en stock </v>
          </cell>
          <cell r="AI365">
            <v>1</v>
          </cell>
          <cell r="AJ365">
            <v>0</v>
          </cell>
          <cell r="AK365">
            <v>0</v>
          </cell>
          <cell r="AL365"/>
          <cell r="AM365"/>
          <cell r="AN365" t="str">
            <v/>
          </cell>
          <cell r="AO365"/>
          <cell r="AP365"/>
          <cell r="AQ365"/>
          <cell r="AR365">
            <v>73962500008</v>
          </cell>
          <cell r="AS365">
            <v>61</v>
          </cell>
          <cell r="AT365" t="str">
            <v>705-264</v>
          </cell>
          <cell r="AU365" t="str">
            <v/>
          </cell>
          <cell r="AV365"/>
        </row>
        <row r="366">
          <cell r="Z366">
            <v>7055172</v>
          </cell>
          <cell r="AA366" t="str">
            <v>Extension 11-3/4" FS Lg 620mm CA C-12822/C-5329
11-3/4" FS Sellers Pin x Box</v>
          </cell>
          <cell r="AB366">
            <v>0</v>
          </cell>
          <cell r="AC366" t="str">
            <v>11-3/4" FS</v>
          </cell>
          <cell r="AD366">
            <v>620</v>
          </cell>
          <cell r="AE366" t="str">
            <v>11-3/4" FS Sellers Box</v>
          </cell>
          <cell r="AF366" t="str">
            <v>11-3/4" FS Sellers Pin</v>
          </cell>
          <cell r="AG366" t="str">
            <v>C-12822/C-5329</v>
          </cell>
          <cell r="AH366" t="e">
            <v>#VALUE!</v>
          </cell>
          <cell r="AI366" t="e">
            <v>#VALUE!</v>
          </cell>
          <cell r="AJ366" t="str">
            <v>LIH</v>
          </cell>
          <cell r="AK366">
            <v>0</v>
          </cell>
          <cell r="AL366"/>
          <cell r="AM366"/>
          <cell r="AN366" t="str">
            <v/>
          </cell>
          <cell r="AO366"/>
          <cell r="AP366"/>
          <cell r="AQ366"/>
          <cell r="AR366">
            <v>73117500001</v>
          </cell>
          <cell r="AS366">
            <v>73</v>
          </cell>
          <cell r="AT366" t="str">
            <v>705-5329</v>
          </cell>
          <cell r="AU366" t="str">
            <v/>
          </cell>
          <cell r="AV366"/>
        </row>
        <row r="367">
          <cell r="Z367">
            <v>2055173</v>
          </cell>
          <cell r="AA367" t="str">
            <v>Section Mill 3600
2-3/8" REG Pin up</v>
          </cell>
          <cell r="AB367">
            <v>84</v>
          </cell>
          <cell r="AC367">
            <v>3600</v>
          </cell>
          <cell r="AD367">
            <v>1400</v>
          </cell>
          <cell r="AE367" t="str">
            <v>2-3/8" REG Pin</v>
          </cell>
          <cell r="AF367" t="str">
            <v xml:space="preserve"> - </v>
          </cell>
          <cell r="AG367"/>
          <cell r="AH367" t="str">
            <v xml:space="preserve"> en stock </v>
          </cell>
          <cell r="AI367">
            <v>1</v>
          </cell>
          <cell r="AJ367">
            <v>0</v>
          </cell>
          <cell r="AK367">
            <v>0</v>
          </cell>
          <cell r="AL367"/>
          <cell r="AM367"/>
          <cell r="AN367" t="str">
            <v/>
          </cell>
          <cell r="AO367"/>
          <cell r="AP367"/>
          <cell r="AQ367"/>
          <cell r="AR367"/>
          <cell r="AS367">
            <v>6</v>
          </cell>
          <cell r="AT367" t="str">
            <v>205-3600</v>
          </cell>
          <cell r="AU367" t="str">
            <v/>
          </cell>
          <cell r="AV367"/>
        </row>
        <row r="368">
          <cell r="Z368">
            <v>5085174</v>
          </cell>
          <cell r="AA368" t="str">
            <v>Taper Mill 
HT 26 Pin</v>
          </cell>
          <cell r="AB368">
            <v>30</v>
          </cell>
          <cell r="AC368">
            <v>4.375</v>
          </cell>
          <cell r="AD368">
            <v>30</v>
          </cell>
          <cell r="AE368" t="str">
            <v>HT 26 Pin</v>
          </cell>
          <cell r="AF368"/>
          <cell r="AG368"/>
          <cell r="AH368" t="str">
            <v xml:space="preserve"> en stock </v>
          </cell>
          <cell r="AI368">
            <v>1</v>
          </cell>
          <cell r="AJ368">
            <v>0</v>
          </cell>
          <cell r="AK368">
            <v>0</v>
          </cell>
          <cell r="AL368"/>
          <cell r="AM368"/>
          <cell r="AN368" t="str">
            <v/>
          </cell>
          <cell r="AO368"/>
          <cell r="AP368"/>
          <cell r="AQ368"/>
          <cell r="AR368"/>
          <cell r="AS368">
            <v>13</v>
          </cell>
          <cell r="AT368" t="str">
            <v>508-</v>
          </cell>
          <cell r="AU368" t="str">
            <v/>
          </cell>
          <cell r="AV368"/>
        </row>
        <row r="369">
          <cell r="Z369">
            <v>5085175</v>
          </cell>
          <cell r="AA369" t="str">
            <v>Taper Mill 
HT 26 Box</v>
          </cell>
          <cell r="AB369">
            <v>14</v>
          </cell>
          <cell r="AC369">
            <v>2.9375</v>
          </cell>
          <cell r="AD369">
            <v>14</v>
          </cell>
          <cell r="AE369" t="str">
            <v>HT 26 Box</v>
          </cell>
          <cell r="AF369"/>
          <cell r="AG369"/>
          <cell r="AH369" t="str">
            <v xml:space="preserve"> en stock </v>
          </cell>
          <cell r="AI369">
            <v>1</v>
          </cell>
          <cell r="AJ369">
            <v>0</v>
          </cell>
          <cell r="AK369">
            <v>0</v>
          </cell>
          <cell r="AL369"/>
          <cell r="AM369"/>
          <cell r="AN369" t="str">
            <v/>
          </cell>
          <cell r="AO369"/>
          <cell r="AP369"/>
          <cell r="AQ369"/>
          <cell r="AR369"/>
          <cell r="AS369">
            <v>7</v>
          </cell>
          <cell r="AT369" t="str">
            <v>508-</v>
          </cell>
          <cell r="AU369" t="str">
            <v/>
          </cell>
          <cell r="AV369"/>
        </row>
        <row r="370">
          <cell r="Z370">
            <v>8135176</v>
          </cell>
          <cell r="AA370" t="str">
            <v>XO
2-3/8" REG Pin x HT 26 Box</v>
          </cell>
          <cell r="AB370">
            <v>11.08248438740625</v>
          </cell>
          <cell r="AC370">
            <v>3.375</v>
          </cell>
          <cell r="AD370">
            <v>270</v>
          </cell>
          <cell r="AE370" t="str">
            <v>2-3/8" REG Pin</v>
          </cell>
          <cell r="AF370" t="str">
            <v>HT 26 Box</v>
          </cell>
          <cell r="AG370"/>
          <cell r="AH370" t="str">
            <v xml:space="preserve"> en stock </v>
          </cell>
          <cell r="AI370">
            <v>1</v>
          </cell>
          <cell r="AJ370">
            <v>0</v>
          </cell>
          <cell r="AK370">
            <v>0</v>
          </cell>
          <cell r="AL370"/>
          <cell r="AM370"/>
          <cell r="AN370" t="str">
            <v/>
          </cell>
          <cell r="AO370"/>
          <cell r="AP370"/>
          <cell r="AQ370"/>
          <cell r="AR370"/>
          <cell r="AS370">
            <v>39</v>
          </cell>
          <cell r="AT370"/>
          <cell r="AU370" t="str">
            <v/>
          </cell>
          <cell r="AV370"/>
        </row>
        <row r="371">
          <cell r="Z371">
            <v>2035177</v>
          </cell>
          <cell r="AA371" t="str">
            <v>Pipe Cutter 8200s
4-1/2" IF Box up x 4-1/2" REG Box down</v>
          </cell>
          <cell r="AB371">
            <v>412</v>
          </cell>
          <cell r="AC371">
            <v>8200</v>
          </cell>
          <cell r="AD371">
            <v>2200</v>
          </cell>
          <cell r="AE371" t="str">
            <v>4-1/2" IF Box</v>
          </cell>
          <cell r="AF371" t="str">
            <v>4-1/2" REG Box</v>
          </cell>
          <cell r="AG371"/>
          <cell r="AH371" t="str">
            <v>maintenance</v>
          </cell>
          <cell r="AI371" t="str">
            <v/>
          </cell>
          <cell r="AJ371">
            <v>0</v>
          </cell>
          <cell r="AK371">
            <v>1</v>
          </cell>
          <cell r="AL371"/>
          <cell r="AM371"/>
          <cell r="AN371" t="str">
            <v/>
          </cell>
          <cell r="AO371"/>
          <cell r="AP371"/>
          <cell r="AQ371"/>
          <cell r="AR371"/>
          <cell r="AS371">
            <v>11</v>
          </cell>
          <cell r="AT371" t="str">
            <v>203-8200</v>
          </cell>
          <cell r="AU371" t="str">
            <v/>
          </cell>
          <cell r="AV371"/>
        </row>
        <row r="372">
          <cell r="Z372">
            <v>8025178</v>
          </cell>
          <cell r="AA372"/>
          <cell r="AB372"/>
          <cell r="AC372"/>
          <cell r="AD372"/>
          <cell r="AE372"/>
          <cell r="AF372"/>
          <cell r="AG372"/>
          <cell r="AH372" t="str">
            <v>en stock</v>
          </cell>
          <cell r="AI372"/>
          <cell r="AJ372"/>
          <cell r="AK372"/>
          <cell r="AL372"/>
          <cell r="AM372"/>
          <cell r="AN372" t="str">
            <v/>
          </cell>
          <cell r="AO372"/>
          <cell r="AP372"/>
          <cell r="AQ372"/>
          <cell r="AR372"/>
          <cell r="AS372"/>
          <cell r="AT372"/>
          <cell r="AU372" t="str">
            <v/>
          </cell>
          <cell r="AV372"/>
        </row>
        <row r="373">
          <cell r="Z373">
            <v>5035179</v>
          </cell>
          <cell r="AA373" t="str">
            <v>Junk Mill 
7-5/8" REG Box</v>
          </cell>
          <cell r="AB373">
            <v>372</v>
          </cell>
          <cell r="AC373">
            <v>17.375</v>
          </cell>
          <cell r="AD373">
            <v>0</v>
          </cell>
          <cell r="AE373" t="str">
            <v>7-5/8" REG Box</v>
          </cell>
          <cell r="AF373"/>
          <cell r="AG373" t="str">
            <v>C</v>
          </cell>
          <cell r="AH373" t="str">
            <v xml:space="preserve"> en stock </v>
          </cell>
          <cell r="AI373">
            <v>1</v>
          </cell>
          <cell r="AJ373">
            <v>0</v>
          </cell>
          <cell r="AK373">
            <v>0</v>
          </cell>
          <cell r="AL373"/>
          <cell r="AM373"/>
          <cell r="AN373" t="str">
            <v/>
          </cell>
          <cell r="AO373"/>
          <cell r="AP373"/>
          <cell r="AQ373"/>
          <cell r="AR373"/>
          <cell r="AS373">
            <v>93</v>
          </cell>
          <cell r="AT373" t="str">
            <v>503-</v>
          </cell>
          <cell r="AU373" t="str">
            <v/>
          </cell>
          <cell r="AV373"/>
        </row>
        <row r="374">
          <cell r="Z374">
            <v>5125180</v>
          </cell>
          <cell r="AA374" t="str">
            <v>WO Top Sub
4-1/2" IF Box x 8-5/8" FJWP Pin x 4-1/2" REG Box in</v>
          </cell>
          <cell r="AB374">
            <v>146</v>
          </cell>
          <cell r="AC374">
            <v>8.625</v>
          </cell>
          <cell r="AD374">
            <v>730</v>
          </cell>
          <cell r="AE374" t="str">
            <v>4-1/2" IF Box</v>
          </cell>
          <cell r="AF374" t="str">
            <v>8-5/8" FJWP Pin</v>
          </cell>
          <cell r="AG374" t="str">
            <v>4-1/2" REG Box</v>
          </cell>
          <cell r="AH374" t="str">
            <v xml:space="preserve"> en stock </v>
          </cell>
          <cell r="AI374">
            <v>1</v>
          </cell>
          <cell r="AJ374">
            <v>0</v>
          </cell>
          <cell r="AK374">
            <v>0</v>
          </cell>
          <cell r="AL374"/>
          <cell r="AM374"/>
          <cell r="AN374">
            <v>5125180</v>
          </cell>
          <cell r="AO374"/>
          <cell r="AP374"/>
          <cell r="AQ374"/>
          <cell r="AR374"/>
          <cell r="AS374">
            <v>43</v>
          </cell>
          <cell r="AT374"/>
          <cell r="AU374" t="str">
            <v/>
          </cell>
          <cell r="AV374"/>
        </row>
        <row r="375">
          <cell r="Z375">
            <v>8135181</v>
          </cell>
          <cell r="AA375" t="str">
            <v>XO
3-1/2" IF Pin x 2-7/8" IF Box</v>
          </cell>
          <cell r="AB375">
            <v>26.397977849099995</v>
          </cell>
          <cell r="AC375">
            <v>4.75</v>
          </cell>
          <cell r="AD375">
            <v>360</v>
          </cell>
          <cell r="AE375" t="str">
            <v>3-1/2" IF Pin</v>
          </cell>
          <cell r="AF375" t="str">
            <v>2-7/8" IF Box</v>
          </cell>
          <cell r="AG375"/>
          <cell r="AH375" t="str">
            <v>maintenance</v>
          </cell>
          <cell r="AI375" t="str">
            <v/>
          </cell>
          <cell r="AJ375">
            <v>0</v>
          </cell>
          <cell r="AK375">
            <v>1</v>
          </cell>
          <cell r="AL375"/>
          <cell r="AM375"/>
          <cell r="AN375" t="str">
            <v/>
          </cell>
          <cell r="AO375"/>
          <cell r="AP375"/>
          <cell r="AQ375"/>
          <cell r="AR375"/>
          <cell r="AS375">
            <v>105</v>
          </cell>
          <cell r="AT375"/>
          <cell r="AU375" t="str">
            <v/>
          </cell>
          <cell r="AV375"/>
        </row>
        <row r="376">
          <cell r="Z376">
            <v>5115182</v>
          </cell>
          <cell r="AA376" t="str">
            <v>WO Shoe
8-5/8" FJWP Box</v>
          </cell>
          <cell r="AB376">
            <v>54</v>
          </cell>
          <cell r="AC376">
            <v>9.25</v>
          </cell>
          <cell r="AD376">
            <v>940</v>
          </cell>
          <cell r="AE376" t="str">
            <v>8-5/8" FJWP Box</v>
          </cell>
          <cell r="AF376"/>
          <cell r="AG376" t="str">
            <v>CC</v>
          </cell>
          <cell r="AH376" t="str">
            <v>maintenance</v>
          </cell>
          <cell r="AI376" t="str">
            <v/>
          </cell>
          <cell r="AJ376">
            <v>0</v>
          </cell>
          <cell r="AK376">
            <v>1</v>
          </cell>
          <cell r="AL376"/>
          <cell r="AM376"/>
          <cell r="AN376" t="str">
            <v/>
          </cell>
          <cell r="AO376"/>
          <cell r="AP376"/>
          <cell r="AQ376"/>
          <cell r="AR376"/>
          <cell r="AS376">
            <v>200</v>
          </cell>
          <cell r="AT376"/>
          <cell r="AU376" t="str">
            <v/>
          </cell>
          <cell r="AV376"/>
        </row>
        <row r="377">
          <cell r="Z377">
            <v>5115183</v>
          </cell>
          <cell r="AA377" t="str">
            <v>WO Shoe
8-5/8" FJWP Box</v>
          </cell>
          <cell r="AB377">
            <v>0</v>
          </cell>
          <cell r="AC377">
            <v>9.25</v>
          </cell>
          <cell r="AD377">
            <v>560</v>
          </cell>
          <cell r="AE377" t="str">
            <v>8-5/8" FJWP Box</v>
          </cell>
          <cell r="AF377"/>
          <cell r="AG377" t="str">
            <v>CC</v>
          </cell>
          <cell r="AH377" t="str">
            <v>maintenance</v>
          </cell>
          <cell r="AI377" t="str">
            <v/>
          </cell>
          <cell r="AJ377">
            <v>0</v>
          </cell>
          <cell r="AK377">
            <v>1</v>
          </cell>
          <cell r="AL377"/>
          <cell r="AM377"/>
          <cell r="AN377">
            <v>5115183</v>
          </cell>
          <cell r="AO377"/>
          <cell r="AP377"/>
          <cell r="AQ377"/>
          <cell r="AR377"/>
          <cell r="AS377">
            <v>202</v>
          </cell>
          <cell r="AT377"/>
          <cell r="AU377" t="str">
            <v/>
          </cell>
          <cell r="AV377"/>
        </row>
        <row r="378">
          <cell r="Z378">
            <v>1035184</v>
          </cell>
          <cell r="AA378" t="str">
            <v>Casing Scraper 4-3/8" OD Body
3-1/2" REG Pin x 3-1/2" REG Box</v>
          </cell>
          <cell r="AB378">
            <v>92</v>
          </cell>
          <cell r="AC378">
            <v>4.375</v>
          </cell>
          <cell r="AD378">
            <v>1180</v>
          </cell>
          <cell r="AE378" t="str">
            <v>3-1/2" REG Pin</v>
          </cell>
          <cell r="AF378" t="str">
            <v>3-1/2" REG Box</v>
          </cell>
          <cell r="AG378"/>
          <cell r="AH378" t="str">
            <v xml:space="preserve"> en stock </v>
          </cell>
          <cell r="AI378">
            <v>1</v>
          </cell>
          <cell r="AJ378">
            <v>0</v>
          </cell>
          <cell r="AK378">
            <v>0</v>
          </cell>
          <cell r="AL378"/>
          <cell r="AM378"/>
          <cell r="AN378" t="str">
            <v/>
          </cell>
          <cell r="AO378"/>
          <cell r="AP378"/>
          <cell r="AQ378"/>
          <cell r="AR378"/>
          <cell r="AS378">
            <v>11</v>
          </cell>
          <cell r="AT378"/>
          <cell r="AU378" t="str">
            <v/>
          </cell>
          <cell r="AV378"/>
        </row>
        <row r="379">
          <cell r="Z379">
            <v>1035185</v>
          </cell>
          <cell r="AA379" t="str">
            <v>Casing Scraper 7-1/4"de garniture OD Body
4-1/2" IF Box x 4-1/2" IF Pin down</v>
          </cell>
          <cell r="AB379">
            <v>166</v>
          </cell>
          <cell r="AC379">
            <v>7.25</v>
          </cell>
          <cell r="AD379">
            <v>1120</v>
          </cell>
          <cell r="AE379" t="str">
            <v>4-1/2" IF Box</v>
          </cell>
          <cell r="AF379" t="str">
            <v>4-1/2" IF Pin</v>
          </cell>
          <cell r="AG379"/>
          <cell r="AH379" t="str">
            <v xml:space="preserve"> en stock </v>
          </cell>
          <cell r="AI379">
            <v>1</v>
          </cell>
          <cell r="AJ379">
            <v>0</v>
          </cell>
          <cell r="AK379">
            <v>0</v>
          </cell>
          <cell r="AL379"/>
          <cell r="AM379"/>
          <cell r="AN379" t="str">
            <v/>
          </cell>
          <cell r="AO379"/>
          <cell r="AP379"/>
          <cell r="AQ379"/>
          <cell r="AR379"/>
          <cell r="AS379">
            <v>16</v>
          </cell>
          <cell r="AT379"/>
          <cell r="AU379" t="str">
            <v/>
          </cell>
          <cell r="AV379"/>
        </row>
        <row r="380">
          <cell r="Z380"/>
          <cell r="AA380"/>
          <cell r="AB380"/>
          <cell r="AC380"/>
          <cell r="AD380"/>
          <cell r="AE380"/>
          <cell r="AF380"/>
          <cell r="AG380"/>
          <cell r="AH380" t="str">
            <v>en stock</v>
          </cell>
          <cell r="AI380"/>
          <cell r="AJ380"/>
          <cell r="AK380"/>
          <cell r="AL380"/>
          <cell r="AM380"/>
          <cell r="AN380" t="str">
            <v/>
          </cell>
          <cell r="AO380"/>
          <cell r="AP380"/>
          <cell r="AQ380"/>
          <cell r="AR380"/>
          <cell r="AS380"/>
          <cell r="AT380"/>
          <cell r="AU380" t="str">
            <v>envoyé à la place de celui en attente de fabrication LM POI 21253</v>
          </cell>
          <cell r="AV380"/>
        </row>
        <row r="381">
          <cell r="Z381">
            <v>3015187</v>
          </cell>
          <cell r="AA381" t="str">
            <v>RTU 8200
4-1/2" REG Pin up</v>
          </cell>
          <cell r="AB381">
            <v>410</v>
          </cell>
          <cell r="AC381">
            <v>8200</v>
          </cell>
          <cell r="AD381">
            <v>2370</v>
          </cell>
          <cell r="AE381" t="str">
            <v>4-1/2" REG Pin</v>
          </cell>
          <cell r="AF381" t="str">
            <v>nose</v>
          </cell>
          <cell r="AG381"/>
          <cell r="AH381" t="str">
            <v xml:space="preserve"> en stock </v>
          </cell>
          <cell r="AI381">
            <v>1</v>
          </cell>
          <cell r="AJ381">
            <v>0</v>
          </cell>
          <cell r="AK381">
            <v>0</v>
          </cell>
          <cell r="AL381"/>
          <cell r="AM381"/>
          <cell r="AN381" t="str">
            <v/>
          </cell>
          <cell r="AO381"/>
          <cell r="AP381"/>
          <cell r="AQ381"/>
          <cell r="AR381"/>
          <cell r="AS381">
            <v>9</v>
          </cell>
          <cell r="AT381" t="str">
            <v>301-8200</v>
          </cell>
          <cell r="AU381" t="str">
            <v/>
          </cell>
          <cell r="AV381"/>
        </row>
        <row r="382">
          <cell r="Z382">
            <v>7045188</v>
          </cell>
          <cell r="AA382"/>
          <cell r="AB382"/>
          <cell r="AC382"/>
          <cell r="AD382"/>
          <cell r="AE382"/>
          <cell r="AF382"/>
          <cell r="AG382"/>
          <cell r="AH382" t="str">
            <v>en stock</v>
          </cell>
          <cell r="AI382"/>
          <cell r="AJ382"/>
          <cell r="AK382"/>
          <cell r="AL382"/>
          <cell r="AM382"/>
          <cell r="AN382" t="str">
            <v/>
          </cell>
          <cell r="AO382"/>
          <cell r="AP382"/>
          <cell r="AQ382"/>
          <cell r="AR382"/>
          <cell r="AS382"/>
          <cell r="AT382"/>
          <cell r="AU382" t="str">
            <v/>
          </cell>
          <cell r="AV382"/>
        </row>
        <row r="383">
          <cell r="Z383">
            <v>7125189</v>
          </cell>
          <cell r="AA383"/>
          <cell r="AB383"/>
          <cell r="AC383"/>
          <cell r="AD383"/>
          <cell r="AE383"/>
          <cell r="AF383"/>
          <cell r="AG383"/>
          <cell r="AH383" t="str">
            <v>en stock</v>
          </cell>
          <cell r="AI383"/>
          <cell r="AJ383"/>
          <cell r="AK383"/>
          <cell r="AL383"/>
          <cell r="AM383"/>
          <cell r="AN383" t="str">
            <v/>
          </cell>
          <cell r="AO383"/>
          <cell r="AP383"/>
          <cell r="AQ383"/>
          <cell r="AR383"/>
          <cell r="AS383"/>
          <cell r="AT383"/>
          <cell r="AU383" t="str">
            <v/>
          </cell>
          <cell r="AV383"/>
        </row>
        <row r="384">
          <cell r="Z384">
            <v>5125190</v>
          </cell>
          <cell r="AA384"/>
          <cell r="AB384"/>
          <cell r="AC384"/>
          <cell r="AD384"/>
          <cell r="AE384"/>
          <cell r="AF384"/>
          <cell r="AG384"/>
          <cell r="AH384" t="str">
            <v>en stock</v>
          </cell>
          <cell r="AI384"/>
          <cell r="AJ384"/>
          <cell r="AK384"/>
          <cell r="AL384"/>
          <cell r="AM384"/>
          <cell r="AN384" t="str">
            <v/>
          </cell>
          <cell r="AO384"/>
          <cell r="AP384"/>
          <cell r="AQ384"/>
          <cell r="AR384"/>
          <cell r="AS384"/>
          <cell r="AT384"/>
          <cell r="AU384" t="str">
            <v/>
          </cell>
          <cell r="AV384"/>
        </row>
        <row r="385">
          <cell r="Z385">
            <v>1030295</v>
          </cell>
          <cell r="AA385" t="str">
            <v>Casing Scraper 9-1/4" OD Body
6-5/8" REG Pin x 6-5/8" REG Box</v>
          </cell>
          <cell r="AB385">
            <v>292</v>
          </cell>
          <cell r="AC385">
            <v>9.25</v>
          </cell>
          <cell r="AD385">
            <v>1130</v>
          </cell>
          <cell r="AE385" t="str">
            <v>6-5/8" REG Pin</v>
          </cell>
          <cell r="AF385" t="str">
            <v>6-5/8" REG Box</v>
          </cell>
          <cell r="AG385"/>
          <cell r="AH385" t="str">
            <v xml:space="preserve"> en stock </v>
          </cell>
          <cell r="AI385">
            <v>1</v>
          </cell>
          <cell r="AJ385">
            <v>0</v>
          </cell>
          <cell r="AK385">
            <v>0</v>
          </cell>
          <cell r="AL385"/>
          <cell r="AM385"/>
          <cell r="AN385" t="str">
            <v/>
          </cell>
          <cell r="AO385"/>
          <cell r="AP385"/>
          <cell r="AQ385"/>
          <cell r="AR385"/>
          <cell r="AS385">
            <v>19</v>
          </cell>
          <cell r="AT385"/>
          <cell r="AU385" t="str">
            <v/>
          </cell>
          <cell r="AV385"/>
        </row>
        <row r="386">
          <cell r="Z386">
            <v>1035192</v>
          </cell>
          <cell r="AA386" t="str">
            <v xml:space="preserve">Casing Scraper 3-5/8" OD Body
2-3/8" REG Pin  x 2-3/8" REG Box </v>
          </cell>
          <cell r="AB386">
            <v>26</v>
          </cell>
          <cell r="AC386">
            <v>3.625</v>
          </cell>
          <cell r="AD386">
            <v>675</v>
          </cell>
          <cell r="AE386" t="str">
            <v xml:space="preserve">2-3/8" REG Pin </v>
          </cell>
          <cell r="AF386" t="str">
            <v xml:space="preserve">2-3/8" REG Box </v>
          </cell>
          <cell r="AG386"/>
          <cell r="AH386" t="str">
            <v>maintenance</v>
          </cell>
          <cell r="AI386" t="str">
            <v/>
          </cell>
          <cell r="AJ386">
            <v>0</v>
          </cell>
          <cell r="AK386">
            <v>1</v>
          </cell>
          <cell r="AL386"/>
          <cell r="AM386"/>
          <cell r="AN386" t="str">
            <v/>
          </cell>
          <cell r="AO386"/>
          <cell r="AP386"/>
          <cell r="AQ386"/>
          <cell r="AR386"/>
          <cell r="AS386">
            <v>7</v>
          </cell>
          <cell r="AT386"/>
          <cell r="AU386" t="str">
            <v/>
          </cell>
          <cell r="AV386"/>
        </row>
        <row r="387">
          <cell r="Z387"/>
          <cell r="AA387"/>
          <cell r="AB387"/>
          <cell r="AC387"/>
          <cell r="AD387"/>
          <cell r="AE387"/>
          <cell r="AF387"/>
          <cell r="AG387"/>
          <cell r="AH387" t="str">
            <v>en stock</v>
          </cell>
          <cell r="AI387"/>
          <cell r="AJ387"/>
          <cell r="AK387"/>
          <cell r="AL387"/>
          <cell r="AM387"/>
          <cell r="AN387" t="str">
            <v/>
          </cell>
          <cell r="AO387"/>
          <cell r="AP387"/>
          <cell r="AQ387"/>
          <cell r="AR387"/>
          <cell r="AS387"/>
          <cell r="AT387"/>
          <cell r="AU387" t="str">
            <v/>
          </cell>
          <cell r="AV387"/>
        </row>
        <row r="388">
          <cell r="Z388">
            <v>1035194</v>
          </cell>
          <cell r="AA388" t="str">
            <v>Casing Scraper 4-1/4" OD Body
2-7/8" REG Pin x 2-7/8" REG Box</v>
          </cell>
          <cell r="AB388">
            <v>104</v>
          </cell>
          <cell r="AC388">
            <v>4.25</v>
          </cell>
          <cell r="AD388">
            <v>1715</v>
          </cell>
          <cell r="AE388" t="str">
            <v>2-7/8" REG Pin</v>
          </cell>
          <cell r="AF388" t="str">
            <v>2-7/8" REG Box</v>
          </cell>
          <cell r="AG388"/>
          <cell r="AH388" t="str">
            <v xml:space="preserve"> en stock </v>
          </cell>
          <cell r="AI388">
            <v>1</v>
          </cell>
          <cell r="AJ388">
            <v>0</v>
          </cell>
          <cell r="AK388">
            <v>0</v>
          </cell>
          <cell r="AL388"/>
          <cell r="AM388"/>
          <cell r="AN388" t="str">
            <v/>
          </cell>
          <cell r="AO388"/>
          <cell r="AP388"/>
          <cell r="AQ388"/>
          <cell r="AR388"/>
          <cell r="AS388">
            <v>9</v>
          </cell>
          <cell r="AT388"/>
          <cell r="AU388" t="str">
            <v/>
          </cell>
          <cell r="AV388"/>
        </row>
        <row r="389">
          <cell r="Z389">
            <v>1035195</v>
          </cell>
          <cell r="AA389" t="str">
            <v>Casing Scraper  OD Body
3-1/2" REG Pin x 3-1/2" REG Box</v>
          </cell>
          <cell r="AB389">
            <v>294</v>
          </cell>
          <cell r="AC389">
            <v>0</v>
          </cell>
          <cell r="AD389">
            <v>1395</v>
          </cell>
          <cell r="AE389" t="str">
            <v>3-1/2" REG Pin</v>
          </cell>
          <cell r="AF389" t="str">
            <v>3-1/2" REG Box</v>
          </cell>
          <cell r="AG389"/>
          <cell r="AH389" t="str">
            <v>maintenance</v>
          </cell>
          <cell r="AI389" t="str">
            <v/>
          </cell>
          <cell r="AJ389">
            <v>0</v>
          </cell>
          <cell r="AK389">
            <v>1</v>
          </cell>
          <cell r="AL389"/>
          <cell r="AM389"/>
          <cell r="AN389" t="str">
            <v/>
          </cell>
          <cell r="AO389" t="str">
            <v>x</v>
          </cell>
          <cell r="AP389"/>
          <cell r="AQ389"/>
          <cell r="AR389" t="str">
            <v>jupe lamelles cahoutchouc</v>
          </cell>
          <cell r="AS389">
            <v>10</v>
          </cell>
          <cell r="AT389"/>
          <cell r="AU389" t="str">
            <v/>
          </cell>
          <cell r="AV389"/>
        </row>
        <row r="390">
          <cell r="Z390" t="str">
            <v>voir stab</v>
          </cell>
          <cell r="AA390"/>
          <cell r="AB390"/>
          <cell r="AC390"/>
          <cell r="AD390"/>
          <cell r="AE390"/>
          <cell r="AF390"/>
          <cell r="AG390"/>
          <cell r="AH390" t="str">
            <v>en stock</v>
          </cell>
          <cell r="AI390"/>
          <cell r="AJ390"/>
          <cell r="AK390"/>
          <cell r="AL390"/>
          <cell r="AM390"/>
          <cell r="AN390" t="str">
            <v/>
          </cell>
          <cell r="AO390"/>
          <cell r="AP390"/>
          <cell r="AQ390"/>
          <cell r="AR390"/>
          <cell r="AS390"/>
          <cell r="AT390"/>
          <cell r="AU390" t="str">
            <v/>
          </cell>
          <cell r="AV390"/>
        </row>
        <row r="391">
          <cell r="Z391" t="str">
            <v>voir stab</v>
          </cell>
          <cell r="AA391"/>
          <cell r="AB391"/>
          <cell r="AC391"/>
          <cell r="AD391"/>
          <cell r="AE391"/>
          <cell r="AF391"/>
          <cell r="AG391"/>
          <cell r="AH391" t="str">
            <v>en stock</v>
          </cell>
          <cell r="AI391"/>
          <cell r="AJ391"/>
          <cell r="AK391"/>
          <cell r="AL391"/>
          <cell r="AM391"/>
          <cell r="AN391" t="str">
            <v/>
          </cell>
          <cell r="AO391"/>
          <cell r="AP391"/>
          <cell r="AQ391"/>
          <cell r="AR391"/>
          <cell r="AS391"/>
          <cell r="AT391"/>
          <cell r="AU391" t="str">
            <v/>
          </cell>
          <cell r="AV391"/>
        </row>
        <row r="392">
          <cell r="Z392" t="str">
            <v>voir stab</v>
          </cell>
          <cell r="AA392"/>
          <cell r="AB392"/>
          <cell r="AC392"/>
          <cell r="AD392"/>
          <cell r="AE392"/>
          <cell r="AF392"/>
          <cell r="AG392"/>
          <cell r="AH392" t="str">
            <v>en stock</v>
          </cell>
          <cell r="AI392"/>
          <cell r="AJ392"/>
          <cell r="AK392"/>
          <cell r="AL392"/>
          <cell r="AM392"/>
          <cell r="AN392" t="str">
            <v/>
          </cell>
          <cell r="AO392"/>
          <cell r="AP392"/>
          <cell r="AQ392"/>
          <cell r="AR392"/>
          <cell r="AS392"/>
          <cell r="AT392"/>
          <cell r="AU392" t="str">
            <v/>
          </cell>
          <cell r="AV392"/>
        </row>
        <row r="393">
          <cell r="Z393">
            <v>8085199</v>
          </cell>
          <cell r="AA393" t="str">
            <v>Short DC 4-1/16" Lg 1310mm
3-1/2" REG Pin x Box</v>
          </cell>
          <cell r="AB393">
            <v>70.669895151862519</v>
          </cell>
          <cell r="AC393">
            <v>4.0625</v>
          </cell>
          <cell r="AD393">
            <v>1310</v>
          </cell>
          <cell r="AE393" t="str">
            <v>3-1/2" REG Box</v>
          </cell>
          <cell r="AF393" t="str">
            <v>3-1/2" REG Pin</v>
          </cell>
          <cell r="AG393"/>
          <cell r="AH393" t="str">
            <v xml:space="preserve"> en stock </v>
          </cell>
          <cell r="AI393">
            <v>1</v>
          </cell>
          <cell r="AJ393">
            <v>0</v>
          </cell>
          <cell r="AK393">
            <v>0</v>
          </cell>
          <cell r="AL393"/>
          <cell r="AM393"/>
          <cell r="AN393" t="str">
            <v/>
          </cell>
          <cell r="AO393"/>
          <cell r="AP393"/>
          <cell r="AQ393"/>
          <cell r="AR393"/>
          <cell r="AS393">
            <v>12</v>
          </cell>
          <cell r="AT393"/>
          <cell r="AU393" t="str">
            <v/>
          </cell>
          <cell r="AV393"/>
        </row>
        <row r="394">
          <cell r="Z394" t="str">
            <v>voir stab</v>
          </cell>
          <cell r="AA394"/>
          <cell r="AB394"/>
          <cell r="AC394"/>
          <cell r="AD394"/>
          <cell r="AE394"/>
          <cell r="AF394"/>
          <cell r="AG394"/>
          <cell r="AH394" t="str">
            <v>en stock</v>
          </cell>
          <cell r="AI394"/>
          <cell r="AJ394"/>
          <cell r="AK394"/>
          <cell r="AL394"/>
          <cell r="AM394"/>
          <cell r="AN394" t="str">
            <v/>
          </cell>
          <cell r="AO394"/>
          <cell r="AP394"/>
          <cell r="AQ394"/>
          <cell r="AR394"/>
          <cell r="AS394"/>
          <cell r="AT394"/>
          <cell r="AU394" t="str">
            <v/>
          </cell>
          <cell r="AV394"/>
        </row>
        <row r="395">
          <cell r="Z395">
            <v>7125430</v>
          </cell>
          <cell r="AA395" t="str">
            <v>Releasing Spear 5-11/16" OD Mandrel CA 9266
3-1/2" IF Box</v>
          </cell>
          <cell r="AB395">
            <v>114</v>
          </cell>
          <cell r="AC395">
            <v>5.6875</v>
          </cell>
          <cell r="AD395" t="str">
            <v>CA 9266</v>
          </cell>
          <cell r="AE395" t="str">
            <v>3-1/2" IF Box</v>
          </cell>
          <cell r="AF395" t="str">
            <v>3-1/2" IF Pin</v>
          </cell>
          <cell r="AG395"/>
          <cell r="AH395" t="str">
            <v xml:space="preserve"> en stock </v>
          </cell>
          <cell r="AI395">
            <v>1</v>
          </cell>
          <cell r="AJ395">
            <v>0</v>
          </cell>
          <cell r="AK395">
            <v>0</v>
          </cell>
          <cell r="AL395"/>
          <cell r="AM395"/>
          <cell r="AN395">
            <v>7125201</v>
          </cell>
          <cell r="AO395"/>
          <cell r="AP395"/>
          <cell r="AQ395"/>
          <cell r="AR395"/>
          <cell r="AS395">
            <v>25</v>
          </cell>
          <cell r="AT395"/>
          <cell r="AU395" t="str">
            <v/>
          </cell>
          <cell r="AV395"/>
        </row>
        <row r="396">
          <cell r="Z396">
            <v>5115202</v>
          </cell>
          <cell r="AA396" t="str">
            <v>WO Shoe
5-1/2" FJWP Box</v>
          </cell>
          <cell r="AB396">
            <v>25</v>
          </cell>
          <cell r="AC396">
            <v>6.0625</v>
          </cell>
          <cell r="AD396">
            <v>885</v>
          </cell>
          <cell r="AE396" t="str">
            <v>5-1/2" FJWP Box</v>
          </cell>
          <cell r="AF396"/>
          <cell r="AG396" t="str">
            <v>CC</v>
          </cell>
          <cell r="AH396" t="str">
            <v xml:space="preserve"> en stock </v>
          </cell>
          <cell r="AI396">
            <v>1</v>
          </cell>
          <cell r="AJ396">
            <v>0</v>
          </cell>
          <cell r="AK396">
            <v>0</v>
          </cell>
          <cell r="AL396"/>
          <cell r="AM396"/>
          <cell r="AN396" t="str">
            <v/>
          </cell>
          <cell r="AO396"/>
          <cell r="AP396"/>
          <cell r="AQ396"/>
          <cell r="AR396"/>
          <cell r="AS396">
            <v>107</v>
          </cell>
          <cell r="AT396"/>
          <cell r="AU396" t="str">
            <v/>
          </cell>
          <cell r="AV396"/>
        </row>
        <row r="397">
          <cell r="Z397">
            <v>8135203</v>
          </cell>
          <cell r="AA397" t="str">
            <v>XO
2-3/8" REG Pin x 3-1/2" REG Pin</v>
          </cell>
          <cell r="AB397">
            <v>36</v>
          </cell>
          <cell r="AC397">
            <v>4.75</v>
          </cell>
          <cell r="AD397">
            <v>530</v>
          </cell>
          <cell r="AE397" t="str">
            <v>2-3/8" REG Pin</v>
          </cell>
          <cell r="AF397" t="str">
            <v>3-1/2" REG Pin</v>
          </cell>
          <cell r="AG397"/>
          <cell r="AH397" t="str">
            <v xml:space="preserve"> en stock </v>
          </cell>
          <cell r="AI397">
            <v>1</v>
          </cell>
          <cell r="AJ397">
            <v>0</v>
          </cell>
          <cell r="AK397">
            <v>0</v>
          </cell>
          <cell r="AL397"/>
          <cell r="AM397"/>
          <cell r="AN397" t="str">
            <v/>
          </cell>
          <cell r="AO397"/>
          <cell r="AP397"/>
          <cell r="AQ397"/>
          <cell r="AR397"/>
          <cell r="AS397">
            <v>64</v>
          </cell>
          <cell r="AT397"/>
          <cell r="AU397" t="str">
            <v/>
          </cell>
          <cell r="AV397"/>
        </row>
        <row r="398">
          <cell r="Z398">
            <v>5075204</v>
          </cell>
          <cell r="AA398" t="str">
            <v>Super Junk Mill 
3-1/2" REG Pin</v>
          </cell>
          <cell r="AB398">
            <v>80</v>
          </cell>
          <cell r="AC398">
            <v>6.125</v>
          </cell>
          <cell r="AD398">
            <v>780</v>
          </cell>
          <cell r="AE398" t="str">
            <v>3-1/2" REG Pin</v>
          </cell>
          <cell r="AF398"/>
          <cell r="AG398" t="str">
            <v>C</v>
          </cell>
          <cell r="AH398" t="str">
            <v xml:space="preserve"> en stock </v>
          </cell>
          <cell r="AI398">
            <v>1</v>
          </cell>
          <cell r="AJ398">
            <v>0</v>
          </cell>
          <cell r="AK398">
            <v>0</v>
          </cell>
          <cell r="AL398"/>
          <cell r="AM398"/>
          <cell r="AN398" t="str">
            <v/>
          </cell>
          <cell r="AO398"/>
          <cell r="AP398"/>
          <cell r="AQ398"/>
          <cell r="AR398"/>
          <cell r="AS398">
            <v>54</v>
          </cell>
          <cell r="AT398" t="str">
            <v>507-</v>
          </cell>
          <cell r="AU398" t="str">
            <v/>
          </cell>
          <cell r="AV398"/>
        </row>
        <row r="399">
          <cell r="Z399">
            <v>1095205</v>
          </cell>
          <cell r="AA399" t="str">
            <v>Junk Sub 7-5/8" OD Cup 
4-1/2" REG Pin x Box</v>
          </cell>
          <cell r="AB399">
            <v>130</v>
          </cell>
          <cell r="AC399">
            <v>7.625</v>
          </cell>
          <cell r="AD399">
            <v>1080</v>
          </cell>
          <cell r="AE399" t="str">
            <v>4-1/2" REG Pin</v>
          </cell>
          <cell r="AF399" t="str">
            <v>4-1/2" REG Box</v>
          </cell>
          <cell r="AG399"/>
          <cell r="AH399" t="str">
            <v>maintenance</v>
          </cell>
          <cell r="AI399" t="str">
            <v/>
          </cell>
          <cell r="AJ399">
            <v>0</v>
          </cell>
          <cell r="AK399">
            <v>1</v>
          </cell>
          <cell r="AL399"/>
          <cell r="AM399"/>
          <cell r="AN399" t="str">
            <v/>
          </cell>
          <cell r="AO399"/>
          <cell r="AP399"/>
          <cell r="AQ399"/>
          <cell r="AR399"/>
          <cell r="AS399">
            <v>29</v>
          </cell>
          <cell r="AT399" t="str">
            <v>109-7,625</v>
          </cell>
          <cell r="AU399" t="str">
            <v/>
          </cell>
          <cell r="AV399"/>
        </row>
        <row r="400">
          <cell r="Z400">
            <v>7045206</v>
          </cell>
          <cell r="AA400" t="str">
            <v>11-1/4" FS Overshot - CA C12822
6-5/8" REG Box</v>
          </cell>
          <cell r="AB400">
            <v>202</v>
          </cell>
          <cell r="AC400" t="str">
            <v>11-1/4" FS</v>
          </cell>
          <cell r="AD400">
            <v>1320</v>
          </cell>
          <cell r="AE400" t="str">
            <v>6-5/8" REG Box</v>
          </cell>
          <cell r="AF400">
            <v>72112500001</v>
          </cell>
          <cell r="AG400"/>
          <cell r="AH400" t="str">
            <v xml:space="preserve"> en stock </v>
          </cell>
          <cell r="AI400">
            <v>1</v>
          </cell>
          <cell r="AJ400">
            <v>0</v>
          </cell>
          <cell r="AK400">
            <v>0</v>
          </cell>
          <cell r="AL400"/>
          <cell r="AM400"/>
          <cell r="AN400" t="str">
            <v/>
          </cell>
          <cell r="AO400"/>
          <cell r="AP400"/>
          <cell r="AQ400"/>
          <cell r="AR400"/>
          <cell r="AS400">
            <v>87</v>
          </cell>
          <cell r="AT400" t="str">
            <v>704-12822</v>
          </cell>
          <cell r="AU400" t="str">
            <v/>
          </cell>
          <cell r="AV400"/>
        </row>
        <row r="401">
          <cell r="Z401">
            <v>1105207</v>
          </cell>
          <cell r="AA401" t="str">
            <v>Reverse Circulating Junk Basket 7-1/8" OD Barrel 
4" IF Box</v>
          </cell>
          <cell r="AB401">
            <v>79</v>
          </cell>
          <cell r="AC401">
            <v>6.5</v>
          </cell>
          <cell r="AD401">
            <v>1000</v>
          </cell>
          <cell r="AE401" t="str">
            <v>4" IF Box</v>
          </cell>
          <cell r="AF401">
            <v>7.125</v>
          </cell>
          <cell r="AG401"/>
          <cell r="AH401" t="str">
            <v xml:space="preserve"> en stock </v>
          </cell>
          <cell r="AI401">
            <v>1</v>
          </cell>
          <cell r="AJ401">
            <v>0</v>
          </cell>
          <cell r="AK401">
            <v>0</v>
          </cell>
          <cell r="AL401"/>
          <cell r="AM401"/>
          <cell r="AN401" t="str">
            <v/>
          </cell>
          <cell r="AO401"/>
          <cell r="AP401"/>
          <cell r="AQ401"/>
          <cell r="AR401"/>
          <cell r="AS401">
            <v>8</v>
          </cell>
          <cell r="AT401"/>
          <cell r="AU401" t="str">
            <v/>
          </cell>
          <cell r="AV401"/>
        </row>
        <row r="402">
          <cell r="Z402">
            <v>1085208</v>
          </cell>
          <cell r="AA402" t="str">
            <v>Reverse Circulating Junk Basket 11-1/8" OD Barrel 
6-5/8" REG Box</v>
          </cell>
          <cell r="AB402">
            <v>347</v>
          </cell>
          <cell r="AC402">
            <v>11.125</v>
          </cell>
          <cell r="AD402">
            <v>1640</v>
          </cell>
          <cell r="AE402" t="str">
            <v>6-5/8" REG Box</v>
          </cell>
          <cell r="AF402">
            <v>12.125</v>
          </cell>
          <cell r="AG402"/>
          <cell r="AH402" t="str">
            <v>sur chantier</v>
          </cell>
          <cell r="AI402" t="str">
            <v/>
          </cell>
          <cell r="AJ402">
            <v>1</v>
          </cell>
          <cell r="AK402">
            <v>0</v>
          </cell>
          <cell r="AL402"/>
          <cell r="AM402"/>
          <cell r="AN402" t="str">
            <v/>
          </cell>
          <cell r="AO402"/>
          <cell r="AP402"/>
          <cell r="AQ402"/>
          <cell r="AR402"/>
          <cell r="AS402">
            <v>12</v>
          </cell>
          <cell r="AT402"/>
          <cell r="AU402" t="str">
            <v/>
          </cell>
          <cell r="AV402"/>
        </row>
        <row r="403">
          <cell r="Z403">
            <v>1085209</v>
          </cell>
          <cell r="AA403" t="str">
            <v>Reverse Circulating Junk Basket 7-7/8" OD Barrel 
4-1/2" IF Box</v>
          </cell>
          <cell r="AB403">
            <v>146</v>
          </cell>
          <cell r="AC403">
            <v>7.875</v>
          </cell>
          <cell r="AD403">
            <v>1230</v>
          </cell>
          <cell r="AE403" t="str">
            <v>4-1/2" IF Box</v>
          </cell>
          <cell r="AF403">
            <v>8.125</v>
          </cell>
          <cell r="AG403"/>
          <cell r="AH403" t="str">
            <v>sur chantier</v>
          </cell>
          <cell r="AI403" t="str">
            <v/>
          </cell>
          <cell r="AJ403">
            <v>1</v>
          </cell>
          <cell r="AK403">
            <v>0</v>
          </cell>
          <cell r="AL403"/>
          <cell r="AM403"/>
          <cell r="AN403" t="str">
            <v/>
          </cell>
          <cell r="AO403"/>
          <cell r="AP403"/>
          <cell r="AQ403"/>
          <cell r="AR403"/>
          <cell r="AS403">
            <v>8</v>
          </cell>
          <cell r="AT403"/>
          <cell r="AU403" t="str">
            <v/>
          </cell>
          <cell r="AV403"/>
        </row>
        <row r="404">
          <cell r="Z404">
            <v>7095210</v>
          </cell>
          <cell r="AA404"/>
          <cell r="AB404"/>
          <cell r="AC404"/>
          <cell r="AD404"/>
          <cell r="AE404"/>
          <cell r="AF404"/>
          <cell r="AG404"/>
          <cell r="AH404" t="str">
            <v>en stock</v>
          </cell>
          <cell r="AI404"/>
          <cell r="AJ404"/>
          <cell r="AK404"/>
          <cell r="AL404"/>
          <cell r="AM404"/>
          <cell r="AN404" t="str">
            <v/>
          </cell>
          <cell r="AO404"/>
          <cell r="AP404"/>
          <cell r="AQ404"/>
          <cell r="AR404"/>
          <cell r="AS404"/>
          <cell r="AT404"/>
          <cell r="AU404" t="str">
            <v/>
          </cell>
          <cell r="AV404"/>
        </row>
        <row r="405">
          <cell r="Z405">
            <v>7095211</v>
          </cell>
          <cell r="AA405"/>
          <cell r="AB405"/>
          <cell r="AC405"/>
          <cell r="AD405"/>
          <cell r="AE405"/>
          <cell r="AF405"/>
          <cell r="AG405"/>
          <cell r="AH405" t="str">
            <v>en stock</v>
          </cell>
          <cell r="AI405"/>
          <cell r="AJ405"/>
          <cell r="AK405"/>
          <cell r="AL405"/>
          <cell r="AM405"/>
          <cell r="AN405" t="str">
            <v/>
          </cell>
          <cell r="AO405"/>
          <cell r="AP405"/>
          <cell r="AQ405"/>
          <cell r="AR405"/>
          <cell r="AS405"/>
          <cell r="AT405"/>
          <cell r="AU405" t="str">
            <v/>
          </cell>
          <cell r="AV405"/>
        </row>
        <row r="406">
          <cell r="Z406">
            <v>1085212</v>
          </cell>
          <cell r="AA406" t="str">
            <v>Reverse Circulating Junk Basket 5-1/8" OD Barrel 
3-1/2" IF Box</v>
          </cell>
          <cell r="AB406">
            <v>94</v>
          </cell>
          <cell r="AC406">
            <v>5.125</v>
          </cell>
          <cell r="AD406">
            <v>1320</v>
          </cell>
          <cell r="AE406" t="str">
            <v>3-1/2" IF Box</v>
          </cell>
          <cell r="AF406">
            <v>5.625</v>
          </cell>
          <cell r="AG406"/>
          <cell r="AH406" t="str">
            <v xml:space="preserve"> en stock </v>
          </cell>
          <cell r="AI406">
            <v>1</v>
          </cell>
          <cell r="AJ406">
            <v>0</v>
          </cell>
          <cell r="AK406">
            <v>0</v>
          </cell>
          <cell r="AL406"/>
          <cell r="AM406"/>
          <cell r="AN406" t="str">
            <v/>
          </cell>
          <cell r="AO406"/>
          <cell r="AP406"/>
          <cell r="AQ406"/>
          <cell r="AR406"/>
          <cell r="AS406">
            <v>5</v>
          </cell>
          <cell r="AT406"/>
          <cell r="AU406" t="str">
            <v/>
          </cell>
          <cell r="AV406"/>
        </row>
        <row r="407">
          <cell r="Z407">
            <v>5115215</v>
          </cell>
          <cell r="AA407" t="str">
            <v>WO Shoe
4" FJWP Box</v>
          </cell>
          <cell r="AB407">
            <v>12</v>
          </cell>
          <cell r="AC407">
            <v>4.25</v>
          </cell>
          <cell r="AD407">
            <v>655</v>
          </cell>
          <cell r="AE407" t="str">
            <v>4" FJWP Box</v>
          </cell>
          <cell r="AF407"/>
          <cell r="AG407" t="str">
            <v>CC</v>
          </cell>
          <cell r="AH407" t="str">
            <v xml:space="preserve"> en stock </v>
          </cell>
          <cell r="AI407">
            <v>1</v>
          </cell>
          <cell r="AJ407">
            <v>0</v>
          </cell>
          <cell r="AK407">
            <v>0</v>
          </cell>
          <cell r="AL407" t="str">
            <v>H6</v>
          </cell>
          <cell r="AM407"/>
          <cell r="AN407" t="str">
            <v/>
          </cell>
          <cell r="AO407"/>
          <cell r="AP407"/>
          <cell r="AQ407"/>
          <cell r="AR407"/>
          <cell r="AS407">
            <v>38</v>
          </cell>
          <cell r="AT407"/>
          <cell r="AU407" t="str">
            <v/>
          </cell>
          <cell r="AV407"/>
        </row>
        <row r="408">
          <cell r="Z408">
            <v>5115216</v>
          </cell>
          <cell r="AA408" t="str">
            <v>WO Shoe
4" FJWP Box</v>
          </cell>
          <cell r="AB408">
            <v>12</v>
          </cell>
          <cell r="AC408">
            <v>4.125</v>
          </cell>
          <cell r="AD408">
            <v>600</v>
          </cell>
          <cell r="AE408" t="str">
            <v>4" FJWP Box</v>
          </cell>
          <cell r="AF408"/>
          <cell r="AG408" t="str">
            <v>CC</v>
          </cell>
          <cell r="AH408" t="str">
            <v xml:space="preserve"> en stock </v>
          </cell>
          <cell r="AI408">
            <v>1</v>
          </cell>
          <cell r="AJ408">
            <v>0</v>
          </cell>
          <cell r="AK408">
            <v>0</v>
          </cell>
          <cell r="AL408"/>
          <cell r="AM408"/>
          <cell r="AN408" t="str">
            <v/>
          </cell>
          <cell r="AO408"/>
          <cell r="AP408"/>
          <cell r="AQ408"/>
          <cell r="AR408"/>
          <cell r="AS408">
            <v>40</v>
          </cell>
          <cell r="AT408"/>
          <cell r="AU408" t="str">
            <v/>
          </cell>
          <cell r="AV408"/>
        </row>
        <row r="409">
          <cell r="Z409">
            <v>1095217</v>
          </cell>
          <cell r="AA409"/>
          <cell r="AB409"/>
          <cell r="AC409"/>
          <cell r="AD409"/>
          <cell r="AE409"/>
          <cell r="AF409"/>
          <cell r="AG409"/>
          <cell r="AH409" t="str">
            <v>en stock</v>
          </cell>
          <cell r="AI409"/>
          <cell r="AJ409"/>
          <cell r="AK409"/>
          <cell r="AL409"/>
          <cell r="AM409"/>
          <cell r="AN409">
            <v>1095217</v>
          </cell>
          <cell r="AO409"/>
          <cell r="AP409"/>
          <cell r="AQ409"/>
          <cell r="AR409"/>
          <cell r="AS409"/>
          <cell r="AT409"/>
          <cell r="AU409" t="str">
            <v/>
          </cell>
          <cell r="AV409"/>
        </row>
        <row r="410">
          <cell r="Z410">
            <v>1095218</v>
          </cell>
          <cell r="AA410"/>
          <cell r="AB410"/>
          <cell r="AC410"/>
          <cell r="AD410"/>
          <cell r="AE410"/>
          <cell r="AF410"/>
          <cell r="AG410"/>
          <cell r="AH410" t="str">
            <v>en stock</v>
          </cell>
          <cell r="AI410"/>
          <cell r="AJ410"/>
          <cell r="AK410"/>
          <cell r="AL410"/>
          <cell r="AM410"/>
          <cell r="AN410" t="str">
            <v/>
          </cell>
          <cell r="AO410"/>
          <cell r="AP410"/>
          <cell r="AQ410"/>
          <cell r="AR410"/>
          <cell r="AS410"/>
          <cell r="AT410"/>
          <cell r="AU410" t="str">
            <v/>
          </cell>
          <cell r="AV410"/>
        </row>
        <row r="411">
          <cell r="Z411">
            <v>1095219</v>
          </cell>
          <cell r="AA411" t="str">
            <v>Junk Sub 3-1/2" OD Cup 
2-3/8" REG Pin x Box</v>
          </cell>
          <cell r="AB411">
            <v>0</v>
          </cell>
          <cell r="AC411">
            <v>3.5</v>
          </cell>
          <cell r="AD411">
            <v>665</v>
          </cell>
          <cell r="AE411" t="str">
            <v>2-3/8" REG Pin</v>
          </cell>
          <cell r="AF411" t="str">
            <v>2-3/8" REG Box</v>
          </cell>
          <cell r="AG411"/>
          <cell r="AH411" t="str">
            <v>maintenance</v>
          </cell>
          <cell r="AI411" t="str">
            <v/>
          </cell>
          <cell r="AJ411">
            <v>0</v>
          </cell>
          <cell r="AK411">
            <v>1</v>
          </cell>
          <cell r="AL411"/>
          <cell r="AM411"/>
          <cell r="AN411">
            <v>1090255</v>
          </cell>
          <cell r="AO411"/>
          <cell r="AP411"/>
          <cell r="AQ411"/>
          <cell r="AR411"/>
          <cell r="AS411">
            <v>5</v>
          </cell>
          <cell r="AT411" t="str">
            <v>109-3,500</v>
          </cell>
          <cell r="AU411" t="str">
            <v/>
          </cell>
          <cell r="AV411"/>
        </row>
        <row r="412">
          <cell r="Z412">
            <v>1095220</v>
          </cell>
          <cell r="AA412" t="str">
            <v>Junk Sub 3-1/2" OD Cup 
2-3/8" REG Pin x Box</v>
          </cell>
          <cell r="AB412">
            <v>0</v>
          </cell>
          <cell r="AC412">
            <v>3.5</v>
          </cell>
          <cell r="AD412">
            <v>695</v>
          </cell>
          <cell r="AE412" t="str">
            <v>2-3/8" REG Pin</v>
          </cell>
          <cell r="AF412" t="str">
            <v>2-3/8" REG Box</v>
          </cell>
          <cell r="AG412"/>
          <cell r="AH412" t="str">
            <v xml:space="preserve"> en stock </v>
          </cell>
          <cell r="AI412">
            <v>1</v>
          </cell>
          <cell r="AJ412">
            <v>0</v>
          </cell>
          <cell r="AK412">
            <v>0</v>
          </cell>
          <cell r="AL412"/>
          <cell r="AM412"/>
          <cell r="AN412" t="str">
            <v/>
          </cell>
          <cell r="AO412"/>
          <cell r="AP412"/>
          <cell r="AQ412"/>
          <cell r="AR412"/>
          <cell r="AS412">
            <v>6</v>
          </cell>
          <cell r="AT412" t="str">
            <v>109-3,500</v>
          </cell>
          <cell r="AU412" t="str">
            <v/>
          </cell>
          <cell r="AV412"/>
        </row>
        <row r="413">
          <cell r="Z413">
            <v>5075221</v>
          </cell>
          <cell r="AA413" t="str">
            <v>Super Junk Mill 
3-1/2" REG Pin</v>
          </cell>
          <cell r="AB413">
            <v>60</v>
          </cell>
          <cell r="AC413">
            <v>4.625</v>
          </cell>
          <cell r="AD413">
            <v>870</v>
          </cell>
          <cell r="AE413" t="str">
            <v>3-1/2" REG Pin</v>
          </cell>
          <cell r="AF413"/>
          <cell r="AG413" t="str">
            <v>C</v>
          </cell>
          <cell r="AH413" t="str">
            <v xml:space="preserve"> en stock </v>
          </cell>
          <cell r="AI413">
            <v>1</v>
          </cell>
          <cell r="AJ413">
            <v>0</v>
          </cell>
          <cell r="AK413">
            <v>0</v>
          </cell>
          <cell r="AL413"/>
          <cell r="AM413"/>
          <cell r="AN413" t="str">
            <v/>
          </cell>
          <cell r="AO413"/>
          <cell r="AP413"/>
          <cell r="AQ413"/>
          <cell r="AR413"/>
          <cell r="AS413">
            <v>14</v>
          </cell>
          <cell r="AT413" t="str">
            <v>507-</v>
          </cell>
          <cell r="AU413" t="str">
            <v/>
          </cell>
          <cell r="AV413"/>
        </row>
        <row r="414">
          <cell r="Z414">
            <v>5075222</v>
          </cell>
          <cell r="AA414" t="str">
            <v>Super Junk Mill 
3-1/2" REG Pin</v>
          </cell>
          <cell r="AB414">
            <v>51</v>
          </cell>
          <cell r="AC414">
            <v>6.125</v>
          </cell>
          <cell r="AD414">
            <v>520</v>
          </cell>
          <cell r="AE414" t="str">
            <v>3-1/2" REG Pin</v>
          </cell>
          <cell r="AF414"/>
          <cell r="AG414" t="str">
            <v>C</v>
          </cell>
          <cell r="AH414" t="str">
            <v xml:space="preserve"> en stock </v>
          </cell>
          <cell r="AI414">
            <v>1</v>
          </cell>
          <cell r="AJ414">
            <v>0</v>
          </cell>
          <cell r="AK414">
            <v>0</v>
          </cell>
          <cell r="AL414"/>
          <cell r="AM414"/>
          <cell r="AN414" t="str">
            <v/>
          </cell>
          <cell r="AO414"/>
          <cell r="AP414"/>
          <cell r="AQ414"/>
          <cell r="AR414"/>
          <cell r="AS414">
            <v>57</v>
          </cell>
          <cell r="AT414" t="str">
            <v>507-</v>
          </cell>
          <cell r="AU414" t="str">
            <v/>
          </cell>
          <cell r="AV414"/>
        </row>
        <row r="415">
          <cell r="Z415">
            <v>7125223</v>
          </cell>
          <cell r="AA415"/>
          <cell r="AB415"/>
          <cell r="AC415"/>
          <cell r="AD415"/>
          <cell r="AE415"/>
          <cell r="AF415"/>
          <cell r="AG415"/>
          <cell r="AH415" t="str">
            <v>en stock</v>
          </cell>
          <cell r="AI415"/>
          <cell r="AJ415"/>
          <cell r="AK415"/>
          <cell r="AL415"/>
          <cell r="AM415"/>
          <cell r="AN415" t="str">
            <v/>
          </cell>
          <cell r="AO415"/>
          <cell r="AP415"/>
          <cell r="AQ415"/>
          <cell r="AR415"/>
          <cell r="AS415"/>
          <cell r="AT415"/>
          <cell r="AU415" t="str">
            <v/>
          </cell>
          <cell r="AV415"/>
        </row>
        <row r="416">
          <cell r="Z416">
            <v>7125224</v>
          </cell>
          <cell r="AA416"/>
          <cell r="AB416"/>
          <cell r="AC416"/>
          <cell r="AD416"/>
          <cell r="AE416"/>
          <cell r="AF416"/>
          <cell r="AG416"/>
          <cell r="AH416" t="str">
            <v>en stock</v>
          </cell>
          <cell r="AI416"/>
          <cell r="AJ416"/>
          <cell r="AK416"/>
          <cell r="AL416"/>
          <cell r="AM416"/>
          <cell r="AN416" t="str">
            <v/>
          </cell>
          <cell r="AO416"/>
          <cell r="AP416"/>
          <cell r="AQ416"/>
          <cell r="AR416"/>
          <cell r="AS416"/>
          <cell r="AT416"/>
          <cell r="AU416" t="str">
            <v>RDC ou Cameroun 2017 ou 2018</v>
          </cell>
          <cell r="AV416"/>
        </row>
        <row r="417">
          <cell r="Z417">
            <v>7125225</v>
          </cell>
          <cell r="AA417" t="str">
            <v>Releasing Spear 2-5/16" OD Mandrel CA 1227
2-3/8" IF Box</v>
          </cell>
          <cell r="AB417">
            <v>10</v>
          </cell>
          <cell r="AC417">
            <v>2.3125</v>
          </cell>
          <cell r="AD417" t="str">
            <v>CA 1227</v>
          </cell>
          <cell r="AE417" t="str">
            <v>2-3/8" IF Box</v>
          </cell>
          <cell r="AF417" t="str">
            <v>mandrel seul</v>
          </cell>
          <cell r="AG417"/>
          <cell r="AH417" t="str">
            <v xml:space="preserve"> en stock </v>
          </cell>
          <cell r="AI417">
            <v>1</v>
          </cell>
          <cell r="AJ417">
            <v>0</v>
          </cell>
          <cell r="AK417">
            <v>0</v>
          </cell>
          <cell r="AL417"/>
          <cell r="AM417"/>
          <cell r="AN417" t="str">
            <v/>
          </cell>
          <cell r="AO417"/>
          <cell r="AP417"/>
          <cell r="AQ417"/>
          <cell r="AR417"/>
          <cell r="AS417">
            <v>10</v>
          </cell>
          <cell r="AT417"/>
          <cell r="AU417" t="str">
            <v/>
          </cell>
          <cell r="AV417"/>
        </row>
        <row r="418">
          <cell r="Z418"/>
          <cell r="AA418"/>
          <cell r="AB418"/>
          <cell r="AC418"/>
          <cell r="AD418"/>
          <cell r="AE418"/>
          <cell r="AF418"/>
          <cell r="AG418"/>
          <cell r="AH418" t="str">
            <v>en stock</v>
          </cell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 t="str">
            <v>n° réattribué</v>
          </cell>
          <cell r="AV418"/>
        </row>
        <row r="419">
          <cell r="Z419">
            <v>8025227</v>
          </cell>
          <cell r="AA419"/>
          <cell r="AB419"/>
          <cell r="AC419"/>
          <cell r="AD419"/>
          <cell r="AE419"/>
          <cell r="AF419"/>
          <cell r="AG419"/>
          <cell r="AH419" t="str">
            <v>en stock</v>
          </cell>
          <cell r="AI419"/>
          <cell r="AJ419"/>
          <cell r="AK419"/>
          <cell r="AL419"/>
          <cell r="AM419"/>
          <cell r="AN419" t="str">
            <v/>
          </cell>
          <cell r="AO419"/>
          <cell r="AP419"/>
          <cell r="AQ419"/>
          <cell r="AR419"/>
          <cell r="AS419"/>
          <cell r="AT419"/>
          <cell r="AU419" t="str">
            <v>RDC ou Cameroun 2017 ou 2018</v>
          </cell>
          <cell r="AV419"/>
        </row>
        <row r="420">
          <cell r="Z420">
            <v>5075228</v>
          </cell>
          <cell r="AA420" t="str">
            <v>Super Junk Mill 
3-1/2" REG Pin</v>
          </cell>
          <cell r="AB420">
            <v>82</v>
          </cell>
          <cell r="AC420">
            <v>5.875</v>
          </cell>
          <cell r="AD420">
            <v>890</v>
          </cell>
          <cell r="AE420" t="str">
            <v>3-1/2" REG Pin</v>
          </cell>
          <cell r="AF420"/>
          <cell r="AG420" t="str">
            <v>C</v>
          </cell>
          <cell r="AH420" t="str">
            <v xml:space="preserve"> en stock </v>
          </cell>
          <cell r="AI420">
            <v>1</v>
          </cell>
          <cell r="AJ420">
            <v>0</v>
          </cell>
          <cell r="AK420">
            <v>0</v>
          </cell>
          <cell r="AL420"/>
          <cell r="AM420"/>
          <cell r="AN420" t="str">
            <v/>
          </cell>
          <cell r="AO420"/>
          <cell r="AP420"/>
          <cell r="AQ420"/>
          <cell r="AR420"/>
          <cell r="AS420">
            <v>28</v>
          </cell>
          <cell r="AT420" t="str">
            <v>507-</v>
          </cell>
          <cell r="AU420" t="str">
            <v/>
          </cell>
          <cell r="AV420"/>
        </row>
        <row r="421">
          <cell r="Z421">
            <v>5075229</v>
          </cell>
          <cell r="AA421" t="str">
            <v>Super Junk Mill 
3-1/2" REG Pin</v>
          </cell>
          <cell r="AB421">
            <v>64</v>
          </cell>
          <cell r="AC421">
            <v>5.875</v>
          </cell>
          <cell r="AD421">
            <v>700</v>
          </cell>
          <cell r="AE421" t="str">
            <v>3-1/2" REG Pin</v>
          </cell>
          <cell r="AF421"/>
          <cell r="AG421" t="str">
            <v>C</v>
          </cell>
          <cell r="AH421" t="str">
            <v>maintenance</v>
          </cell>
          <cell r="AI421" t="str">
            <v/>
          </cell>
          <cell r="AJ421">
            <v>0</v>
          </cell>
          <cell r="AK421">
            <v>1</v>
          </cell>
          <cell r="AL421"/>
          <cell r="AM421"/>
          <cell r="AN421" t="str">
            <v/>
          </cell>
          <cell r="AO421"/>
          <cell r="AP421"/>
          <cell r="AQ421"/>
          <cell r="AR421"/>
          <cell r="AS421">
            <v>29</v>
          </cell>
          <cell r="AT421" t="str">
            <v>507-</v>
          </cell>
          <cell r="AU421" t="str">
            <v/>
          </cell>
          <cell r="AV421"/>
        </row>
        <row r="422">
          <cell r="Z422">
            <v>5075230</v>
          </cell>
          <cell r="AA422" t="str">
            <v>Super Junk Mill 
3-1/2" REG Pin</v>
          </cell>
          <cell r="AB422">
            <v>56</v>
          </cell>
          <cell r="AC422">
            <v>5.875</v>
          </cell>
          <cell r="AD422">
            <v>640</v>
          </cell>
          <cell r="AE422" t="str">
            <v>3-1/2" REG Pin</v>
          </cell>
          <cell r="AF422"/>
          <cell r="AG422" t="str">
            <v>C</v>
          </cell>
          <cell r="AH422" t="str">
            <v>sur chantier</v>
          </cell>
          <cell r="AI422" t="str">
            <v/>
          </cell>
          <cell r="AJ422">
            <v>1</v>
          </cell>
          <cell r="AK422">
            <v>0</v>
          </cell>
          <cell r="AL422"/>
          <cell r="AM422"/>
          <cell r="AN422" t="str">
            <v/>
          </cell>
          <cell r="AO422"/>
          <cell r="AP422"/>
          <cell r="AQ422"/>
          <cell r="AR422"/>
          <cell r="AS422">
            <v>51</v>
          </cell>
          <cell r="AT422" t="str">
            <v>507-</v>
          </cell>
          <cell r="AU422" t="str">
            <v/>
          </cell>
          <cell r="AV422"/>
        </row>
        <row r="423">
          <cell r="Z423">
            <v>5075231</v>
          </cell>
          <cell r="AA423" t="str">
            <v>Super Junk Mill 
3-1/2" IF Pin</v>
          </cell>
          <cell r="AB423">
            <v>55</v>
          </cell>
          <cell r="AC423">
            <v>5.625</v>
          </cell>
          <cell r="AD423">
            <v>600</v>
          </cell>
          <cell r="AE423" t="str">
            <v>3-1/2" IF Pin</v>
          </cell>
          <cell r="AF423"/>
          <cell r="AG423">
            <v>0</v>
          </cell>
          <cell r="AH423" t="str">
            <v xml:space="preserve"> en stock </v>
          </cell>
          <cell r="AI423">
            <v>1</v>
          </cell>
          <cell r="AJ423">
            <v>0</v>
          </cell>
          <cell r="AK423">
            <v>0</v>
          </cell>
          <cell r="AL423"/>
          <cell r="AM423"/>
          <cell r="AN423" t="str">
            <v/>
          </cell>
          <cell r="AO423"/>
          <cell r="AP423"/>
          <cell r="AQ423"/>
          <cell r="AR423"/>
          <cell r="AS423">
            <v>25</v>
          </cell>
          <cell r="AT423" t="str">
            <v>507-</v>
          </cell>
          <cell r="AU423" t="str">
            <v/>
          </cell>
          <cell r="AV423"/>
        </row>
        <row r="424">
          <cell r="Z424">
            <v>5115232</v>
          </cell>
          <cell r="AA424"/>
          <cell r="AB424"/>
          <cell r="AC424"/>
          <cell r="AD424"/>
          <cell r="AE424"/>
          <cell r="AF424"/>
          <cell r="AG424"/>
          <cell r="AH424" t="str">
            <v>en stock</v>
          </cell>
          <cell r="AI424"/>
          <cell r="AJ424"/>
          <cell r="AK424"/>
          <cell r="AL424"/>
          <cell r="AM424"/>
          <cell r="AN424" t="str">
            <v/>
          </cell>
          <cell r="AO424"/>
          <cell r="AP424"/>
          <cell r="AQ424"/>
          <cell r="AR424"/>
          <cell r="AS424"/>
          <cell r="AT424"/>
          <cell r="AU424" t="str">
            <v/>
          </cell>
          <cell r="AV424"/>
        </row>
        <row r="425">
          <cell r="Z425">
            <v>5115233</v>
          </cell>
          <cell r="AA425" t="str">
            <v>WO Shoe
5-1/2" FJWP Box</v>
          </cell>
          <cell r="AB425">
            <v>14</v>
          </cell>
          <cell r="AC425">
            <v>6</v>
          </cell>
          <cell r="AD425">
            <v>500</v>
          </cell>
          <cell r="AE425" t="str">
            <v>5-1/2" FJWP Box</v>
          </cell>
          <cell r="AF425"/>
          <cell r="AG425" t="str">
            <v>CC</v>
          </cell>
          <cell r="AH425" t="str">
            <v>maintenance</v>
          </cell>
          <cell r="AI425" t="str">
            <v/>
          </cell>
          <cell r="AJ425">
            <v>0</v>
          </cell>
          <cell r="AK425">
            <v>1</v>
          </cell>
          <cell r="AL425"/>
          <cell r="AM425"/>
          <cell r="AN425" t="str">
            <v/>
          </cell>
          <cell r="AO425"/>
          <cell r="AP425"/>
          <cell r="AQ425"/>
          <cell r="AR425"/>
          <cell r="AS425">
            <v>106</v>
          </cell>
          <cell r="AT425"/>
          <cell r="AU425" t="str">
            <v/>
          </cell>
          <cell r="AV425"/>
        </row>
        <row r="426">
          <cell r="Z426">
            <v>5115234</v>
          </cell>
          <cell r="AA426"/>
          <cell r="AB426"/>
          <cell r="AC426"/>
          <cell r="AD426"/>
          <cell r="AE426"/>
          <cell r="AF426"/>
          <cell r="AG426"/>
          <cell r="AH426" t="str">
            <v>en stock</v>
          </cell>
          <cell r="AI426"/>
          <cell r="AJ426"/>
          <cell r="AK426"/>
          <cell r="AL426"/>
          <cell r="AM426"/>
          <cell r="AN426" t="str">
            <v/>
          </cell>
          <cell r="AO426"/>
          <cell r="AP426"/>
          <cell r="AQ426"/>
          <cell r="AR426"/>
          <cell r="AS426"/>
          <cell r="AT426"/>
          <cell r="AU426" t="str">
            <v/>
          </cell>
          <cell r="AV426"/>
        </row>
        <row r="427">
          <cell r="Z427">
            <v>5115235</v>
          </cell>
          <cell r="AA427" t="str">
            <v>WO Shoe
5-3/8" BRS Box</v>
          </cell>
          <cell r="AB427">
            <v>24</v>
          </cell>
          <cell r="AC427">
            <v>5.625</v>
          </cell>
          <cell r="AD427">
            <v>550</v>
          </cell>
          <cell r="AE427" t="str">
            <v>5-3/8" BRS Box</v>
          </cell>
          <cell r="AF427"/>
          <cell r="AG427" t="str">
            <v>plaquettes</v>
          </cell>
          <cell r="AH427" t="str">
            <v xml:space="preserve"> en stock </v>
          </cell>
          <cell r="AI427">
            <v>1</v>
          </cell>
          <cell r="AJ427">
            <v>0</v>
          </cell>
          <cell r="AK427">
            <v>0</v>
          </cell>
          <cell r="AL427"/>
          <cell r="AM427"/>
          <cell r="AN427" t="str">
            <v/>
          </cell>
          <cell r="AO427"/>
          <cell r="AP427"/>
          <cell r="AQ427"/>
          <cell r="AR427"/>
          <cell r="AS427">
            <v>91</v>
          </cell>
          <cell r="AT427"/>
          <cell r="AU427" t="str">
            <v/>
          </cell>
          <cell r="AV427"/>
        </row>
        <row r="428">
          <cell r="Z428">
            <v>5115236</v>
          </cell>
          <cell r="AA428" t="str">
            <v>WO Shoe
5-3/8" BRS Box</v>
          </cell>
          <cell r="AB428">
            <v>22</v>
          </cell>
          <cell r="AC428">
            <v>5.625</v>
          </cell>
          <cell r="AD428">
            <v>480</v>
          </cell>
          <cell r="AE428" t="str">
            <v>5-3/8" BRS Box</v>
          </cell>
          <cell r="AF428"/>
          <cell r="AG428" t="str">
            <v>plaquettes</v>
          </cell>
          <cell r="AH428" t="str">
            <v xml:space="preserve"> en stock </v>
          </cell>
          <cell r="AI428">
            <v>1</v>
          </cell>
          <cell r="AJ428">
            <v>0</v>
          </cell>
          <cell r="AK428">
            <v>0</v>
          </cell>
          <cell r="AL428"/>
          <cell r="AM428"/>
          <cell r="AN428" t="str">
            <v/>
          </cell>
          <cell r="AO428"/>
          <cell r="AP428"/>
          <cell r="AQ428"/>
          <cell r="AR428"/>
          <cell r="AS428">
            <v>90</v>
          </cell>
          <cell r="AT428"/>
          <cell r="AU428" t="str">
            <v/>
          </cell>
          <cell r="AV428"/>
        </row>
        <row r="429">
          <cell r="Z429">
            <v>5115237</v>
          </cell>
          <cell r="AA429" t="str">
            <v>WO Shoe
5-3/8" BRS Box</v>
          </cell>
          <cell r="AB429">
            <v>20</v>
          </cell>
          <cell r="AC429">
            <v>5.625</v>
          </cell>
          <cell r="AD429">
            <v>550</v>
          </cell>
          <cell r="AE429" t="str">
            <v>5-3/8" BRS Box</v>
          </cell>
          <cell r="AF429"/>
          <cell r="AG429" t="str">
            <v>CC</v>
          </cell>
          <cell r="AH429" t="str">
            <v xml:space="preserve"> en stock </v>
          </cell>
          <cell r="AI429">
            <v>1</v>
          </cell>
          <cell r="AJ429">
            <v>0</v>
          </cell>
          <cell r="AK429">
            <v>0</v>
          </cell>
          <cell r="AL429"/>
          <cell r="AM429"/>
          <cell r="AN429" t="str">
            <v/>
          </cell>
          <cell r="AO429"/>
          <cell r="AP429"/>
          <cell r="AQ429"/>
          <cell r="AR429"/>
          <cell r="AS429">
            <v>92</v>
          </cell>
          <cell r="AT429"/>
          <cell r="AU429" t="str">
            <v/>
          </cell>
          <cell r="AV429"/>
        </row>
        <row r="430">
          <cell r="Z430">
            <v>5115238</v>
          </cell>
          <cell r="AA430" t="str">
            <v>WO Shoe
5-3/8" BRS Box</v>
          </cell>
          <cell r="AB430">
            <v>14</v>
          </cell>
          <cell r="AC430">
            <v>5.8125</v>
          </cell>
          <cell r="AD430">
            <v>320</v>
          </cell>
          <cell r="AE430" t="str">
            <v>5-3/8" BRS Box</v>
          </cell>
          <cell r="AF430"/>
          <cell r="AG430" t="str">
            <v>plaquettes</v>
          </cell>
          <cell r="AH430" t="str">
            <v xml:space="preserve"> en stock </v>
          </cell>
          <cell r="AI430">
            <v>1</v>
          </cell>
          <cell r="AJ430">
            <v>0</v>
          </cell>
          <cell r="AK430">
            <v>0</v>
          </cell>
          <cell r="AL430"/>
          <cell r="AM430"/>
          <cell r="AN430" t="str">
            <v/>
          </cell>
          <cell r="AO430"/>
          <cell r="AP430"/>
          <cell r="AQ430"/>
          <cell r="AR430"/>
          <cell r="AS430">
            <v>84</v>
          </cell>
          <cell r="AT430"/>
          <cell r="AU430" t="str">
            <v/>
          </cell>
          <cell r="AV430"/>
        </row>
        <row r="431">
          <cell r="Z431">
            <v>5115239</v>
          </cell>
          <cell r="AA431" t="str">
            <v>WO Shoe
5-3/8" BRS Box</v>
          </cell>
          <cell r="AB431">
            <v>16</v>
          </cell>
          <cell r="AC431">
            <v>5.625</v>
          </cell>
          <cell r="AD431">
            <v>400</v>
          </cell>
          <cell r="AE431" t="str">
            <v>5-3/8" BRS Box</v>
          </cell>
          <cell r="AF431"/>
          <cell r="AG431" t="str">
            <v>plaquettes</v>
          </cell>
          <cell r="AH431" t="str">
            <v xml:space="preserve"> en stock </v>
          </cell>
          <cell r="AI431">
            <v>1</v>
          </cell>
          <cell r="AJ431">
            <v>0</v>
          </cell>
          <cell r="AK431">
            <v>0</v>
          </cell>
          <cell r="AL431"/>
          <cell r="AM431"/>
          <cell r="AN431" t="str">
            <v/>
          </cell>
          <cell r="AO431"/>
          <cell r="AP431"/>
          <cell r="AQ431"/>
          <cell r="AR431"/>
          <cell r="AS431">
            <v>85</v>
          </cell>
          <cell r="AT431"/>
          <cell r="AU431" t="str">
            <v/>
          </cell>
          <cell r="AV431"/>
        </row>
        <row r="432">
          <cell r="Z432">
            <v>5115240</v>
          </cell>
          <cell r="AA432" t="str">
            <v>WO Shoe
5-3/8" BRS Box</v>
          </cell>
          <cell r="AB432">
            <v>20</v>
          </cell>
          <cell r="AC432">
            <v>5.875</v>
          </cell>
          <cell r="AD432">
            <v>500</v>
          </cell>
          <cell r="AE432" t="str">
            <v>5-3/8" BRS Box</v>
          </cell>
          <cell r="AF432"/>
          <cell r="AG432" t="str">
            <v>CC</v>
          </cell>
          <cell r="AH432" t="str">
            <v xml:space="preserve"> en stock </v>
          </cell>
          <cell r="AI432">
            <v>1</v>
          </cell>
          <cell r="AJ432">
            <v>0</v>
          </cell>
          <cell r="AK432">
            <v>0</v>
          </cell>
          <cell r="AL432"/>
          <cell r="AM432"/>
          <cell r="AN432" t="str">
            <v/>
          </cell>
          <cell r="AO432"/>
          <cell r="AP432"/>
          <cell r="AQ432"/>
          <cell r="AR432"/>
          <cell r="AS432">
            <v>83</v>
          </cell>
          <cell r="AT432"/>
          <cell r="AU432" t="str">
            <v/>
          </cell>
          <cell r="AV432"/>
        </row>
        <row r="433">
          <cell r="Z433">
            <v>5115241</v>
          </cell>
          <cell r="AA433" t="str">
            <v>WO Shoe
5-3/8" BRS Box</v>
          </cell>
          <cell r="AB433">
            <v>18</v>
          </cell>
          <cell r="AC433">
            <v>5.875</v>
          </cell>
          <cell r="AD433">
            <v>410</v>
          </cell>
          <cell r="AE433" t="str">
            <v>5-3/8" BRS Box</v>
          </cell>
          <cell r="AF433"/>
          <cell r="AG433" t="str">
            <v>plaquettes</v>
          </cell>
          <cell r="AH433" t="str">
            <v xml:space="preserve"> en stock </v>
          </cell>
          <cell r="AI433">
            <v>1</v>
          </cell>
          <cell r="AJ433">
            <v>0</v>
          </cell>
          <cell r="AK433">
            <v>0</v>
          </cell>
          <cell r="AL433"/>
          <cell r="AM433"/>
          <cell r="AN433" t="str">
            <v/>
          </cell>
          <cell r="AO433"/>
          <cell r="AP433"/>
          <cell r="AQ433"/>
          <cell r="AR433"/>
          <cell r="AS433">
            <v>86</v>
          </cell>
          <cell r="AT433"/>
          <cell r="AU433" t="str">
            <v/>
          </cell>
          <cell r="AV433"/>
        </row>
        <row r="434">
          <cell r="Z434">
            <v>5115242</v>
          </cell>
          <cell r="AA434" t="str">
            <v>WO Shoe
5-3/8" BRS Box</v>
          </cell>
          <cell r="AB434">
            <v>24</v>
          </cell>
          <cell r="AC434">
            <v>5.875</v>
          </cell>
          <cell r="AD434">
            <v>560</v>
          </cell>
          <cell r="AE434" t="str">
            <v>5-3/8" BRS Box</v>
          </cell>
          <cell r="AF434"/>
          <cell r="AG434" t="str">
            <v>plaquettes</v>
          </cell>
          <cell r="AH434" t="str">
            <v xml:space="preserve"> en stock </v>
          </cell>
          <cell r="AI434">
            <v>1</v>
          </cell>
          <cell r="AJ434">
            <v>0</v>
          </cell>
          <cell r="AK434">
            <v>0</v>
          </cell>
          <cell r="AL434"/>
          <cell r="AM434"/>
          <cell r="AN434" t="str">
            <v/>
          </cell>
          <cell r="AO434"/>
          <cell r="AP434"/>
          <cell r="AQ434"/>
          <cell r="AR434"/>
          <cell r="AS434">
            <v>88</v>
          </cell>
          <cell r="AT434"/>
          <cell r="AU434" t="str">
            <v/>
          </cell>
          <cell r="AV434"/>
        </row>
        <row r="435">
          <cell r="Z435">
            <v>2035243</v>
          </cell>
          <cell r="AA435" t="str">
            <v>Pipe Cutter 11700s
6-5/8" REG Box up x nose down</v>
          </cell>
          <cell r="AB435">
            <v>820</v>
          </cell>
          <cell r="AC435">
            <v>11700</v>
          </cell>
          <cell r="AD435">
            <v>2460</v>
          </cell>
          <cell r="AE435" t="str">
            <v>6-5/8" REG Box</v>
          </cell>
          <cell r="AF435" t="str">
            <v>nose</v>
          </cell>
          <cell r="AG435"/>
          <cell r="AH435" t="str">
            <v>sur chantier</v>
          </cell>
          <cell r="AI435" t="str">
            <v/>
          </cell>
          <cell r="AJ435">
            <v>1</v>
          </cell>
          <cell r="AK435">
            <v>0</v>
          </cell>
          <cell r="AL435"/>
          <cell r="AM435"/>
          <cell r="AN435" t="str">
            <v/>
          </cell>
          <cell r="AO435"/>
          <cell r="AP435"/>
          <cell r="AQ435"/>
          <cell r="AR435"/>
          <cell r="AS435">
            <v>14</v>
          </cell>
          <cell r="AT435" t="str">
            <v>203-11700</v>
          </cell>
          <cell r="AU435" t="str">
            <v/>
          </cell>
          <cell r="AV435"/>
        </row>
        <row r="436">
          <cell r="Z436">
            <v>2055244</v>
          </cell>
          <cell r="AA436" t="str">
            <v>Section Mill 5500 
3-1/2" REG Pin up</v>
          </cell>
          <cell r="AB436">
            <v>158</v>
          </cell>
          <cell r="AC436">
            <v>5500</v>
          </cell>
          <cell r="AD436">
            <v>1705</v>
          </cell>
          <cell r="AE436" t="str">
            <v>3-1/2" REG Pin</v>
          </cell>
          <cell r="AF436" t="str">
            <v>3-1/2" REG Box</v>
          </cell>
          <cell r="AG436"/>
          <cell r="AH436" t="str">
            <v>maintenance</v>
          </cell>
          <cell r="AI436" t="str">
            <v/>
          </cell>
          <cell r="AJ436">
            <v>0</v>
          </cell>
          <cell r="AK436">
            <v>1</v>
          </cell>
          <cell r="AL436"/>
          <cell r="AM436"/>
          <cell r="AN436">
            <v>2055244</v>
          </cell>
          <cell r="AO436"/>
          <cell r="AP436"/>
          <cell r="AQ436"/>
          <cell r="AR436"/>
          <cell r="AS436">
            <v>7</v>
          </cell>
          <cell r="AT436" t="str">
            <v>205-5500</v>
          </cell>
          <cell r="AU436" t="str">
            <v/>
          </cell>
          <cell r="AV436"/>
        </row>
        <row r="437">
          <cell r="Z437">
            <v>8015245</v>
          </cell>
          <cell r="AA437" t="str">
            <v>Bull Nose 5-1/2" OD 
3-1/2" REG Pin</v>
          </cell>
          <cell r="AB437">
            <v>34</v>
          </cell>
          <cell r="AC437">
            <v>5.5</v>
          </cell>
          <cell r="AD437">
            <v>360</v>
          </cell>
          <cell r="AE437" t="str">
            <v>3-1/2" REG Pin</v>
          </cell>
          <cell r="AF437"/>
          <cell r="AG437"/>
          <cell r="AH437" t="str">
            <v>maintenance</v>
          </cell>
          <cell r="AI437" t="str">
            <v/>
          </cell>
          <cell r="AJ437">
            <v>0</v>
          </cell>
          <cell r="AK437">
            <v>1</v>
          </cell>
          <cell r="AL437"/>
          <cell r="AM437"/>
          <cell r="AN437" t="str">
            <v/>
          </cell>
          <cell r="AO437"/>
          <cell r="AP437"/>
          <cell r="AQ437"/>
          <cell r="AR437"/>
          <cell r="AS437">
            <v>12</v>
          </cell>
          <cell r="AT437" t="str">
            <v>801-3,500REG</v>
          </cell>
          <cell r="AU437" t="str">
            <v/>
          </cell>
          <cell r="AV437"/>
        </row>
        <row r="438">
          <cell r="Z438">
            <v>8015246</v>
          </cell>
          <cell r="AA438" t="str">
            <v>Bull Nose 5-1/2" OD 
3-1/2" REG Pin</v>
          </cell>
          <cell r="AB438">
            <v>42</v>
          </cell>
          <cell r="AC438">
            <v>5.5</v>
          </cell>
          <cell r="AD438">
            <v>435</v>
          </cell>
          <cell r="AE438" t="str">
            <v>3-1/2" REG Pin</v>
          </cell>
          <cell r="AF438"/>
          <cell r="AG438"/>
          <cell r="AH438" t="str">
            <v xml:space="preserve"> en stock </v>
          </cell>
          <cell r="AI438">
            <v>1</v>
          </cell>
          <cell r="AJ438">
            <v>0</v>
          </cell>
          <cell r="AK438">
            <v>0</v>
          </cell>
          <cell r="AL438"/>
          <cell r="AM438"/>
          <cell r="AN438" t="str">
            <v/>
          </cell>
          <cell r="AO438"/>
          <cell r="AP438"/>
          <cell r="AQ438"/>
          <cell r="AR438"/>
          <cell r="AS438">
            <v>13</v>
          </cell>
          <cell r="AT438" t="str">
            <v>801-3,500REG</v>
          </cell>
          <cell r="AU438" t="str">
            <v/>
          </cell>
          <cell r="AV438"/>
        </row>
        <row r="439">
          <cell r="Z439">
            <v>7135247</v>
          </cell>
          <cell r="AA439" t="str">
            <v>Pack Off 6-1/2" OD body CA 9625
4-1/2" IF Pin down x Box up</v>
          </cell>
          <cell r="AB439">
            <v>127</v>
          </cell>
          <cell r="AC439">
            <v>6.5</v>
          </cell>
          <cell r="AD439" t="str">
            <v>CA 9625</v>
          </cell>
          <cell r="AE439" t="str">
            <v>4-1/2" IF Box</v>
          </cell>
          <cell r="AF439" t="str">
            <v>4-1/2" IF Pin</v>
          </cell>
          <cell r="AG439"/>
          <cell r="AH439" t="str">
            <v>sur chantier</v>
          </cell>
          <cell r="AI439" t="str">
            <v/>
          </cell>
          <cell r="AJ439">
            <v>1</v>
          </cell>
          <cell r="AK439">
            <v>0</v>
          </cell>
          <cell r="AL439"/>
          <cell r="AM439"/>
          <cell r="AN439" t="str">
            <v/>
          </cell>
          <cell r="AO439"/>
          <cell r="AP439"/>
          <cell r="AQ439"/>
          <cell r="AR439"/>
          <cell r="AS439">
            <v>11</v>
          </cell>
          <cell r="AT439"/>
          <cell r="AU439" t="str">
            <v/>
          </cell>
          <cell r="AV439"/>
        </row>
        <row r="440">
          <cell r="Z440">
            <v>8135248</v>
          </cell>
          <cell r="AA440" t="str">
            <v>WO Top Sub
2-3/8" REG Pin x 2-1/2" HQ Pin</v>
          </cell>
          <cell r="AB440">
            <v>12</v>
          </cell>
          <cell r="AC440">
            <v>3.1875</v>
          </cell>
          <cell r="AD440">
            <v>515</v>
          </cell>
          <cell r="AE440" t="str">
            <v>2-3/8" REG Pin</v>
          </cell>
          <cell r="AF440" t="str">
            <v>2-1/2" HQ Pin</v>
          </cell>
          <cell r="AG440" t="str">
            <v xml:space="preserve"> - </v>
          </cell>
          <cell r="AH440" t="str">
            <v xml:space="preserve"> en stock </v>
          </cell>
          <cell r="AI440">
            <v>1</v>
          </cell>
          <cell r="AJ440">
            <v>0</v>
          </cell>
          <cell r="AK440">
            <v>0</v>
          </cell>
          <cell r="AL440"/>
          <cell r="AM440"/>
          <cell r="AN440" t="str">
            <v/>
          </cell>
          <cell r="AO440"/>
          <cell r="AP440"/>
          <cell r="AQ440"/>
          <cell r="AR440"/>
          <cell r="AS440">
            <v>5</v>
          </cell>
          <cell r="AT440"/>
          <cell r="AU440" t="str">
            <v/>
          </cell>
          <cell r="AV440"/>
        </row>
        <row r="441">
          <cell r="Z441">
            <v>3035249</v>
          </cell>
          <cell r="AA441" t="str">
            <v>Master Driller 8200
6-5/8" REG Pin up x 4-1/2" REG Box down</v>
          </cell>
          <cell r="AB441">
            <v>312</v>
          </cell>
          <cell r="AC441">
            <v>8200</v>
          </cell>
          <cell r="AD441">
            <v>1500</v>
          </cell>
          <cell r="AE441" t="str">
            <v>6-5/8" REG Pin</v>
          </cell>
          <cell r="AF441" t="str">
            <v>4-1/2" REG Box</v>
          </cell>
          <cell r="AG441"/>
          <cell r="AH441" t="str">
            <v xml:space="preserve"> en stock </v>
          </cell>
          <cell r="AI441">
            <v>1</v>
          </cell>
          <cell r="AJ441">
            <v>0</v>
          </cell>
          <cell r="AK441">
            <v>0</v>
          </cell>
          <cell r="AL441"/>
          <cell r="AM441"/>
          <cell r="AN441" t="str">
            <v/>
          </cell>
          <cell r="AO441"/>
          <cell r="AP441"/>
          <cell r="AQ441"/>
          <cell r="AR441"/>
          <cell r="AS441">
            <v>5</v>
          </cell>
          <cell r="AT441"/>
          <cell r="AU441" t="str">
            <v/>
          </cell>
          <cell r="AV441"/>
        </row>
        <row r="442">
          <cell r="Z442" t="str">
            <v>voir stab</v>
          </cell>
          <cell r="AA442"/>
          <cell r="AB442"/>
          <cell r="AC442"/>
          <cell r="AD442"/>
          <cell r="AE442"/>
          <cell r="AF442"/>
          <cell r="AG442"/>
          <cell r="AH442" t="str">
            <v>en stock</v>
          </cell>
          <cell r="AI442"/>
          <cell r="AJ442"/>
          <cell r="AK442"/>
          <cell r="AL442"/>
          <cell r="AM442"/>
          <cell r="AN442" t="str">
            <v/>
          </cell>
          <cell r="AO442"/>
          <cell r="AP442"/>
          <cell r="AQ442"/>
          <cell r="AR442"/>
          <cell r="AS442"/>
          <cell r="AT442"/>
          <cell r="AU442" t="str">
            <v/>
          </cell>
          <cell r="AV442"/>
        </row>
        <row r="443">
          <cell r="Z443" t="str">
            <v>voir stab</v>
          </cell>
          <cell r="AA443"/>
          <cell r="AB443"/>
          <cell r="AC443"/>
          <cell r="AD443"/>
          <cell r="AE443"/>
          <cell r="AF443"/>
          <cell r="AG443"/>
          <cell r="AH443" t="str">
            <v>en stock</v>
          </cell>
          <cell r="AI443"/>
          <cell r="AJ443"/>
          <cell r="AK443"/>
          <cell r="AL443"/>
          <cell r="AM443"/>
          <cell r="AN443" t="str">
            <v/>
          </cell>
          <cell r="AO443"/>
          <cell r="AP443"/>
          <cell r="AQ443"/>
          <cell r="AR443"/>
          <cell r="AS443"/>
          <cell r="AT443"/>
          <cell r="AU443" t="str">
            <v/>
          </cell>
          <cell r="AV443"/>
        </row>
        <row r="444">
          <cell r="Z444" t="str">
            <v>voir stab</v>
          </cell>
          <cell r="AA444"/>
          <cell r="AB444"/>
          <cell r="AC444"/>
          <cell r="AD444"/>
          <cell r="AE444"/>
          <cell r="AF444"/>
          <cell r="AG444"/>
          <cell r="AH444" t="str">
            <v>en stock</v>
          </cell>
          <cell r="AI444"/>
          <cell r="AJ444"/>
          <cell r="AK444"/>
          <cell r="AL444"/>
          <cell r="AM444"/>
          <cell r="AN444" t="str">
            <v/>
          </cell>
          <cell r="AO444"/>
          <cell r="AP444"/>
          <cell r="AQ444"/>
          <cell r="AR444"/>
          <cell r="AS444"/>
          <cell r="AT444"/>
          <cell r="AU444" t="str">
            <v/>
          </cell>
          <cell r="AV444"/>
        </row>
        <row r="445">
          <cell r="Z445" t="str">
            <v>voir stab</v>
          </cell>
          <cell r="AA445"/>
          <cell r="AB445"/>
          <cell r="AC445"/>
          <cell r="AD445"/>
          <cell r="AE445"/>
          <cell r="AF445"/>
          <cell r="AG445"/>
          <cell r="AH445" t="str">
            <v>en stock</v>
          </cell>
          <cell r="AI445"/>
          <cell r="AJ445"/>
          <cell r="AK445"/>
          <cell r="AL445"/>
          <cell r="AM445"/>
          <cell r="AN445" t="str">
            <v/>
          </cell>
          <cell r="AO445"/>
          <cell r="AP445"/>
          <cell r="AQ445"/>
          <cell r="AR445"/>
          <cell r="AS445"/>
          <cell r="AT445"/>
          <cell r="AU445" t="str">
            <v/>
          </cell>
          <cell r="AV445"/>
        </row>
        <row r="446">
          <cell r="Z446" t="str">
            <v>voir stab</v>
          </cell>
          <cell r="AA446"/>
          <cell r="AB446"/>
          <cell r="AC446"/>
          <cell r="AD446"/>
          <cell r="AE446"/>
          <cell r="AF446"/>
          <cell r="AG446"/>
          <cell r="AH446" t="str">
            <v>en stock</v>
          </cell>
          <cell r="AI446"/>
          <cell r="AJ446"/>
          <cell r="AK446"/>
          <cell r="AL446"/>
          <cell r="AM446"/>
          <cell r="AN446" t="str">
            <v/>
          </cell>
          <cell r="AO446"/>
          <cell r="AP446"/>
          <cell r="AQ446"/>
          <cell r="AR446"/>
          <cell r="AS446"/>
          <cell r="AT446"/>
          <cell r="AU446" t="str">
            <v/>
          </cell>
          <cell r="AV446"/>
        </row>
        <row r="447">
          <cell r="Z447" t="str">
            <v>voir stab</v>
          </cell>
          <cell r="AA447"/>
          <cell r="AB447"/>
          <cell r="AC447"/>
          <cell r="AD447"/>
          <cell r="AE447"/>
          <cell r="AF447"/>
          <cell r="AG447"/>
          <cell r="AH447" t="str">
            <v>en stock</v>
          </cell>
          <cell r="AI447"/>
          <cell r="AJ447"/>
          <cell r="AK447"/>
          <cell r="AL447"/>
          <cell r="AM447"/>
          <cell r="AN447" t="str">
            <v/>
          </cell>
          <cell r="AO447"/>
          <cell r="AP447"/>
          <cell r="AQ447"/>
          <cell r="AR447"/>
          <cell r="AS447"/>
          <cell r="AT447"/>
          <cell r="AU447" t="str">
            <v/>
          </cell>
          <cell r="AV447"/>
        </row>
        <row r="448">
          <cell r="Z448" t="str">
            <v>voir stab</v>
          </cell>
          <cell r="AA448"/>
          <cell r="AB448"/>
          <cell r="AC448"/>
          <cell r="AD448"/>
          <cell r="AE448"/>
          <cell r="AF448"/>
          <cell r="AG448"/>
          <cell r="AH448" t="str">
            <v>en stock</v>
          </cell>
          <cell r="AI448"/>
          <cell r="AJ448"/>
          <cell r="AK448"/>
          <cell r="AL448"/>
          <cell r="AM448"/>
          <cell r="AN448" t="str">
            <v/>
          </cell>
          <cell r="AO448"/>
          <cell r="AP448"/>
          <cell r="AQ448"/>
          <cell r="AR448"/>
          <cell r="AS448"/>
          <cell r="AT448"/>
          <cell r="AU448" t="str">
            <v/>
          </cell>
          <cell r="AV448"/>
        </row>
        <row r="449">
          <cell r="Z449" t="str">
            <v>voir stab</v>
          </cell>
          <cell r="AA449"/>
          <cell r="AB449"/>
          <cell r="AC449"/>
          <cell r="AD449"/>
          <cell r="AE449"/>
          <cell r="AF449"/>
          <cell r="AG449"/>
          <cell r="AH449" t="str">
            <v>en stock</v>
          </cell>
          <cell r="AI449"/>
          <cell r="AJ449"/>
          <cell r="AK449"/>
          <cell r="AL449"/>
          <cell r="AM449"/>
          <cell r="AN449" t="str">
            <v/>
          </cell>
          <cell r="AO449"/>
          <cell r="AP449"/>
          <cell r="AQ449"/>
          <cell r="AR449"/>
          <cell r="AS449"/>
          <cell r="AT449"/>
          <cell r="AU449" t="str">
            <v/>
          </cell>
          <cell r="AV449"/>
        </row>
        <row r="450">
          <cell r="Z450" t="str">
            <v>voir stab</v>
          </cell>
          <cell r="AA450"/>
          <cell r="AB450"/>
          <cell r="AC450"/>
          <cell r="AD450"/>
          <cell r="AE450"/>
          <cell r="AF450"/>
          <cell r="AG450"/>
          <cell r="AH450" t="str">
            <v>en stock</v>
          </cell>
          <cell r="AI450"/>
          <cell r="AJ450"/>
          <cell r="AK450"/>
          <cell r="AL450"/>
          <cell r="AM450"/>
          <cell r="AN450" t="str">
            <v/>
          </cell>
          <cell r="AO450"/>
          <cell r="AP450"/>
          <cell r="AQ450"/>
          <cell r="AR450"/>
          <cell r="AS450"/>
          <cell r="AT450"/>
          <cell r="AU450" t="str">
            <v/>
          </cell>
          <cell r="AV450"/>
        </row>
        <row r="451">
          <cell r="Z451" t="str">
            <v>voir stab</v>
          </cell>
          <cell r="AA451"/>
          <cell r="AB451"/>
          <cell r="AC451"/>
          <cell r="AD451"/>
          <cell r="AE451"/>
          <cell r="AF451"/>
          <cell r="AG451"/>
          <cell r="AH451" t="str">
            <v>en stock</v>
          </cell>
          <cell r="AI451"/>
          <cell r="AJ451"/>
          <cell r="AK451"/>
          <cell r="AL451"/>
          <cell r="AM451"/>
          <cell r="AN451" t="str">
            <v/>
          </cell>
          <cell r="AO451"/>
          <cell r="AP451"/>
          <cell r="AQ451"/>
          <cell r="AR451"/>
          <cell r="AS451"/>
          <cell r="AT451"/>
          <cell r="AU451" t="str">
            <v/>
          </cell>
          <cell r="AV451"/>
        </row>
        <row r="452">
          <cell r="Z452" t="str">
            <v>voir tubulaire</v>
          </cell>
          <cell r="AA452"/>
          <cell r="AB452"/>
          <cell r="AC452"/>
          <cell r="AD452"/>
          <cell r="AE452"/>
          <cell r="AF452"/>
          <cell r="AG452"/>
          <cell r="AH452" t="str">
            <v>en stock</v>
          </cell>
          <cell r="AI452"/>
          <cell r="AJ452"/>
          <cell r="AK452"/>
          <cell r="AL452"/>
          <cell r="AM452"/>
          <cell r="AN452" t="str">
            <v/>
          </cell>
          <cell r="AO452"/>
          <cell r="AP452"/>
          <cell r="AQ452"/>
          <cell r="AR452"/>
          <cell r="AS452"/>
          <cell r="AT452"/>
          <cell r="AU452" t="str">
            <v/>
          </cell>
          <cell r="AV452"/>
        </row>
        <row r="453">
          <cell r="Z453" t="str">
            <v>voir tubulaire</v>
          </cell>
          <cell r="AA453"/>
          <cell r="AB453"/>
          <cell r="AC453"/>
          <cell r="AD453"/>
          <cell r="AE453"/>
          <cell r="AF453"/>
          <cell r="AG453"/>
          <cell r="AH453" t="str">
            <v>en stock</v>
          </cell>
          <cell r="AI453"/>
          <cell r="AJ453"/>
          <cell r="AK453"/>
          <cell r="AL453"/>
          <cell r="AM453"/>
          <cell r="AN453" t="str">
            <v/>
          </cell>
          <cell r="AO453"/>
          <cell r="AP453"/>
          <cell r="AQ453"/>
          <cell r="AR453"/>
          <cell r="AS453"/>
          <cell r="AT453"/>
          <cell r="AU453" t="str">
            <v/>
          </cell>
          <cell r="AV453"/>
        </row>
        <row r="454">
          <cell r="Z454" t="str">
            <v>voir tubulaire</v>
          </cell>
          <cell r="AA454"/>
          <cell r="AB454"/>
          <cell r="AC454"/>
          <cell r="AD454"/>
          <cell r="AE454"/>
          <cell r="AF454"/>
          <cell r="AG454"/>
          <cell r="AH454" t="str">
            <v>en stock</v>
          </cell>
          <cell r="AI454"/>
          <cell r="AJ454"/>
          <cell r="AK454"/>
          <cell r="AL454"/>
          <cell r="AM454"/>
          <cell r="AN454" t="str">
            <v/>
          </cell>
          <cell r="AO454"/>
          <cell r="AP454"/>
          <cell r="AQ454"/>
          <cell r="AR454"/>
          <cell r="AS454"/>
          <cell r="AT454"/>
          <cell r="AU454" t="str">
            <v/>
          </cell>
          <cell r="AV454"/>
        </row>
        <row r="455">
          <cell r="Z455" t="str">
            <v>voir tubulaire</v>
          </cell>
          <cell r="AA455"/>
          <cell r="AB455"/>
          <cell r="AC455"/>
          <cell r="AD455"/>
          <cell r="AE455"/>
          <cell r="AF455"/>
          <cell r="AG455"/>
          <cell r="AH455" t="str">
            <v>en stock</v>
          </cell>
          <cell r="AI455"/>
          <cell r="AJ455"/>
          <cell r="AK455"/>
          <cell r="AL455"/>
          <cell r="AM455"/>
          <cell r="AN455" t="str">
            <v/>
          </cell>
          <cell r="AO455"/>
          <cell r="AP455"/>
          <cell r="AQ455"/>
          <cell r="AR455"/>
          <cell r="AS455"/>
          <cell r="AT455"/>
          <cell r="AU455" t="str">
            <v/>
          </cell>
          <cell r="AV455"/>
        </row>
        <row r="456">
          <cell r="Z456" t="str">
            <v>voir tubulaire</v>
          </cell>
          <cell r="AA456"/>
          <cell r="AB456"/>
          <cell r="AC456"/>
          <cell r="AD456"/>
          <cell r="AE456"/>
          <cell r="AF456"/>
          <cell r="AG456"/>
          <cell r="AH456" t="str">
            <v>en stock</v>
          </cell>
          <cell r="AI456"/>
          <cell r="AJ456"/>
          <cell r="AK456"/>
          <cell r="AL456"/>
          <cell r="AM456"/>
          <cell r="AN456" t="str">
            <v/>
          </cell>
          <cell r="AO456"/>
          <cell r="AP456"/>
          <cell r="AQ456"/>
          <cell r="AR456"/>
          <cell r="AS456"/>
          <cell r="AT456"/>
          <cell r="AU456" t="str">
            <v/>
          </cell>
          <cell r="AV456"/>
        </row>
        <row r="457">
          <cell r="Z457">
            <v>8105265</v>
          </cell>
          <cell r="AA457"/>
          <cell r="AB457"/>
          <cell r="AC457"/>
          <cell r="AD457"/>
          <cell r="AE457"/>
          <cell r="AF457"/>
          <cell r="AG457"/>
          <cell r="AH457" t="str">
            <v>en stock</v>
          </cell>
          <cell r="AI457"/>
          <cell r="AJ457"/>
          <cell r="AK457"/>
          <cell r="AL457"/>
          <cell r="AM457"/>
          <cell r="AN457" t="str">
            <v/>
          </cell>
          <cell r="AO457"/>
          <cell r="AP457"/>
          <cell r="AQ457"/>
          <cell r="AR457"/>
          <cell r="AS457"/>
          <cell r="AT457"/>
          <cell r="AU457" t="str">
            <v/>
          </cell>
          <cell r="AV457"/>
        </row>
        <row r="458">
          <cell r="Z458">
            <v>8105266</v>
          </cell>
          <cell r="AA458"/>
          <cell r="AB458"/>
          <cell r="AC458"/>
          <cell r="AD458"/>
          <cell r="AE458"/>
          <cell r="AF458"/>
          <cell r="AG458"/>
          <cell r="AH458" t="str">
            <v>en stock</v>
          </cell>
          <cell r="AI458"/>
          <cell r="AJ458"/>
          <cell r="AK458"/>
          <cell r="AL458"/>
          <cell r="AM458"/>
          <cell r="AN458" t="str">
            <v/>
          </cell>
          <cell r="AO458"/>
          <cell r="AP458"/>
          <cell r="AQ458"/>
          <cell r="AR458"/>
          <cell r="AS458"/>
          <cell r="AT458"/>
          <cell r="AU458" t="str">
            <v/>
          </cell>
          <cell r="AV458"/>
        </row>
        <row r="459">
          <cell r="Z459">
            <v>7135267</v>
          </cell>
          <cell r="AA459" t="str">
            <v>Pack Off 6-1/4" OD body CA 9625
4-1/2" IF Pin down x Box up</v>
          </cell>
          <cell r="AB459">
            <v>94</v>
          </cell>
          <cell r="AC459">
            <v>6.25</v>
          </cell>
          <cell r="AD459" t="str">
            <v>CA 9625</v>
          </cell>
          <cell r="AE459" t="str">
            <v>4-1/2" IF Box</v>
          </cell>
          <cell r="AF459" t="str">
            <v>4-1/2" IF Pin</v>
          </cell>
          <cell r="AG459"/>
          <cell r="AH459" t="str">
            <v xml:space="preserve"> en stock </v>
          </cell>
          <cell r="AI459">
            <v>1</v>
          </cell>
          <cell r="AJ459">
            <v>0</v>
          </cell>
          <cell r="AK459">
            <v>0</v>
          </cell>
          <cell r="AL459"/>
          <cell r="AM459"/>
          <cell r="AN459" t="str">
            <v/>
          </cell>
          <cell r="AO459"/>
          <cell r="AP459"/>
          <cell r="AQ459"/>
          <cell r="AR459"/>
          <cell r="AS459">
            <v>10</v>
          </cell>
          <cell r="AT459"/>
          <cell r="AU459" t="str">
            <v/>
          </cell>
          <cell r="AV459"/>
        </row>
        <row r="460">
          <cell r="Z460">
            <v>5095268</v>
          </cell>
          <cell r="AA460"/>
          <cell r="AB460">
            <v>117.32434599600008</v>
          </cell>
          <cell r="AC460">
            <v>8.625</v>
          </cell>
          <cell r="AD460">
            <v>2400</v>
          </cell>
          <cell r="AE460" t="str">
            <v>8-5/8" FJWP Box</v>
          </cell>
          <cell r="AF460" t="str">
            <v>8-5/8" FJWP Pin</v>
          </cell>
          <cell r="AG460"/>
          <cell r="AH460" t="str">
            <v>en stock</v>
          </cell>
          <cell r="AI460">
            <v>0</v>
          </cell>
          <cell r="AJ460">
            <v>0</v>
          </cell>
          <cell r="AK460">
            <v>0</v>
          </cell>
          <cell r="AL460"/>
          <cell r="AM460"/>
          <cell r="AN460" t="str">
            <v/>
          </cell>
          <cell r="AO460"/>
          <cell r="AP460"/>
          <cell r="AQ460"/>
          <cell r="AR460"/>
          <cell r="AS460">
            <v>169</v>
          </cell>
          <cell r="AT460" t="str">
            <v>509-8,625FJWP</v>
          </cell>
          <cell r="AU460" t="str">
            <v>transfo spéciale  en araignée</v>
          </cell>
          <cell r="AV460"/>
        </row>
        <row r="461">
          <cell r="Z461">
            <v>5095269</v>
          </cell>
          <cell r="AA461" t="str">
            <v>WO Internal Hook Lg 1700 mm
8-5/8" FJWP Pin x Box</v>
          </cell>
          <cell r="AB461">
            <v>0</v>
          </cell>
          <cell r="AC461">
            <v>8.625</v>
          </cell>
          <cell r="AD461">
            <v>1700</v>
          </cell>
          <cell r="AE461" t="str">
            <v>8-5/8" FJWP Box</v>
          </cell>
          <cell r="AF461" t="str">
            <v>8-5/8" FJWP Pin</v>
          </cell>
          <cell r="AG461"/>
          <cell r="AH461" t="str">
            <v xml:space="preserve"> en stock </v>
          </cell>
          <cell r="AI461">
            <v>1</v>
          </cell>
          <cell r="AJ461">
            <v>0</v>
          </cell>
          <cell r="AK461">
            <v>0</v>
          </cell>
          <cell r="AL461"/>
          <cell r="AM461"/>
          <cell r="AN461">
            <v>5095269</v>
          </cell>
          <cell r="AO461"/>
          <cell r="AP461"/>
          <cell r="AQ461"/>
          <cell r="AR461"/>
          <cell r="AS461">
            <v>18</v>
          </cell>
          <cell r="AT461" t="str">
            <v>509-8,125FJWP</v>
          </cell>
          <cell r="AU461" t="str">
            <v/>
          </cell>
          <cell r="AV461"/>
        </row>
        <row r="462">
          <cell r="Z462">
            <v>5115270</v>
          </cell>
          <cell r="AA462" t="str">
            <v>WO Shoe
2-1/2" HQ Box</v>
          </cell>
          <cell r="AB462">
            <v>6</v>
          </cell>
          <cell r="AC462">
            <v>2.875</v>
          </cell>
          <cell r="AD462">
            <v>450</v>
          </cell>
          <cell r="AE462" t="str">
            <v>2-1/2" HQ Box</v>
          </cell>
          <cell r="AF462"/>
          <cell r="AG462" t="str">
            <v>plaquettes</v>
          </cell>
          <cell r="AH462" t="str">
            <v xml:space="preserve"> en stock </v>
          </cell>
          <cell r="AI462">
            <v>1</v>
          </cell>
          <cell r="AJ462">
            <v>0</v>
          </cell>
          <cell r="AK462">
            <v>0</v>
          </cell>
          <cell r="AL462"/>
          <cell r="AM462"/>
          <cell r="AN462" t="str">
            <v/>
          </cell>
          <cell r="AO462"/>
          <cell r="AP462"/>
          <cell r="AQ462"/>
          <cell r="AR462"/>
          <cell r="AS462">
            <v>5</v>
          </cell>
          <cell r="AT462"/>
          <cell r="AU462" t="str">
            <v/>
          </cell>
          <cell r="AV462"/>
        </row>
        <row r="463">
          <cell r="Z463">
            <v>5115271</v>
          </cell>
          <cell r="AA463" t="str">
            <v>WO Shoe
2-1/2" HQ Box</v>
          </cell>
          <cell r="AB463">
            <v>6</v>
          </cell>
          <cell r="AC463">
            <v>2.875</v>
          </cell>
          <cell r="AD463">
            <v>460</v>
          </cell>
          <cell r="AE463" t="str">
            <v>2-1/2" HQ Box</v>
          </cell>
          <cell r="AF463"/>
          <cell r="AG463" t="str">
            <v>CC</v>
          </cell>
          <cell r="AH463" t="str">
            <v xml:space="preserve"> en stock </v>
          </cell>
          <cell r="AI463">
            <v>1</v>
          </cell>
          <cell r="AJ463">
            <v>0</v>
          </cell>
          <cell r="AK463">
            <v>0</v>
          </cell>
          <cell r="AL463"/>
          <cell r="AM463"/>
          <cell r="AN463" t="str">
            <v/>
          </cell>
          <cell r="AO463"/>
          <cell r="AP463"/>
          <cell r="AQ463"/>
          <cell r="AR463"/>
          <cell r="AS463">
            <v>6</v>
          </cell>
          <cell r="AT463"/>
          <cell r="AU463" t="str">
            <v/>
          </cell>
          <cell r="AV463"/>
        </row>
        <row r="464">
          <cell r="Z464">
            <v>8135272</v>
          </cell>
          <cell r="AA464" t="str">
            <v>XO
HT 26 Pin x 3-1/2" IF Box</v>
          </cell>
          <cell r="AB464">
            <v>12</v>
          </cell>
          <cell r="AC464">
            <v>4.6875</v>
          </cell>
          <cell r="AD464">
            <v>250</v>
          </cell>
          <cell r="AE464" t="str">
            <v>HT 26 Pin</v>
          </cell>
          <cell r="AF464" t="str">
            <v>3-1/2" IF Box</v>
          </cell>
          <cell r="AG464"/>
          <cell r="AH464" t="str">
            <v xml:space="preserve"> en stock </v>
          </cell>
          <cell r="AI464">
            <v>1</v>
          </cell>
          <cell r="AJ464">
            <v>0</v>
          </cell>
          <cell r="AK464">
            <v>0</v>
          </cell>
          <cell r="AL464"/>
          <cell r="AM464"/>
          <cell r="AN464" t="str">
            <v/>
          </cell>
          <cell r="AO464"/>
          <cell r="AP464"/>
          <cell r="AQ464"/>
          <cell r="AR464"/>
          <cell r="AS464">
            <v>6</v>
          </cell>
          <cell r="AT464"/>
          <cell r="AU464" t="str">
            <v/>
          </cell>
          <cell r="AV464"/>
        </row>
        <row r="465">
          <cell r="Z465">
            <v>8135273</v>
          </cell>
          <cell r="AA465" t="str">
            <v>XO
3-1/2" EU Pin x 3-1/2" EU Pin</v>
          </cell>
          <cell r="AB465">
            <v>6.3995097816000044</v>
          </cell>
          <cell r="AC465">
            <v>3.75</v>
          </cell>
          <cell r="AD465">
            <v>320</v>
          </cell>
          <cell r="AE465" t="str">
            <v>3-1/2" EU Pin</v>
          </cell>
          <cell r="AF465" t="str">
            <v>3-1/2" EU Pin</v>
          </cell>
          <cell r="AG465"/>
          <cell r="AH465" t="str">
            <v xml:space="preserve"> en stock </v>
          </cell>
          <cell r="AI465">
            <v>1</v>
          </cell>
          <cell r="AJ465">
            <v>0</v>
          </cell>
          <cell r="AK465">
            <v>0</v>
          </cell>
          <cell r="AL465"/>
          <cell r="AM465"/>
          <cell r="AN465" t="str">
            <v/>
          </cell>
          <cell r="AO465"/>
          <cell r="AP465"/>
          <cell r="AQ465"/>
          <cell r="AR465"/>
          <cell r="AS465">
            <v>98</v>
          </cell>
          <cell r="AT465"/>
          <cell r="AU465" t="str">
            <v/>
          </cell>
          <cell r="AV465"/>
        </row>
        <row r="466">
          <cell r="Z466">
            <v>5115274</v>
          </cell>
          <cell r="AA466" t="str">
            <v>WO Shoe
5-3/8" BRS Box</v>
          </cell>
          <cell r="AB466">
            <v>0</v>
          </cell>
          <cell r="AC466">
            <v>5.875</v>
          </cell>
          <cell r="AD466">
            <v>475</v>
          </cell>
          <cell r="AE466" t="str">
            <v>5-3/8" BRS Box</v>
          </cell>
          <cell r="AF466"/>
          <cell r="AG466" t="str">
            <v>CC</v>
          </cell>
          <cell r="AH466" t="str">
            <v>maintenance</v>
          </cell>
          <cell r="AI466" t="str">
            <v/>
          </cell>
          <cell r="AJ466">
            <v>0</v>
          </cell>
          <cell r="AK466">
            <v>1</v>
          </cell>
          <cell r="AL466"/>
          <cell r="AM466"/>
          <cell r="AN466" t="str">
            <v/>
          </cell>
          <cell r="AO466"/>
          <cell r="AP466"/>
          <cell r="AQ466"/>
          <cell r="AR466"/>
          <cell r="AS466">
            <v>82</v>
          </cell>
          <cell r="AT466"/>
          <cell r="AU466" t="str">
            <v/>
          </cell>
          <cell r="AV466"/>
        </row>
        <row r="467">
          <cell r="Z467">
            <v>5115275</v>
          </cell>
          <cell r="AA467" t="str">
            <v>WO Shoe
5-3/8" BRS Box</v>
          </cell>
          <cell r="AB467">
            <v>0</v>
          </cell>
          <cell r="AC467">
            <v>5.75</v>
          </cell>
          <cell r="AD467">
            <v>590</v>
          </cell>
          <cell r="AE467" t="str">
            <v>5-3/8" BRS Box</v>
          </cell>
          <cell r="AF467"/>
          <cell r="AG467" t="str">
            <v>plaquettes</v>
          </cell>
          <cell r="AH467" t="str">
            <v>maintenance</v>
          </cell>
          <cell r="AI467" t="str">
            <v/>
          </cell>
          <cell r="AJ467">
            <v>0</v>
          </cell>
          <cell r="AK467">
            <v>1</v>
          </cell>
          <cell r="AL467"/>
          <cell r="AM467"/>
          <cell r="AN467" t="str">
            <v/>
          </cell>
          <cell r="AO467"/>
          <cell r="AP467"/>
          <cell r="AQ467"/>
          <cell r="AR467"/>
          <cell r="AS467">
            <v>87</v>
          </cell>
          <cell r="AT467"/>
          <cell r="AU467" t="str">
            <v/>
          </cell>
          <cell r="AV467"/>
        </row>
        <row r="468">
          <cell r="Z468">
            <v>5115276</v>
          </cell>
          <cell r="AA468" t="str">
            <v>WO Shoe
5-1/2" FJWP Box</v>
          </cell>
          <cell r="AB468">
            <v>0</v>
          </cell>
          <cell r="AC468">
            <v>5.875</v>
          </cell>
          <cell r="AD468">
            <v>390</v>
          </cell>
          <cell r="AE468" t="str">
            <v>5-1/2" FJWP Box</v>
          </cell>
          <cell r="AF468"/>
          <cell r="AG468" t="str">
            <v>CC</v>
          </cell>
          <cell r="AH468" t="str">
            <v>maintenance</v>
          </cell>
          <cell r="AI468" t="str">
            <v/>
          </cell>
          <cell r="AJ468">
            <v>0</v>
          </cell>
          <cell r="AK468">
            <v>1</v>
          </cell>
          <cell r="AL468"/>
          <cell r="AM468"/>
          <cell r="AN468" t="str">
            <v/>
          </cell>
          <cell r="AO468"/>
          <cell r="AP468"/>
          <cell r="AQ468"/>
          <cell r="AR468"/>
          <cell r="AS468">
            <v>94</v>
          </cell>
          <cell r="AT468"/>
          <cell r="AU468" t="str">
            <v/>
          </cell>
          <cell r="AV468"/>
        </row>
        <row r="469">
          <cell r="Z469">
            <v>5115277</v>
          </cell>
          <cell r="AA469" t="str">
            <v>WO Shoe
5-3/8" BRS Box</v>
          </cell>
          <cell r="AB469">
            <v>20</v>
          </cell>
          <cell r="AC469">
            <v>6</v>
          </cell>
          <cell r="AD469">
            <v>470</v>
          </cell>
          <cell r="AE469" t="str">
            <v>5-3/8" BRS Box</v>
          </cell>
          <cell r="AF469"/>
          <cell r="AG469" t="str">
            <v>CC</v>
          </cell>
          <cell r="AH469" t="str">
            <v xml:space="preserve"> en stock </v>
          </cell>
          <cell r="AI469">
            <v>1</v>
          </cell>
          <cell r="AJ469">
            <v>0</v>
          </cell>
          <cell r="AK469">
            <v>0</v>
          </cell>
          <cell r="AL469"/>
          <cell r="AM469"/>
          <cell r="AN469" t="str">
            <v/>
          </cell>
          <cell r="AO469"/>
          <cell r="AP469"/>
          <cell r="AQ469"/>
          <cell r="AR469"/>
          <cell r="AS469">
            <v>89</v>
          </cell>
          <cell r="AT469"/>
          <cell r="AU469" t="str">
            <v/>
          </cell>
          <cell r="AV469"/>
        </row>
        <row r="470">
          <cell r="Z470">
            <v>5115278</v>
          </cell>
          <cell r="AA470" t="str">
            <v>WO Shoe
8-5/8" FJWP Box</v>
          </cell>
          <cell r="AB470">
            <v>0</v>
          </cell>
          <cell r="AC470" t="str">
            <v>flush</v>
          </cell>
          <cell r="AD470">
            <v>300</v>
          </cell>
          <cell r="AE470" t="str">
            <v>8-5/8" FJWP Box</v>
          </cell>
          <cell r="AF470"/>
          <cell r="AG470" t="str">
            <v xml:space="preserve"> - </v>
          </cell>
          <cell r="AH470" t="str">
            <v xml:space="preserve"> en stock </v>
          </cell>
          <cell r="AI470">
            <v>1</v>
          </cell>
          <cell r="AJ470">
            <v>0</v>
          </cell>
          <cell r="AK470">
            <v>0</v>
          </cell>
          <cell r="AL470"/>
          <cell r="AM470"/>
          <cell r="AN470" t="str">
            <v/>
          </cell>
          <cell r="AO470"/>
          <cell r="AP470"/>
          <cell r="AQ470"/>
          <cell r="AR470"/>
          <cell r="AS470">
            <v>197</v>
          </cell>
          <cell r="AT470"/>
          <cell r="AU470" t="str">
            <v/>
          </cell>
          <cell r="AV470"/>
        </row>
        <row r="471">
          <cell r="Z471">
            <v>5115279</v>
          </cell>
          <cell r="AA471" t="str">
            <v>WO Shoe
8-5/8" FJWP Box</v>
          </cell>
          <cell r="AB471">
            <v>56</v>
          </cell>
          <cell r="AC471">
            <v>8.75</v>
          </cell>
          <cell r="AD471">
            <v>1010</v>
          </cell>
          <cell r="AE471" t="str">
            <v>8-5/8" FJWP Box</v>
          </cell>
          <cell r="AF471"/>
          <cell r="AG471" t="str">
            <v>CC</v>
          </cell>
          <cell r="AH471" t="str">
            <v xml:space="preserve"> en stock </v>
          </cell>
          <cell r="AI471">
            <v>1</v>
          </cell>
          <cell r="AJ471">
            <v>0</v>
          </cell>
          <cell r="AK471">
            <v>0</v>
          </cell>
          <cell r="AL471"/>
          <cell r="AM471"/>
          <cell r="AN471" t="str">
            <v/>
          </cell>
          <cell r="AO471"/>
          <cell r="AP471"/>
          <cell r="AQ471"/>
          <cell r="AR471"/>
          <cell r="AS471">
            <v>201</v>
          </cell>
          <cell r="AT471"/>
          <cell r="AU471" t="str">
            <v/>
          </cell>
          <cell r="AV471"/>
        </row>
        <row r="472">
          <cell r="Z472">
            <v>5115280</v>
          </cell>
          <cell r="AA472" t="str">
            <v>WO Shoe
4-1/2" FJWP Box</v>
          </cell>
          <cell r="AB472">
            <v>8.5549002288749953</v>
          </cell>
          <cell r="AC472">
            <v>4.875</v>
          </cell>
          <cell r="AD472">
            <v>350</v>
          </cell>
          <cell r="AE472" t="str">
            <v>4-1/2" FJWP Box</v>
          </cell>
          <cell r="AF472"/>
          <cell r="AG472" t="str">
            <v>CC</v>
          </cell>
          <cell r="AH472" t="str">
            <v xml:space="preserve"> en stock </v>
          </cell>
          <cell r="AI472">
            <v>1</v>
          </cell>
          <cell r="AJ472">
            <v>0</v>
          </cell>
          <cell r="AK472">
            <v>0</v>
          </cell>
          <cell r="AL472"/>
          <cell r="AM472"/>
          <cell r="AN472" t="str">
            <v/>
          </cell>
          <cell r="AO472"/>
          <cell r="AP472"/>
          <cell r="AQ472"/>
          <cell r="AR472"/>
          <cell r="AS472">
            <v>49</v>
          </cell>
          <cell r="AT472"/>
          <cell r="AU472" t="str">
            <v/>
          </cell>
          <cell r="AV472"/>
        </row>
        <row r="473">
          <cell r="Z473">
            <v>5105281</v>
          </cell>
          <cell r="AA473" t="str">
            <v>WO Pipe
5-3/8" BRS Pin x Box</v>
          </cell>
          <cell r="AB473">
            <v>374.75647790490001</v>
          </cell>
          <cell r="AC473">
            <v>5.375</v>
          </cell>
          <cell r="AD473">
            <v>9730</v>
          </cell>
          <cell r="AE473" t="str">
            <v>5-3/8" BRS Box</v>
          </cell>
          <cell r="AF473" t="str">
            <v>5-3/8" BRS Pin</v>
          </cell>
          <cell r="AG473"/>
          <cell r="AH473" t="str">
            <v xml:space="preserve"> en stock </v>
          </cell>
          <cell r="AI473">
            <v>1</v>
          </cell>
          <cell r="AJ473">
            <v>0</v>
          </cell>
          <cell r="AK473">
            <v>0</v>
          </cell>
          <cell r="AL473"/>
          <cell r="AM473"/>
          <cell r="AN473" t="str">
            <v/>
          </cell>
          <cell r="AO473"/>
          <cell r="AP473"/>
          <cell r="AQ473"/>
          <cell r="AR473"/>
          <cell r="AS473">
            <v>38</v>
          </cell>
          <cell r="AT473" t="str">
            <v>509-5,375BRS</v>
          </cell>
          <cell r="AU473" t="str">
            <v/>
          </cell>
          <cell r="AV473"/>
        </row>
        <row r="474">
          <cell r="Z474">
            <v>5105282</v>
          </cell>
          <cell r="AA474" t="str">
            <v>WO Pipe
5-3/8" BRS Pin x Box</v>
          </cell>
          <cell r="AB474">
            <v>372.83069949839995</v>
          </cell>
          <cell r="AC474">
            <v>5.375</v>
          </cell>
          <cell r="AD474">
            <v>9680</v>
          </cell>
          <cell r="AE474" t="str">
            <v>5-3/8" BRS Box</v>
          </cell>
          <cell r="AF474" t="str">
            <v>5-3/8" BRS Pin</v>
          </cell>
          <cell r="AG474"/>
          <cell r="AH474" t="str">
            <v xml:space="preserve"> en stock </v>
          </cell>
          <cell r="AI474">
            <v>1</v>
          </cell>
          <cell r="AJ474">
            <v>0</v>
          </cell>
          <cell r="AK474">
            <v>0</v>
          </cell>
          <cell r="AL474"/>
          <cell r="AM474"/>
          <cell r="AN474" t="str">
            <v/>
          </cell>
          <cell r="AO474"/>
          <cell r="AP474"/>
          <cell r="AQ474"/>
          <cell r="AR474"/>
          <cell r="AS474">
            <v>39</v>
          </cell>
          <cell r="AT474" t="str">
            <v>509-5,375BRS</v>
          </cell>
          <cell r="AU474" t="str">
            <v/>
          </cell>
          <cell r="AV474"/>
        </row>
        <row r="475">
          <cell r="Z475">
            <v>5105283</v>
          </cell>
          <cell r="AA475" t="str">
            <v>WO Pipe
5-3/8" BRS Pin x Box</v>
          </cell>
          <cell r="AB475">
            <v>374.37132222359998</v>
          </cell>
          <cell r="AC475">
            <v>5.375</v>
          </cell>
          <cell r="AD475">
            <v>9720</v>
          </cell>
          <cell r="AE475" t="str">
            <v>5-3/8" BRS Box</v>
          </cell>
          <cell r="AF475" t="str">
            <v>5-3/8" BRS Pin</v>
          </cell>
          <cell r="AG475"/>
          <cell r="AH475" t="str">
            <v xml:space="preserve"> en stock </v>
          </cell>
          <cell r="AI475">
            <v>1</v>
          </cell>
          <cell r="AJ475">
            <v>0</v>
          </cell>
          <cell r="AK475">
            <v>0</v>
          </cell>
          <cell r="AL475"/>
          <cell r="AM475"/>
          <cell r="AN475" t="str">
            <v/>
          </cell>
          <cell r="AO475"/>
          <cell r="AP475"/>
          <cell r="AQ475"/>
          <cell r="AR475"/>
          <cell r="AS475">
            <v>40</v>
          </cell>
          <cell r="AT475" t="str">
            <v>509-5,375BRS</v>
          </cell>
          <cell r="AU475" t="str">
            <v/>
          </cell>
          <cell r="AV475"/>
        </row>
        <row r="476">
          <cell r="Z476">
            <v>5105284</v>
          </cell>
          <cell r="AA476" t="str">
            <v>WO Pipe
5-3/8" BRS Pin x Box</v>
          </cell>
          <cell r="AB476">
            <v>369.94203188864998</v>
          </cell>
          <cell r="AC476">
            <v>5.375</v>
          </cell>
          <cell r="AD476">
            <v>9605</v>
          </cell>
          <cell r="AE476" t="str">
            <v>5-3/8" BRS Box</v>
          </cell>
          <cell r="AF476" t="str">
            <v>5-3/8" BRS Pin</v>
          </cell>
          <cell r="AG476"/>
          <cell r="AH476" t="str">
            <v xml:space="preserve"> en stock </v>
          </cell>
          <cell r="AI476">
            <v>1</v>
          </cell>
          <cell r="AJ476">
            <v>0</v>
          </cell>
          <cell r="AK476">
            <v>0</v>
          </cell>
          <cell r="AL476"/>
          <cell r="AM476"/>
          <cell r="AN476" t="str">
            <v/>
          </cell>
          <cell r="AO476"/>
          <cell r="AP476"/>
          <cell r="AQ476"/>
          <cell r="AR476"/>
          <cell r="AS476">
            <v>41</v>
          </cell>
          <cell r="AT476" t="str">
            <v>509-5,375BRS</v>
          </cell>
          <cell r="AU476" t="str">
            <v/>
          </cell>
          <cell r="AV476"/>
        </row>
        <row r="477">
          <cell r="Z477">
            <v>5105285</v>
          </cell>
          <cell r="AA477" t="str">
            <v>WO Pipe
5-3/8" BRS Pin x Box</v>
          </cell>
          <cell r="AB477">
            <v>373.21585517970004</v>
          </cell>
          <cell r="AC477">
            <v>5.375</v>
          </cell>
          <cell r="AD477">
            <v>9690</v>
          </cell>
          <cell r="AE477" t="str">
            <v>5-3/8" BRS Box</v>
          </cell>
          <cell r="AF477" t="str">
            <v>5-3/8" BRS Pin</v>
          </cell>
          <cell r="AG477"/>
          <cell r="AH477" t="str">
            <v xml:space="preserve"> en stock </v>
          </cell>
          <cell r="AI477">
            <v>1</v>
          </cell>
          <cell r="AJ477">
            <v>0</v>
          </cell>
          <cell r="AK477">
            <v>0</v>
          </cell>
          <cell r="AL477"/>
          <cell r="AM477"/>
          <cell r="AN477" t="str">
            <v/>
          </cell>
          <cell r="AO477"/>
          <cell r="AP477"/>
          <cell r="AQ477"/>
          <cell r="AR477"/>
          <cell r="AS477">
            <v>42</v>
          </cell>
          <cell r="AT477" t="str">
            <v>509-5,375BRS</v>
          </cell>
          <cell r="AU477" t="str">
            <v/>
          </cell>
          <cell r="AV477"/>
        </row>
        <row r="478">
          <cell r="Z478">
            <v>5105286</v>
          </cell>
          <cell r="AA478" t="str">
            <v>WO Pipe
5-3/8" BRS Pin x Box</v>
          </cell>
          <cell r="AB478">
            <v>346.64011317000001</v>
          </cell>
          <cell r="AC478">
            <v>5.375</v>
          </cell>
          <cell r="AD478">
            <v>9000</v>
          </cell>
          <cell r="AE478" t="str">
            <v>5-3/8" BRS Box</v>
          </cell>
          <cell r="AF478" t="str">
            <v>5-3/8" BRS Pin</v>
          </cell>
          <cell r="AG478"/>
          <cell r="AH478" t="str">
            <v xml:space="preserve"> en stock </v>
          </cell>
          <cell r="AI478">
            <v>1</v>
          </cell>
          <cell r="AJ478">
            <v>0</v>
          </cell>
          <cell r="AK478">
            <v>0</v>
          </cell>
          <cell r="AL478"/>
          <cell r="AM478"/>
          <cell r="AN478" t="str">
            <v/>
          </cell>
          <cell r="AO478"/>
          <cell r="AP478"/>
          <cell r="AQ478"/>
          <cell r="AR478"/>
          <cell r="AS478">
            <v>43</v>
          </cell>
          <cell r="AT478" t="str">
            <v>509-5,375BRS</v>
          </cell>
          <cell r="AU478" t="str">
            <v/>
          </cell>
          <cell r="AV478"/>
        </row>
        <row r="479">
          <cell r="Z479">
            <v>5105287</v>
          </cell>
          <cell r="AA479" t="str">
            <v>WO Pipe
5-3/8" BRS Pin x Box</v>
          </cell>
          <cell r="AB479">
            <v>346.64011317000001</v>
          </cell>
          <cell r="AC479">
            <v>5.375</v>
          </cell>
          <cell r="AD479">
            <v>9000</v>
          </cell>
          <cell r="AE479" t="str">
            <v>5-3/8" BRS Box</v>
          </cell>
          <cell r="AF479" t="str">
            <v>5-3/8" BRS Pin</v>
          </cell>
          <cell r="AG479"/>
          <cell r="AH479" t="str">
            <v xml:space="preserve"> en stock </v>
          </cell>
          <cell r="AI479">
            <v>1</v>
          </cell>
          <cell r="AJ479">
            <v>0</v>
          </cell>
          <cell r="AK479">
            <v>0</v>
          </cell>
          <cell r="AL479"/>
          <cell r="AM479"/>
          <cell r="AN479" t="str">
            <v/>
          </cell>
          <cell r="AO479"/>
          <cell r="AP479"/>
          <cell r="AQ479"/>
          <cell r="AR479"/>
          <cell r="AS479">
            <v>44</v>
          </cell>
          <cell r="AT479" t="str">
            <v>509-5,375BRS</v>
          </cell>
          <cell r="AU479" t="str">
            <v/>
          </cell>
          <cell r="AV479"/>
        </row>
        <row r="480">
          <cell r="Z480">
            <v>5105288</v>
          </cell>
          <cell r="AA480" t="str">
            <v>WO Pipe
5-3/8" BRS Pin x Box</v>
          </cell>
          <cell r="AB480">
            <v>346.64011317000001</v>
          </cell>
          <cell r="AC480">
            <v>5.375</v>
          </cell>
          <cell r="AD480">
            <v>9000</v>
          </cell>
          <cell r="AE480" t="str">
            <v>5-3/8" BRS Box</v>
          </cell>
          <cell r="AF480" t="str">
            <v>5-3/8" BRS Pin</v>
          </cell>
          <cell r="AG480"/>
          <cell r="AH480" t="str">
            <v xml:space="preserve"> en stock </v>
          </cell>
          <cell r="AI480">
            <v>1</v>
          </cell>
          <cell r="AJ480">
            <v>0</v>
          </cell>
          <cell r="AK480">
            <v>0</v>
          </cell>
          <cell r="AL480"/>
          <cell r="AM480"/>
          <cell r="AN480" t="str">
            <v/>
          </cell>
          <cell r="AO480"/>
          <cell r="AP480"/>
          <cell r="AQ480"/>
          <cell r="AR480"/>
          <cell r="AS480">
            <v>45</v>
          </cell>
          <cell r="AT480" t="str">
            <v>509-5,375BRS</v>
          </cell>
          <cell r="AU480" t="str">
            <v/>
          </cell>
          <cell r="AV480"/>
        </row>
        <row r="481">
          <cell r="Z481">
            <v>5105289</v>
          </cell>
          <cell r="AA481" t="str">
            <v>WO Pipe
5-3/8" BRS Pin x Box</v>
          </cell>
          <cell r="AB481">
            <v>346.64011317000001</v>
          </cell>
          <cell r="AC481">
            <v>5.375</v>
          </cell>
          <cell r="AD481">
            <v>9000</v>
          </cell>
          <cell r="AE481" t="str">
            <v>5-3/8" BRS Box</v>
          </cell>
          <cell r="AF481" t="str">
            <v>5-3/8" BRS Pin</v>
          </cell>
          <cell r="AG481"/>
          <cell r="AH481" t="str">
            <v xml:space="preserve"> en stock </v>
          </cell>
          <cell r="AI481">
            <v>1</v>
          </cell>
          <cell r="AJ481">
            <v>0</v>
          </cell>
          <cell r="AK481">
            <v>0</v>
          </cell>
          <cell r="AL481"/>
          <cell r="AM481"/>
          <cell r="AN481" t="str">
            <v/>
          </cell>
          <cell r="AO481"/>
          <cell r="AP481"/>
          <cell r="AQ481"/>
          <cell r="AR481"/>
          <cell r="AS481">
            <v>46</v>
          </cell>
          <cell r="AT481" t="str">
            <v>509-5,375BRS</v>
          </cell>
          <cell r="AU481" t="str">
            <v/>
          </cell>
          <cell r="AV481"/>
        </row>
        <row r="482">
          <cell r="Z482">
            <v>5105290</v>
          </cell>
          <cell r="AA482" t="str">
            <v>WO Pipe
5-3/8" BRS Pin x Box</v>
          </cell>
          <cell r="AB482">
            <v>346.64011317000001</v>
          </cell>
          <cell r="AC482">
            <v>5.375</v>
          </cell>
          <cell r="AD482">
            <v>9000</v>
          </cell>
          <cell r="AE482" t="str">
            <v>5-3/8" BRS Box</v>
          </cell>
          <cell r="AF482" t="str">
            <v>5-3/8" BRS Pin</v>
          </cell>
          <cell r="AG482"/>
          <cell r="AH482" t="str">
            <v xml:space="preserve"> en stock </v>
          </cell>
          <cell r="AI482">
            <v>1</v>
          </cell>
          <cell r="AJ482">
            <v>0</v>
          </cell>
          <cell r="AK482">
            <v>0</v>
          </cell>
          <cell r="AL482"/>
          <cell r="AM482"/>
          <cell r="AN482" t="str">
            <v/>
          </cell>
          <cell r="AO482"/>
          <cell r="AP482"/>
          <cell r="AQ482"/>
          <cell r="AR482"/>
          <cell r="AS482">
            <v>47</v>
          </cell>
          <cell r="AT482" t="str">
            <v>509-5,375BRS</v>
          </cell>
          <cell r="AU482" t="str">
            <v/>
          </cell>
          <cell r="AV482"/>
        </row>
        <row r="483">
          <cell r="Z483">
            <v>5105291</v>
          </cell>
          <cell r="AA483"/>
          <cell r="AB483" t="e">
            <v>#N/A</v>
          </cell>
          <cell r="AC483" t="e">
            <v>#N/A</v>
          </cell>
          <cell r="AD483" t="e">
            <v>#N/A</v>
          </cell>
          <cell r="AE483" t="e">
            <v>#N/A</v>
          </cell>
          <cell r="AF483" t="e">
            <v>#N/A</v>
          </cell>
          <cell r="AG483"/>
          <cell r="AH483" t="e">
            <v>#N/A</v>
          </cell>
          <cell r="AI483" t="e">
            <v>#N/A</v>
          </cell>
          <cell r="AJ483" t="e">
            <v>#N/A</v>
          </cell>
          <cell r="AK483" t="e">
            <v>#N/A</v>
          </cell>
          <cell r="AL483"/>
          <cell r="AM483"/>
          <cell r="AN483" t="str">
            <v/>
          </cell>
          <cell r="AO483"/>
          <cell r="AP483"/>
          <cell r="AQ483"/>
          <cell r="AR483"/>
          <cell r="AS483" t="e">
            <v>#N/A</v>
          </cell>
          <cell r="AT483"/>
          <cell r="AU483" t="str">
            <v/>
          </cell>
          <cell r="AV483"/>
        </row>
        <row r="484">
          <cell r="Z484">
            <v>5105292</v>
          </cell>
          <cell r="AA484" t="str">
            <v>WO Pipe
8-5/8" FJWP Pin x Box</v>
          </cell>
          <cell r="AB484">
            <v>546.76182038546222</v>
          </cell>
          <cell r="AC484">
            <v>8.625</v>
          </cell>
          <cell r="AD484">
            <v>9660</v>
          </cell>
          <cell r="AE484" t="str">
            <v>8-5/8" FJWP Box</v>
          </cell>
          <cell r="AF484" t="str">
            <v>8-5/8" FJWP Pin</v>
          </cell>
          <cell r="AG484"/>
          <cell r="AH484" t="str">
            <v>maintenance</v>
          </cell>
          <cell r="AI484" t="str">
            <v/>
          </cell>
          <cell r="AJ484">
            <v>0</v>
          </cell>
          <cell r="AK484">
            <v>1</v>
          </cell>
          <cell r="AL484"/>
          <cell r="AM484"/>
          <cell r="AN484">
            <v>5105292</v>
          </cell>
          <cell r="AO484"/>
          <cell r="AP484"/>
          <cell r="AQ484"/>
          <cell r="AR484"/>
          <cell r="AS484">
            <v>129</v>
          </cell>
          <cell r="AT484" t="str">
            <v>509-8,625FJWP</v>
          </cell>
          <cell r="AU484" t="str">
            <v/>
          </cell>
          <cell r="AV484"/>
        </row>
        <row r="485">
          <cell r="Z485">
            <v>5105293</v>
          </cell>
          <cell r="AA485" t="str">
            <v>WO Pipe
8-5/8" FJWP Pin x Box</v>
          </cell>
          <cell r="AB485">
            <v>455.60954361780028</v>
          </cell>
          <cell r="AC485">
            <v>8.625</v>
          </cell>
          <cell r="AD485">
            <v>9320</v>
          </cell>
          <cell r="AE485" t="str">
            <v>8-5/8" FJWP Box</v>
          </cell>
          <cell r="AF485" t="str">
            <v>8-5/8" FJWP Pin</v>
          </cell>
          <cell r="AG485"/>
          <cell r="AH485" t="str">
            <v xml:space="preserve"> en stock </v>
          </cell>
          <cell r="AI485">
            <v>1</v>
          </cell>
          <cell r="AJ485">
            <v>0</v>
          </cell>
          <cell r="AK485">
            <v>0</v>
          </cell>
          <cell r="AL485"/>
          <cell r="AM485"/>
          <cell r="AN485" t="str">
            <v/>
          </cell>
          <cell r="AO485"/>
          <cell r="AP485"/>
          <cell r="AQ485"/>
          <cell r="AR485"/>
          <cell r="AS485">
            <v>130</v>
          </cell>
          <cell r="AT485" t="str">
            <v>509-8,625FJWP</v>
          </cell>
          <cell r="AU485" t="str">
            <v/>
          </cell>
          <cell r="AV485"/>
        </row>
        <row r="486">
          <cell r="Z486">
            <v>5105294</v>
          </cell>
          <cell r="AA486" t="str">
            <v>WO Pipe
8-5/8" FJWP Pin x Box</v>
          </cell>
          <cell r="AB486">
            <v>521.85755527473725</v>
          </cell>
          <cell r="AC486">
            <v>8.625</v>
          </cell>
          <cell r="AD486">
            <v>9220</v>
          </cell>
          <cell r="AE486" t="str">
            <v>8-5/8" FJWP Box</v>
          </cell>
          <cell r="AF486" t="str">
            <v>8-5/8" FJWP Pin</v>
          </cell>
          <cell r="AG486"/>
          <cell r="AH486" t="str">
            <v xml:space="preserve"> en stock </v>
          </cell>
          <cell r="AI486">
            <v>1</v>
          </cell>
          <cell r="AJ486">
            <v>0</v>
          </cell>
          <cell r="AK486">
            <v>0</v>
          </cell>
          <cell r="AL486"/>
          <cell r="AM486"/>
          <cell r="AN486" t="str">
            <v/>
          </cell>
          <cell r="AO486"/>
          <cell r="AP486"/>
          <cell r="AQ486"/>
          <cell r="AR486"/>
          <cell r="AS486">
            <v>131</v>
          </cell>
          <cell r="AT486" t="str">
            <v>509-8,625FJWP</v>
          </cell>
          <cell r="AU486" t="str">
            <v/>
          </cell>
          <cell r="AV486"/>
        </row>
        <row r="487">
          <cell r="Z487">
            <v>5125295</v>
          </cell>
          <cell r="AA487" t="str">
            <v>WO Top Sub
3-1/2" REG Pin x 5-1/2" FJWP Pin</v>
          </cell>
          <cell r="AB487">
            <v>62</v>
          </cell>
          <cell r="AC487">
            <v>5.5</v>
          </cell>
          <cell r="AD487">
            <v>720</v>
          </cell>
          <cell r="AE487" t="str">
            <v>3-1/2" REG Pin</v>
          </cell>
          <cell r="AF487" t="str">
            <v>5-1/2" FJWP Pin</v>
          </cell>
          <cell r="AG487" t="str">
            <v>2-3/8" REG Box</v>
          </cell>
          <cell r="AH487" t="str">
            <v xml:space="preserve"> en stock </v>
          </cell>
          <cell r="AI487">
            <v>1</v>
          </cell>
          <cell r="AJ487">
            <v>0</v>
          </cell>
          <cell r="AK487">
            <v>0</v>
          </cell>
          <cell r="AL487"/>
          <cell r="AM487"/>
          <cell r="AN487" t="str">
            <v/>
          </cell>
          <cell r="AO487"/>
          <cell r="AP487"/>
          <cell r="AQ487"/>
          <cell r="AR487"/>
          <cell r="AS487">
            <v>22</v>
          </cell>
          <cell r="AT487"/>
          <cell r="AU487" t="str">
            <v/>
          </cell>
          <cell r="AV487"/>
        </row>
        <row r="488">
          <cell r="Z488">
            <v>8085296</v>
          </cell>
          <cell r="AA488"/>
          <cell r="AB488"/>
          <cell r="AC488"/>
          <cell r="AD488"/>
          <cell r="AE488"/>
          <cell r="AF488"/>
          <cell r="AG488"/>
          <cell r="AH488" t="str">
            <v>en stock</v>
          </cell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 t="str">
            <v/>
          </cell>
          <cell r="AV488"/>
        </row>
        <row r="489">
          <cell r="Z489">
            <v>5115297</v>
          </cell>
          <cell r="AA489" t="str">
            <v>WO Shoe
4-1/2" FJWP Box</v>
          </cell>
          <cell r="AB489">
            <v>8.5786638406218785</v>
          </cell>
          <cell r="AC489">
            <v>0</v>
          </cell>
          <cell r="AD489">
            <v>380</v>
          </cell>
          <cell r="AE489" t="str">
            <v>4-1/2" FJWP Box</v>
          </cell>
          <cell r="AF489"/>
          <cell r="AG489" t="str">
            <v>CC</v>
          </cell>
          <cell r="AH489" t="str">
            <v>maintenance</v>
          </cell>
          <cell r="AI489" t="str">
            <v/>
          </cell>
          <cell r="AJ489">
            <v>0</v>
          </cell>
          <cell r="AK489">
            <v>1</v>
          </cell>
          <cell r="AL489"/>
          <cell r="AM489"/>
          <cell r="AN489" t="str">
            <v/>
          </cell>
          <cell r="AO489"/>
          <cell r="AP489"/>
          <cell r="AQ489"/>
          <cell r="AR489"/>
          <cell r="AS489">
            <v>47</v>
          </cell>
          <cell r="AT489"/>
          <cell r="AU489" t="str">
            <v/>
          </cell>
          <cell r="AV489"/>
        </row>
        <row r="490">
          <cell r="Z490">
            <v>5045298</v>
          </cell>
          <cell r="AA490" t="str">
            <v>Viper Pilot Mill
HT 26 Box x Pilot</v>
          </cell>
          <cell r="AB490">
            <v>22</v>
          </cell>
          <cell r="AC490">
            <v>3.625</v>
          </cell>
          <cell r="AD490">
            <v>740</v>
          </cell>
          <cell r="AE490" t="str">
            <v>HT 26 Box</v>
          </cell>
          <cell r="AF490" t="str">
            <v>Pilot</v>
          </cell>
          <cell r="AG490" t="str">
            <v>Insert Ring</v>
          </cell>
          <cell r="AH490" t="str">
            <v xml:space="preserve"> en stock </v>
          </cell>
          <cell r="AI490">
            <v>1</v>
          </cell>
          <cell r="AJ490">
            <v>0</v>
          </cell>
          <cell r="AK490">
            <v>0</v>
          </cell>
          <cell r="AL490"/>
          <cell r="AM490"/>
          <cell r="AN490" t="str">
            <v/>
          </cell>
          <cell r="AO490"/>
          <cell r="AP490"/>
          <cell r="AQ490"/>
          <cell r="AR490"/>
          <cell r="AS490">
            <v>7</v>
          </cell>
          <cell r="AT490"/>
          <cell r="AU490" t="str">
            <v/>
          </cell>
          <cell r="AV490"/>
        </row>
        <row r="491">
          <cell r="Z491">
            <v>5045299</v>
          </cell>
          <cell r="AA491" t="str">
            <v>Viper Pilot Mill
HT 26 Pin x Pilot</v>
          </cell>
          <cell r="AB491">
            <v>24</v>
          </cell>
          <cell r="AC491">
            <v>3.875</v>
          </cell>
          <cell r="AD491">
            <v>740</v>
          </cell>
          <cell r="AE491" t="str">
            <v>HT 26 Pin</v>
          </cell>
          <cell r="AF491" t="str">
            <v>Pilot</v>
          </cell>
          <cell r="AG491" t="str">
            <v>Insert Ring</v>
          </cell>
          <cell r="AH491" t="str">
            <v xml:space="preserve"> en stock </v>
          </cell>
          <cell r="AI491">
            <v>1</v>
          </cell>
          <cell r="AJ491">
            <v>0</v>
          </cell>
          <cell r="AK491">
            <v>0</v>
          </cell>
          <cell r="AL491"/>
          <cell r="AM491"/>
          <cell r="AN491" t="str">
            <v/>
          </cell>
          <cell r="AO491"/>
          <cell r="AP491"/>
          <cell r="AQ491"/>
          <cell r="AR491"/>
          <cell r="AS491">
            <v>8</v>
          </cell>
          <cell r="AT491"/>
          <cell r="AU491" t="str">
            <v/>
          </cell>
          <cell r="AV491"/>
        </row>
        <row r="492">
          <cell r="Z492" t="str">
            <v/>
          </cell>
          <cell r="AA492"/>
          <cell r="AB492"/>
          <cell r="AC492"/>
          <cell r="AD492"/>
          <cell r="AE492"/>
          <cell r="AF492"/>
          <cell r="AG492"/>
          <cell r="AH492" t="str">
            <v>en stock</v>
          </cell>
          <cell r="AI492"/>
          <cell r="AJ492"/>
          <cell r="AK492"/>
          <cell r="AL492"/>
          <cell r="AM492"/>
          <cell r="AN492" t="str">
            <v/>
          </cell>
          <cell r="AO492"/>
          <cell r="AP492"/>
          <cell r="AQ492"/>
          <cell r="AR492"/>
          <cell r="AS492"/>
          <cell r="AT492"/>
          <cell r="AU492" t="str">
            <v/>
          </cell>
          <cell r="AV492"/>
        </row>
        <row r="493">
          <cell r="Z493" t="str">
            <v/>
          </cell>
          <cell r="AA493"/>
          <cell r="AB493"/>
          <cell r="AC493"/>
          <cell r="AD493"/>
          <cell r="AE493"/>
          <cell r="AF493"/>
          <cell r="AG493"/>
          <cell r="AH493" t="str">
            <v>en stock</v>
          </cell>
          <cell r="AI493"/>
          <cell r="AJ493"/>
          <cell r="AK493"/>
          <cell r="AL493"/>
          <cell r="AM493"/>
          <cell r="AN493" t="str">
            <v/>
          </cell>
          <cell r="AO493"/>
          <cell r="AP493"/>
          <cell r="AQ493"/>
          <cell r="AR493"/>
          <cell r="AS493"/>
          <cell r="AT493"/>
          <cell r="AU493" t="str">
            <v/>
          </cell>
          <cell r="AV493"/>
        </row>
        <row r="494">
          <cell r="Z494" t="str">
            <v/>
          </cell>
          <cell r="AA494"/>
          <cell r="AB494"/>
          <cell r="AC494"/>
          <cell r="AD494"/>
          <cell r="AE494"/>
          <cell r="AF494"/>
          <cell r="AG494"/>
          <cell r="AH494" t="str">
            <v>en stock</v>
          </cell>
          <cell r="AI494"/>
          <cell r="AJ494"/>
          <cell r="AK494"/>
          <cell r="AL494"/>
          <cell r="AM494"/>
          <cell r="AN494" t="str">
            <v/>
          </cell>
          <cell r="AO494"/>
          <cell r="AP494"/>
          <cell r="AQ494"/>
          <cell r="AR494"/>
          <cell r="AS494"/>
          <cell r="AT494"/>
          <cell r="AU494" t="str">
            <v/>
          </cell>
          <cell r="AV494"/>
        </row>
        <row r="495">
          <cell r="Z495" t="str">
            <v/>
          </cell>
          <cell r="AA495"/>
          <cell r="AB495"/>
          <cell r="AC495"/>
          <cell r="AD495"/>
          <cell r="AE495"/>
          <cell r="AF495"/>
          <cell r="AG495"/>
          <cell r="AH495" t="str">
            <v>en stock</v>
          </cell>
          <cell r="AI495"/>
          <cell r="AJ495"/>
          <cell r="AK495"/>
          <cell r="AL495"/>
          <cell r="AM495"/>
          <cell r="AN495" t="str">
            <v/>
          </cell>
          <cell r="AO495"/>
          <cell r="AP495"/>
          <cell r="AQ495"/>
          <cell r="AR495"/>
          <cell r="AS495"/>
          <cell r="AT495"/>
          <cell r="AU495" t="str">
            <v/>
          </cell>
          <cell r="AV495"/>
        </row>
        <row r="496">
          <cell r="Z496" t="str">
            <v/>
          </cell>
          <cell r="AA496"/>
          <cell r="AB496"/>
          <cell r="AC496"/>
          <cell r="AD496"/>
          <cell r="AE496"/>
          <cell r="AF496"/>
          <cell r="AG496"/>
          <cell r="AH496" t="str">
            <v>en stock</v>
          </cell>
          <cell r="AI496"/>
          <cell r="AJ496"/>
          <cell r="AK496"/>
          <cell r="AL496"/>
          <cell r="AM496"/>
          <cell r="AN496" t="str">
            <v/>
          </cell>
          <cell r="AO496"/>
          <cell r="AP496"/>
          <cell r="AQ496"/>
          <cell r="AR496"/>
          <cell r="AS496"/>
          <cell r="AT496"/>
          <cell r="AU496" t="str">
            <v/>
          </cell>
          <cell r="AV496"/>
        </row>
        <row r="497">
          <cell r="Z497" t="str">
            <v/>
          </cell>
          <cell r="AA497"/>
          <cell r="AB497"/>
          <cell r="AC497"/>
          <cell r="AD497"/>
          <cell r="AE497"/>
          <cell r="AF497"/>
          <cell r="AG497"/>
          <cell r="AH497" t="str">
            <v>en stock</v>
          </cell>
          <cell r="AI497"/>
          <cell r="AJ497"/>
          <cell r="AK497"/>
          <cell r="AL497"/>
          <cell r="AM497"/>
          <cell r="AN497" t="str">
            <v/>
          </cell>
          <cell r="AO497"/>
          <cell r="AP497"/>
          <cell r="AQ497"/>
          <cell r="AR497"/>
          <cell r="AS497"/>
          <cell r="AT497"/>
          <cell r="AU497" t="str">
            <v/>
          </cell>
          <cell r="AV497"/>
        </row>
        <row r="498">
          <cell r="Z498" t="str">
            <v/>
          </cell>
          <cell r="AA498"/>
          <cell r="AB498"/>
          <cell r="AC498"/>
          <cell r="AD498"/>
          <cell r="AE498"/>
          <cell r="AF498"/>
          <cell r="AG498"/>
          <cell r="AH498" t="str">
            <v>en stock</v>
          </cell>
          <cell r="AI498"/>
          <cell r="AJ498"/>
          <cell r="AK498"/>
          <cell r="AL498"/>
          <cell r="AM498"/>
          <cell r="AN498" t="str">
            <v/>
          </cell>
          <cell r="AO498"/>
          <cell r="AP498"/>
          <cell r="AQ498"/>
          <cell r="AR498"/>
          <cell r="AS498"/>
          <cell r="AT498"/>
          <cell r="AU498" t="str">
            <v/>
          </cell>
          <cell r="AV498"/>
        </row>
        <row r="499">
          <cell r="Z499" t="str">
            <v/>
          </cell>
          <cell r="AA499"/>
          <cell r="AB499"/>
          <cell r="AC499"/>
          <cell r="AD499"/>
          <cell r="AE499"/>
          <cell r="AF499"/>
          <cell r="AG499"/>
          <cell r="AH499" t="str">
            <v>en stock</v>
          </cell>
          <cell r="AI499"/>
          <cell r="AJ499"/>
          <cell r="AK499"/>
          <cell r="AL499"/>
          <cell r="AM499"/>
          <cell r="AN499" t="str">
            <v/>
          </cell>
          <cell r="AO499"/>
          <cell r="AP499"/>
          <cell r="AQ499"/>
          <cell r="AR499"/>
          <cell r="AS499"/>
          <cell r="AT499"/>
          <cell r="AU499" t="str">
            <v/>
          </cell>
          <cell r="AV499"/>
        </row>
        <row r="500">
          <cell r="Z500" t="str">
            <v/>
          </cell>
          <cell r="AA500"/>
          <cell r="AB500"/>
          <cell r="AC500"/>
          <cell r="AD500"/>
          <cell r="AE500"/>
          <cell r="AF500"/>
          <cell r="AG500"/>
          <cell r="AH500" t="str">
            <v>en stock</v>
          </cell>
          <cell r="AI500"/>
          <cell r="AJ500"/>
          <cell r="AK500"/>
          <cell r="AL500"/>
          <cell r="AM500"/>
          <cell r="AN500" t="str">
            <v/>
          </cell>
          <cell r="AO500"/>
          <cell r="AP500"/>
          <cell r="AQ500"/>
          <cell r="AR500"/>
          <cell r="AS500"/>
          <cell r="AT500"/>
          <cell r="AU500" t="str">
            <v/>
          </cell>
          <cell r="AV500"/>
        </row>
        <row r="501">
          <cell r="Z501" t="str">
            <v/>
          </cell>
          <cell r="AA501"/>
          <cell r="AB501"/>
          <cell r="AC501"/>
          <cell r="AD501"/>
          <cell r="AE501"/>
          <cell r="AF501"/>
          <cell r="AG501"/>
          <cell r="AH501" t="str">
            <v>en stock</v>
          </cell>
          <cell r="AI501"/>
          <cell r="AJ501"/>
          <cell r="AK501"/>
          <cell r="AL501"/>
          <cell r="AM501"/>
          <cell r="AN501" t="str">
            <v/>
          </cell>
          <cell r="AO501"/>
          <cell r="AP501"/>
          <cell r="AQ501"/>
          <cell r="AR501"/>
          <cell r="AS501"/>
          <cell r="AT501"/>
          <cell r="AU501" t="str">
            <v/>
          </cell>
          <cell r="AV501"/>
        </row>
        <row r="502">
          <cell r="Z502" t="str">
            <v/>
          </cell>
          <cell r="AA502"/>
          <cell r="AB502"/>
          <cell r="AC502"/>
          <cell r="AD502"/>
          <cell r="AE502"/>
          <cell r="AF502"/>
          <cell r="AG502"/>
          <cell r="AH502" t="str">
            <v>en stock</v>
          </cell>
          <cell r="AI502"/>
          <cell r="AJ502"/>
          <cell r="AK502"/>
          <cell r="AL502"/>
          <cell r="AM502"/>
          <cell r="AN502" t="str">
            <v/>
          </cell>
          <cell r="AO502"/>
          <cell r="AP502"/>
          <cell r="AQ502"/>
          <cell r="AR502"/>
          <cell r="AS502"/>
          <cell r="AT502"/>
          <cell r="AU502" t="str">
            <v/>
          </cell>
          <cell r="AV502"/>
        </row>
        <row r="503">
          <cell r="Z503" t="str">
            <v/>
          </cell>
          <cell r="AA503"/>
          <cell r="AB503"/>
          <cell r="AC503"/>
          <cell r="AD503"/>
          <cell r="AE503"/>
          <cell r="AF503"/>
          <cell r="AG503"/>
          <cell r="AH503" t="str">
            <v>en stock</v>
          </cell>
          <cell r="AI503"/>
          <cell r="AJ503"/>
          <cell r="AK503"/>
          <cell r="AL503"/>
          <cell r="AM503"/>
          <cell r="AN503" t="str">
            <v/>
          </cell>
          <cell r="AO503"/>
          <cell r="AP503"/>
          <cell r="AQ503"/>
          <cell r="AR503"/>
          <cell r="AS503"/>
          <cell r="AT503"/>
          <cell r="AU503" t="str">
            <v/>
          </cell>
          <cell r="AV503"/>
        </row>
        <row r="504">
          <cell r="Z504" t="str">
            <v/>
          </cell>
          <cell r="AA504"/>
          <cell r="AB504"/>
          <cell r="AC504"/>
          <cell r="AD504"/>
          <cell r="AE504"/>
          <cell r="AF504"/>
          <cell r="AG504"/>
          <cell r="AH504" t="str">
            <v>en stock</v>
          </cell>
          <cell r="AI504"/>
          <cell r="AJ504"/>
          <cell r="AK504"/>
          <cell r="AL504"/>
          <cell r="AM504"/>
          <cell r="AN504" t="str">
            <v/>
          </cell>
          <cell r="AO504"/>
          <cell r="AP504"/>
          <cell r="AQ504"/>
          <cell r="AR504"/>
          <cell r="AS504"/>
          <cell r="AT504"/>
          <cell r="AU504" t="str">
            <v/>
          </cell>
          <cell r="AV504"/>
        </row>
        <row r="505">
          <cell r="Z505" t="str">
            <v/>
          </cell>
          <cell r="AA505"/>
          <cell r="AB505"/>
          <cell r="AC505"/>
          <cell r="AD505"/>
          <cell r="AE505"/>
          <cell r="AF505"/>
          <cell r="AG505"/>
          <cell r="AH505" t="str">
            <v>en stock</v>
          </cell>
          <cell r="AI505"/>
          <cell r="AJ505"/>
          <cell r="AK505"/>
          <cell r="AL505"/>
          <cell r="AM505"/>
          <cell r="AN505" t="str">
            <v/>
          </cell>
          <cell r="AO505"/>
          <cell r="AP505"/>
          <cell r="AQ505"/>
          <cell r="AR505"/>
          <cell r="AS505"/>
          <cell r="AT505"/>
          <cell r="AU505" t="str">
            <v/>
          </cell>
          <cell r="AV505"/>
        </row>
        <row r="506">
          <cell r="Z506" t="str">
            <v/>
          </cell>
          <cell r="AA506"/>
          <cell r="AB506"/>
          <cell r="AC506"/>
          <cell r="AD506"/>
          <cell r="AE506"/>
          <cell r="AF506"/>
          <cell r="AG506"/>
          <cell r="AH506" t="str">
            <v>en stock</v>
          </cell>
          <cell r="AI506"/>
          <cell r="AJ506"/>
          <cell r="AK506"/>
          <cell r="AL506"/>
          <cell r="AM506"/>
          <cell r="AN506" t="str">
            <v/>
          </cell>
          <cell r="AO506"/>
          <cell r="AP506"/>
          <cell r="AQ506"/>
          <cell r="AR506"/>
          <cell r="AS506"/>
          <cell r="AT506"/>
          <cell r="AU506" t="str">
            <v/>
          </cell>
          <cell r="AV506"/>
        </row>
        <row r="507">
          <cell r="Z507" t="str">
            <v/>
          </cell>
          <cell r="AA507"/>
          <cell r="AB507"/>
          <cell r="AC507"/>
          <cell r="AD507"/>
          <cell r="AE507"/>
          <cell r="AF507"/>
          <cell r="AG507"/>
          <cell r="AH507" t="str">
            <v>en stock</v>
          </cell>
          <cell r="AI507"/>
          <cell r="AJ507"/>
          <cell r="AK507"/>
          <cell r="AL507"/>
          <cell r="AM507"/>
          <cell r="AN507" t="str">
            <v/>
          </cell>
          <cell r="AO507"/>
          <cell r="AP507"/>
          <cell r="AQ507"/>
          <cell r="AR507"/>
          <cell r="AS507"/>
          <cell r="AT507"/>
          <cell r="AU507" t="str">
            <v/>
          </cell>
          <cell r="AV507"/>
        </row>
        <row r="508">
          <cell r="Z508" t="str">
            <v/>
          </cell>
          <cell r="AA508"/>
          <cell r="AB508"/>
          <cell r="AC508"/>
          <cell r="AD508"/>
          <cell r="AE508"/>
          <cell r="AF508"/>
          <cell r="AG508"/>
          <cell r="AH508" t="str">
            <v>en stock</v>
          </cell>
          <cell r="AI508"/>
          <cell r="AJ508"/>
          <cell r="AK508"/>
          <cell r="AL508"/>
          <cell r="AM508"/>
          <cell r="AN508" t="str">
            <v/>
          </cell>
          <cell r="AO508"/>
          <cell r="AP508"/>
          <cell r="AQ508"/>
          <cell r="AR508"/>
          <cell r="AS508"/>
          <cell r="AT508"/>
          <cell r="AU508" t="str">
            <v/>
          </cell>
          <cell r="AV508"/>
        </row>
        <row r="509">
          <cell r="Z509" t="str">
            <v/>
          </cell>
          <cell r="AA509"/>
          <cell r="AB509"/>
          <cell r="AC509"/>
          <cell r="AD509"/>
          <cell r="AE509"/>
          <cell r="AF509"/>
          <cell r="AG509"/>
          <cell r="AH509" t="str">
            <v>en stock</v>
          </cell>
          <cell r="AI509"/>
          <cell r="AJ509"/>
          <cell r="AK509"/>
          <cell r="AL509"/>
          <cell r="AM509"/>
          <cell r="AN509" t="str">
            <v/>
          </cell>
          <cell r="AO509"/>
          <cell r="AP509"/>
          <cell r="AQ509"/>
          <cell r="AR509"/>
          <cell r="AS509"/>
          <cell r="AT509"/>
          <cell r="AU509" t="str">
            <v/>
          </cell>
          <cell r="AV509"/>
        </row>
        <row r="510">
          <cell r="Z510" t="str">
            <v/>
          </cell>
          <cell r="AA510"/>
          <cell r="AB510"/>
          <cell r="AC510"/>
          <cell r="AD510"/>
          <cell r="AE510"/>
          <cell r="AF510"/>
          <cell r="AG510"/>
          <cell r="AH510" t="str">
            <v>en stock</v>
          </cell>
          <cell r="AI510"/>
          <cell r="AJ510"/>
          <cell r="AK510"/>
          <cell r="AL510"/>
          <cell r="AM510"/>
          <cell r="AN510" t="str">
            <v/>
          </cell>
          <cell r="AO510"/>
          <cell r="AP510"/>
          <cell r="AQ510"/>
          <cell r="AR510"/>
          <cell r="AS510"/>
          <cell r="AT510"/>
          <cell r="AU510" t="str">
            <v/>
          </cell>
          <cell r="AV510"/>
        </row>
        <row r="511">
          <cell r="Z511" t="str">
            <v/>
          </cell>
          <cell r="AA511"/>
          <cell r="AB511"/>
          <cell r="AC511"/>
          <cell r="AD511"/>
          <cell r="AE511"/>
          <cell r="AF511"/>
          <cell r="AG511"/>
          <cell r="AH511" t="str">
            <v>en stock</v>
          </cell>
          <cell r="AI511"/>
          <cell r="AJ511"/>
          <cell r="AK511"/>
          <cell r="AL511"/>
          <cell r="AM511"/>
          <cell r="AN511" t="str">
            <v/>
          </cell>
          <cell r="AO511"/>
          <cell r="AP511"/>
          <cell r="AQ511"/>
          <cell r="AR511"/>
          <cell r="AS511"/>
          <cell r="AT511"/>
          <cell r="AU511" t="str">
            <v/>
          </cell>
          <cell r="AV511"/>
        </row>
        <row r="512">
          <cell r="Z512" t="str">
            <v/>
          </cell>
          <cell r="AA512"/>
          <cell r="AB512"/>
          <cell r="AC512"/>
          <cell r="AD512"/>
          <cell r="AE512"/>
          <cell r="AF512"/>
          <cell r="AG512"/>
          <cell r="AH512" t="str">
            <v>en stock</v>
          </cell>
          <cell r="AI512"/>
          <cell r="AJ512"/>
          <cell r="AK512"/>
          <cell r="AL512"/>
          <cell r="AM512"/>
          <cell r="AN512" t="str">
            <v/>
          </cell>
          <cell r="AO512"/>
          <cell r="AP512"/>
          <cell r="AQ512"/>
          <cell r="AR512"/>
          <cell r="AS512"/>
          <cell r="AT512"/>
          <cell r="AU512" t="str">
            <v/>
          </cell>
          <cell r="AV512"/>
        </row>
        <row r="513">
          <cell r="Z513" t="str">
            <v/>
          </cell>
          <cell r="AA513"/>
          <cell r="AB513"/>
          <cell r="AC513"/>
          <cell r="AD513"/>
          <cell r="AE513"/>
          <cell r="AF513"/>
          <cell r="AG513"/>
          <cell r="AH513" t="str">
            <v>en stock</v>
          </cell>
          <cell r="AI513"/>
          <cell r="AJ513"/>
          <cell r="AK513"/>
          <cell r="AL513"/>
          <cell r="AM513"/>
          <cell r="AN513" t="str">
            <v/>
          </cell>
          <cell r="AO513"/>
          <cell r="AP513"/>
          <cell r="AQ513"/>
          <cell r="AR513"/>
          <cell r="AS513"/>
          <cell r="AT513"/>
          <cell r="AU513" t="str">
            <v/>
          </cell>
          <cell r="AV513"/>
        </row>
        <row r="514">
          <cell r="Z514" t="str">
            <v/>
          </cell>
          <cell r="AA514"/>
          <cell r="AB514"/>
          <cell r="AC514"/>
          <cell r="AD514"/>
          <cell r="AE514"/>
          <cell r="AF514"/>
          <cell r="AG514"/>
          <cell r="AH514" t="str">
            <v>en stock</v>
          </cell>
          <cell r="AI514"/>
          <cell r="AJ514"/>
          <cell r="AK514"/>
          <cell r="AL514"/>
          <cell r="AM514"/>
          <cell r="AN514" t="str">
            <v/>
          </cell>
          <cell r="AO514"/>
          <cell r="AP514"/>
          <cell r="AQ514"/>
          <cell r="AR514"/>
          <cell r="AS514"/>
          <cell r="AT514"/>
          <cell r="AU514" t="str">
            <v/>
          </cell>
          <cell r="AV514"/>
        </row>
        <row r="515">
          <cell r="Z515" t="str">
            <v/>
          </cell>
          <cell r="AA515"/>
          <cell r="AB515"/>
          <cell r="AC515"/>
          <cell r="AD515"/>
          <cell r="AE515"/>
          <cell r="AF515"/>
          <cell r="AG515"/>
          <cell r="AH515" t="str">
            <v>en stock</v>
          </cell>
          <cell r="AI515"/>
          <cell r="AJ515"/>
          <cell r="AK515"/>
          <cell r="AL515"/>
          <cell r="AM515"/>
          <cell r="AN515" t="str">
            <v/>
          </cell>
          <cell r="AO515"/>
          <cell r="AP515"/>
          <cell r="AQ515"/>
          <cell r="AR515"/>
          <cell r="AS515"/>
          <cell r="AT515"/>
          <cell r="AU515" t="str">
            <v/>
          </cell>
          <cell r="AV515"/>
        </row>
        <row r="516">
          <cell r="Z516" t="str">
            <v/>
          </cell>
          <cell r="AA516"/>
          <cell r="AB516"/>
          <cell r="AC516"/>
          <cell r="AD516"/>
          <cell r="AE516"/>
          <cell r="AF516"/>
          <cell r="AG516"/>
          <cell r="AH516" t="str">
            <v>en stock</v>
          </cell>
          <cell r="AI516"/>
          <cell r="AJ516"/>
          <cell r="AK516"/>
          <cell r="AL516"/>
          <cell r="AM516"/>
          <cell r="AN516" t="str">
            <v/>
          </cell>
          <cell r="AO516"/>
          <cell r="AP516"/>
          <cell r="AQ516"/>
          <cell r="AR516"/>
          <cell r="AS516"/>
          <cell r="AT516"/>
          <cell r="AU516" t="str">
            <v/>
          </cell>
          <cell r="AV516"/>
        </row>
        <row r="517">
          <cell r="Z517" t="str">
            <v/>
          </cell>
          <cell r="AA517"/>
          <cell r="AB517"/>
          <cell r="AC517"/>
          <cell r="AD517"/>
          <cell r="AE517"/>
          <cell r="AF517"/>
          <cell r="AG517"/>
          <cell r="AH517" t="str">
            <v>en stock</v>
          </cell>
          <cell r="AI517"/>
          <cell r="AJ517"/>
          <cell r="AK517"/>
          <cell r="AL517"/>
          <cell r="AM517"/>
          <cell r="AN517" t="str">
            <v/>
          </cell>
          <cell r="AO517"/>
          <cell r="AP517"/>
          <cell r="AQ517"/>
          <cell r="AR517"/>
          <cell r="AS517"/>
          <cell r="AT517"/>
          <cell r="AU517" t="str">
            <v/>
          </cell>
          <cell r="AV517"/>
        </row>
        <row r="518">
          <cell r="Z518" t="str">
            <v/>
          </cell>
          <cell r="AA518"/>
          <cell r="AB518"/>
          <cell r="AC518"/>
          <cell r="AD518"/>
          <cell r="AE518"/>
          <cell r="AF518"/>
          <cell r="AG518"/>
          <cell r="AH518" t="str">
            <v>en stock</v>
          </cell>
          <cell r="AI518"/>
          <cell r="AJ518"/>
          <cell r="AK518"/>
          <cell r="AL518"/>
          <cell r="AM518"/>
          <cell r="AN518" t="str">
            <v/>
          </cell>
          <cell r="AO518"/>
          <cell r="AP518"/>
          <cell r="AQ518"/>
          <cell r="AR518"/>
          <cell r="AS518"/>
          <cell r="AT518"/>
          <cell r="AU518" t="str">
            <v/>
          </cell>
          <cell r="AV518"/>
        </row>
        <row r="519">
          <cell r="Z519" t="str">
            <v/>
          </cell>
          <cell r="AA519"/>
          <cell r="AB519"/>
          <cell r="AC519"/>
          <cell r="AD519"/>
          <cell r="AE519"/>
          <cell r="AF519"/>
          <cell r="AG519"/>
          <cell r="AH519" t="str">
            <v>en stock</v>
          </cell>
          <cell r="AI519"/>
          <cell r="AJ519"/>
          <cell r="AK519"/>
          <cell r="AL519"/>
          <cell r="AM519"/>
          <cell r="AN519" t="str">
            <v/>
          </cell>
          <cell r="AO519"/>
          <cell r="AP519"/>
          <cell r="AQ519"/>
          <cell r="AR519"/>
          <cell r="AS519"/>
          <cell r="AT519"/>
          <cell r="AU519" t="str">
            <v/>
          </cell>
          <cell r="AV519"/>
        </row>
        <row r="520">
          <cell r="Z520" t="str">
            <v/>
          </cell>
          <cell r="AA520"/>
          <cell r="AB520"/>
          <cell r="AC520"/>
          <cell r="AD520"/>
          <cell r="AE520"/>
          <cell r="AF520"/>
          <cell r="AG520"/>
          <cell r="AH520" t="str">
            <v>en stock</v>
          </cell>
          <cell r="AI520"/>
          <cell r="AJ520"/>
          <cell r="AK520"/>
          <cell r="AL520"/>
          <cell r="AM520"/>
          <cell r="AN520" t="str">
            <v/>
          </cell>
          <cell r="AO520"/>
          <cell r="AP520"/>
          <cell r="AQ520"/>
          <cell r="AR520"/>
          <cell r="AS520"/>
          <cell r="AT520"/>
          <cell r="AU520" t="str">
            <v/>
          </cell>
          <cell r="AV520"/>
        </row>
        <row r="521">
          <cell r="Z521" t="str">
            <v/>
          </cell>
          <cell r="AA521"/>
          <cell r="AB521"/>
          <cell r="AC521"/>
          <cell r="AD521"/>
          <cell r="AE521"/>
          <cell r="AF521"/>
          <cell r="AG521"/>
          <cell r="AH521" t="str">
            <v>en stock</v>
          </cell>
          <cell r="AI521"/>
          <cell r="AJ521"/>
          <cell r="AK521"/>
          <cell r="AL521"/>
          <cell r="AM521"/>
          <cell r="AN521" t="str">
            <v/>
          </cell>
          <cell r="AO521"/>
          <cell r="AP521"/>
          <cell r="AQ521"/>
          <cell r="AR521"/>
          <cell r="AS521"/>
          <cell r="AT521"/>
          <cell r="AU521" t="str">
            <v/>
          </cell>
          <cell r="AV521"/>
        </row>
        <row r="522">
          <cell r="Z522" t="str">
            <v/>
          </cell>
          <cell r="AA522"/>
          <cell r="AB522"/>
          <cell r="AC522"/>
          <cell r="AD522"/>
          <cell r="AE522"/>
          <cell r="AF522"/>
          <cell r="AG522"/>
          <cell r="AH522" t="str">
            <v>en stock</v>
          </cell>
          <cell r="AI522"/>
          <cell r="AJ522"/>
          <cell r="AK522"/>
          <cell r="AL522"/>
          <cell r="AM522"/>
          <cell r="AN522" t="str">
            <v/>
          </cell>
          <cell r="AO522"/>
          <cell r="AP522"/>
          <cell r="AQ522"/>
          <cell r="AR522"/>
          <cell r="AS522"/>
          <cell r="AT522"/>
          <cell r="AU522" t="str">
            <v/>
          </cell>
          <cell r="AV522"/>
        </row>
        <row r="523">
          <cell r="Z523" t="str">
            <v/>
          </cell>
          <cell r="AA523"/>
          <cell r="AB523"/>
          <cell r="AC523"/>
          <cell r="AD523"/>
          <cell r="AE523"/>
          <cell r="AF523"/>
          <cell r="AG523"/>
          <cell r="AH523" t="str">
            <v>en stock</v>
          </cell>
          <cell r="AI523"/>
          <cell r="AJ523"/>
          <cell r="AK523"/>
          <cell r="AL523"/>
          <cell r="AM523"/>
          <cell r="AN523" t="str">
            <v/>
          </cell>
          <cell r="AO523"/>
          <cell r="AP523"/>
          <cell r="AQ523"/>
          <cell r="AR523"/>
          <cell r="AS523"/>
          <cell r="AT523"/>
          <cell r="AU523" t="str">
            <v/>
          </cell>
          <cell r="AV523"/>
        </row>
        <row r="524">
          <cell r="Z524" t="str">
            <v/>
          </cell>
          <cell r="AA524"/>
          <cell r="AB524"/>
          <cell r="AC524"/>
          <cell r="AD524"/>
          <cell r="AE524"/>
          <cell r="AF524"/>
          <cell r="AG524"/>
          <cell r="AH524" t="str">
            <v>en stock</v>
          </cell>
          <cell r="AI524"/>
          <cell r="AJ524"/>
          <cell r="AK524"/>
          <cell r="AL524"/>
          <cell r="AM524"/>
          <cell r="AN524" t="str">
            <v/>
          </cell>
          <cell r="AO524"/>
          <cell r="AP524"/>
          <cell r="AQ524"/>
          <cell r="AR524"/>
          <cell r="AS524"/>
          <cell r="AT524"/>
          <cell r="AU524" t="str">
            <v/>
          </cell>
          <cell r="AV524"/>
        </row>
        <row r="525">
          <cell r="Z525" t="str">
            <v/>
          </cell>
          <cell r="AA525"/>
          <cell r="AB525"/>
          <cell r="AC525"/>
          <cell r="AD525"/>
          <cell r="AE525"/>
          <cell r="AF525"/>
          <cell r="AG525"/>
          <cell r="AH525" t="str">
            <v>en stock</v>
          </cell>
          <cell r="AI525"/>
          <cell r="AJ525"/>
          <cell r="AK525"/>
          <cell r="AL525"/>
          <cell r="AM525"/>
          <cell r="AN525" t="str">
            <v/>
          </cell>
          <cell r="AO525"/>
          <cell r="AP525"/>
          <cell r="AQ525"/>
          <cell r="AR525"/>
          <cell r="AS525"/>
          <cell r="AT525"/>
          <cell r="AU525" t="str">
            <v/>
          </cell>
          <cell r="AV525"/>
        </row>
        <row r="526">
          <cell r="Z526" t="str">
            <v/>
          </cell>
          <cell r="AA526"/>
          <cell r="AB526"/>
          <cell r="AC526"/>
          <cell r="AD526"/>
          <cell r="AE526"/>
          <cell r="AF526"/>
          <cell r="AG526"/>
          <cell r="AH526" t="str">
            <v>en stock</v>
          </cell>
          <cell r="AI526"/>
          <cell r="AJ526"/>
          <cell r="AK526"/>
          <cell r="AL526"/>
          <cell r="AM526"/>
          <cell r="AN526" t="str">
            <v/>
          </cell>
          <cell r="AO526"/>
          <cell r="AP526"/>
          <cell r="AQ526"/>
          <cell r="AR526"/>
          <cell r="AS526"/>
          <cell r="AT526"/>
          <cell r="AU526" t="str">
            <v/>
          </cell>
          <cell r="AV526"/>
        </row>
        <row r="527">
          <cell r="Z527" t="str">
            <v/>
          </cell>
          <cell r="AA527"/>
          <cell r="AB527"/>
          <cell r="AC527"/>
          <cell r="AD527"/>
          <cell r="AE527"/>
          <cell r="AF527"/>
          <cell r="AG527"/>
          <cell r="AH527" t="str">
            <v>en stock</v>
          </cell>
          <cell r="AI527"/>
          <cell r="AJ527"/>
          <cell r="AK527"/>
          <cell r="AL527"/>
          <cell r="AM527"/>
          <cell r="AN527" t="str">
            <v/>
          </cell>
          <cell r="AO527"/>
          <cell r="AP527"/>
          <cell r="AQ527"/>
          <cell r="AR527"/>
          <cell r="AS527"/>
          <cell r="AT527"/>
          <cell r="AU527" t="str">
            <v/>
          </cell>
          <cell r="AV527"/>
        </row>
        <row r="528">
          <cell r="Z528" t="str">
            <v/>
          </cell>
          <cell r="AA528"/>
          <cell r="AB528"/>
          <cell r="AC528"/>
          <cell r="AD528"/>
          <cell r="AE528"/>
          <cell r="AF528"/>
          <cell r="AG528"/>
          <cell r="AH528" t="str">
            <v>en stock</v>
          </cell>
          <cell r="AI528"/>
          <cell r="AJ528"/>
          <cell r="AK528"/>
          <cell r="AL528"/>
          <cell r="AM528"/>
          <cell r="AN528" t="str">
            <v/>
          </cell>
          <cell r="AO528"/>
          <cell r="AP528"/>
          <cell r="AQ528"/>
          <cell r="AR528"/>
          <cell r="AS528"/>
          <cell r="AT528"/>
          <cell r="AU528" t="str">
            <v/>
          </cell>
          <cell r="AV528"/>
        </row>
        <row r="529">
          <cell r="Z529" t="str">
            <v/>
          </cell>
          <cell r="AA529"/>
          <cell r="AB529"/>
          <cell r="AC529"/>
          <cell r="AD529"/>
          <cell r="AE529"/>
          <cell r="AF529"/>
          <cell r="AG529"/>
          <cell r="AH529" t="str">
            <v>en stock</v>
          </cell>
          <cell r="AI529"/>
          <cell r="AJ529"/>
          <cell r="AK529"/>
          <cell r="AL529"/>
          <cell r="AM529"/>
          <cell r="AN529" t="str">
            <v/>
          </cell>
          <cell r="AO529"/>
          <cell r="AP529"/>
          <cell r="AQ529"/>
          <cell r="AR529"/>
          <cell r="AS529"/>
          <cell r="AT529"/>
          <cell r="AU529" t="str">
            <v/>
          </cell>
          <cell r="AV529"/>
        </row>
        <row r="530">
          <cell r="Z530" t="str">
            <v/>
          </cell>
          <cell r="AA530"/>
          <cell r="AB530"/>
          <cell r="AC530"/>
          <cell r="AD530"/>
          <cell r="AE530"/>
          <cell r="AF530"/>
          <cell r="AG530"/>
          <cell r="AH530" t="str">
            <v>en stock</v>
          </cell>
          <cell r="AI530"/>
          <cell r="AJ530"/>
          <cell r="AK530"/>
          <cell r="AL530"/>
          <cell r="AM530"/>
          <cell r="AN530" t="str">
            <v/>
          </cell>
          <cell r="AO530"/>
          <cell r="AP530"/>
          <cell r="AQ530"/>
          <cell r="AR530"/>
          <cell r="AS530"/>
          <cell r="AT530"/>
          <cell r="AU530" t="str">
            <v/>
          </cell>
          <cell r="AV530"/>
        </row>
        <row r="531">
          <cell r="Z531" t="str">
            <v/>
          </cell>
          <cell r="AA531"/>
          <cell r="AB531"/>
          <cell r="AC531"/>
          <cell r="AD531"/>
          <cell r="AE531"/>
          <cell r="AF531"/>
          <cell r="AG531"/>
          <cell r="AH531" t="str">
            <v>en stock</v>
          </cell>
          <cell r="AI531"/>
          <cell r="AJ531"/>
          <cell r="AK531"/>
          <cell r="AL531"/>
          <cell r="AM531"/>
          <cell r="AN531" t="str">
            <v/>
          </cell>
          <cell r="AO531"/>
          <cell r="AP531"/>
          <cell r="AQ531"/>
          <cell r="AR531"/>
          <cell r="AS531"/>
          <cell r="AT531"/>
          <cell r="AU531" t="str">
            <v/>
          </cell>
          <cell r="AV531"/>
        </row>
        <row r="532">
          <cell r="Z532" t="str">
            <v/>
          </cell>
          <cell r="AA532"/>
          <cell r="AB532"/>
          <cell r="AC532"/>
          <cell r="AD532"/>
          <cell r="AE532"/>
          <cell r="AF532"/>
          <cell r="AG532"/>
          <cell r="AH532" t="str">
            <v>en stock</v>
          </cell>
          <cell r="AI532"/>
          <cell r="AJ532"/>
          <cell r="AK532"/>
          <cell r="AL532"/>
          <cell r="AM532"/>
          <cell r="AN532" t="str">
            <v/>
          </cell>
          <cell r="AO532"/>
          <cell r="AP532"/>
          <cell r="AQ532"/>
          <cell r="AR532"/>
          <cell r="AS532"/>
          <cell r="AT532"/>
          <cell r="AU532" t="str">
            <v/>
          </cell>
          <cell r="AV532"/>
        </row>
        <row r="533">
          <cell r="Z533" t="str">
            <v/>
          </cell>
          <cell r="AA533"/>
          <cell r="AB533"/>
          <cell r="AC533"/>
          <cell r="AD533"/>
          <cell r="AE533"/>
          <cell r="AF533"/>
          <cell r="AG533"/>
          <cell r="AH533" t="str">
            <v>en stock</v>
          </cell>
          <cell r="AI533"/>
          <cell r="AJ533"/>
          <cell r="AK533"/>
          <cell r="AL533"/>
          <cell r="AM533"/>
          <cell r="AN533" t="str">
            <v/>
          </cell>
          <cell r="AO533"/>
          <cell r="AP533"/>
          <cell r="AQ533"/>
          <cell r="AR533"/>
          <cell r="AS533"/>
          <cell r="AT533"/>
          <cell r="AU533" t="str">
            <v/>
          </cell>
          <cell r="AV533"/>
        </row>
        <row r="534">
          <cell r="Z534" t="str">
            <v/>
          </cell>
          <cell r="AA534"/>
          <cell r="AB534"/>
          <cell r="AC534"/>
          <cell r="AD534"/>
          <cell r="AE534"/>
          <cell r="AF534"/>
          <cell r="AG534"/>
          <cell r="AH534" t="str">
            <v>en stock</v>
          </cell>
          <cell r="AI534"/>
          <cell r="AJ534"/>
          <cell r="AK534"/>
          <cell r="AL534"/>
          <cell r="AM534"/>
          <cell r="AN534" t="str">
            <v/>
          </cell>
          <cell r="AO534"/>
          <cell r="AP534"/>
          <cell r="AQ534"/>
          <cell r="AR534"/>
          <cell r="AS534"/>
          <cell r="AT534"/>
          <cell r="AU534" t="str">
            <v/>
          </cell>
          <cell r="AV534"/>
        </row>
        <row r="535">
          <cell r="Z535" t="str">
            <v/>
          </cell>
          <cell r="AA535"/>
          <cell r="AB535"/>
          <cell r="AC535"/>
          <cell r="AD535"/>
          <cell r="AE535"/>
          <cell r="AF535"/>
          <cell r="AG535"/>
          <cell r="AH535" t="str">
            <v>en stock</v>
          </cell>
          <cell r="AI535"/>
          <cell r="AJ535"/>
          <cell r="AK535"/>
          <cell r="AL535"/>
          <cell r="AM535"/>
          <cell r="AN535" t="str">
            <v/>
          </cell>
          <cell r="AO535"/>
          <cell r="AP535"/>
          <cell r="AQ535"/>
          <cell r="AR535"/>
          <cell r="AS535"/>
          <cell r="AT535"/>
          <cell r="AU535" t="str">
            <v/>
          </cell>
          <cell r="AV535"/>
        </row>
        <row r="536">
          <cell r="Z536" t="str">
            <v/>
          </cell>
          <cell r="AA536"/>
          <cell r="AB536"/>
          <cell r="AC536"/>
          <cell r="AD536"/>
          <cell r="AE536"/>
          <cell r="AF536"/>
          <cell r="AG536"/>
          <cell r="AH536" t="str">
            <v>en stock</v>
          </cell>
          <cell r="AI536"/>
          <cell r="AJ536"/>
          <cell r="AK536"/>
          <cell r="AL536"/>
          <cell r="AM536"/>
          <cell r="AN536" t="str">
            <v/>
          </cell>
          <cell r="AO536"/>
          <cell r="AP536"/>
          <cell r="AQ536"/>
          <cell r="AR536"/>
          <cell r="AS536"/>
          <cell r="AT536"/>
          <cell r="AU536" t="str">
            <v/>
          </cell>
          <cell r="AV536"/>
        </row>
        <row r="537">
          <cell r="Z537" t="str">
            <v/>
          </cell>
          <cell r="AA537"/>
          <cell r="AB537"/>
          <cell r="AC537"/>
          <cell r="AD537"/>
          <cell r="AE537"/>
          <cell r="AF537"/>
          <cell r="AG537"/>
          <cell r="AH537" t="str">
            <v>en stock</v>
          </cell>
          <cell r="AI537"/>
          <cell r="AJ537"/>
          <cell r="AK537"/>
          <cell r="AL537"/>
          <cell r="AM537"/>
          <cell r="AN537" t="str">
            <v/>
          </cell>
          <cell r="AO537"/>
          <cell r="AP537"/>
          <cell r="AQ537"/>
          <cell r="AR537"/>
          <cell r="AS537"/>
          <cell r="AT537"/>
          <cell r="AU537" t="str">
            <v/>
          </cell>
          <cell r="AV537"/>
        </row>
        <row r="538">
          <cell r="Z538" t="str">
            <v/>
          </cell>
          <cell r="AA538"/>
          <cell r="AB538"/>
          <cell r="AC538"/>
          <cell r="AD538"/>
          <cell r="AE538"/>
          <cell r="AF538"/>
          <cell r="AG538"/>
          <cell r="AH538" t="str">
            <v>en stock</v>
          </cell>
          <cell r="AI538"/>
          <cell r="AJ538"/>
          <cell r="AK538"/>
          <cell r="AL538"/>
          <cell r="AM538"/>
          <cell r="AN538" t="str">
            <v/>
          </cell>
          <cell r="AO538"/>
          <cell r="AP538"/>
          <cell r="AQ538"/>
          <cell r="AR538"/>
          <cell r="AS538"/>
          <cell r="AT538"/>
          <cell r="AU538" t="str">
            <v/>
          </cell>
          <cell r="AV538"/>
        </row>
        <row r="539">
          <cell r="Z539" t="str">
            <v/>
          </cell>
          <cell r="AA539"/>
          <cell r="AB539"/>
          <cell r="AC539"/>
          <cell r="AD539"/>
          <cell r="AE539"/>
          <cell r="AF539"/>
          <cell r="AG539"/>
          <cell r="AH539" t="str">
            <v>en stock</v>
          </cell>
          <cell r="AI539"/>
          <cell r="AJ539"/>
          <cell r="AK539"/>
          <cell r="AL539"/>
          <cell r="AM539"/>
          <cell r="AN539" t="str">
            <v/>
          </cell>
          <cell r="AO539"/>
          <cell r="AP539"/>
          <cell r="AQ539"/>
          <cell r="AR539"/>
          <cell r="AS539"/>
          <cell r="AT539"/>
          <cell r="AU539" t="str">
            <v/>
          </cell>
          <cell r="AV539"/>
        </row>
        <row r="540">
          <cell r="Z540" t="str">
            <v/>
          </cell>
          <cell r="AA540"/>
          <cell r="AB540"/>
          <cell r="AC540"/>
          <cell r="AD540"/>
          <cell r="AE540"/>
          <cell r="AF540"/>
          <cell r="AG540"/>
          <cell r="AH540" t="str">
            <v>en stock</v>
          </cell>
          <cell r="AI540"/>
          <cell r="AJ540"/>
          <cell r="AK540"/>
          <cell r="AL540"/>
          <cell r="AM540"/>
          <cell r="AN540" t="str">
            <v/>
          </cell>
          <cell r="AO540"/>
          <cell r="AP540"/>
          <cell r="AQ540"/>
          <cell r="AR540"/>
          <cell r="AS540"/>
          <cell r="AT540"/>
          <cell r="AU540" t="str">
            <v/>
          </cell>
          <cell r="AV540"/>
        </row>
        <row r="541">
          <cell r="Z541" t="str">
            <v/>
          </cell>
          <cell r="AA541"/>
          <cell r="AB541"/>
          <cell r="AC541"/>
          <cell r="AD541"/>
          <cell r="AE541"/>
          <cell r="AF541"/>
          <cell r="AG541"/>
          <cell r="AH541" t="str">
            <v>en stock</v>
          </cell>
          <cell r="AI541"/>
          <cell r="AJ541"/>
          <cell r="AK541"/>
          <cell r="AL541"/>
          <cell r="AM541"/>
          <cell r="AN541" t="str">
            <v/>
          </cell>
          <cell r="AO541"/>
          <cell r="AP541"/>
          <cell r="AQ541"/>
          <cell r="AR541"/>
          <cell r="AS541"/>
          <cell r="AT541"/>
          <cell r="AU541" t="str">
            <v/>
          </cell>
          <cell r="AV541"/>
        </row>
        <row r="542">
          <cell r="Z542" t="str">
            <v/>
          </cell>
          <cell r="AA542"/>
          <cell r="AB542"/>
          <cell r="AC542"/>
          <cell r="AD542"/>
          <cell r="AE542"/>
          <cell r="AF542"/>
          <cell r="AG542"/>
          <cell r="AH542" t="str">
            <v>en stock</v>
          </cell>
          <cell r="AI542"/>
          <cell r="AJ542"/>
          <cell r="AK542"/>
          <cell r="AL542"/>
          <cell r="AM542"/>
          <cell r="AN542" t="str">
            <v/>
          </cell>
          <cell r="AO542"/>
          <cell r="AP542"/>
          <cell r="AQ542"/>
          <cell r="AR542"/>
          <cell r="AS542"/>
          <cell r="AT542"/>
          <cell r="AU542" t="str">
            <v/>
          </cell>
          <cell r="AV542"/>
        </row>
        <row r="543">
          <cell r="Z543" t="str">
            <v/>
          </cell>
          <cell r="AA543"/>
          <cell r="AB543"/>
          <cell r="AC543"/>
          <cell r="AD543"/>
          <cell r="AE543"/>
          <cell r="AF543"/>
          <cell r="AG543"/>
          <cell r="AH543" t="str">
            <v>en stock</v>
          </cell>
          <cell r="AI543"/>
          <cell r="AJ543"/>
          <cell r="AK543"/>
          <cell r="AL543"/>
          <cell r="AM543"/>
          <cell r="AN543" t="str">
            <v/>
          </cell>
          <cell r="AO543"/>
          <cell r="AP543"/>
          <cell r="AQ543"/>
          <cell r="AR543"/>
          <cell r="AS543"/>
          <cell r="AT543"/>
          <cell r="AU543" t="str">
            <v/>
          </cell>
          <cell r="AV543"/>
        </row>
        <row r="544">
          <cell r="Z544" t="str">
            <v/>
          </cell>
          <cell r="AA544"/>
          <cell r="AB544"/>
          <cell r="AC544"/>
          <cell r="AD544"/>
          <cell r="AE544"/>
          <cell r="AF544"/>
          <cell r="AG544"/>
          <cell r="AH544" t="str">
            <v>en stock</v>
          </cell>
          <cell r="AI544"/>
          <cell r="AJ544"/>
          <cell r="AK544"/>
          <cell r="AL544"/>
          <cell r="AM544"/>
          <cell r="AN544" t="str">
            <v/>
          </cell>
          <cell r="AO544"/>
          <cell r="AP544"/>
          <cell r="AQ544"/>
          <cell r="AR544"/>
          <cell r="AS544"/>
          <cell r="AT544"/>
          <cell r="AU544" t="str">
            <v/>
          </cell>
          <cell r="AV544"/>
        </row>
        <row r="545">
          <cell r="Z545" t="str">
            <v/>
          </cell>
          <cell r="AA545"/>
          <cell r="AB545"/>
          <cell r="AC545"/>
          <cell r="AD545"/>
          <cell r="AE545"/>
          <cell r="AF545"/>
          <cell r="AG545"/>
          <cell r="AH545" t="str">
            <v>en stock</v>
          </cell>
          <cell r="AI545"/>
          <cell r="AJ545"/>
          <cell r="AK545"/>
          <cell r="AL545"/>
          <cell r="AM545"/>
          <cell r="AN545" t="str">
            <v/>
          </cell>
          <cell r="AO545"/>
          <cell r="AP545"/>
          <cell r="AQ545"/>
          <cell r="AR545"/>
          <cell r="AS545"/>
          <cell r="AT545"/>
          <cell r="AU545" t="str">
            <v/>
          </cell>
          <cell r="AV545"/>
        </row>
        <row r="546">
          <cell r="Z546" t="str">
            <v/>
          </cell>
          <cell r="AA546"/>
          <cell r="AB546"/>
          <cell r="AC546"/>
          <cell r="AD546"/>
          <cell r="AE546"/>
          <cell r="AF546"/>
          <cell r="AG546"/>
          <cell r="AH546" t="str">
            <v>en stock</v>
          </cell>
          <cell r="AI546"/>
          <cell r="AJ546"/>
          <cell r="AK546"/>
          <cell r="AL546"/>
          <cell r="AM546"/>
          <cell r="AN546" t="str">
            <v/>
          </cell>
          <cell r="AO546"/>
          <cell r="AP546"/>
          <cell r="AQ546"/>
          <cell r="AR546"/>
          <cell r="AS546"/>
          <cell r="AT546"/>
          <cell r="AU546" t="str">
            <v/>
          </cell>
          <cell r="AV546"/>
        </row>
        <row r="547">
          <cell r="Z547" t="str">
            <v/>
          </cell>
          <cell r="AA547"/>
          <cell r="AB547"/>
          <cell r="AC547"/>
          <cell r="AD547"/>
          <cell r="AE547"/>
          <cell r="AF547"/>
          <cell r="AG547"/>
          <cell r="AH547" t="str">
            <v>en stock</v>
          </cell>
          <cell r="AI547"/>
          <cell r="AJ547"/>
          <cell r="AK547"/>
          <cell r="AL547"/>
          <cell r="AM547"/>
          <cell r="AN547" t="str">
            <v/>
          </cell>
          <cell r="AO547"/>
          <cell r="AP547"/>
          <cell r="AQ547"/>
          <cell r="AR547"/>
          <cell r="AS547"/>
          <cell r="AT547"/>
          <cell r="AU547" t="str">
            <v/>
          </cell>
          <cell r="AV547"/>
        </row>
        <row r="548">
          <cell r="Z548" t="str">
            <v/>
          </cell>
          <cell r="AA548"/>
          <cell r="AB548"/>
          <cell r="AC548"/>
          <cell r="AD548"/>
          <cell r="AE548"/>
          <cell r="AF548"/>
          <cell r="AG548"/>
          <cell r="AH548" t="str">
            <v>en stock</v>
          </cell>
          <cell r="AI548"/>
          <cell r="AJ548"/>
          <cell r="AK548"/>
          <cell r="AL548"/>
          <cell r="AM548"/>
          <cell r="AN548" t="str">
            <v/>
          </cell>
          <cell r="AO548"/>
          <cell r="AP548"/>
          <cell r="AQ548"/>
          <cell r="AR548"/>
          <cell r="AS548"/>
          <cell r="AT548"/>
          <cell r="AU548" t="str">
            <v/>
          </cell>
          <cell r="AV548"/>
        </row>
        <row r="549">
          <cell r="Z549" t="str">
            <v/>
          </cell>
          <cell r="AA549"/>
          <cell r="AB549"/>
          <cell r="AC549"/>
          <cell r="AD549"/>
          <cell r="AE549"/>
          <cell r="AF549"/>
          <cell r="AG549"/>
          <cell r="AH549" t="str">
            <v>en stock</v>
          </cell>
          <cell r="AI549"/>
          <cell r="AJ549"/>
          <cell r="AK549"/>
          <cell r="AL549"/>
          <cell r="AM549"/>
          <cell r="AN549" t="str">
            <v/>
          </cell>
          <cell r="AO549"/>
          <cell r="AP549"/>
          <cell r="AQ549"/>
          <cell r="AR549"/>
          <cell r="AS549"/>
          <cell r="AT549"/>
          <cell r="AU549" t="str">
            <v/>
          </cell>
          <cell r="AV549"/>
        </row>
        <row r="550">
          <cell r="Z550" t="str">
            <v/>
          </cell>
          <cell r="AA550"/>
          <cell r="AB550"/>
          <cell r="AC550"/>
          <cell r="AD550"/>
          <cell r="AE550"/>
          <cell r="AF550"/>
          <cell r="AG550"/>
          <cell r="AH550" t="str">
            <v>en stock</v>
          </cell>
          <cell r="AI550"/>
          <cell r="AJ550"/>
          <cell r="AK550"/>
          <cell r="AL550"/>
          <cell r="AM550"/>
          <cell r="AN550" t="str">
            <v/>
          </cell>
          <cell r="AO550"/>
          <cell r="AP550"/>
          <cell r="AQ550"/>
          <cell r="AR550"/>
          <cell r="AS550"/>
          <cell r="AT550"/>
          <cell r="AU550" t="str">
            <v/>
          </cell>
          <cell r="AV550"/>
        </row>
        <row r="551">
          <cell r="Z551" t="str">
            <v/>
          </cell>
          <cell r="AA551"/>
          <cell r="AB551"/>
          <cell r="AC551"/>
          <cell r="AD551"/>
          <cell r="AE551"/>
          <cell r="AF551"/>
          <cell r="AG551"/>
          <cell r="AH551" t="str">
            <v>en stock</v>
          </cell>
          <cell r="AI551"/>
          <cell r="AJ551"/>
          <cell r="AK551"/>
          <cell r="AL551"/>
          <cell r="AM551"/>
          <cell r="AN551" t="str">
            <v/>
          </cell>
          <cell r="AO551"/>
          <cell r="AP551"/>
          <cell r="AQ551"/>
          <cell r="AR551"/>
          <cell r="AS551"/>
          <cell r="AT551"/>
          <cell r="AU551" t="str">
            <v/>
          </cell>
          <cell r="AV551"/>
        </row>
        <row r="552">
          <cell r="Z552" t="str">
            <v/>
          </cell>
          <cell r="AA552"/>
          <cell r="AB552"/>
          <cell r="AC552"/>
          <cell r="AD552"/>
          <cell r="AE552"/>
          <cell r="AF552"/>
          <cell r="AG552"/>
          <cell r="AH552" t="str">
            <v>en stock</v>
          </cell>
          <cell r="AI552"/>
          <cell r="AJ552"/>
          <cell r="AK552"/>
          <cell r="AL552"/>
          <cell r="AM552"/>
          <cell r="AN552" t="str">
            <v/>
          </cell>
          <cell r="AO552"/>
          <cell r="AP552"/>
          <cell r="AQ552"/>
          <cell r="AR552"/>
          <cell r="AS552"/>
          <cell r="AT552"/>
          <cell r="AU552" t="str">
            <v/>
          </cell>
          <cell r="AV552"/>
        </row>
        <row r="553">
          <cell r="Z553" t="str">
            <v/>
          </cell>
          <cell r="AA553"/>
          <cell r="AB553"/>
          <cell r="AC553"/>
          <cell r="AD553"/>
          <cell r="AE553"/>
          <cell r="AF553"/>
          <cell r="AG553"/>
          <cell r="AH553" t="str">
            <v>en stock</v>
          </cell>
          <cell r="AI553"/>
          <cell r="AJ553"/>
          <cell r="AK553"/>
          <cell r="AL553"/>
          <cell r="AM553"/>
          <cell r="AN553" t="str">
            <v/>
          </cell>
          <cell r="AO553"/>
          <cell r="AP553"/>
          <cell r="AQ553"/>
          <cell r="AR553"/>
          <cell r="AS553"/>
          <cell r="AT553"/>
          <cell r="AU553" t="str">
            <v/>
          </cell>
          <cell r="AV553"/>
        </row>
        <row r="554">
          <cell r="Z554" t="str">
            <v/>
          </cell>
          <cell r="AA554"/>
          <cell r="AB554"/>
          <cell r="AC554"/>
          <cell r="AD554"/>
          <cell r="AE554"/>
          <cell r="AF554"/>
          <cell r="AG554"/>
          <cell r="AH554" t="str">
            <v>en stock</v>
          </cell>
          <cell r="AI554"/>
          <cell r="AJ554"/>
          <cell r="AK554"/>
          <cell r="AL554"/>
          <cell r="AM554"/>
          <cell r="AN554" t="str">
            <v/>
          </cell>
          <cell r="AO554"/>
          <cell r="AP554"/>
          <cell r="AQ554"/>
          <cell r="AR554"/>
          <cell r="AS554"/>
          <cell r="AT554"/>
          <cell r="AU554" t="str">
            <v/>
          </cell>
          <cell r="AV554"/>
        </row>
        <row r="555">
          <cell r="Z555" t="str">
            <v/>
          </cell>
          <cell r="AA555"/>
          <cell r="AB555"/>
          <cell r="AC555"/>
          <cell r="AD555"/>
          <cell r="AE555"/>
          <cell r="AF555"/>
          <cell r="AG555"/>
          <cell r="AH555" t="str">
            <v>en stock</v>
          </cell>
          <cell r="AI555"/>
          <cell r="AJ555"/>
          <cell r="AK555"/>
          <cell r="AL555"/>
          <cell r="AM555"/>
          <cell r="AN555" t="str">
            <v/>
          </cell>
          <cell r="AO555"/>
          <cell r="AP555"/>
          <cell r="AQ555"/>
          <cell r="AR555"/>
          <cell r="AS555"/>
          <cell r="AT555"/>
          <cell r="AU555" t="str">
            <v/>
          </cell>
          <cell r="AV555"/>
        </row>
        <row r="556">
          <cell r="Z556" t="str">
            <v/>
          </cell>
          <cell r="AA556"/>
          <cell r="AB556"/>
          <cell r="AC556"/>
          <cell r="AD556"/>
          <cell r="AE556"/>
          <cell r="AF556"/>
          <cell r="AG556"/>
          <cell r="AH556" t="str">
            <v>en stock</v>
          </cell>
          <cell r="AI556"/>
          <cell r="AJ556"/>
          <cell r="AK556"/>
          <cell r="AL556"/>
          <cell r="AM556"/>
          <cell r="AN556" t="str">
            <v/>
          </cell>
          <cell r="AO556"/>
          <cell r="AP556"/>
          <cell r="AQ556"/>
          <cell r="AR556"/>
          <cell r="AS556"/>
          <cell r="AT556"/>
          <cell r="AU556" t="str">
            <v/>
          </cell>
          <cell r="AV556"/>
        </row>
        <row r="557">
          <cell r="Z557" t="str">
            <v/>
          </cell>
          <cell r="AA557"/>
          <cell r="AB557"/>
          <cell r="AC557"/>
          <cell r="AD557"/>
          <cell r="AE557"/>
          <cell r="AF557"/>
          <cell r="AG557"/>
          <cell r="AH557" t="str">
            <v>en stock</v>
          </cell>
          <cell r="AI557"/>
          <cell r="AJ557"/>
          <cell r="AK557"/>
          <cell r="AL557"/>
          <cell r="AM557"/>
          <cell r="AN557" t="str">
            <v/>
          </cell>
          <cell r="AO557"/>
          <cell r="AP557"/>
          <cell r="AQ557"/>
          <cell r="AR557"/>
          <cell r="AS557"/>
          <cell r="AT557"/>
          <cell r="AU557" t="str">
            <v/>
          </cell>
          <cell r="AV557"/>
        </row>
        <row r="558">
          <cell r="Z558" t="str">
            <v/>
          </cell>
          <cell r="AA558"/>
          <cell r="AB558"/>
          <cell r="AC558"/>
          <cell r="AD558"/>
          <cell r="AE558"/>
          <cell r="AF558"/>
          <cell r="AG558"/>
          <cell r="AH558" t="str">
            <v>en stock</v>
          </cell>
          <cell r="AI558"/>
          <cell r="AJ558"/>
          <cell r="AK558"/>
          <cell r="AL558"/>
          <cell r="AM558"/>
          <cell r="AN558" t="str">
            <v/>
          </cell>
          <cell r="AO558"/>
          <cell r="AP558"/>
          <cell r="AQ558"/>
          <cell r="AR558"/>
          <cell r="AS558"/>
          <cell r="AT558"/>
          <cell r="AU558" t="str">
            <v/>
          </cell>
          <cell r="AV558"/>
        </row>
        <row r="559">
          <cell r="Z559" t="str">
            <v/>
          </cell>
          <cell r="AA559"/>
          <cell r="AB559"/>
          <cell r="AC559"/>
          <cell r="AD559"/>
          <cell r="AE559"/>
          <cell r="AF559"/>
          <cell r="AG559"/>
          <cell r="AH559" t="str">
            <v>en stock</v>
          </cell>
          <cell r="AI559"/>
          <cell r="AJ559"/>
          <cell r="AK559"/>
          <cell r="AL559"/>
          <cell r="AM559"/>
          <cell r="AN559" t="str">
            <v/>
          </cell>
          <cell r="AO559"/>
          <cell r="AP559"/>
          <cell r="AQ559"/>
          <cell r="AR559"/>
          <cell r="AS559"/>
          <cell r="AT559"/>
          <cell r="AU559" t="str">
            <v/>
          </cell>
          <cell r="AV559"/>
        </row>
        <row r="560">
          <cell r="Z560" t="str">
            <v/>
          </cell>
          <cell r="AA560"/>
          <cell r="AB560"/>
          <cell r="AC560"/>
          <cell r="AD560"/>
          <cell r="AE560"/>
          <cell r="AF560"/>
          <cell r="AG560"/>
          <cell r="AH560" t="str">
            <v>en stock</v>
          </cell>
          <cell r="AI560"/>
          <cell r="AJ560"/>
          <cell r="AK560"/>
          <cell r="AL560"/>
          <cell r="AM560"/>
          <cell r="AN560" t="str">
            <v/>
          </cell>
          <cell r="AO560"/>
          <cell r="AP560"/>
          <cell r="AQ560"/>
          <cell r="AR560"/>
          <cell r="AS560"/>
          <cell r="AT560"/>
          <cell r="AU560" t="str">
            <v/>
          </cell>
          <cell r="AV560"/>
        </row>
        <row r="561">
          <cell r="Z561" t="str">
            <v/>
          </cell>
          <cell r="AA561"/>
          <cell r="AB561"/>
          <cell r="AC561"/>
          <cell r="AD561"/>
          <cell r="AE561"/>
          <cell r="AF561"/>
          <cell r="AG561"/>
          <cell r="AH561" t="str">
            <v>en stock</v>
          </cell>
          <cell r="AI561"/>
          <cell r="AJ561"/>
          <cell r="AK561"/>
          <cell r="AL561"/>
          <cell r="AM561"/>
          <cell r="AN561" t="str">
            <v/>
          </cell>
          <cell r="AO561"/>
          <cell r="AP561"/>
          <cell r="AQ561"/>
          <cell r="AR561"/>
          <cell r="AS561"/>
          <cell r="AT561"/>
          <cell r="AU561" t="str">
            <v/>
          </cell>
          <cell r="AV561"/>
        </row>
        <row r="562">
          <cell r="Z562" t="str">
            <v/>
          </cell>
          <cell r="AA562"/>
          <cell r="AB562"/>
          <cell r="AC562"/>
          <cell r="AD562"/>
          <cell r="AE562"/>
          <cell r="AF562"/>
          <cell r="AG562"/>
          <cell r="AH562" t="str">
            <v>en stock</v>
          </cell>
          <cell r="AI562"/>
          <cell r="AJ562"/>
          <cell r="AK562"/>
          <cell r="AL562"/>
          <cell r="AM562"/>
          <cell r="AN562" t="str">
            <v/>
          </cell>
          <cell r="AO562"/>
          <cell r="AP562"/>
          <cell r="AQ562"/>
          <cell r="AR562"/>
          <cell r="AS562"/>
          <cell r="AT562"/>
          <cell r="AU562" t="str">
            <v/>
          </cell>
          <cell r="AV562"/>
        </row>
        <row r="563">
          <cell r="Z563" t="str">
            <v/>
          </cell>
          <cell r="AA563"/>
          <cell r="AB563"/>
          <cell r="AC563"/>
          <cell r="AD563"/>
          <cell r="AE563"/>
          <cell r="AF563"/>
          <cell r="AG563"/>
          <cell r="AH563" t="str">
            <v>en stock</v>
          </cell>
          <cell r="AI563"/>
          <cell r="AJ563"/>
          <cell r="AK563"/>
          <cell r="AL563"/>
          <cell r="AM563"/>
          <cell r="AN563" t="str">
            <v/>
          </cell>
          <cell r="AO563"/>
          <cell r="AP563"/>
          <cell r="AQ563"/>
          <cell r="AR563"/>
          <cell r="AS563"/>
          <cell r="AT563"/>
          <cell r="AU563" t="str">
            <v/>
          </cell>
          <cell r="AV563"/>
        </row>
        <row r="564">
          <cell r="Z564" t="str">
            <v/>
          </cell>
          <cell r="AA564"/>
          <cell r="AB564"/>
          <cell r="AC564"/>
          <cell r="AD564"/>
          <cell r="AE564"/>
          <cell r="AF564"/>
          <cell r="AG564"/>
          <cell r="AH564" t="str">
            <v>en stock</v>
          </cell>
          <cell r="AI564"/>
          <cell r="AJ564"/>
          <cell r="AK564"/>
          <cell r="AL564"/>
          <cell r="AM564"/>
          <cell r="AN564" t="str">
            <v/>
          </cell>
          <cell r="AO564"/>
          <cell r="AP564"/>
          <cell r="AQ564"/>
          <cell r="AR564"/>
          <cell r="AS564"/>
          <cell r="AT564"/>
          <cell r="AU564" t="str">
            <v/>
          </cell>
          <cell r="AV564"/>
        </row>
        <row r="565">
          <cell r="Z565" t="str">
            <v/>
          </cell>
          <cell r="AA565"/>
          <cell r="AB565"/>
          <cell r="AC565"/>
          <cell r="AD565"/>
          <cell r="AE565"/>
          <cell r="AF565"/>
          <cell r="AG565"/>
          <cell r="AH565" t="str">
            <v>en stock</v>
          </cell>
          <cell r="AI565"/>
          <cell r="AJ565"/>
          <cell r="AK565"/>
          <cell r="AL565"/>
          <cell r="AM565"/>
          <cell r="AN565" t="str">
            <v/>
          </cell>
          <cell r="AO565"/>
          <cell r="AP565"/>
          <cell r="AQ565"/>
          <cell r="AR565"/>
          <cell r="AS565"/>
          <cell r="AT565"/>
          <cell r="AU565" t="str">
            <v/>
          </cell>
          <cell r="AV565"/>
        </row>
        <row r="566">
          <cell r="Z566" t="str">
            <v/>
          </cell>
          <cell r="AA566"/>
          <cell r="AB566"/>
          <cell r="AC566"/>
          <cell r="AD566"/>
          <cell r="AE566"/>
          <cell r="AF566"/>
          <cell r="AG566"/>
          <cell r="AH566" t="str">
            <v>en stock</v>
          </cell>
          <cell r="AI566"/>
          <cell r="AJ566"/>
          <cell r="AK566"/>
          <cell r="AL566"/>
          <cell r="AM566"/>
          <cell r="AN566" t="str">
            <v/>
          </cell>
          <cell r="AO566"/>
          <cell r="AP566"/>
          <cell r="AQ566"/>
          <cell r="AR566"/>
          <cell r="AS566"/>
          <cell r="AT566"/>
          <cell r="AU566" t="str">
            <v/>
          </cell>
          <cell r="AV566"/>
        </row>
        <row r="567">
          <cell r="Z567" t="str">
            <v/>
          </cell>
          <cell r="AA567"/>
          <cell r="AB567"/>
          <cell r="AC567"/>
          <cell r="AD567"/>
          <cell r="AE567"/>
          <cell r="AF567"/>
          <cell r="AG567"/>
          <cell r="AH567" t="str">
            <v>en stock</v>
          </cell>
          <cell r="AI567"/>
          <cell r="AJ567"/>
          <cell r="AK567"/>
          <cell r="AL567"/>
          <cell r="AM567"/>
          <cell r="AN567" t="str">
            <v/>
          </cell>
          <cell r="AO567"/>
          <cell r="AP567"/>
          <cell r="AQ567"/>
          <cell r="AR567"/>
          <cell r="AS567"/>
          <cell r="AT567"/>
          <cell r="AU567" t="str">
            <v/>
          </cell>
          <cell r="AV567"/>
        </row>
        <row r="568">
          <cell r="Z568" t="str">
            <v/>
          </cell>
          <cell r="AA568"/>
          <cell r="AB568"/>
          <cell r="AC568"/>
          <cell r="AD568"/>
          <cell r="AE568"/>
          <cell r="AF568"/>
          <cell r="AG568"/>
          <cell r="AH568" t="str">
            <v>en stock</v>
          </cell>
          <cell r="AI568"/>
          <cell r="AJ568"/>
          <cell r="AK568"/>
          <cell r="AL568"/>
          <cell r="AM568"/>
          <cell r="AN568" t="str">
            <v/>
          </cell>
          <cell r="AO568"/>
          <cell r="AP568"/>
          <cell r="AQ568"/>
          <cell r="AR568"/>
          <cell r="AS568"/>
          <cell r="AT568"/>
          <cell r="AU568" t="str">
            <v/>
          </cell>
          <cell r="AV568"/>
        </row>
        <row r="569">
          <cell r="Z569" t="str">
            <v/>
          </cell>
          <cell r="AA569"/>
          <cell r="AB569"/>
          <cell r="AC569"/>
          <cell r="AD569"/>
          <cell r="AE569"/>
          <cell r="AF569"/>
          <cell r="AG569"/>
          <cell r="AH569" t="str">
            <v>en stock</v>
          </cell>
          <cell r="AI569"/>
          <cell r="AJ569"/>
          <cell r="AK569"/>
          <cell r="AL569"/>
          <cell r="AM569"/>
          <cell r="AN569" t="str">
            <v/>
          </cell>
          <cell r="AO569"/>
          <cell r="AP569"/>
          <cell r="AQ569"/>
          <cell r="AR569"/>
          <cell r="AS569"/>
          <cell r="AT569"/>
          <cell r="AU569" t="str">
            <v/>
          </cell>
          <cell r="AV569"/>
        </row>
        <row r="570">
          <cell r="Z570" t="str">
            <v/>
          </cell>
          <cell r="AA570"/>
          <cell r="AB570"/>
          <cell r="AC570"/>
          <cell r="AD570"/>
          <cell r="AE570"/>
          <cell r="AF570"/>
          <cell r="AG570"/>
          <cell r="AH570" t="str">
            <v>en stock</v>
          </cell>
          <cell r="AI570"/>
          <cell r="AJ570"/>
          <cell r="AK570"/>
          <cell r="AL570"/>
          <cell r="AM570"/>
          <cell r="AN570" t="str">
            <v/>
          </cell>
          <cell r="AO570"/>
          <cell r="AP570"/>
          <cell r="AQ570"/>
          <cell r="AR570"/>
          <cell r="AS570"/>
          <cell r="AT570"/>
          <cell r="AU570" t="str">
            <v/>
          </cell>
          <cell r="AV570"/>
        </row>
        <row r="571">
          <cell r="Z571" t="str">
            <v/>
          </cell>
          <cell r="AA571"/>
          <cell r="AB571"/>
          <cell r="AC571"/>
          <cell r="AD571"/>
          <cell r="AE571"/>
          <cell r="AF571"/>
          <cell r="AG571"/>
          <cell r="AH571" t="str">
            <v>en stock</v>
          </cell>
          <cell r="AI571"/>
          <cell r="AJ571"/>
          <cell r="AK571"/>
          <cell r="AL571"/>
          <cell r="AM571"/>
          <cell r="AN571" t="str">
            <v/>
          </cell>
          <cell r="AO571"/>
          <cell r="AP571"/>
          <cell r="AQ571"/>
          <cell r="AR571"/>
          <cell r="AS571"/>
          <cell r="AT571"/>
          <cell r="AU571" t="str">
            <v/>
          </cell>
          <cell r="AV571"/>
        </row>
        <row r="572">
          <cell r="Z572" t="str">
            <v/>
          </cell>
          <cell r="AA572"/>
          <cell r="AB572"/>
          <cell r="AC572"/>
          <cell r="AD572"/>
          <cell r="AE572"/>
          <cell r="AF572"/>
          <cell r="AG572"/>
          <cell r="AH572" t="str">
            <v>en stock</v>
          </cell>
          <cell r="AI572"/>
          <cell r="AJ572"/>
          <cell r="AK572"/>
          <cell r="AL572"/>
          <cell r="AM572"/>
          <cell r="AN572" t="str">
            <v/>
          </cell>
          <cell r="AO572"/>
          <cell r="AP572"/>
          <cell r="AQ572"/>
          <cell r="AR572"/>
          <cell r="AS572"/>
          <cell r="AT572"/>
          <cell r="AU572" t="str">
            <v/>
          </cell>
          <cell r="AV572"/>
        </row>
        <row r="573">
          <cell r="Z573" t="str">
            <v/>
          </cell>
          <cell r="AA573"/>
          <cell r="AB573"/>
          <cell r="AC573"/>
          <cell r="AD573"/>
          <cell r="AE573"/>
          <cell r="AF573"/>
          <cell r="AG573"/>
          <cell r="AH573" t="str">
            <v>en stock</v>
          </cell>
          <cell r="AI573"/>
          <cell r="AJ573"/>
          <cell r="AK573"/>
          <cell r="AL573"/>
          <cell r="AM573"/>
          <cell r="AN573" t="str">
            <v/>
          </cell>
          <cell r="AO573"/>
          <cell r="AP573"/>
          <cell r="AQ573"/>
          <cell r="AR573"/>
          <cell r="AS573"/>
          <cell r="AT573"/>
          <cell r="AU573" t="str">
            <v/>
          </cell>
          <cell r="AV573"/>
        </row>
        <row r="574">
          <cell r="Z574" t="str">
            <v/>
          </cell>
          <cell r="AA574"/>
          <cell r="AB574"/>
          <cell r="AC574"/>
          <cell r="AD574"/>
          <cell r="AE574"/>
          <cell r="AF574"/>
          <cell r="AG574"/>
          <cell r="AH574" t="str">
            <v>en stock</v>
          </cell>
          <cell r="AI574"/>
          <cell r="AJ574"/>
          <cell r="AK574"/>
          <cell r="AL574"/>
          <cell r="AM574"/>
          <cell r="AN574" t="str">
            <v/>
          </cell>
          <cell r="AO574"/>
          <cell r="AP574"/>
          <cell r="AQ574"/>
          <cell r="AR574"/>
          <cell r="AS574"/>
          <cell r="AT574"/>
          <cell r="AU574" t="str">
            <v/>
          </cell>
          <cell r="AV574"/>
        </row>
        <row r="575">
          <cell r="Z575" t="str">
            <v/>
          </cell>
          <cell r="AA575"/>
          <cell r="AB575"/>
          <cell r="AC575"/>
          <cell r="AD575"/>
          <cell r="AE575"/>
          <cell r="AF575"/>
          <cell r="AG575"/>
          <cell r="AH575" t="str">
            <v>en stock</v>
          </cell>
          <cell r="AI575"/>
          <cell r="AJ575"/>
          <cell r="AK575"/>
          <cell r="AL575"/>
          <cell r="AM575"/>
          <cell r="AN575" t="str">
            <v/>
          </cell>
          <cell r="AO575"/>
          <cell r="AP575"/>
          <cell r="AQ575"/>
          <cell r="AR575"/>
          <cell r="AS575"/>
          <cell r="AT575"/>
          <cell r="AU575" t="str">
            <v/>
          </cell>
          <cell r="AV575"/>
        </row>
        <row r="576">
          <cell r="Z576" t="str">
            <v/>
          </cell>
          <cell r="AA576"/>
          <cell r="AB576"/>
          <cell r="AC576"/>
          <cell r="AD576"/>
          <cell r="AE576"/>
          <cell r="AF576"/>
          <cell r="AG576"/>
          <cell r="AH576" t="str">
            <v>en stock</v>
          </cell>
          <cell r="AI576"/>
          <cell r="AJ576"/>
          <cell r="AK576"/>
          <cell r="AL576"/>
          <cell r="AM576"/>
          <cell r="AN576" t="str">
            <v/>
          </cell>
          <cell r="AO576"/>
          <cell r="AP576"/>
          <cell r="AQ576"/>
          <cell r="AR576"/>
          <cell r="AS576"/>
          <cell r="AT576"/>
          <cell r="AU576" t="str">
            <v/>
          </cell>
          <cell r="AV576"/>
        </row>
        <row r="577">
          <cell r="Z577" t="str">
            <v/>
          </cell>
          <cell r="AA577"/>
          <cell r="AB577"/>
          <cell r="AC577"/>
          <cell r="AD577"/>
          <cell r="AE577"/>
          <cell r="AF577"/>
          <cell r="AG577"/>
          <cell r="AH577" t="str">
            <v>en stock</v>
          </cell>
          <cell r="AI577"/>
          <cell r="AJ577"/>
          <cell r="AK577"/>
          <cell r="AL577"/>
          <cell r="AM577"/>
          <cell r="AN577" t="str">
            <v/>
          </cell>
          <cell r="AO577"/>
          <cell r="AP577"/>
          <cell r="AQ577"/>
          <cell r="AR577"/>
          <cell r="AS577"/>
          <cell r="AT577"/>
          <cell r="AU577" t="str">
            <v/>
          </cell>
          <cell r="AV577"/>
        </row>
        <row r="578">
          <cell r="Z578" t="str">
            <v/>
          </cell>
          <cell r="AA578"/>
          <cell r="AB578"/>
          <cell r="AC578"/>
          <cell r="AD578"/>
          <cell r="AE578"/>
          <cell r="AF578"/>
          <cell r="AG578"/>
          <cell r="AH578" t="str">
            <v>en stock</v>
          </cell>
          <cell r="AI578"/>
          <cell r="AJ578"/>
          <cell r="AK578"/>
          <cell r="AL578"/>
          <cell r="AM578"/>
          <cell r="AN578" t="str">
            <v/>
          </cell>
          <cell r="AO578"/>
          <cell r="AP578"/>
          <cell r="AQ578"/>
          <cell r="AR578"/>
          <cell r="AS578"/>
          <cell r="AT578"/>
          <cell r="AU578" t="str">
            <v/>
          </cell>
          <cell r="AV578"/>
        </row>
        <row r="579">
          <cell r="Z579" t="str">
            <v/>
          </cell>
          <cell r="AA579"/>
          <cell r="AB579"/>
          <cell r="AC579"/>
          <cell r="AD579"/>
          <cell r="AE579"/>
          <cell r="AF579"/>
          <cell r="AG579"/>
          <cell r="AH579" t="str">
            <v>en stock</v>
          </cell>
          <cell r="AI579"/>
          <cell r="AJ579"/>
          <cell r="AK579"/>
          <cell r="AL579"/>
          <cell r="AM579"/>
          <cell r="AN579" t="str">
            <v/>
          </cell>
          <cell r="AO579"/>
          <cell r="AP579"/>
          <cell r="AQ579"/>
          <cell r="AR579"/>
          <cell r="AS579"/>
          <cell r="AT579"/>
          <cell r="AU579" t="str">
            <v/>
          </cell>
          <cell r="AV579"/>
        </row>
        <row r="580">
          <cell r="Z580" t="str">
            <v/>
          </cell>
          <cell r="AA580"/>
          <cell r="AB580"/>
          <cell r="AC580"/>
          <cell r="AD580"/>
          <cell r="AE580"/>
          <cell r="AF580"/>
          <cell r="AG580"/>
          <cell r="AH580" t="str">
            <v>en stock</v>
          </cell>
          <cell r="AI580"/>
          <cell r="AJ580"/>
          <cell r="AK580"/>
          <cell r="AL580"/>
          <cell r="AM580"/>
          <cell r="AN580" t="str">
            <v/>
          </cell>
          <cell r="AO580"/>
          <cell r="AP580"/>
          <cell r="AQ580"/>
          <cell r="AR580"/>
          <cell r="AS580"/>
          <cell r="AT580"/>
          <cell r="AU580" t="str">
            <v/>
          </cell>
          <cell r="AV580"/>
        </row>
        <row r="581">
          <cell r="Z581" t="str">
            <v/>
          </cell>
          <cell r="AA581"/>
          <cell r="AB581"/>
          <cell r="AC581"/>
          <cell r="AD581"/>
          <cell r="AE581"/>
          <cell r="AF581"/>
          <cell r="AG581"/>
          <cell r="AH581" t="str">
            <v>en stock</v>
          </cell>
          <cell r="AI581"/>
          <cell r="AJ581"/>
          <cell r="AK581"/>
          <cell r="AL581"/>
          <cell r="AM581"/>
          <cell r="AN581" t="str">
            <v/>
          </cell>
          <cell r="AO581"/>
          <cell r="AP581"/>
          <cell r="AQ581"/>
          <cell r="AR581"/>
          <cell r="AS581"/>
          <cell r="AT581"/>
          <cell r="AU581" t="str">
            <v/>
          </cell>
          <cell r="AV581"/>
        </row>
        <row r="582">
          <cell r="Z582" t="str">
            <v/>
          </cell>
          <cell r="AA582"/>
          <cell r="AB582"/>
          <cell r="AC582"/>
          <cell r="AD582"/>
          <cell r="AE582"/>
          <cell r="AF582"/>
          <cell r="AG582"/>
          <cell r="AH582" t="str">
            <v>en stock</v>
          </cell>
          <cell r="AI582"/>
          <cell r="AJ582"/>
          <cell r="AK582"/>
          <cell r="AL582"/>
          <cell r="AM582"/>
          <cell r="AN582" t="str">
            <v/>
          </cell>
          <cell r="AO582"/>
          <cell r="AP582"/>
          <cell r="AQ582"/>
          <cell r="AR582"/>
          <cell r="AS582"/>
          <cell r="AT582"/>
          <cell r="AU582" t="str">
            <v/>
          </cell>
          <cell r="AV582"/>
        </row>
        <row r="583">
          <cell r="Z583" t="str">
            <v/>
          </cell>
          <cell r="AA583"/>
          <cell r="AB583"/>
          <cell r="AC583"/>
          <cell r="AD583"/>
          <cell r="AE583"/>
          <cell r="AF583"/>
          <cell r="AG583"/>
          <cell r="AH583" t="str">
            <v>en stock</v>
          </cell>
          <cell r="AI583"/>
          <cell r="AJ583"/>
          <cell r="AK583"/>
          <cell r="AL583"/>
          <cell r="AM583"/>
          <cell r="AN583" t="str">
            <v/>
          </cell>
          <cell r="AO583"/>
          <cell r="AP583"/>
          <cell r="AQ583"/>
          <cell r="AR583"/>
          <cell r="AS583"/>
          <cell r="AT583"/>
          <cell r="AU583" t="str">
            <v/>
          </cell>
          <cell r="AV583"/>
        </row>
        <row r="584">
          <cell r="Z584" t="str">
            <v/>
          </cell>
          <cell r="AA584"/>
          <cell r="AB584"/>
          <cell r="AC584"/>
          <cell r="AD584"/>
          <cell r="AE584"/>
          <cell r="AF584"/>
          <cell r="AG584"/>
          <cell r="AH584" t="str">
            <v>en stock</v>
          </cell>
          <cell r="AI584"/>
          <cell r="AJ584"/>
          <cell r="AK584"/>
          <cell r="AL584"/>
          <cell r="AM584"/>
          <cell r="AN584" t="str">
            <v/>
          </cell>
          <cell r="AO584"/>
          <cell r="AP584"/>
          <cell r="AQ584"/>
          <cell r="AR584"/>
          <cell r="AS584"/>
          <cell r="AT584"/>
          <cell r="AU584" t="str">
            <v/>
          </cell>
          <cell r="AV584"/>
        </row>
        <row r="585">
          <cell r="Z585" t="str">
            <v/>
          </cell>
          <cell r="AA585"/>
          <cell r="AB585"/>
          <cell r="AC585"/>
          <cell r="AD585"/>
          <cell r="AE585"/>
          <cell r="AF585"/>
          <cell r="AG585"/>
          <cell r="AH585" t="str">
            <v>en stock</v>
          </cell>
          <cell r="AI585"/>
          <cell r="AJ585"/>
          <cell r="AK585"/>
          <cell r="AL585"/>
          <cell r="AM585"/>
          <cell r="AN585" t="str">
            <v/>
          </cell>
          <cell r="AO585"/>
          <cell r="AP585"/>
          <cell r="AQ585"/>
          <cell r="AR585"/>
          <cell r="AS585"/>
          <cell r="AT585"/>
          <cell r="AU585" t="str">
            <v/>
          </cell>
          <cell r="AV585"/>
        </row>
        <row r="586">
          <cell r="Z586" t="str">
            <v/>
          </cell>
          <cell r="AA586"/>
          <cell r="AB586"/>
          <cell r="AC586"/>
          <cell r="AD586"/>
          <cell r="AE586"/>
          <cell r="AF586"/>
          <cell r="AG586"/>
          <cell r="AH586" t="str">
            <v>en stock</v>
          </cell>
          <cell r="AI586"/>
          <cell r="AJ586"/>
          <cell r="AK586"/>
          <cell r="AL586"/>
          <cell r="AM586"/>
          <cell r="AN586" t="str">
            <v/>
          </cell>
          <cell r="AO586"/>
          <cell r="AP586"/>
          <cell r="AQ586"/>
          <cell r="AR586"/>
          <cell r="AS586"/>
          <cell r="AT586"/>
          <cell r="AU586" t="str">
            <v/>
          </cell>
          <cell r="AV586"/>
        </row>
        <row r="587">
          <cell r="Z587" t="str">
            <v/>
          </cell>
          <cell r="AA587"/>
          <cell r="AB587"/>
          <cell r="AC587"/>
          <cell r="AD587"/>
          <cell r="AE587"/>
          <cell r="AF587"/>
          <cell r="AG587"/>
          <cell r="AH587" t="str">
            <v>en stock</v>
          </cell>
          <cell r="AI587"/>
          <cell r="AJ587"/>
          <cell r="AK587"/>
          <cell r="AL587"/>
          <cell r="AM587"/>
          <cell r="AN587" t="str">
            <v/>
          </cell>
          <cell r="AO587"/>
          <cell r="AP587"/>
          <cell r="AQ587"/>
          <cell r="AR587"/>
          <cell r="AS587"/>
          <cell r="AT587"/>
          <cell r="AU587" t="str">
            <v/>
          </cell>
          <cell r="AV587"/>
        </row>
        <row r="588">
          <cell r="Z588" t="str">
            <v/>
          </cell>
          <cell r="AA588"/>
          <cell r="AB588"/>
          <cell r="AC588"/>
          <cell r="AD588"/>
          <cell r="AE588"/>
          <cell r="AF588"/>
          <cell r="AG588"/>
          <cell r="AH588" t="str">
            <v>en stock</v>
          </cell>
          <cell r="AI588"/>
          <cell r="AJ588"/>
          <cell r="AK588"/>
          <cell r="AL588"/>
          <cell r="AM588"/>
          <cell r="AN588" t="str">
            <v/>
          </cell>
          <cell r="AO588"/>
          <cell r="AP588"/>
          <cell r="AQ588"/>
          <cell r="AR588"/>
          <cell r="AS588"/>
          <cell r="AT588"/>
          <cell r="AU588" t="str">
            <v/>
          </cell>
          <cell r="AV588"/>
        </row>
        <row r="589">
          <cell r="Z589" t="str">
            <v/>
          </cell>
          <cell r="AA589"/>
          <cell r="AB589"/>
          <cell r="AC589"/>
          <cell r="AD589"/>
          <cell r="AE589"/>
          <cell r="AF589"/>
          <cell r="AG589"/>
          <cell r="AH589" t="str">
            <v>en stock</v>
          </cell>
          <cell r="AI589"/>
          <cell r="AJ589"/>
          <cell r="AK589"/>
          <cell r="AL589"/>
          <cell r="AM589"/>
          <cell r="AN589" t="str">
            <v/>
          </cell>
          <cell r="AO589"/>
          <cell r="AP589"/>
          <cell r="AQ589"/>
          <cell r="AR589"/>
          <cell r="AS589"/>
          <cell r="AT589"/>
          <cell r="AU589" t="str">
            <v/>
          </cell>
          <cell r="AV589"/>
        </row>
        <row r="590">
          <cell r="Z590" t="str">
            <v/>
          </cell>
          <cell r="AA590"/>
          <cell r="AB590"/>
          <cell r="AC590"/>
          <cell r="AD590"/>
          <cell r="AE590"/>
          <cell r="AF590"/>
          <cell r="AG590"/>
          <cell r="AH590" t="str">
            <v>en stock</v>
          </cell>
          <cell r="AI590"/>
          <cell r="AJ590"/>
          <cell r="AK590"/>
          <cell r="AL590"/>
          <cell r="AM590"/>
          <cell r="AN590" t="str">
            <v/>
          </cell>
          <cell r="AO590"/>
          <cell r="AP590"/>
          <cell r="AQ590"/>
          <cell r="AR590"/>
          <cell r="AS590"/>
          <cell r="AT590"/>
          <cell r="AU590" t="str">
            <v/>
          </cell>
          <cell r="AV590"/>
        </row>
        <row r="591">
          <cell r="Z591" t="str">
            <v/>
          </cell>
          <cell r="AA591"/>
          <cell r="AB591"/>
          <cell r="AC591"/>
          <cell r="AD591"/>
          <cell r="AE591"/>
          <cell r="AF591"/>
          <cell r="AG591"/>
          <cell r="AH591" t="str">
            <v>en stock</v>
          </cell>
          <cell r="AI591"/>
          <cell r="AJ591"/>
          <cell r="AK591"/>
          <cell r="AL591"/>
          <cell r="AM591"/>
          <cell r="AN591" t="str">
            <v/>
          </cell>
          <cell r="AO591"/>
          <cell r="AP591"/>
          <cell r="AQ591"/>
          <cell r="AR591"/>
          <cell r="AS591"/>
          <cell r="AT591"/>
          <cell r="AU591" t="str">
            <v/>
          </cell>
          <cell r="AV591"/>
        </row>
        <row r="592">
          <cell r="Z592">
            <v>2035400</v>
          </cell>
          <cell r="AA592" t="str">
            <v>Pipe Cutter 11700s
6-5/8" REG Box up x Box down</v>
          </cell>
          <cell r="AB592">
            <v>916</v>
          </cell>
          <cell r="AC592">
            <v>11700</v>
          </cell>
          <cell r="AD592">
            <v>2610</v>
          </cell>
          <cell r="AE592" t="str">
            <v>6-5/8" REG Box</v>
          </cell>
          <cell r="AF592" t="str">
            <v>6-5/8" REG Box</v>
          </cell>
          <cell r="AG592"/>
          <cell r="AH592" t="str">
            <v xml:space="preserve"> en stock </v>
          </cell>
          <cell r="AI592">
            <v>1</v>
          </cell>
          <cell r="AJ592">
            <v>0</v>
          </cell>
          <cell r="AK592">
            <v>0</v>
          </cell>
          <cell r="AL592"/>
          <cell r="AM592"/>
          <cell r="AN592" t="str">
            <v/>
          </cell>
          <cell r="AO592"/>
          <cell r="AP592"/>
          <cell r="AQ592"/>
          <cell r="AR592"/>
          <cell r="AS592">
            <v>15</v>
          </cell>
          <cell r="AT592" t="str">
            <v>203-11700</v>
          </cell>
          <cell r="AU592" t="str">
            <v/>
          </cell>
          <cell r="AV592"/>
        </row>
        <row r="593">
          <cell r="Z593">
            <v>3025401</v>
          </cell>
          <cell r="AA593" t="str">
            <v>DTU 5700
3-1/2" REG Pin up x 3-1/2" REG Box down</v>
          </cell>
          <cell r="AB593">
            <v>168</v>
          </cell>
          <cell r="AC593">
            <v>5700</v>
          </cell>
          <cell r="AD593">
            <v>1750</v>
          </cell>
          <cell r="AE593" t="str">
            <v>3-1/2" REG Pin</v>
          </cell>
          <cell r="AF593" t="str">
            <v>3-1/2" REG Box</v>
          </cell>
          <cell r="AG593"/>
          <cell r="AH593" t="str">
            <v xml:space="preserve"> en stock </v>
          </cell>
          <cell r="AI593">
            <v>1</v>
          </cell>
          <cell r="AJ593">
            <v>0</v>
          </cell>
          <cell r="AK593">
            <v>0</v>
          </cell>
          <cell r="AL593"/>
          <cell r="AM593"/>
          <cell r="AN593">
            <v>3025401</v>
          </cell>
          <cell r="AO593"/>
          <cell r="AP593"/>
          <cell r="AQ593"/>
          <cell r="AR593"/>
          <cell r="AS593">
            <v>6</v>
          </cell>
          <cell r="AT593" t="str">
            <v>302-5700</v>
          </cell>
          <cell r="AU593" t="str">
            <v/>
          </cell>
          <cell r="AV593"/>
        </row>
        <row r="594">
          <cell r="Z594">
            <v>8135402</v>
          </cell>
          <cell r="AA594"/>
          <cell r="AB594"/>
          <cell r="AC594"/>
          <cell r="AD594"/>
          <cell r="AE594"/>
          <cell r="AF594"/>
          <cell r="AG594"/>
          <cell r="AH594" t="str">
            <v>en stock</v>
          </cell>
          <cell r="AI594"/>
          <cell r="AJ594"/>
          <cell r="AK594"/>
          <cell r="AL594"/>
          <cell r="AM594"/>
          <cell r="AN594" t="str">
            <v/>
          </cell>
          <cell r="AO594"/>
          <cell r="AP594"/>
          <cell r="AQ594"/>
          <cell r="AR594"/>
          <cell r="AS594"/>
          <cell r="AT594"/>
          <cell r="AU594" t="str">
            <v/>
          </cell>
          <cell r="AV594"/>
        </row>
        <row r="595">
          <cell r="Z595">
            <v>5085403</v>
          </cell>
          <cell r="AA595" t="str">
            <v>Taper Mill 
3-1/2" IF Pin</v>
          </cell>
          <cell r="AB595">
            <v>0</v>
          </cell>
          <cell r="AC595">
            <v>6</v>
          </cell>
          <cell r="AD595">
            <v>0</v>
          </cell>
          <cell r="AE595" t="str">
            <v>3-1/2" IF Pin</v>
          </cell>
          <cell r="AF595"/>
          <cell r="AG595"/>
          <cell r="AH595" t="str">
            <v>maintenance</v>
          </cell>
          <cell r="AI595" t="str">
            <v/>
          </cell>
          <cell r="AJ595">
            <v>0</v>
          </cell>
          <cell r="AK595">
            <v>1</v>
          </cell>
          <cell r="AL595"/>
          <cell r="AM595"/>
          <cell r="AN595" t="str">
            <v/>
          </cell>
          <cell r="AO595"/>
          <cell r="AP595"/>
          <cell r="AQ595"/>
          <cell r="AR595"/>
          <cell r="AS595">
            <v>20</v>
          </cell>
          <cell r="AT595" t="str">
            <v>508-</v>
          </cell>
          <cell r="AU595" t="str">
            <v/>
          </cell>
          <cell r="AV595"/>
        </row>
        <row r="596">
          <cell r="Z596">
            <v>8135404</v>
          </cell>
          <cell r="AA596" t="str">
            <v xml:space="preserve">XO
3-1/2" IF Pin x 4-1/2" IF Box </v>
          </cell>
          <cell r="AB596">
            <v>72.561571232414025</v>
          </cell>
          <cell r="AC596">
            <v>6.6875</v>
          </cell>
          <cell r="AD596">
            <v>470</v>
          </cell>
          <cell r="AE596" t="str">
            <v>3-1/2" IF Pin</v>
          </cell>
          <cell r="AF596" t="str">
            <v xml:space="preserve">4-1/2" IF Box </v>
          </cell>
          <cell r="AG596"/>
          <cell r="AH596" t="str">
            <v xml:space="preserve"> en stock </v>
          </cell>
          <cell r="AI596">
            <v>1</v>
          </cell>
          <cell r="AJ596">
            <v>0</v>
          </cell>
          <cell r="AK596">
            <v>0</v>
          </cell>
          <cell r="AL596"/>
          <cell r="AM596"/>
          <cell r="AN596" t="str">
            <v/>
          </cell>
          <cell r="AO596"/>
          <cell r="AP596"/>
          <cell r="AQ596"/>
          <cell r="AR596"/>
          <cell r="AS596">
            <v>126</v>
          </cell>
          <cell r="AT596"/>
          <cell r="AU596" t="str">
            <v/>
          </cell>
          <cell r="AV596"/>
        </row>
        <row r="597">
          <cell r="Z597">
            <v>8135405</v>
          </cell>
          <cell r="AA597"/>
          <cell r="AB597"/>
          <cell r="AC597"/>
          <cell r="AD597"/>
          <cell r="AE597"/>
          <cell r="AF597"/>
          <cell r="AG597"/>
          <cell r="AH597" t="str">
            <v>en stock</v>
          </cell>
          <cell r="AI597"/>
          <cell r="AJ597"/>
          <cell r="AK597"/>
          <cell r="AL597"/>
          <cell r="AM597"/>
          <cell r="AN597" t="str">
            <v/>
          </cell>
          <cell r="AO597"/>
          <cell r="AP597"/>
          <cell r="AQ597"/>
          <cell r="AR597"/>
          <cell r="AS597"/>
          <cell r="AT597"/>
          <cell r="AU597" t="str">
            <v/>
          </cell>
          <cell r="AV597"/>
        </row>
        <row r="598">
          <cell r="Z598">
            <v>8135406</v>
          </cell>
          <cell r="AA598"/>
          <cell r="AB598"/>
          <cell r="AC598"/>
          <cell r="AD598"/>
          <cell r="AE598"/>
          <cell r="AF598"/>
          <cell r="AG598"/>
          <cell r="AH598" t="str">
            <v>en stock</v>
          </cell>
          <cell r="AI598"/>
          <cell r="AJ598"/>
          <cell r="AK598"/>
          <cell r="AL598"/>
          <cell r="AM598"/>
          <cell r="AN598" t="str">
            <v>cf 8130018</v>
          </cell>
          <cell r="AO598"/>
          <cell r="AP598"/>
          <cell r="AQ598"/>
          <cell r="AR598"/>
          <cell r="AS598"/>
          <cell r="AT598"/>
          <cell r="AU598" t="str">
            <v>réattribution n° d'immo</v>
          </cell>
          <cell r="AV598"/>
        </row>
        <row r="599">
          <cell r="Z599">
            <v>8135407</v>
          </cell>
          <cell r="AA599"/>
          <cell r="AB599"/>
          <cell r="AC599"/>
          <cell r="AD599"/>
          <cell r="AE599"/>
          <cell r="AF599"/>
          <cell r="AG599"/>
          <cell r="AH599" t="str">
            <v>en stock</v>
          </cell>
          <cell r="AI599"/>
          <cell r="AJ599"/>
          <cell r="AK599"/>
          <cell r="AL599"/>
          <cell r="AM599"/>
          <cell r="AN599" t="str">
            <v/>
          </cell>
          <cell r="AO599"/>
          <cell r="AP599"/>
          <cell r="AQ599"/>
          <cell r="AR599"/>
          <cell r="AS599"/>
          <cell r="AT599"/>
          <cell r="AU599" t="str">
            <v/>
          </cell>
          <cell r="AV599"/>
        </row>
        <row r="600">
          <cell r="Z600">
            <v>5035408</v>
          </cell>
          <cell r="AA600"/>
          <cell r="AB600"/>
          <cell r="AC600"/>
          <cell r="AD600"/>
          <cell r="AE600"/>
          <cell r="AF600"/>
          <cell r="AG600"/>
          <cell r="AH600" t="str">
            <v>en stock</v>
          </cell>
          <cell r="AI600"/>
          <cell r="AJ600"/>
          <cell r="AK600"/>
          <cell r="AL600"/>
          <cell r="AM600"/>
          <cell r="AN600" t="str">
            <v/>
          </cell>
          <cell r="AO600"/>
          <cell r="AP600"/>
          <cell r="AQ600"/>
          <cell r="AR600"/>
          <cell r="AS600"/>
          <cell r="AT600"/>
          <cell r="AU600" t="str">
            <v>RDC 2017 ou Cameroun 2018</v>
          </cell>
          <cell r="AV600"/>
        </row>
        <row r="601">
          <cell r="Z601">
            <v>3065409</v>
          </cell>
          <cell r="AA601" t="str">
            <v>Roller Reamer 8200
4-1/2" IF Box up x 4-1/2" REG Box BF down</v>
          </cell>
          <cell r="AB601">
            <v>268</v>
          </cell>
          <cell r="AC601">
            <v>8200</v>
          </cell>
          <cell r="AD601">
            <v>1780</v>
          </cell>
          <cell r="AE601" t="str">
            <v>4-1/2" IF Box</v>
          </cell>
          <cell r="AF601" t="str">
            <v>4-1/2" REG Box BF</v>
          </cell>
          <cell r="AG601"/>
          <cell r="AH601" t="str">
            <v xml:space="preserve"> en stock </v>
          </cell>
          <cell r="AI601">
            <v>1</v>
          </cell>
          <cell r="AJ601">
            <v>0</v>
          </cell>
          <cell r="AK601">
            <v>0</v>
          </cell>
          <cell r="AL601"/>
          <cell r="AM601"/>
          <cell r="AN601" t="str">
            <v/>
          </cell>
          <cell r="AO601"/>
          <cell r="AP601"/>
          <cell r="AQ601"/>
          <cell r="AR601"/>
          <cell r="AS601">
            <v>5</v>
          </cell>
          <cell r="AT601"/>
          <cell r="AU601" t="str">
            <v/>
          </cell>
          <cell r="AV601"/>
        </row>
        <row r="602">
          <cell r="Z602">
            <v>3065410</v>
          </cell>
          <cell r="AA602" t="str">
            <v>Roller Reamer 8200
4-1/2" IF Box up x 4-1/2" REF Box BF down</v>
          </cell>
          <cell r="AB602">
            <v>264</v>
          </cell>
          <cell r="AC602">
            <v>8200</v>
          </cell>
          <cell r="AD602">
            <v>1760</v>
          </cell>
          <cell r="AE602" t="str">
            <v>4-1/2" IF Box</v>
          </cell>
          <cell r="AF602" t="str">
            <v>4-1/2" REF Box BF</v>
          </cell>
          <cell r="AG602"/>
          <cell r="AH602" t="str">
            <v xml:space="preserve"> en stock </v>
          </cell>
          <cell r="AI602">
            <v>1</v>
          </cell>
          <cell r="AJ602">
            <v>0</v>
          </cell>
          <cell r="AK602">
            <v>0</v>
          </cell>
          <cell r="AL602"/>
          <cell r="AM602"/>
          <cell r="AN602" t="str">
            <v/>
          </cell>
          <cell r="AO602"/>
          <cell r="AP602"/>
          <cell r="AQ602"/>
          <cell r="AR602"/>
          <cell r="AS602">
            <v>6</v>
          </cell>
          <cell r="AT602"/>
          <cell r="AU602" t="str">
            <v/>
          </cell>
          <cell r="AV602"/>
        </row>
        <row r="603">
          <cell r="Z603">
            <v>8095411</v>
          </cell>
          <cell r="AA603"/>
          <cell r="AB603"/>
          <cell r="AC603"/>
          <cell r="AD603"/>
          <cell r="AE603"/>
          <cell r="AF603"/>
          <cell r="AG603"/>
          <cell r="AH603" t="str">
            <v>en stock</v>
          </cell>
          <cell r="AI603"/>
          <cell r="AJ603"/>
          <cell r="AK603"/>
          <cell r="AL603"/>
          <cell r="AM603"/>
          <cell r="AN603" t="str">
            <v/>
          </cell>
          <cell r="AO603"/>
          <cell r="AP603"/>
          <cell r="AQ603"/>
          <cell r="AR603"/>
          <cell r="AS603"/>
          <cell r="AT603"/>
          <cell r="AU603" t="str">
            <v/>
          </cell>
          <cell r="AV603"/>
        </row>
        <row r="604">
          <cell r="Z604">
            <v>8095412</v>
          </cell>
          <cell r="AA604"/>
          <cell r="AB604"/>
          <cell r="AC604"/>
          <cell r="AD604"/>
          <cell r="AE604"/>
          <cell r="AF604"/>
          <cell r="AG604"/>
          <cell r="AH604" t="str">
            <v>en stock</v>
          </cell>
          <cell r="AI604"/>
          <cell r="AJ604"/>
          <cell r="AK604"/>
          <cell r="AL604"/>
          <cell r="AM604"/>
          <cell r="AN604" t="str">
            <v/>
          </cell>
          <cell r="AO604"/>
          <cell r="AP604"/>
          <cell r="AQ604"/>
          <cell r="AR604"/>
          <cell r="AS604"/>
          <cell r="AT604"/>
          <cell r="AU604" t="str">
            <v/>
          </cell>
          <cell r="AV604"/>
        </row>
        <row r="605">
          <cell r="Z605">
            <v>8095413</v>
          </cell>
          <cell r="AA605"/>
          <cell r="AB605"/>
          <cell r="AC605"/>
          <cell r="AD605"/>
          <cell r="AE605"/>
          <cell r="AF605"/>
          <cell r="AG605"/>
          <cell r="AH605" t="str">
            <v>en stock</v>
          </cell>
          <cell r="AI605"/>
          <cell r="AJ605"/>
          <cell r="AK605"/>
          <cell r="AL605"/>
          <cell r="AM605"/>
          <cell r="AN605" t="str">
            <v/>
          </cell>
          <cell r="AO605"/>
          <cell r="AP605"/>
          <cell r="AQ605"/>
          <cell r="AR605"/>
          <cell r="AS605"/>
          <cell r="AT605"/>
          <cell r="AU605" t="str">
            <v/>
          </cell>
          <cell r="AV605"/>
        </row>
        <row r="606">
          <cell r="Z606">
            <v>5035414</v>
          </cell>
          <cell r="AA606" t="str">
            <v>Junk Mill 
3-1/2" REG Pin</v>
          </cell>
          <cell r="AB606">
            <v>42</v>
          </cell>
          <cell r="AC606">
            <v>5.75</v>
          </cell>
          <cell r="AD606">
            <v>0</v>
          </cell>
          <cell r="AE606" t="str">
            <v>3-1/2" REG Pin</v>
          </cell>
          <cell r="AF606"/>
          <cell r="AG606" t="str">
            <v>C</v>
          </cell>
          <cell r="AH606" t="str">
            <v xml:space="preserve"> en stock </v>
          </cell>
          <cell r="AI606">
            <v>1</v>
          </cell>
          <cell r="AJ606">
            <v>0</v>
          </cell>
          <cell r="AK606">
            <v>0</v>
          </cell>
          <cell r="AL606"/>
          <cell r="AM606"/>
          <cell r="AN606">
            <v>5035414</v>
          </cell>
          <cell r="AO606"/>
          <cell r="AP606"/>
          <cell r="AQ606"/>
          <cell r="AR606"/>
          <cell r="AS606">
            <v>24</v>
          </cell>
          <cell r="AT606" t="str">
            <v>503-</v>
          </cell>
          <cell r="AU606" t="str">
            <v/>
          </cell>
          <cell r="AV606"/>
        </row>
        <row r="607">
          <cell r="Z607">
            <v>5075415</v>
          </cell>
          <cell r="AA607" t="str">
            <v>Super Junk Mill 
3-1/2" IF Box</v>
          </cell>
          <cell r="AB607">
            <v>30</v>
          </cell>
          <cell r="AC607">
            <v>6</v>
          </cell>
          <cell r="AD607">
            <v>440</v>
          </cell>
          <cell r="AE607" t="str">
            <v>3-1/2" IF Box</v>
          </cell>
          <cell r="AF607"/>
          <cell r="AG607" t="str">
            <v>C</v>
          </cell>
          <cell r="AH607" t="str">
            <v xml:space="preserve"> en stock </v>
          </cell>
          <cell r="AI607">
            <v>1</v>
          </cell>
          <cell r="AJ607">
            <v>0</v>
          </cell>
          <cell r="AK607">
            <v>0</v>
          </cell>
          <cell r="AL607"/>
          <cell r="AM607"/>
          <cell r="AN607" t="str">
            <v/>
          </cell>
          <cell r="AO607"/>
          <cell r="AP607"/>
          <cell r="AQ607"/>
          <cell r="AR607"/>
          <cell r="AS607">
            <v>52</v>
          </cell>
          <cell r="AT607" t="str">
            <v>507-</v>
          </cell>
          <cell r="AU607" t="str">
            <v/>
          </cell>
          <cell r="AV607"/>
        </row>
        <row r="608">
          <cell r="Z608">
            <v>5035416</v>
          </cell>
          <cell r="AA608" t="str">
            <v>Junk Mill 
3-1/2" REG Pin</v>
          </cell>
          <cell r="AB608">
            <v>52</v>
          </cell>
          <cell r="AC608">
            <v>5.75</v>
          </cell>
          <cell r="AD608">
            <v>3</v>
          </cell>
          <cell r="AE608" t="str">
            <v>3-1/2" REG Pin</v>
          </cell>
          <cell r="AF608"/>
          <cell r="AG608" t="str">
            <v>Insert</v>
          </cell>
          <cell r="AH608" t="str">
            <v xml:space="preserve"> en stock </v>
          </cell>
          <cell r="AI608">
            <v>1</v>
          </cell>
          <cell r="AJ608">
            <v>0</v>
          </cell>
          <cell r="AK608">
            <v>0</v>
          </cell>
          <cell r="AL608"/>
          <cell r="AM608"/>
          <cell r="AN608" t="str">
            <v/>
          </cell>
          <cell r="AO608"/>
          <cell r="AP608"/>
          <cell r="AQ608"/>
          <cell r="AR608"/>
          <cell r="AS608">
            <v>25</v>
          </cell>
          <cell r="AT608" t="str">
            <v>503-</v>
          </cell>
          <cell r="AU608" t="str">
            <v>RDC 2017 ou Cameroun 2018</v>
          </cell>
          <cell r="AV608"/>
        </row>
        <row r="609">
          <cell r="Z609">
            <v>5045417</v>
          </cell>
          <cell r="AA609" t="str">
            <v>Viper Pilot Mill
3-1/2" REG Pin x Pilot</v>
          </cell>
          <cell r="AB609">
            <v>34</v>
          </cell>
          <cell r="AC609">
            <v>5.3125</v>
          </cell>
          <cell r="AD609">
            <v>620</v>
          </cell>
          <cell r="AE609" t="str">
            <v>3-1/2" REG Pin</v>
          </cell>
          <cell r="AF609" t="str">
            <v>Pilot</v>
          </cell>
          <cell r="AG609" t="str">
            <v>Insert</v>
          </cell>
          <cell r="AH609" t="str">
            <v xml:space="preserve"> en stock </v>
          </cell>
          <cell r="AI609">
            <v>1</v>
          </cell>
          <cell r="AJ609">
            <v>0</v>
          </cell>
          <cell r="AK609">
            <v>0</v>
          </cell>
          <cell r="AL609"/>
          <cell r="AM609"/>
          <cell r="AN609" t="str">
            <v/>
          </cell>
          <cell r="AO609"/>
          <cell r="AP609"/>
          <cell r="AQ609"/>
          <cell r="AR609"/>
          <cell r="AS609">
            <v>11</v>
          </cell>
          <cell r="AT609"/>
          <cell r="AU609" t="str">
            <v/>
          </cell>
          <cell r="AV609"/>
        </row>
        <row r="610">
          <cell r="Z610">
            <v>5035418</v>
          </cell>
          <cell r="AA610" t="str">
            <v>Junk Mill 
3-1/2" REG Pin</v>
          </cell>
          <cell r="AB610">
            <v>42</v>
          </cell>
          <cell r="AC610">
            <v>5.9375</v>
          </cell>
          <cell r="AD610">
            <v>0</v>
          </cell>
          <cell r="AE610" t="str">
            <v>3-1/2" REG Pin</v>
          </cell>
          <cell r="AF610"/>
          <cell r="AG610" t="str">
            <v>C</v>
          </cell>
          <cell r="AH610" t="str">
            <v>maintenance</v>
          </cell>
          <cell r="AI610" t="str">
            <v/>
          </cell>
          <cell r="AJ610">
            <v>0</v>
          </cell>
          <cell r="AK610">
            <v>1</v>
          </cell>
          <cell r="AL610"/>
          <cell r="AM610"/>
          <cell r="AN610" t="str">
            <v/>
          </cell>
          <cell r="AO610"/>
          <cell r="AP610"/>
          <cell r="AQ610"/>
          <cell r="AR610"/>
          <cell r="AS610">
            <v>41</v>
          </cell>
          <cell r="AT610" t="str">
            <v>503-</v>
          </cell>
          <cell r="AU610" t="str">
            <v/>
          </cell>
          <cell r="AV610"/>
        </row>
        <row r="611">
          <cell r="Z611">
            <v>8135419</v>
          </cell>
          <cell r="AA611"/>
          <cell r="AB611"/>
          <cell r="AC611"/>
          <cell r="AD611"/>
          <cell r="AE611"/>
          <cell r="AF611"/>
          <cell r="AG611"/>
          <cell r="AH611" t="str">
            <v>en stock</v>
          </cell>
          <cell r="AI611"/>
          <cell r="AJ611"/>
          <cell r="AK611"/>
          <cell r="AL611"/>
          <cell r="AM611"/>
          <cell r="AN611" t="str">
            <v/>
          </cell>
          <cell r="AO611"/>
          <cell r="AP611"/>
          <cell r="AQ611"/>
          <cell r="AR611"/>
          <cell r="AS611"/>
          <cell r="AT611"/>
          <cell r="AU611" t="str">
            <v>RDC 2017 ou Cameroun 2018</v>
          </cell>
          <cell r="AV611"/>
        </row>
        <row r="612">
          <cell r="Z612">
            <v>5055420</v>
          </cell>
          <cell r="AA612" t="str">
            <v>Pilot Mill
3-1/2" IF Box x 2-7/8" REG Box</v>
          </cell>
          <cell r="AB612">
            <v>0</v>
          </cell>
          <cell r="AC612">
            <v>5.1875</v>
          </cell>
          <cell r="AD612">
            <v>620</v>
          </cell>
          <cell r="AE612" t="str">
            <v>3-1/2" IF Box</v>
          </cell>
          <cell r="AF612" t="str">
            <v>2-7/8" REG Box</v>
          </cell>
          <cell r="AG612"/>
          <cell r="AH612" t="str">
            <v xml:space="preserve"> en stock </v>
          </cell>
          <cell r="AI612" t="str">
            <v>HS</v>
          </cell>
          <cell r="AJ612">
            <v>0</v>
          </cell>
          <cell r="AK612">
            <v>0</v>
          </cell>
          <cell r="AL612"/>
          <cell r="AM612"/>
          <cell r="AN612" t="str">
            <v/>
          </cell>
          <cell r="AO612"/>
          <cell r="AP612"/>
          <cell r="AQ612"/>
          <cell r="AR612"/>
          <cell r="AS612">
            <v>7</v>
          </cell>
          <cell r="AT612"/>
          <cell r="AU612">
            <v>2019</v>
          </cell>
          <cell r="AV612"/>
        </row>
        <row r="613">
          <cell r="Z613">
            <v>8085421</v>
          </cell>
          <cell r="AA613"/>
          <cell r="AB613"/>
          <cell r="AC613"/>
          <cell r="AD613"/>
          <cell r="AE613"/>
          <cell r="AF613"/>
          <cell r="AG613"/>
          <cell r="AH613" t="str">
            <v>en stock</v>
          </cell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 t="str">
            <v/>
          </cell>
          <cell r="AV613"/>
        </row>
        <row r="614">
          <cell r="Z614">
            <v>5025422</v>
          </cell>
          <cell r="AA614" t="str">
            <v>Economill 
3-1/2" REG Pin</v>
          </cell>
          <cell r="AB614">
            <v>19</v>
          </cell>
          <cell r="AC614">
            <v>6</v>
          </cell>
          <cell r="AD614">
            <v>160</v>
          </cell>
          <cell r="AE614" t="str">
            <v>3-1/2" REG Pin</v>
          </cell>
          <cell r="AF614"/>
          <cell r="AG614" t="str">
            <v>C</v>
          </cell>
          <cell r="AH614" t="str">
            <v xml:space="preserve"> en stock </v>
          </cell>
          <cell r="AI614">
            <v>1</v>
          </cell>
          <cell r="AJ614">
            <v>0</v>
          </cell>
          <cell r="AK614">
            <v>0</v>
          </cell>
          <cell r="AL614"/>
          <cell r="AM614"/>
          <cell r="AN614" t="str">
            <v/>
          </cell>
          <cell r="AO614"/>
          <cell r="AP614"/>
          <cell r="AQ614"/>
          <cell r="AR614"/>
          <cell r="AS614">
            <v>32</v>
          </cell>
          <cell r="AT614"/>
          <cell r="AU614" t="str">
            <v/>
          </cell>
          <cell r="AV614"/>
        </row>
        <row r="615">
          <cell r="Z615">
            <v>5025423</v>
          </cell>
          <cell r="AA615" t="str">
            <v>Economill 
3-1/2" REG Pin</v>
          </cell>
          <cell r="AB615">
            <v>19</v>
          </cell>
          <cell r="AC615">
            <v>6</v>
          </cell>
          <cell r="AD615">
            <v>160</v>
          </cell>
          <cell r="AE615" t="str">
            <v>3-1/2" REG Pin</v>
          </cell>
          <cell r="AF615"/>
          <cell r="AG615" t="str">
            <v>C bronze</v>
          </cell>
          <cell r="AH615" t="str">
            <v xml:space="preserve"> en stock </v>
          </cell>
          <cell r="AI615">
            <v>1</v>
          </cell>
          <cell r="AJ615">
            <v>0</v>
          </cell>
          <cell r="AK615">
            <v>0</v>
          </cell>
          <cell r="AL615"/>
          <cell r="AM615"/>
          <cell r="AN615" t="str">
            <v/>
          </cell>
          <cell r="AO615"/>
          <cell r="AP615"/>
          <cell r="AQ615"/>
          <cell r="AR615"/>
          <cell r="AS615">
            <v>31</v>
          </cell>
          <cell r="AT615"/>
          <cell r="AU615" t="str">
            <v/>
          </cell>
          <cell r="AV615"/>
        </row>
        <row r="616">
          <cell r="Z616">
            <v>5025424</v>
          </cell>
          <cell r="AA616" t="str">
            <v>Economill 
3-1/2" REG Pin</v>
          </cell>
          <cell r="AB616">
            <v>17</v>
          </cell>
          <cell r="AC616">
            <v>6</v>
          </cell>
          <cell r="AD616">
            <v>160</v>
          </cell>
          <cell r="AE616" t="str">
            <v>3-1/2" REG Pin</v>
          </cell>
          <cell r="AF616"/>
          <cell r="AG616" t="str">
            <v>C</v>
          </cell>
          <cell r="AH616" t="str">
            <v xml:space="preserve"> en stock </v>
          </cell>
          <cell r="AI616">
            <v>1</v>
          </cell>
          <cell r="AJ616">
            <v>0</v>
          </cell>
          <cell r="AK616">
            <v>0</v>
          </cell>
          <cell r="AL616"/>
          <cell r="AM616"/>
          <cell r="AN616" t="str">
            <v/>
          </cell>
          <cell r="AO616"/>
          <cell r="AP616"/>
          <cell r="AQ616"/>
          <cell r="AR616"/>
          <cell r="AS616">
            <v>25</v>
          </cell>
          <cell r="AT616"/>
          <cell r="AU616" t="str">
            <v/>
          </cell>
          <cell r="AV616"/>
        </row>
        <row r="617">
          <cell r="Z617">
            <v>5025425</v>
          </cell>
          <cell r="AA617"/>
          <cell r="AB617"/>
          <cell r="AC617"/>
          <cell r="AD617"/>
          <cell r="AE617"/>
          <cell r="AF617"/>
          <cell r="AG617"/>
          <cell r="AH617" t="str">
            <v>en stock</v>
          </cell>
          <cell r="AI617"/>
          <cell r="AJ617"/>
          <cell r="AK617"/>
          <cell r="AL617"/>
          <cell r="AM617"/>
          <cell r="AN617" t="str">
            <v/>
          </cell>
          <cell r="AO617"/>
          <cell r="AP617"/>
          <cell r="AQ617"/>
          <cell r="AR617"/>
          <cell r="AS617"/>
          <cell r="AT617"/>
          <cell r="AU617" t="str">
            <v/>
          </cell>
          <cell r="AV617"/>
        </row>
        <row r="618">
          <cell r="Z618">
            <v>5025426</v>
          </cell>
          <cell r="AA618" t="str">
            <v>Economill 
2-7/8" REG Pin</v>
          </cell>
          <cell r="AB618">
            <v>11</v>
          </cell>
          <cell r="AC618">
            <v>5</v>
          </cell>
          <cell r="AD618">
            <v>150</v>
          </cell>
          <cell r="AE618" t="str">
            <v>2-7/8" REG Pin</v>
          </cell>
          <cell r="AF618"/>
          <cell r="AG618" t="str">
            <v>C</v>
          </cell>
          <cell r="AH618" t="str">
            <v xml:space="preserve"> en stock </v>
          </cell>
          <cell r="AI618">
            <v>1</v>
          </cell>
          <cell r="AJ618">
            <v>0</v>
          </cell>
          <cell r="AK618">
            <v>0</v>
          </cell>
          <cell r="AL618"/>
          <cell r="AM618"/>
          <cell r="AN618" t="str">
            <v/>
          </cell>
          <cell r="AO618"/>
          <cell r="AP618"/>
          <cell r="AQ618"/>
          <cell r="AR618"/>
          <cell r="AS618">
            <v>22</v>
          </cell>
          <cell r="AT618"/>
          <cell r="AU618" t="str">
            <v/>
          </cell>
          <cell r="AV618"/>
        </row>
        <row r="619">
          <cell r="Z619">
            <v>5075427</v>
          </cell>
          <cell r="AA619" t="str">
            <v>Super Junk Mill 
4-1/2" REG Pin</v>
          </cell>
          <cell r="AB619">
            <v>116</v>
          </cell>
          <cell r="AC619">
            <v>8.5625</v>
          </cell>
          <cell r="AD619">
            <v>680</v>
          </cell>
          <cell r="AE619" t="str">
            <v>4-1/2" REG Pin</v>
          </cell>
          <cell r="AF619"/>
          <cell r="AG619" t="str">
            <v>C</v>
          </cell>
          <cell r="AH619" t="str">
            <v xml:space="preserve"> en stock </v>
          </cell>
          <cell r="AI619">
            <v>1</v>
          </cell>
          <cell r="AJ619">
            <v>0</v>
          </cell>
          <cell r="AK619">
            <v>0</v>
          </cell>
          <cell r="AL619"/>
          <cell r="AM619"/>
          <cell r="AN619" t="str">
            <v/>
          </cell>
          <cell r="AO619"/>
          <cell r="AP619"/>
          <cell r="AQ619"/>
          <cell r="AR619"/>
          <cell r="AS619">
            <v>66</v>
          </cell>
          <cell r="AT619" t="str">
            <v>507-</v>
          </cell>
          <cell r="AU619" t="str">
            <v/>
          </cell>
          <cell r="AV619"/>
        </row>
        <row r="620">
          <cell r="Z620">
            <v>5075428</v>
          </cell>
          <cell r="AA620" t="str">
            <v>Super Junk Mill 
4-1/2" REG Pin</v>
          </cell>
          <cell r="AB620">
            <v>122</v>
          </cell>
          <cell r="AC620">
            <v>8.6875</v>
          </cell>
          <cell r="AD620">
            <v>660</v>
          </cell>
          <cell r="AE620" t="str">
            <v>4-1/2" REG Pin</v>
          </cell>
          <cell r="AF620"/>
          <cell r="AG620" t="str">
            <v>C</v>
          </cell>
          <cell r="AH620" t="str">
            <v xml:space="preserve"> en stock </v>
          </cell>
          <cell r="AI620">
            <v>1</v>
          </cell>
          <cell r="AJ620">
            <v>0</v>
          </cell>
          <cell r="AK620">
            <v>0</v>
          </cell>
          <cell r="AL620"/>
          <cell r="AM620"/>
          <cell r="AN620" t="str">
            <v/>
          </cell>
          <cell r="AO620"/>
          <cell r="AP620"/>
          <cell r="AQ620"/>
          <cell r="AR620"/>
          <cell r="AS620">
            <v>71</v>
          </cell>
          <cell r="AT620" t="str">
            <v>507-</v>
          </cell>
          <cell r="AU620" t="str">
            <v/>
          </cell>
          <cell r="AV620"/>
        </row>
        <row r="621">
          <cell r="Z621">
            <v>8095429</v>
          </cell>
          <cell r="AA621" t="str">
            <v>Near Bit Stab
NC 35 Box x 3-1/2" REG Box BF</v>
          </cell>
          <cell r="AB621">
            <v>0</v>
          </cell>
          <cell r="AC621">
            <v>6.0625</v>
          </cell>
          <cell r="AD621">
            <v>1310</v>
          </cell>
          <cell r="AE621" t="str">
            <v>NC 35 Box</v>
          </cell>
          <cell r="AF621" t="str">
            <v>3-1/2" REG Box BF</v>
          </cell>
          <cell r="AG621" t="str">
            <v>Carbure</v>
          </cell>
          <cell r="AH621" t="str">
            <v xml:space="preserve"> en stock </v>
          </cell>
          <cell r="AI621">
            <v>1</v>
          </cell>
          <cell r="AJ621">
            <v>0</v>
          </cell>
          <cell r="AK621">
            <v>0</v>
          </cell>
          <cell r="AL621"/>
          <cell r="AM621"/>
          <cell r="AN621">
            <v>8095429</v>
          </cell>
          <cell r="AO621"/>
          <cell r="AP621"/>
          <cell r="AQ621"/>
          <cell r="AR621"/>
          <cell r="AS621">
            <v>8</v>
          </cell>
          <cell r="AT621"/>
          <cell r="AU621" t="str">
            <v/>
          </cell>
          <cell r="AV621"/>
        </row>
        <row r="622">
          <cell r="Z622">
            <v>7125201</v>
          </cell>
          <cell r="AA622"/>
          <cell r="AB622"/>
          <cell r="AC622"/>
          <cell r="AD622"/>
          <cell r="AE622"/>
          <cell r="AF622"/>
          <cell r="AG622"/>
          <cell r="AH622" t="str">
            <v>en stock</v>
          </cell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 t="str">
            <v>réattibution n° immo</v>
          </cell>
          <cell r="AV622"/>
        </row>
        <row r="623">
          <cell r="Z623">
            <v>7125431</v>
          </cell>
          <cell r="AA623" t="str">
            <v>Releasing Spear 8-1/4" OD Mandrel Heavy Duty CA 17246 (grapples CA 9281 compatibles)
6-5/8" REG Box</v>
          </cell>
          <cell r="AB623">
            <v>270</v>
          </cell>
          <cell r="AC623">
            <v>8.25</v>
          </cell>
          <cell r="AD623" t="str">
            <v>CA 17246</v>
          </cell>
          <cell r="AE623" t="str">
            <v>6-5/8" REG Box</v>
          </cell>
          <cell r="AF623" t="str">
            <v>bull nose nut</v>
          </cell>
          <cell r="AG623"/>
          <cell r="AH623" t="str">
            <v>sur chantier</v>
          </cell>
          <cell r="AI623" t="str">
            <v/>
          </cell>
          <cell r="AJ623">
            <v>1</v>
          </cell>
          <cell r="AK623">
            <v>0</v>
          </cell>
          <cell r="AL623"/>
          <cell r="AM623"/>
          <cell r="AN623" t="str">
            <v/>
          </cell>
          <cell r="AO623"/>
          <cell r="AP623"/>
          <cell r="AQ623"/>
          <cell r="AR623"/>
          <cell r="AS623">
            <v>32</v>
          </cell>
          <cell r="AT623"/>
          <cell r="AU623" t="str">
            <v/>
          </cell>
          <cell r="AV623"/>
        </row>
        <row r="624">
          <cell r="Z624">
            <v>5085432</v>
          </cell>
          <cell r="AA624" t="str">
            <v>Taper Mill 
3-1/2" REG Pin</v>
          </cell>
          <cell r="AB624">
            <v>86</v>
          </cell>
          <cell r="AC624">
            <v>6</v>
          </cell>
          <cell r="AD624">
            <v>86</v>
          </cell>
          <cell r="AE624" t="str">
            <v>3-1/2" REG Pin</v>
          </cell>
          <cell r="AF624"/>
          <cell r="AG624"/>
          <cell r="AH624" t="str">
            <v>maintenance</v>
          </cell>
          <cell r="AI624" t="str">
            <v/>
          </cell>
          <cell r="AJ624">
            <v>0</v>
          </cell>
          <cell r="AK624">
            <v>1</v>
          </cell>
          <cell r="AL624"/>
          <cell r="AM624"/>
          <cell r="AN624" t="str">
            <v/>
          </cell>
          <cell r="AO624"/>
          <cell r="AP624"/>
          <cell r="AQ624"/>
          <cell r="AR624"/>
          <cell r="AS624">
            <v>23</v>
          </cell>
          <cell r="AT624" t="str">
            <v>508-</v>
          </cell>
          <cell r="AU624" t="str">
            <v/>
          </cell>
          <cell r="AV624"/>
        </row>
        <row r="625">
          <cell r="Z625">
            <v>8135433</v>
          </cell>
          <cell r="AA625" t="str">
            <v>XO
2-3/8" REG Pin x 2-3/8" PAC Box</v>
          </cell>
          <cell r="AB625">
            <v>9.3585423715875002</v>
          </cell>
          <cell r="AC625">
            <v>3.5625</v>
          </cell>
          <cell r="AD625">
            <v>210</v>
          </cell>
          <cell r="AE625" t="str">
            <v>2-3/8" REG Pin</v>
          </cell>
          <cell r="AF625" t="str">
            <v>2-3/8" PAC Box</v>
          </cell>
          <cell r="AG625"/>
          <cell r="AH625" t="str">
            <v xml:space="preserve"> en stock </v>
          </cell>
          <cell r="AI625">
            <v>1</v>
          </cell>
          <cell r="AJ625">
            <v>0</v>
          </cell>
          <cell r="AK625">
            <v>0</v>
          </cell>
          <cell r="AL625"/>
          <cell r="AM625"/>
          <cell r="AN625" t="str">
            <v/>
          </cell>
          <cell r="AO625"/>
          <cell r="AP625"/>
          <cell r="AQ625"/>
          <cell r="AR625"/>
          <cell r="AS625">
            <v>41</v>
          </cell>
          <cell r="AT625"/>
          <cell r="AU625" t="str">
            <v/>
          </cell>
          <cell r="AV625"/>
        </row>
        <row r="626">
          <cell r="Z626">
            <v>8135434</v>
          </cell>
          <cell r="AA626" t="str">
            <v>XO
2-7/8" IF Pin x 3-1/2" REG Box LH</v>
          </cell>
          <cell r="AB626">
            <v>25.848019977243752</v>
          </cell>
          <cell r="AC626">
            <v>4.625</v>
          </cell>
          <cell r="AD626">
            <v>330</v>
          </cell>
          <cell r="AE626" t="str">
            <v>2-7/8" IF Pin</v>
          </cell>
          <cell r="AF626" t="str">
            <v>3-1/2" REG Box LH</v>
          </cell>
          <cell r="AG626"/>
          <cell r="AH626" t="str">
            <v xml:space="preserve"> en stock </v>
          </cell>
          <cell r="AI626">
            <v>1</v>
          </cell>
          <cell r="AJ626">
            <v>0</v>
          </cell>
          <cell r="AK626">
            <v>0</v>
          </cell>
          <cell r="AL626"/>
          <cell r="AM626"/>
          <cell r="AN626" t="str">
            <v/>
          </cell>
          <cell r="AO626" t="str">
            <v>x</v>
          </cell>
          <cell r="AP626"/>
          <cell r="AQ626"/>
          <cell r="AR626" t="str">
            <v>Left Hand</v>
          </cell>
          <cell r="AS626">
            <v>85</v>
          </cell>
          <cell r="AT626"/>
          <cell r="AU626" t="str">
            <v/>
          </cell>
          <cell r="AV626"/>
        </row>
        <row r="627">
          <cell r="Z627">
            <v>8085435</v>
          </cell>
          <cell r="AA627" t="str">
            <v>Short DC 5-1/8" Lg 420mm
NC35 Pin x Box</v>
          </cell>
          <cell r="AB627">
            <v>34.705674792140606</v>
          </cell>
          <cell r="AC627">
            <v>5.125</v>
          </cell>
          <cell r="AD627">
            <v>420</v>
          </cell>
          <cell r="AE627" t="str">
            <v>NC35 Box</v>
          </cell>
          <cell r="AF627" t="str">
            <v>NC35 Pin</v>
          </cell>
          <cell r="AG627"/>
          <cell r="AH627" t="str">
            <v xml:space="preserve"> en stock </v>
          </cell>
          <cell r="AI627">
            <v>1</v>
          </cell>
          <cell r="AJ627">
            <v>0</v>
          </cell>
          <cell r="AK627">
            <v>0</v>
          </cell>
          <cell r="AL627"/>
          <cell r="AM627"/>
          <cell r="AN627" t="str">
            <v/>
          </cell>
          <cell r="AO627"/>
          <cell r="AP627"/>
          <cell r="AQ627"/>
          <cell r="AR627"/>
          <cell r="AS627">
            <v>10</v>
          </cell>
          <cell r="AT627"/>
          <cell r="AU627" t="str">
            <v/>
          </cell>
          <cell r="AV627"/>
        </row>
        <row r="628">
          <cell r="Z628">
            <v>7095436</v>
          </cell>
          <cell r="AA628"/>
          <cell r="AB628"/>
          <cell r="AC628"/>
          <cell r="AD628"/>
          <cell r="AE628"/>
          <cell r="AF628"/>
          <cell r="AG628"/>
          <cell r="AH628" t="str">
            <v>en stock</v>
          </cell>
          <cell r="AI628"/>
          <cell r="AJ628"/>
          <cell r="AK628"/>
          <cell r="AL628"/>
          <cell r="AM628"/>
          <cell r="AN628" t="str">
            <v/>
          </cell>
          <cell r="AO628"/>
          <cell r="AP628"/>
          <cell r="AQ628"/>
          <cell r="AR628"/>
          <cell r="AS628"/>
          <cell r="AT628"/>
          <cell r="AU628" t="str">
            <v>sorti des immos mais tjs en stock</v>
          </cell>
          <cell r="AV628"/>
        </row>
        <row r="629">
          <cell r="Z629">
            <v>7095437</v>
          </cell>
          <cell r="AA629"/>
          <cell r="AB629"/>
          <cell r="AC629"/>
          <cell r="AD629"/>
          <cell r="AE629"/>
          <cell r="AF629"/>
          <cell r="AG629"/>
          <cell r="AH629" t="str">
            <v>en stock</v>
          </cell>
          <cell r="AI629"/>
          <cell r="AJ629"/>
          <cell r="AK629"/>
          <cell r="AL629"/>
          <cell r="AM629"/>
          <cell r="AN629" t="str">
            <v/>
          </cell>
          <cell r="AO629"/>
          <cell r="AP629"/>
          <cell r="AQ629"/>
          <cell r="AR629"/>
          <cell r="AS629"/>
          <cell r="AT629"/>
          <cell r="AU629" t="str">
            <v>sorti des immos mais tjs en stock</v>
          </cell>
          <cell r="AV629"/>
        </row>
        <row r="630">
          <cell r="Z630">
            <v>7095438</v>
          </cell>
          <cell r="AA630"/>
          <cell r="AB630"/>
          <cell r="AC630"/>
          <cell r="AD630"/>
          <cell r="AE630"/>
          <cell r="AF630"/>
          <cell r="AG630"/>
          <cell r="AH630" t="str">
            <v>en stock</v>
          </cell>
          <cell r="AI630"/>
          <cell r="AJ630"/>
          <cell r="AK630"/>
          <cell r="AL630"/>
          <cell r="AM630"/>
          <cell r="AN630" t="str">
            <v/>
          </cell>
          <cell r="AO630"/>
          <cell r="AP630"/>
          <cell r="AQ630"/>
          <cell r="AR630"/>
          <cell r="AS630"/>
          <cell r="AT630"/>
          <cell r="AU630" t="str">
            <v>sorti des immos mais tjs en stock</v>
          </cell>
          <cell r="AV630"/>
        </row>
        <row r="631">
          <cell r="Z631">
            <v>8135439</v>
          </cell>
          <cell r="AA631"/>
          <cell r="AB631"/>
          <cell r="AC631"/>
          <cell r="AD631"/>
          <cell r="AE631"/>
          <cell r="AF631"/>
          <cell r="AG631"/>
          <cell r="AH631" t="str">
            <v>en stock</v>
          </cell>
          <cell r="AI631"/>
          <cell r="AJ631"/>
          <cell r="AK631"/>
          <cell r="AL631"/>
          <cell r="AM631"/>
          <cell r="AN631" t="str">
            <v/>
          </cell>
          <cell r="AO631"/>
          <cell r="AP631"/>
          <cell r="AQ631"/>
          <cell r="AR631"/>
          <cell r="AS631"/>
          <cell r="AT631"/>
          <cell r="AU631" t="str">
            <v/>
          </cell>
          <cell r="AV631"/>
        </row>
        <row r="632">
          <cell r="Z632">
            <v>5075440</v>
          </cell>
          <cell r="AA632" t="str">
            <v>Super Junk Mill 
2-3/8" REG Pin</v>
          </cell>
          <cell r="AB632">
            <v>23</v>
          </cell>
          <cell r="AC632">
            <v>3.875</v>
          </cell>
          <cell r="AD632">
            <v>560</v>
          </cell>
          <cell r="AE632" t="str">
            <v>2-3/8" REG Pin</v>
          </cell>
          <cell r="AF632"/>
          <cell r="AG632" t="str">
            <v>C</v>
          </cell>
          <cell r="AH632" t="str">
            <v xml:space="preserve"> en stock </v>
          </cell>
          <cell r="AI632">
            <v>1</v>
          </cell>
          <cell r="AJ632">
            <v>0</v>
          </cell>
          <cell r="AK632">
            <v>0</v>
          </cell>
          <cell r="AL632"/>
          <cell r="AM632"/>
          <cell r="AN632" t="str">
            <v/>
          </cell>
          <cell r="AO632"/>
          <cell r="AP632"/>
          <cell r="AQ632"/>
          <cell r="AR632"/>
          <cell r="AS632">
            <v>6</v>
          </cell>
          <cell r="AT632" t="str">
            <v>507-</v>
          </cell>
          <cell r="AU632" t="str">
            <v/>
          </cell>
          <cell r="AV632"/>
        </row>
        <row r="633">
          <cell r="Z633">
            <v>7015441</v>
          </cell>
          <cell r="AA633"/>
          <cell r="AB633"/>
          <cell r="AC633"/>
          <cell r="AD633"/>
          <cell r="AE633"/>
          <cell r="AF633"/>
          <cell r="AG633"/>
          <cell r="AH633" t="str">
            <v>en stock</v>
          </cell>
          <cell r="AI633"/>
          <cell r="AJ633"/>
          <cell r="AK633"/>
          <cell r="AL633"/>
          <cell r="AM633"/>
          <cell r="AN633" t="str">
            <v/>
          </cell>
          <cell r="AO633"/>
          <cell r="AP633"/>
          <cell r="AQ633"/>
          <cell r="AR633"/>
          <cell r="AS633"/>
          <cell r="AT633"/>
          <cell r="AU633">
            <v>1607028</v>
          </cell>
          <cell r="AV633"/>
        </row>
        <row r="634">
          <cell r="Z634">
            <v>5065442</v>
          </cell>
          <cell r="AA634" t="str">
            <v>String Mill 9,6875 OD 
4-1/2" IF Box x 4-1/2" IF Pin</v>
          </cell>
          <cell r="AB634">
            <v>346</v>
          </cell>
          <cell r="AC634">
            <v>9.6875</v>
          </cell>
          <cell r="AD634">
            <v>1800</v>
          </cell>
          <cell r="AE634" t="str">
            <v>4-1/2" IF Box</v>
          </cell>
          <cell r="AF634" t="str">
            <v>4-1/2" IF Pin</v>
          </cell>
          <cell r="AG634"/>
          <cell r="AH634" t="str">
            <v>maintenance</v>
          </cell>
          <cell r="AI634" t="str">
            <v/>
          </cell>
          <cell r="AJ634">
            <v>0</v>
          </cell>
          <cell r="AK634">
            <v>1</v>
          </cell>
          <cell r="AL634"/>
          <cell r="AM634"/>
          <cell r="AN634">
            <v>5065442</v>
          </cell>
          <cell r="AO634"/>
          <cell r="AP634"/>
          <cell r="AQ634"/>
          <cell r="AR634"/>
          <cell r="AS634">
            <v>22</v>
          </cell>
          <cell r="AT634"/>
          <cell r="AU634" t="str">
            <v/>
          </cell>
          <cell r="AV634"/>
        </row>
        <row r="635">
          <cell r="Z635">
            <v>3025443</v>
          </cell>
          <cell r="AA635" t="str">
            <v>DTU 5700
3-1/2" REG Pin up x 3-1/2" REG Box down</v>
          </cell>
          <cell r="AB635">
            <v>168</v>
          </cell>
          <cell r="AC635">
            <v>5700</v>
          </cell>
          <cell r="AD635">
            <v>1750</v>
          </cell>
          <cell r="AE635" t="str">
            <v>3-1/2" REG Pin</v>
          </cell>
          <cell r="AF635" t="str">
            <v>3-1/2" REG Box</v>
          </cell>
          <cell r="AG635"/>
          <cell r="AH635" t="str">
            <v xml:space="preserve"> en stock </v>
          </cell>
          <cell r="AI635">
            <v>1</v>
          </cell>
          <cell r="AJ635">
            <v>0</v>
          </cell>
          <cell r="AK635">
            <v>0</v>
          </cell>
          <cell r="AL635"/>
          <cell r="AM635"/>
          <cell r="AN635">
            <v>3025443</v>
          </cell>
          <cell r="AO635"/>
          <cell r="AP635"/>
          <cell r="AQ635"/>
          <cell r="AR635"/>
          <cell r="AS635">
            <v>7</v>
          </cell>
          <cell r="AT635" t="str">
            <v>302-5700</v>
          </cell>
          <cell r="AU635" t="str">
            <v/>
          </cell>
          <cell r="AV635"/>
        </row>
        <row r="636">
          <cell r="Z636">
            <v>8135444</v>
          </cell>
          <cell r="AA636" t="str">
            <v>XO
4-1/2" REG Pin x 6-5/8" REG Box</v>
          </cell>
          <cell r="AB636">
            <v>96</v>
          </cell>
          <cell r="AC636">
            <v>7.5</v>
          </cell>
          <cell r="AD636">
            <v>320</v>
          </cell>
          <cell r="AE636" t="str">
            <v>4-1/2" REG Pin</v>
          </cell>
          <cell r="AF636" t="str">
            <v>6-5/8" REG Box</v>
          </cell>
          <cell r="AG636"/>
          <cell r="AH636" t="str">
            <v>maintenance</v>
          </cell>
          <cell r="AI636" t="str">
            <v/>
          </cell>
          <cell r="AJ636">
            <v>0</v>
          </cell>
          <cell r="AK636">
            <v>1</v>
          </cell>
          <cell r="AL636"/>
          <cell r="AM636"/>
          <cell r="AN636">
            <v>8135444</v>
          </cell>
          <cell r="AO636"/>
          <cell r="AP636"/>
          <cell r="AQ636"/>
          <cell r="AR636"/>
          <cell r="AS636">
            <v>186</v>
          </cell>
          <cell r="AT636"/>
          <cell r="AU636" t="str">
            <v/>
          </cell>
          <cell r="AV636"/>
        </row>
        <row r="637">
          <cell r="Z637">
            <v>8115445</v>
          </cell>
          <cell r="AA637"/>
          <cell r="AB637"/>
          <cell r="AC637"/>
          <cell r="AD637"/>
          <cell r="AE637"/>
          <cell r="AF637"/>
          <cell r="AG637"/>
          <cell r="AH637" t="str">
            <v>en stock</v>
          </cell>
          <cell r="AI637"/>
          <cell r="AJ637"/>
          <cell r="AK637"/>
          <cell r="AL637"/>
          <cell r="AM637"/>
          <cell r="AN637" t="str">
            <v/>
          </cell>
          <cell r="AO637"/>
          <cell r="AP637"/>
          <cell r="AQ637"/>
          <cell r="AR637"/>
          <cell r="AS637"/>
          <cell r="AT637"/>
          <cell r="AU637">
            <v>1605023</v>
          </cell>
          <cell r="AV637"/>
        </row>
        <row r="638">
          <cell r="Z638">
            <v>7095446</v>
          </cell>
          <cell r="AA638" t="str">
            <v>Taper Tap 3-7/8" OD to catch from 1-1/2" to 3"
Lg catch 585mm
2-3/8" IF Box</v>
          </cell>
          <cell r="AB638">
            <v>22</v>
          </cell>
          <cell r="AC638">
            <v>3.875</v>
          </cell>
          <cell r="AD638">
            <v>775</v>
          </cell>
          <cell r="AE638" t="str">
            <v>2-3/8" IF Box</v>
          </cell>
          <cell r="AF638"/>
          <cell r="AG638"/>
          <cell r="AH638" t="str">
            <v xml:space="preserve"> en stock </v>
          </cell>
          <cell r="AI638">
            <v>1</v>
          </cell>
          <cell r="AJ638">
            <v>0</v>
          </cell>
          <cell r="AK638">
            <v>0</v>
          </cell>
          <cell r="AL638"/>
          <cell r="AM638"/>
          <cell r="AN638">
            <v>7095446</v>
          </cell>
          <cell r="AO638"/>
          <cell r="AP638"/>
          <cell r="AQ638"/>
          <cell r="AR638"/>
          <cell r="AS638">
            <v>12</v>
          </cell>
          <cell r="AT638" t="str">
            <v>709-</v>
          </cell>
          <cell r="AU638" t="str">
            <v/>
          </cell>
          <cell r="AV638"/>
        </row>
        <row r="639">
          <cell r="Z639">
            <v>7095447</v>
          </cell>
          <cell r="AA639" t="str">
            <v>Taper Tap 5-11/16" OD to catch from 3-7/8" to 5-1/4"
Lg catch 250mm
4" IF Box</v>
          </cell>
          <cell r="AB639">
            <v>82</v>
          </cell>
          <cell r="AC639">
            <v>5.6875</v>
          </cell>
          <cell r="AD639">
            <v>970</v>
          </cell>
          <cell r="AE639" t="str">
            <v>4" IF Box</v>
          </cell>
          <cell r="AF639"/>
          <cell r="AG639"/>
          <cell r="AH639" t="str">
            <v xml:space="preserve"> en stock </v>
          </cell>
          <cell r="AI639">
            <v>1</v>
          </cell>
          <cell r="AJ639">
            <v>0</v>
          </cell>
          <cell r="AK639">
            <v>0</v>
          </cell>
          <cell r="AL639"/>
          <cell r="AM639"/>
          <cell r="AN639">
            <v>7095447</v>
          </cell>
          <cell r="AO639"/>
          <cell r="AP639"/>
          <cell r="AQ639"/>
          <cell r="AR639"/>
          <cell r="AS639">
            <v>22</v>
          </cell>
          <cell r="AT639" t="str">
            <v>709-</v>
          </cell>
          <cell r="AU639" t="str">
            <v/>
          </cell>
          <cell r="AV639"/>
        </row>
        <row r="640">
          <cell r="Z640">
            <v>7095448</v>
          </cell>
          <cell r="AA640" t="str">
            <v>Taper Tap 8" OD to catch from 1-1/4" to 2-1/8" 
Lg catch 320mm
2-3/8" REG Box</v>
          </cell>
          <cell r="AB640">
            <v>8</v>
          </cell>
          <cell r="AC640">
            <v>3.0625</v>
          </cell>
          <cell r="AD640">
            <v>470</v>
          </cell>
          <cell r="AE640" t="str">
            <v>2-3/8" REG Box</v>
          </cell>
          <cell r="AF640"/>
          <cell r="AG640"/>
          <cell r="AH640" t="str">
            <v xml:space="preserve"> en stock </v>
          </cell>
          <cell r="AI640">
            <v>1</v>
          </cell>
          <cell r="AJ640">
            <v>0</v>
          </cell>
          <cell r="AK640">
            <v>0</v>
          </cell>
          <cell r="AL640"/>
          <cell r="AM640"/>
          <cell r="AN640">
            <v>7095448</v>
          </cell>
          <cell r="AO640"/>
          <cell r="AP640"/>
          <cell r="AQ640"/>
          <cell r="AR640"/>
          <cell r="AS640">
            <v>5</v>
          </cell>
          <cell r="AT640" t="str">
            <v>709-</v>
          </cell>
          <cell r="AU640" t="str">
            <v/>
          </cell>
          <cell r="AV640"/>
        </row>
        <row r="641">
          <cell r="Z641">
            <v>7045449</v>
          </cell>
          <cell r="AA641" t="str">
            <v>4-1/4" SH Overshot - CA C-5126
2-3/8" IF Box</v>
          </cell>
          <cell r="AB641">
            <v>20</v>
          </cell>
          <cell r="AC641" t="str">
            <v>4-1/4" SH</v>
          </cell>
          <cell r="AD641">
            <v>835</v>
          </cell>
          <cell r="AE641" t="str">
            <v>2-3/8" IF Box</v>
          </cell>
          <cell r="AF641">
            <v>7200425050</v>
          </cell>
          <cell r="AG641"/>
          <cell r="AH641" t="str">
            <v>maintenance</v>
          </cell>
          <cell r="AI641" t="str">
            <v/>
          </cell>
          <cell r="AJ641">
            <v>0</v>
          </cell>
          <cell r="AK641">
            <v>1</v>
          </cell>
          <cell r="AL641"/>
          <cell r="AM641"/>
          <cell r="AN641" t="str">
            <v/>
          </cell>
          <cell r="AO641"/>
          <cell r="AP641"/>
          <cell r="AQ641"/>
          <cell r="AR641"/>
          <cell r="AS641">
            <v>24</v>
          </cell>
          <cell r="AT641" t="str">
            <v>704-5126</v>
          </cell>
          <cell r="AU641" t="str">
            <v/>
          </cell>
          <cell r="AV641"/>
        </row>
        <row r="642">
          <cell r="Z642">
            <v>3035450</v>
          </cell>
          <cell r="AA642" t="str">
            <v>Master Driller 14000
7-5/8" REG Pin up x 7-5/8" REG Box down</v>
          </cell>
          <cell r="AB642">
            <v>690</v>
          </cell>
          <cell r="AC642">
            <v>14000</v>
          </cell>
          <cell r="AD642">
            <v>1860</v>
          </cell>
          <cell r="AE642" t="str">
            <v>7-5/8" REG Pin</v>
          </cell>
          <cell r="AF642" t="str">
            <v>7-5/8" REG Box</v>
          </cell>
          <cell r="AG642"/>
          <cell r="AH642" t="str">
            <v xml:space="preserve"> en stock </v>
          </cell>
          <cell r="AI642">
            <v>1</v>
          </cell>
          <cell r="AJ642">
            <v>0</v>
          </cell>
          <cell r="AK642">
            <v>0</v>
          </cell>
          <cell r="AL642"/>
          <cell r="AM642"/>
          <cell r="AN642" t="str">
            <v/>
          </cell>
          <cell r="AO642"/>
          <cell r="AP642"/>
          <cell r="AQ642"/>
          <cell r="AR642"/>
          <cell r="AS642">
            <v>6</v>
          </cell>
          <cell r="AT642"/>
          <cell r="AU642" t="str">
            <v/>
          </cell>
          <cell r="AV642"/>
        </row>
        <row r="643">
          <cell r="Z643">
            <v>5145451</v>
          </cell>
          <cell r="AA643"/>
          <cell r="AB643"/>
          <cell r="AC643"/>
          <cell r="AD643"/>
          <cell r="AE643"/>
          <cell r="AF643"/>
          <cell r="AG643"/>
          <cell r="AH643" t="str">
            <v>en stock</v>
          </cell>
          <cell r="AI643"/>
          <cell r="AJ643"/>
          <cell r="AK643"/>
          <cell r="AL643"/>
          <cell r="AM643"/>
          <cell r="AN643" t="str">
            <v/>
          </cell>
          <cell r="AO643"/>
          <cell r="AP643"/>
          <cell r="AQ643"/>
          <cell r="AR643"/>
          <cell r="AS643"/>
          <cell r="AT643"/>
          <cell r="AU643" t="str">
            <v/>
          </cell>
          <cell r="AV643"/>
        </row>
        <row r="644">
          <cell r="Z644">
            <v>3055452</v>
          </cell>
          <cell r="AA644" t="str">
            <v>SPX 5700
3-1/2" IF Pin up x nose down</v>
          </cell>
          <cell r="AB644">
            <v>160</v>
          </cell>
          <cell r="AC644">
            <v>5700</v>
          </cell>
          <cell r="AD644">
            <v>1820</v>
          </cell>
          <cell r="AE644" t="str">
            <v>3-1/2" IF Pin</v>
          </cell>
          <cell r="AF644" t="str">
            <v>nose</v>
          </cell>
          <cell r="AG644"/>
          <cell r="AH644" t="str">
            <v xml:space="preserve"> en stock </v>
          </cell>
          <cell r="AI644">
            <v>1</v>
          </cell>
          <cell r="AJ644">
            <v>0</v>
          </cell>
          <cell r="AK644">
            <v>0</v>
          </cell>
          <cell r="AL644"/>
          <cell r="AM644"/>
          <cell r="AN644" t="str">
            <v/>
          </cell>
          <cell r="AO644"/>
          <cell r="AP644"/>
          <cell r="AQ644"/>
          <cell r="AR644"/>
          <cell r="AS644">
            <v>7</v>
          </cell>
          <cell r="AT644"/>
          <cell r="AU644" t="str">
            <v/>
          </cell>
          <cell r="AV644"/>
        </row>
        <row r="645">
          <cell r="Z645">
            <v>3015453</v>
          </cell>
          <cell r="AA645" t="str">
            <v>RTU 5700
0 up</v>
          </cell>
          <cell r="AB645">
            <v>166</v>
          </cell>
          <cell r="AC645">
            <v>5700</v>
          </cell>
          <cell r="AD645">
            <v>1865</v>
          </cell>
          <cell r="AE645">
            <v>0</v>
          </cell>
          <cell r="AF645" t="str">
            <v>nose</v>
          </cell>
          <cell r="AG645"/>
          <cell r="AH645" t="str">
            <v xml:space="preserve"> en stock </v>
          </cell>
          <cell r="AI645">
            <v>1</v>
          </cell>
          <cell r="AJ645">
            <v>0</v>
          </cell>
          <cell r="AK645">
            <v>0</v>
          </cell>
          <cell r="AL645"/>
          <cell r="AM645"/>
          <cell r="AN645" t="str">
            <v/>
          </cell>
          <cell r="AO645"/>
          <cell r="AP645"/>
          <cell r="AQ645"/>
          <cell r="AR645"/>
          <cell r="AS645">
            <v>8</v>
          </cell>
          <cell r="AT645" t="str">
            <v>301-5700</v>
          </cell>
          <cell r="AU645" t="str">
            <v/>
          </cell>
          <cell r="AV645"/>
        </row>
        <row r="646">
          <cell r="Z646">
            <v>5115454</v>
          </cell>
          <cell r="AA646"/>
          <cell r="AB646"/>
          <cell r="AC646"/>
          <cell r="AD646"/>
          <cell r="AE646"/>
          <cell r="AF646"/>
          <cell r="AG646"/>
          <cell r="AH646" t="str">
            <v>en stock</v>
          </cell>
          <cell r="AI646"/>
          <cell r="AJ646"/>
          <cell r="AK646"/>
          <cell r="AL646"/>
          <cell r="AM646"/>
          <cell r="AN646" t="str">
            <v/>
          </cell>
          <cell r="AO646"/>
          <cell r="AP646"/>
          <cell r="AQ646"/>
          <cell r="AR646"/>
          <cell r="AS646"/>
          <cell r="AT646"/>
          <cell r="AU646" t="str">
            <v/>
          </cell>
          <cell r="AV646"/>
        </row>
        <row r="647">
          <cell r="Z647">
            <v>5115455</v>
          </cell>
          <cell r="AA647"/>
          <cell r="AB647"/>
          <cell r="AC647"/>
          <cell r="AD647"/>
          <cell r="AE647"/>
          <cell r="AF647"/>
          <cell r="AG647"/>
          <cell r="AH647" t="str">
            <v>en stock</v>
          </cell>
          <cell r="AI647"/>
          <cell r="AJ647"/>
          <cell r="AK647"/>
          <cell r="AL647"/>
          <cell r="AM647"/>
          <cell r="AN647" t="str">
            <v/>
          </cell>
          <cell r="AO647"/>
          <cell r="AP647"/>
          <cell r="AQ647"/>
          <cell r="AR647"/>
          <cell r="AS647"/>
          <cell r="AT647"/>
          <cell r="AU647" t="str">
            <v/>
          </cell>
          <cell r="AV647"/>
        </row>
        <row r="648">
          <cell r="Z648">
            <v>5115456</v>
          </cell>
          <cell r="AA648"/>
          <cell r="AB648"/>
          <cell r="AC648"/>
          <cell r="AD648"/>
          <cell r="AE648"/>
          <cell r="AF648"/>
          <cell r="AG648"/>
          <cell r="AH648" t="str">
            <v>en stock</v>
          </cell>
          <cell r="AI648"/>
          <cell r="AJ648"/>
          <cell r="AK648"/>
          <cell r="AL648"/>
          <cell r="AM648"/>
          <cell r="AN648" t="str">
            <v/>
          </cell>
          <cell r="AO648"/>
          <cell r="AP648"/>
          <cell r="AQ648"/>
          <cell r="AR648"/>
          <cell r="AS648"/>
          <cell r="AT648"/>
          <cell r="AU648" t="str">
            <v/>
          </cell>
          <cell r="AV648"/>
        </row>
        <row r="649">
          <cell r="Z649">
            <v>5115457</v>
          </cell>
          <cell r="AA649"/>
          <cell r="AB649"/>
          <cell r="AC649"/>
          <cell r="AD649"/>
          <cell r="AE649"/>
          <cell r="AF649"/>
          <cell r="AG649"/>
          <cell r="AH649" t="str">
            <v>en stock</v>
          </cell>
          <cell r="AI649"/>
          <cell r="AJ649"/>
          <cell r="AK649"/>
          <cell r="AL649"/>
          <cell r="AM649"/>
          <cell r="AN649" t="str">
            <v/>
          </cell>
          <cell r="AO649"/>
          <cell r="AP649"/>
          <cell r="AQ649"/>
          <cell r="AR649"/>
          <cell r="AS649"/>
          <cell r="AT649"/>
          <cell r="AU649" t="str">
            <v/>
          </cell>
          <cell r="AV649"/>
        </row>
        <row r="650">
          <cell r="Z650">
            <v>5115458</v>
          </cell>
          <cell r="AA650"/>
          <cell r="AB650"/>
          <cell r="AC650"/>
          <cell r="AD650"/>
          <cell r="AE650"/>
          <cell r="AF650"/>
          <cell r="AG650"/>
          <cell r="AH650" t="str">
            <v>en stock</v>
          </cell>
          <cell r="AI650"/>
          <cell r="AJ650"/>
          <cell r="AK650"/>
          <cell r="AL650"/>
          <cell r="AM650"/>
          <cell r="AN650" t="str">
            <v/>
          </cell>
          <cell r="AO650"/>
          <cell r="AP650"/>
          <cell r="AQ650"/>
          <cell r="AR650"/>
          <cell r="AS650"/>
          <cell r="AT650"/>
          <cell r="AU650" t="str">
            <v/>
          </cell>
          <cell r="AV650"/>
        </row>
        <row r="651">
          <cell r="Z651">
            <v>5115459</v>
          </cell>
          <cell r="AA651"/>
          <cell r="AB651"/>
          <cell r="AC651"/>
          <cell r="AD651"/>
          <cell r="AE651"/>
          <cell r="AF651"/>
          <cell r="AG651"/>
          <cell r="AH651" t="str">
            <v>en stock</v>
          </cell>
          <cell r="AI651"/>
          <cell r="AJ651"/>
          <cell r="AK651"/>
          <cell r="AL651"/>
          <cell r="AM651"/>
          <cell r="AN651" t="str">
            <v/>
          </cell>
          <cell r="AO651"/>
          <cell r="AP651"/>
          <cell r="AQ651"/>
          <cell r="AR651"/>
          <cell r="AS651"/>
          <cell r="AT651"/>
          <cell r="AU651" t="str">
            <v/>
          </cell>
          <cell r="AV651"/>
        </row>
        <row r="652">
          <cell r="Z652">
            <v>5115460</v>
          </cell>
          <cell r="AA652"/>
          <cell r="AB652"/>
          <cell r="AC652"/>
          <cell r="AD652"/>
          <cell r="AE652"/>
          <cell r="AF652"/>
          <cell r="AG652"/>
          <cell r="AH652" t="str">
            <v>en stock</v>
          </cell>
          <cell r="AI652"/>
          <cell r="AJ652"/>
          <cell r="AK652"/>
          <cell r="AL652"/>
          <cell r="AM652"/>
          <cell r="AN652" t="str">
            <v/>
          </cell>
          <cell r="AO652"/>
          <cell r="AP652"/>
          <cell r="AQ652"/>
          <cell r="AR652"/>
          <cell r="AS652"/>
          <cell r="AT652"/>
          <cell r="AU652" t="str">
            <v/>
          </cell>
          <cell r="AV652"/>
        </row>
        <row r="653">
          <cell r="Z653">
            <v>5115461</v>
          </cell>
          <cell r="AA653"/>
          <cell r="AB653"/>
          <cell r="AC653"/>
          <cell r="AD653"/>
          <cell r="AE653"/>
          <cell r="AF653"/>
          <cell r="AG653"/>
          <cell r="AH653" t="str">
            <v>en stock</v>
          </cell>
          <cell r="AI653"/>
          <cell r="AJ653"/>
          <cell r="AK653"/>
          <cell r="AL653"/>
          <cell r="AM653"/>
          <cell r="AN653" t="str">
            <v/>
          </cell>
          <cell r="AO653"/>
          <cell r="AP653"/>
          <cell r="AQ653"/>
          <cell r="AR653"/>
          <cell r="AS653"/>
          <cell r="AT653"/>
          <cell r="AU653" t="str">
            <v/>
          </cell>
          <cell r="AV653"/>
        </row>
        <row r="654">
          <cell r="Z654">
            <v>4055462</v>
          </cell>
          <cell r="AA654" t="str">
            <v>Safety Joint 3-1/2" OD teeth and spring type
2-3/8" IF Pin down x Box up</v>
          </cell>
          <cell r="AB654">
            <v>46</v>
          </cell>
          <cell r="AC654">
            <v>3.5</v>
          </cell>
          <cell r="AD654">
            <v>1180</v>
          </cell>
          <cell r="AE654" t="str">
            <v>2-3/8" IF Box</v>
          </cell>
          <cell r="AF654" t="str">
            <v>2-3/8" IF Pin</v>
          </cell>
          <cell r="AG654"/>
          <cell r="AH654" t="str">
            <v xml:space="preserve"> en stock </v>
          </cell>
          <cell r="AI654">
            <v>1</v>
          </cell>
          <cell r="AJ654">
            <v>0</v>
          </cell>
          <cell r="AK654">
            <v>0</v>
          </cell>
          <cell r="AL654"/>
          <cell r="AM654"/>
          <cell r="AN654" t="str">
            <v/>
          </cell>
          <cell r="AO654"/>
          <cell r="AP654"/>
          <cell r="AQ654"/>
          <cell r="AR654"/>
          <cell r="AS654">
            <v>5</v>
          </cell>
          <cell r="AT654" t="str">
            <v>405-3,375</v>
          </cell>
          <cell r="AU654" t="str">
            <v/>
          </cell>
          <cell r="AV654"/>
        </row>
        <row r="655">
          <cell r="Z655">
            <v>5075463</v>
          </cell>
          <cell r="AA655" t="str">
            <v>Super Junk Mill 
6-5/8" REG Pin</v>
          </cell>
          <cell r="AB655">
            <v>200</v>
          </cell>
          <cell r="AC655">
            <v>12.25</v>
          </cell>
          <cell r="AD655">
            <v>670</v>
          </cell>
          <cell r="AE655" t="str">
            <v>6-5/8" REG Pin</v>
          </cell>
          <cell r="AF655"/>
          <cell r="AG655" t="str">
            <v>C</v>
          </cell>
          <cell r="AH655" t="str">
            <v>sur chantier</v>
          </cell>
          <cell r="AI655" t="str">
            <v/>
          </cell>
          <cell r="AJ655">
            <v>1</v>
          </cell>
          <cell r="AK655">
            <v>0</v>
          </cell>
          <cell r="AL655"/>
          <cell r="AM655"/>
          <cell r="AN655" t="str">
            <v/>
          </cell>
          <cell r="AO655"/>
          <cell r="AP655"/>
          <cell r="AQ655"/>
          <cell r="AR655"/>
          <cell r="AS655">
            <v>85</v>
          </cell>
          <cell r="AT655" t="str">
            <v>507-</v>
          </cell>
          <cell r="AU655" t="str">
            <v/>
          </cell>
          <cell r="AV655"/>
        </row>
        <row r="656">
          <cell r="Z656">
            <v>7085464</v>
          </cell>
          <cell r="AA656" t="str">
            <v>Extension PMT Lg 1830 mm
2-1/4" PRT Box x 2-1/4" PRT Pin</v>
          </cell>
          <cell r="AB656">
            <v>36</v>
          </cell>
          <cell r="AC656">
            <v>2.25</v>
          </cell>
          <cell r="AD656">
            <v>1830</v>
          </cell>
          <cell r="AE656" t="str">
            <v>2-1/4" PRT Box</v>
          </cell>
          <cell r="AF656" t="str">
            <v>2-1/4" PRT Pin</v>
          </cell>
          <cell r="AG656"/>
          <cell r="AH656" t="str">
            <v xml:space="preserve"> en stock </v>
          </cell>
          <cell r="AI656">
            <v>1</v>
          </cell>
          <cell r="AJ656">
            <v>0</v>
          </cell>
          <cell r="AK656">
            <v>0</v>
          </cell>
          <cell r="AL656"/>
          <cell r="AM656"/>
          <cell r="AN656"/>
          <cell r="AO656"/>
          <cell r="AP656"/>
          <cell r="AQ656"/>
          <cell r="AR656"/>
          <cell r="AS656">
            <v>22</v>
          </cell>
          <cell r="AT656"/>
          <cell r="AU656" t="str">
            <v/>
          </cell>
          <cell r="AV656"/>
        </row>
        <row r="657">
          <cell r="Z657">
            <v>3015465</v>
          </cell>
          <cell r="AA657" t="str">
            <v>RTU 8200
4-1/2" REG Pin up</v>
          </cell>
          <cell r="AB657">
            <v>412</v>
          </cell>
          <cell r="AC657">
            <v>8200</v>
          </cell>
          <cell r="AD657">
            <v>2390</v>
          </cell>
          <cell r="AE657" t="str">
            <v>4-1/2" REG Pin</v>
          </cell>
          <cell r="AF657" t="str">
            <v>nose</v>
          </cell>
          <cell r="AG657"/>
          <cell r="AH657" t="str">
            <v>maintenance</v>
          </cell>
          <cell r="AI657" t="str">
            <v/>
          </cell>
          <cell r="AJ657">
            <v>0</v>
          </cell>
          <cell r="AK657">
            <v>1</v>
          </cell>
          <cell r="AL657"/>
          <cell r="AM657"/>
          <cell r="AN657" t="str">
            <v/>
          </cell>
          <cell r="AO657"/>
          <cell r="AP657"/>
          <cell r="AQ657"/>
          <cell r="AR657"/>
          <cell r="AS657">
            <v>10</v>
          </cell>
          <cell r="AT657" t="str">
            <v>301-8200</v>
          </cell>
          <cell r="AU657" t="str">
            <v/>
          </cell>
          <cell r="AV657"/>
        </row>
        <row r="658">
          <cell r="Z658">
            <v>1035466</v>
          </cell>
          <cell r="AA658" t="str">
            <v>Casing Scraper 7-13/16" OD Body
4-1/2" IF Box x 4-1/2" REG Box</v>
          </cell>
          <cell r="AB658">
            <v>198</v>
          </cell>
          <cell r="AC658">
            <v>7.8125</v>
          </cell>
          <cell r="AD658">
            <v>1500</v>
          </cell>
          <cell r="AE658" t="str">
            <v>4-1/2" IF Box</v>
          </cell>
          <cell r="AF658" t="str">
            <v>4-1/2" REG Box</v>
          </cell>
          <cell r="AG658"/>
          <cell r="AH658" t="str">
            <v>maintenance</v>
          </cell>
          <cell r="AI658" t="str">
            <v/>
          </cell>
          <cell r="AJ658">
            <v>0</v>
          </cell>
          <cell r="AK658">
            <v>1</v>
          </cell>
          <cell r="AL658"/>
          <cell r="AM658"/>
          <cell r="AN658" t="str">
            <v/>
          </cell>
          <cell r="AO658"/>
          <cell r="AP658"/>
          <cell r="AQ658"/>
          <cell r="AR658"/>
          <cell r="AS658">
            <v>17</v>
          </cell>
          <cell r="AT658"/>
          <cell r="AU658" t="str">
            <v/>
          </cell>
          <cell r="AV658"/>
        </row>
        <row r="659">
          <cell r="Z659">
            <v>8135467</v>
          </cell>
          <cell r="AA659" t="str">
            <v>XO
2-3/8" REG Pin x 2-3/8" REG Pin</v>
          </cell>
          <cell r="AB659">
            <v>13.2397265446875</v>
          </cell>
          <cell r="AC659">
            <v>3.0625</v>
          </cell>
          <cell r="AD659">
            <v>400</v>
          </cell>
          <cell r="AE659" t="str">
            <v>2-3/8" REG Pin</v>
          </cell>
          <cell r="AF659" t="str">
            <v>2-3/8" REG Pin</v>
          </cell>
          <cell r="AG659"/>
          <cell r="AH659" t="str">
            <v xml:space="preserve"> en stock </v>
          </cell>
          <cell r="AI659">
            <v>1</v>
          </cell>
          <cell r="AJ659">
            <v>0</v>
          </cell>
          <cell r="AK659">
            <v>0</v>
          </cell>
          <cell r="AL659"/>
          <cell r="AM659"/>
          <cell r="AN659" t="str">
            <v/>
          </cell>
          <cell r="AO659"/>
          <cell r="AP659"/>
          <cell r="AQ659"/>
          <cell r="AR659"/>
          <cell r="AS659">
            <v>48</v>
          </cell>
          <cell r="AT659"/>
          <cell r="AU659" t="str">
            <v/>
          </cell>
          <cell r="AV659"/>
        </row>
        <row r="660">
          <cell r="Z660">
            <v>5145468</v>
          </cell>
          <cell r="AA660" t="str">
            <v>Elevator for 4-1/2" OD 90° 
Center Latch 25T</v>
          </cell>
          <cell r="AB660">
            <v>66</v>
          </cell>
          <cell r="AC660" t="str">
            <v>for 4-1/2" OD</v>
          </cell>
          <cell r="AD660" t="str">
            <v>90°</v>
          </cell>
          <cell r="AE660" t="str">
            <v>Center Latch</v>
          </cell>
          <cell r="AF660" t="str">
            <v>25T</v>
          </cell>
          <cell r="AG660"/>
          <cell r="AH660" t="str">
            <v xml:space="preserve"> en stock </v>
          </cell>
          <cell r="AI660">
            <v>1</v>
          </cell>
          <cell r="AJ660">
            <v>0</v>
          </cell>
          <cell r="AK660">
            <v>0</v>
          </cell>
          <cell r="AL660"/>
          <cell r="AM660"/>
          <cell r="AN660" t="str">
            <v/>
          </cell>
          <cell r="AO660"/>
          <cell r="AP660"/>
          <cell r="AQ660"/>
          <cell r="AR660"/>
          <cell r="AS660">
            <v>6</v>
          </cell>
          <cell r="AT660"/>
          <cell r="AU660" t="str">
            <v/>
          </cell>
          <cell r="AV660"/>
        </row>
        <row r="661">
          <cell r="Z661">
            <v>5145469</v>
          </cell>
          <cell r="AA661" t="str">
            <v>Elevator for 5" OD 90° 
Center Latch 25T</v>
          </cell>
          <cell r="AB661">
            <v>64</v>
          </cell>
          <cell r="AC661" t="str">
            <v>for 5" OD</v>
          </cell>
          <cell r="AD661" t="str">
            <v>90°</v>
          </cell>
          <cell r="AE661" t="str">
            <v>Center Latch</v>
          </cell>
          <cell r="AF661" t="str">
            <v>25T</v>
          </cell>
          <cell r="AG661"/>
          <cell r="AH661" t="str">
            <v xml:space="preserve"> en stock </v>
          </cell>
          <cell r="AI661">
            <v>1</v>
          </cell>
          <cell r="AJ661">
            <v>0</v>
          </cell>
          <cell r="AK661">
            <v>0</v>
          </cell>
          <cell r="AL661"/>
          <cell r="AM661"/>
          <cell r="AN661" t="str">
            <v/>
          </cell>
          <cell r="AO661"/>
          <cell r="AP661"/>
          <cell r="AQ661"/>
          <cell r="AR661"/>
          <cell r="AS661">
            <v>7</v>
          </cell>
          <cell r="AT661"/>
          <cell r="AU661" t="str">
            <v/>
          </cell>
          <cell r="AV661"/>
        </row>
        <row r="662">
          <cell r="Z662">
            <v>5145470</v>
          </cell>
          <cell r="AA662" t="str">
            <v>Elevator for 3-1/2" OD 90° 
Center Latch</v>
          </cell>
          <cell r="AB662">
            <v>32</v>
          </cell>
          <cell r="AC662" t="str">
            <v xml:space="preserve"> for 3-1/2" OD</v>
          </cell>
          <cell r="AD662" t="str">
            <v>90°</v>
          </cell>
          <cell r="AE662" t="str">
            <v>Center Latch</v>
          </cell>
          <cell r="AF662">
            <v>0</v>
          </cell>
          <cell r="AG662"/>
          <cell r="AH662" t="str">
            <v xml:space="preserve"> en stock </v>
          </cell>
          <cell r="AI662">
            <v>1</v>
          </cell>
          <cell r="AJ662">
            <v>0</v>
          </cell>
          <cell r="AK662">
            <v>0</v>
          </cell>
          <cell r="AL662"/>
          <cell r="AM662"/>
          <cell r="AN662" t="str">
            <v/>
          </cell>
          <cell r="AO662"/>
          <cell r="AP662"/>
          <cell r="AQ662"/>
          <cell r="AR662"/>
          <cell r="AS662">
            <v>5</v>
          </cell>
          <cell r="AT662"/>
          <cell r="AU662" t="str">
            <v/>
          </cell>
          <cell r="AV662"/>
        </row>
        <row r="663">
          <cell r="Z663">
            <v>5145471</v>
          </cell>
          <cell r="AA663" t="str">
            <v>Elevator for 6-5/8" OD 90° 
Side Door 320T</v>
          </cell>
          <cell r="AB663">
            <v>174</v>
          </cell>
          <cell r="AC663" t="str">
            <v>for 6-5/8" OD</v>
          </cell>
          <cell r="AD663" t="str">
            <v>90°</v>
          </cell>
          <cell r="AE663" t="str">
            <v>Side Door</v>
          </cell>
          <cell r="AF663" t="str">
            <v>320T</v>
          </cell>
          <cell r="AG663"/>
          <cell r="AH663" t="str">
            <v xml:space="preserve"> en stock </v>
          </cell>
          <cell r="AI663">
            <v>1</v>
          </cell>
          <cell r="AJ663">
            <v>0</v>
          </cell>
          <cell r="AK663">
            <v>0</v>
          </cell>
          <cell r="AL663"/>
          <cell r="AM663"/>
          <cell r="AN663" t="str">
            <v/>
          </cell>
          <cell r="AO663"/>
          <cell r="AP663"/>
          <cell r="AQ663"/>
          <cell r="AR663"/>
          <cell r="AS663">
            <v>8</v>
          </cell>
          <cell r="AT663"/>
          <cell r="AU663" t="str">
            <v/>
          </cell>
          <cell r="AV663"/>
        </row>
        <row r="664">
          <cell r="Z664">
            <v>5145472</v>
          </cell>
          <cell r="AA664" t="str">
            <v>Elevator for 7" OD 90° 
Side Door 150T</v>
          </cell>
          <cell r="AB664">
            <v>132</v>
          </cell>
          <cell r="AC664" t="str">
            <v>for 7" OD</v>
          </cell>
          <cell r="AD664" t="str">
            <v>90°</v>
          </cell>
          <cell r="AE664" t="str">
            <v>Side Door</v>
          </cell>
          <cell r="AF664" t="str">
            <v>150T</v>
          </cell>
          <cell r="AG664"/>
          <cell r="AH664" t="str">
            <v xml:space="preserve"> en stock </v>
          </cell>
          <cell r="AI664">
            <v>1</v>
          </cell>
          <cell r="AJ664">
            <v>0</v>
          </cell>
          <cell r="AK664">
            <v>0</v>
          </cell>
          <cell r="AL664"/>
          <cell r="AM664"/>
          <cell r="AN664" t="str">
            <v/>
          </cell>
          <cell r="AO664"/>
          <cell r="AP664"/>
          <cell r="AQ664"/>
          <cell r="AR664"/>
          <cell r="AS664">
            <v>9</v>
          </cell>
          <cell r="AT664"/>
          <cell r="AU664" t="str">
            <v/>
          </cell>
          <cell r="AV664"/>
        </row>
        <row r="665">
          <cell r="Z665">
            <v>5145473</v>
          </cell>
          <cell r="AA665" t="str">
            <v>DP Elevator for 5-1/2" DP 18°
Center Latch</v>
          </cell>
          <cell r="AB665">
            <v>288</v>
          </cell>
          <cell r="AC665" t="str">
            <v xml:space="preserve">5-1/2" DP </v>
          </cell>
          <cell r="AD665" t="str">
            <v>18°</v>
          </cell>
          <cell r="AE665" t="str">
            <v>Center Latch</v>
          </cell>
          <cell r="AF665" t="str">
            <v>250T</v>
          </cell>
          <cell r="AG665"/>
          <cell r="AH665" t="str">
            <v xml:space="preserve"> en stock </v>
          </cell>
          <cell r="AI665">
            <v>1</v>
          </cell>
          <cell r="AJ665">
            <v>0</v>
          </cell>
          <cell r="AK665">
            <v>0</v>
          </cell>
          <cell r="AL665"/>
          <cell r="AM665"/>
          <cell r="AN665" t="str">
            <v/>
          </cell>
          <cell r="AO665"/>
          <cell r="AP665"/>
          <cell r="AQ665"/>
          <cell r="AR665"/>
          <cell r="AS665">
            <v>16</v>
          </cell>
          <cell r="AT665"/>
          <cell r="AU665" t="str">
            <v/>
          </cell>
          <cell r="AV665"/>
        </row>
        <row r="666">
          <cell r="Z666">
            <v>5145474</v>
          </cell>
          <cell r="AA666" t="str">
            <v>DP Elevator for 3-1/2" DP 18°
Center Latch 250T</v>
          </cell>
          <cell r="AB666">
            <v>224</v>
          </cell>
          <cell r="AC666" t="str">
            <v>3-1/2" DP</v>
          </cell>
          <cell r="AD666" t="str">
            <v>18°</v>
          </cell>
          <cell r="AE666" t="str">
            <v>Center Latch</v>
          </cell>
          <cell r="AF666" t="str">
            <v>250T</v>
          </cell>
          <cell r="AG666"/>
          <cell r="AH666" t="str">
            <v>maintenance</v>
          </cell>
          <cell r="AI666" t="str">
            <v/>
          </cell>
          <cell r="AJ666">
            <v>0</v>
          </cell>
          <cell r="AK666">
            <v>1</v>
          </cell>
          <cell r="AL666"/>
          <cell r="AM666"/>
          <cell r="AN666" t="str">
            <v/>
          </cell>
          <cell r="AO666"/>
          <cell r="AP666"/>
          <cell r="AQ666"/>
          <cell r="AR666"/>
          <cell r="AS666">
            <v>13</v>
          </cell>
          <cell r="AT666"/>
          <cell r="AU666" t="str">
            <v/>
          </cell>
          <cell r="AV666"/>
        </row>
        <row r="667">
          <cell r="Z667">
            <v>5145475</v>
          </cell>
          <cell r="AA667" t="str">
            <v>DP Elevator for 2-7/8" Tbg with slips
Center Latch 50T</v>
          </cell>
          <cell r="AB667">
            <v>132</v>
          </cell>
          <cell r="AC667" t="str">
            <v>2-3/8"-3/1/2" Tbg</v>
          </cell>
          <cell r="AD667" t="str">
            <v>à peignes</v>
          </cell>
          <cell r="AE667" t="str">
            <v>Center Latch</v>
          </cell>
          <cell r="AF667" t="str">
            <v>50T</v>
          </cell>
          <cell r="AG667"/>
          <cell r="AH667" t="str">
            <v>maintenance</v>
          </cell>
          <cell r="AI667" t="str">
            <v/>
          </cell>
          <cell r="AJ667">
            <v>0</v>
          </cell>
          <cell r="AK667">
            <v>1</v>
          </cell>
          <cell r="AL667"/>
          <cell r="AM667"/>
          <cell r="AN667" t="str">
            <v/>
          </cell>
          <cell r="AO667"/>
          <cell r="AP667"/>
          <cell r="AQ667"/>
          <cell r="AR667"/>
          <cell r="AS667">
            <v>6</v>
          </cell>
          <cell r="AT667"/>
          <cell r="AU667" t="str">
            <v/>
          </cell>
          <cell r="AV667"/>
        </row>
        <row r="668">
          <cell r="Z668">
            <v>8015476</v>
          </cell>
          <cell r="AA668" t="str">
            <v>Bull Nose 6-1/2" OD 
4-1/2" IF Box</v>
          </cell>
          <cell r="AB668">
            <v>20</v>
          </cell>
          <cell r="AC668">
            <v>6.5</v>
          </cell>
          <cell r="AD668">
            <v>240</v>
          </cell>
          <cell r="AE668" t="str">
            <v>4-1/2" IF Box</v>
          </cell>
          <cell r="AF668"/>
          <cell r="AG668"/>
          <cell r="AH668" t="str">
            <v>maintenance</v>
          </cell>
          <cell r="AI668" t="str">
            <v/>
          </cell>
          <cell r="AJ668">
            <v>0</v>
          </cell>
          <cell r="AK668">
            <v>1</v>
          </cell>
          <cell r="AL668"/>
          <cell r="AM668"/>
          <cell r="AN668" t="str">
            <v/>
          </cell>
          <cell r="AO668"/>
          <cell r="AP668"/>
          <cell r="AQ668"/>
          <cell r="AR668"/>
          <cell r="AS668">
            <v>17</v>
          </cell>
          <cell r="AT668" t="str">
            <v>801-4,500IF</v>
          </cell>
          <cell r="AU668" t="str">
            <v/>
          </cell>
          <cell r="AV668"/>
        </row>
        <row r="669">
          <cell r="Z669">
            <v>5035477</v>
          </cell>
          <cell r="AA669" t="str">
            <v>Junk Mill 
7-5/8" REG Pin</v>
          </cell>
          <cell r="AB669">
            <v>444</v>
          </cell>
          <cell r="AC669">
            <v>15.125</v>
          </cell>
          <cell r="AD669">
            <v>0</v>
          </cell>
          <cell r="AE669" t="str">
            <v>7-5/8" REG Pin</v>
          </cell>
          <cell r="AF669"/>
          <cell r="AG669" t="str">
            <v>C</v>
          </cell>
          <cell r="AH669" t="str">
            <v xml:space="preserve"> en stock </v>
          </cell>
          <cell r="AI669">
            <v>1</v>
          </cell>
          <cell r="AJ669">
            <v>0</v>
          </cell>
          <cell r="AK669">
            <v>0</v>
          </cell>
          <cell r="AL669"/>
          <cell r="AM669"/>
          <cell r="AN669" t="str">
            <v/>
          </cell>
          <cell r="AO669"/>
          <cell r="AP669"/>
          <cell r="AQ669"/>
          <cell r="AR669"/>
          <cell r="AS669">
            <v>91</v>
          </cell>
          <cell r="AT669" t="str">
            <v>503-</v>
          </cell>
          <cell r="AU669" t="str">
            <v/>
          </cell>
          <cell r="AV669"/>
        </row>
        <row r="670">
          <cell r="Z670">
            <v>8085478</v>
          </cell>
          <cell r="AA670" t="str">
            <v>Float Sub 4-3/4" Lg 405 mm
3-1/2" IF Pin x 3-1/2" IF Box BF (3-1/2" IF)</v>
          </cell>
          <cell r="AB670">
            <v>24</v>
          </cell>
          <cell r="AC670">
            <v>4.75</v>
          </cell>
          <cell r="AD670">
            <v>405</v>
          </cell>
          <cell r="AE670" t="str">
            <v>3-1/2" IF Box BF</v>
          </cell>
          <cell r="AF670" t="str">
            <v>3-1/2" IF Pin</v>
          </cell>
          <cell r="AG670" t="str">
            <v>3-1/2" IF</v>
          </cell>
          <cell r="AH670" t="str">
            <v>maintenance</v>
          </cell>
          <cell r="AI670" t="str">
            <v/>
          </cell>
          <cell r="AJ670">
            <v>0</v>
          </cell>
          <cell r="AK670">
            <v>1</v>
          </cell>
          <cell r="AL670"/>
          <cell r="AM670"/>
          <cell r="AN670" t="str">
            <v/>
          </cell>
          <cell r="AO670"/>
          <cell r="AP670"/>
          <cell r="AQ670"/>
          <cell r="AR670"/>
          <cell r="AS670">
            <v>8</v>
          </cell>
          <cell r="AT670"/>
          <cell r="AU670" t="str">
            <v/>
          </cell>
          <cell r="AV670"/>
        </row>
        <row r="671">
          <cell r="Z671">
            <v>7055479</v>
          </cell>
          <cell r="AA671" t="str">
            <v>Extension 8-1/8" FS Lg 820mm CA C-5342
8-1/8" FS Sellers Pin x Box</v>
          </cell>
          <cell r="AB671">
            <v>68.973420167803198</v>
          </cell>
          <cell r="AC671" t="str">
            <v>8-1/8" FS</v>
          </cell>
          <cell r="AD671">
            <v>820</v>
          </cell>
          <cell r="AE671" t="str">
            <v>8-1/8" FS Sellers Box</v>
          </cell>
          <cell r="AF671" t="str">
            <v>8-1/8" FS Sellers Pin</v>
          </cell>
          <cell r="AG671" t="str">
            <v>C-5342</v>
          </cell>
          <cell r="AH671" t="str">
            <v xml:space="preserve"> en stock </v>
          </cell>
          <cell r="AI671">
            <v>1</v>
          </cell>
          <cell r="AJ671">
            <v>0</v>
          </cell>
          <cell r="AK671">
            <v>0</v>
          </cell>
          <cell r="AL671"/>
          <cell r="AM671"/>
          <cell r="AN671" t="str">
            <v/>
          </cell>
          <cell r="AO671"/>
          <cell r="AP671"/>
          <cell r="AQ671"/>
          <cell r="AR671"/>
          <cell r="AS671">
            <v>44</v>
          </cell>
          <cell r="AT671" t="str">
            <v>705-5342</v>
          </cell>
          <cell r="AU671" t="str">
            <v/>
          </cell>
          <cell r="AV671"/>
        </row>
        <row r="672">
          <cell r="Z672">
            <v>8115480</v>
          </cell>
          <cell r="AA672" t="str">
            <v>String Stab
4-1/2" IF Pin x 4-1/2" IF Box</v>
          </cell>
          <cell r="AB672">
            <v>248</v>
          </cell>
          <cell r="AC672">
            <v>8.5</v>
          </cell>
          <cell r="AD672">
            <v>1590</v>
          </cell>
          <cell r="AE672" t="str">
            <v>4-1/2" IF Box</v>
          </cell>
          <cell r="AF672" t="str">
            <v>4-1/2" IF Pin</v>
          </cell>
          <cell r="AG672" t="str">
            <v>PDC</v>
          </cell>
          <cell r="AH672" t="str">
            <v xml:space="preserve"> en stock </v>
          </cell>
          <cell r="AI672">
            <v>1</v>
          </cell>
          <cell r="AJ672">
            <v>0</v>
          </cell>
          <cell r="AK672">
            <v>0</v>
          </cell>
          <cell r="AL672"/>
          <cell r="AM672"/>
          <cell r="AN672">
            <v>8110726</v>
          </cell>
          <cell r="AO672"/>
          <cell r="AP672"/>
          <cell r="AQ672"/>
          <cell r="AR672"/>
          <cell r="AS672">
            <v>35</v>
          </cell>
          <cell r="AT672"/>
          <cell r="AU672" t="str">
            <v/>
          </cell>
          <cell r="AV672"/>
        </row>
        <row r="673">
          <cell r="Z673">
            <v>8025481</v>
          </cell>
          <cell r="AA673" t="str">
            <v>Bit Sub
7-5/8" REG Box x 7-5/8" REG Box BF</v>
          </cell>
          <cell r="AB673">
            <v>285.65713029750003</v>
          </cell>
          <cell r="AC673">
            <v>9.5</v>
          </cell>
          <cell r="AD673">
            <v>890</v>
          </cell>
          <cell r="AE673" t="str">
            <v>7-5/8" REG Box</v>
          </cell>
          <cell r="AF673" t="str">
            <v>7-5/8" REG Box BF</v>
          </cell>
          <cell r="AG673"/>
          <cell r="AH673" t="str">
            <v xml:space="preserve"> en stock </v>
          </cell>
          <cell r="AI673">
            <v>1</v>
          </cell>
          <cell r="AJ673">
            <v>0</v>
          </cell>
          <cell r="AK673">
            <v>0</v>
          </cell>
          <cell r="AL673"/>
          <cell r="AM673"/>
          <cell r="AN673" t="str">
            <v/>
          </cell>
          <cell r="AO673"/>
          <cell r="AP673"/>
          <cell r="AQ673"/>
          <cell r="AR673"/>
          <cell r="AS673">
            <v>65</v>
          </cell>
          <cell r="AT673"/>
          <cell r="AU673" t="str">
            <v/>
          </cell>
          <cell r="AV673"/>
        </row>
        <row r="674">
          <cell r="Z674">
            <v>3025482</v>
          </cell>
          <cell r="AA674" t="str">
            <v>KWA 12000
6-5/8" REG Pin up x 6-5/8" REG Box down</v>
          </cell>
          <cell r="AB674">
            <v>0</v>
          </cell>
          <cell r="AC674">
            <v>12000</v>
          </cell>
          <cell r="AD674">
            <v>2840</v>
          </cell>
          <cell r="AE674" t="str">
            <v>6-5/8" REG Pin</v>
          </cell>
          <cell r="AF674" t="str">
            <v>6-5/8" REG Box</v>
          </cell>
          <cell r="AG674"/>
          <cell r="AH674" t="str">
            <v>maintenance</v>
          </cell>
          <cell r="AI674" t="str">
            <v/>
          </cell>
          <cell r="AJ674">
            <v>0</v>
          </cell>
          <cell r="AK674">
            <v>1</v>
          </cell>
          <cell r="AL674"/>
          <cell r="AM674"/>
          <cell r="AN674" t="str">
            <v/>
          </cell>
          <cell r="AO674"/>
          <cell r="AP674"/>
          <cell r="AQ674"/>
          <cell r="AR674"/>
          <cell r="AS674">
            <v>9</v>
          </cell>
          <cell r="AT674" t="str">
            <v>302-12000</v>
          </cell>
          <cell r="AU674" t="str">
            <v/>
          </cell>
          <cell r="AV674"/>
        </row>
        <row r="675">
          <cell r="Z675">
            <v>5155483</v>
          </cell>
          <cell r="AA675"/>
          <cell r="AB675"/>
          <cell r="AC675"/>
          <cell r="AD675"/>
          <cell r="AE675"/>
          <cell r="AF675"/>
          <cell r="AG675"/>
          <cell r="AH675" t="str">
            <v>en stock</v>
          </cell>
          <cell r="AI675"/>
          <cell r="AJ675"/>
          <cell r="AK675"/>
          <cell r="AL675"/>
          <cell r="AM675"/>
          <cell r="AN675" t="str">
            <v/>
          </cell>
          <cell r="AO675"/>
          <cell r="AP675" t="str">
            <v>x</v>
          </cell>
          <cell r="AQ675"/>
          <cell r="AR675"/>
          <cell r="AS675"/>
          <cell r="AT675"/>
          <cell r="AU675" t="str">
            <v/>
          </cell>
          <cell r="AV675"/>
        </row>
        <row r="676">
          <cell r="Z676">
            <v>5155484</v>
          </cell>
          <cell r="AA676"/>
          <cell r="AB676"/>
          <cell r="AC676"/>
          <cell r="AD676"/>
          <cell r="AE676"/>
          <cell r="AF676"/>
          <cell r="AG676"/>
          <cell r="AH676" t="str">
            <v>en stock</v>
          </cell>
          <cell r="AI676"/>
          <cell r="AJ676"/>
          <cell r="AK676"/>
          <cell r="AL676"/>
          <cell r="AM676"/>
          <cell r="AN676" t="str">
            <v/>
          </cell>
          <cell r="AO676"/>
          <cell r="AP676" t="str">
            <v>x</v>
          </cell>
          <cell r="AQ676"/>
          <cell r="AR676"/>
          <cell r="AS676"/>
          <cell r="AT676"/>
          <cell r="AU676" t="str">
            <v/>
          </cell>
          <cell r="AV676"/>
        </row>
        <row r="677">
          <cell r="Z677">
            <v>5155485</v>
          </cell>
          <cell r="AA677"/>
          <cell r="AB677"/>
          <cell r="AC677"/>
          <cell r="AD677"/>
          <cell r="AE677"/>
          <cell r="AF677"/>
          <cell r="AG677"/>
          <cell r="AH677" t="str">
            <v>en stock</v>
          </cell>
          <cell r="AI677"/>
          <cell r="AJ677"/>
          <cell r="AK677"/>
          <cell r="AL677"/>
          <cell r="AM677"/>
          <cell r="AN677" t="str">
            <v/>
          </cell>
          <cell r="AO677"/>
          <cell r="AP677" t="str">
            <v>x</v>
          </cell>
          <cell r="AQ677"/>
          <cell r="AR677"/>
          <cell r="AS677"/>
          <cell r="AT677"/>
          <cell r="AU677" t="str">
            <v/>
          </cell>
          <cell r="AV677"/>
        </row>
        <row r="678">
          <cell r="Z678">
            <v>5155486</v>
          </cell>
          <cell r="AA678"/>
          <cell r="AB678"/>
          <cell r="AC678"/>
          <cell r="AD678"/>
          <cell r="AE678"/>
          <cell r="AF678"/>
          <cell r="AG678"/>
          <cell r="AH678" t="str">
            <v>en stock</v>
          </cell>
          <cell r="AI678"/>
          <cell r="AJ678"/>
          <cell r="AK678"/>
          <cell r="AL678"/>
          <cell r="AM678"/>
          <cell r="AN678" t="str">
            <v/>
          </cell>
          <cell r="AO678"/>
          <cell r="AP678" t="str">
            <v>x</v>
          </cell>
          <cell r="AQ678"/>
          <cell r="AR678"/>
          <cell r="AS678"/>
          <cell r="AT678"/>
          <cell r="AU678" t="str">
            <v/>
          </cell>
          <cell r="AV678"/>
        </row>
        <row r="679">
          <cell r="Z679">
            <v>8135487</v>
          </cell>
          <cell r="AA679" t="str">
            <v>XO
5-3/4" FS Pin x 5-3/8" BRS Box</v>
          </cell>
          <cell r="AB679">
            <v>28.047851464668735</v>
          </cell>
          <cell r="AC679">
            <v>5.75</v>
          </cell>
          <cell r="AD679">
            <v>510</v>
          </cell>
          <cell r="AE679" t="str">
            <v>5-3/4" FS Pin</v>
          </cell>
          <cell r="AF679" t="str">
            <v>5-3/8" BRS Box</v>
          </cell>
          <cell r="AG679"/>
          <cell r="AH679" t="str">
            <v xml:space="preserve"> en stock </v>
          </cell>
          <cell r="AI679">
            <v>1</v>
          </cell>
          <cell r="AJ679">
            <v>0</v>
          </cell>
          <cell r="AK679">
            <v>0</v>
          </cell>
          <cell r="AL679"/>
          <cell r="AM679"/>
          <cell r="AN679">
            <v>5090113</v>
          </cell>
          <cell r="AO679"/>
          <cell r="AP679"/>
          <cell r="AQ679"/>
          <cell r="AR679"/>
          <cell r="AS679">
            <v>197</v>
          </cell>
          <cell r="AT679"/>
          <cell r="AU679" t="str">
            <v/>
          </cell>
          <cell r="AV679"/>
        </row>
        <row r="680">
          <cell r="Z680">
            <v>5025488</v>
          </cell>
          <cell r="AA680" t="str">
            <v>Economill 
2-3/8" REG Pin</v>
          </cell>
          <cell r="AB680">
            <v>7</v>
          </cell>
          <cell r="AC680">
            <v>4.125</v>
          </cell>
          <cell r="AD680">
            <v>130</v>
          </cell>
          <cell r="AE680" t="str">
            <v>2-3/8" REG Pin</v>
          </cell>
          <cell r="AF680"/>
          <cell r="AG680" t="str">
            <v>C</v>
          </cell>
          <cell r="AH680" t="str">
            <v xml:space="preserve"> en stock </v>
          </cell>
          <cell r="AI680">
            <v>1</v>
          </cell>
          <cell r="AJ680">
            <v>0</v>
          </cell>
          <cell r="AK680">
            <v>0</v>
          </cell>
          <cell r="AL680"/>
          <cell r="AM680"/>
          <cell r="AN680" t="str">
            <v/>
          </cell>
          <cell r="AO680"/>
          <cell r="AP680"/>
          <cell r="AQ680"/>
          <cell r="AR680"/>
          <cell r="AS680">
            <v>12</v>
          </cell>
          <cell r="AT680"/>
          <cell r="AU680" t="str">
            <v/>
          </cell>
          <cell r="AV680"/>
        </row>
        <row r="681">
          <cell r="Z681">
            <v>5025489</v>
          </cell>
          <cell r="AA681" t="str">
            <v>Economill 
2-3/8" REG Pin</v>
          </cell>
          <cell r="AB681">
            <v>7</v>
          </cell>
          <cell r="AC681">
            <v>4.25</v>
          </cell>
          <cell r="AD681">
            <v>130</v>
          </cell>
          <cell r="AE681" t="str">
            <v>2-3/8" REG Pin</v>
          </cell>
          <cell r="AF681"/>
          <cell r="AG681" t="str">
            <v>C</v>
          </cell>
          <cell r="AH681" t="str">
            <v xml:space="preserve"> en stock </v>
          </cell>
          <cell r="AI681">
            <v>1</v>
          </cell>
          <cell r="AJ681">
            <v>0</v>
          </cell>
          <cell r="AK681">
            <v>0</v>
          </cell>
          <cell r="AL681"/>
          <cell r="AM681"/>
          <cell r="AN681" t="str">
            <v/>
          </cell>
          <cell r="AO681"/>
          <cell r="AP681"/>
          <cell r="AQ681"/>
          <cell r="AR681"/>
          <cell r="AS681">
            <v>15</v>
          </cell>
          <cell r="AT681"/>
          <cell r="AU681" t="str">
            <v/>
          </cell>
          <cell r="AV681"/>
        </row>
        <row r="682">
          <cell r="Z682">
            <v>7045490</v>
          </cell>
          <cell r="AA682" t="str">
            <v>7-3/4" SFS Overshot - CA 9163
4-1/2" IF Box</v>
          </cell>
          <cell r="AB682">
            <v>0</v>
          </cell>
          <cell r="AC682" t="str">
            <v>7-3/4" SFS</v>
          </cell>
          <cell r="AD682">
            <v>0</v>
          </cell>
          <cell r="AE682" t="str">
            <v>4-1/2" IF Box</v>
          </cell>
          <cell r="AF682"/>
          <cell r="AG682"/>
          <cell r="AH682" t="str">
            <v xml:space="preserve"> en stock </v>
          </cell>
          <cell r="AI682">
            <v>1</v>
          </cell>
          <cell r="AJ682">
            <v>0</v>
          </cell>
          <cell r="AK682">
            <v>0</v>
          </cell>
          <cell r="AL682"/>
          <cell r="AM682"/>
          <cell r="AN682" t="str">
            <v/>
          </cell>
          <cell r="AO682"/>
          <cell r="AP682"/>
          <cell r="AQ682"/>
          <cell r="AR682"/>
          <cell r="AS682">
            <v>53</v>
          </cell>
          <cell r="AT682" t="str">
            <v>704-9163</v>
          </cell>
          <cell r="AU682" t="str">
            <v/>
          </cell>
          <cell r="AV682"/>
        </row>
        <row r="683">
          <cell r="Z683">
            <v>7045491</v>
          </cell>
          <cell r="AA683" t="str">
            <v>8-5/8" FS Overshot - CA C-4817
4-1/2" IF Box</v>
          </cell>
          <cell r="AB683">
            <v>118</v>
          </cell>
          <cell r="AC683" t="str">
            <v>8-5/8" FS</v>
          </cell>
          <cell r="AD683">
            <v>1230</v>
          </cell>
          <cell r="AE683" t="str">
            <v>4-1/2" IF Box</v>
          </cell>
          <cell r="AF683"/>
          <cell r="AG683"/>
          <cell r="AH683" t="str">
            <v xml:space="preserve"> en stock </v>
          </cell>
          <cell r="AI683">
            <v>1</v>
          </cell>
          <cell r="AJ683">
            <v>0</v>
          </cell>
          <cell r="AK683">
            <v>0</v>
          </cell>
          <cell r="AL683"/>
          <cell r="AM683"/>
          <cell r="AN683" t="str">
            <v/>
          </cell>
          <cell r="AO683"/>
          <cell r="AP683"/>
          <cell r="AQ683"/>
          <cell r="AR683"/>
          <cell r="AS683">
            <v>73</v>
          </cell>
          <cell r="AT683" t="str">
            <v>704-4817</v>
          </cell>
          <cell r="AU683" t="str">
            <v/>
          </cell>
          <cell r="AV683"/>
        </row>
        <row r="684">
          <cell r="Z684">
            <v>7045492</v>
          </cell>
          <cell r="AA684" t="str">
            <v>9-3/8" FS Overshot - CA C-1500
6-5/8" REG Box</v>
          </cell>
          <cell r="AB684">
            <v>162</v>
          </cell>
          <cell r="AC684" t="str">
            <v>9-3/8" FS</v>
          </cell>
          <cell r="AD684">
            <v>1215</v>
          </cell>
          <cell r="AE684" t="str">
            <v>6-5/8" REG Box</v>
          </cell>
          <cell r="AF684" t="str">
            <v>72937500031 CA C-1500</v>
          </cell>
          <cell r="AG684"/>
          <cell r="AH684" t="str">
            <v xml:space="preserve"> en stock </v>
          </cell>
          <cell r="AI684">
            <v>1</v>
          </cell>
          <cell r="AJ684">
            <v>0</v>
          </cell>
          <cell r="AK684">
            <v>0</v>
          </cell>
          <cell r="AL684"/>
          <cell r="AM684"/>
          <cell r="AN684" t="str">
            <v/>
          </cell>
          <cell r="AO684"/>
          <cell r="AP684"/>
          <cell r="AQ684"/>
          <cell r="AR684"/>
          <cell r="AS684">
            <v>80</v>
          </cell>
          <cell r="AT684" t="str">
            <v>704-1500</v>
          </cell>
          <cell r="AU684" t="str">
            <v/>
          </cell>
          <cell r="AV684"/>
        </row>
        <row r="685">
          <cell r="Z685">
            <v>7045493</v>
          </cell>
          <cell r="AA685" t="str">
            <v>3-7/8" SH Overshot - CA C-1835
2-3/8" REG Box</v>
          </cell>
          <cell r="AB685">
            <v>26</v>
          </cell>
          <cell r="AC685" t="str">
            <v>3-7/8" SH</v>
          </cell>
          <cell r="AD685">
            <v>920</v>
          </cell>
          <cell r="AE685" t="str">
            <v>2-3/8" REG Box</v>
          </cell>
          <cell r="AF685">
            <v>72375000011</v>
          </cell>
          <cell r="AG685"/>
          <cell r="AH685" t="str">
            <v>maintenance</v>
          </cell>
          <cell r="AI685" t="str">
            <v/>
          </cell>
          <cell r="AJ685">
            <v>0</v>
          </cell>
          <cell r="AK685">
            <v>1</v>
          </cell>
          <cell r="AL685"/>
          <cell r="AM685"/>
          <cell r="AN685" t="str">
            <v/>
          </cell>
          <cell r="AO685"/>
          <cell r="AP685"/>
          <cell r="AQ685"/>
          <cell r="AR685"/>
          <cell r="AS685">
            <v>10</v>
          </cell>
          <cell r="AT685" t="str">
            <v>704-1835</v>
          </cell>
          <cell r="AU685" t="str">
            <v/>
          </cell>
          <cell r="AV685"/>
        </row>
        <row r="686">
          <cell r="Z686">
            <v>8085494</v>
          </cell>
          <cell r="AA686" t="str">
            <v xml:space="preserve">Flex Collar 4-3/4" OD
3-1/2" IF Pin x Box
Set on : </v>
          </cell>
          <cell r="AB686">
            <v>23.671026246562501</v>
          </cell>
          <cell r="AC686">
            <v>4.75</v>
          </cell>
          <cell r="AD686">
            <v>295</v>
          </cell>
          <cell r="AE686" t="str">
            <v>3-1/2" IF Box</v>
          </cell>
          <cell r="AF686" t="str">
            <v>3-1/2" IF Pin</v>
          </cell>
          <cell r="AG686" t="str">
            <v>DJ</v>
          </cell>
          <cell r="AH686" t="str">
            <v xml:space="preserve"> en stock </v>
          </cell>
          <cell r="AI686">
            <v>1</v>
          </cell>
          <cell r="AJ686">
            <v>0</v>
          </cell>
          <cell r="AK686">
            <v>0</v>
          </cell>
          <cell r="AL686"/>
          <cell r="AM686"/>
          <cell r="AN686" t="str">
            <v/>
          </cell>
          <cell r="AO686"/>
          <cell r="AP686"/>
          <cell r="AQ686"/>
          <cell r="AR686"/>
          <cell r="AS686">
            <v>37</v>
          </cell>
          <cell r="AT686"/>
          <cell r="AU686" t="str">
            <v/>
          </cell>
          <cell r="AV686"/>
        </row>
        <row r="687">
          <cell r="Z687">
            <v>8135495</v>
          </cell>
          <cell r="AA687" t="str">
            <v>XO
1-1/4" REG Pin x 2-3/8" REG Box</v>
          </cell>
          <cell r="AB687">
            <v>12</v>
          </cell>
          <cell r="AC687">
            <v>3.5</v>
          </cell>
          <cell r="AD687">
            <v>305</v>
          </cell>
          <cell r="AE687" t="str">
            <v>1-1/4" REG Pin</v>
          </cell>
          <cell r="AF687" t="str">
            <v>2-3/8" REG Box</v>
          </cell>
          <cell r="AG687"/>
          <cell r="AH687" t="str">
            <v xml:space="preserve"> en stock </v>
          </cell>
          <cell r="AI687">
            <v>1</v>
          </cell>
          <cell r="AJ687">
            <v>0</v>
          </cell>
          <cell r="AK687">
            <v>0</v>
          </cell>
          <cell r="AL687"/>
          <cell r="AM687"/>
          <cell r="AN687" t="str">
            <v/>
          </cell>
          <cell r="AO687"/>
          <cell r="AP687"/>
          <cell r="AQ687"/>
          <cell r="AR687"/>
          <cell r="AS687">
            <v>9</v>
          </cell>
          <cell r="AT687"/>
          <cell r="AU687" t="str">
            <v/>
          </cell>
          <cell r="AV687"/>
        </row>
        <row r="688">
          <cell r="Z688">
            <v>5025496</v>
          </cell>
          <cell r="AA688" t="str">
            <v>Economill 
2-3/8" REG Pin</v>
          </cell>
          <cell r="AB688">
            <v>5</v>
          </cell>
          <cell r="AC688">
            <v>3.75</v>
          </cell>
          <cell r="AD688">
            <v>110</v>
          </cell>
          <cell r="AE688" t="str">
            <v>2-3/8" REG Pin</v>
          </cell>
          <cell r="AF688"/>
          <cell r="AG688" t="str">
            <v>Insert</v>
          </cell>
          <cell r="AH688" t="str">
            <v>en stock</v>
          </cell>
          <cell r="AI688">
            <v>0</v>
          </cell>
          <cell r="AJ688">
            <v>0</v>
          </cell>
          <cell r="AK688">
            <v>0</v>
          </cell>
          <cell r="AL688"/>
          <cell r="AM688"/>
          <cell r="AN688" t="str">
            <v/>
          </cell>
          <cell r="AO688"/>
          <cell r="AP688"/>
          <cell r="AQ688"/>
          <cell r="AR688"/>
          <cell r="AS688">
            <v>7</v>
          </cell>
          <cell r="AT688"/>
          <cell r="AU688" t="str">
            <v/>
          </cell>
          <cell r="AV688"/>
        </row>
        <row r="689">
          <cell r="Z689">
            <v>7045497</v>
          </cell>
          <cell r="AA689" t="str">
            <v>4-1/8" FS Overshot - CA 9105
2-3/8" IF Box</v>
          </cell>
          <cell r="AB689">
            <v>22</v>
          </cell>
          <cell r="AC689" t="str">
            <v>4-1/8" FS</v>
          </cell>
          <cell r="AD689">
            <v>750</v>
          </cell>
          <cell r="AE689" t="str">
            <v>2-3/8" IF Box</v>
          </cell>
          <cell r="AF689">
            <v>72412500010</v>
          </cell>
          <cell r="AG689"/>
          <cell r="AH689" t="str">
            <v xml:space="preserve"> en stock </v>
          </cell>
          <cell r="AI689">
            <v>1</v>
          </cell>
          <cell r="AJ689">
            <v>0</v>
          </cell>
          <cell r="AK689">
            <v>0</v>
          </cell>
          <cell r="AL689"/>
          <cell r="AM689"/>
          <cell r="AN689" t="str">
            <v/>
          </cell>
          <cell r="AO689"/>
          <cell r="AP689"/>
          <cell r="AQ689"/>
          <cell r="AR689"/>
          <cell r="AS689">
            <v>17</v>
          </cell>
          <cell r="AT689" t="str">
            <v>704-9105</v>
          </cell>
          <cell r="AU689" t="str">
            <v/>
          </cell>
          <cell r="AV689"/>
        </row>
        <row r="690">
          <cell r="Z690">
            <v>8015498</v>
          </cell>
          <cell r="AA690" t="str">
            <v>Bull Nose 4" OD
2-3/8" REG Box</v>
          </cell>
          <cell r="AB690">
            <v>0</v>
          </cell>
          <cell r="AC690">
            <v>4</v>
          </cell>
          <cell r="AD690">
            <v>0</v>
          </cell>
          <cell r="AE690" t="str">
            <v>2-3/8" REG Box</v>
          </cell>
          <cell r="AF690"/>
          <cell r="AG690"/>
          <cell r="AH690" t="str">
            <v>maintenance</v>
          </cell>
          <cell r="AI690" t="str">
            <v/>
          </cell>
          <cell r="AJ690">
            <v>0</v>
          </cell>
          <cell r="AK690">
            <v>1</v>
          </cell>
          <cell r="AL690"/>
          <cell r="AM690"/>
          <cell r="AN690" t="str">
            <v/>
          </cell>
          <cell r="AO690"/>
          <cell r="AP690"/>
          <cell r="AQ690"/>
          <cell r="AR690"/>
          <cell r="AS690">
            <v>5</v>
          </cell>
          <cell r="AT690" t="str">
            <v>801-2,375REG</v>
          </cell>
          <cell r="AU690" t="str">
            <v/>
          </cell>
          <cell r="AV690"/>
        </row>
        <row r="691">
          <cell r="Z691">
            <v>5095499</v>
          </cell>
          <cell r="AA691" t="str">
            <v>WO Extension Lg 3010 mm
8-1/8" FJWP Pin x Box</v>
          </cell>
          <cell r="AB691">
            <v>159.96367230991899</v>
          </cell>
          <cell r="AC691">
            <v>8.125</v>
          </cell>
          <cell r="AD691">
            <v>3010</v>
          </cell>
          <cell r="AE691" t="str">
            <v>8-1/8" FJWP Box</v>
          </cell>
          <cell r="AF691" t="str">
            <v>8-1/8" FJWP Pin</v>
          </cell>
          <cell r="AG691"/>
          <cell r="AH691" t="str">
            <v xml:space="preserve"> en stock </v>
          </cell>
          <cell r="AI691">
            <v>1</v>
          </cell>
          <cell r="AJ691">
            <v>0</v>
          </cell>
          <cell r="AK691">
            <v>0</v>
          </cell>
          <cell r="AL691"/>
          <cell r="AM691"/>
          <cell r="AN691" t="str">
            <v/>
          </cell>
          <cell r="AO691"/>
          <cell r="AP691"/>
          <cell r="AQ691"/>
          <cell r="AR691"/>
          <cell r="AS691">
            <v>97</v>
          </cell>
          <cell r="AT691" t="str">
            <v>509-8,675FJWP</v>
          </cell>
          <cell r="AU691" t="str">
            <v/>
          </cell>
          <cell r="AV691"/>
        </row>
        <row r="692">
          <cell r="Z692" t="str">
            <v/>
          </cell>
          <cell r="AA692"/>
          <cell r="AB692"/>
          <cell r="AC692"/>
          <cell r="AD692"/>
          <cell r="AE692"/>
          <cell r="AF692"/>
          <cell r="AG692"/>
          <cell r="AH692" t="str">
            <v>en stock</v>
          </cell>
          <cell r="AI692"/>
          <cell r="AJ692"/>
          <cell r="AK692"/>
          <cell r="AL692"/>
          <cell r="AM692"/>
          <cell r="AN692" t="str">
            <v/>
          </cell>
          <cell r="AO692"/>
          <cell r="AP692"/>
          <cell r="AQ692"/>
          <cell r="AR692"/>
          <cell r="AS692"/>
          <cell r="AT692"/>
          <cell r="AU692" t="str">
            <v>RDC</v>
          </cell>
          <cell r="AV692"/>
        </row>
        <row r="693">
          <cell r="Z693" t="str">
            <v/>
          </cell>
          <cell r="AA693"/>
          <cell r="AB693"/>
          <cell r="AC693"/>
          <cell r="AD693"/>
          <cell r="AE693"/>
          <cell r="AF693"/>
          <cell r="AG693"/>
          <cell r="AH693" t="str">
            <v>en stock</v>
          </cell>
          <cell r="AI693"/>
          <cell r="AJ693"/>
          <cell r="AK693"/>
          <cell r="AL693"/>
          <cell r="AM693"/>
          <cell r="AN693" t="str">
            <v/>
          </cell>
          <cell r="AO693"/>
          <cell r="AP693"/>
          <cell r="AQ693"/>
          <cell r="AR693"/>
          <cell r="AS693"/>
          <cell r="AT693"/>
          <cell r="AU693" t="str">
            <v>RDC</v>
          </cell>
          <cell r="AV693"/>
        </row>
        <row r="694">
          <cell r="Z694" t="str">
            <v/>
          </cell>
          <cell r="AA694"/>
          <cell r="AB694"/>
          <cell r="AC694"/>
          <cell r="AD694"/>
          <cell r="AE694"/>
          <cell r="AF694"/>
          <cell r="AG694"/>
          <cell r="AH694" t="str">
            <v>en stock</v>
          </cell>
          <cell r="AI694"/>
          <cell r="AJ694"/>
          <cell r="AK694"/>
          <cell r="AL694"/>
          <cell r="AM694"/>
          <cell r="AN694" t="str">
            <v/>
          </cell>
          <cell r="AO694"/>
          <cell r="AP694"/>
          <cell r="AQ694"/>
          <cell r="AR694"/>
          <cell r="AS694"/>
          <cell r="AT694"/>
          <cell r="AU694" t="str">
            <v>RDC</v>
          </cell>
          <cell r="AV694"/>
        </row>
        <row r="695">
          <cell r="Z695" t="str">
            <v/>
          </cell>
          <cell r="AA695"/>
          <cell r="AB695"/>
          <cell r="AC695"/>
          <cell r="AD695"/>
          <cell r="AE695"/>
          <cell r="AF695"/>
          <cell r="AG695"/>
          <cell r="AH695" t="str">
            <v>en stock</v>
          </cell>
          <cell r="AI695"/>
          <cell r="AJ695"/>
          <cell r="AK695"/>
          <cell r="AL695"/>
          <cell r="AM695"/>
          <cell r="AN695">
            <v>2015</v>
          </cell>
          <cell r="AO695"/>
          <cell r="AP695"/>
          <cell r="AQ695"/>
          <cell r="AR695"/>
          <cell r="AS695"/>
          <cell r="AT695"/>
          <cell r="AU695" t="str">
            <v/>
          </cell>
          <cell r="AV695"/>
        </row>
        <row r="696">
          <cell r="Z696">
            <v>5100138</v>
          </cell>
          <cell r="AA696" t="str">
            <v>WO Pipe
7-5/8" FJWP Pin x Box</v>
          </cell>
          <cell r="AB696">
            <v>386.63704930499966</v>
          </cell>
          <cell r="AC696">
            <v>7.625</v>
          </cell>
          <cell r="AD696">
            <v>9000</v>
          </cell>
          <cell r="AE696" t="str">
            <v>7-5/8" FJWP Box</v>
          </cell>
          <cell r="AF696" t="str">
            <v>7-5/8" FJWP Pin</v>
          </cell>
          <cell r="AG696"/>
          <cell r="AH696" t="str">
            <v xml:space="preserve"> en stock </v>
          </cell>
          <cell r="AI696">
            <v>1</v>
          </cell>
          <cell r="AJ696">
            <v>0</v>
          </cell>
          <cell r="AK696">
            <v>0</v>
          </cell>
          <cell r="AL696"/>
          <cell r="AM696"/>
          <cell r="AN696">
            <v>5100138</v>
          </cell>
          <cell r="AO696"/>
          <cell r="AP696"/>
          <cell r="AQ696"/>
          <cell r="AR696"/>
          <cell r="AS696">
            <v>95</v>
          </cell>
          <cell r="AT696" t="str">
            <v>509-7,625FJWP</v>
          </cell>
          <cell r="AU696" t="str">
            <v>FR</v>
          </cell>
          <cell r="AV696"/>
        </row>
        <row r="697">
          <cell r="Z697" t="str">
            <v>ref 807-2,875-10,40NC26</v>
          </cell>
          <cell r="AA697" t="str">
            <v>DP 2-7/8" 10,40 # Range 2
2-3/8" IF Pin x Box</v>
          </cell>
          <cell r="AB697">
            <v>10.4</v>
          </cell>
          <cell r="AC697">
            <v>2.875</v>
          </cell>
          <cell r="AD697" t="str">
            <v>R2</v>
          </cell>
          <cell r="AE697" t="str">
            <v>2-3/8" IF Box</v>
          </cell>
          <cell r="AF697" t="str">
            <v>2-3/8" IF Pin</v>
          </cell>
          <cell r="AG697"/>
          <cell r="AH697" t="str">
            <v>maintenance</v>
          </cell>
          <cell r="AI697">
            <v>47</v>
          </cell>
          <cell r="AJ697">
            <v>0</v>
          </cell>
          <cell r="AK697">
            <v>13</v>
          </cell>
          <cell r="AL697"/>
          <cell r="AM697"/>
          <cell r="AN697">
            <v>43</v>
          </cell>
          <cell r="AO697">
            <v>4</v>
          </cell>
          <cell r="AP697"/>
          <cell r="AQ697"/>
          <cell r="AR697"/>
          <cell r="AS697">
            <v>11</v>
          </cell>
          <cell r="AT697"/>
          <cell r="AU697" t="str">
            <v/>
          </cell>
          <cell r="AV697"/>
        </row>
        <row r="698">
          <cell r="Z698" t="str">
            <v>lot</v>
          </cell>
          <cell r="AA698"/>
          <cell r="AB698"/>
          <cell r="AC698"/>
          <cell r="AD698"/>
          <cell r="AE698"/>
          <cell r="AF698"/>
          <cell r="AG698"/>
          <cell r="AH698" t="str">
            <v>en stock</v>
          </cell>
          <cell r="AI698"/>
          <cell r="AJ698"/>
          <cell r="AK698"/>
          <cell r="AL698"/>
          <cell r="AM698"/>
          <cell r="AN698" t="str">
            <v/>
          </cell>
          <cell r="AO698"/>
          <cell r="AP698"/>
          <cell r="AQ698"/>
          <cell r="AR698"/>
          <cell r="AS698"/>
          <cell r="AT698"/>
          <cell r="AU698" t="str">
            <v/>
          </cell>
          <cell r="AV698"/>
        </row>
        <row r="699">
          <cell r="Z699">
            <v>4035300</v>
          </cell>
          <cell r="AA699" t="str">
            <v>Jar Z 8" 
6-5/8" REG Pin down  x Box up</v>
          </cell>
          <cell r="AB699">
            <v>448</v>
          </cell>
          <cell r="AC699">
            <v>8</v>
          </cell>
          <cell r="AD699">
            <v>2300</v>
          </cell>
          <cell r="AE699" t="str">
            <v>6-5/8" REG Box</v>
          </cell>
          <cell r="AF699" t="str">
            <v>6-5/8" REG Pin</v>
          </cell>
          <cell r="AG699"/>
          <cell r="AH699" t="str">
            <v>sur chantier</v>
          </cell>
          <cell r="AI699" t="str">
            <v/>
          </cell>
          <cell r="AJ699">
            <v>1</v>
          </cell>
          <cell r="AK699">
            <v>0</v>
          </cell>
          <cell r="AL699"/>
          <cell r="AM699"/>
          <cell r="AN699" t="str">
            <v/>
          </cell>
          <cell r="AO699"/>
          <cell r="AP699"/>
          <cell r="AQ699"/>
          <cell r="AR699"/>
          <cell r="AS699">
            <v>26</v>
          </cell>
          <cell r="AT699" t="str">
            <v>403-8,000</v>
          </cell>
          <cell r="AU699" t="str">
            <v/>
          </cell>
          <cell r="AV699"/>
        </row>
        <row r="700">
          <cell r="Z700">
            <v>4035301</v>
          </cell>
          <cell r="AA700"/>
          <cell r="AB700"/>
          <cell r="AC700"/>
          <cell r="AD700"/>
          <cell r="AE700"/>
          <cell r="AF700"/>
          <cell r="AG700"/>
          <cell r="AH700" t="str">
            <v>en stock</v>
          </cell>
          <cell r="AI700"/>
          <cell r="AJ700"/>
          <cell r="AK700"/>
          <cell r="AL700"/>
          <cell r="AM700"/>
          <cell r="AN700" t="str">
            <v/>
          </cell>
          <cell r="AO700"/>
          <cell r="AP700"/>
          <cell r="AQ700"/>
          <cell r="AR700"/>
          <cell r="AS700"/>
          <cell r="AT700"/>
          <cell r="AU700" t="str">
            <v>RDC</v>
          </cell>
          <cell r="AV700"/>
        </row>
        <row r="701">
          <cell r="Z701">
            <v>4025302</v>
          </cell>
          <cell r="AA701"/>
          <cell r="AB701"/>
          <cell r="AC701"/>
          <cell r="AD701"/>
          <cell r="AE701"/>
          <cell r="AF701"/>
          <cell r="AG701"/>
          <cell r="AH701" t="str">
            <v>en stock</v>
          </cell>
          <cell r="AI701"/>
          <cell r="AJ701"/>
          <cell r="AK701"/>
          <cell r="AL701"/>
          <cell r="AM701"/>
          <cell r="AN701" t="str">
            <v/>
          </cell>
          <cell r="AO701"/>
          <cell r="AP701"/>
          <cell r="AQ701"/>
          <cell r="AR701"/>
          <cell r="AS701"/>
          <cell r="AT701"/>
          <cell r="AU701" t="str">
            <v>RDC</v>
          </cell>
          <cell r="AV701"/>
        </row>
        <row r="702">
          <cell r="Z702">
            <v>4025303</v>
          </cell>
          <cell r="AA702" t="str">
            <v xml:space="preserve">Bumper Sub 8" OD
6-5/8" REG Pin down x Box up </v>
          </cell>
          <cell r="AB702">
            <v>277</v>
          </cell>
          <cell r="AC702">
            <v>8</v>
          </cell>
          <cell r="AD702">
            <v>1570</v>
          </cell>
          <cell r="AE702" t="str">
            <v>6-5/8" REG Box</v>
          </cell>
          <cell r="AF702" t="str">
            <v>6-5/8" REG Pin</v>
          </cell>
          <cell r="AG702"/>
          <cell r="AH702" t="str">
            <v>sur chantier</v>
          </cell>
          <cell r="AI702" t="str">
            <v/>
          </cell>
          <cell r="AJ702">
            <v>1</v>
          </cell>
          <cell r="AK702">
            <v>0</v>
          </cell>
          <cell r="AL702"/>
          <cell r="AM702"/>
          <cell r="AN702">
            <v>4025303</v>
          </cell>
          <cell r="AO702"/>
          <cell r="AP702"/>
          <cell r="AQ702"/>
          <cell r="AR702"/>
          <cell r="AS702">
            <v>24</v>
          </cell>
          <cell r="AT702" t="str">
            <v>402-8,000</v>
          </cell>
          <cell r="AU702" t="str">
            <v/>
          </cell>
          <cell r="AV702"/>
        </row>
        <row r="703">
          <cell r="Z703">
            <v>4035304</v>
          </cell>
          <cell r="AA703" t="str">
            <v>Jar Z 4-3/4" 
3-1/2" IF Pin down x Box up</v>
          </cell>
          <cell r="AB703">
            <v>180</v>
          </cell>
          <cell r="AC703">
            <v>4.75</v>
          </cell>
          <cell r="AD703"/>
          <cell r="AE703" t="str">
            <v>3-1/2" IF Box</v>
          </cell>
          <cell r="AF703" t="str">
            <v>3-1/2" IF Pin</v>
          </cell>
          <cell r="AG703"/>
          <cell r="AH703" t="str">
            <v>en stock</v>
          </cell>
          <cell r="AI703"/>
          <cell r="AJ703"/>
          <cell r="AK703"/>
          <cell r="AL703"/>
          <cell r="AM703"/>
          <cell r="AN703">
            <v>4035304</v>
          </cell>
          <cell r="AO703"/>
          <cell r="AP703"/>
          <cell r="AQ703"/>
          <cell r="AR703"/>
          <cell r="AS703"/>
          <cell r="AT703"/>
          <cell r="AU703" t="str">
            <v/>
          </cell>
          <cell r="AV703"/>
        </row>
        <row r="704">
          <cell r="Z704">
            <v>4055307</v>
          </cell>
          <cell r="AA704" t="str">
            <v>Safety Joint 8" OD teeth and spring type
6-5/8" REG Pin down x Box up</v>
          </cell>
          <cell r="AB704">
            <v>292</v>
          </cell>
          <cell r="AC704">
            <v>8</v>
          </cell>
          <cell r="AD704">
            <v>1575</v>
          </cell>
          <cell r="AE704" t="str">
            <v>6-5/8" REG Box</v>
          </cell>
          <cell r="AF704" t="str">
            <v>6-5/8" REG Pin</v>
          </cell>
          <cell r="AG704"/>
          <cell r="AH704" t="str">
            <v xml:space="preserve"> en stock </v>
          </cell>
          <cell r="AI704">
            <v>1</v>
          </cell>
          <cell r="AJ704">
            <v>0</v>
          </cell>
          <cell r="AK704">
            <v>0</v>
          </cell>
          <cell r="AL704"/>
          <cell r="AM704"/>
          <cell r="AN704" t="str">
            <v/>
          </cell>
          <cell r="AO704"/>
          <cell r="AP704"/>
          <cell r="AQ704"/>
          <cell r="AR704"/>
          <cell r="AS704">
            <v>18</v>
          </cell>
          <cell r="AT704" t="str">
            <v>405-8,000</v>
          </cell>
          <cell r="AU704" t="str">
            <v/>
          </cell>
          <cell r="AV704"/>
        </row>
        <row r="705">
          <cell r="Z705">
            <v>5110138</v>
          </cell>
          <cell r="AA705" t="str">
            <v>WO Shoe
3-3/4" ACME(6) Box</v>
          </cell>
          <cell r="AB705">
            <v>12</v>
          </cell>
          <cell r="AC705">
            <v>3.875</v>
          </cell>
          <cell r="AD705">
            <v>610</v>
          </cell>
          <cell r="AE705" t="str">
            <v>3-3/4" ACME(6) Box</v>
          </cell>
          <cell r="AF705"/>
          <cell r="AG705" t="str">
            <v>CC</v>
          </cell>
          <cell r="AH705" t="str">
            <v xml:space="preserve"> en stock </v>
          </cell>
          <cell r="AI705">
            <v>1</v>
          </cell>
          <cell r="AJ705">
            <v>0</v>
          </cell>
          <cell r="AK705">
            <v>0</v>
          </cell>
          <cell r="AL705" t="str">
            <v>H6</v>
          </cell>
          <cell r="AM705"/>
          <cell r="AN705">
            <v>5110138</v>
          </cell>
          <cell r="AO705"/>
          <cell r="AP705"/>
          <cell r="AQ705"/>
          <cell r="AR705"/>
          <cell r="AS705">
            <v>33</v>
          </cell>
          <cell r="AT705"/>
          <cell r="AU705" t="str">
            <v>FR</v>
          </cell>
          <cell r="AV705"/>
        </row>
        <row r="706">
          <cell r="Z706">
            <v>5110139</v>
          </cell>
          <cell r="AA706" t="str">
            <v>WO Shoe
3-3/4" ACME(6) Box</v>
          </cell>
          <cell r="AB706">
            <v>12</v>
          </cell>
          <cell r="AC706">
            <v>3.875</v>
          </cell>
          <cell r="AD706">
            <v>610</v>
          </cell>
          <cell r="AE706" t="str">
            <v>3-3/4" ACME(6) Box</v>
          </cell>
          <cell r="AF706"/>
          <cell r="AG706" t="str">
            <v>CC</v>
          </cell>
          <cell r="AH706" t="str">
            <v xml:space="preserve"> en stock </v>
          </cell>
          <cell r="AI706">
            <v>1</v>
          </cell>
          <cell r="AJ706">
            <v>0</v>
          </cell>
          <cell r="AK706">
            <v>0</v>
          </cell>
          <cell r="AL706" t="str">
            <v>H6</v>
          </cell>
          <cell r="AM706"/>
          <cell r="AN706">
            <v>5110139</v>
          </cell>
          <cell r="AO706"/>
          <cell r="AP706"/>
          <cell r="AQ706"/>
          <cell r="AR706"/>
          <cell r="AS706">
            <v>34</v>
          </cell>
          <cell r="AT706"/>
          <cell r="AU706" t="str">
            <v>FR</v>
          </cell>
          <cell r="AV706"/>
        </row>
        <row r="707">
          <cell r="Z707">
            <v>5090140</v>
          </cell>
          <cell r="AA707" t="str">
            <v>WO Extension Lg 1130 mm
3-3/4" ACME(6) Pin x Box</v>
          </cell>
          <cell r="AB707">
            <v>19.180629481406253</v>
          </cell>
          <cell r="AC707">
            <v>3.75</v>
          </cell>
          <cell r="AD707">
            <v>1130</v>
          </cell>
          <cell r="AE707" t="str">
            <v>3-3/4" ACME(6) Box</v>
          </cell>
          <cell r="AF707" t="str">
            <v>3-3/4" ACME(6) Pin</v>
          </cell>
          <cell r="AG707"/>
          <cell r="AH707" t="str">
            <v xml:space="preserve"> en stock </v>
          </cell>
          <cell r="AI707">
            <v>1</v>
          </cell>
          <cell r="AJ707">
            <v>0</v>
          </cell>
          <cell r="AK707">
            <v>0</v>
          </cell>
          <cell r="AL707"/>
          <cell r="AM707"/>
          <cell r="AN707">
            <v>5090140</v>
          </cell>
          <cell r="AO707"/>
          <cell r="AP707"/>
          <cell r="AQ707"/>
          <cell r="AR707"/>
          <cell r="AS707">
            <v>17</v>
          </cell>
          <cell r="AT707" t="str">
            <v>509-3,750ACME</v>
          </cell>
          <cell r="AU707" t="str">
            <v>FR</v>
          </cell>
          <cell r="AV707"/>
        </row>
        <row r="708">
          <cell r="Z708">
            <v>5090141</v>
          </cell>
          <cell r="AA708" t="str">
            <v>WO Extension Lg 1130 mm
3-3/4" ACME(6) Pin x Box</v>
          </cell>
          <cell r="AB708">
            <v>19.180629481406253</v>
          </cell>
          <cell r="AC708">
            <v>3.75</v>
          </cell>
          <cell r="AD708">
            <v>1130</v>
          </cell>
          <cell r="AE708" t="str">
            <v>3-3/4" ACME(6) Box</v>
          </cell>
          <cell r="AF708" t="str">
            <v>3-3/4" ACME(6) Pin</v>
          </cell>
          <cell r="AG708"/>
          <cell r="AH708" t="str">
            <v xml:space="preserve"> en stock </v>
          </cell>
          <cell r="AI708">
            <v>1</v>
          </cell>
          <cell r="AJ708">
            <v>0</v>
          </cell>
          <cell r="AK708">
            <v>0</v>
          </cell>
          <cell r="AL708"/>
          <cell r="AM708"/>
          <cell r="AN708">
            <v>5090141</v>
          </cell>
          <cell r="AO708"/>
          <cell r="AP708"/>
          <cell r="AQ708"/>
          <cell r="AR708"/>
          <cell r="AS708">
            <v>18</v>
          </cell>
          <cell r="AT708" t="str">
            <v>509-3,750ACME</v>
          </cell>
          <cell r="AU708" t="str">
            <v>FR</v>
          </cell>
          <cell r="AV708"/>
        </row>
        <row r="709">
          <cell r="Z709">
            <v>5090089</v>
          </cell>
          <cell r="AA709" t="str">
            <v>ajout de travaux sur immo existante</v>
          </cell>
          <cell r="AB709">
            <v>19.180629481406253</v>
          </cell>
          <cell r="AC709">
            <v>3.75</v>
          </cell>
          <cell r="AD709">
            <v>1130</v>
          </cell>
          <cell r="AE709" t="str">
            <v>3-3/4" ACME(6) Box</v>
          </cell>
          <cell r="AF709" t="str">
            <v>3-3/4" ACME(6) Pin</v>
          </cell>
          <cell r="AG709"/>
          <cell r="AH709" t="str">
            <v xml:space="preserve"> en stock </v>
          </cell>
          <cell r="AI709">
            <v>1</v>
          </cell>
          <cell r="AJ709">
            <v>0</v>
          </cell>
          <cell r="AK709">
            <v>0</v>
          </cell>
          <cell r="AL709"/>
          <cell r="AM709"/>
          <cell r="AN709">
            <v>50900891</v>
          </cell>
          <cell r="AO709"/>
          <cell r="AP709"/>
          <cell r="AQ709"/>
          <cell r="AR709"/>
          <cell r="AS709">
            <v>16</v>
          </cell>
          <cell r="AT709" t="str">
            <v>509-3,750ACME</v>
          </cell>
          <cell r="AU709" t="str">
            <v>FR</v>
          </cell>
          <cell r="AV709"/>
        </row>
        <row r="710">
          <cell r="Z710">
            <v>5120142</v>
          </cell>
          <cell r="AA710" t="str">
            <v>WO Top Sub
2-3/8" REG Box x 3-3/4" ACME(4) Pin</v>
          </cell>
          <cell r="AB710">
            <v>14</v>
          </cell>
          <cell r="AC710">
            <v>3.75</v>
          </cell>
          <cell r="AD710">
            <v>330</v>
          </cell>
          <cell r="AE710" t="str">
            <v>2-3/8" REG Box</v>
          </cell>
          <cell r="AF710" t="str">
            <v>3-3/4" ACME(4) Pin</v>
          </cell>
          <cell r="AG710" t="str">
            <v xml:space="preserve"> - </v>
          </cell>
          <cell r="AH710" t="str">
            <v xml:space="preserve"> en stock </v>
          </cell>
          <cell r="AI710">
            <v>1</v>
          </cell>
          <cell r="AJ710">
            <v>0</v>
          </cell>
          <cell r="AK710">
            <v>0</v>
          </cell>
          <cell r="AL710"/>
          <cell r="AM710"/>
          <cell r="AN710">
            <v>5120142</v>
          </cell>
          <cell r="AO710"/>
          <cell r="AP710"/>
          <cell r="AQ710"/>
          <cell r="AR710"/>
          <cell r="AS710">
            <v>10</v>
          </cell>
          <cell r="AT710"/>
          <cell r="AU710" t="str">
            <v>FR</v>
          </cell>
          <cell r="AV710"/>
        </row>
        <row r="711">
          <cell r="Z711" t="str">
            <v xml:space="preserve"> - </v>
          </cell>
          <cell r="AA711"/>
          <cell r="AB711"/>
          <cell r="AC711"/>
          <cell r="AD711"/>
          <cell r="AE711"/>
          <cell r="AF711"/>
          <cell r="AG711"/>
          <cell r="AH711" t="str">
            <v>en stock</v>
          </cell>
          <cell r="AI711"/>
          <cell r="AJ711"/>
          <cell r="AK711"/>
          <cell r="AL711"/>
          <cell r="AM711"/>
          <cell r="AN711" t="str">
            <v/>
          </cell>
          <cell r="AO711"/>
          <cell r="AP711"/>
          <cell r="AQ711"/>
          <cell r="AR711"/>
          <cell r="AS711"/>
          <cell r="AT711"/>
          <cell r="AU711" t="str">
            <v>FR</v>
          </cell>
          <cell r="AV711"/>
        </row>
        <row r="712">
          <cell r="Z712">
            <v>5110143</v>
          </cell>
          <cell r="AA712" t="str">
            <v>WO Shoe
10-3/4" FJWP Box</v>
          </cell>
          <cell r="AB712">
            <v>60</v>
          </cell>
          <cell r="AC712">
            <v>11.25</v>
          </cell>
          <cell r="AD712">
            <v>720</v>
          </cell>
          <cell r="AE712" t="str">
            <v>10-3/4" FJWP Box</v>
          </cell>
          <cell r="AF712"/>
          <cell r="AG712" t="str">
            <v>CC</v>
          </cell>
          <cell r="AH712" t="str">
            <v xml:space="preserve"> en stock </v>
          </cell>
          <cell r="AI712">
            <v>1</v>
          </cell>
          <cell r="AJ712">
            <v>0</v>
          </cell>
          <cell r="AK712">
            <v>0</v>
          </cell>
          <cell r="AL712"/>
          <cell r="AM712"/>
          <cell r="AN712">
            <v>5110143</v>
          </cell>
          <cell r="AO712"/>
          <cell r="AP712"/>
          <cell r="AQ712"/>
          <cell r="AR712"/>
          <cell r="AS712">
            <v>214</v>
          </cell>
          <cell r="AT712"/>
          <cell r="AU712" t="str">
            <v>FR</v>
          </cell>
          <cell r="AV712"/>
        </row>
        <row r="713">
          <cell r="Z713">
            <v>5110144</v>
          </cell>
          <cell r="AA713" t="str">
            <v>WO Shoe
10-3/4" FJWP Box</v>
          </cell>
          <cell r="AB713">
            <v>60</v>
          </cell>
          <cell r="AC713">
            <v>11.375</v>
          </cell>
          <cell r="AD713">
            <v>700</v>
          </cell>
          <cell r="AE713" t="str">
            <v>10-3/4" FJWP Box</v>
          </cell>
          <cell r="AF713"/>
          <cell r="AG713" t="str">
            <v>CC</v>
          </cell>
          <cell r="AH713" t="str">
            <v>maintenance</v>
          </cell>
          <cell r="AI713" t="str">
            <v/>
          </cell>
          <cell r="AJ713">
            <v>0</v>
          </cell>
          <cell r="AK713">
            <v>1</v>
          </cell>
          <cell r="AL713"/>
          <cell r="AM713"/>
          <cell r="AN713">
            <v>5110144</v>
          </cell>
          <cell r="AO713"/>
          <cell r="AP713"/>
          <cell r="AQ713"/>
          <cell r="AR713"/>
          <cell r="AS713">
            <v>215</v>
          </cell>
          <cell r="AT713"/>
          <cell r="AU713" t="str">
            <v>FR</v>
          </cell>
          <cell r="AV713"/>
        </row>
        <row r="714">
          <cell r="Z714">
            <v>5110145</v>
          </cell>
          <cell r="AA714" t="str">
            <v>WO Shoe
10-3/4" FJWP Box</v>
          </cell>
          <cell r="AB714">
            <v>60</v>
          </cell>
          <cell r="AC714">
            <v>11.5</v>
          </cell>
          <cell r="AD714">
            <v>700</v>
          </cell>
          <cell r="AE714" t="str">
            <v>10-3/4" FJWP Box</v>
          </cell>
          <cell r="AF714"/>
          <cell r="AG714" t="str">
            <v>plaquettes</v>
          </cell>
          <cell r="AH714" t="str">
            <v xml:space="preserve"> en stock </v>
          </cell>
          <cell r="AI714">
            <v>1</v>
          </cell>
          <cell r="AJ714">
            <v>0</v>
          </cell>
          <cell r="AK714">
            <v>0</v>
          </cell>
          <cell r="AL714"/>
          <cell r="AM714"/>
          <cell r="AN714">
            <v>5110145</v>
          </cell>
          <cell r="AO714"/>
          <cell r="AP714"/>
          <cell r="AQ714"/>
          <cell r="AR714"/>
          <cell r="AS714">
            <v>216</v>
          </cell>
          <cell r="AT714"/>
          <cell r="AU714" t="str">
            <v>FR</v>
          </cell>
          <cell r="AV714"/>
        </row>
        <row r="715">
          <cell r="Z715">
            <v>5110146</v>
          </cell>
          <cell r="AA715" t="str">
            <v>WO Shoe
10-3/4" FJWP Box</v>
          </cell>
          <cell r="AB715">
            <v>58</v>
          </cell>
          <cell r="AC715">
            <v>11.25</v>
          </cell>
          <cell r="AD715">
            <v>700</v>
          </cell>
          <cell r="AE715" t="str">
            <v>10-3/4" FJWP Box</v>
          </cell>
          <cell r="AF715"/>
          <cell r="AG715" t="str">
            <v>plaquettes</v>
          </cell>
          <cell r="AH715" t="str">
            <v xml:space="preserve"> en stock </v>
          </cell>
          <cell r="AI715">
            <v>1</v>
          </cell>
          <cell r="AJ715">
            <v>0</v>
          </cell>
          <cell r="AK715">
            <v>0</v>
          </cell>
          <cell r="AL715"/>
          <cell r="AM715"/>
          <cell r="AN715">
            <v>5110146</v>
          </cell>
          <cell r="AO715"/>
          <cell r="AP715"/>
          <cell r="AQ715"/>
          <cell r="AR715"/>
          <cell r="AS715">
            <v>217</v>
          </cell>
          <cell r="AT715"/>
          <cell r="AU715" t="str">
            <v>FR</v>
          </cell>
          <cell r="AV715"/>
        </row>
        <row r="716">
          <cell r="Z716">
            <v>5110147</v>
          </cell>
          <cell r="AA716" t="str">
            <v>WO Shoe
10-3/4" FJWP Box</v>
          </cell>
          <cell r="AB716">
            <v>0</v>
          </cell>
          <cell r="AC716" t="str">
            <v>flush</v>
          </cell>
          <cell r="AD716">
            <v>700</v>
          </cell>
          <cell r="AE716" t="str">
            <v>10-3/4" FJWP Box</v>
          </cell>
          <cell r="AF716"/>
          <cell r="AG716" t="str">
            <v>BLANK</v>
          </cell>
          <cell r="AH716" t="e">
            <v>#VALUE!</v>
          </cell>
          <cell r="AI716" t="e">
            <v>#VALUE!</v>
          </cell>
          <cell r="AJ716">
            <v>0</v>
          </cell>
          <cell r="AK716" t="str">
            <v>blank</v>
          </cell>
          <cell r="AL716"/>
          <cell r="AM716"/>
          <cell r="AN716">
            <v>5110147</v>
          </cell>
          <cell r="AO716"/>
          <cell r="AP716"/>
          <cell r="AQ716"/>
          <cell r="AR716"/>
          <cell r="AS716">
            <v>218</v>
          </cell>
          <cell r="AT716"/>
          <cell r="AU716" t="str">
            <v>FR</v>
          </cell>
          <cell r="AV716"/>
        </row>
        <row r="717">
          <cell r="Z717">
            <v>5110148</v>
          </cell>
          <cell r="AA717" t="str">
            <v>WO Shoe
10-3/4" FJWP Box</v>
          </cell>
          <cell r="AB717">
            <v>0</v>
          </cell>
          <cell r="AC717" t="str">
            <v>flush</v>
          </cell>
          <cell r="AD717">
            <v>700</v>
          </cell>
          <cell r="AE717" t="str">
            <v>10-3/4" FJWP Box</v>
          </cell>
          <cell r="AF717"/>
          <cell r="AG717" t="str">
            <v>BLANK</v>
          </cell>
          <cell r="AH717" t="e">
            <v>#VALUE!</v>
          </cell>
          <cell r="AI717" t="e">
            <v>#VALUE!</v>
          </cell>
          <cell r="AJ717">
            <v>0</v>
          </cell>
          <cell r="AK717" t="str">
            <v>blank</v>
          </cell>
          <cell r="AL717"/>
          <cell r="AM717"/>
          <cell r="AN717">
            <v>5110148</v>
          </cell>
          <cell r="AO717"/>
          <cell r="AP717"/>
          <cell r="AQ717"/>
          <cell r="AR717"/>
          <cell r="AS717">
            <v>219</v>
          </cell>
          <cell r="AT717"/>
          <cell r="AU717" t="str">
            <v>FR</v>
          </cell>
          <cell r="AV717"/>
        </row>
        <row r="718">
          <cell r="Z718">
            <v>5090149</v>
          </cell>
          <cell r="AA718" t="str">
            <v>WO Extension Lg 1400 mm
10-3/4" FJWP Pin x Box</v>
          </cell>
          <cell r="AB718">
            <v>99.807169336875191</v>
          </cell>
          <cell r="AC718">
            <v>10.75</v>
          </cell>
          <cell r="AD718">
            <v>1400</v>
          </cell>
          <cell r="AE718" t="str">
            <v>10-3/4" FJWP Box</v>
          </cell>
          <cell r="AF718" t="str">
            <v>10-3/4" FJWP Pin</v>
          </cell>
          <cell r="AG718"/>
          <cell r="AH718" t="str">
            <v xml:space="preserve"> en stock </v>
          </cell>
          <cell r="AI718">
            <v>1</v>
          </cell>
          <cell r="AJ718">
            <v>0</v>
          </cell>
          <cell r="AK718">
            <v>0</v>
          </cell>
          <cell r="AL718"/>
          <cell r="AM718"/>
          <cell r="AN718">
            <v>5090149</v>
          </cell>
          <cell r="AO718"/>
          <cell r="AP718"/>
          <cell r="AQ718"/>
          <cell r="AR718"/>
          <cell r="AS718">
            <v>122</v>
          </cell>
          <cell r="AT718" t="str">
            <v>509-10,750FJWP</v>
          </cell>
          <cell r="AU718" t="str">
            <v>FR</v>
          </cell>
          <cell r="AV718"/>
        </row>
        <row r="719">
          <cell r="Z719">
            <v>5090150</v>
          </cell>
          <cell r="AA719"/>
          <cell r="AB719">
            <v>99.807169336875191</v>
          </cell>
          <cell r="AC719">
            <v>10.75</v>
          </cell>
          <cell r="AD719">
            <v>1400</v>
          </cell>
          <cell r="AE719" t="str">
            <v>10-3/4" FJWP Box</v>
          </cell>
          <cell r="AF719" t="str">
            <v>10-3/4" FJWP Pin</v>
          </cell>
          <cell r="AG719"/>
          <cell r="AH719" t="str">
            <v>maintenance</v>
          </cell>
          <cell r="AI719" t="str">
            <v/>
          </cell>
          <cell r="AJ719">
            <v>0</v>
          </cell>
          <cell r="AK719">
            <v>1</v>
          </cell>
          <cell r="AL719"/>
          <cell r="AM719"/>
          <cell r="AN719">
            <v>5090150</v>
          </cell>
          <cell r="AO719"/>
          <cell r="AP719"/>
          <cell r="AQ719"/>
          <cell r="AR719"/>
          <cell r="AS719">
            <v>123</v>
          </cell>
          <cell r="AT719"/>
          <cell r="AU719" t="str">
            <v/>
          </cell>
          <cell r="AV719"/>
        </row>
        <row r="720">
          <cell r="Z720">
            <v>5090151</v>
          </cell>
          <cell r="AA720" t="str">
            <v>WO Extension Lg 1400 mm
10-3/4" FJWP Pin x Box</v>
          </cell>
          <cell r="AB720">
            <v>99.807169336875191</v>
          </cell>
          <cell r="AC720">
            <v>10.75</v>
          </cell>
          <cell r="AD720">
            <v>1400</v>
          </cell>
          <cell r="AE720" t="str">
            <v>10-3/4" FJWP Box</v>
          </cell>
          <cell r="AF720" t="str">
            <v>10-3/4" FJWP Pin</v>
          </cell>
          <cell r="AG720"/>
          <cell r="AH720" t="str">
            <v xml:space="preserve"> en stock </v>
          </cell>
          <cell r="AI720">
            <v>1</v>
          </cell>
          <cell r="AJ720">
            <v>0</v>
          </cell>
          <cell r="AK720">
            <v>0</v>
          </cell>
          <cell r="AL720"/>
          <cell r="AM720"/>
          <cell r="AN720">
            <v>5090151</v>
          </cell>
          <cell r="AO720"/>
          <cell r="AP720"/>
          <cell r="AQ720"/>
          <cell r="AR720"/>
          <cell r="AS720">
            <v>124</v>
          </cell>
          <cell r="AT720" t="str">
            <v>509-10,750FJWP</v>
          </cell>
          <cell r="AU720" t="str">
            <v>FR</v>
          </cell>
          <cell r="AV720"/>
        </row>
        <row r="721">
          <cell r="Z721">
            <v>5090152</v>
          </cell>
          <cell r="AA721" t="str">
            <v>WO Extension Lg 2410 mm
10-3/4" FJWP Pin x Box</v>
          </cell>
          <cell r="AB721">
            <v>171.81091292990661</v>
          </cell>
          <cell r="AC721">
            <v>10.75</v>
          </cell>
          <cell r="AD721">
            <v>2410</v>
          </cell>
          <cell r="AE721" t="str">
            <v>10-3/4" FJWP Box</v>
          </cell>
          <cell r="AF721" t="str">
            <v>10-3/4" FJWP Pin</v>
          </cell>
          <cell r="AG721"/>
          <cell r="AH721" t="str">
            <v xml:space="preserve"> en stock </v>
          </cell>
          <cell r="AI721">
            <v>1</v>
          </cell>
          <cell r="AJ721">
            <v>0</v>
          </cell>
          <cell r="AK721">
            <v>0</v>
          </cell>
          <cell r="AL721"/>
          <cell r="AM721"/>
          <cell r="AN721">
            <v>5090152</v>
          </cell>
          <cell r="AO721"/>
          <cell r="AP721"/>
          <cell r="AQ721"/>
          <cell r="AR721"/>
          <cell r="AS721">
            <v>127</v>
          </cell>
          <cell r="AT721" t="str">
            <v>509-10,750FJWP</v>
          </cell>
          <cell r="AU721" t="str">
            <v>FR</v>
          </cell>
          <cell r="AV721"/>
        </row>
        <row r="722">
          <cell r="Z722">
            <v>5100153</v>
          </cell>
          <cell r="AA722" t="str">
            <v>WO Pipe
10-3/4" FJWP Pin x Box</v>
          </cell>
          <cell r="AB722">
            <v>671.55966796668883</v>
          </cell>
          <cell r="AC722">
            <v>10.75</v>
          </cell>
          <cell r="AD722">
            <v>9420</v>
          </cell>
          <cell r="AE722" t="str">
            <v>10-3/4" FJWP Box</v>
          </cell>
          <cell r="AF722" t="str">
            <v>10-3/4" FJWP Pin</v>
          </cell>
          <cell r="AG722"/>
          <cell r="AH722" t="str">
            <v xml:space="preserve"> en stock </v>
          </cell>
          <cell r="AI722">
            <v>1</v>
          </cell>
          <cell r="AJ722">
            <v>0</v>
          </cell>
          <cell r="AK722">
            <v>0</v>
          </cell>
          <cell r="AL722"/>
          <cell r="AM722"/>
          <cell r="AN722">
            <v>5100153</v>
          </cell>
          <cell r="AO722"/>
          <cell r="AP722"/>
          <cell r="AQ722"/>
          <cell r="AR722"/>
          <cell r="AS722">
            <v>146</v>
          </cell>
          <cell r="AT722" t="str">
            <v>509-10,750FJWP</v>
          </cell>
          <cell r="AU722" t="str">
            <v>FR</v>
          </cell>
          <cell r="AV722"/>
        </row>
        <row r="723">
          <cell r="Z723">
            <v>5100154</v>
          </cell>
          <cell r="AA723" t="str">
            <v>WO Pipe
10-3/4" FJWP Pin x Box</v>
          </cell>
          <cell r="AB723">
            <v>670.13385126187632</v>
          </cell>
          <cell r="AC723">
            <v>10.75</v>
          </cell>
          <cell r="AD723">
            <v>9400</v>
          </cell>
          <cell r="AE723" t="str">
            <v>10-3/4" FJWP Box</v>
          </cell>
          <cell r="AF723" t="str">
            <v>10-3/4" FJWP Pin</v>
          </cell>
          <cell r="AG723"/>
          <cell r="AH723" t="str">
            <v xml:space="preserve"> en stock </v>
          </cell>
          <cell r="AI723">
            <v>1</v>
          </cell>
          <cell r="AJ723">
            <v>0</v>
          </cell>
          <cell r="AK723">
            <v>0</v>
          </cell>
          <cell r="AL723"/>
          <cell r="AM723"/>
          <cell r="AN723">
            <v>5100154</v>
          </cell>
          <cell r="AO723"/>
          <cell r="AP723"/>
          <cell r="AQ723"/>
          <cell r="AR723"/>
          <cell r="AS723">
            <v>147</v>
          </cell>
          <cell r="AT723" t="str">
            <v>509-10,750FJWP</v>
          </cell>
          <cell r="AU723" t="str">
            <v>FR</v>
          </cell>
          <cell r="AV723"/>
        </row>
        <row r="724">
          <cell r="Z724">
            <v>5100155</v>
          </cell>
          <cell r="AA724" t="str">
            <v>WO Pipe
10-3/4" FJWP Pin x Box</v>
          </cell>
          <cell r="AB724">
            <v>669.42094290947023</v>
          </cell>
          <cell r="AC724">
            <v>10.75</v>
          </cell>
          <cell r="AD724">
            <v>9390</v>
          </cell>
          <cell r="AE724" t="str">
            <v>10-3/4" FJWP Box</v>
          </cell>
          <cell r="AF724" t="str">
            <v>10-3/4" FJWP Pin</v>
          </cell>
          <cell r="AG724"/>
          <cell r="AH724" t="str">
            <v xml:space="preserve"> en stock </v>
          </cell>
          <cell r="AI724">
            <v>1</v>
          </cell>
          <cell r="AJ724">
            <v>0</v>
          </cell>
          <cell r="AK724">
            <v>0</v>
          </cell>
          <cell r="AL724"/>
          <cell r="AM724"/>
          <cell r="AN724">
            <v>5100155</v>
          </cell>
          <cell r="AO724"/>
          <cell r="AP724"/>
          <cell r="AQ724"/>
          <cell r="AR724"/>
          <cell r="AS724">
            <v>148</v>
          </cell>
          <cell r="AT724" t="str">
            <v>509-10,750FJWP</v>
          </cell>
          <cell r="AU724" t="str">
            <v>FR</v>
          </cell>
          <cell r="AV724"/>
        </row>
        <row r="725">
          <cell r="Z725">
            <v>5100156</v>
          </cell>
          <cell r="AA725" t="str">
            <v>WO Pipe
10-3/4" FJWP Pin x Box</v>
          </cell>
          <cell r="AB725">
            <v>670.13385126187632</v>
          </cell>
          <cell r="AC725">
            <v>10.75</v>
          </cell>
          <cell r="AD725">
            <v>9400</v>
          </cell>
          <cell r="AE725" t="str">
            <v>10-3/4" FJWP Box</v>
          </cell>
          <cell r="AF725" t="str">
            <v>10-3/4" FJWP Pin</v>
          </cell>
          <cell r="AG725"/>
          <cell r="AH725" t="str">
            <v xml:space="preserve"> en stock </v>
          </cell>
          <cell r="AI725">
            <v>1</v>
          </cell>
          <cell r="AJ725">
            <v>0</v>
          </cell>
          <cell r="AK725">
            <v>0</v>
          </cell>
          <cell r="AL725"/>
          <cell r="AM725"/>
          <cell r="AN725">
            <v>5100156</v>
          </cell>
          <cell r="AO725"/>
          <cell r="AP725"/>
          <cell r="AQ725"/>
          <cell r="AR725"/>
          <cell r="AS725">
            <v>149</v>
          </cell>
          <cell r="AT725" t="str">
            <v>509-10,750FJWP</v>
          </cell>
          <cell r="AU725" t="str">
            <v>FR</v>
          </cell>
          <cell r="AV725"/>
        </row>
        <row r="726">
          <cell r="Z726">
            <v>5100157</v>
          </cell>
          <cell r="AA726" t="str">
            <v>WO Pipe
10-3/4" FJWP Pin x Box</v>
          </cell>
          <cell r="AB726">
            <v>670.13385126187632</v>
          </cell>
          <cell r="AC726">
            <v>10.75</v>
          </cell>
          <cell r="AD726">
            <v>9400</v>
          </cell>
          <cell r="AE726" t="str">
            <v>10-3/4" FJWP Box</v>
          </cell>
          <cell r="AF726" t="str">
            <v>10-3/4" FJWP Pin</v>
          </cell>
          <cell r="AG726"/>
          <cell r="AH726" t="str">
            <v xml:space="preserve"> en stock </v>
          </cell>
          <cell r="AI726">
            <v>1</v>
          </cell>
          <cell r="AJ726">
            <v>0</v>
          </cell>
          <cell r="AK726">
            <v>0</v>
          </cell>
          <cell r="AL726"/>
          <cell r="AM726"/>
          <cell r="AN726">
            <v>5100157</v>
          </cell>
          <cell r="AO726"/>
          <cell r="AP726"/>
          <cell r="AQ726"/>
          <cell r="AR726"/>
          <cell r="AS726">
            <v>150</v>
          </cell>
          <cell r="AT726" t="str">
            <v>509-10,750FJWP</v>
          </cell>
          <cell r="AU726" t="str">
            <v>FR</v>
          </cell>
          <cell r="AV726"/>
        </row>
        <row r="727">
          <cell r="Z727">
            <v>5100158</v>
          </cell>
          <cell r="AA727" t="str">
            <v>WO Pipe
10-3/4" FJWP Pin x Box</v>
          </cell>
          <cell r="AB727">
            <v>670.13385126187632</v>
          </cell>
          <cell r="AC727">
            <v>10.75</v>
          </cell>
          <cell r="AD727">
            <v>9400</v>
          </cell>
          <cell r="AE727" t="str">
            <v>10-3/4" FJWP Box</v>
          </cell>
          <cell r="AF727" t="str">
            <v>10-3/4" FJWP Pin</v>
          </cell>
          <cell r="AG727"/>
          <cell r="AH727" t="str">
            <v xml:space="preserve"> en stock </v>
          </cell>
          <cell r="AI727">
            <v>1</v>
          </cell>
          <cell r="AJ727">
            <v>0</v>
          </cell>
          <cell r="AK727">
            <v>0</v>
          </cell>
          <cell r="AL727"/>
          <cell r="AM727"/>
          <cell r="AN727">
            <v>5100158</v>
          </cell>
          <cell r="AO727"/>
          <cell r="AP727"/>
          <cell r="AQ727"/>
          <cell r="AR727"/>
          <cell r="AS727">
            <v>151</v>
          </cell>
          <cell r="AT727" t="str">
            <v>509-10,750FJWP</v>
          </cell>
          <cell r="AU727" t="str">
            <v>FR</v>
          </cell>
          <cell r="AV727"/>
        </row>
        <row r="728">
          <cell r="Z728">
            <v>5100159</v>
          </cell>
          <cell r="AA728" t="str">
            <v>WO Pipe
10-3/4" FJWP Pin x Box</v>
          </cell>
          <cell r="AB728">
            <v>670.13385126187632</v>
          </cell>
          <cell r="AC728">
            <v>10.75</v>
          </cell>
          <cell r="AD728">
            <v>9400</v>
          </cell>
          <cell r="AE728" t="str">
            <v>10-3/4" FJWP Box</v>
          </cell>
          <cell r="AF728" t="str">
            <v>10-3/4" FJWP Pin</v>
          </cell>
          <cell r="AG728"/>
          <cell r="AH728" t="str">
            <v xml:space="preserve"> en stock </v>
          </cell>
          <cell r="AI728">
            <v>1</v>
          </cell>
          <cell r="AJ728">
            <v>0</v>
          </cell>
          <cell r="AK728">
            <v>0</v>
          </cell>
          <cell r="AL728"/>
          <cell r="AM728"/>
          <cell r="AN728">
            <v>5100159</v>
          </cell>
          <cell r="AO728"/>
          <cell r="AP728"/>
          <cell r="AQ728"/>
          <cell r="AR728"/>
          <cell r="AS728">
            <v>152</v>
          </cell>
          <cell r="AT728" t="str">
            <v>509-10,750FJWP</v>
          </cell>
          <cell r="AU728" t="str">
            <v>FR</v>
          </cell>
          <cell r="AV728"/>
        </row>
        <row r="729">
          <cell r="Z729">
            <v>5100160</v>
          </cell>
          <cell r="AA729" t="str">
            <v>WO Pipe
10-3/4" FJWP Pin x Box</v>
          </cell>
          <cell r="AB729">
            <v>651.59823409931391</v>
          </cell>
          <cell r="AC729">
            <v>10.75</v>
          </cell>
          <cell r="AD729">
            <v>9140</v>
          </cell>
          <cell r="AE729" t="str">
            <v>10-3/4" FJWP Box</v>
          </cell>
          <cell r="AF729" t="str">
            <v>10-3/4" FJWP Pin</v>
          </cell>
          <cell r="AG729"/>
          <cell r="AH729" t="str">
            <v xml:space="preserve"> en stock </v>
          </cell>
          <cell r="AI729">
            <v>1</v>
          </cell>
          <cell r="AJ729">
            <v>0</v>
          </cell>
          <cell r="AK729">
            <v>0</v>
          </cell>
          <cell r="AL729"/>
          <cell r="AM729"/>
          <cell r="AN729">
            <v>5100160</v>
          </cell>
          <cell r="AO729"/>
          <cell r="AP729"/>
          <cell r="AQ729"/>
          <cell r="AR729"/>
          <cell r="AS729">
            <v>153</v>
          </cell>
          <cell r="AT729" t="str">
            <v>509-10,750FJWP</v>
          </cell>
          <cell r="AU729" t="str">
            <v>FR</v>
          </cell>
          <cell r="AV729"/>
        </row>
        <row r="730">
          <cell r="Z730">
            <v>5100161</v>
          </cell>
          <cell r="AA730" t="str">
            <v>WO Pipe
10-3/4" FJWP Pin x Box</v>
          </cell>
          <cell r="AB730">
            <v>0</v>
          </cell>
          <cell r="AC730">
            <v>10.75</v>
          </cell>
          <cell r="AD730">
            <v>9420</v>
          </cell>
          <cell r="AE730" t="str">
            <v>10-3/4" FJWP Box</v>
          </cell>
          <cell r="AF730" t="str">
            <v>10-3/4" FJWP Pin</v>
          </cell>
          <cell r="AG730"/>
          <cell r="AH730" t="str">
            <v xml:space="preserve"> en stock </v>
          </cell>
          <cell r="AI730">
            <v>1</v>
          </cell>
          <cell r="AJ730">
            <v>0</v>
          </cell>
          <cell r="AK730">
            <v>0</v>
          </cell>
          <cell r="AL730"/>
          <cell r="AM730"/>
          <cell r="AN730">
            <v>5100161</v>
          </cell>
          <cell r="AO730"/>
          <cell r="AP730"/>
          <cell r="AQ730"/>
          <cell r="AR730"/>
          <cell r="AS730">
            <v>154</v>
          </cell>
          <cell r="AT730" t="str">
            <v>509-10,750FJWP</v>
          </cell>
          <cell r="AU730" t="str">
            <v>FR</v>
          </cell>
          <cell r="AV730"/>
        </row>
        <row r="731">
          <cell r="Z731">
            <v>5090162</v>
          </cell>
          <cell r="AA731" t="str">
            <v>WO Extension Lg 3910 mm
10-3/4" FJWP Pin x Box</v>
          </cell>
          <cell r="AB731">
            <v>278.74716579084435</v>
          </cell>
          <cell r="AC731">
            <v>10.75</v>
          </cell>
          <cell r="AD731">
            <v>3910</v>
          </cell>
          <cell r="AE731" t="str">
            <v>10-3/4" FJWP Box</v>
          </cell>
          <cell r="AF731" t="str">
            <v>10-3/4" FJWP Pin</v>
          </cell>
          <cell r="AG731"/>
          <cell r="AH731" t="str">
            <v xml:space="preserve"> en stock </v>
          </cell>
          <cell r="AI731">
            <v>1</v>
          </cell>
          <cell r="AJ731">
            <v>0</v>
          </cell>
          <cell r="AK731">
            <v>0</v>
          </cell>
          <cell r="AL731"/>
          <cell r="AM731"/>
          <cell r="AN731">
            <v>5090162</v>
          </cell>
          <cell r="AO731"/>
          <cell r="AP731"/>
          <cell r="AQ731"/>
          <cell r="AR731"/>
          <cell r="AS731">
            <v>131</v>
          </cell>
          <cell r="AT731" t="str">
            <v>509-10,750FJWP</v>
          </cell>
          <cell r="AU731" t="str">
            <v>FR</v>
          </cell>
          <cell r="AV731"/>
        </row>
        <row r="732">
          <cell r="Z732">
            <v>5090163</v>
          </cell>
          <cell r="AA732" t="str">
            <v>WO Extension Lg 3905 mm
10-3/4" FJWP Pin x Box</v>
          </cell>
          <cell r="AB732">
            <v>278.39071161464119</v>
          </cell>
          <cell r="AC732">
            <v>10.75</v>
          </cell>
          <cell r="AD732">
            <v>3905</v>
          </cell>
          <cell r="AE732" t="str">
            <v>10-3/4" FJWP Box</v>
          </cell>
          <cell r="AF732" t="str">
            <v>10-3/4" FJWP Pin</v>
          </cell>
          <cell r="AG732"/>
          <cell r="AH732" t="str">
            <v xml:space="preserve"> en stock </v>
          </cell>
          <cell r="AI732">
            <v>1</v>
          </cell>
          <cell r="AJ732">
            <v>0</v>
          </cell>
          <cell r="AK732">
            <v>0</v>
          </cell>
          <cell r="AL732"/>
          <cell r="AM732"/>
          <cell r="AN732">
            <v>5090163</v>
          </cell>
          <cell r="AO732"/>
          <cell r="AP732"/>
          <cell r="AQ732"/>
          <cell r="AR732"/>
          <cell r="AS732">
            <v>130</v>
          </cell>
          <cell r="AT732" t="str">
            <v>509-10,750FJWP</v>
          </cell>
          <cell r="AU732" t="str">
            <v>FR</v>
          </cell>
          <cell r="AV732"/>
        </row>
        <row r="733">
          <cell r="Z733">
            <v>5090164</v>
          </cell>
          <cell r="AA733" t="str">
            <v>WO Extension Lg 2905 mm
10-3/4" FJWP Pin x Box</v>
          </cell>
          <cell r="AB733">
            <v>207.09987637401602</v>
          </cell>
          <cell r="AC733">
            <v>10.75</v>
          </cell>
          <cell r="AD733">
            <v>2905</v>
          </cell>
          <cell r="AE733" t="str">
            <v>10-3/4" FJWP Box</v>
          </cell>
          <cell r="AF733" t="str">
            <v>10-3/4" FJWP Pin</v>
          </cell>
          <cell r="AG733"/>
          <cell r="AH733" t="str">
            <v xml:space="preserve"> en stock </v>
          </cell>
          <cell r="AI733">
            <v>1</v>
          </cell>
          <cell r="AJ733">
            <v>0</v>
          </cell>
          <cell r="AK733">
            <v>0</v>
          </cell>
          <cell r="AL733"/>
          <cell r="AM733"/>
          <cell r="AN733">
            <v>5090164</v>
          </cell>
          <cell r="AO733"/>
          <cell r="AP733"/>
          <cell r="AQ733"/>
          <cell r="AR733"/>
          <cell r="AS733">
            <v>129</v>
          </cell>
          <cell r="AT733" t="str">
            <v>509-10,750FJWP</v>
          </cell>
          <cell r="AU733" t="str">
            <v>FR</v>
          </cell>
          <cell r="AV733"/>
        </row>
        <row r="734">
          <cell r="Z734">
            <v>5090165</v>
          </cell>
          <cell r="AA734"/>
          <cell r="AB734">
            <v>206.74342219781292</v>
          </cell>
          <cell r="AC734">
            <v>10.75</v>
          </cell>
          <cell r="AD734">
            <v>2900</v>
          </cell>
          <cell r="AE734" t="str">
            <v>10-3/4" FJWP Box</v>
          </cell>
          <cell r="AF734" t="str">
            <v>10-3/4" FJWP Pin</v>
          </cell>
          <cell r="AG734"/>
          <cell r="AH734" t="str">
            <v>maintenance</v>
          </cell>
          <cell r="AI734" t="str">
            <v/>
          </cell>
          <cell r="AJ734">
            <v>0</v>
          </cell>
          <cell r="AK734">
            <v>1</v>
          </cell>
          <cell r="AL734"/>
          <cell r="AM734"/>
          <cell r="AN734">
            <v>5090165</v>
          </cell>
          <cell r="AO734"/>
          <cell r="AP734"/>
          <cell r="AQ734"/>
          <cell r="AR734"/>
          <cell r="AS734">
            <v>128</v>
          </cell>
          <cell r="AT734"/>
          <cell r="AU734" t="str">
            <v/>
          </cell>
          <cell r="AV734"/>
        </row>
        <row r="735">
          <cell r="Z735">
            <v>5090166</v>
          </cell>
          <cell r="AA735" t="str">
            <v>WO Extension Lg 1900 mm
10-3/4" FJWP Pin x Box</v>
          </cell>
          <cell r="AB735">
            <v>135.45258695718778</v>
          </cell>
          <cell r="AC735">
            <v>10.75</v>
          </cell>
          <cell r="AD735">
            <v>1900</v>
          </cell>
          <cell r="AE735" t="str">
            <v>10-3/4" FJWP Box</v>
          </cell>
          <cell r="AF735" t="str">
            <v>10-3/4" FJWP Pin</v>
          </cell>
          <cell r="AG735"/>
          <cell r="AH735" t="str">
            <v xml:space="preserve"> en stock </v>
          </cell>
          <cell r="AI735">
            <v>1</v>
          </cell>
          <cell r="AJ735">
            <v>0</v>
          </cell>
          <cell r="AK735">
            <v>0</v>
          </cell>
          <cell r="AL735"/>
          <cell r="AM735"/>
          <cell r="AN735">
            <v>5090166</v>
          </cell>
          <cell r="AO735"/>
          <cell r="AP735"/>
          <cell r="AQ735"/>
          <cell r="AR735"/>
          <cell r="AS735">
            <v>125</v>
          </cell>
          <cell r="AT735" t="str">
            <v>509-10,750FJWP</v>
          </cell>
          <cell r="AU735" t="str">
            <v>FR</v>
          </cell>
          <cell r="AV735"/>
        </row>
        <row r="736">
          <cell r="Z736">
            <v>5090167</v>
          </cell>
          <cell r="AA736"/>
          <cell r="AB736">
            <v>135.45258695718778</v>
          </cell>
          <cell r="AC736">
            <v>10.75</v>
          </cell>
          <cell r="AD736">
            <v>1900</v>
          </cell>
          <cell r="AE736" t="str">
            <v>10-3/4" FJWP Box</v>
          </cell>
          <cell r="AF736" t="str">
            <v>10-3/4" FJWP Pin</v>
          </cell>
          <cell r="AG736"/>
          <cell r="AH736" t="str">
            <v>maintenance</v>
          </cell>
          <cell r="AI736" t="str">
            <v/>
          </cell>
          <cell r="AJ736">
            <v>0</v>
          </cell>
          <cell r="AK736">
            <v>1</v>
          </cell>
          <cell r="AL736"/>
          <cell r="AM736"/>
          <cell r="AN736">
            <v>5090167</v>
          </cell>
          <cell r="AO736"/>
          <cell r="AP736"/>
          <cell r="AQ736"/>
          <cell r="AR736"/>
          <cell r="AS736">
            <v>126</v>
          </cell>
          <cell r="AT736"/>
          <cell r="AU736" t="str">
            <v/>
          </cell>
          <cell r="AV736"/>
        </row>
        <row r="737">
          <cell r="Z737">
            <v>5120168</v>
          </cell>
          <cell r="AA737" t="str">
            <v>WO Top Sub
6-5/8" REG Box x 10-3/4" FJWP Pin x 6-5/8" REG Box in</v>
          </cell>
          <cell r="AB737">
            <v>206</v>
          </cell>
          <cell r="AC737">
            <v>10.75</v>
          </cell>
          <cell r="AD737">
            <v>760</v>
          </cell>
          <cell r="AE737" t="str">
            <v>6-5/8" REG Box</v>
          </cell>
          <cell r="AF737" t="str">
            <v>10-3/4" FJWP Pin</v>
          </cell>
          <cell r="AG737" t="str">
            <v>6-5/8" REG Box</v>
          </cell>
          <cell r="AH737" t="str">
            <v xml:space="preserve"> en stock </v>
          </cell>
          <cell r="AI737">
            <v>1</v>
          </cell>
          <cell r="AJ737">
            <v>0</v>
          </cell>
          <cell r="AK737">
            <v>0</v>
          </cell>
          <cell r="AL737"/>
          <cell r="AM737"/>
          <cell r="AN737">
            <v>5120168</v>
          </cell>
          <cell r="AO737"/>
          <cell r="AP737"/>
          <cell r="AQ737"/>
          <cell r="AR737"/>
          <cell r="AS737">
            <v>46</v>
          </cell>
          <cell r="AT737"/>
          <cell r="AU737" t="str">
            <v>FR</v>
          </cell>
          <cell r="AV737"/>
        </row>
        <row r="738">
          <cell r="Z738" t="str">
            <v xml:space="preserve"> - </v>
          </cell>
          <cell r="AA738"/>
          <cell r="AB738"/>
          <cell r="AC738"/>
          <cell r="AD738"/>
          <cell r="AE738"/>
          <cell r="AF738"/>
          <cell r="AG738"/>
          <cell r="AH738" t="str">
            <v>en stock</v>
          </cell>
          <cell r="AI738"/>
          <cell r="AJ738"/>
          <cell r="AK738"/>
          <cell r="AL738"/>
          <cell r="AM738"/>
          <cell r="AN738" t="str">
            <v/>
          </cell>
          <cell r="AO738"/>
          <cell r="AP738"/>
          <cell r="AQ738"/>
          <cell r="AR738"/>
          <cell r="AS738"/>
          <cell r="AT738"/>
          <cell r="AU738" t="str">
            <v>FR</v>
          </cell>
          <cell r="AV738"/>
        </row>
        <row r="739">
          <cell r="Z739" t="str">
            <v>lot</v>
          </cell>
          <cell r="AA739"/>
          <cell r="AB739"/>
          <cell r="AC739"/>
          <cell r="AD739"/>
          <cell r="AE739"/>
          <cell r="AF739"/>
          <cell r="AG739"/>
          <cell r="AH739" t="str">
            <v>en stock</v>
          </cell>
          <cell r="AI739"/>
          <cell r="AJ739"/>
          <cell r="AK739"/>
          <cell r="AL739"/>
          <cell r="AM739"/>
          <cell r="AN739" t="str">
            <v/>
          </cell>
          <cell r="AO739"/>
          <cell r="AP739"/>
          <cell r="AQ739"/>
          <cell r="AR739"/>
          <cell r="AS739"/>
          <cell r="AT739"/>
          <cell r="AU739" t="str">
            <v/>
          </cell>
          <cell r="AV739"/>
        </row>
        <row r="740">
          <cell r="Z740">
            <v>4025305</v>
          </cell>
          <cell r="AA740" t="str">
            <v>Surface Bumper Sub 7" OD 
4-1/2" IF Pin down x Box up</v>
          </cell>
          <cell r="AB740">
            <v>0</v>
          </cell>
          <cell r="AC740">
            <v>7</v>
          </cell>
          <cell r="AD740">
            <v>2800</v>
          </cell>
          <cell r="AE740" t="str">
            <v>4-1/2" IF Box</v>
          </cell>
          <cell r="AF740" t="str">
            <v>4-1/2'' IF Pin</v>
          </cell>
          <cell r="AG740" t="str">
            <v>Surface</v>
          </cell>
          <cell r="AH740" t="str">
            <v xml:space="preserve"> en stock </v>
          </cell>
          <cell r="AI740">
            <v>1</v>
          </cell>
          <cell r="AJ740">
            <v>0</v>
          </cell>
          <cell r="AK740">
            <v>0</v>
          </cell>
          <cell r="AL740"/>
          <cell r="AM740"/>
          <cell r="AN740" t="str">
            <v/>
          </cell>
          <cell r="AO740"/>
          <cell r="AP740"/>
          <cell r="AQ740"/>
          <cell r="AR740"/>
          <cell r="AS740">
            <v>22</v>
          </cell>
          <cell r="AT740" t="str">
            <v>402-7,000S</v>
          </cell>
          <cell r="AU740" t="str">
            <v/>
          </cell>
          <cell r="AV740"/>
        </row>
        <row r="741">
          <cell r="Z741">
            <v>4025306</v>
          </cell>
          <cell r="AA741"/>
          <cell r="AB741"/>
          <cell r="AC741"/>
          <cell r="AD741"/>
          <cell r="AE741"/>
          <cell r="AF741"/>
          <cell r="AG741"/>
          <cell r="AH741" t="str">
            <v>en stock</v>
          </cell>
          <cell r="AI741"/>
          <cell r="AJ741"/>
          <cell r="AK741"/>
          <cell r="AL741"/>
          <cell r="AM741"/>
          <cell r="AN741" t="str">
            <v/>
          </cell>
          <cell r="AO741"/>
          <cell r="AP741"/>
          <cell r="AQ741"/>
          <cell r="AR741"/>
          <cell r="AS741"/>
          <cell r="AT741"/>
          <cell r="AU741" t="str">
            <v/>
          </cell>
          <cell r="AV741"/>
        </row>
        <row r="742">
          <cell r="Z742" t="str">
            <v/>
          </cell>
          <cell r="AA742"/>
          <cell r="AB742"/>
          <cell r="AC742"/>
          <cell r="AD742"/>
          <cell r="AE742"/>
          <cell r="AF742"/>
          <cell r="AG742"/>
          <cell r="AH742" t="str">
            <v>en stock</v>
          </cell>
          <cell r="AI742"/>
          <cell r="AJ742"/>
          <cell r="AK742"/>
          <cell r="AL742"/>
          <cell r="AM742"/>
          <cell r="AN742" t="str">
            <v/>
          </cell>
          <cell r="AO742"/>
          <cell r="AP742"/>
          <cell r="AQ742"/>
          <cell r="AR742"/>
          <cell r="AS742"/>
          <cell r="AT742"/>
          <cell r="AU742" t="str">
            <v/>
          </cell>
          <cell r="AV742"/>
        </row>
        <row r="743">
          <cell r="Z743" t="str">
            <v/>
          </cell>
          <cell r="AA743"/>
          <cell r="AB743"/>
          <cell r="AC743"/>
          <cell r="AD743"/>
          <cell r="AE743"/>
          <cell r="AF743"/>
          <cell r="AG743"/>
          <cell r="AH743" t="str">
            <v>en stock</v>
          </cell>
          <cell r="AI743"/>
          <cell r="AJ743"/>
          <cell r="AK743"/>
          <cell r="AL743"/>
          <cell r="AM743"/>
          <cell r="AN743" t="str">
            <v/>
          </cell>
          <cell r="AO743"/>
          <cell r="AP743"/>
          <cell r="AQ743"/>
          <cell r="AR743"/>
          <cell r="AS743"/>
          <cell r="AT743"/>
          <cell r="AU743" t="str">
            <v/>
          </cell>
          <cell r="AV743"/>
        </row>
        <row r="744">
          <cell r="Z744">
            <v>8130169</v>
          </cell>
          <cell r="AA744"/>
          <cell r="AB744"/>
          <cell r="AC744"/>
          <cell r="AD744"/>
          <cell r="AE744"/>
          <cell r="AF744"/>
          <cell r="AG744"/>
          <cell r="AH744" t="str">
            <v>en stock</v>
          </cell>
          <cell r="AI744"/>
          <cell r="AJ744"/>
          <cell r="AK744"/>
          <cell r="AL744"/>
          <cell r="AM744"/>
          <cell r="AN744">
            <v>8130169</v>
          </cell>
          <cell r="AO744"/>
          <cell r="AP744"/>
          <cell r="AQ744"/>
          <cell r="AR744"/>
          <cell r="AS744"/>
          <cell r="AT744"/>
          <cell r="AU744" t="str">
            <v/>
          </cell>
          <cell r="AV744"/>
        </row>
        <row r="745">
          <cell r="Z745">
            <v>5110170</v>
          </cell>
          <cell r="AA745"/>
          <cell r="AB745"/>
          <cell r="AC745"/>
          <cell r="AD745"/>
          <cell r="AE745"/>
          <cell r="AF745"/>
          <cell r="AG745"/>
          <cell r="AH745" t="str">
            <v>en stock</v>
          </cell>
          <cell r="AI745"/>
          <cell r="AJ745"/>
          <cell r="AK745"/>
          <cell r="AL745"/>
          <cell r="AM745"/>
          <cell r="AN745" t="str">
            <v/>
          </cell>
          <cell r="AO745"/>
          <cell r="AP745"/>
          <cell r="AQ745"/>
          <cell r="AR745"/>
          <cell r="AS745"/>
          <cell r="AT745"/>
          <cell r="AU745">
            <v>1506041</v>
          </cell>
          <cell r="AV745"/>
        </row>
        <row r="746">
          <cell r="Z746">
            <v>5110171</v>
          </cell>
          <cell r="AA746"/>
          <cell r="AB746"/>
          <cell r="AC746"/>
          <cell r="AD746"/>
          <cell r="AE746"/>
          <cell r="AF746"/>
          <cell r="AG746"/>
          <cell r="AH746" t="str">
            <v>en stock</v>
          </cell>
          <cell r="AI746"/>
          <cell r="AJ746"/>
          <cell r="AK746"/>
          <cell r="AL746"/>
          <cell r="AM746"/>
          <cell r="AN746" t="str">
            <v/>
          </cell>
          <cell r="AO746"/>
          <cell r="AP746"/>
          <cell r="AQ746"/>
          <cell r="AR746"/>
          <cell r="AS746"/>
          <cell r="AT746"/>
          <cell r="AU746">
            <v>1507050</v>
          </cell>
          <cell r="AV746"/>
        </row>
        <row r="747">
          <cell r="Z747">
            <v>5110172</v>
          </cell>
          <cell r="AA747" t="str">
            <v>WO Shoe
6" FJWP Box</v>
          </cell>
          <cell r="AB747">
            <v>0</v>
          </cell>
          <cell r="AC747">
            <v>6.125</v>
          </cell>
          <cell r="AD747">
            <v>825</v>
          </cell>
          <cell r="AE747" t="str">
            <v>6" FJWP Box</v>
          </cell>
          <cell r="AF747"/>
          <cell r="AG747" t="str">
            <v xml:space="preserve"> - </v>
          </cell>
          <cell r="AH747" t="str">
            <v>en stock</v>
          </cell>
          <cell r="AI747">
            <v>0</v>
          </cell>
          <cell r="AJ747">
            <v>1</v>
          </cell>
          <cell r="AK747">
            <v>0</v>
          </cell>
          <cell r="AL747"/>
          <cell r="AM747"/>
          <cell r="AN747">
            <v>5110172</v>
          </cell>
          <cell r="AO747"/>
          <cell r="AP747"/>
          <cell r="AQ747"/>
          <cell r="AR747"/>
          <cell r="AS747">
            <v>249</v>
          </cell>
          <cell r="AT747"/>
          <cell r="AU747" t="str">
            <v>FR</v>
          </cell>
          <cell r="AV747"/>
        </row>
        <row r="748">
          <cell r="Z748">
            <v>5110173</v>
          </cell>
          <cell r="AA748" t="str">
            <v>WO Shoe
6" FJWP Box</v>
          </cell>
          <cell r="AB748">
            <v>0</v>
          </cell>
          <cell r="AC748">
            <v>6.125</v>
          </cell>
          <cell r="AD748">
            <v>960</v>
          </cell>
          <cell r="AE748" t="str">
            <v>6" FJWP Box</v>
          </cell>
          <cell r="AF748"/>
          <cell r="AG748" t="str">
            <v xml:space="preserve"> - </v>
          </cell>
          <cell r="AH748" t="str">
            <v>en stock</v>
          </cell>
          <cell r="AI748">
            <v>0</v>
          </cell>
          <cell r="AJ748">
            <v>1</v>
          </cell>
          <cell r="AK748">
            <v>0</v>
          </cell>
          <cell r="AL748"/>
          <cell r="AM748"/>
          <cell r="AN748">
            <v>5110173</v>
          </cell>
          <cell r="AO748"/>
          <cell r="AP748"/>
          <cell r="AQ748"/>
          <cell r="AR748"/>
          <cell r="AS748">
            <v>250</v>
          </cell>
          <cell r="AT748"/>
          <cell r="AU748" t="str">
            <v>FR</v>
          </cell>
          <cell r="AV748"/>
        </row>
        <row r="749">
          <cell r="Z749">
            <v>5100174</v>
          </cell>
          <cell r="AA749" t="str">
            <v>WO Pipe
6" FJWP Pin x Box</v>
          </cell>
          <cell r="AB749">
            <v>267.36223543574971</v>
          </cell>
          <cell r="AC749">
            <v>6</v>
          </cell>
          <cell r="AD749">
            <v>9520</v>
          </cell>
          <cell r="AE749" t="str">
            <v>6" FJWP Box</v>
          </cell>
          <cell r="AF749" t="str">
            <v>6" FJWP Pin</v>
          </cell>
          <cell r="AG749"/>
          <cell r="AH749" t="str">
            <v xml:space="preserve"> en stock </v>
          </cell>
          <cell r="AI749">
            <v>1</v>
          </cell>
          <cell r="AJ749">
            <v>0</v>
          </cell>
          <cell r="AK749">
            <v>0</v>
          </cell>
          <cell r="AL749"/>
          <cell r="AM749"/>
          <cell r="AN749">
            <v>5100174</v>
          </cell>
          <cell r="AO749"/>
          <cell r="AP749"/>
          <cell r="AQ749"/>
          <cell r="AR749"/>
          <cell r="AS749">
            <v>84</v>
          </cell>
          <cell r="AT749" t="str">
            <v>509-6,000FJWP</v>
          </cell>
          <cell r="AU749" t="str">
            <v>FR</v>
          </cell>
          <cell r="AV749"/>
        </row>
        <row r="750">
          <cell r="Z750">
            <v>5100175</v>
          </cell>
          <cell r="AA750"/>
          <cell r="AB750" t="e">
            <v>#VALUE!</v>
          </cell>
          <cell r="AC750" t="e">
            <v>#VALUE!</v>
          </cell>
          <cell r="AD750" t="e">
            <v>#VALUE!</v>
          </cell>
          <cell r="AE750" t="e">
            <v>#N/A</v>
          </cell>
          <cell r="AF750" t="e">
            <v>#N/A</v>
          </cell>
          <cell r="AG750"/>
          <cell r="AH750" t="e">
            <v>#VALUE!</v>
          </cell>
          <cell r="AI750" t="e">
            <v>#VALUE!</v>
          </cell>
          <cell r="AJ750" t="e">
            <v>#VALUE!</v>
          </cell>
          <cell r="AK750" t="e">
            <v>#VALUE!</v>
          </cell>
          <cell r="AL750"/>
          <cell r="AM750"/>
          <cell r="AN750" t="str">
            <v/>
          </cell>
          <cell r="AO750"/>
          <cell r="AP750"/>
          <cell r="AQ750"/>
          <cell r="AR750"/>
          <cell r="AS750" t="e">
            <v>#N/A</v>
          </cell>
          <cell r="AT750"/>
          <cell r="AU750">
            <v>1507050</v>
          </cell>
          <cell r="AV750"/>
        </row>
        <row r="751">
          <cell r="Z751">
            <v>5100176</v>
          </cell>
          <cell r="AA751"/>
          <cell r="AB751" t="e">
            <v>#VALUE!</v>
          </cell>
          <cell r="AC751" t="e">
            <v>#VALUE!</v>
          </cell>
          <cell r="AD751" t="e">
            <v>#VALUE!</v>
          </cell>
          <cell r="AE751" t="e">
            <v>#N/A</v>
          </cell>
          <cell r="AF751" t="e">
            <v>#N/A</v>
          </cell>
          <cell r="AG751"/>
          <cell r="AH751" t="e">
            <v>#VALUE!</v>
          </cell>
          <cell r="AI751" t="e">
            <v>#VALUE!</v>
          </cell>
          <cell r="AJ751" t="e">
            <v>#VALUE!</v>
          </cell>
          <cell r="AK751" t="e">
            <v>#VALUE!</v>
          </cell>
          <cell r="AL751"/>
          <cell r="AM751"/>
          <cell r="AN751" t="str">
            <v/>
          </cell>
          <cell r="AO751"/>
          <cell r="AP751"/>
          <cell r="AQ751"/>
          <cell r="AR751"/>
          <cell r="AS751" t="e">
            <v>#N/A</v>
          </cell>
          <cell r="AT751"/>
          <cell r="AU751">
            <v>1507050</v>
          </cell>
          <cell r="AV751"/>
        </row>
        <row r="752">
          <cell r="Z752">
            <v>5100177</v>
          </cell>
          <cell r="AA752" t="str">
            <v>WO Pipe
6" FJWP Pin x Box</v>
          </cell>
          <cell r="AB752">
            <v>273.82161717421843</v>
          </cell>
          <cell r="AC752">
            <v>6</v>
          </cell>
          <cell r="AD752">
            <v>9750</v>
          </cell>
          <cell r="AE752" t="str">
            <v>6" FJWP Box</v>
          </cell>
          <cell r="AF752" t="str">
            <v>6" FJWP Pin</v>
          </cell>
          <cell r="AG752"/>
          <cell r="AH752" t="str">
            <v xml:space="preserve"> en stock </v>
          </cell>
          <cell r="AI752">
            <v>1</v>
          </cell>
          <cell r="AJ752">
            <v>0</v>
          </cell>
          <cell r="AK752">
            <v>0</v>
          </cell>
          <cell r="AL752"/>
          <cell r="AM752"/>
          <cell r="AN752">
            <v>5100177</v>
          </cell>
          <cell r="AO752"/>
          <cell r="AP752"/>
          <cell r="AQ752"/>
          <cell r="AR752"/>
          <cell r="AS752">
            <v>85</v>
          </cell>
          <cell r="AT752" t="str">
            <v>509-6,000FJWP</v>
          </cell>
          <cell r="AU752" t="str">
            <v>FR</v>
          </cell>
          <cell r="AV752"/>
        </row>
        <row r="753">
          <cell r="Z753">
            <v>5100178</v>
          </cell>
          <cell r="AA753" t="str">
            <v>WO Pipe
6" FJWP Pin x Box</v>
          </cell>
          <cell r="AB753">
            <v>269.60897690999968</v>
          </cell>
          <cell r="AC753">
            <v>6</v>
          </cell>
          <cell r="AD753">
            <v>9600</v>
          </cell>
          <cell r="AE753" t="str">
            <v>6" FJWP Box</v>
          </cell>
          <cell r="AF753" t="str">
            <v>6" FJWP Pin</v>
          </cell>
          <cell r="AG753"/>
          <cell r="AH753" t="str">
            <v xml:space="preserve"> en stock </v>
          </cell>
          <cell r="AI753">
            <v>1</v>
          </cell>
          <cell r="AJ753">
            <v>0</v>
          </cell>
          <cell r="AK753">
            <v>0</v>
          </cell>
          <cell r="AL753"/>
          <cell r="AM753"/>
          <cell r="AN753">
            <v>5100178</v>
          </cell>
          <cell r="AO753"/>
          <cell r="AP753"/>
          <cell r="AQ753"/>
          <cell r="AR753"/>
          <cell r="AS753">
            <v>86</v>
          </cell>
          <cell r="AT753" t="str">
            <v>509-6,000FJWP</v>
          </cell>
          <cell r="AU753" t="str">
            <v>FR</v>
          </cell>
          <cell r="AV753"/>
        </row>
        <row r="754">
          <cell r="Z754">
            <v>5120179</v>
          </cell>
          <cell r="AA754" t="str">
            <v>WO Top Sub
3-1/2" IF Pin x 6" FJWP Pin x 3-1/2" REG Box in</v>
          </cell>
          <cell r="AB754">
            <v>64</v>
          </cell>
          <cell r="AC754">
            <v>6</v>
          </cell>
          <cell r="AD754">
            <v>530</v>
          </cell>
          <cell r="AE754" t="str">
            <v>3-1/2" IF Pin</v>
          </cell>
          <cell r="AF754" t="str">
            <v>6" FJWP Pin</v>
          </cell>
          <cell r="AG754" t="str">
            <v>3-1/2" REG Box</v>
          </cell>
          <cell r="AH754" t="str">
            <v xml:space="preserve"> en stock </v>
          </cell>
          <cell r="AI754">
            <v>1</v>
          </cell>
          <cell r="AJ754">
            <v>0</v>
          </cell>
          <cell r="AK754">
            <v>0</v>
          </cell>
          <cell r="AL754"/>
          <cell r="AM754"/>
          <cell r="AN754">
            <v>5120179</v>
          </cell>
          <cell r="AO754"/>
          <cell r="AP754"/>
          <cell r="AQ754"/>
          <cell r="AR754"/>
          <cell r="AS754">
            <v>27</v>
          </cell>
          <cell r="AT754"/>
          <cell r="AU754" t="str">
            <v>FR</v>
          </cell>
          <cell r="AV754"/>
        </row>
        <row r="755">
          <cell r="Z755">
            <v>5090180</v>
          </cell>
          <cell r="AA755" t="str">
            <v>WO Extension Lg 1395 mm
6" FJWP Pin x Box</v>
          </cell>
          <cell r="AB755">
            <v>42.858522485908594</v>
          </cell>
          <cell r="AC755">
            <v>6</v>
          </cell>
          <cell r="AD755">
            <v>1395</v>
          </cell>
          <cell r="AE755" t="str">
            <v>6" FJWP Box</v>
          </cell>
          <cell r="AF755" t="str">
            <v>6" FJWP Pin</v>
          </cell>
          <cell r="AG755"/>
          <cell r="AH755" t="str">
            <v xml:space="preserve"> en stock </v>
          </cell>
          <cell r="AI755">
            <v>1</v>
          </cell>
          <cell r="AJ755">
            <v>0</v>
          </cell>
          <cell r="AK755">
            <v>0</v>
          </cell>
          <cell r="AL755"/>
          <cell r="AM755"/>
          <cell r="AN755">
            <v>5090180</v>
          </cell>
          <cell r="AO755"/>
          <cell r="AP755"/>
          <cell r="AQ755"/>
          <cell r="AR755"/>
          <cell r="AS755">
            <v>71</v>
          </cell>
          <cell r="AT755" t="str">
            <v>509-6,000FJWP</v>
          </cell>
          <cell r="AU755" t="str">
            <v>FR</v>
          </cell>
          <cell r="AV755"/>
        </row>
        <row r="756">
          <cell r="Z756" t="str">
            <v/>
          </cell>
          <cell r="AA756"/>
          <cell r="AB756" t="e">
            <v>#VALUE!</v>
          </cell>
          <cell r="AC756" t="e">
            <v>#VALUE!</v>
          </cell>
          <cell r="AD756" t="e">
            <v>#VALUE!</v>
          </cell>
          <cell r="AE756" t="e">
            <v>#N/A</v>
          </cell>
          <cell r="AF756" t="e">
            <v>#N/A</v>
          </cell>
          <cell r="AG756"/>
          <cell r="AH756" t="e">
            <v>#VALUE!</v>
          </cell>
          <cell r="AI756" t="e">
            <v>#VALUE!</v>
          </cell>
          <cell r="AJ756" t="e">
            <v>#VALUE!</v>
          </cell>
          <cell r="AK756" t="e">
            <v>#VALUE!</v>
          </cell>
          <cell r="AL756"/>
          <cell r="AM756"/>
          <cell r="AN756" t="str">
            <v/>
          </cell>
          <cell r="AO756"/>
          <cell r="AP756"/>
          <cell r="AQ756"/>
          <cell r="AR756"/>
          <cell r="AS756" t="e">
            <v>#N/A</v>
          </cell>
          <cell r="AT756"/>
          <cell r="AU756" t="str">
            <v>Ø des immo fin 2017</v>
          </cell>
          <cell r="AV756"/>
        </row>
        <row r="757">
          <cell r="Z757">
            <v>8020181</v>
          </cell>
          <cell r="AA757" t="str">
            <v>Bit Sub
2-3/8" REG Box x 2-3/8" REG Box</v>
          </cell>
          <cell r="AB757">
            <v>22.240580266734376</v>
          </cell>
          <cell r="AC757">
            <v>3.125</v>
          </cell>
          <cell r="AD757">
            <v>700</v>
          </cell>
          <cell r="AE757" t="str">
            <v>2-3/8" REG Box</v>
          </cell>
          <cell r="AF757" t="str">
            <v>2-3/8" REG Box</v>
          </cell>
          <cell r="AG757"/>
          <cell r="AH757" t="str">
            <v xml:space="preserve"> en stock </v>
          </cell>
          <cell r="AI757">
            <v>1</v>
          </cell>
          <cell r="AJ757">
            <v>0</v>
          </cell>
          <cell r="AK757">
            <v>0</v>
          </cell>
          <cell r="AL757"/>
          <cell r="AM757"/>
          <cell r="AN757">
            <v>8020181</v>
          </cell>
          <cell r="AO757"/>
          <cell r="AP757"/>
          <cell r="AQ757"/>
          <cell r="AR757"/>
          <cell r="AS757">
            <v>14</v>
          </cell>
          <cell r="AT757"/>
          <cell r="AU757" t="str">
            <v>FR</v>
          </cell>
          <cell r="AV757"/>
        </row>
        <row r="758">
          <cell r="Z758">
            <v>8020182</v>
          </cell>
          <cell r="AA758"/>
          <cell r="AB758"/>
          <cell r="AC758"/>
          <cell r="AD758"/>
          <cell r="AE758"/>
          <cell r="AF758"/>
          <cell r="AG758"/>
          <cell r="AH758" t="str">
            <v>en stock</v>
          </cell>
          <cell r="AI758"/>
          <cell r="AJ758"/>
          <cell r="AK758"/>
          <cell r="AL758"/>
          <cell r="AM758"/>
          <cell r="AN758" t="str">
            <v/>
          </cell>
          <cell r="AO758"/>
          <cell r="AP758"/>
          <cell r="AQ758"/>
          <cell r="AR758"/>
          <cell r="AS758"/>
          <cell r="AT758"/>
          <cell r="AU758">
            <v>1704017</v>
          </cell>
          <cell r="AV758"/>
        </row>
        <row r="759">
          <cell r="Z759">
            <v>8020183</v>
          </cell>
          <cell r="AA759"/>
          <cell r="AB759"/>
          <cell r="AC759"/>
          <cell r="AD759"/>
          <cell r="AE759"/>
          <cell r="AF759"/>
          <cell r="AG759"/>
          <cell r="AH759" t="str">
            <v>en stock</v>
          </cell>
          <cell r="AI759"/>
          <cell r="AJ759"/>
          <cell r="AK759"/>
          <cell r="AL759"/>
          <cell r="AM759"/>
          <cell r="AN759" t="str">
            <v/>
          </cell>
          <cell r="AO759"/>
          <cell r="AP759"/>
          <cell r="AQ759"/>
          <cell r="AR759"/>
          <cell r="AS759"/>
          <cell r="AT759"/>
          <cell r="AU759">
            <v>1704017</v>
          </cell>
          <cell r="AV759"/>
        </row>
        <row r="760">
          <cell r="Z760">
            <v>8130184</v>
          </cell>
          <cell r="AA760"/>
          <cell r="AB760"/>
          <cell r="AC760"/>
          <cell r="AD760"/>
          <cell r="AE760"/>
          <cell r="AF760"/>
          <cell r="AG760"/>
          <cell r="AH760" t="str">
            <v>en stock</v>
          </cell>
          <cell r="AI760"/>
          <cell r="AJ760"/>
          <cell r="AK760"/>
          <cell r="AL760"/>
          <cell r="AM760"/>
          <cell r="AN760" t="str">
            <v/>
          </cell>
          <cell r="AO760"/>
          <cell r="AP760"/>
          <cell r="AQ760"/>
          <cell r="AR760"/>
          <cell r="AS760"/>
          <cell r="AT760"/>
          <cell r="AU760">
            <v>1704017</v>
          </cell>
          <cell r="AV760"/>
        </row>
        <row r="761">
          <cell r="Z761">
            <v>8130185</v>
          </cell>
          <cell r="AA761"/>
          <cell r="AB761"/>
          <cell r="AC761"/>
          <cell r="AD761"/>
          <cell r="AE761"/>
          <cell r="AF761"/>
          <cell r="AG761"/>
          <cell r="AH761" t="str">
            <v>en stock</v>
          </cell>
          <cell r="AI761"/>
          <cell r="AJ761"/>
          <cell r="AK761"/>
          <cell r="AL761"/>
          <cell r="AM761"/>
          <cell r="AN761" t="str">
            <v/>
          </cell>
          <cell r="AO761"/>
          <cell r="AP761"/>
          <cell r="AQ761"/>
          <cell r="AR761"/>
          <cell r="AS761"/>
          <cell r="AT761"/>
          <cell r="AU761">
            <v>1704017</v>
          </cell>
          <cell r="AV761"/>
        </row>
        <row r="762">
          <cell r="Z762">
            <v>5110186</v>
          </cell>
          <cell r="AA762" t="str">
            <v>WO Shoe
6" FJWP Box</v>
          </cell>
          <cell r="AB762">
            <v>0</v>
          </cell>
          <cell r="AC762">
            <v>6.125</v>
          </cell>
          <cell r="AD762">
            <v>900</v>
          </cell>
          <cell r="AE762" t="str">
            <v>6" FJWP Box</v>
          </cell>
          <cell r="AF762"/>
          <cell r="AG762" t="str">
            <v xml:space="preserve"> - </v>
          </cell>
          <cell r="AH762" t="str">
            <v>en stock</v>
          </cell>
          <cell r="AI762">
            <v>0</v>
          </cell>
          <cell r="AJ762">
            <v>1</v>
          </cell>
          <cell r="AK762">
            <v>0</v>
          </cell>
          <cell r="AL762"/>
          <cell r="AM762"/>
          <cell r="AN762">
            <v>5110186</v>
          </cell>
          <cell r="AO762"/>
          <cell r="AP762"/>
          <cell r="AQ762"/>
          <cell r="AR762"/>
          <cell r="AS762">
            <v>248</v>
          </cell>
          <cell r="AT762"/>
          <cell r="AU762" t="str">
            <v>FR</v>
          </cell>
          <cell r="AV762"/>
        </row>
        <row r="763">
          <cell r="Z763">
            <v>1090187</v>
          </cell>
          <cell r="AA763" t="str">
            <v>Junk Sub 9-5/8" OD Cup 
6-5/8" REG Pin x Box</v>
          </cell>
          <cell r="AB763">
            <v>281</v>
          </cell>
          <cell r="AC763">
            <v>9.625</v>
          </cell>
          <cell r="AD763">
            <v>1405</v>
          </cell>
          <cell r="AE763" t="str">
            <v>6-5/8" REG Pin</v>
          </cell>
          <cell r="AF763" t="str">
            <v>6-5/8" REG Box</v>
          </cell>
          <cell r="AG763"/>
          <cell r="AH763" t="str">
            <v>maintenance</v>
          </cell>
          <cell r="AI763" t="str">
            <v/>
          </cell>
          <cell r="AJ763">
            <v>0</v>
          </cell>
          <cell r="AK763">
            <v>1</v>
          </cell>
          <cell r="AL763"/>
          <cell r="AM763"/>
          <cell r="AN763">
            <v>1090187</v>
          </cell>
          <cell r="AO763"/>
          <cell r="AP763"/>
          <cell r="AQ763"/>
          <cell r="AR763"/>
          <cell r="AS763">
            <v>35</v>
          </cell>
          <cell r="AT763" t="str">
            <v>109-9,625</v>
          </cell>
          <cell r="AU763" t="str">
            <v>FR</v>
          </cell>
          <cell r="AV763"/>
        </row>
        <row r="764">
          <cell r="Z764">
            <v>1090188</v>
          </cell>
          <cell r="AA764" t="str">
            <v>Junk Sub 9-5/8" OD Cup 
6-5/8" REG Pin x Box</v>
          </cell>
          <cell r="AB764">
            <v>280</v>
          </cell>
          <cell r="AC764">
            <v>9.625</v>
          </cell>
          <cell r="AD764">
            <v>1405</v>
          </cell>
          <cell r="AE764" t="str">
            <v>6-5/8" REG Pin</v>
          </cell>
          <cell r="AF764" t="str">
            <v>6-5/8" REG Box</v>
          </cell>
          <cell r="AG764"/>
          <cell r="AH764" t="str">
            <v>sur chantier</v>
          </cell>
          <cell r="AI764" t="str">
            <v/>
          </cell>
          <cell r="AJ764">
            <v>1</v>
          </cell>
          <cell r="AK764">
            <v>0</v>
          </cell>
          <cell r="AL764"/>
          <cell r="AM764"/>
          <cell r="AN764">
            <v>1090188</v>
          </cell>
          <cell r="AO764"/>
          <cell r="AP764"/>
          <cell r="AQ764"/>
          <cell r="AR764"/>
          <cell r="AS764">
            <v>36</v>
          </cell>
          <cell r="AT764" t="str">
            <v>109-9,625</v>
          </cell>
          <cell r="AU764" t="str">
            <v>FR</v>
          </cell>
          <cell r="AV764"/>
        </row>
        <row r="765">
          <cell r="Z765">
            <v>1090189</v>
          </cell>
          <cell r="AA765" t="str">
            <v>Junk Sub 7" OD Cup 
4-1/2" REG Pin x Box</v>
          </cell>
          <cell r="AB765">
            <v>129</v>
          </cell>
          <cell r="AC765">
            <v>7</v>
          </cell>
          <cell r="AD765">
            <v>1200</v>
          </cell>
          <cell r="AE765" t="str">
            <v>4-1/2" REG Pin</v>
          </cell>
          <cell r="AF765" t="str">
            <v>4-1/2" REG Box</v>
          </cell>
          <cell r="AG765"/>
          <cell r="AH765" t="str">
            <v xml:space="preserve"> en stock </v>
          </cell>
          <cell r="AI765">
            <v>1</v>
          </cell>
          <cell r="AJ765">
            <v>0</v>
          </cell>
          <cell r="AK765">
            <v>0</v>
          </cell>
          <cell r="AL765"/>
          <cell r="AM765"/>
          <cell r="AN765">
            <v>1090189</v>
          </cell>
          <cell r="AO765"/>
          <cell r="AP765"/>
          <cell r="AQ765"/>
          <cell r="AR765"/>
          <cell r="AS765">
            <v>28</v>
          </cell>
          <cell r="AT765" t="str">
            <v>109-7,000</v>
          </cell>
          <cell r="AU765" t="str">
            <v>FR</v>
          </cell>
          <cell r="AV765"/>
        </row>
        <row r="766">
          <cell r="Z766">
            <v>1065213</v>
          </cell>
          <cell r="AA766" t="str">
            <v>Impression Block 11-3/4" 
6-5/8" REG Box</v>
          </cell>
          <cell r="AB766">
            <v>254</v>
          </cell>
          <cell r="AC766">
            <v>11.75</v>
          </cell>
          <cell r="AD766">
            <v>750</v>
          </cell>
          <cell r="AE766" t="str">
            <v>6-5/8" REG Box</v>
          </cell>
          <cell r="AF766"/>
          <cell r="AG766"/>
          <cell r="AH766" t="str">
            <v xml:space="preserve"> en stock </v>
          </cell>
          <cell r="AI766">
            <v>1</v>
          </cell>
          <cell r="AJ766">
            <v>0</v>
          </cell>
          <cell r="AK766">
            <v>0</v>
          </cell>
          <cell r="AL766"/>
          <cell r="AM766"/>
          <cell r="AN766">
            <v>1065213</v>
          </cell>
          <cell r="AO766"/>
          <cell r="AP766"/>
          <cell r="AQ766"/>
          <cell r="AR766"/>
          <cell r="AS766">
            <v>26</v>
          </cell>
          <cell r="AT766"/>
          <cell r="AU766" t="str">
            <v>FR</v>
          </cell>
          <cell r="AV766"/>
        </row>
        <row r="767">
          <cell r="Z767">
            <v>1065214</v>
          </cell>
          <cell r="AA767" t="str">
            <v>Impression Block 7-7/8" 
4-1/2" IF Box</v>
          </cell>
          <cell r="AB767">
            <v>75</v>
          </cell>
          <cell r="AC767">
            <v>7.875</v>
          </cell>
          <cell r="AD767">
            <v>420</v>
          </cell>
          <cell r="AE767" t="str">
            <v>4-1/2" IF Box</v>
          </cell>
          <cell r="AF767"/>
          <cell r="AG767"/>
          <cell r="AH767" t="str">
            <v>sur chantier</v>
          </cell>
          <cell r="AI767" t="str">
            <v/>
          </cell>
          <cell r="AJ767">
            <v>1</v>
          </cell>
          <cell r="AK767">
            <v>0</v>
          </cell>
          <cell r="AL767"/>
          <cell r="AM767"/>
          <cell r="AN767">
            <v>1065214</v>
          </cell>
          <cell r="AO767"/>
          <cell r="AP767"/>
          <cell r="AQ767"/>
          <cell r="AR767"/>
          <cell r="AS767">
            <v>15</v>
          </cell>
          <cell r="AT767"/>
          <cell r="AU767" t="str">
            <v>FR</v>
          </cell>
          <cell r="AV767"/>
        </row>
        <row r="768">
          <cell r="Z768">
            <v>5100190</v>
          </cell>
          <cell r="AA768" t="str">
            <v>WO Pipe
4" FJWP Pin x Box</v>
          </cell>
          <cell r="AB768" t="e">
            <v>#N/A</v>
          </cell>
          <cell r="AC768" t="e">
            <v>#N/A</v>
          </cell>
          <cell r="AD768" t="e">
            <v>#N/A</v>
          </cell>
          <cell r="AE768" t="e">
            <v>#N/A</v>
          </cell>
          <cell r="AF768" t="e">
            <v>#N/A</v>
          </cell>
          <cell r="AG768"/>
          <cell r="AH768" t="e">
            <v>#N/A</v>
          </cell>
          <cell r="AI768" t="e">
            <v>#N/A</v>
          </cell>
          <cell r="AJ768" t="e">
            <v>#N/A</v>
          </cell>
          <cell r="AK768" t="e">
            <v>#N/A</v>
          </cell>
          <cell r="AL768"/>
          <cell r="AM768"/>
          <cell r="AN768">
            <v>5100190</v>
          </cell>
          <cell r="AO768"/>
          <cell r="AP768"/>
          <cell r="AQ768"/>
          <cell r="AR768"/>
          <cell r="AS768" t="e">
            <v>#N/A</v>
          </cell>
          <cell r="AT768"/>
          <cell r="AU768" t="str">
            <v>FR</v>
          </cell>
          <cell r="AV768"/>
        </row>
        <row r="769">
          <cell r="Z769">
            <v>5100191</v>
          </cell>
          <cell r="AA769" t="str">
            <v>WO Pipe
4" FJWP Pin x Box</v>
          </cell>
          <cell r="AB769">
            <v>197.61449186699997</v>
          </cell>
          <cell r="AC769">
            <v>4</v>
          </cell>
          <cell r="AD769">
            <v>9200</v>
          </cell>
          <cell r="AE769" t="str">
            <v>4" FJWP Box</v>
          </cell>
          <cell r="AF769" t="str">
            <v>4" FJWP Pin</v>
          </cell>
          <cell r="AG769"/>
          <cell r="AH769" t="str">
            <v xml:space="preserve"> en stock </v>
          </cell>
          <cell r="AI769">
            <v>1</v>
          </cell>
          <cell r="AJ769">
            <v>0</v>
          </cell>
          <cell r="AK769">
            <v>0</v>
          </cell>
          <cell r="AL769"/>
          <cell r="AM769"/>
          <cell r="AN769">
            <v>5100191</v>
          </cell>
          <cell r="AO769"/>
          <cell r="AP769"/>
          <cell r="AQ769"/>
          <cell r="AR769"/>
          <cell r="AS769">
            <v>16</v>
          </cell>
          <cell r="AT769" t="str">
            <v>509-4,000FJWP</v>
          </cell>
          <cell r="AU769" t="str">
            <v>FR</v>
          </cell>
          <cell r="AV769"/>
        </row>
        <row r="770">
          <cell r="Z770">
            <v>5100192</v>
          </cell>
          <cell r="AA770" t="str">
            <v>WO Pipe
4" FJWP Pin x Box</v>
          </cell>
          <cell r="AB770">
            <v>197.61449186699997</v>
          </cell>
          <cell r="AC770">
            <v>4</v>
          </cell>
          <cell r="AD770">
            <v>9200</v>
          </cell>
          <cell r="AE770" t="str">
            <v>4" FJWP Box</v>
          </cell>
          <cell r="AF770" t="str">
            <v>4" FJWP Pin</v>
          </cell>
          <cell r="AG770"/>
          <cell r="AH770" t="str">
            <v xml:space="preserve"> en stock </v>
          </cell>
          <cell r="AI770">
            <v>1</v>
          </cell>
          <cell r="AJ770">
            <v>0</v>
          </cell>
          <cell r="AK770">
            <v>0</v>
          </cell>
          <cell r="AL770"/>
          <cell r="AM770"/>
          <cell r="AN770">
            <v>5100192</v>
          </cell>
          <cell r="AO770"/>
          <cell r="AP770"/>
          <cell r="AQ770"/>
          <cell r="AR770"/>
          <cell r="AS770">
            <v>17</v>
          </cell>
          <cell r="AT770" t="str">
            <v>509-4,000FJWP</v>
          </cell>
          <cell r="AU770" t="str">
            <v>FR</v>
          </cell>
          <cell r="AV770"/>
        </row>
        <row r="771">
          <cell r="Z771">
            <v>5100193</v>
          </cell>
          <cell r="AA771" t="str">
            <v>WO Pipe
4" FJWP Pin x Box</v>
          </cell>
          <cell r="AB771">
            <v>197.61449186699997</v>
          </cell>
          <cell r="AC771">
            <v>4</v>
          </cell>
          <cell r="AD771">
            <v>9200</v>
          </cell>
          <cell r="AE771" t="str">
            <v>4" FJWP Box</v>
          </cell>
          <cell r="AF771" t="str">
            <v>4" FJWP Pin</v>
          </cell>
          <cell r="AG771"/>
          <cell r="AH771" t="str">
            <v xml:space="preserve"> en stock </v>
          </cell>
          <cell r="AI771">
            <v>1</v>
          </cell>
          <cell r="AJ771">
            <v>0</v>
          </cell>
          <cell r="AK771">
            <v>0</v>
          </cell>
          <cell r="AL771"/>
          <cell r="AM771"/>
          <cell r="AN771">
            <v>5100193</v>
          </cell>
          <cell r="AO771"/>
          <cell r="AP771"/>
          <cell r="AQ771"/>
          <cell r="AR771"/>
          <cell r="AS771">
            <v>18</v>
          </cell>
          <cell r="AT771" t="str">
            <v>509-4,000FJWP</v>
          </cell>
          <cell r="AU771" t="str">
            <v>FR</v>
          </cell>
          <cell r="AV771"/>
        </row>
        <row r="772">
          <cell r="Z772">
            <v>5100194</v>
          </cell>
          <cell r="AA772" t="str">
            <v>WO Pipe
4" FJWP Pin x Box</v>
          </cell>
          <cell r="AB772">
            <v>197.61449186699997</v>
          </cell>
          <cell r="AC772">
            <v>4</v>
          </cell>
          <cell r="AD772">
            <v>9200</v>
          </cell>
          <cell r="AE772" t="str">
            <v>4" FJWP Box</v>
          </cell>
          <cell r="AF772" t="str">
            <v>4" FJWP Pin</v>
          </cell>
          <cell r="AG772"/>
          <cell r="AH772" t="str">
            <v xml:space="preserve"> en stock </v>
          </cell>
          <cell r="AI772">
            <v>1</v>
          </cell>
          <cell r="AJ772">
            <v>0</v>
          </cell>
          <cell r="AK772">
            <v>0</v>
          </cell>
          <cell r="AL772"/>
          <cell r="AM772"/>
          <cell r="AN772">
            <v>5100194</v>
          </cell>
          <cell r="AO772"/>
          <cell r="AP772"/>
          <cell r="AQ772"/>
          <cell r="AR772"/>
          <cell r="AS772">
            <v>19</v>
          </cell>
          <cell r="AT772" t="str">
            <v>509-4,000FJWP</v>
          </cell>
          <cell r="AU772" t="str">
            <v>FR</v>
          </cell>
          <cell r="AV772"/>
        </row>
        <row r="773">
          <cell r="Z773">
            <v>5090195</v>
          </cell>
          <cell r="AA773" t="str">
            <v>WO Extension Lg 4000 mm
4" FJWP Pin x Box</v>
          </cell>
          <cell r="AB773">
            <v>85.919344289999998</v>
          </cell>
          <cell r="AC773">
            <v>4</v>
          </cell>
          <cell r="AD773">
            <v>4000</v>
          </cell>
          <cell r="AE773" t="str">
            <v>4" FJWP Box</v>
          </cell>
          <cell r="AF773" t="str">
            <v>4" FJWP Pin</v>
          </cell>
          <cell r="AG773"/>
          <cell r="AH773" t="str">
            <v xml:space="preserve"> en stock </v>
          </cell>
          <cell r="AI773">
            <v>1</v>
          </cell>
          <cell r="AJ773">
            <v>0</v>
          </cell>
          <cell r="AK773">
            <v>0</v>
          </cell>
          <cell r="AL773"/>
          <cell r="AM773"/>
          <cell r="AN773">
            <v>5090195</v>
          </cell>
          <cell r="AO773"/>
          <cell r="AP773"/>
          <cell r="AQ773"/>
          <cell r="AR773"/>
          <cell r="AS773">
            <v>24</v>
          </cell>
          <cell r="AT773" t="str">
            <v>509-4,000FJWP</v>
          </cell>
          <cell r="AU773" t="str">
            <v>FR</v>
          </cell>
          <cell r="AV773"/>
        </row>
        <row r="774">
          <cell r="Z774">
            <v>5090297</v>
          </cell>
          <cell r="AA774" t="str">
            <v>WO Extension Lg 930 mm
4" FJWP Pin x Box</v>
          </cell>
          <cell r="AB774">
            <v>19.976247547424997</v>
          </cell>
          <cell r="AC774">
            <v>4</v>
          </cell>
          <cell r="AD774">
            <v>930</v>
          </cell>
          <cell r="AE774" t="str">
            <v>4" FJWP Box</v>
          </cell>
          <cell r="AF774" t="str">
            <v>4" FJWP Pin</v>
          </cell>
          <cell r="AG774"/>
          <cell r="AH774" t="str">
            <v xml:space="preserve"> en stock </v>
          </cell>
          <cell r="AI774">
            <v>1</v>
          </cell>
          <cell r="AJ774">
            <v>0</v>
          </cell>
          <cell r="AK774">
            <v>0</v>
          </cell>
          <cell r="AL774"/>
          <cell r="AM774"/>
          <cell r="AN774">
            <v>5090196</v>
          </cell>
          <cell r="AO774"/>
          <cell r="AP774"/>
          <cell r="AQ774"/>
          <cell r="AR774"/>
          <cell r="AS774">
            <v>23</v>
          </cell>
          <cell r="AT774" t="str">
            <v>509-4,000FJWP</v>
          </cell>
          <cell r="AU774" t="str">
            <v>FR</v>
          </cell>
          <cell r="AV774"/>
        </row>
        <row r="775">
          <cell r="Z775">
            <v>5110197</v>
          </cell>
          <cell r="AA775" t="str">
            <v>WO Shoe
4" FJWP Box</v>
          </cell>
          <cell r="AB775">
            <v>0</v>
          </cell>
          <cell r="AC775">
            <v>0</v>
          </cell>
          <cell r="AD775">
            <v>500</v>
          </cell>
          <cell r="AE775" t="str">
            <v>4" FJWP Box</v>
          </cell>
          <cell r="AF775"/>
          <cell r="AG775" t="str">
            <v>BLANK</v>
          </cell>
          <cell r="AH775" t="str">
            <v xml:space="preserve"> en stock </v>
          </cell>
          <cell r="AI775" t="str">
            <v>blank</v>
          </cell>
          <cell r="AJ775">
            <v>0</v>
          </cell>
          <cell r="AK775">
            <v>0</v>
          </cell>
          <cell r="AL775"/>
          <cell r="AM775"/>
          <cell r="AN775">
            <v>5110197</v>
          </cell>
          <cell r="AO775"/>
          <cell r="AP775"/>
          <cell r="AQ775"/>
          <cell r="AR775"/>
          <cell r="AS775">
            <v>41</v>
          </cell>
          <cell r="AT775"/>
          <cell r="AU775" t="str">
            <v>FR</v>
          </cell>
          <cell r="AV775"/>
        </row>
        <row r="776">
          <cell r="Z776">
            <v>5110198</v>
          </cell>
          <cell r="AA776" t="str">
            <v>WO Shoe
4" FJWP Box</v>
          </cell>
          <cell r="AB776">
            <v>0</v>
          </cell>
          <cell r="AC776">
            <v>0</v>
          </cell>
          <cell r="AD776">
            <v>500</v>
          </cell>
          <cell r="AE776" t="str">
            <v>4" FJWP Box</v>
          </cell>
          <cell r="AF776"/>
          <cell r="AG776" t="str">
            <v>BLANK</v>
          </cell>
          <cell r="AH776" t="str">
            <v xml:space="preserve"> en stock </v>
          </cell>
          <cell r="AI776" t="str">
            <v>blank</v>
          </cell>
          <cell r="AJ776">
            <v>0</v>
          </cell>
          <cell r="AK776">
            <v>0</v>
          </cell>
          <cell r="AL776"/>
          <cell r="AM776"/>
          <cell r="AN776">
            <v>5110198</v>
          </cell>
          <cell r="AO776"/>
          <cell r="AP776"/>
          <cell r="AQ776"/>
          <cell r="AR776"/>
          <cell r="AS776">
            <v>42</v>
          </cell>
          <cell r="AT776"/>
          <cell r="AU776" t="str">
            <v>FR</v>
          </cell>
          <cell r="AV776"/>
        </row>
        <row r="777">
          <cell r="Z777">
            <v>5110199</v>
          </cell>
          <cell r="AA777" t="str">
            <v>WO Shoe
4" FJWP Box</v>
          </cell>
          <cell r="AB777">
            <v>0</v>
          </cell>
          <cell r="AC777">
            <v>0</v>
          </cell>
          <cell r="AD777">
            <v>500</v>
          </cell>
          <cell r="AE777" t="str">
            <v>4" FJWP Box</v>
          </cell>
          <cell r="AF777"/>
          <cell r="AG777" t="str">
            <v>BLANK</v>
          </cell>
          <cell r="AH777" t="str">
            <v xml:space="preserve"> en stock </v>
          </cell>
          <cell r="AI777" t="str">
            <v>blank</v>
          </cell>
          <cell r="AJ777">
            <v>0</v>
          </cell>
          <cell r="AK777">
            <v>0</v>
          </cell>
          <cell r="AL777"/>
          <cell r="AM777"/>
          <cell r="AN777">
            <v>5110199</v>
          </cell>
          <cell r="AO777"/>
          <cell r="AP777"/>
          <cell r="AQ777"/>
          <cell r="AR777"/>
          <cell r="AS777">
            <v>43</v>
          </cell>
          <cell r="AT777"/>
          <cell r="AU777" t="str">
            <v>FR</v>
          </cell>
          <cell r="AV777"/>
        </row>
        <row r="778">
          <cell r="Z778">
            <v>5110200</v>
          </cell>
          <cell r="AA778" t="str">
            <v>WO Shoe
4" FJWP Box</v>
          </cell>
          <cell r="AB778">
            <v>0</v>
          </cell>
          <cell r="AC778">
            <v>0</v>
          </cell>
          <cell r="AD778">
            <v>500</v>
          </cell>
          <cell r="AE778" t="str">
            <v>4" FJWP Box</v>
          </cell>
          <cell r="AF778"/>
          <cell r="AG778" t="str">
            <v>BLANK</v>
          </cell>
          <cell r="AH778" t="str">
            <v xml:space="preserve"> en stock </v>
          </cell>
          <cell r="AI778" t="str">
            <v>blank</v>
          </cell>
          <cell r="AJ778">
            <v>0</v>
          </cell>
          <cell r="AK778">
            <v>0</v>
          </cell>
          <cell r="AL778"/>
          <cell r="AM778"/>
          <cell r="AN778">
            <v>5110200</v>
          </cell>
          <cell r="AO778"/>
          <cell r="AP778"/>
          <cell r="AQ778"/>
          <cell r="AR778"/>
          <cell r="AS778">
            <v>44</v>
          </cell>
          <cell r="AT778"/>
          <cell r="AU778" t="str">
            <v>FR</v>
          </cell>
          <cell r="AV778"/>
        </row>
        <row r="779">
          <cell r="Z779">
            <v>5110201</v>
          </cell>
          <cell r="AA779" t="str">
            <v>WO Shoe
4" FJWP Box</v>
          </cell>
          <cell r="AB779">
            <v>0</v>
          </cell>
          <cell r="AC779">
            <v>0</v>
          </cell>
          <cell r="AD779">
            <v>500</v>
          </cell>
          <cell r="AE779" t="str">
            <v>4" FJWP Box</v>
          </cell>
          <cell r="AF779"/>
          <cell r="AG779" t="str">
            <v>BLANK</v>
          </cell>
          <cell r="AH779" t="str">
            <v xml:space="preserve"> en stock </v>
          </cell>
          <cell r="AI779" t="str">
            <v>blank</v>
          </cell>
          <cell r="AJ779">
            <v>0</v>
          </cell>
          <cell r="AK779">
            <v>0</v>
          </cell>
          <cell r="AL779"/>
          <cell r="AM779"/>
          <cell r="AN779">
            <v>5110201</v>
          </cell>
          <cell r="AO779"/>
          <cell r="AP779"/>
          <cell r="AQ779"/>
          <cell r="AR779"/>
          <cell r="AS779">
            <v>45</v>
          </cell>
          <cell r="AT779"/>
          <cell r="AU779" t="str">
            <v>FR</v>
          </cell>
          <cell r="AV779"/>
        </row>
        <row r="780">
          <cell r="Z780">
            <v>5080203</v>
          </cell>
          <cell r="AA780" t="str">
            <v>Taper Mill 
4" IF Pin</v>
          </cell>
          <cell r="AB780">
            <v>102</v>
          </cell>
          <cell r="AC780">
            <v>8.375</v>
          </cell>
          <cell r="AD780">
            <v>102</v>
          </cell>
          <cell r="AE780" t="str">
            <v>4" IF Pin</v>
          </cell>
          <cell r="AF780"/>
          <cell r="AG780"/>
          <cell r="AH780" t="str">
            <v xml:space="preserve"> en stock </v>
          </cell>
          <cell r="AI780">
            <v>1</v>
          </cell>
          <cell r="AJ780">
            <v>0</v>
          </cell>
          <cell r="AK780">
            <v>0</v>
          </cell>
          <cell r="AL780"/>
          <cell r="AM780"/>
          <cell r="AN780">
            <v>5080203</v>
          </cell>
          <cell r="AO780"/>
          <cell r="AP780"/>
          <cell r="AQ780"/>
          <cell r="AR780"/>
          <cell r="AS780">
            <v>38</v>
          </cell>
          <cell r="AT780" t="str">
            <v>508-</v>
          </cell>
          <cell r="AU780" t="str">
            <v>FR</v>
          </cell>
          <cell r="AV780"/>
        </row>
        <row r="781">
          <cell r="Z781">
            <v>8015226</v>
          </cell>
          <cell r="AA781" t="str">
            <v>Bull Nose 8-3/8" OD
4-1/2" REG Pin</v>
          </cell>
          <cell r="AB781">
            <v>96</v>
          </cell>
          <cell r="AC781">
            <v>8.375</v>
          </cell>
          <cell r="AD781">
            <v>665</v>
          </cell>
          <cell r="AE781" t="str">
            <v>4-1/2" REG Pin</v>
          </cell>
          <cell r="AF781"/>
          <cell r="AG781"/>
          <cell r="AH781" t="str">
            <v xml:space="preserve"> en stock </v>
          </cell>
          <cell r="AI781">
            <v>1</v>
          </cell>
          <cell r="AJ781">
            <v>0</v>
          </cell>
          <cell r="AK781">
            <v>0</v>
          </cell>
          <cell r="AL781"/>
          <cell r="AM781"/>
          <cell r="AN781">
            <v>8010205</v>
          </cell>
          <cell r="AO781"/>
          <cell r="AP781"/>
          <cell r="AQ781"/>
          <cell r="AR781"/>
          <cell r="AS781">
            <v>21</v>
          </cell>
          <cell r="AT781" t="str">
            <v>801-4,500REG</v>
          </cell>
          <cell r="AU781" t="str">
            <v>FR</v>
          </cell>
          <cell r="AV781"/>
        </row>
        <row r="782">
          <cell r="Z782">
            <v>7140206</v>
          </cell>
          <cell r="AA782" t="str">
            <v>Spear Stop Sub 6-1/2" OD body
4-1/2" IF Box up x Pin down</v>
          </cell>
          <cell r="AB782">
            <v>148</v>
          </cell>
          <cell r="AC782">
            <v>6.5</v>
          </cell>
          <cell r="AD782">
            <v>1040</v>
          </cell>
          <cell r="AE782" t="str">
            <v>4-1/2" IF Box</v>
          </cell>
          <cell r="AF782" t="str">
            <v>4-1/2" IF Pin</v>
          </cell>
          <cell r="AG782"/>
          <cell r="AH782" t="str">
            <v xml:space="preserve"> en stock </v>
          </cell>
          <cell r="AI782">
            <v>1</v>
          </cell>
          <cell r="AJ782">
            <v>0</v>
          </cell>
          <cell r="AK782">
            <v>0</v>
          </cell>
          <cell r="AL782"/>
          <cell r="AM782"/>
          <cell r="AN782">
            <v>7140206</v>
          </cell>
          <cell r="AO782"/>
          <cell r="AP782"/>
          <cell r="AQ782"/>
          <cell r="AR782"/>
          <cell r="AS782">
            <v>8</v>
          </cell>
          <cell r="AT782"/>
          <cell r="AU782" t="str">
            <v>FR</v>
          </cell>
          <cell r="AV782"/>
        </row>
        <row r="783">
          <cell r="Z783">
            <v>3050207</v>
          </cell>
          <cell r="AA783" t="str">
            <v>SPX 8200
4-1/2" REG Pin up x nose down</v>
          </cell>
          <cell r="AB783">
            <v>0</v>
          </cell>
          <cell r="AC783">
            <v>8200</v>
          </cell>
          <cell r="AD783">
            <v>1790</v>
          </cell>
          <cell r="AE783" t="str">
            <v>4-1/2" REG Pin</v>
          </cell>
          <cell r="AF783" t="str">
            <v>nose</v>
          </cell>
          <cell r="AG783"/>
          <cell r="AH783" t="str">
            <v>en stock</v>
          </cell>
          <cell r="AI783">
            <v>0</v>
          </cell>
          <cell r="AJ783">
            <v>0</v>
          </cell>
          <cell r="AK783">
            <v>1</v>
          </cell>
          <cell r="AL783"/>
          <cell r="AM783"/>
          <cell r="AN783">
            <v>3050207</v>
          </cell>
          <cell r="AO783"/>
          <cell r="AP783"/>
          <cell r="AQ783"/>
          <cell r="AR783"/>
          <cell r="AS783">
            <v>8</v>
          </cell>
          <cell r="AT783"/>
          <cell r="AU783" t="str">
            <v>mise au rebut en attendant éventuelle réparation</v>
          </cell>
          <cell r="AV783"/>
        </row>
        <row r="784">
          <cell r="Z784">
            <v>8010208</v>
          </cell>
          <cell r="AA784" t="str">
            <v>Bull Nose 5-7/8" OD 
3-1/2" REG Pin</v>
          </cell>
          <cell r="AB784">
            <v>42</v>
          </cell>
          <cell r="AC784">
            <v>5.875</v>
          </cell>
          <cell r="AD784">
            <v>420</v>
          </cell>
          <cell r="AE784" t="str">
            <v>3-1/2" REG Pin</v>
          </cell>
          <cell r="AF784"/>
          <cell r="AG784"/>
          <cell r="AH784" t="str">
            <v>maintenance</v>
          </cell>
          <cell r="AI784" t="str">
            <v/>
          </cell>
          <cell r="AJ784">
            <v>0</v>
          </cell>
          <cell r="AK784">
            <v>1</v>
          </cell>
          <cell r="AL784"/>
          <cell r="AM784"/>
          <cell r="AN784">
            <v>8010208</v>
          </cell>
          <cell r="AO784"/>
          <cell r="AP784"/>
          <cell r="AQ784"/>
          <cell r="AR784"/>
          <cell r="AS784">
            <v>14</v>
          </cell>
          <cell r="AT784" t="str">
            <v>801-3,500REG</v>
          </cell>
          <cell r="AU784" t="str">
            <v>FR</v>
          </cell>
          <cell r="AV784"/>
        </row>
        <row r="785">
          <cell r="Z785">
            <v>8010209</v>
          </cell>
          <cell r="AA785" t="str">
            <v>Bull Nose 6-7/8" OD 
3-1/2" REG Pin</v>
          </cell>
          <cell r="AB785">
            <v>52</v>
          </cell>
          <cell r="AC785">
            <v>6.875</v>
          </cell>
          <cell r="AD785">
            <v>450</v>
          </cell>
          <cell r="AE785" t="str">
            <v>3-1/2" REG Pin</v>
          </cell>
          <cell r="AF785"/>
          <cell r="AG785"/>
          <cell r="AH785" t="str">
            <v xml:space="preserve"> en stock </v>
          </cell>
          <cell r="AI785">
            <v>1</v>
          </cell>
          <cell r="AJ785">
            <v>0</v>
          </cell>
          <cell r="AK785">
            <v>0</v>
          </cell>
          <cell r="AL785"/>
          <cell r="AM785"/>
          <cell r="AN785">
            <v>8010209</v>
          </cell>
          <cell r="AO785"/>
          <cell r="AP785"/>
          <cell r="AQ785"/>
          <cell r="AR785"/>
          <cell r="AS785">
            <v>15</v>
          </cell>
          <cell r="AT785" t="str">
            <v>801-3,500REG</v>
          </cell>
          <cell r="AU785" t="str">
            <v>FR</v>
          </cell>
          <cell r="AV785"/>
        </row>
        <row r="786">
          <cell r="Z786">
            <v>8110210</v>
          </cell>
          <cell r="AA786" t="str">
            <v>String Stab
2-3/8" REG Pin x 2-3/8" REG Box</v>
          </cell>
          <cell r="AB786">
            <v>56</v>
          </cell>
          <cell r="AC786">
            <v>3.875</v>
          </cell>
          <cell r="AD786">
            <v>1565</v>
          </cell>
          <cell r="AE786" t="str">
            <v>2-3/8" REG Box</v>
          </cell>
          <cell r="AF786" t="str">
            <v>2-3/8" REG Pin</v>
          </cell>
          <cell r="AG786" t="str">
            <v>BLANK</v>
          </cell>
          <cell r="AH786" t="str">
            <v xml:space="preserve"> en stock </v>
          </cell>
          <cell r="AI786">
            <v>1</v>
          </cell>
          <cell r="AJ786">
            <v>0</v>
          </cell>
          <cell r="AK786">
            <v>0</v>
          </cell>
          <cell r="AL786"/>
          <cell r="AM786"/>
          <cell r="AN786">
            <v>8110210</v>
          </cell>
          <cell r="AO786"/>
          <cell r="AP786"/>
          <cell r="AQ786"/>
          <cell r="AR786"/>
          <cell r="AS786">
            <v>5</v>
          </cell>
          <cell r="AT786"/>
          <cell r="AU786" t="str">
            <v>FR</v>
          </cell>
          <cell r="AV786"/>
        </row>
        <row r="787">
          <cell r="Z787">
            <v>8110211</v>
          </cell>
          <cell r="AA787" t="str">
            <v>String Stab
2-3/8" REG Pin x 2-3/8" REG Box</v>
          </cell>
          <cell r="AB787">
            <v>0</v>
          </cell>
          <cell r="AC787">
            <v>3.5</v>
          </cell>
          <cell r="AD787">
            <v>1090</v>
          </cell>
          <cell r="AE787" t="str">
            <v>2-3/8" REG Box</v>
          </cell>
          <cell r="AF787" t="str">
            <v>2-3/8" REG Pin</v>
          </cell>
          <cell r="AG787" t="str">
            <v>Carbure</v>
          </cell>
          <cell r="AH787" t="str">
            <v>maintenance</v>
          </cell>
          <cell r="AI787" t="str">
            <v/>
          </cell>
          <cell r="AJ787">
            <v>0</v>
          </cell>
          <cell r="AK787">
            <v>1</v>
          </cell>
          <cell r="AL787"/>
          <cell r="AM787"/>
          <cell r="AN787">
            <v>8110211</v>
          </cell>
          <cell r="AO787"/>
          <cell r="AP787"/>
          <cell r="AQ787"/>
          <cell r="AR787"/>
          <cell r="AS787">
            <v>6</v>
          </cell>
          <cell r="AT787"/>
          <cell r="AU787" t="str">
            <v>FR</v>
          </cell>
          <cell r="AV787"/>
        </row>
        <row r="788">
          <cell r="Z788">
            <v>8110252</v>
          </cell>
          <cell r="AA788"/>
          <cell r="AB788"/>
          <cell r="AC788"/>
          <cell r="AD788"/>
          <cell r="AE788"/>
          <cell r="AF788"/>
          <cell r="AG788"/>
          <cell r="AH788" t="str">
            <v>en stock</v>
          </cell>
          <cell r="AI788"/>
          <cell r="AJ788"/>
          <cell r="AK788"/>
          <cell r="AL788"/>
          <cell r="AM788"/>
          <cell r="AN788">
            <v>8110212</v>
          </cell>
          <cell r="AO788"/>
          <cell r="AP788"/>
          <cell r="AQ788"/>
          <cell r="AR788"/>
          <cell r="AS788"/>
          <cell r="AT788"/>
          <cell r="AU788" t="str">
            <v/>
          </cell>
          <cell r="AV788"/>
        </row>
        <row r="789">
          <cell r="Z789">
            <v>8080213</v>
          </cell>
          <cell r="AA789" t="str">
            <v>Short DC 3-1/8" Lg 1500mm
2-3/8" REG Pin x Box</v>
          </cell>
          <cell r="AB789">
            <v>51.940465675312502</v>
          </cell>
          <cell r="AC789">
            <v>3.125</v>
          </cell>
          <cell r="AD789">
            <v>1500</v>
          </cell>
          <cell r="AE789" t="str">
            <v>2-3/8" REG Box</v>
          </cell>
          <cell r="AF789" t="str">
            <v>2-3/8" REG Pin</v>
          </cell>
          <cell r="AG789"/>
          <cell r="AH789" t="str">
            <v xml:space="preserve"> en stock </v>
          </cell>
          <cell r="AI789">
            <v>1</v>
          </cell>
          <cell r="AJ789">
            <v>0</v>
          </cell>
          <cell r="AK789">
            <v>0</v>
          </cell>
          <cell r="AL789"/>
          <cell r="AM789"/>
          <cell r="AN789">
            <v>8080213</v>
          </cell>
          <cell r="AO789"/>
          <cell r="AP789"/>
          <cell r="AQ789"/>
          <cell r="AR789"/>
          <cell r="AS789">
            <v>7</v>
          </cell>
          <cell r="AT789"/>
          <cell r="AU789" t="str">
            <v>FR</v>
          </cell>
          <cell r="AV789"/>
        </row>
        <row r="790">
          <cell r="Z790">
            <v>8080214</v>
          </cell>
          <cell r="AA790" t="str">
            <v>Short DC 3-1/8" Lg 1500mm
2-3/8" REG Pin x Box</v>
          </cell>
          <cell r="AB790">
            <v>51.940465675312502</v>
          </cell>
          <cell r="AC790">
            <v>3.125</v>
          </cell>
          <cell r="AD790">
            <v>1500</v>
          </cell>
          <cell r="AE790" t="str">
            <v>2-3/8" REG Box</v>
          </cell>
          <cell r="AF790" t="str">
            <v>2-3/8" REG Pin</v>
          </cell>
          <cell r="AG790"/>
          <cell r="AH790" t="str">
            <v xml:space="preserve"> en stock </v>
          </cell>
          <cell r="AI790">
            <v>1</v>
          </cell>
          <cell r="AJ790">
            <v>0</v>
          </cell>
          <cell r="AK790">
            <v>0</v>
          </cell>
          <cell r="AL790"/>
          <cell r="AM790"/>
          <cell r="AN790">
            <v>8080214</v>
          </cell>
          <cell r="AO790"/>
          <cell r="AP790"/>
          <cell r="AQ790"/>
          <cell r="AR790"/>
          <cell r="AS790">
            <v>8</v>
          </cell>
          <cell r="AT790"/>
          <cell r="AU790" t="str">
            <v>FR</v>
          </cell>
          <cell r="AV790"/>
        </row>
        <row r="791">
          <cell r="Z791">
            <v>8080215</v>
          </cell>
          <cell r="AA791" t="str">
            <v>Short DC 3-1/8" Lg 3050mm
2-3/8" REG Pin x Box</v>
          </cell>
          <cell r="AB791">
            <v>105.61228020646877</v>
          </cell>
          <cell r="AC791">
            <v>3.125</v>
          </cell>
          <cell r="AD791">
            <v>3050</v>
          </cell>
          <cell r="AE791" t="str">
            <v>2-3/8" REG Box</v>
          </cell>
          <cell r="AF791" t="str">
            <v>2-3/8" REG Pin</v>
          </cell>
          <cell r="AG791"/>
          <cell r="AH791" t="str">
            <v>maintenance</v>
          </cell>
          <cell r="AI791" t="str">
            <v/>
          </cell>
          <cell r="AJ791">
            <v>0</v>
          </cell>
          <cell r="AK791">
            <v>1</v>
          </cell>
          <cell r="AL791"/>
          <cell r="AM791"/>
          <cell r="AN791">
            <v>8080215</v>
          </cell>
          <cell r="AO791"/>
          <cell r="AP791"/>
          <cell r="AQ791"/>
          <cell r="AR791"/>
          <cell r="AS791">
            <v>9</v>
          </cell>
          <cell r="AT791"/>
          <cell r="AU791" t="str">
            <v>FR</v>
          </cell>
          <cell r="AV791"/>
        </row>
        <row r="792">
          <cell r="Z792">
            <v>5080216</v>
          </cell>
          <cell r="AA792" t="str">
            <v>Taper Mill 
4" IF Pin</v>
          </cell>
          <cell r="AB792">
            <v>126</v>
          </cell>
          <cell r="AC792">
            <v>8.375</v>
          </cell>
          <cell r="AD792">
            <v>126</v>
          </cell>
          <cell r="AE792" t="str">
            <v>4" IF Pin</v>
          </cell>
          <cell r="AF792"/>
          <cell r="AG792"/>
          <cell r="AH792" t="str">
            <v xml:space="preserve"> en stock </v>
          </cell>
          <cell r="AI792">
            <v>1</v>
          </cell>
          <cell r="AJ792">
            <v>0</v>
          </cell>
          <cell r="AK792">
            <v>0</v>
          </cell>
          <cell r="AL792"/>
          <cell r="AM792"/>
          <cell r="AN792">
            <v>5080216</v>
          </cell>
          <cell r="AO792"/>
          <cell r="AP792"/>
          <cell r="AQ792"/>
          <cell r="AR792"/>
          <cell r="AS792">
            <v>39</v>
          </cell>
          <cell r="AT792" t="str">
            <v>508-</v>
          </cell>
          <cell r="AU792" t="str">
            <v>FR</v>
          </cell>
          <cell r="AV792"/>
        </row>
        <row r="793">
          <cell r="Z793">
            <v>5090217</v>
          </cell>
          <cell r="AA793" t="str">
            <v>WO Extension Lg 2825 mm
8-5/8" FJWP Pin x Box</v>
          </cell>
          <cell r="AB793">
            <v>138.1005322661251</v>
          </cell>
          <cell r="AC793">
            <v>8.625</v>
          </cell>
          <cell r="AD793">
            <v>2825</v>
          </cell>
          <cell r="AE793" t="str">
            <v>8-5/8" FJWP Box</v>
          </cell>
          <cell r="AF793" t="str">
            <v>8-5/8" FJWP Pin</v>
          </cell>
          <cell r="AG793"/>
          <cell r="AH793" t="str">
            <v xml:space="preserve"> en stock </v>
          </cell>
          <cell r="AI793">
            <v>1</v>
          </cell>
          <cell r="AJ793">
            <v>0</v>
          </cell>
          <cell r="AK793">
            <v>0</v>
          </cell>
          <cell r="AL793"/>
          <cell r="AM793"/>
          <cell r="AN793">
            <v>5090217</v>
          </cell>
          <cell r="AO793"/>
          <cell r="AP793"/>
          <cell r="AQ793"/>
          <cell r="AR793"/>
          <cell r="AS793">
            <v>171</v>
          </cell>
          <cell r="AT793" t="str">
            <v>509-8,625FJWP</v>
          </cell>
          <cell r="AU793" t="str">
            <v>FR</v>
          </cell>
          <cell r="AV793"/>
        </row>
        <row r="794">
          <cell r="Z794">
            <v>5090218</v>
          </cell>
          <cell r="AA794" t="str">
            <v>WO Extension Lg 2705 mm
8-5/8" FJWP Pin x Box</v>
          </cell>
          <cell r="AB794">
            <v>132.23431496632509</v>
          </cell>
          <cell r="AC794">
            <v>8.625</v>
          </cell>
          <cell r="AD794">
            <v>2705</v>
          </cell>
          <cell r="AE794" t="str">
            <v>8-5/8" FJWP Box</v>
          </cell>
          <cell r="AF794" t="str">
            <v>8-5/8" FJWP Pin</v>
          </cell>
          <cell r="AG794"/>
          <cell r="AH794" t="str">
            <v>maintenance</v>
          </cell>
          <cell r="AI794" t="str">
            <v/>
          </cell>
          <cell r="AJ794">
            <v>0</v>
          </cell>
          <cell r="AK794">
            <v>1</v>
          </cell>
          <cell r="AL794"/>
          <cell r="AM794"/>
          <cell r="AN794">
            <v>5090218</v>
          </cell>
          <cell r="AO794"/>
          <cell r="AP794"/>
          <cell r="AQ794"/>
          <cell r="AR794"/>
          <cell r="AS794">
            <v>113</v>
          </cell>
          <cell r="AT794" t="str">
            <v>509-8,625FJWP</v>
          </cell>
          <cell r="AU794" t="str">
            <v>FR</v>
          </cell>
          <cell r="AV794"/>
        </row>
        <row r="795">
          <cell r="Z795">
            <v>5090219</v>
          </cell>
          <cell r="AA795" t="str">
            <v>WO Extension Lg 2660 mm
8-5/8" FJWP Pin x Box</v>
          </cell>
          <cell r="AB795">
            <v>130.03448347890009</v>
          </cell>
          <cell r="AC795">
            <v>8.625</v>
          </cell>
          <cell r="AD795">
            <v>2660</v>
          </cell>
          <cell r="AE795" t="str">
            <v>8-5/8" FJWP Box</v>
          </cell>
          <cell r="AF795" t="str">
            <v>8-5/8" FJWP Pin</v>
          </cell>
          <cell r="AG795"/>
          <cell r="AH795" t="str">
            <v>maintenance</v>
          </cell>
          <cell r="AI795" t="str">
            <v/>
          </cell>
          <cell r="AJ795">
            <v>0</v>
          </cell>
          <cell r="AK795">
            <v>1</v>
          </cell>
          <cell r="AL795"/>
          <cell r="AM795"/>
          <cell r="AN795">
            <v>5090219</v>
          </cell>
          <cell r="AO795"/>
          <cell r="AP795"/>
          <cell r="AQ795"/>
          <cell r="AR795"/>
          <cell r="AS795">
            <v>170</v>
          </cell>
          <cell r="AT795" t="str">
            <v>509-8,625FJWP</v>
          </cell>
          <cell r="AU795" t="str">
            <v>FR</v>
          </cell>
          <cell r="AV795"/>
        </row>
        <row r="796">
          <cell r="Z796">
            <v>2016</v>
          </cell>
          <cell r="AA796"/>
          <cell r="AB796"/>
          <cell r="AC796"/>
          <cell r="AD796"/>
          <cell r="AE796"/>
          <cell r="AF796"/>
          <cell r="AG796"/>
          <cell r="AH796" t="str">
            <v>en stock</v>
          </cell>
          <cell r="AI796"/>
          <cell r="AJ796"/>
          <cell r="AK796"/>
          <cell r="AL796"/>
          <cell r="AM796"/>
          <cell r="AN796">
            <v>2016</v>
          </cell>
          <cell r="AO796"/>
          <cell r="AP796"/>
          <cell r="AQ796"/>
          <cell r="AR796"/>
          <cell r="AS796"/>
          <cell r="AT796"/>
          <cell r="AU796" t="str">
            <v/>
          </cell>
          <cell r="AV796"/>
        </row>
        <row r="797">
          <cell r="Z797" t="str">
            <v/>
          </cell>
          <cell r="AA797"/>
          <cell r="AB797"/>
          <cell r="AC797"/>
          <cell r="AD797"/>
          <cell r="AE797"/>
          <cell r="AF797"/>
          <cell r="AG797"/>
          <cell r="AH797" t="str">
            <v>en stock</v>
          </cell>
          <cell r="AI797"/>
          <cell r="AJ797"/>
          <cell r="AK797"/>
          <cell r="AL797"/>
          <cell r="AM797"/>
          <cell r="AN797" t="str">
            <v/>
          </cell>
          <cell r="AO797"/>
          <cell r="AP797"/>
          <cell r="AQ797"/>
          <cell r="AR797"/>
          <cell r="AS797"/>
          <cell r="AT797"/>
          <cell r="AU797" t="str">
            <v/>
          </cell>
          <cell r="AV797"/>
        </row>
        <row r="798">
          <cell r="Z798">
            <v>8130220</v>
          </cell>
          <cell r="AA798" t="str">
            <v>XO
4-1/2" REG Pin x 4-1/2" REG Pin</v>
          </cell>
          <cell r="AB798">
            <v>76</v>
          </cell>
          <cell r="AC798">
            <v>5.75</v>
          </cell>
          <cell r="AD798">
            <v>605</v>
          </cell>
          <cell r="AE798" t="str">
            <v>4-1/2" REG Pin</v>
          </cell>
          <cell r="AF798" t="str">
            <v>4-1/2" REG Pin</v>
          </cell>
          <cell r="AG798"/>
          <cell r="AH798" t="str">
            <v>maintenance</v>
          </cell>
          <cell r="AI798" t="str">
            <v/>
          </cell>
          <cell r="AJ798">
            <v>0</v>
          </cell>
          <cell r="AK798">
            <v>1</v>
          </cell>
          <cell r="AL798"/>
          <cell r="AM798"/>
          <cell r="AN798">
            <v>8130220</v>
          </cell>
          <cell r="AO798"/>
          <cell r="AP798"/>
          <cell r="AQ798"/>
          <cell r="AR798"/>
          <cell r="AS798">
            <v>184</v>
          </cell>
          <cell r="AT798"/>
          <cell r="AU798" t="str">
            <v>FR</v>
          </cell>
          <cell r="AV798"/>
        </row>
        <row r="799">
          <cell r="Z799">
            <v>8020221</v>
          </cell>
          <cell r="AA799"/>
          <cell r="AB799"/>
          <cell r="AC799"/>
          <cell r="AD799"/>
          <cell r="AE799"/>
          <cell r="AF799"/>
          <cell r="AG799"/>
          <cell r="AH799" t="str">
            <v>en stock</v>
          </cell>
          <cell r="AI799"/>
          <cell r="AJ799"/>
          <cell r="AK799"/>
          <cell r="AL799"/>
          <cell r="AM799"/>
          <cell r="AN799" t="str">
            <v/>
          </cell>
          <cell r="AO799"/>
          <cell r="AP799"/>
          <cell r="AQ799"/>
          <cell r="AR799"/>
          <cell r="AS799"/>
          <cell r="AT799"/>
          <cell r="AU799" t="str">
            <v>RDC 1611A2017</v>
          </cell>
          <cell r="AV799"/>
        </row>
        <row r="800">
          <cell r="Z800">
            <v>5060222</v>
          </cell>
          <cell r="AA800"/>
          <cell r="AB800"/>
          <cell r="AC800"/>
          <cell r="AD800"/>
          <cell r="AE800"/>
          <cell r="AF800"/>
          <cell r="AG800"/>
          <cell r="AH800" t="str">
            <v>en stock</v>
          </cell>
          <cell r="AI800"/>
          <cell r="AJ800"/>
          <cell r="AK800"/>
          <cell r="AL800"/>
          <cell r="AM800"/>
          <cell r="AN800" t="str">
            <v>cf 5060646</v>
          </cell>
          <cell r="AO800"/>
          <cell r="AP800"/>
          <cell r="AQ800"/>
          <cell r="AR800"/>
          <cell r="AS800"/>
          <cell r="AT800"/>
          <cell r="AU800" t="str">
            <v>RDC 0405A2018</v>
          </cell>
          <cell r="AV800"/>
        </row>
        <row r="801">
          <cell r="Z801">
            <v>8100223</v>
          </cell>
          <cell r="AA801" t="str">
            <v>Non Rotating Sleeve type Stabilizer 5" OD body
3-1/2" IF Box up x Pin down</v>
          </cell>
          <cell r="AB801">
            <v>115</v>
          </cell>
          <cell r="AC801">
            <v>5</v>
          </cell>
          <cell r="AD801">
            <v>1700</v>
          </cell>
          <cell r="AE801" t="str">
            <v>3-1/2" IF Box</v>
          </cell>
          <cell r="AF801" t="str">
            <v>3-1/2" IF Pin</v>
          </cell>
          <cell r="AG801"/>
          <cell r="AH801" t="str">
            <v xml:space="preserve"> en stock </v>
          </cell>
          <cell r="AI801">
            <v>1</v>
          </cell>
          <cell r="AJ801">
            <v>0</v>
          </cell>
          <cell r="AK801">
            <v>0</v>
          </cell>
          <cell r="AL801"/>
          <cell r="AM801"/>
          <cell r="AN801">
            <v>8100223</v>
          </cell>
          <cell r="AO801"/>
          <cell r="AP801"/>
          <cell r="AQ801"/>
          <cell r="AR801"/>
          <cell r="AS801">
            <v>5</v>
          </cell>
          <cell r="AT801"/>
          <cell r="AU801" t="str">
            <v>FR</v>
          </cell>
          <cell r="AV801"/>
        </row>
        <row r="802">
          <cell r="Z802">
            <v>5045133</v>
          </cell>
          <cell r="AA802" t="str">
            <v>Viper Pilot Mill
4" IF Pin x 3-1/2" REG Box</v>
          </cell>
          <cell r="AB802">
            <v>0</v>
          </cell>
          <cell r="AC802">
            <v>7.75</v>
          </cell>
          <cell r="AD802">
            <v>1400</v>
          </cell>
          <cell r="AE802" t="str">
            <v>4" IF Pin</v>
          </cell>
          <cell r="AF802" t="str">
            <v>3-1/2" REG Box</v>
          </cell>
          <cell r="AG802" t="str">
            <v>Insert</v>
          </cell>
          <cell r="AH802" t="str">
            <v xml:space="preserve"> en stock </v>
          </cell>
          <cell r="AI802">
            <v>1</v>
          </cell>
          <cell r="AJ802">
            <v>0</v>
          </cell>
          <cell r="AK802">
            <v>0</v>
          </cell>
          <cell r="AL802"/>
          <cell r="AM802"/>
          <cell r="AN802">
            <v>5020224</v>
          </cell>
          <cell r="AO802"/>
          <cell r="AP802"/>
          <cell r="AQ802"/>
          <cell r="AR802"/>
          <cell r="AS802">
            <v>21</v>
          </cell>
          <cell r="AT802"/>
          <cell r="AU802" t="str">
            <v>FR</v>
          </cell>
          <cell r="AV802"/>
        </row>
        <row r="803">
          <cell r="Z803">
            <v>5080225</v>
          </cell>
          <cell r="AA803"/>
          <cell r="AB803">
            <v>0</v>
          </cell>
          <cell r="AC803">
            <v>12.25</v>
          </cell>
          <cell r="AD803">
            <v>1740</v>
          </cell>
          <cell r="AE803" t="str">
            <v>6-5/8" REG Pin</v>
          </cell>
          <cell r="AF803"/>
          <cell r="AG803"/>
          <cell r="AH803" t="str">
            <v>en stock</v>
          </cell>
          <cell r="AI803"/>
          <cell r="AJ803"/>
          <cell r="AK803"/>
          <cell r="AL803"/>
          <cell r="AM803"/>
          <cell r="AN803" t="str">
            <v/>
          </cell>
          <cell r="AO803"/>
          <cell r="AP803"/>
          <cell r="AQ803"/>
          <cell r="AR803"/>
          <cell r="AS803"/>
          <cell r="AT803" t="str">
            <v>508-</v>
          </cell>
          <cell r="AU803" t="str">
            <v>1911085 / CI-1211A2019</v>
          </cell>
          <cell r="AV803"/>
        </row>
        <row r="804">
          <cell r="Z804">
            <v>8130226</v>
          </cell>
          <cell r="AA804" t="str">
            <v>XO
7-5/8" REG Pin x 6-5/8" REG Box</v>
          </cell>
          <cell r="AB804">
            <v>274.74099119232187</v>
          </cell>
          <cell r="AC804">
            <v>9.5</v>
          </cell>
          <cell r="AD804">
            <v>860</v>
          </cell>
          <cell r="AE804" t="str">
            <v>7-5/8" REG Pin</v>
          </cell>
          <cell r="AF804" t="str">
            <v>6-5/8" REG Box</v>
          </cell>
          <cell r="AG804"/>
          <cell r="AH804" t="str">
            <v>maintenance</v>
          </cell>
          <cell r="AI804" t="str">
            <v/>
          </cell>
          <cell r="AJ804">
            <v>0</v>
          </cell>
          <cell r="AK804">
            <v>1</v>
          </cell>
          <cell r="AL804"/>
          <cell r="AM804"/>
          <cell r="AN804" t="str">
            <v/>
          </cell>
          <cell r="AO804"/>
          <cell r="AP804"/>
          <cell r="AQ804"/>
          <cell r="AR804"/>
          <cell r="AS804">
            <v>227</v>
          </cell>
          <cell r="AT804"/>
          <cell r="AU804" t="str">
            <v>FR</v>
          </cell>
          <cell r="AV804"/>
        </row>
        <row r="805">
          <cell r="Z805">
            <v>5080203</v>
          </cell>
          <cell r="AA805" t="str">
            <v>Taper Mill 
4" IF Pin</v>
          </cell>
          <cell r="AB805">
            <v>102</v>
          </cell>
          <cell r="AC805">
            <v>8.375</v>
          </cell>
          <cell r="AD805">
            <v>102</v>
          </cell>
          <cell r="AE805" t="str">
            <v>4" IF Pin</v>
          </cell>
          <cell r="AF805"/>
          <cell r="AG805"/>
          <cell r="AH805" t="str">
            <v xml:space="preserve"> en stock </v>
          </cell>
          <cell r="AI805">
            <v>1</v>
          </cell>
          <cell r="AJ805">
            <v>0</v>
          </cell>
          <cell r="AK805">
            <v>0</v>
          </cell>
          <cell r="AL805"/>
          <cell r="AM805"/>
          <cell r="AN805" t="str">
            <v>5080203-1</v>
          </cell>
          <cell r="AO805"/>
          <cell r="AP805"/>
          <cell r="AQ805"/>
          <cell r="AR805"/>
          <cell r="AS805">
            <v>38</v>
          </cell>
          <cell r="AT805" t="str">
            <v>508-</v>
          </cell>
          <cell r="AU805" t="str">
            <v>FR</v>
          </cell>
          <cell r="AV805"/>
        </row>
        <row r="806">
          <cell r="Z806">
            <v>5100227</v>
          </cell>
          <cell r="AA806" t="str">
            <v>WO Pipe
6" FJWP Pin x Box</v>
          </cell>
          <cell r="AB806">
            <v>269.60897690999968</v>
          </cell>
          <cell r="AC806">
            <v>6</v>
          </cell>
          <cell r="AD806">
            <v>9600</v>
          </cell>
          <cell r="AE806" t="str">
            <v>6" FJWP Box</v>
          </cell>
          <cell r="AF806" t="str">
            <v>6" FJWP Pin</v>
          </cell>
          <cell r="AG806"/>
          <cell r="AH806" t="str">
            <v xml:space="preserve"> en stock </v>
          </cell>
          <cell r="AI806">
            <v>1</v>
          </cell>
          <cell r="AJ806">
            <v>0</v>
          </cell>
          <cell r="AK806">
            <v>0</v>
          </cell>
          <cell r="AL806"/>
          <cell r="AM806"/>
          <cell r="AN806">
            <v>5100227</v>
          </cell>
          <cell r="AO806"/>
          <cell r="AP806"/>
          <cell r="AQ806"/>
          <cell r="AR806"/>
          <cell r="AS806">
            <v>87</v>
          </cell>
          <cell r="AT806" t="str">
            <v>509-6,000FJWP</v>
          </cell>
          <cell r="AU806" t="str">
            <v>FR</v>
          </cell>
          <cell r="AV806"/>
        </row>
        <row r="807">
          <cell r="Z807">
            <v>5100228</v>
          </cell>
          <cell r="AA807" t="str">
            <v>WO Pipe
6" FJWP Pin x Box</v>
          </cell>
          <cell r="AB807">
            <v>269.60897690999968</v>
          </cell>
          <cell r="AC807">
            <v>6</v>
          </cell>
          <cell r="AD807">
            <v>9600</v>
          </cell>
          <cell r="AE807" t="str">
            <v>6" FJWP Box</v>
          </cell>
          <cell r="AF807" t="str">
            <v>6" FJWP Pin</v>
          </cell>
          <cell r="AG807"/>
          <cell r="AH807" t="str">
            <v xml:space="preserve"> en stock </v>
          </cell>
          <cell r="AI807">
            <v>1</v>
          </cell>
          <cell r="AJ807">
            <v>0</v>
          </cell>
          <cell r="AK807">
            <v>0</v>
          </cell>
          <cell r="AL807"/>
          <cell r="AM807"/>
          <cell r="AN807">
            <v>5100228</v>
          </cell>
          <cell r="AO807"/>
          <cell r="AP807"/>
          <cell r="AQ807"/>
          <cell r="AR807"/>
          <cell r="AS807">
            <v>88</v>
          </cell>
          <cell r="AT807" t="str">
            <v>509-6,000FJWP</v>
          </cell>
          <cell r="AU807" t="str">
            <v>FR</v>
          </cell>
          <cell r="AV807"/>
        </row>
        <row r="808">
          <cell r="Z808">
            <v>5100229</v>
          </cell>
          <cell r="AA808" t="str">
            <v>WO Pipe
6" FJWP Pin x Box</v>
          </cell>
          <cell r="AB808">
            <v>269.60897690999968</v>
          </cell>
          <cell r="AC808">
            <v>6</v>
          </cell>
          <cell r="AD808">
            <v>9600</v>
          </cell>
          <cell r="AE808" t="str">
            <v>6" FJWP Box</v>
          </cell>
          <cell r="AF808" t="str">
            <v>6" FJWP Pin</v>
          </cell>
          <cell r="AG808"/>
          <cell r="AH808" t="str">
            <v xml:space="preserve"> en stock </v>
          </cell>
          <cell r="AI808">
            <v>1</v>
          </cell>
          <cell r="AJ808">
            <v>0</v>
          </cell>
          <cell r="AK808">
            <v>0</v>
          </cell>
          <cell r="AL808"/>
          <cell r="AM808"/>
          <cell r="AN808">
            <v>5100229</v>
          </cell>
          <cell r="AO808"/>
          <cell r="AP808"/>
          <cell r="AQ808"/>
          <cell r="AR808"/>
          <cell r="AS808">
            <v>89</v>
          </cell>
          <cell r="AT808" t="str">
            <v>509-6,000FJWP</v>
          </cell>
          <cell r="AU808" t="str">
            <v>FR</v>
          </cell>
          <cell r="AV808"/>
        </row>
        <row r="809">
          <cell r="Z809">
            <v>5110230</v>
          </cell>
          <cell r="AA809" t="str">
            <v>WO Shoe
6" FJWP Box</v>
          </cell>
          <cell r="AB809" t="e">
            <v>#VALUE!</v>
          </cell>
          <cell r="AC809">
            <v>0</v>
          </cell>
          <cell r="AD809" t="e">
            <v>#VALUE!</v>
          </cell>
          <cell r="AE809" t="str">
            <v>6" FJWP Box</v>
          </cell>
          <cell r="AF809"/>
          <cell r="AG809"/>
          <cell r="AH809" t="str">
            <v xml:space="preserve"> en stock </v>
          </cell>
          <cell r="AI809" t="str">
            <v>blank</v>
          </cell>
          <cell r="AJ809">
            <v>0</v>
          </cell>
          <cell r="AK809">
            <v>0</v>
          </cell>
          <cell r="AL809"/>
          <cell r="AM809"/>
          <cell r="AN809" t="str">
            <v/>
          </cell>
          <cell r="AO809"/>
          <cell r="AP809"/>
          <cell r="AQ809"/>
          <cell r="AR809"/>
          <cell r="AS809">
            <v>139</v>
          </cell>
          <cell r="AT809"/>
          <cell r="AU809" t="str">
            <v>sorti des immos mais tjs en stock</v>
          </cell>
          <cell r="AV809"/>
        </row>
        <row r="810">
          <cell r="Z810">
            <v>5110231</v>
          </cell>
          <cell r="AA810" t="str">
            <v>WO Shoe
6" FJWP Box</v>
          </cell>
          <cell r="AB810" t="e">
            <v>#VALUE!</v>
          </cell>
          <cell r="AC810">
            <v>0</v>
          </cell>
          <cell r="AD810" t="e">
            <v>#VALUE!</v>
          </cell>
          <cell r="AE810" t="str">
            <v>6" FJWP Box</v>
          </cell>
          <cell r="AF810"/>
          <cell r="AG810"/>
          <cell r="AH810" t="str">
            <v>en stock</v>
          </cell>
          <cell r="AI810">
            <v>0</v>
          </cell>
          <cell r="AJ810">
            <v>1</v>
          </cell>
          <cell r="AK810">
            <v>0</v>
          </cell>
          <cell r="AL810"/>
          <cell r="AM810"/>
          <cell r="AN810" t="str">
            <v/>
          </cell>
          <cell r="AO810"/>
          <cell r="AP810"/>
          <cell r="AQ810"/>
          <cell r="AR810"/>
          <cell r="AS810">
            <v>251</v>
          </cell>
          <cell r="AT810"/>
          <cell r="AU810" t="str">
            <v>sorti des immos mais tjs en stock</v>
          </cell>
          <cell r="AV810"/>
        </row>
        <row r="811">
          <cell r="Z811">
            <v>5110232</v>
          </cell>
          <cell r="AA811" t="str">
            <v>WO Shoe
6" FJWP Box</v>
          </cell>
          <cell r="AB811">
            <v>0</v>
          </cell>
          <cell r="AC811">
            <v>0</v>
          </cell>
          <cell r="AD811">
            <v>800</v>
          </cell>
          <cell r="AE811" t="str">
            <v>6" FJWP Box</v>
          </cell>
          <cell r="AF811"/>
          <cell r="AG811" t="str">
            <v>BLANK</v>
          </cell>
          <cell r="AH811" t="str">
            <v xml:space="preserve"> en stock </v>
          </cell>
          <cell r="AI811" t="str">
            <v>blank</v>
          </cell>
          <cell r="AJ811">
            <v>0</v>
          </cell>
          <cell r="AK811">
            <v>0</v>
          </cell>
          <cell r="AL811"/>
          <cell r="AM811"/>
          <cell r="AN811">
            <v>5110232</v>
          </cell>
          <cell r="AO811"/>
          <cell r="AP811"/>
          <cell r="AQ811"/>
          <cell r="AR811"/>
          <cell r="AS811">
            <v>140</v>
          </cell>
          <cell r="AT811"/>
          <cell r="AU811" t="str">
            <v>FR</v>
          </cell>
          <cell r="AV811"/>
        </row>
        <row r="812">
          <cell r="Z812">
            <v>5110233</v>
          </cell>
          <cell r="AA812" t="str">
            <v>WO Shoe
6" FJWP Box</v>
          </cell>
          <cell r="AB812">
            <v>0</v>
          </cell>
          <cell r="AC812">
            <v>0</v>
          </cell>
          <cell r="AD812">
            <v>800</v>
          </cell>
          <cell r="AE812" t="str">
            <v>6" FJWP Box</v>
          </cell>
          <cell r="AF812"/>
          <cell r="AG812" t="str">
            <v>BLANK</v>
          </cell>
          <cell r="AH812" t="str">
            <v xml:space="preserve"> en stock </v>
          </cell>
          <cell r="AI812" t="str">
            <v>blank</v>
          </cell>
          <cell r="AJ812">
            <v>0</v>
          </cell>
          <cell r="AK812">
            <v>0</v>
          </cell>
          <cell r="AL812"/>
          <cell r="AM812"/>
          <cell r="AN812">
            <v>5110233</v>
          </cell>
          <cell r="AO812"/>
          <cell r="AP812"/>
          <cell r="AQ812"/>
          <cell r="AR812"/>
          <cell r="AS812">
            <v>141</v>
          </cell>
          <cell r="AT812"/>
          <cell r="AU812" t="str">
            <v>FR</v>
          </cell>
          <cell r="AV812"/>
        </row>
        <row r="813">
          <cell r="Z813">
            <v>5110234</v>
          </cell>
          <cell r="AA813" t="str">
            <v>WO Shoe
6" FJWP Box</v>
          </cell>
          <cell r="AB813">
            <v>0</v>
          </cell>
          <cell r="AC813">
            <v>0</v>
          </cell>
          <cell r="AD813">
            <v>800</v>
          </cell>
          <cell r="AE813" t="str">
            <v>6" FJWP Box</v>
          </cell>
          <cell r="AF813"/>
          <cell r="AG813" t="str">
            <v xml:space="preserve"> - </v>
          </cell>
          <cell r="AH813" t="str">
            <v>sur chantier</v>
          </cell>
          <cell r="AI813" t="str">
            <v>blank</v>
          </cell>
          <cell r="AJ813">
            <v>1</v>
          </cell>
          <cell r="AK813">
            <v>0</v>
          </cell>
          <cell r="AL813"/>
          <cell r="AM813"/>
          <cell r="AN813">
            <v>5110234</v>
          </cell>
          <cell r="AO813"/>
          <cell r="AP813"/>
          <cell r="AQ813"/>
          <cell r="AR813"/>
          <cell r="AS813">
            <v>252</v>
          </cell>
          <cell r="AT813"/>
          <cell r="AU813" t="str">
            <v>FR</v>
          </cell>
          <cell r="AV813"/>
        </row>
        <row r="814">
          <cell r="Z814">
            <v>5110235</v>
          </cell>
          <cell r="AA814" t="str">
            <v>WO Shoe
6" FJWP Box</v>
          </cell>
          <cell r="AB814">
            <v>0</v>
          </cell>
          <cell r="AC814">
            <v>0</v>
          </cell>
          <cell r="AD814">
            <v>630</v>
          </cell>
          <cell r="AE814" t="str">
            <v>6" FJWP Box</v>
          </cell>
          <cell r="AF814"/>
          <cell r="AG814" t="str">
            <v xml:space="preserve"> - </v>
          </cell>
          <cell r="AH814" t="str">
            <v>sur chantier</v>
          </cell>
          <cell r="AI814" t="str">
            <v>blank</v>
          </cell>
          <cell r="AJ814">
            <v>1</v>
          </cell>
          <cell r="AK814">
            <v>0</v>
          </cell>
          <cell r="AL814"/>
          <cell r="AM814"/>
          <cell r="AN814">
            <v>5110235</v>
          </cell>
          <cell r="AO814"/>
          <cell r="AP814"/>
          <cell r="AQ814"/>
          <cell r="AR814"/>
          <cell r="AS814">
            <v>253</v>
          </cell>
          <cell r="AT814"/>
          <cell r="AU814" t="str">
            <v>FR</v>
          </cell>
          <cell r="AV814"/>
        </row>
        <row r="815">
          <cell r="Z815">
            <v>5110236</v>
          </cell>
          <cell r="AA815" t="str">
            <v>WO Shoe
6" FJWP Box</v>
          </cell>
          <cell r="AB815">
            <v>0</v>
          </cell>
          <cell r="AC815">
            <v>0</v>
          </cell>
          <cell r="AD815">
            <v>630</v>
          </cell>
          <cell r="AE815" t="str">
            <v>6" FJWP Box</v>
          </cell>
          <cell r="AF815"/>
          <cell r="AG815" t="str">
            <v>BLANK</v>
          </cell>
          <cell r="AH815" t="str">
            <v xml:space="preserve"> en stock </v>
          </cell>
          <cell r="AI815" t="str">
            <v>blank</v>
          </cell>
          <cell r="AJ815">
            <v>0</v>
          </cell>
          <cell r="AK815">
            <v>0</v>
          </cell>
          <cell r="AL815"/>
          <cell r="AM815"/>
          <cell r="AN815">
            <v>5110236</v>
          </cell>
          <cell r="AO815"/>
          <cell r="AP815"/>
          <cell r="AQ815"/>
          <cell r="AR815"/>
          <cell r="AS815">
            <v>142</v>
          </cell>
          <cell r="AT815"/>
          <cell r="AU815" t="str">
            <v>FR</v>
          </cell>
          <cell r="AV815"/>
        </row>
        <row r="816">
          <cell r="Z816">
            <v>5090298</v>
          </cell>
          <cell r="AA816" t="str">
            <v>WO Extension Lg 950 mm
6" FJWP Pin x Box</v>
          </cell>
          <cell r="AB816">
            <v>29.186807427679685</v>
          </cell>
          <cell r="AC816">
            <v>6</v>
          </cell>
          <cell r="AD816">
            <v>950</v>
          </cell>
          <cell r="AE816" t="str">
            <v>6" FJWP Box</v>
          </cell>
          <cell r="AF816" t="str">
            <v>6" FJWP Pin</v>
          </cell>
          <cell r="AG816"/>
          <cell r="AH816" t="str">
            <v xml:space="preserve"> en stock </v>
          </cell>
          <cell r="AI816">
            <v>1</v>
          </cell>
          <cell r="AJ816">
            <v>0</v>
          </cell>
          <cell r="AK816">
            <v>0</v>
          </cell>
          <cell r="AL816"/>
          <cell r="AM816"/>
          <cell r="AN816">
            <v>5090237</v>
          </cell>
          <cell r="AO816"/>
          <cell r="AP816"/>
          <cell r="AQ816"/>
          <cell r="AR816"/>
          <cell r="AS816">
            <v>68</v>
          </cell>
          <cell r="AT816" t="str">
            <v>509-6,000FJWP</v>
          </cell>
          <cell r="AU816" t="str">
            <v>FR</v>
          </cell>
          <cell r="AV816"/>
        </row>
        <row r="817">
          <cell r="Z817">
            <v>5090299</v>
          </cell>
          <cell r="AA817" t="str">
            <v>WO Extension Lg 920 mm
6" FJWP Pin x Box</v>
          </cell>
          <cell r="AB817">
            <v>28.265118772068753</v>
          </cell>
          <cell r="AC817">
            <v>6</v>
          </cell>
          <cell r="AD817">
            <v>920</v>
          </cell>
          <cell r="AE817" t="str">
            <v>6" FJWP Box</v>
          </cell>
          <cell r="AF817" t="str">
            <v>6" FJWP Pin</v>
          </cell>
          <cell r="AG817"/>
          <cell r="AH817" t="str">
            <v xml:space="preserve"> en stock </v>
          </cell>
          <cell r="AI817">
            <v>1</v>
          </cell>
          <cell r="AJ817">
            <v>0</v>
          </cell>
          <cell r="AK817">
            <v>0</v>
          </cell>
          <cell r="AL817"/>
          <cell r="AM817"/>
          <cell r="AN817">
            <v>5090238</v>
          </cell>
          <cell r="AO817"/>
          <cell r="AP817"/>
          <cell r="AQ817"/>
          <cell r="AR817"/>
          <cell r="AS817">
            <v>67</v>
          </cell>
          <cell r="AT817" t="str">
            <v>509-6,000FJWP</v>
          </cell>
          <cell r="AU817" t="str">
            <v>FR</v>
          </cell>
          <cell r="AV817"/>
        </row>
        <row r="818">
          <cell r="Z818">
            <v>5090300</v>
          </cell>
          <cell r="AA818" t="str">
            <v>WO Extension Lg 1020 mm
6" FJWP Pin x Box</v>
          </cell>
          <cell r="AB818">
            <v>31.337414290771871</v>
          </cell>
          <cell r="AC818">
            <v>6</v>
          </cell>
          <cell r="AD818">
            <v>1020</v>
          </cell>
          <cell r="AE818" t="str">
            <v>6" FJWP Box</v>
          </cell>
          <cell r="AF818" t="str">
            <v>6" FJWP Pin</v>
          </cell>
          <cell r="AG818"/>
          <cell r="AH818" t="str">
            <v xml:space="preserve"> en stock </v>
          </cell>
          <cell r="AI818">
            <v>1</v>
          </cell>
          <cell r="AJ818">
            <v>0</v>
          </cell>
          <cell r="AK818">
            <v>0</v>
          </cell>
          <cell r="AL818"/>
          <cell r="AM818"/>
          <cell r="AN818">
            <v>5090239</v>
          </cell>
          <cell r="AO818"/>
          <cell r="AP818"/>
          <cell r="AQ818"/>
          <cell r="AR818"/>
          <cell r="AS818">
            <v>69</v>
          </cell>
          <cell r="AT818" t="str">
            <v>509-6,000FJWP</v>
          </cell>
          <cell r="AU818" t="str">
            <v>FR</v>
          </cell>
          <cell r="AV818"/>
        </row>
        <row r="819">
          <cell r="Z819">
            <v>5090301</v>
          </cell>
          <cell r="AA819" t="str">
            <v>WO Extension Lg 1055 mm
6" FJWP Pin x Box</v>
          </cell>
          <cell r="AB819">
            <v>32.412717722317964</v>
          </cell>
          <cell r="AC819">
            <v>6</v>
          </cell>
          <cell r="AD819">
            <v>1055</v>
          </cell>
          <cell r="AE819" t="str">
            <v>6" FJWP Box</v>
          </cell>
          <cell r="AF819" t="str">
            <v>6" FJWP Pin</v>
          </cell>
          <cell r="AG819"/>
          <cell r="AH819" t="str">
            <v xml:space="preserve"> en stock </v>
          </cell>
          <cell r="AI819">
            <v>1</v>
          </cell>
          <cell r="AJ819">
            <v>0</v>
          </cell>
          <cell r="AK819">
            <v>0</v>
          </cell>
          <cell r="AL819"/>
          <cell r="AM819"/>
          <cell r="AN819">
            <v>5090240</v>
          </cell>
          <cell r="AO819"/>
          <cell r="AP819"/>
          <cell r="AQ819"/>
          <cell r="AR819"/>
          <cell r="AS819">
            <v>70</v>
          </cell>
          <cell r="AT819" t="str">
            <v>509-6,000FJWP</v>
          </cell>
          <cell r="AU819" t="str">
            <v>FR</v>
          </cell>
          <cell r="AV819"/>
        </row>
        <row r="820">
          <cell r="Z820">
            <v>5090241</v>
          </cell>
          <cell r="AA820" t="str">
            <v>WO Extension Lg 1920 mm
6" FJWP Pin x Box</v>
          </cell>
          <cell r="AB820">
            <v>58.988073959099992</v>
          </cell>
          <cell r="AC820">
            <v>6</v>
          </cell>
          <cell r="AD820">
            <v>1920</v>
          </cell>
          <cell r="AE820" t="str">
            <v>6" FJWP Box</v>
          </cell>
          <cell r="AF820" t="str">
            <v>6" FJWP Pin</v>
          </cell>
          <cell r="AG820"/>
          <cell r="AH820" t="str">
            <v xml:space="preserve"> en stock </v>
          </cell>
          <cell r="AI820">
            <v>1</v>
          </cell>
          <cell r="AJ820">
            <v>0</v>
          </cell>
          <cell r="AK820">
            <v>0</v>
          </cell>
          <cell r="AL820"/>
          <cell r="AM820"/>
          <cell r="AN820">
            <v>5090241</v>
          </cell>
          <cell r="AO820"/>
          <cell r="AP820"/>
          <cell r="AQ820"/>
          <cell r="AR820"/>
          <cell r="AS820">
            <v>72</v>
          </cell>
          <cell r="AT820" t="str">
            <v>509-6,000FJWP</v>
          </cell>
          <cell r="AU820" t="str">
            <v>FR</v>
          </cell>
          <cell r="AV820"/>
        </row>
        <row r="821">
          <cell r="Z821">
            <v>5090242</v>
          </cell>
          <cell r="AA821" t="str">
            <v>WO Extension Lg 2740 mm
6" FJWP Pin x Box</v>
          </cell>
          <cell r="AB821">
            <v>84.180897212465624</v>
          </cell>
          <cell r="AC821">
            <v>6</v>
          </cell>
          <cell r="AD821">
            <v>2740</v>
          </cell>
          <cell r="AE821" t="str">
            <v>6" FJWP Box</v>
          </cell>
          <cell r="AF821" t="str">
            <v>6" FJWP Pin</v>
          </cell>
          <cell r="AG821"/>
          <cell r="AH821" t="str">
            <v xml:space="preserve"> en stock </v>
          </cell>
          <cell r="AI821">
            <v>1</v>
          </cell>
          <cell r="AJ821">
            <v>0</v>
          </cell>
          <cell r="AK821">
            <v>0</v>
          </cell>
          <cell r="AL821"/>
          <cell r="AM821"/>
          <cell r="AN821">
            <v>5090242</v>
          </cell>
          <cell r="AO821"/>
          <cell r="AP821"/>
          <cell r="AQ821"/>
          <cell r="AR821"/>
          <cell r="AS821">
            <v>73</v>
          </cell>
          <cell r="AT821" t="str">
            <v>509-6,000FJWP</v>
          </cell>
          <cell r="AU821" t="str">
            <v>FR</v>
          </cell>
          <cell r="AV821"/>
        </row>
        <row r="822">
          <cell r="Z822">
            <v>5150243</v>
          </cell>
          <cell r="AA822" t="str">
            <v>WO Lift Plug 
6" FJWP Pin</v>
          </cell>
          <cell r="AB822">
            <v>20</v>
          </cell>
          <cell r="AC822">
            <v>7</v>
          </cell>
          <cell r="AD822"/>
          <cell r="AE822" t="str">
            <v>6" FJWP Pin</v>
          </cell>
          <cell r="AF822"/>
          <cell r="AG822"/>
          <cell r="AH822" t="str">
            <v xml:space="preserve"> en stock </v>
          </cell>
          <cell r="AI822">
            <v>1</v>
          </cell>
          <cell r="AJ822">
            <v>0</v>
          </cell>
          <cell r="AK822">
            <v>0</v>
          </cell>
          <cell r="AL822"/>
          <cell r="AM822"/>
          <cell r="AN822">
            <v>5150243</v>
          </cell>
          <cell r="AO822"/>
          <cell r="AP822"/>
          <cell r="AQ822"/>
          <cell r="AR822"/>
          <cell r="AS822">
            <v>19</v>
          </cell>
          <cell r="AT822"/>
          <cell r="AU822" t="str">
            <v>FR</v>
          </cell>
          <cell r="AV822"/>
        </row>
        <row r="823">
          <cell r="Z823">
            <v>5150244</v>
          </cell>
          <cell r="AA823" t="str">
            <v>WO Lift Plug 
6" FJWP Pin</v>
          </cell>
          <cell r="AB823">
            <v>20</v>
          </cell>
          <cell r="AC823">
            <v>7</v>
          </cell>
          <cell r="AD823"/>
          <cell r="AE823" t="str">
            <v>6" FJWP Pin</v>
          </cell>
          <cell r="AF823"/>
          <cell r="AG823"/>
          <cell r="AH823" t="str">
            <v xml:space="preserve"> en stock </v>
          </cell>
          <cell r="AI823">
            <v>1</v>
          </cell>
          <cell r="AJ823">
            <v>0</v>
          </cell>
          <cell r="AK823">
            <v>0</v>
          </cell>
          <cell r="AL823"/>
          <cell r="AM823"/>
          <cell r="AN823">
            <v>5150244</v>
          </cell>
          <cell r="AO823"/>
          <cell r="AP823"/>
          <cell r="AQ823"/>
          <cell r="AR823"/>
          <cell r="AS823">
            <v>20</v>
          </cell>
          <cell r="AT823"/>
          <cell r="AU823" t="str">
            <v>FR</v>
          </cell>
          <cell r="AV823"/>
        </row>
        <row r="824">
          <cell r="Z824">
            <v>5120294</v>
          </cell>
          <cell r="AA824" t="str">
            <v>WO Top Sub
3-1/2" IF Box x 6" FJWP Pin x 3-1/2" REG Box in</v>
          </cell>
          <cell r="AB824">
            <v>73</v>
          </cell>
          <cell r="AC824">
            <v>6</v>
          </cell>
          <cell r="AD824">
            <v>725</v>
          </cell>
          <cell r="AE824" t="str">
            <v>3-1/2" IF Box</v>
          </cell>
          <cell r="AF824" t="str">
            <v>6" FJWP Pin</v>
          </cell>
          <cell r="AG824" t="str">
            <v>3-1/2" REG Box</v>
          </cell>
          <cell r="AH824" t="str">
            <v xml:space="preserve"> en stock </v>
          </cell>
          <cell r="AI824">
            <v>1</v>
          </cell>
          <cell r="AJ824">
            <v>0</v>
          </cell>
          <cell r="AK824">
            <v>0</v>
          </cell>
          <cell r="AL824"/>
          <cell r="AM824"/>
          <cell r="AN824">
            <v>5120245</v>
          </cell>
          <cell r="AO824"/>
          <cell r="AP824"/>
          <cell r="AQ824"/>
          <cell r="AR824"/>
          <cell r="AS824">
            <v>28</v>
          </cell>
          <cell r="AT824"/>
          <cell r="AU824" t="str">
            <v>FR</v>
          </cell>
          <cell r="AV824"/>
        </row>
        <row r="825">
          <cell r="Z825">
            <v>8130246</v>
          </cell>
          <cell r="AA825" t="str">
            <v>XO
3-1/2" IF Pin x 2-3/8" REG Box</v>
          </cell>
          <cell r="AB825">
            <v>34</v>
          </cell>
          <cell r="AC825">
            <v>4.75</v>
          </cell>
          <cell r="AD825">
            <v>500</v>
          </cell>
          <cell r="AE825" t="str">
            <v>3-1/2" IF Pin</v>
          </cell>
          <cell r="AF825" t="str">
            <v>2-3/8" REG Box</v>
          </cell>
          <cell r="AG825"/>
          <cell r="AH825" t="str">
            <v xml:space="preserve"> en stock </v>
          </cell>
          <cell r="AI825">
            <v>1</v>
          </cell>
          <cell r="AJ825">
            <v>0</v>
          </cell>
          <cell r="AK825">
            <v>0</v>
          </cell>
          <cell r="AL825"/>
          <cell r="AM825"/>
          <cell r="AN825">
            <v>8130246</v>
          </cell>
          <cell r="AO825"/>
          <cell r="AP825"/>
          <cell r="AQ825"/>
          <cell r="AR825"/>
          <cell r="AS825">
            <v>103</v>
          </cell>
          <cell r="AT825"/>
          <cell r="AU825" t="str">
            <v>FR</v>
          </cell>
          <cell r="AV825"/>
        </row>
        <row r="826">
          <cell r="Z826">
            <v>7040247</v>
          </cell>
          <cell r="AA826"/>
          <cell r="AB826"/>
          <cell r="AC826"/>
          <cell r="AD826"/>
          <cell r="AE826"/>
          <cell r="AF826"/>
          <cell r="AG826"/>
          <cell r="AH826" t="str">
            <v>en stock</v>
          </cell>
          <cell r="AI826"/>
          <cell r="AJ826"/>
          <cell r="AK826"/>
          <cell r="AL826"/>
          <cell r="AM826"/>
          <cell r="AN826" t="str">
            <v/>
          </cell>
          <cell r="AO826"/>
          <cell r="AP826"/>
          <cell r="AQ826"/>
          <cell r="AR826"/>
          <cell r="AS826"/>
          <cell r="AT826"/>
          <cell r="AU826" t="str">
            <v>RDC</v>
          </cell>
          <cell r="AV826"/>
        </row>
        <row r="827">
          <cell r="Z827" t="str">
            <v/>
          </cell>
          <cell r="AA827"/>
          <cell r="AB827"/>
          <cell r="AC827"/>
          <cell r="AD827"/>
          <cell r="AE827"/>
          <cell r="AF827"/>
          <cell r="AG827"/>
          <cell r="AH827" t="str">
            <v>en stock</v>
          </cell>
          <cell r="AI827"/>
          <cell r="AJ827"/>
          <cell r="AK827"/>
          <cell r="AL827"/>
          <cell r="AM827"/>
          <cell r="AN827">
            <v>2017</v>
          </cell>
          <cell r="AO827"/>
          <cell r="AP827"/>
          <cell r="AQ827"/>
          <cell r="AR827"/>
          <cell r="AS827"/>
          <cell r="AT827"/>
          <cell r="AU827" t="str">
            <v/>
          </cell>
          <cell r="AV827"/>
        </row>
        <row r="828">
          <cell r="Z828" t="str">
            <v/>
          </cell>
          <cell r="AA828"/>
          <cell r="AB828"/>
          <cell r="AC828"/>
          <cell r="AD828"/>
          <cell r="AE828"/>
          <cell r="AF828"/>
          <cell r="AG828"/>
          <cell r="AH828" t="str">
            <v>en stock</v>
          </cell>
          <cell r="AI828"/>
          <cell r="AJ828"/>
          <cell r="AK828"/>
          <cell r="AL828"/>
          <cell r="AM828"/>
          <cell r="AN828" t="str">
            <v/>
          </cell>
          <cell r="AO828"/>
          <cell r="AP828"/>
          <cell r="AQ828"/>
          <cell r="AR828"/>
          <cell r="AS828"/>
          <cell r="AT828"/>
          <cell r="AU828" t="str">
            <v/>
          </cell>
          <cell r="AV828"/>
        </row>
        <row r="829">
          <cell r="Z829">
            <v>5040248</v>
          </cell>
          <cell r="AA829"/>
          <cell r="AB829" t="e">
            <v>#N/A</v>
          </cell>
          <cell r="AC829" t="e">
            <v>#N/A</v>
          </cell>
          <cell r="AD829" t="e">
            <v>#N/A</v>
          </cell>
          <cell r="AE829" t="e">
            <v>#N/A</v>
          </cell>
          <cell r="AF829" t="e">
            <v>#N/A</v>
          </cell>
          <cell r="AG829"/>
          <cell r="AH829" t="e">
            <v>#N/A</v>
          </cell>
          <cell r="AI829" t="e">
            <v>#N/A</v>
          </cell>
          <cell r="AJ829" t="e">
            <v>#N/A</v>
          </cell>
          <cell r="AK829" t="e">
            <v>#N/A</v>
          </cell>
          <cell r="AL829"/>
          <cell r="AM829"/>
          <cell r="AN829" t="str">
            <v/>
          </cell>
          <cell r="AO829"/>
          <cell r="AP829"/>
          <cell r="AQ829"/>
          <cell r="AR829"/>
          <cell r="AS829" t="e">
            <v>#N/A</v>
          </cell>
          <cell r="AT829"/>
          <cell r="AU829" t="str">
            <v>ACHAT VENTE</v>
          </cell>
          <cell r="AV829"/>
        </row>
        <row r="830">
          <cell r="Z830">
            <v>5040249</v>
          </cell>
          <cell r="AA830"/>
          <cell r="AB830" t="e">
            <v>#N/A</v>
          </cell>
          <cell r="AC830" t="e">
            <v>#N/A</v>
          </cell>
          <cell r="AD830" t="e">
            <v>#N/A</v>
          </cell>
          <cell r="AE830" t="e">
            <v>#N/A</v>
          </cell>
          <cell r="AF830" t="e">
            <v>#N/A</v>
          </cell>
          <cell r="AG830"/>
          <cell r="AH830" t="e">
            <v>#N/A</v>
          </cell>
          <cell r="AI830" t="e">
            <v>#N/A</v>
          </cell>
          <cell r="AJ830" t="e">
            <v>#N/A</v>
          </cell>
          <cell r="AK830" t="e">
            <v>#N/A</v>
          </cell>
          <cell r="AL830"/>
          <cell r="AM830"/>
          <cell r="AN830" t="str">
            <v/>
          </cell>
          <cell r="AO830"/>
          <cell r="AP830"/>
          <cell r="AQ830"/>
          <cell r="AR830"/>
          <cell r="AS830" t="e">
            <v>#N/A</v>
          </cell>
          <cell r="AT830"/>
          <cell r="AU830" t="str">
            <v>ACHAT VENTE</v>
          </cell>
          <cell r="AV830"/>
        </row>
        <row r="831">
          <cell r="Z831">
            <v>5040250</v>
          </cell>
          <cell r="AA831"/>
          <cell r="AB831" t="e">
            <v>#N/A</v>
          </cell>
          <cell r="AC831" t="e">
            <v>#N/A</v>
          </cell>
          <cell r="AD831" t="e">
            <v>#N/A</v>
          </cell>
          <cell r="AE831" t="e">
            <v>#N/A</v>
          </cell>
          <cell r="AF831" t="e">
            <v>#N/A</v>
          </cell>
          <cell r="AG831"/>
          <cell r="AH831" t="e">
            <v>#N/A</v>
          </cell>
          <cell r="AI831" t="e">
            <v>#N/A</v>
          </cell>
          <cell r="AJ831" t="e">
            <v>#N/A</v>
          </cell>
          <cell r="AK831" t="e">
            <v>#N/A</v>
          </cell>
          <cell r="AL831"/>
          <cell r="AM831"/>
          <cell r="AN831" t="str">
            <v/>
          </cell>
          <cell r="AO831"/>
          <cell r="AP831"/>
          <cell r="AQ831"/>
          <cell r="AR831"/>
          <cell r="AS831" t="e">
            <v>#N/A</v>
          </cell>
          <cell r="AT831"/>
          <cell r="AU831" t="str">
            <v>ACHAT VENTE</v>
          </cell>
          <cell r="AV831"/>
        </row>
        <row r="832">
          <cell r="Z832">
            <v>8110251</v>
          </cell>
          <cell r="AA832"/>
          <cell r="AB832"/>
          <cell r="AC832"/>
          <cell r="AD832"/>
          <cell r="AE832"/>
          <cell r="AF832"/>
          <cell r="AG832"/>
          <cell r="AH832" t="str">
            <v>en stock</v>
          </cell>
          <cell r="AI832"/>
          <cell r="AJ832"/>
          <cell r="AK832"/>
          <cell r="AL832"/>
          <cell r="AM832"/>
          <cell r="AN832" t="str">
            <v/>
          </cell>
          <cell r="AO832"/>
          <cell r="AP832"/>
          <cell r="AQ832"/>
          <cell r="AR832"/>
          <cell r="AS832"/>
          <cell r="AT832"/>
          <cell r="AU832" t="str">
            <v>ACHAT VENTE</v>
          </cell>
          <cell r="AV832"/>
        </row>
        <row r="833">
          <cell r="Z833">
            <v>8110252</v>
          </cell>
          <cell r="AA833"/>
          <cell r="AB833"/>
          <cell r="AC833"/>
          <cell r="AD833"/>
          <cell r="AE833"/>
          <cell r="AF833"/>
          <cell r="AG833"/>
          <cell r="AH833" t="str">
            <v>en stock</v>
          </cell>
          <cell r="AI833"/>
          <cell r="AJ833"/>
          <cell r="AK833"/>
          <cell r="AL833"/>
          <cell r="AM833"/>
          <cell r="AN833" t="str">
            <v>cf 8110212</v>
          </cell>
          <cell r="AO833"/>
          <cell r="AP833"/>
          <cell r="AQ833"/>
          <cell r="AR833"/>
          <cell r="AS833"/>
          <cell r="AT833"/>
          <cell r="AU833" t="str">
            <v>réattribution n° d'immo</v>
          </cell>
          <cell r="AV833"/>
        </row>
        <row r="834">
          <cell r="Z834">
            <v>1090253</v>
          </cell>
          <cell r="AA834"/>
          <cell r="AB834"/>
          <cell r="AC834"/>
          <cell r="AD834"/>
          <cell r="AE834"/>
          <cell r="AF834"/>
          <cell r="AG834"/>
          <cell r="AH834" t="str">
            <v>en stock</v>
          </cell>
          <cell r="AI834"/>
          <cell r="AJ834"/>
          <cell r="AK834"/>
          <cell r="AL834"/>
          <cell r="AM834"/>
          <cell r="AN834" t="str">
            <v/>
          </cell>
          <cell r="AO834"/>
          <cell r="AP834"/>
          <cell r="AQ834"/>
          <cell r="AR834"/>
          <cell r="AS834"/>
          <cell r="AT834"/>
          <cell r="AU834" t="str">
            <v>ACHAT VENTE</v>
          </cell>
          <cell r="AV834"/>
        </row>
        <row r="835">
          <cell r="Z835">
            <v>1090254</v>
          </cell>
          <cell r="AA835"/>
          <cell r="AB835"/>
          <cell r="AC835"/>
          <cell r="AD835"/>
          <cell r="AE835"/>
          <cell r="AF835"/>
          <cell r="AG835"/>
          <cell r="AH835" t="str">
            <v>en stock</v>
          </cell>
          <cell r="AI835"/>
          <cell r="AJ835"/>
          <cell r="AK835"/>
          <cell r="AL835"/>
          <cell r="AM835"/>
          <cell r="AN835" t="str">
            <v/>
          </cell>
          <cell r="AO835"/>
          <cell r="AP835"/>
          <cell r="AQ835"/>
          <cell r="AR835"/>
          <cell r="AS835"/>
          <cell r="AT835"/>
          <cell r="AU835" t="str">
            <v>ACHAT VENTE</v>
          </cell>
          <cell r="AV835"/>
        </row>
        <row r="836">
          <cell r="Z836">
            <v>1090255</v>
          </cell>
          <cell r="AA836"/>
          <cell r="AB836"/>
          <cell r="AC836">
            <v>3.5</v>
          </cell>
          <cell r="AD836"/>
          <cell r="AE836" t="str">
            <v>2-3/8" REG Pin</v>
          </cell>
          <cell r="AF836" t="str">
            <v>2-3/8" REG Box</v>
          </cell>
          <cell r="AG836"/>
          <cell r="AH836" t="str">
            <v>en stock</v>
          </cell>
          <cell r="AI836"/>
          <cell r="AJ836"/>
          <cell r="AK836"/>
          <cell r="AL836"/>
          <cell r="AM836"/>
          <cell r="AN836" t="str">
            <v>cf 1095219</v>
          </cell>
          <cell r="AO836"/>
          <cell r="AP836"/>
          <cell r="AQ836"/>
          <cell r="AR836"/>
          <cell r="AS836"/>
          <cell r="AT836"/>
          <cell r="AU836" t="str">
            <v>RDC mai 2018</v>
          </cell>
          <cell r="AV836"/>
        </row>
        <row r="837">
          <cell r="Z837">
            <v>5170256</v>
          </cell>
          <cell r="AA837"/>
          <cell r="AB837"/>
          <cell r="AC837"/>
          <cell r="AD837"/>
          <cell r="AE837"/>
          <cell r="AF837"/>
          <cell r="AG837"/>
          <cell r="AH837" t="str">
            <v>en stock</v>
          </cell>
          <cell r="AI837"/>
          <cell r="AJ837"/>
          <cell r="AK837"/>
          <cell r="AL837"/>
          <cell r="AM837"/>
          <cell r="AN837" t="str">
            <v/>
          </cell>
          <cell r="AO837"/>
          <cell r="AP837"/>
          <cell r="AQ837"/>
          <cell r="AR837"/>
          <cell r="AS837"/>
          <cell r="AT837"/>
          <cell r="AU837" t="str">
            <v>ACHAT VENTE</v>
          </cell>
          <cell r="AV837"/>
        </row>
        <row r="838">
          <cell r="Z838">
            <v>5020257</v>
          </cell>
          <cell r="AA838"/>
          <cell r="AB838"/>
          <cell r="AC838"/>
          <cell r="AD838"/>
          <cell r="AE838"/>
          <cell r="AF838"/>
          <cell r="AG838"/>
          <cell r="AH838" t="str">
            <v>en stock</v>
          </cell>
          <cell r="AI838"/>
          <cell r="AJ838"/>
          <cell r="AK838"/>
          <cell r="AL838"/>
          <cell r="AM838"/>
          <cell r="AN838">
            <v>5030257</v>
          </cell>
          <cell r="AO838"/>
          <cell r="AP838"/>
          <cell r="AQ838"/>
          <cell r="AR838"/>
          <cell r="AS838"/>
          <cell r="AT838" t="str">
            <v>503-</v>
          </cell>
          <cell r="AU838" t="str">
            <v>ACHAT VENTE</v>
          </cell>
          <cell r="AV838"/>
        </row>
        <row r="839">
          <cell r="Z839">
            <v>5020258</v>
          </cell>
          <cell r="AA839"/>
          <cell r="AB839"/>
          <cell r="AC839"/>
          <cell r="AD839"/>
          <cell r="AE839"/>
          <cell r="AF839"/>
          <cell r="AG839"/>
          <cell r="AH839" t="str">
            <v>en stock</v>
          </cell>
          <cell r="AI839"/>
          <cell r="AJ839"/>
          <cell r="AK839"/>
          <cell r="AL839"/>
          <cell r="AM839"/>
          <cell r="AN839">
            <v>5030258</v>
          </cell>
          <cell r="AO839"/>
          <cell r="AP839"/>
          <cell r="AQ839"/>
          <cell r="AR839"/>
          <cell r="AS839"/>
          <cell r="AT839" t="str">
            <v>503-</v>
          </cell>
          <cell r="AU839" t="str">
            <v>ACHAT VENTE</v>
          </cell>
          <cell r="AV839"/>
        </row>
        <row r="840">
          <cell r="Z840">
            <v>5020259</v>
          </cell>
          <cell r="AA840"/>
          <cell r="AB840"/>
          <cell r="AC840"/>
          <cell r="AD840"/>
          <cell r="AE840"/>
          <cell r="AF840"/>
          <cell r="AG840"/>
          <cell r="AH840" t="str">
            <v>en stock</v>
          </cell>
          <cell r="AI840"/>
          <cell r="AJ840"/>
          <cell r="AK840"/>
          <cell r="AL840"/>
          <cell r="AM840"/>
          <cell r="AN840">
            <v>5030259</v>
          </cell>
          <cell r="AO840"/>
          <cell r="AP840"/>
          <cell r="AQ840"/>
          <cell r="AR840"/>
          <cell r="AS840"/>
          <cell r="AT840" t="str">
            <v>503-</v>
          </cell>
          <cell r="AU840" t="str">
            <v>ACHAT VENTE</v>
          </cell>
          <cell r="AV840"/>
        </row>
        <row r="841">
          <cell r="Z841">
            <v>5030260</v>
          </cell>
          <cell r="AA841" t="str">
            <v>Junk Mill 
2-3/8" REG Pin</v>
          </cell>
          <cell r="AB841">
            <v>18</v>
          </cell>
          <cell r="AC841">
            <v>4.875</v>
          </cell>
          <cell r="AD841">
            <v>0</v>
          </cell>
          <cell r="AE841" t="str">
            <v>2-3/8" REG Pin</v>
          </cell>
          <cell r="AF841"/>
          <cell r="AG841" t="str">
            <v>Insert</v>
          </cell>
          <cell r="AH841" t="str">
            <v xml:space="preserve"> en stock </v>
          </cell>
          <cell r="AI841">
            <v>1</v>
          </cell>
          <cell r="AJ841">
            <v>0</v>
          </cell>
          <cell r="AK841">
            <v>0</v>
          </cell>
          <cell r="AL841"/>
          <cell r="AM841"/>
          <cell r="AN841" t="str">
            <v/>
          </cell>
          <cell r="AO841"/>
          <cell r="AP841"/>
          <cell r="AQ841"/>
          <cell r="AR841"/>
          <cell r="AS841">
            <v>15</v>
          </cell>
          <cell r="AT841" t="str">
            <v>503-</v>
          </cell>
          <cell r="AU841" t="str">
            <v>FR</v>
          </cell>
          <cell r="AV841"/>
        </row>
        <row r="842">
          <cell r="Z842">
            <v>5030261</v>
          </cell>
          <cell r="AA842" t="str">
            <v>Junk Mill 
2-3/8" REG Pin</v>
          </cell>
          <cell r="AB842">
            <v>18</v>
          </cell>
          <cell r="AC842">
            <v>4.875</v>
          </cell>
          <cell r="AD842">
            <v>0</v>
          </cell>
          <cell r="AE842" t="str">
            <v>2-3/8" REG Pin</v>
          </cell>
          <cell r="AF842"/>
          <cell r="AG842" t="str">
            <v>Insert</v>
          </cell>
          <cell r="AH842" t="str">
            <v xml:space="preserve"> en stock </v>
          </cell>
          <cell r="AI842">
            <v>1</v>
          </cell>
          <cell r="AJ842">
            <v>0</v>
          </cell>
          <cell r="AK842">
            <v>0</v>
          </cell>
          <cell r="AL842"/>
          <cell r="AM842"/>
          <cell r="AN842" t="str">
            <v/>
          </cell>
          <cell r="AO842"/>
          <cell r="AP842"/>
          <cell r="AQ842"/>
          <cell r="AR842"/>
          <cell r="AS842">
            <v>16</v>
          </cell>
          <cell r="AT842" t="str">
            <v>503-</v>
          </cell>
          <cell r="AU842" t="str">
            <v>FR</v>
          </cell>
          <cell r="AV842"/>
        </row>
        <row r="843">
          <cell r="Z843">
            <v>5090262</v>
          </cell>
          <cell r="AA843"/>
          <cell r="AB843"/>
          <cell r="AC843"/>
          <cell r="AD843"/>
          <cell r="AE843"/>
          <cell r="AF843"/>
          <cell r="AG843"/>
          <cell r="AH843" t="str">
            <v>en stock</v>
          </cell>
          <cell r="AI843"/>
          <cell r="AJ843"/>
          <cell r="AK843"/>
          <cell r="AL843"/>
          <cell r="AM843"/>
          <cell r="AN843" t="str">
            <v/>
          </cell>
          <cell r="AO843"/>
          <cell r="AP843"/>
          <cell r="AQ843"/>
          <cell r="AR843"/>
          <cell r="AS843"/>
          <cell r="AT843"/>
          <cell r="AU843" t="str">
            <v>ACHAT VENTE</v>
          </cell>
          <cell r="AV843"/>
        </row>
        <row r="844">
          <cell r="Z844">
            <v>5090263</v>
          </cell>
          <cell r="AA844"/>
          <cell r="AB844"/>
          <cell r="AC844"/>
          <cell r="AD844"/>
          <cell r="AE844"/>
          <cell r="AF844"/>
          <cell r="AG844"/>
          <cell r="AH844" t="str">
            <v>en stock</v>
          </cell>
          <cell r="AI844"/>
          <cell r="AJ844"/>
          <cell r="AK844"/>
          <cell r="AL844"/>
          <cell r="AM844"/>
          <cell r="AN844" t="str">
            <v/>
          </cell>
          <cell r="AO844"/>
          <cell r="AP844"/>
          <cell r="AQ844"/>
          <cell r="AR844"/>
          <cell r="AS844"/>
          <cell r="AT844"/>
          <cell r="AU844" t="str">
            <v>ACHAT VENTE</v>
          </cell>
          <cell r="AV844"/>
        </row>
        <row r="845">
          <cell r="Z845">
            <v>5090264</v>
          </cell>
          <cell r="AA845"/>
          <cell r="AB845"/>
          <cell r="AC845"/>
          <cell r="AD845"/>
          <cell r="AE845"/>
          <cell r="AF845"/>
          <cell r="AG845"/>
          <cell r="AH845" t="str">
            <v>en stock</v>
          </cell>
          <cell r="AI845"/>
          <cell r="AJ845"/>
          <cell r="AK845"/>
          <cell r="AL845"/>
          <cell r="AM845"/>
          <cell r="AN845" t="str">
            <v/>
          </cell>
          <cell r="AO845"/>
          <cell r="AP845"/>
          <cell r="AQ845"/>
          <cell r="AR845"/>
          <cell r="AS845"/>
          <cell r="AT845"/>
          <cell r="AU845" t="str">
            <v>ACHAT VENTE</v>
          </cell>
          <cell r="AV845"/>
        </row>
        <row r="846">
          <cell r="Z846">
            <v>5090265</v>
          </cell>
          <cell r="AA846"/>
          <cell r="AB846"/>
          <cell r="AC846"/>
          <cell r="AD846"/>
          <cell r="AE846"/>
          <cell r="AF846"/>
          <cell r="AG846"/>
          <cell r="AH846" t="str">
            <v>en stock</v>
          </cell>
          <cell r="AI846"/>
          <cell r="AJ846"/>
          <cell r="AK846"/>
          <cell r="AL846"/>
          <cell r="AM846"/>
          <cell r="AN846" t="str">
            <v/>
          </cell>
          <cell r="AO846"/>
          <cell r="AP846"/>
          <cell r="AQ846"/>
          <cell r="AR846"/>
          <cell r="AS846"/>
          <cell r="AT846"/>
          <cell r="AU846" t="str">
            <v>ACHAT VENTE</v>
          </cell>
          <cell r="AV846"/>
        </row>
        <row r="847">
          <cell r="Z847">
            <v>5090266</v>
          </cell>
          <cell r="AA847"/>
          <cell r="AB847"/>
          <cell r="AC847"/>
          <cell r="AD847"/>
          <cell r="AE847"/>
          <cell r="AF847"/>
          <cell r="AG847"/>
          <cell r="AH847" t="str">
            <v>en stock</v>
          </cell>
          <cell r="AI847"/>
          <cell r="AJ847"/>
          <cell r="AK847"/>
          <cell r="AL847"/>
          <cell r="AM847"/>
          <cell r="AN847" t="str">
            <v/>
          </cell>
          <cell r="AO847"/>
          <cell r="AP847"/>
          <cell r="AQ847"/>
          <cell r="AR847"/>
          <cell r="AS847"/>
          <cell r="AT847"/>
          <cell r="AU847" t="str">
            <v>ACHAT VENTE</v>
          </cell>
          <cell r="AV847"/>
        </row>
        <row r="848">
          <cell r="Z848">
            <v>5090267</v>
          </cell>
          <cell r="AA848"/>
          <cell r="AB848"/>
          <cell r="AC848"/>
          <cell r="AD848"/>
          <cell r="AE848"/>
          <cell r="AF848"/>
          <cell r="AG848"/>
          <cell r="AH848" t="str">
            <v>en stock</v>
          </cell>
          <cell r="AI848"/>
          <cell r="AJ848"/>
          <cell r="AK848"/>
          <cell r="AL848"/>
          <cell r="AM848"/>
          <cell r="AN848" t="str">
            <v/>
          </cell>
          <cell r="AO848"/>
          <cell r="AP848"/>
          <cell r="AQ848"/>
          <cell r="AR848"/>
          <cell r="AS848"/>
          <cell r="AT848"/>
          <cell r="AU848" t="str">
            <v>ACHAT VENTE</v>
          </cell>
          <cell r="AV848"/>
        </row>
        <row r="849">
          <cell r="Z849">
            <v>5090268</v>
          </cell>
          <cell r="AA849"/>
          <cell r="AB849"/>
          <cell r="AC849"/>
          <cell r="AD849"/>
          <cell r="AE849"/>
          <cell r="AF849"/>
          <cell r="AG849"/>
          <cell r="AH849" t="str">
            <v>en stock</v>
          </cell>
          <cell r="AI849"/>
          <cell r="AJ849"/>
          <cell r="AK849"/>
          <cell r="AL849"/>
          <cell r="AM849"/>
          <cell r="AN849" t="str">
            <v/>
          </cell>
          <cell r="AO849"/>
          <cell r="AP849"/>
          <cell r="AQ849"/>
          <cell r="AR849"/>
          <cell r="AS849"/>
          <cell r="AT849"/>
          <cell r="AU849" t="str">
            <v>ACHAT VENTE</v>
          </cell>
          <cell r="AV849"/>
        </row>
        <row r="850">
          <cell r="Z850">
            <v>5090269</v>
          </cell>
          <cell r="AA850"/>
          <cell r="AB850"/>
          <cell r="AC850"/>
          <cell r="AD850"/>
          <cell r="AE850"/>
          <cell r="AF850"/>
          <cell r="AG850"/>
          <cell r="AH850" t="str">
            <v>en stock</v>
          </cell>
          <cell r="AI850"/>
          <cell r="AJ850"/>
          <cell r="AK850"/>
          <cell r="AL850"/>
          <cell r="AM850"/>
          <cell r="AN850" t="str">
            <v/>
          </cell>
          <cell r="AO850"/>
          <cell r="AP850"/>
          <cell r="AQ850"/>
          <cell r="AR850"/>
          <cell r="AS850"/>
          <cell r="AT850"/>
          <cell r="AU850" t="str">
            <v>ACHAT VENTE</v>
          </cell>
          <cell r="AV850"/>
        </row>
        <row r="851">
          <cell r="Z851">
            <v>5090270</v>
          </cell>
          <cell r="AA851"/>
          <cell r="AB851"/>
          <cell r="AC851"/>
          <cell r="AD851"/>
          <cell r="AE851"/>
          <cell r="AF851"/>
          <cell r="AG851"/>
          <cell r="AH851" t="str">
            <v>en stock</v>
          </cell>
          <cell r="AI851"/>
          <cell r="AJ851"/>
          <cell r="AK851"/>
          <cell r="AL851"/>
          <cell r="AM851"/>
          <cell r="AN851" t="str">
            <v/>
          </cell>
          <cell r="AO851"/>
          <cell r="AP851"/>
          <cell r="AQ851"/>
          <cell r="AR851"/>
          <cell r="AS851"/>
          <cell r="AT851"/>
          <cell r="AU851" t="str">
            <v>ACHAT VENTE</v>
          </cell>
          <cell r="AV851"/>
        </row>
        <row r="852">
          <cell r="Z852">
            <v>5090271</v>
          </cell>
          <cell r="AA852"/>
          <cell r="AB852"/>
          <cell r="AC852"/>
          <cell r="AD852"/>
          <cell r="AE852"/>
          <cell r="AF852"/>
          <cell r="AG852"/>
          <cell r="AH852" t="str">
            <v>en stock</v>
          </cell>
          <cell r="AI852"/>
          <cell r="AJ852"/>
          <cell r="AK852"/>
          <cell r="AL852"/>
          <cell r="AM852"/>
          <cell r="AN852" t="str">
            <v/>
          </cell>
          <cell r="AO852"/>
          <cell r="AP852"/>
          <cell r="AQ852"/>
          <cell r="AR852"/>
          <cell r="AS852"/>
          <cell r="AT852"/>
          <cell r="AU852" t="str">
            <v>ACHAT VENTE</v>
          </cell>
          <cell r="AV852"/>
        </row>
        <row r="853">
          <cell r="Z853">
            <v>5090272</v>
          </cell>
          <cell r="AA853"/>
          <cell r="AB853"/>
          <cell r="AC853"/>
          <cell r="AD853"/>
          <cell r="AE853"/>
          <cell r="AF853"/>
          <cell r="AG853"/>
          <cell r="AH853" t="str">
            <v>en stock</v>
          </cell>
          <cell r="AI853"/>
          <cell r="AJ853"/>
          <cell r="AK853"/>
          <cell r="AL853"/>
          <cell r="AM853"/>
          <cell r="AN853" t="str">
            <v/>
          </cell>
          <cell r="AO853"/>
          <cell r="AP853"/>
          <cell r="AQ853"/>
          <cell r="AR853"/>
          <cell r="AS853"/>
          <cell r="AT853"/>
          <cell r="AU853" t="str">
            <v>ACHAT VENTE</v>
          </cell>
          <cell r="AV853"/>
        </row>
        <row r="854">
          <cell r="Z854">
            <v>5090273</v>
          </cell>
          <cell r="AA854"/>
          <cell r="AB854"/>
          <cell r="AC854"/>
          <cell r="AD854"/>
          <cell r="AE854"/>
          <cell r="AF854"/>
          <cell r="AG854"/>
          <cell r="AH854" t="str">
            <v>en stock</v>
          </cell>
          <cell r="AI854"/>
          <cell r="AJ854"/>
          <cell r="AK854"/>
          <cell r="AL854"/>
          <cell r="AM854"/>
          <cell r="AN854" t="str">
            <v/>
          </cell>
          <cell r="AO854"/>
          <cell r="AP854"/>
          <cell r="AQ854"/>
          <cell r="AR854"/>
          <cell r="AS854"/>
          <cell r="AT854"/>
          <cell r="AU854" t="str">
            <v>ACHAT VENTE</v>
          </cell>
          <cell r="AV854"/>
        </row>
        <row r="855">
          <cell r="Z855">
            <v>5150274</v>
          </cell>
          <cell r="AA855"/>
          <cell r="AB855"/>
          <cell r="AC855"/>
          <cell r="AD855"/>
          <cell r="AE855"/>
          <cell r="AF855"/>
          <cell r="AG855"/>
          <cell r="AH855" t="str">
            <v>en stock</v>
          </cell>
          <cell r="AI855"/>
          <cell r="AJ855"/>
          <cell r="AK855"/>
          <cell r="AL855"/>
          <cell r="AM855"/>
          <cell r="AN855" t="str">
            <v/>
          </cell>
          <cell r="AO855"/>
          <cell r="AP855"/>
          <cell r="AQ855"/>
          <cell r="AR855"/>
          <cell r="AS855"/>
          <cell r="AT855"/>
          <cell r="AU855" t="str">
            <v>ACHAT VENTE</v>
          </cell>
          <cell r="AV855"/>
        </row>
        <row r="856">
          <cell r="Z856">
            <v>5150275</v>
          </cell>
          <cell r="AA856"/>
          <cell r="AB856"/>
          <cell r="AC856"/>
          <cell r="AD856"/>
          <cell r="AE856"/>
          <cell r="AF856"/>
          <cell r="AG856"/>
          <cell r="AH856" t="str">
            <v>en stock</v>
          </cell>
          <cell r="AI856"/>
          <cell r="AJ856"/>
          <cell r="AK856"/>
          <cell r="AL856"/>
          <cell r="AM856"/>
          <cell r="AN856" t="str">
            <v/>
          </cell>
          <cell r="AO856"/>
          <cell r="AP856"/>
          <cell r="AQ856"/>
          <cell r="AR856"/>
          <cell r="AS856"/>
          <cell r="AT856"/>
          <cell r="AU856" t="str">
            <v>ACHAT VENTE</v>
          </cell>
          <cell r="AV856"/>
        </row>
        <row r="857">
          <cell r="Z857">
            <v>5120276</v>
          </cell>
          <cell r="AA857"/>
          <cell r="AB857"/>
          <cell r="AC857"/>
          <cell r="AD857"/>
          <cell r="AE857"/>
          <cell r="AF857"/>
          <cell r="AG857"/>
          <cell r="AH857" t="str">
            <v>en stock</v>
          </cell>
          <cell r="AI857"/>
          <cell r="AJ857"/>
          <cell r="AK857"/>
          <cell r="AL857"/>
          <cell r="AM857"/>
          <cell r="AN857" t="str">
            <v/>
          </cell>
          <cell r="AO857"/>
          <cell r="AP857"/>
          <cell r="AQ857"/>
          <cell r="AR857"/>
          <cell r="AS857"/>
          <cell r="AT857"/>
          <cell r="AU857" t="str">
            <v>ACHAT VENTE</v>
          </cell>
          <cell r="AV857"/>
        </row>
        <row r="858">
          <cell r="Z858">
            <v>8130277</v>
          </cell>
          <cell r="AA858"/>
          <cell r="AB858"/>
          <cell r="AC858"/>
          <cell r="AD858"/>
          <cell r="AE858"/>
          <cell r="AF858"/>
          <cell r="AG858"/>
          <cell r="AH858" t="str">
            <v>en stock</v>
          </cell>
          <cell r="AI858"/>
          <cell r="AJ858"/>
          <cell r="AK858"/>
          <cell r="AL858"/>
          <cell r="AM858"/>
          <cell r="AN858" t="str">
            <v/>
          </cell>
          <cell r="AO858"/>
          <cell r="AP858"/>
          <cell r="AQ858"/>
          <cell r="AR858"/>
          <cell r="AS858"/>
          <cell r="AT858"/>
          <cell r="AU858" t="str">
            <v>ACHAT VENTE</v>
          </cell>
          <cell r="AV858"/>
        </row>
        <row r="859">
          <cell r="Z859">
            <v>8130278</v>
          </cell>
          <cell r="AA859" t="str">
            <v>XO
2-3/8" IF Pin x 2-3/8" REG Box</v>
          </cell>
          <cell r="AB859">
            <v>19</v>
          </cell>
          <cell r="AC859">
            <v>3.375</v>
          </cell>
          <cell r="AD859">
            <v>500</v>
          </cell>
          <cell r="AE859" t="str">
            <v>2-3/8" IF Pin</v>
          </cell>
          <cell r="AF859" t="str">
            <v>2-3/8" REG Box</v>
          </cell>
          <cell r="AG859"/>
          <cell r="AH859" t="str">
            <v>maintenance</v>
          </cell>
          <cell r="AI859" t="str">
            <v/>
          </cell>
          <cell r="AJ859">
            <v>0</v>
          </cell>
          <cell r="AK859">
            <v>1</v>
          </cell>
          <cell r="AL859"/>
          <cell r="AM859"/>
          <cell r="AN859" t="str">
            <v/>
          </cell>
          <cell r="AO859"/>
          <cell r="AP859"/>
          <cell r="AQ859"/>
          <cell r="AR859"/>
          <cell r="AS859">
            <v>22</v>
          </cell>
          <cell r="AT859"/>
          <cell r="AU859" t="str">
            <v>ACHAT VENTE</v>
          </cell>
          <cell r="AV859"/>
        </row>
        <row r="860">
          <cell r="Z860">
            <v>7030279</v>
          </cell>
          <cell r="AA860"/>
          <cell r="AB860"/>
          <cell r="AC860"/>
          <cell r="AD860"/>
          <cell r="AE860"/>
          <cell r="AF860"/>
          <cell r="AG860"/>
          <cell r="AH860" t="str">
            <v>en stock</v>
          </cell>
          <cell r="AI860"/>
          <cell r="AJ860"/>
          <cell r="AK860"/>
          <cell r="AL860"/>
          <cell r="AM860"/>
          <cell r="AN860" t="str">
            <v/>
          </cell>
          <cell r="AO860"/>
          <cell r="AP860"/>
          <cell r="AQ860"/>
          <cell r="AR860"/>
          <cell r="AS860"/>
          <cell r="AT860"/>
          <cell r="AU860" t="str">
            <v>ACHAT VENTE</v>
          </cell>
          <cell r="AV860"/>
        </row>
        <row r="861">
          <cell r="Z861">
            <v>8100280</v>
          </cell>
          <cell r="AA861"/>
          <cell r="AB861"/>
          <cell r="AC861"/>
          <cell r="AD861"/>
          <cell r="AE861"/>
          <cell r="AF861"/>
          <cell r="AG861"/>
          <cell r="AH861" t="str">
            <v>en stock</v>
          </cell>
          <cell r="AI861"/>
          <cell r="AJ861"/>
          <cell r="AK861"/>
          <cell r="AL861"/>
          <cell r="AM861"/>
          <cell r="AN861" t="str">
            <v/>
          </cell>
          <cell r="AO861"/>
          <cell r="AP861"/>
          <cell r="AQ861"/>
          <cell r="AR861"/>
          <cell r="AS861"/>
          <cell r="AT861"/>
          <cell r="AU861" t="str">
            <v>ACHAT VENTE</v>
          </cell>
          <cell r="AV861"/>
        </row>
        <row r="862">
          <cell r="Z862">
            <v>8100281</v>
          </cell>
          <cell r="AA862"/>
          <cell r="AB862"/>
          <cell r="AC862"/>
          <cell r="AD862"/>
          <cell r="AE862"/>
          <cell r="AF862"/>
          <cell r="AG862"/>
          <cell r="AH862" t="str">
            <v>en stock</v>
          </cell>
          <cell r="AI862"/>
          <cell r="AJ862"/>
          <cell r="AK862"/>
          <cell r="AL862"/>
          <cell r="AM862"/>
          <cell r="AN862" t="str">
            <v/>
          </cell>
          <cell r="AO862"/>
          <cell r="AP862"/>
          <cell r="AQ862"/>
          <cell r="AR862"/>
          <cell r="AS862"/>
          <cell r="AT862"/>
          <cell r="AU862" t="str">
            <v>ACHAT VENTE</v>
          </cell>
          <cell r="AV862"/>
        </row>
        <row r="863">
          <cell r="Z863">
            <v>8100282</v>
          </cell>
          <cell r="AA863"/>
          <cell r="AB863"/>
          <cell r="AC863"/>
          <cell r="AD863"/>
          <cell r="AE863"/>
          <cell r="AF863"/>
          <cell r="AG863"/>
          <cell r="AH863" t="str">
            <v>en stock</v>
          </cell>
          <cell r="AI863"/>
          <cell r="AJ863"/>
          <cell r="AK863"/>
          <cell r="AL863"/>
          <cell r="AM863"/>
          <cell r="AN863" t="str">
            <v/>
          </cell>
          <cell r="AO863"/>
          <cell r="AP863"/>
          <cell r="AQ863"/>
          <cell r="AR863"/>
          <cell r="AS863"/>
          <cell r="AT863"/>
          <cell r="AU863" t="str">
            <v>ACHAT VENTE</v>
          </cell>
          <cell r="AV863"/>
        </row>
        <row r="864">
          <cell r="Z864">
            <v>1120283</v>
          </cell>
          <cell r="AA864"/>
          <cell r="AB864"/>
          <cell r="AC864"/>
          <cell r="AD864"/>
          <cell r="AE864"/>
          <cell r="AF864"/>
          <cell r="AG864"/>
          <cell r="AH864" t="str">
            <v>en stock</v>
          </cell>
          <cell r="AI864"/>
          <cell r="AJ864"/>
          <cell r="AK864"/>
          <cell r="AL864"/>
          <cell r="AM864"/>
          <cell r="AN864" t="str">
            <v/>
          </cell>
          <cell r="AO864"/>
          <cell r="AP864"/>
          <cell r="AQ864"/>
          <cell r="AR864"/>
          <cell r="AS864"/>
          <cell r="AT864"/>
          <cell r="AU864" t="str">
            <v>ACHAT VENTE</v>
          </cell>
          <cell r="AV864"/>
        </row>
        <row r="865">
          <cell r="Z865">
            <v>1120284</v>
          </cell>
          <cell r="AA865"/>
          <cell r="AB865"/>
          <cell r="AC865"/>
          <cell r="AD865"/>
          <cell r="AE865"/>
          <cell r="AF865"/>
          <cell r="AG865"/>
          <cell r="AH865" t="str">
            <v>en stock</v>
          </cell>
          <cell r="AI865"/>
          <cell r="AJ865"/>
          <cell r="AK865"/>
          <cell r="AL865"/>
          <cell r="AM865"/>
          <cell r="AN865" t="str">
            <v/>
          </cell>
          <cell r="AO865"/>
          <cell r="AP865"/>
          <cell r="AQ865"/>
          <cell r="AR865"/>
          <cell r="AS865"/>
          <cell r="AT865"/>
          <cell r="AU865" t="str">
            <v>ACHAT VENTE</v>
          </cell>
          <cell r="AV865"/>
        </row>
        <row r="866">
          <cell r="Z866">
            <v>1120285</v>
          </cell>
          <cell r="AA866"/>
          <cell r="AB866"/>
          <cell r="AC866"/>
          <cell r="AD866"/>
          <cell r="AE866"/>
          <cell r="AF866"/>
          <cell r="AG866"/>
          <cell r="AH866" t="str">
            <v>en stock</v>
          </cell>
          <cell r="AI866"/>
          <cell r="AJ866"/>
          <cell r="AK866"/>
          <cell r="AL866"/>
          <cell r="AM866"/>
          <cell r="AN866" t="str">
            <v/>
          </cell>
          <cell r="AO866"/>
          <cell r="AP866"/>
          <cell r="AQ866"/>
          <cell r="AR866"/>
          <cell r="AS866"/>
          <cell r="AT866"/>
          <cell r="AU866" t="str">
            <v>ACHAT VENTE</v>
          </cell>
          <cell r="AV866"/>
        </row>
        <row r="867">
          <cell r="Z867" t="str">
            <v/>
          </cell>
          <cell r="AA867"/>
          <cell r="AB867"/>
          <cell r="AC867"/>
          <cell r="AD867"/>
          <cell r="AE867"/>
          <cell r="AF867"/>
          <cell r="AG867"/>
          <cell r="AH867" t="str">
            <v>en stock</v>
          </cell>
          <cell r="AI867"/>
          <cell r="AJ867"/>
          <cell r="AK867"/>
          <cell r="AL867"/>
          <cell r="AM867"/>
          <cell r="AN867" t="str">
            <v/>
          </cell>
          <cell r="AO867"/>
          <cell r="AP867"/>
          <cell r="AQ867"/>
          <cell r="AR867"/>
          <cell r="AS867"/>
          <cell r="AT867"/>
          <cell r="AU867" t="str">
            <v>ACHAT VENTE</v>
          </cell>
          <cell r="AV867"/>
        </row>
        <row r="868">
          <cell r="Z868">
            <v>7025103</v>
          </cell>
          <cell r="AA868"/>
          <cell r="AB868"/>
          <cell r="AC868"/>
          <cell r="AD868"/>
          <cell r="AE868"/>
          <cell r="AF868"/>
          <cell r="AG868"/>
          <cell r="AH868" t="str">
            <v>en stock</v>
          </cell>
          <cell r="AI868"/>
          <cell r="AJ868"/>
          <cell r="AK868"/>
          <cell r="AL868"/>
          <cell r="AM868"/>
          <cell r="AN868" t="str">
            <v/>
          </cell>
          <cell r="AO868"/>
          <cell r="AP868"/>
          <cell r="AQ868"/>
          <cell r="AR868"/>
          <cell r="AS868"/>
          <cell r="AT868"/>
          <cell r="AU868" t="str">
            <v>ACHAT VENTE</v>
          </cell>
          <cell r="AV868"/>
        </row>
        <row r="869">
          <cell r="Z869">
            <v>7025104</v>
          </cell>
          <cell r="AA869"/>
          <cell r="AB869"/>
          <cell r="AC869"/>
          <cell r="AD869"/>
          <cell r="AE869"/>
          <cell r="AF869"/>
          <cell r="AG869"/>
          <cell r="AH869" t="str">
            <v>en stock</v>
          </cell>
          <cell r="AI869"/>
          <cell r="AJ869"/>
          <cell r="AK869"/>
          <cell r="AL869"/>
          <cell r="AM869"/>
          <cell r="AN869" t="str">
            <v/>
          </cell>
          <cell r="AO869"/>
          <cell r="AP869"/>
          <cell r="AQ869"/>
          <cell r="AR869"/>
          <cell r="AS869"/>
          <cell r="AT869"/>
          <cell r="AU869" t="str">
            <v>ACHAT VENTE</v>
          </cell>
          <cell r="AV869"/>
        </row>
        <row r="870">
          <cell r="Z870">
            <v>7025105</v>
          </cell>
          <cell r="AA870"/>
          <cell r="AB870"/>
          <cell r="AC870"/>
          <cell r="AD870"/>
          <cell r="AE870"/>
          <cell r="AF870"/>
          <cell r="AG870"/>
          <cell r="AH870" t="str">
            <v>en stock</v>
          </cell>
          <cell r="AI870"/>
          <cell r="AJ870"/>
          <cell r="AK870"/>
          <cell r="AL870"/>
          <cell r="AM870"/>
          <cell r="AN870" t="str">
            <v/>
          </cell>
          <cell r="AO870"/>
          <cell r="AP870"/>
          <cell r="AQ870"/>
          <cell r="AR870"/>
          <cell r="AS870"/>
          <cell r="AT870"/>
          <cell r="AU870" t="str">
            <v>ACHAT VENTE</v>
          </cell>
          <cell r="AV870"/>
        </row>
        <row r="871">
          <cell r="Z871">
            <v>70420094</v>
          </cell>
          <cell r="AA871"/>
          <cell r="AB871"/>
          <cell r="AC871"/>
          <cell r="AD871"/>
          <cell r="AE871"/>
          <cell r="AF871"/>
          <cell r="AG871"/>
          <cell r="AH871" t="str">
            <v>en stock</v>
          </cell>
          <cell r="AI871"/>
          <cell r="AJ871"/>
          <cell r="AK871"/>
          <cell r="AL871"/>
          <cell r="AM871"/>
          <cell r="AN871" t="str">
            <v/>
          </cell>
          <cell r="AO871"/>
          <cell r="AP871"/>
          <cell r="AQ871"/>
          <cell r="AR871"/>
          <cell r="AS871"/>
          <cell r="AT871"/>
          <cell r="AU871" t="str">
            <v>ACHAT VENTE</v>
          </cell>
          <cell r="AV871"/>
        </row>
        <row r="872">
          <cell r="Z872">
            <v>70520095</v>
          </cell>
          <cell r="AA872"/>
          <cell r="AB872"/>
          <cell r="AC872"/>
          <cell r="AD872"/>
          <cell r="AE872"/>
          <cell r="AF872"/>
          <cell r="AG872"/>
          <cell r="AH872" t="str">
            <v>en stock</v>
          </cell>
          <cell r="AI872"/>
          <cell r="AJ872"/>
          <cell r="AK872"/>
          <cell r="AL872"/>
          <cell r="AM872"/>
          <cell r="AN872" t="str">
            <v/>
          </cell>
          <cell r="AO872"/>
          <cell r="AP872"/>
          <cell r="AQ872"/>
          <cell r="AR872"/>
          <cell r="AS872"/>
          <cell r="AT872"/>
          <cell r="AU872" t="str">
            <v>ACHAT VENTE</v>
          </cell>
          <cell r="AV872"/>
        </row>
        <row r="873">
          <cell r="Z873">
            <v>70520096</v>
          </cell>
          <cell r="AA873"/>
          <cell r="AB873"/>
          <cell r="AC873"/>
          <cell r="AD873"/>
          <cell r="AE873"/>
          <cell r="AF873"/>
          <cell r="AG873"/>
          <cell r="AH873" t="str">
            <v>en stock</v>
          </cell>
          <cell r="AI873"/>
          <cell r="AJ873"/>
          <cell r="AK873"/>
          <cell r="AL873"/>
          <cell r="AM873"/>
          <cell r="AN873" t="str">
            <v/>
          </cell>
          <cell r="AO873"/>
          <cell r="AP873"/>
          <cell r="AQ873"/>
          <cell r="AR873"/>
          <cell r="AS873"/>
          <cell r="AT873"/>
          <cell r="AU873" t="str">
            <v>ACHAT VENTE</v>
          </cell>
          <cell r="AV873"/>
        </row>
        <row r="874">
          <cell r="Z874">
            <v>1120287</v>
          </cell>
          <cell r="AA874"/>
          <cell r="AB874"/>
          <cell r="AC874"/>
          <cell r="AD874"/>
          <cell r="AE874"/>
          <cell r="AF874"/>
          <cell r="AG874"/>
          <cell r="AH874" t="str">
            <v>en stock</v>
          </cell>
          <cell r="AI874"/>
          <cell r="AJ874"/>
          <cell r="AK874"/>
          <cell r="AL874"/>
          <cell r="AM874"/>
          <cell r="AN874" t="str">
            <v/>
          </cell>
          <cell r="AO874"/>
          <cell r="AP874"/>
          <cell r="AQ874"/>
          <cell r="AR874"/>
          <cell r="AS874"/>
          <cell r="AT874"/>
          <cell r="AU874" t="str">
            <v>ACHAT VENTE</v>
          </cell>
          <cell r="AV874"/>
        </row>
        <row r="875">
          <cell r="Z875">
            <v>1120288</v>
          </cell>
          <cell r="AA875"/>
          <cell r="AB875"/>
          <cell r="AC875"/>
          <cell r="AD875"/>
          <cell r="AE875"/>
          <cell r="AF875"/>
          <cell r="AG875"/>
          <cell r="AH875" t="str">
            <v>en stock</v>
          </cell>
          <cell r="AI875"/>
          <cell r="AJ875"/>
          <cell r="AK875"/>
          <cell r="AL875"/>
          <cell r="AM875"/>
          <cell r="AN875" t="str">
            <v/>
          </cell>
          <cell r="AO875"/>
          <cell r="AP875"/>
          <cell r="AQ875"/>
          <cell r="AR875"/>
          <cell r="AS875"/>
          <cell r="AT875"/>
          <cell r="AU875" t="str">
            <v>ACHAT VENTE</v>
          </cell>
          <cell r="AV875"/>
        </row>
        <row r="876">
          <cell r="Z876">
            <v>1120289</v>
          </cell>
          <cell r="AA876"/>
          <cell r="AB876"/>
          <cell r="AC876"/>
          <cell r="AD876"/>
          <cell r="AE876"/>
          <cell r="AF876"/>
          <cell r="AG876"/>
          <cell r="AH876" t="str">
            <v>en stock</v>
          </cell>
          <cell r="AI876"/>
          <cell r="AJ876"/>
          <cell r="AK876"/>
          <cell r="AL876"/>
          <cell r="AM876"/>
          <cell r="AN876" t="str">
            <v/>
          </cell>
          <cell r="AO876"/>
          <cell r="AP876"/>
          <cell r="AQ876"/>
          <cell r="AR876"/>
          <cell r="AS876"/>
          <cell r="AT876"/>
          <cell r="AU876" t="str">
            <v>ACHAT VENTE</v>
          </cell>
          <cell r="AV876"/>
        </row>
        <row r="877">
          <cell r="Z877">
            <v>1120290</v>
          </cell>
          <cell r="AA877"/>
          <cell r="AB877"/>
          <cell r="AC877"/>
          <cell r="AD877"/>
          <cell r="AE877"/>
          <cell r="AF877"/>
          <cell r="AG877"/>
          <cell r="AH877" t="str">
            <v>en stock</v>
          </cell>
          <cell r="AI877"/>
          <cell r="AJ877"/>
          <cell r="AK877"/>
          <cell r="AL877"/>
          <cell r="AM877"/>
          <cell r="AN877" t="str">
            <v/>
          </cell>
          <cell r="AO877"/>
          <cell r="AP877"/>
          <cell r="AQ877"/>
          <cell r="AR877"/>
          <cell r="AS877"/>
          <cell r="AT877"/>
          <cell r="AU877" t="str">
            <v>ACHAT VENTE</v>
          </cell>
          <cell r="AV877"/>
        </row>
        <row r="878">
          <cell r="Z878">
            <v>10620097</v>
          </cell>
          <cell r="AA878"/>
          <cell r="AB878"/>
          <cell r="AC878"/>
          <cell r="AD878"/>
          <cell r="AE878"/>
          <cell r="AF878"/>
          <cell r="AG878"/>
          <cell r="AH878" t="str">
            <v>en stock</v>
          </cell>
          <cell r="AI878"/>
          <cell r="AJ878"/>
          <cell r="AK878"/>
          <cell r="AL878"/>
          <cell r="AM878"/>
          <cell r="AN878" t="str">
            <v/>
          </cell>
          <cell r="AO878"/>
          <cell r="AP878"/>
          <cell r="AQ878"/>
          <cell r="AR878"/>
          <cell r="AS878"/>
          <cell r="AT878"/>
          <cell r="AU878" t="str">
            <v>ACHAT VENTE</v>
          </cell>
          <cell r="AV878"/>
        </row>
        <row r="879">
          <cell r="Z879">
            <v>10620098</v>
          </cell>
          <cell r="AA879"/>
          <cell r="AB879"/>
          <cell r="AC879"/>
          <cell r="AD879"/>
          <cell r="AE879"/>
          <cell r="AF879"/>
          <cell r="AG879"/>
          <cell r="AH879" t="str">
            <v>en stock</v>
          </cell>
          <cell r="AI879"/>
          <cell r="AJ879"/>
          <cell r="AK879"/>
          <cell r="AL879"/>
          <cell r="AM879"/>
          <cell r="AN879" t="str">
            <v/>
          </cell>
          <cell r="AO879"/>
          <cell r="AP879"/>
          <cell r="AQ879"/>
          <cell r="AR879"/>
          <cell r="AS879"/>
          <cell r="AT879"/>
          <cell r="AU879" t="str">
            <v>ACHAT VENTE</v>
          </cell>
          <cell r="AV879"/>
        </row>
        <row r="880">
          <cell r="Z880">
            <v>16020099</v>
          </cell>
          <cell r="AA880"/>
          <cell r="AB880"/>
          <cell r="AC880"/>
          <cell r="AD880"/>
          <cell r="AE880"/>
          <cell r="AF880"/>
          <cell r="AG880"/>
          <cell r="AH880" t="str">
            <v>en stock</v>
          </cell>
          <cell r="AI880"/>
          <cell r="AJ880"/>
          <cell r="AK880"/>
          <cell r="AL880"/>
          <cell r="AM880"/>
          <cell r="AN880" t="str">
            <v/>
          </cell>
          <cell r="AO880"/>
          <cell r="AP880"/>
          <cell r="AQ880"/>
          <cell r="AR880"/>
          <cell r="AS880"/>
          <cell r="AT880"/>
          <cell r="AU880" t="str">
            <v>ACHAT VENTE</v>
          </cell>
          <cell r="AV880"/>
        </row>
        <row r="881">
          <cell r="Z881">
            <v>10620100</v>
          </cell>
          <cell r="AA881"/>
          <cell r="AB881"/>
          <cell r="AC881"/>
          <cell r="AD881"/>
          <cell r="AE881"/>
          <cell r="AF881"/>
          <cell r="AG881"/>
          <cell r="AH881" t="str">
            <v>en stock</v>
          </cell>
          <cell r="AI881"/>
          <cell r="AJ881"/>
          <cell r="AK881"/>
          <cell r="AL881"/>
          <cell r="AM881"/>
          <cell r="AN881" t="str">
            <v/>
          </cell>
          <cell r="AO881"/>
          <cell r="AP881"/>
          <cell r="AQ881"/>
          <cell r="AR881"/>
          <cell r="AS881"/>
          <cell r="AT881"/>
          <cell r="AU881" t="str">
            <v>ACHAT VENTE</v>
          </cell>
          <cell r="AV881"/>
        </row>
        <row r="882">
          <cell r="Z882">
            <v>55020103</v>
          </cell>
          <cell r="AA882"/>
          <cell r="AB882"/>
          <cell r="AC882"/>
          <cell r="AD882"/>
          <cell r="AE882"/>
          <cell r="AF882"/>
          <cell r="AG882"/>
          <cell r="AH882" t="str">
            <v>en stock</v>
          </cell>
          <cell r="AI882"/>
          <cell r="AJ882"/>
          <cell r="AK882"/>
          <cell r="AL882"/>
          <cell r="AM882"/>
          <cell r="AN882" t="str">
            <v/>
          </cell>
          <cell r="AO882"/>
          <cell r="AP882"/>
          <cell r="AQ882"/>
          <cell r="AR882"/>
          <cell r="AS882"/>
          <cell r="AT882"/>
          <cell r="AU882" t="str">
            <v>ACHAT VENTE</v>
          </cell>
          <cell r="AV882"/>
        </row>
        <row r="883">
          <cell r="Z883">
            <v>55020104</v>
          </cell>
          <cell r="AA883"/>
          <cell r="AB883"/>
          <cell r="AC883"/>
          <cell r="AD883"/>
          <cell r="AE883"/>
          <cell r="AF883"/>
          <cell r="AG883"/>
          <cell r="AH883" t="str">
            <v>en stock</v>
          </cell>
          <cell r="AI883"/>
          <cell r="AJ883"/>
          <cell r="AK883"/>
          <cell r="AL883"/>
          <cell r="AM883"/>
          <cell r="AN883" t="str">
            <v/>
          </cell>
          <cell r="AO883"/>
          <cell r="AP883"/>
          <cell r="AQ883"/>
          <cell r="AR883"/>
          <cell r="AS883"/>
          <cell r="AT883"/>
          <cell r="AU883" t="str">
            <v>ACHAT VENTE</v>
          </cell>
          <cell r="AV883"/>
        </row>
        <row r="884">
          <cell r="Z884">
            <v>55020105</v>
          </cell>
          <cell r="AA884"/>
          <cell r="AB884"/>
          <cell r="AC884"/>
          <cell r="AD884"/>
          <cell r="AE884"/>
          <cell r="AF884"/>
          <cell r="AG884"/>
          <cell r="AH884" t="str">
            <v>en stock</v>
          </cell>
          <cell r="AI884"/>
          <cell r="AJ884"/>
          <cell r="AK884"/>
          <cell r="AL884"/>
          <cell r="AM884"/>
          <cell r="AN884" t="str">
            <v/>
          </cell>
          <cell r="AO884"/>
          <cell r="AP884"/>
          <cell r="AQ884"/>
          <cell r="AR884"/>
          <cell r="AS884"/>
          <cell r="AT884"/>
          <cell r="AU884" t="str">
            <v>ACHAT VENTE</v>
          </cell>
          <cell r="AV884"/>
        </row>
        <row r="885">
          <cell r="Z885">
            <v>55020106</v>
          </cell>
          <cell r="AA885"/>
          <cell r="AB885"/>
          <cell r="AC885"/>
          <cell r="AD885"/>
          <cell r="AE885"/>
          <cell r="AF885"/>
          <cell r="AG885"/>
          <cell r="AH885" t="str">
            <v>en stock</v>
          </cell>
          <cell r="AI885"/>
          <cell r="AJ885"/>
          <cell r="AK885"/>
          <cell r="AL885"/>
          <cell r="AM885"/>
          <cell r="AN885" t="str">
            <v/>
          </cell>
          <cell r="AO885"/>
          <cell r="AP885"/>
          <cell r="AQ885"/>
          <cell r="AR885"/>
          <cell r="AS885"/>
          <cell r="AT885"/>
          <cell r="AU885" t="str">
            <v>ACHAT VENTE</v>
          </cell>
          <cell r="AV885"/>
        </row>
        <row r="886">
          <cell r="Z886">
            <v>1060107</v>
          </cell>
          <cell r="AA886"/>
          <cell r="AB886"/>
          <cell r="AC886"/>
          <cell r="AD886"/>
          <cell r="AE886"/>
          <cell r="AF886"/>
          <cell r="AG886"/>
          <cell r="AH886" t="str">
            <v>en stock</v>
          </cell>
          <cell r="AI886"/>
          <cell r="AJ886"/>
          <cell r="AK886"/>
          <cell r="AL886"/>
          <cell r="AM886"/>
          <cell r="AN886" t="str">
            <v/>
          </cell>
          <cell r="AO886"/>
          <cell r="AP886"/>
          <cell r="AQ886"/>
          <cell r="AR886"/>
          <cell r="AS886"/>
          <cell r="AT886"/>
          <cell r="AU886" t="str">
            <v>ACHAT VENTE</v>
          </cell>
          <cell r="AV886"/>
        </row>
        <row r="887">
          <cell r="Z887">
            <v>1060108</v>
          </cell>
          <cell r="AA887"/>
          <cell r="AB887"/>
          <cell r="AC887"/>
          <cell r="AD887"/>
          <cell r="AE887"/>
          <cell r="AF887"/>
          <cell r="AG887"/>
          <cell r="AH887" t="str">
            <v>en stock</v>
          </cell>
          <cell r="AI887"/>
          <cell r="AJ887"/>
          <cell r="AK887"/>
          <cell r="AL887"/>
          <cell r="AM887"/>
          <cell r="AN887" t="str">
            <v/>
          </cell>
          <cell r="AO887"/>
          <cell r="AP887"/>
          <cell r="AQ887"/>
          <cell r="AR887"/>
          <cell r="AS887"/>
          <cell r="AT887"/>
          <cell r="AU887" t="str">
            <v>ACHAT VENTE</v>
          </cell>
          <cell r="AV887"/>
        </row>
        <row r="888">
          <cell r="Z888">
            <v>5160109</v>
          </cell>
          <cell r="AA888"/>
          <cell r="AB888"/>
          <cell r="AC888"/>
          <cell r="AD888"/>
          <cell r="AE888"/>
          <cell r="AF888"/>
          <cell r="AG888"/>
          <cell r="AH888" t="str">
            <v>en stock</v>
          </cell>
          <cell r="AI888"/>
          <cell r="AJ888"/>
          <cell r="AK888"/>
          <cell r="AL888"/>
          <cell r="AM888"/>
          <cell r="AN888" t="str">
            <v/>
          </cell>
          <cell r="AO888"/>
          <cell r="AP888"/>
          <cell r="AQ888"/>
          <cell r="AR888"/>
          <cell r="AS888"/>
          <cell r="AT888"/>
          <cell r="AU888" t="str">
            <v>ACHAT VENTE</v>
          </cell>
          <cell r="AV888"/>
        </row>
        <row r="889">
          <cell r="Z889">
            <v>5160110</v>
          </cell>
          <cell r="AA889"/>
          <cell r="AB889"/>
          <cell r="AC889"/>
          <cell r="AD889"/>
          <cell r="AE889"/>
          <cell r="AF889"/>
          <cell r="AG889"/>
          <cell r="AH889" t="str">
            <v>en stock</v>
          </cell>
          <cell r="AI889"/>
          <cell r="AJ889"/>
          <cell r="AK889"/>
          <cell r="AL889"/>
          <cell r="AM889"/>
          <cell r="AN889" t="str">
            <v/>
          </cell>
          <cell r="AO889"/>
          <cell r="AP889"/>
          <cell r="AQ889"/>
          <cell r="AR889"/>
          <cell r="AS889"/>
          <cell r="AT889"/>
          <cell r="AU889" t="str">
            <v>ACHAT VENTE</v>
          </cell>
          <cell r="AV889"/>
        </row>
        <row r="890">
          <cell r="Z890">
            <v>8130111</v>
          </cell>
          <cell r="AA890"/>
          <cell r="AB890"/>
          <cell r="AC890"/>
          <cell r="AD890"/>
          <cell r="AE890"/>
          <cell r="AF890"/>
          <cell r="AG890"/>
          <cell r="AH890" t="str">
            <v>en stock</v>
          </cell>
          <cell r="AI890"/>
          <cell r="AJ890"/>
          <cell r="AK890"/>
          <cell r="AL890"/>
          <cell r="AM890"/>
          <cell r="AN890" t="str">
            <v/>
          </cell>
          <cell r="AO890"/>
          <cell r="AP890"/>
          <cell r="AQ890"/>
          <cell r="AR890"/>
          <cell r="AS890"/>
          <cell r="AT890"/>
          <cell r="AU890" t="str">
            <v>ACHAT VENTE</v>
          </cell>
          <cell r="AV890"/>
        </row>
        <row r="891">
          <cell r="Z891">
            <v>5090112</v>
          </cell>
          <cell r="AA891"/>
          <cell r="AB891"/>
          <cell r="AC891"/>
          <cell r="AD891"/>
          <cell r="AE891"/>
          <cell r="AF891"/>
          <cell r="AG891"/>
          <cell r="AH891" t="str">
            <v>en stock</v>
          </cell>
          <cell r="AI891"/>
          <cell r="AJ891"/>
          <cell r="AK891"/>
          <cell r="AL891"/>
          <cell r="AM891"/>
          <cell r="AN891" t="str">
            <v/>
          </cell>
          <cell r="AO891"/>
          <cell r="AP891"/>
          <cell r="AQ891"/>
          <cell r="AR891"/>
          <cell r="AS891"/>
          <cell r="AT891"/>
          <cell r="AU891" t="str">
            <v>ACHAT VENTE</v>
          </cell>
          <cell r="AV891"/>
        </row>
        <row r="892">
          <cell r="Z892">
            <v>5100286</v>
          </cell>
          <cell r="AA892"/>
          <cell r="AB892"/>
          <cell r="AC892"/>
          <cell r="AD892"/>
          <cell r="AE892"/>
          <cell r="AF892"/>
          <cell r="AG892"/>
          <cell r="AH892" t="str">
            <v>en stock</v>
          </cell>
          <cell r="AI892"/>
          <cell r="AJ892"/>
          <cell r="AK892"/>
          <cell r="AL892"/>
          <cell r="AM892"/>
          <cell r="AN892" t="str">
            <v/>
          </cell>
          <cell r="AO892"/>
          <cell r="AP892"/>
          <cell r="AQ892"/>
          <cell r="AR892"/>
          <cell r="AS892" t="e">
            <v>#N/A</v>
          </cell>
          <cell r="AT892"/>
          <cell r="AU892" t="str">
            <v>RDC</v>
          </cell>
          <cell r="AV892"/>
        </row>
        <row r="893">
          <cell r="Z893">
            <v>5100287</v>
          </cell>
          <cell r="AA893"/>
          <cell r="AB893"/>
          <cell r="AC893"/>
          <cell r="AD893"/>
          <cell r="AE893"/>
          <cell r="AF893"/>
          <cell r="AG893"/>
          <cell r="AH893" t="str">
            <v>en stock</v>
          </cell>
          <cell r="AI893"/>
          <cell r="AJ893"/>
          <cell r="AK893"/>
          <cell r="AL893"/>
          <cell r="AM893"/>
          <cell r="AN893" t="str">
            <v/>
          </cell>
          <cell r="AO893"/>
          <cell r="AP893"/>
          <cell r="AQ893"/>
          <cell r="AR893"/>
          <cell r="AS893" t="e">
            <v>#N/A</v>
          </cell>
          <cell r="AT893"/>
          <cell r="AU893" t="str">
            <v>RDC</v>
          </cell>
          <cell r="AV893"/>
        </row>
        <row r="894">
          <cell r="Z894">
            <v>5100288</v>
          </cell>
          <cell r="AA894"/>
          <cell r="AB894"/>
          <cell r="AC894"/>
          <cell r="AD894"/>
          <cell r="AE894"/>
          <cell r="AF894"/>
          <cell r="AG894"/>
          <cell r="AH894" t="str">
            <v>en stock</v>
          </cell>
          <cell r="AI894"/>
          <cell r="AJ894"/>
          <cell r="AK894"/>
          <cell r="AL894"/>
          <cell r="AM894"/>
          <cell r="AN894" t="str">
            <v/>
          </cell>
          <cell r="AO894"/>
          <cell r="AP894"/>
          <cell r="AQ894"/>
          <cell r="AR894"/>
          <cell r="AS894" t="e">
            <v>#N/A</v>
          </cell>
          <cell r="AT894"/>
          <cell r="AU894" t="str">
            <v>RDC</v>
          </cell>
          <cell r="AV894"/>
        </row>
        <row r="895">
          <cell r="Z895">
            <v>5100289</v>
          </cell>
          <cell r="AA895"/>
          <cell r="AB895"/>
          <cell r="AC895"/>
          <cell r="AD895"/>
          <cell r="AE895"/>
          <cell r="AF895"/>
          <cell r="AG895"/>
          <cell r="AH895" t="str">
            <v>en stock</v>
          </cell>
          <cell r="AI895"/>
          <cell r="AJ895"/>
          <cell r="AK895"/>
          <cell r="AL895"/>
          <cell r="AM895"/>
          <cell r="AN895" t="str">
            <v/>
          </cell>
          <cell r="AO895"/>
          <cell r="AP895"/>
          <cell r="AQ895"/>
          <cell r="AR895"/>
          <cell r="AS895" t="e">
            <v>#N/A</v>
          </cell>
          <cell r="AT895"/>
          <cell r="AU895" t="str">
            <v>RDC</v>
          </cell>
          <cell r="AV895"/>
        </row>
        <row r="896">
          <cell r="Z896">
            <v>5100290</v>
          </cell>
          <cell r="AA896"/>
          <cell r="AB896"/>
          <cell r="AC896"/>
          <cell r="AD896"/>
          <cell r="AE896"/>
          <cell r="AF896"/>
          <cell r="AG896"/>
          <cell r="AH896" t="str">
            <v>en stock</v>
          </cell>
          <cell r="AI896"/>
          <cell r="AJ896"/>
          <cell r="AK896"/>
          <cell r="AL896"/>
          <cell r="AM896"/>
          <cell r="AN896" t="str">
            <v/>
          </cell>
          <cell r="AO896"/>
          <cell r="AP896"/>
          <cell r="AQ896"/>
          <cell r="AR896"/>
          <cell r="AS896" t="e">
            <v>#N/A</v>
          </cell>
          <cell r="AT896"/>
          <cell r="AU896" t="str">
            <v>RDC</v>
          </cell>
          <cell r="AV896"/>
        </row>
        <row r="897">
          <cell r="Z897">
            <v>5030291</v>
          </cell>
          <cell r="AA897" t="str">
            <v>Junk Mill 
3-1/2" REG Pin</v>
          </cell>
          <cell r="AB897">
            <v>58</v>
          </cell>
          <cell r="AC897">
            <v>5.75</v>
          </cell>
          <cell r="AD897">
            <v>0</v>
          </cell>
          <cell r="AE897" t="str">
            <v>3-1/2" REG Pin</v>
          </cell>
          <cell r="AF897"/>
          <cell r="AG897" t="str">
            <v>Insert</v>
          </cell>
          <cell r="AH897" t="str">
            <v xml:space="preserve"> en stock </v>
          </cell>
          <cell r="AI897">
            <v>1</v>
          </cell>
          <cell r="AJ897">
            <v>0</v>
          </cell>
          <cell r="AK897">
            <v>0</v>
          </cell>
          <cell r="AL897"/>
          <cell r="AM897"/>
          <cell r="AN897">
            <v>5030291</v>
          </cell>
          <cell r="AO897"/>
          <cell r="AP897"/>
          <cell r="AQ897"/>
          <cell r="AR897"/>
          <cell r="AS897">
            <v>26</v>
          </cell>
          <cell r="AT897" t="str">
            <v>503-</v>
          </cell>
          <cell r="AU897" t="str">
            <v>FR</v>
          </cell>
          <cell r="AV897"/>
        </row>
        <row r="898">
          <cell r="Z898">
            <v>5030292</v>
          </cell>
          <cell r="AA898" t="str">
            <v>Junk Mill 
3-1/2" REG Pin</v>
          </cell>
          <cell r="AB898">
            <v>58</v>
          </cell>
          <cell r="AC898">
            <v>5.75</v>
          </cell>
          <cell r="AD898">
            <v>0</v>
          </cell>
          <cell r="AE898" t="str">
            <v>3-1/2" REG Pin</v>
          </cell>
          <cell r="AF898"/>
          <cell r="AG898" t="str">
            <v>Insert</v>
          </cell>
          <cell r="AH898" t="str">
            <v xml:space="preserve"> en stock </v>
          </cell>
          <cell r="AI898">
            <v>1</v>
          </cell>
          <cell r="AJ898">
            <v>0</v>
          </cell>
          <cell r="AK898">
            <v>0</v>
          </cell>
          <cell r="AL898"/>
          <cell r="AM898"/>
          <cell r="AN898">
            <v>5030292</v>
          </cell>
          <cell r="AO898"/>
          <cell r="AP898"/>
          <cell r="AQ898"/>
          <cell r="AR898"/>
          <cell r="AS898">
            <v>27</v>
          </cell>
          <cell r="AT898" t="str">
            <v>503-</v>
          </cell>
          <cell r="AU898" t="str">
            <v>FR</v>
          </cell>
          <cell r="AV898"/>
        </row>
        <row r="899">
          <cell r="Z899">
            <v>5030293</v>
          </cell>
          <cell r="AA899" t="str">
            <v>Junk Mill 
3-1/2" REG Pin</v>
          </cell>
          <cell r="AB899">
            <v>58</v>
          </cell>
          <cell r="AC899">
            <v>5.75</v>
          </cell>
          <cell r="AD899">
            <v>0</v>
          </cell>
          <cell r="AE899" t="str">
            <v>3-1/2" REG Pin</v>
          </cell>
          <cell r="AF899"/>
          <cell r="AG899" t="str">
            <v>Insert</v>
          </cell>
          <cell r="AH899" t="str">
            <v xml:space="preserve"> en stock </v>
          </cell>
          <cell r="AI899">
            <v>1</v>
          </cell>
          <cell r="AJ899">
            <v>0</v>
          </cell>
          <cell r="AK899">
            <v>0</v>
          </cell>
          <cell r="AL899"/>
          <cell r="AM899"/>
          <cell r="AN899">
            <v>5030293</v>
          </cell>
          <cell r="AO899"/>
          <cell r="AP899"/>
          <cell r="AQ899"/>
          <cell r="AR899"/>
          <cell r="AS899">
            <v>28</v>
          </cell>
          <cell r="AT899" t="str">
            <v>503-</v>
          </cell>
          <cell r="AU899" t="str">
            <v>FR</v>
          </cell>
          <cell r="AV899"/>
        </row>
        <row r="900">
          <cell r="Z900">
            <v>5030294</v>
          </cell>
          <cell r="AA900" t="str">
            <v>Junk Mill 
3-1/2" REG Pin</v>
          </cell>
          <cell r="AB900">
            <v>58</v>
          </cell>
          <cell r="AC900">
            <v>5.75</v>
          </cell>
          <cell r="AD900">
            <v>0</v>
          </cell>
          <cell r="AE900" t="str">
            <v>3-1/2" REG Pin</v>
          </cell>
          <cell r="AF900"/>
          <cell r="AG900" t="str">
            <v>Insert</v>
          </cell>
          <cell r="AH900" t="str">
            <v xml:space="preserve"> en stock </v>
          </cell>
          <cell r="AI900">
            <v>1</v>
          </cell>
          <cell r="AJ900">
            <v>0</v>
          </cell>
          <cell r="AK900">
            <v>0</v>
          </cell>
          <cell r="AL900"/>
          <cell r="AM900"/>
          <cell r="AN900">
            <v>5030294</v>
          </cell>
          <cell r="AO900"/>
          <cell r="AP900"/>
          <cell r="AQ900"/>
          <cell r="AR900"/>
          <cell r="AS900">
            <v>29</v>
          </cell>
          <cell r="AT900" t="str">
            <v>503-</v>
          </cell>
          <cell r="AU900" t="str">
            <v>FR</v>
          </cell>
          <cell r="AV900"/>
        </row>
        <row r="901">
          <cell r="Z901">
            <v>5120291</v>
          </cell>
          <cell r="AA901" t="str">
            <v>WO Top Sub
4-1/2" IF Box x 7-5/8" FJWP Pin x 4-1/2" REG Box in</v>
          </cell>
          <cell r="AB901">
            <v>110</v>
          </cell>
          <cell r="AC901">
            <v>7.5</v>
          </cell>
          <cell r="AD901">
            <v>695</v>
          </cell>
          <cell r="AE901" t="str">
            <v>4-1/2" IF Box</v>
          </cell>
          <cell r="AF901" t="str">
            <v>7-5/8" FJWP Pin</v>
          </cell>
          <cell r="AG901" t="str">
            <v>4-1/2" REG Box</v>
          </cell>
          <cell r="AH901" t="str">
            <v xml:space="preserve"> en stock </v>
          </cell>
          <cell r="AI901">
            <v>1</v>
          </cell>
          <cell r="AJ901">
            <v>0</v>
          </cell>
          <cell r="AK901">
            <v>0</v>
          </cell>
          <cell r="AL901"/>
          <cell r="AM901"/>
          <cell r="AN901" t="str">
            <v/>
          </cell>
          <cell r="AO901"/>
          <cell r="AP901"/>
          <cell r="AQ901"/>
          <cell r="AR901"/>
          <cell r="AS901">
            <v>30</v>
          </cell>
          <cell r="AT901"/>
          <cell r="AU901" t="str">
            <v/>
          </cell>
          <cell r="AV901"/>
        </row>
        <row r="902">
          <cell r="Z902">
            <v>5120292</v>
          </cell>
          <cell r="AA902" t="str">
            <v>WO Top Sub
4-1/2" IF Box x 7-5/8" FJWP Pin x 4-1/2" REG Box in</v>
          </cell>
          <cell r="AB902">
            <v>104</v>
          </cell>
          <cell r="AC902">
            <v>7.625</v>
          </cell>
          <cell r="AD902">
            <v>750</v>
          </cell>
          <cell r="AE902" t="str">
            <v>4-1/2" IF Box</v>
          </cell>
          <cell r="AF902" t="str">
            <v>7-5/8" FJWP Pin</v>
          </cell>
          <cell r="AG902" t="str">
            <v>4-1/2" REG Box</v>
          </cell>
          <cell r="AH902" t="str">
            <v xml:space="preserve"> en stock </v>
          </cell>
          <cell r="AI902">
            <v>1</v>
          </cell>
          <cell r="AJ902">
            <v>0</v>
          </cell>
          <cell r="AK902">
            <v>0</v>
          </cell>
          <cell r="AL902"/>
          <cell r="AM902"/>
          <cell r="AN902" t="str">
            <v/>
          </cell>
          <cell r="AO902"/>
          <cell r="AP902"/>
          <cell r="AQ902"/>
          <cell r="AR902"/>
          <cell r="AS902">
            <v>31</v>
          </cell>
          <cell r="AT902"/>
          <cell r="AU902" t="str">
            <v/>
          </cell>
          <cell r="AV902"/>
        </row>
        <row r="903">
          <cell r="Z903">
            <v>5120293</v>
          </cell>
          <cell r="AA903" t="str">
            <v>WO Top Sub
4-1/2" IF Box x 7-5/8" FJWP Pin x 4-1/2" REG Box in</v>
          </cell>
          <cell r="AB903">
            <v>104</v>
          </cell>
          <cell r="AC903">
            <v>7.625</v>
          </cell>
          <cell r="AD903">
            <v>750</v>
          </cell>
          <cell r="AE903" t="str">
            <v>4-1/2" IF Box</v>
          </cell>
          <cell r="AF903" t="str">
            <v>7-5/8" FJWP Pin</v>
          </cell>
          <cell r="AG903" t="str">
            <v>4-1/2" REG Box</v>
          </cell>
          <cell r="AH903" t="str">
            <v xml:space="preserve"> en stock </v>
          </cell>
          <cell r="AI903">
            <v>1</v>
          </cell>
          <cell r="AJ903">
            <v>0</v>
          </cell>
          <cell r="AK903">
            <v>0</v>
          </cell>
          <cell r="AL903"/>
          <cell r="AM903"/>
          <cell r="AN903" t="str">
            <v/>
          </cell>
          <cell r="AO903"/>
          <cell r="AP903"/>
          <cell r="AQ903"/>
          <cell r="AR903"/>
          <cell r="AS903">
            <v>32</v>
          </cell>
          <cell r="AT903"/>
          <cell r="AU903" t="str">
            <v/>
          </cell>
          <cell r="AV903"/>
        </row>
        <row r="904">
          <cell r="Z904">
            <v>5120295</v>
          </cell>
          <cell r="AA904" t="str">
            <v>WO Top Sub
4-1/2" REG Box x 6-1/4" FJWP Pin</v>
          </cell>
          <cell r="AB904">
            <v>52</v>
          </cell>
          <cell r="AC904">
            <v>6.25</v>
          </cell>
          <cell r="AD904">
            <v>485</v>
          </cell>
          <cell r="AE904" t="str">
            <v>4-1/2" REG Box</v>
          </cell>
          <cell r="AF904" t="str">
            <v>6-1/4" FJWP Pin</v>
          </cell>
          <cell r="AG904" t="str">
            <v xml:space="preserve"> - </v>
          </cell>
          <cell r="AH904" t="str">
            <v xml:space="preserve"> en stock </v>
          </cell>
          <cell r="AI904">
            <v>1</v>
          </cell>
          <cell r="AJ904">
            <v>0</v>
          </cell>
          <cell r="AK904">
            <v>0</v>
          </cell>
          <cell r="AL904"/>
          <cell r="AM904"/>
          <cell r="AN904" t="str">
            <v/>
          </cell>
          <cell r="AO904" t="str">
            <v>x</v>
          </cell>
          <cell r="AP904"/>
          <cell r="AQ904"/>
          <cell r="AR904"/>
          <cell r="AS904">
            <v>29</v>
          </cell>
          <cell r="AT904"/>
          <cell r="AU904" t="str">
            <v/>
          </cell>
          <cell r="AV904"/>
        </row>
        <row r="905">
          <cell r="Z905">
            <v>5120296</v>
          </cell>
          <cell r="AA905" t="str">
            <v>WO Top Sub
2-3/8" REG Pin x 4" ACME Pin  x 2-3/8" REG Box in</v>
          </cell>
          <cell r="AB905">
            <v>22</v>
          </cell>
          <cell r="AC905">
            <v>4</v>
          </cell>
          <cell r="AD905">
            <v>450</v>
          </cell>
          <cell r="AE905" t="str">
            <v>2-3/8" REG Pin</v>
          </cell>
          <cell r="AF905" t="str">
            <v xml:space="preserve">4" ACME Pin </v>
          </cell>
          <cell r="AG905" t="str">
            <v>2-3/8" REG Box</v>
          </cell>
          <cell r="AH905" t="str">
            <v xml:space="preserve"> en stock </v>
          </cell>
          <cell r="AI905">
            <v>1</v>
          </cell>
          <cell r="AJ905">
            <v>0</v>
          </cell>
          <cell r="AK905">
            <v>0</v>
          </cell>
          <cell r="AL905"/>
          <cell r="AM905"/>
          <cell r="AN905" t="str">
            <v/>
          </cell>
          <cell r="AO905" t="str">
            <v>x</v>
          </cell>
          <cell r="AP905"/>
          <cell r="AQ905"/>
          <cell r="AR905"/>
          <cell r="AS905">
            <v>12</v>
          </cell>
          <cell r="AT905"/>
          <cell r="AU905" t="str">
            <v/>
          </cell>
          <cell r="AV905"/>
        </row>
        <row r="906">
          <cell r="Z906">
            <v>5060296</v>
          </cell>
          <cell r="AA906" t="str">
            <v>String Mill 5,75 OD 
3-1/2" IF Box x 3-1/2" IF Pin</v>
          </cell>
          <cell r="AB906">
            <v>120</v>
          </cell>
          <cell r="AC906">
            <v>5.75</v>
          </cell>
          <cell r="AD906">
            <v>1790</v>
          </cell>
          <cell r="AE906" t="str">
            <v>3-1/2" IF Box</v>
          </cell>
          <cell r="AF906" t="str">
            <v>3-1/2" IF Pin</v>
          </cell>
          <cell r="AG906"/>
          <cell r="AH906" t="str">
            <v xml:space="preserve"> en stock </v>
          </cell>
          <cell r="AI906">
            <v>1</v>
          </cell>
          <cell r="AJ906">
            <v>0</v>
          </cell>
          <cell r="AK906">
            <v>0</v>
          </cell>
          <cell r="AL906"/>
          <cell r="AM906"/>
          <cell r="AN906" t="str">
            <v/>
          </cell>
          <cell r="AO906"/>
          <cell r="AP906"/>
          <cell r="AQ906"/>
          <cell r="AR906"/>
          <cell r="AS906">
            <v>9</v>
          </cell>
          <cell r="AT906"/>
          <cell r="AU906" t="str">
            <v>FR</v>
          </cell>
          <cell r="AV906"/>
        </row>
        <row r="907">
          <cell r="Z907">
            <v>51220101</v>
          </cell>
          <cell r="AA907"/>
          <cell r="AB907"/>
          <cell r="AC907"/>
          <cell r="AD907"/>
          <cell r="AE907"/>
          <cell r="AF907"/>
          <cell r="AG907"/>
          <cell r="AH907" t="str">
            <v>en stock</v>
          </cell>
          <cell r="AI907"/>
          <cell r="AJ907"/>
          <cell r="AK907"/>
          <cell r="AL907"/>
          <cell r="AM907"/>
          <cell r="AN907" t="str">
            <v/>
          </cell>
          <cell r="AO907"/>
          <cell r="AP907"/>
          <cell r="AQ907"/>
          <cell r="AR907"/>
          <cell r="AS907"/>
          <cell r="AT907"/>
          <cell r="AU907" t="str">
            <v/>
          </cell>
          <cell r="AV907"/>
        </row>
        <row r="908">
          <cell r="Z908">
            <v>51220102</v>
          </cell>
          <cell r="AA908"/>
          <cell r="AB908"/>
          <cell r="AC908"/>
          <cell r="AD908"/>
          <cell r="AE908"/>
          <cell r="AF908"/>
          <cell r="AG908"/>
          <cell r="AH908" t="str">
            <v>en stock</v>
          </cell>
          <cell r="AI908"/>
          <cell r="AJ908"/>
          <cell r="AK908"/>
          <cell r="AL908"/>
          <cell r="AM908"/>
          <cell r="AN908" t="str">
            <v/>
          </cell>
          <cell r="AO908"/>
          <cell r="AP908"/>
          <cell r="AQ908"/>
          <cell r="AR908"/>
          <cell r="AS908"/>
          <cell r="AT908"/>
          <cell r="AU908" t="str">
            <v/>
          </cell>
          <cell r="AV908"/>
        </row>
        <row r="909">
          <cell r="Z909" t="str">
            <v>512xxxx</v>
          </cell>
          <cell r="AA909"/>
          <cell r="AB909"/>
          <cell r="AC909"/>
          <cell r="AD909"/>
          <cell r="AE909"/>
          <cell r="AF909"/>
          <cell r="AG909"/>
          <cell r="AH909" t="str">
            <v>en stock</v>
          </cell>
          <cell r="AI909"/>
          <cell r="AJ909"/>
          <cell r="AK909"/>
          <cell r="AL909"/>
          <cell r="AM909"/>
          <cell r="AN909" t="str">
            <v/>
          </cell>
          <cell r="AO909"/>
          <cell r="AP909"/>
          <cell r="AQ909"/>
          <cell r="AR909"/>
          <cell r="AS909"/>
          <cell r="AT909"/>
          <cell r="AU909" t="str">
            <v>ACHAT VENTE</v>
          </cell>
          <cell r="AV909"/>
        </row>
        <row r="910">
          <cell r="Z910">
            <v>5120102</v>
          </cell>
          <cell r="AA910"/>
          <cell r="AB910"/>
          <cell r="AC910"/>
          <cell r="AD910"/>
          <cell r="AE910"/>
          <cell r="AF910"/>
          <cell r="AG910"/>
          <cell r="AH910" t="str">
            <v>en stock</v>
          </cell>
          <cell r="AI910"/>
          <cell r="AJ910"/>
          <cell r="AK910"/>
          <cell r="AL910"/>
          <cell r="AM910"/>
          <cell r="AN910" t="str">
            <v/>
          </cell>
          <cell r="AO910"/>
          <cell r="AP910"/>
          <cell r="AQ910"/>
          <cell r="AR910"/>
          <cell r="AS910"/>
          <cell r="AT910"/>
          <cell r="AU910" t="str">
            <v>ACHAT VENTE</v>
          </cell>
          <cell r="AV910"/>
        </row>
        <row r="911">
          <cell r="Z911" t="str">
            <v>512xxxx</v>
          </cell>
          <cell r="AA911"/>
          <cell r="AB911"/>
          <cell r="AC911"/>
          <cell r="AD911"/>
          <cell r="AE911"/>
          <cell r="AF911"/>
          <cell r="AG911"/>
          <cell r="AH911" t="str">
            <v>en stock</v>
          </cell>
          <cell r="AI911"/>
          <cell r="AJ911"/>
          <cell r="AK911"/>
          <cell r="AL911"/>
          <cell r="AM911"/>
          <cell r="AN911" t="str">
            <v/>
          </cell>
          <cell r="AO911"/>
          <cell r="AP911"/>
          <cell r="AQ911"/>
          <cell r="AR911"/>
          <cell r="AS911"/>
          <cell r="AT911"/>
          <cell r="AU911" t="str">
            <v>ACHAT VENTE</v>
          </cell>
          <cell r="AV911"/>
        </row>
        <row r="912">
          <cell r="Z912">
            <v>7120113</v>
          </cell>
          <cell r="AA912"/>
          <cell r="AB912"/>
          <cell r="AC912"/>
          <cell r="AD912"/>
          <cell r="AE912"/>
          <cell r="AF912"/>
          <cell r="AG912"/>
          <cell r="AH912" t="str">
            <v>en stock</v>
          </cell>
          <cell r="AI912"/>
          <cell r="AJ912"/>
          <cell r="AK912"/>
          <cell r="AL912"/>
          <cell r="AM912"/>
          <cell r="AN912" t="str">
            <v/>
          </cell>
          <cell r="AO912"/>
          <cell r="AP912"/>
          <cell r="AQ912"/>
          <cell r="AR912"/>
          <cell r="AS912"/>
          <cell r="AT912"/>
          <cell r="AU912" t="str">
            <v>RDC</v>
          </cell>
          <cell r="AV912"/>
        </row>
        <row r="913">
          <cell r="Z913">
            <v>7120114</v>
          </cell>
          <cell r="AA913"/>
          <cell r="AB913"/>
          <cell r="AC913"/>
          <cell r="AD913"/>
          <cell r="AE913"/>
          <cell r="AF913"/>
          <cell r="AG913"/>
          <cell r="AH913" t="str">
            <v>en stock</v>
          </cell>
          <cell r="AI913"/>
          <cell r="AJ913"/>
          <cell r="AK913"/>
          <cell r="AL913"/>
          <cell r="AM913"/>
          <cell r="AN913" t="str">
            <v/>
          </cell>
          <cell r="AO913"/>
          <cell r="AP913"/>
          <cell r="AQ913"/>
          <cell r="AR913"/>
          <cell r="AS913"/>
          <cell r="AT913"/>
          <cell r="AU913" t="str">
            <v>RDC</v>
          </cell>
          <cell r="AV913"/>
        </row>
        <row r="914">
          <cell r="Z914">
            <v>8130301</v>
          </cell>
          <cell r="AA914"/>
          <cell r="AB914"/>
          <cell r="AC914"/>
          <cell r="AD914"/>
          <cell r="AE914"/>
          <cell r="AF914"/>
          <cell r="AG914"/>
          <cell r="AH914" t="str">
            <v>en stock</v>
          </cell>
          <cell r="AI914"/>
          <cell r="AJ914"/>
          <cell r="AK914"/>
          <cell r="AL914"/>
          <cell r="AM914"/>
          <cell r="AN914">
            <v>8130301</v>
          </cell>
          <cell r="AO914"/>
          <cell r="AP914"/>
          <cell r="AQ914"/>
          <cell r="AR914"/>
          <cell r="AS914"/>
          <cell r="AT914"/>
          <cell r="AU914" t="str">
            <v/>
          </cell>
          <cell r="AV914"/>
        </row>
        <row r="915">
          <cell r="Z915">
            <v>5030302</v>
          </cell>
          <cell r="AA915"/>
          <cell r="AB915"/>
          <cell r="AC915"/>
          <cell r="AD915"/>
          <cell r="AE915"/>
          <cell r="AF915"/>
          <cell r="AG915"/>
          <cell r="AH915" t="str">
            <v>en stock</v>
          </cell>
          <cell r="AI915"/>
          <cell r="AJ915"/>
          <cell r="AK915"/>
          <cell r="AL915"/>
          <cell r="AM915"/>
          <cell r="AN915">
            <v>5030302</v>
          </cell>
          <cell r="AO915"/>
          <cell r="AP915"/>
          <cell r="AQ915"/>
          <cell r="AR915"/>
          <cell r="AS915"/>
          <cell r="AT915"/>
          <cell r="AU915" t="str">
            <v>Cameroun</v>
          </cell>
          <cell r="AV915"/>
        </row>
        <row r="916">
          <cell r="Z916">
            <v>5030303</v>
          </cell>
          <cell r="AA916"/>
          <cell r="AB916"/>
          <cell r="AC916"/>
          <cell r="AD916"/>
          <cell r="AE916"/>
          <cell r="AF916"/>
          <cell r="AG916"/>
          <cell r="AH916" t="str">
            <v>en stock</v>
          </cell>
          <cell r="AI916"/>
          <cell r="AJ916"/>
          <cell r="AK916"/>
          <cell r="AL916"/>
          <cell r="AM916"/>
          <cell r="AN916">
            <v>5030303</v>
          </cell>
          <cell r="AO916"/>
          <cell r="AP916"/>
          <cell r="AQ916"/>
          <cell r="AR916"/>
          <cell r="AS916"/>
          <cell r="AT916"/>
          <cell r="AU916" t="str">
            <v>Cameroun</v>
          </cell>
          <cell r="AV916"/>
        </row>
        <row r="917">
          <cell r="Z917">
            <v>5030304</v>
          </cell>
          <cell r="AA917"/>
          <cell r="AB917"/>
          <cell r="AC917"/>
          <cell r="AD917"/>
          <cell r="AE917"/>
          <cell r="AF917"/>
          <cell r="AG917"/>
          <cell r="AH917" t="str">
            <v>en stock</v>
          </cell>
          <cell r="AI917"/>
          <cell r="AJ917"/>
          <cell r="AK917"/>
          <cell r="AL917"/>
          <cell r="AM917"/>
          <cell r="AN917">
            <v>5030304</v>
          </cell>
          <cell r="AO917"/>
          <cell r="AP917"/>
          <cell r="AQ917"/>
          <cell r="AR917"/>
          <cell r="AS917"/>
          <cell r="AT917"/>
          <cell r="AU917" t="str">
            <v>Cameroun</v>
          </cell>
          <cell r="AV917"/>
        </row>
        <row r="918">
          <cell r="Z918">
            <v>5030305</v>
          </cell>
          <cell r="AA918"/>
          <cell r="AB918"/>
          <cell r="AC918"/>
          <cell r="AD918"/>
          <cell r="AE918"/>
          <cell r="AF918"/>
          <cell r="AG918"/>
          <cell r="AH918" t="str">
            <v>en stock</v>
          </cell>
          <cell r="AI918"/>
          <cell r="AJ918"/>
          <cell r="AK918"/>
          <cell r="AL918"/>
          <cell r="AM918"/>
          <cell r="AN918">
            <v>5030305</v>
          </cell>
          <cell r="AO918"/>
          <cell r="AP918"/>
          <cell r="AQ918"/>
          <cell r="AR918"/>
          <cell r="AS918"/>
          <cell r="AT918"/>
          <cell r="AU918" t="str">
            <v>Cameroun</v>
          </cell>
          <cell r="AV918"/>
        </row>
        <row r="919">
          <cell r="Z919"/>
          <cell r="AA919"/>
          <cell r="AB919"/>
          <cell r="AC919"/>
          <cell r="AD919"/>
          <cell r="AE919"/>
          <cell r="AF919"/>
          <cell r="AG919"/>
          <cell r="AH919" t="str">
            <v>en stock</v>
          </cell>
          <cell r="AI919"/>
          <cell r="AJ919"/>
          <cell r="AK919"/>
          <cell r="AL919"/>
          <cell r="AM919"/>
          <cell r="AN919">
            <v>5030306</v>
          </cell>
          <cell r="AO919"/>
          <cell r="AP919"/>
          <cell r="AQ919"/>
          <cell r="AR919"/>
          <cell r="AS919"/>
          <cell r="AT919"/>
          <cell r="AU919" t="str">
            <v>Cameroun</v>
          </cell>
          <cell r="AV919"/>
        </row>
        <row r="920">
          <cell r="Z920">
            <v>5030306</v>
          </cell>
          <cell r="AA920" t="str">
            <v>Junk Mill 
3-1/2" REG Pin</v>
          </cell>
          <cell r="AB920">
            <v>60</v>
          </cell>
          <cell r="AC920">
            <v>6.25</v>
          </cell>
          <cell r="AD920">
            <v>0</v>
          </cell>
          <cell r="AE920" t="str">
            <v>3-1/2" REG Pin</v>
          </cell>
          <cell r="AF920"/>
          <cell r="AG920" t="str">
            <v>C</v>
          </cell>
          <cell r="AH920" t="str">
            <v xml:space="preserve"> en stock </v>
          </cell>
          <cell r="AI920">
            <v>1</v>
          </cell>
          <cell r="AJ920">
            <v>0</v>
          </cell>
          <cell r="AK920">
            <v>0</v>
          </cell>
          <cell r="AL920"/>
          <cell r="AM920"/>
          <cell r="AN920" t="str">
            <v/>
          </cell>
          <cell r="AO920"/>
          <cell r="AP920"/>
          <cell r="AQ920"/>
          <cell r="AR920"/>
          <cell r="AS920">
            <v>36</v>
          </cell>
          <cell r="AT920" t="str">
            <v>503-</v>
          </cell>
          <cell r="AU920" t="str">
            <v/>
          </cell>
          <cell r="AV920"/>
        </row>
        <row r="921">
          <cell r="Z921">
            <v>5030307</v>
          </cell>
          <cell r="AA921"/>
          <cell r="AB921"/>
          <cell r="AC921"/>
          <cell r="AD921"/>
          <cell r="AE921"/>
          <cell r="AF921"/>
          <cell r="AG921"/>
          <cell r="AH921" t="str">
            <v>en stock</v>
          </cell>
          <cell r="AI921"/>
          <cell r="AJ921"/>
          <cell r="AK921"/>
          <cell r="AL921"/>
          <cell r="AM921"/>
          <cell r="AN921">
            <v>5030307</v>
          </cell>
          <cell r="AO921"/>
          <cell r="AP921"/>
          <cell r="AQ921"/>
          <cell r="AR921"/>
          <cell r="AS921"/>
          <cell r="AT921"/>
          <cell r="AU921" t="str">
            <v>Cameroun</v>
          </cell>
          <cell r="AV921"/>
        </row>
        <row r="922">
          <cell r="Z922" t="str">
            <v>reprendre la numérotation chronologique à xxx0600</v>
          </cell>
          <cell r="AA922"/>
          <cell r="AB922"/>
          <cell r="AC922"/>
          <cell r="AD922"/>
          <cell r="AE922"/>
          <cell r="AF922"/>
          <cell r="AG922"/>
          <cell r="AH922" t="str">
            <v>en stock</v>
          </cell>
          <cell r="AI922"/>
          <cell r="AJ922"/>
          <cell r="AK922"/>
          <cell r="AL922"/>
          <cell r="AM922"/>
          <cell r="AN922">
            <v>2018</v>
          </cell>
          <cell r="AO922"/>
          <cell r="AP922"/>
          <cell r="AQ922"/>
          <cell r="AR922"/>
          <cell r="AS922"/>
          <cell r="AT922"/>
          <cell r="AU922" t="str">
            <v/>
          </cell>
          <cell r="AV922"/>
        </row>
        <row r="923">
          <cell r="Z923">
            <v>8100341</v>
          </cell>
          <cell r="AA923" t="str">
            <v>Non Rotating Sleeve type Stabilizer 5-5/8" OD body
3-1/2" IF Box up x Pin down</v>
          </cell>
          <cell r="AB923">
            <v>130</v>
          </cell>
          <cell r="AC923">
            <v>5.375</v>
          </cell>
          <cell r="AD923">
            <v>1910</v>
          </cell>
          <cell r="AE923" t="str">
            <v>3-1/2" IF Box</v>
          </cell>
          <cell r="AF923" t="str">
            <v>3-1/2" IF Pin</v>
          </cell>
          <cell r="AG923"/>
          <cell r="AH923" t="str">
            <v>en stock</v>
          </cell>
          <cell r="AI923">
            <v>0</v>
          </cell>
          <cell r="AJ923">
            <v>0</v>
          </cell>
          <cell r="AK923">
            <v>1</v>
          </cell>
          <cell r="AL923"/>
          <cell r="AM923"/>
          <cell r="AN923" t="str">
            <v/>
          </cell>
          <cell r="AO923"/>
          <cell r="AP923"/>
          <cell r="AQ923"/>
          <cell r="AR923"/>
          <cell r="AS923">
            <v>6</v>
          </cell>
          <cell r="AT923"/>
          <cell r="AU923" t="str">
            <v/>
          </cell>
          <cell r="AV923"/>
        </row>
        <row r="924">
          <cell r="Z924">
            <v>1090345</v>
          </cell>
          <cell r="AA924"/>
          <cell r="AB924"/>
          <cell r="AC924">
            <v>5.125</v>
          </cell>
          <cell r="AD924"/>
          <cell r="AE924" t="str">
            <v>3-1/2"IF Box</v>
          </cell>
          <cell r="AF924" t="str">
            <v>3-1/2" IF Pin</v>
          </cell>
          <cell r="AG924"/>
          <cell r="AH924" t="str">
            <v>en stock</v>
          </cell>
          <cell r="AI924"/>
          <cell r="AJ924"/>
          <cell r="AK924"/>
          <cell r="AL924"/>
          <cell r="AM924"/>
          <cell r="AN924">
            <v>1090345</v>
          </cell>
          <cell r="AO924"/>
          <cell r="AP924"/>
          <cell r="AQ924"/>
          <cell r="AR924"/>
          <cell r="AS924"/>
          <cell r="AT924"/>
          <cell r="AU924" t="str">
            <v/>
          </cell>
          <cell r="AV924"/>
        </row>
        <row r="925">
          <cell r="Z925">
            <v>1090346</v>
          </cell>
          <cell r="AA925"/>
          <cell r="AB925"/>
          <cell r="AC925">
            <v>5.125</v>
          </cell>
          <cell r="AD925"/>
          <cell r="AE925" t="str">
            <v>3-1/2"IF Box</v>
          </cell>
          <cell r="AF925" t="str">
            <v>3-1/2" IF Pin</v>
          </cell>
          <cell r="AG925"/>
          <cell r="AH925" t="str">
            <v>en stock</v>
          </cell>
          <cell r="AI925"/>
          <cell r="AJ925"/>
          <cell r="AK925"/>
          <cell r="AL925"/>
          <cell r="AM925"/>
          <cell r="AN925">
            <v>1090346</v>
          </cell>
          <cell r="AO925"/>
          <cell r="AP925"/>
          <cell r="AQ925"/>
          <cell r="AR925"/>
          <cell r="AS925"/>
          <cell r="AT925"/>
          <cell r="AU925" t="str">
            <v/>
          </cell>
          <cell r="AV925"/>
        </row>
        <row r="926">
          <cell r="Z926">
            <v>5120347</v>
          </cell>
          <cell r="AA926" t="str">
            <v>WO Top Sub
3-1/2" IF Box x 5-1/2" FJWP Pin x 3-1/2" REG Box in</v>
          </cell>
          <cell r="AB926">
            <v>74</v>
          </cell>
          <cell r="AC926">
            <v>5.5</v>
          </cell>
          <cell r="AD926">
            <v>660</v>
          </cell>
          <cell r="AE926" t="str">
            <v>3-1/2" IF Box</v>
          </cell>
          <cell r="AF926" t="str">
            <v>5-1/2" FJWP Pin</v>
          </cell>
          <cell r="AG926" t="str">
            <v>3-1/2" REG Box</v>
          </cell>
          <cell r="AH926" t="str">
            <v xml:space="preserve"> en stock </v>
          </cell>
          <cell r="AI926">
            <v>1</v>
          </cell>
          <cell r="AJ926">
            <v>0</v>
          </cell>
          <cell r="AK926">
            <v>0</v>
          </cell>
          <cell r="AL926"/>
          <cell r="AM926"/>
          <cell r="AN926" t="str">
            <v/>
          </cell>
          <cell r="AO926"/>
          <cell r="AP926"/>
          <cell r="AQ926"/>
          <cell r="AR926"/>
          <cell r="AS926">
            <v>25</v>
          </cell>
          <cell r="AT926"/>
          <cell r="AU926" t="str">
            <v/>
          </cell>
          <cell r="AV926"/>
        </row>
        <row r="927">
          <cell r="Z927">
            <v>5070348</v>
          </cell>
          <cell r="AA927" t="str">
            <v>Super Junk Mill 
2-3/8" REG Pin</v>
          </cell>
          <cell r="AB927">
            <v>28</v>
          </cell>
          <cell r="AC927">
            <v>4.75</v>
          </cell>
          <cell r="AD927">
            <v>590</v>
          </cell>
          <cell r="AE927" t="str">
            <v>2-3/8" REG Pin</v>
          </cell>
          <cell r="AF927"/>
          <cell r="AG927" t="str">
            <v>C</v>
          </cell>
          <cell r="AH927" t="str">
            <v xml:space="preserve"> en stock </v>
          </cell>
          <cell r="AI927">
            <v>1</v>
          </cell>
          <cell r="AJ927">
            <v>0</v>
          </cell>
          <cell r="AK927">
            <v>0</v>
          </cell>
          <cell r="AL927"/>
          <cell r="AM927"/>
          <cell r="AN927" t="str">
            <v/>
          </cell>
          <cell r="AO927"/>
          <cell r="AP927"/>
          <cell r="AQ927"/>
          <cell r="AR927"/>
          <cell r="AS927">
            <v>15</v>
          </cell>
          <cell r="AT927" t="str">
            <v>507-</v>
          </cell>
          <cell r="AU927" t="str">
            <v/>
          </cell>
          <cell r="AV927"/>
        </row>
        <row r="928">
          <cell r="Z928">
            <v>8080349</v>
          </cell>
          <cell r="AA928" t="str">
            <v>Orienting Sub 6" Lg 560mm
4-1/2" IF Pin x Box</v>
          </cell>
          <cell r="AB928">
            <v>79.638343948799999</v>
          </cell>
          <cell r="AC928">
            <v>6</v>
          </cell>
          <cell r="AD928">
            <v>560</v>
          </cell>
          <cell r="AE928" t="str">
            <v>4-1/2" IF Box</v>
          </cell>
          <cell r="AF928" t="str">
            <v>4-1/2" IF Pin</v>
          </cell>
          <cell r="AG928"/>
          <cell r="AH928" t="str">
            <v xml:space="preserve"> en stock </v>
          </cell>
          <cell r="AI928">
            <v>1</v>
          </cell>
          <cell r="AJ928">
            <v>0</v>
          </cell>
          <cell r="AK928">
            <v>0</v>
          </cell>
          <cell r="AL928"/>
          <cell r="AM928"/>
          <cell r="AN928" t="str">
            <v/>
          </cell>
          <cell r="AO928"/>
          <cell r="AP928"/>
          <cell r="AQ928"/>
          <cell r="AR928">
            <v>21260000001</v>
          </cell>
          <cell r="AS928">
            <v>19</v>
          </cell>
          <cell r="AT928"/>
          <cell r="AU928" t="str">
            <v/>
          </cell>
          <cell r="AV928"/>
        </row>
        <row r="929">
          <cell r="Z929">
            <v>5030350</v>
          </cell>
          <cell r="AA929" t="str">
            <v>Junk Mill 
3-1/2" REG Pin</v>
          </cell>
          <cell r="AB929">
            <v>58</v>
          </cell>
          <cell r="AC929">
            <v>5.875</v>
          </cell>
          <cell r="AD929">
            <v>0</v>
          </cell>
          <cell r="AE929" t="str">
            <v>3-1/2" REG Pin</v>
          </cell>
          <cell r="AF929"/>
          <cell r="AG929" t="str">
            <v>Insert</v>
          </cell>
          <cell r="AH929" t="str">
            <v xml:space="preserve"> en stock </v>
          </cell>
          <cell r="AI929">
            <v>1</v>
          </cell>
          <cell r="AJ929">
            <v>0</v>
          </cell>
          <cell r="AK929">
            <v>0</v>
          </cell>
          <cell r="AL929"/>
          <cell r="AM929"/>
          <cell r="AN929" t="str">
            <v/>
          </cell>
          <cell r="AO929"/>
          <cell r="AP929"/>
          <cell r="AQ929"/>
          <cell r="AR929"/>
          <cell r="AS929">
            <v>30</v>
          </cell>
          <cell r="AT929" t="str">
            <v>503-</v>
          </cell>
          <cell r="AU929" t="str">
            <v/>
          </cell>
          <cell r="AV929"/>
        </row>
        <row r="930">
          <cell r="Z930">
            <v>5090351</v>
          </cell>
          <cell r="AA930" t="str">
            <v>WO Internal Hook Lg 2030 mm
4-1/2" FJWP Pin x Box</v>
          </cell>
          <cell r="AB930">
            <v>47</v>
          </cell>
          <cell r="AC930">
            <v>4.5</v>
          </cell>
          <cell r="AD930">
            <v>2030</v>
          </cell>
          <cell r="AE930" t="str">
            <v>4-1/2" FJWP Box</v>
          </cell>
          <cell r="AF930" t="str">
            <v>4-1/2" FJWP Pin</v>
          </cell>
          <cell r="AG930"/>
          <cell r="AH930" t="str">
            <v>maintenance</v>
          </cell>
          <cell r="AI930" t="str">
            <v/>
          </cell>
          <cell r="AJ930">
            <v>0</v>
          </cell>
          <cell r="AK930">
            <v>1</v>
          </cell>
          <cell r="AL930"/>
          <cell r="AM930"/>
          <cell r="AN930">
            <v>5090600</v>
          </cell>
          <cell r="AO930"/>
          <cell r="AP930"/>
          <cell r="AQ930"/>
          <cell r="AR930"/>
          <cell r="AS930">
            <v>12</v>
          </cell>
          <cell r="AT930" t="str">
            <v>509-4,500FJWP</v>
          </cell>
          <cell r="AU930" t="str">
            <v>FR</v>
          </cell>
          <cell r="AV930"/>
        </row>
        <row r="931">
          <cell r="Z931">
            <v>5090352</v>
          </cell>
          <cell r="AA931" t="str">
            <v>WO Extension Lg 2025 mm
4-1/2" FJWP Pin x Box</v>
          </cell>
          <cell r="AB931">
            <v>47</v>
          </cell>
          <cell r="AC931">
            <v>4.5</v>
          </cell>
          <cell r="AD931">
            <v>2025</v>
          </cell>
          <cell r="AE931" t="str">
            <v>4-1/2" FJWP Box</v>
          </cell>
          <cell r="AF931" t="str">
            <v>4-1/2" FJWP Pin</v>
          </cell>
          <cell r="AG931"/>
          <cell r="AH931" t="str">
            <v xml:space="preserve"> en stock </v>
          </cell>
          <cell r="AI931">
            <v>1</v>
          </cell>
          <cell r="AJ931">
            <v>0</v>
          </cell>
          <cell r="AK931">
            <v>0</v>
          </cell>
          <cell r="AL931"/>
          <cell r="AM931"/>
          <cell r="AN931">
            <v>5090601</v>
          </cell>
          <cell r="AO931"/>
          <cell r="AP931"/>
          <cell r="AQ931"/>
          <cell r="AR931"/>
          <cell r="AS931">
            <v>33</v>
          </cell>
          <cell r="AT931" t="str">
            <v>509-4,500FJWP</v>
          </cell>
          <cell r="AU931" t="str">
            <v>FR</v>
          </cell>
          <cell r="AV931"/>
        </row>
        <row r="932">
          <cell r="Z932">
            <v>5090353</v>
          </cell>
          <cell r="AA932" t="str">
            <v>WO Extension Lg 1220 mm
4-1/2" FJWP Pin x Box</v>
          </cell>
          <cell r="AB932">
            <v>30</v>
          </cell>
          <cell r="AC932">
            <v>4.5</v>
          </cell>
          <cell r="AD932">
            <v>1220</v>
          </cell>
          <cell r="AE932" t="str">
            <v>4-1/2" FJWP Box</v>
          </cell>
          <cell r="AF932" t="str">
            <v>4-1/2" FJWP Pin</v>
          </cell>
          <cell r="AG932"/>
          <cell r="AH932" t="str">
            <v xml:space="preserve"> en stock </v>
          </cell>
          <cell r="AI932">
            <v>1</v>
          </cell>
          <cell r="AJ932">
            <v>0</v>
          </cell>
          <cell r="AK932">
            <v>0</v>
          </cell>
          <cell r="AL932"/>
          <cell r="AM932"/>
          <cell r="AN932">
            <v>5090602</v>
          </cell>
          <cell r="AO932"/>
          <cell r="AP932"/>
          <cell r="AQ932"/>
          <cell r="AR932"/>
          <cell r="AS932">
            <v>27</v>
          </cell>
          <cell r="AT932" t="str">
            <v>509-4,500FJWP</v>
          </cell>
          <cell r="AU932" t="str">
            <v>FR</v>
          </cell>
          <cell r="AV932"/>
        </row>
        <row r="933">
          <cell r="Z933">
            <v>5090354</v>
          </cell>
          <cell r="AA933" t="str">
            <v>WO Extension Lg 1015 mm
4-1/2" FJWP Pin x Box</v>
          </cell>
          <cell r="AB933">
            <v>24</v>
          </cell>
          <cell r="AC933">
            <v>4.5</v>
          </cell>
          <cell r="AD933">
            <v>1015</v>
          </cell>
          <cell r="AE933" t="str">
            <v>4-1/2" FJWP Box</v>
          </cell>
          <cell r="AF933" t="str">
            <v>4-1/2" FJWP Pin</v>
          </cell>
          <cell r="AG933"/>
          <cell r="AH933" t="str">
            <v xml:space="preserve"> en stock </v>
          </cell>
          <cell r="AI933">
            <v>1</v>
          </cell>
          <cell r="AJ933">
            <v>0</v>
          </cell>
          <cell r="AK933">
            <v>0</v>
          </cell>
          <cell r="AL933"/>
          <cell r="AM933"/>
          <cell r="AN933">
            <v>5090603</v>
          </cell>
          <cell r="AO933"/>
          <cell r="AP933"/>
          <cell r="AQ933"/>
          <cell r="AR933"/>
          <cell r="AS933">
            <v>26</v>
          </cell>
          <cell r="AT933" t="str">
            <v>509-4,500FJWP</v>
          </cell>
          <cell r="AU933" t="str">
            <v>FR</v>
          </cell>
          <cell r="AV933"/>
        </row>
        <row r="934">
          <cell r="Z934" t="str">
            <v>8130355-1</v>
          </cell>
          <cell r="AA934" t="str">
            <v>XO
2-7/8" IF Pin x 3-1/2" IF Box</v>
          </cell>
          <cell r="AB934">
            <v>22.289959200234371</v>
          </cell>
          <cell r="AC934">
            <v>4.75</v>
          </cell>
          <cell r="AD934">
            <v>300</v>
          </cell>
          <cell r="AE934" t="str">
            <v>2-7/8" IF Pin</v>
          </cell>
          <cell r="AF934" t="str">
            <v>3-1/2" IF Box</v>
          </cell>
          <cell r="AG934"/>
          <cell r="AH934" t="str">
            <v>maintenance</v>
          </cell>
          <cell r="AI934" t="str">
            <v/>
          </cell>
          <cell r="AJ934">
            <v>0</v>
          </cell>
          <cell r="AK934">
            <v>1</v>
          </cell>
          <cell r="AL934"/>
          <cell r="AM934"/>
          <cell r="AN934" t="str">
            <v/>
          </cell>
          <cell r="AO934"/>
          <cell r="AP934"/>
          <cell r="AQ934"/>
          <cell r="AR934"/>
          <cell r="AS934">
            <v>256</v>
          </cell>
          <cell r="AT934"/>
          <cell r="AU934" t="str">
            <v/>
          </cell>
          <cell r="AV934"/>
        </row>
        <row r="935">
          <cell r="Z935" t="str">
            <v>8130355-2</v>
          </cell>
          <cell r="AA935" t="str">
            <v>XO
2-7/8" IF Pin x 3-1/2" IF Box</v>
          </cell>
          <cell r="AB935">
            <v>22.289959200234371</v>
          </cell>
          <cell r="AC935">
            <v>4.75</v>
          </cell>
          <cell r="AD935">
            <v>300</v>
          </cell>
          <cell r="AE935" t="str">
            <v>2-7/8" IF Pin</v>
          </cell>
          <cell r="AF935" t="str">
            <v>3-1/2" IF Box</v>
          </cell>
          <cell r="AG935"/>
          <cell r="AH935" t="str">
            <v>maintenance</v>
          </cell>
          <cell r="AI935" t="str">
            <v/>
          </cell>
          <cell r="AJ935">
            <v>0</v>
          </cell>
          <cell r="AK935">
            <v>1</v>
          </cell>
          <cell r="AL935"/>
          <cell r="AM935"/>
          <cell r="AN935" t="str">
            <v/>
          </cell>
          <cell r="AO935"/>
          <cell r="AP935"/>
          <cell r="AQ935"/>
          <cell r="AR935"/>
          <cell r="AS935">
            <v>86</v>
          </cell>
          <cell r="AT935"/>
          <cell r="AU935" t="str">
            <v/>
          </cell>
          <cell r="AV935"/>
        </row>
        <row r="936">
          <cell r="Z936" t="str">
            <v>8130355-3</v>
          </cell>
          <cell r="AA936" t="str">
            <v>XO
2-7/8" IF Pin x 3-1/2" IF Box</v>
          </cell>
          <cell r="AB936">
            <v>22.289959200234371</v>
          </cell>
          <cell r="AC936">
            <v>4.75</v>
          </cell>
          <cell r="AD936">
            <v>300</v>
          </cell>
          <cell r="AE936" t="str">
            <v>2-7/8" IF Pin</v>
          </cell>
          <cell r="AF936" t="str">
            <v>3-1/2" IF Box</v>
          </cell>
          <cell r="AG936"/>
          <cell r="AH936" t="str">
            <v>maintenance</v>
          </cell>
          <cell r="AI936" t="str">
            <v/>
          </cell>
          <cell r="AJ936">
            <v>0</v>
          </cell>
          <cell r="AK936">
            <v>1</v>
          </cell>
          <cell r="AL936"/>
          <cell r="AM936"/>
          <cell r="AN936" t="str">
            <v/>
          </cell>
          <cell r="AO936"/>
          <cell r="AP936"/>
          <cell r="AQ936"/>
          <cell r="AR936"/>
          <cell r="AS936">
            <v>87</v>
          </cell>
          <cell r="AT936"/>
          <cell r="AU936" t="str">
            <v/>
          </cell>
          <cell r="AV936"/>
        </row>
        <row r="937">
          <cell r="Z937"/>
          <cell r="AA937"/>
          <cell r="AB937"/>
          <cell r="AC937"/>
          <cell r="AD937"/>
          <cell r="AE937"/>
          <cell r="AF937"/>
          <cell r="AG937"/>
          <cell r="AH937" t="str">
            <v>en stock</v>
          </cell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 t="str">
            <v/>
          </cell>
          <cell r="AV937"/>
        </row>
        <row r="938">
          <cell r="Z938">
            <v>5070356</v>
          </cell>
          <cell r="AA938" t="str">
            <v>Super Junk Mill 
2-3/8" REG Pin</v>
          </cell>
          <cell r="AB938">
            <v>28</v>
          </cell>
          <cell r="AC938">
            <v>4.875</v>
          </cell>
          <cell r="AD938">
            <v>590</v>
          </cell>
          <cell r="AE938" t="str">
            <v>2-3/8" REG Pin</v>
          </cell>
          <cell r="AF938"/>
          <cell r="AG938" t="str">
            <v>C</v>
          </cell>
          <cell r="AH938" t="str">
            <v xml:space="preserve"> en stock </v>
          </cell>
          <cell r="AI938">
            <v>1</v>
          </cell>
          <cell r="AJ938">
            <v>0</v>
          </cell>
          <cell r="AK938">
            <v>0</v>
          </cell>
          <cell r="AL938"/>
          <cell r="AM938"/>
          <cell r="AN938" t="str">
            <v/>
          </cell>
          <cell r="AO938"/>
          <cell r="AP938"/>
          <cell r="AQ938"/>
          <cell r="AR938"/>
          <cell r="AS938">
            <v>22</v>
          </cell>
          <cell r="AT938" t="str">
            <v>507-</v>
          </cell>
          <cell r="AU938" t="str">
            <v/>
          </cell>
          <cell r="AV938"/>
        </row>
        <row r="939">
          <cell r="Z939">
            <v>5090604</v>
          </cell>
          <cell r="AA939" t="str">
            <v>WO Extension Lg 4020 mm
4-1/2" FJWP Pin x Box</v>
          </cell>
          <cell r="AB939">
            <v>321.57536652539994</v>
          </cell>
          <cell r="AC939">
            <v>4.5</v>
          </cell>
          <cell r="AD939">
            <v>4020</v>
          </cell>
          <cell r="AE939" t="str">
            <v>4-1/2" FJWP Box</v>
          </cell>
          <cell r="AF939" t="str">
            <v>4-1/2" FJWP Pin</v>
          </cell>
          <cell r="AG939"/>
          <cell r="AH939" t="str">
            <v>sur chantier</v>
          </cell>
          <cell r="AI939" t="str">
            <v/>
          </cell>
          <cell r="AJ939">
            <v>1</v>
          </cell>
          <cell r="AK939">
            <v>0</v>
          </cell>
          <cell r="AL939"/>
          <cell r="AM939"/>
          <cell r="AN939">
            <v>5090604</v>
          </cell>
          <cell r="AO939"/>
          <cell r="AP939"/>
          <cell r="AQ939"/>
          <cell r="AR939"/>
          <cell r="AS939">
            <v>37</v>
          </cell>
          <cell r="AT939" t="str">
            <v>509-4,500FJWP</v>
          </cell>
          <cell r="AU939" t="str">
            <v>FR</v>
          </cell>
          <cell r="AV939"/>
        </row>
        <row r="940">
          <cell r="Z940">
            <v>5090605</v>
          </cell>
          <cell r="AA940" t="str">
            <v>WO Extension Lg 4020 mm
4-1/2" FJWP Pin x Box</v>
          </cell>
          <cell r="AB940">
            <v>321.57536652539994</v>
          </cell>
          <cell r="AC940">
            <v>4.5</v>
          </cell>
          <cell r="AD940">
            <v>4020</v>
          </cell>
          <cell r="AE940" t="str">
            <v>4-1/2" FJWP Box</v>
          </cell>
          <cell r="AF940" t="str">
            <v>4-1/2" FJWP Pin</v>
          </cell>
          <cell r="AG940"/>
          <cell r="AH940" t="str">
            <v>sur chantier</v>
          </cell>
          <cell r="AI940" t="str">
            <v/>
          </cell>
          <cell r="AJ940">
            <v>1</v>
          </cell>
          <cell r="AK940">
            <v>0</v>
          </cell>
          <cell r="AL940"/>
          <cell r="AM940"/>
          <cell r="AN940">
            <v>5090605</v>
          </cell>
          <cell r="AO940"/>
          <cell r="AP940"/>
          <cell r="AQ940"/>
          <cell r="AR940"/>
          <cell r="AS940">
            <v>38</v>
          </cell>
          <cell r="AT940" t="str">
            <v>509-4,500FJWP</v>
          </cell>
          <cell r="AU940" t="str">
            <v>FR</v>
          </cell>
          <cell r="AV940"/>
        </row>
        <row r="941">
          <cell r="Z941">
            <v>5110606</v>
          </cell>
          <cell r="AA941" t="str">
            <v>WO Shoe
4-1/2" FJWP Box</v>
          </cell>
          <cell r="AB941">
            <v>10.5769675557</v>
          </cell>
          <cell r="AC941">
            <v>4.875</v>
          </cell>
          <cell r="AD941">
            <v>630</v>
          </cell>
          <cell r="AE941" t="str">
            <v>4-1/2" FJWP Box</v>
          </cell>
          <cell r="AF941"/>
          <cell r="AG941" t="str">
            <v>CC</v>
          </cell>
          <cell r="AH941" t="str">
            <v xml:space="preserve"> en stock </v>
          </cell>
          <cell r="AI941">
            <v>1</v>
          </cell>
          <cell r="AJ941">
            <v>0</v>
          </cell>
          <cell r="AK941">
            <v>0</v>
          </cell>
          <cell r="AL941"/>
          <cell r="AM941"/>
          <cell r="AN941">
            <v>5110606</v>
          </cell>
          <cell r="AO941"/>
          <cell r="AP941"/>
          <cell r="AQ941"/>
          <cell r="AR941"/>
          <cell r="AS941">
            <v>50</v>
          </cell>
          <cell r="AT941"/>
          <cell r="AU941" t="str">
            <v>FR</v>
          </cell>
          <cell r="AV941"/>
        </row>
        <row r="942">
          <cell r="Z942">
            <v>5110607</v>
          </cell>
          <cell r="AA942" t="str">
            <v>WO Shoe
4-1/2" FJWP Box</v>
          </cell>
          <cell r="AB942">
            <v>10.5769675557</v>
          </cell>
          <cell r="AC942" t="str">
            <v>flush</v>
          </cell>
          <cell r="AD942">
            <v>630</v>
          </cell>
          <cell r="AE942" t="str">
            <v>4-1/2" FJWP Box</v>
          </cell>
          <cell r="AF942"/>
          <cell r="AG942" t="str">
            <v>CC</v>
          </cell>
          <cell r="AH942" t="str">
            <v>maintenance</v>
          </cell>
          <cell r="AI942" t="str">
            <v/>
          </cell>
          <cell r="AJ942">
            <v>0</v>
          </cell>
          <cell r="AK942">
            <v>1</v>
          </cell>
          <cell r="AL942"/>
          <cell r="AM942"/>
          <cell r="AN942">
            <v>5110607</v>
          </cell>
          <cell r="AO942"/>
          <cell r="AP942"/>
          <cell r="AQ942"/>
          <cell r="AR942"/>
          <cell r="AS942">
            <v>51</v>
          </cell>
          <cell r="AT942"/>
          <cell r="AU942" t="str">
            <v>FR</v>
          </cell>
          <cell r="AV942"/>
        </row>
        <row r="943">
          <cell r="Z943">
            <v>5110608</v>
          </cell>
          <cell r="AA943" t="str">
            <v>WO Shoe
4-1/2" FJWP Box</v>
          </cell>
          <cell r="AB943">
            <v>10.5769675557</v>
          </cell>
          <cell r="AC943" t="str">
            <v>flush</v>
          </cell>
          <cell r="AD943">
            <v>630</v>
          </cell>
          <cell r="AE943" t="str">
            <v>4-1/2" FJWP Box</v>
          </cell>
          <cell r="AF943"/>
          <cell r="AG943" t="str">
            <v>CC</v>
          </cell>
          <cell r="AH943" t="str">
            <v>maintenance</v>
          </cell>
          <cell r="AI943" t="str">
            <v/>
          </cell>
          <cell r="AJ943">
            <v>0</v>
          </cell>
          <cell r="AK943">
            <v>1</v>
          </cell>
          <cell r="AL943"/>
          <cell r="AM943"/>
          <cell r="AN943">
            <v>5110608</v>
          </cell>
          <cell r="AO943"/>
          <cell r="AP943"/>
          <cell r="AQ943"/>
          <cell r="AR943"/>
          <cell r="AS943">
            <v>52</v>
          </cell>
          <cell r="AT943"/>
          <cell r="AU943" t="str">
            <v>FR</v>
          </cell>
          <cell r="AV943"/>
        </row>
        <row r="944">
          <cell r="Z944">
            <v>5110609</v>
          </cell>
          <cell r="AA944" t="str">
            <v>WO Shoe
4-1/2" FJWP Box</v>
          </cell>
          <cell r="AB944">
            <v>10.5769675557</v>
          </cell>
          <cell r="AC944">
            <v>4.875</v>
          </cell>
          <cell r="AD944">
            <v>630</v>
          </cell>
          <cell r="AE944" t="str">
            <v>4-1/2" FJWP Box</v>
          </cell>
          <cell r="AF944"/>
          <cell r="AG944" t="str">
            <v>CC</v>
          </cell>
          <cell r="AH944" t="str">
            <v xml:space="preserve"> en stock </v>
          </cell>
          <cell r="AI944">
            <v>1</v>
          </cell>
          <cell r="AJ944">
            <v>0</v>
          </cell>
          <cell r="AK944">
            <v>0</v>
          </cell>
          <cell r="AL944"/>
          <cell r="AM944"/>
          <cell r="AN944">
            <v>5110609</v>
          </cell>
          <cell r="AO944"/>
          <cell r="AP944"/>
          <cell r="AQ944"/>
          <cell r="AR944"/>
          <cell r="AS944">
            <v>53</v>
          </cell>
          <cell r="AT944"/>
          <cell r="AU944" t="str">
            <v>FR</v>
          </cell>
          <cell r="AV944"/>
        </row>
        <row r="945">
          <cell r="Z945">
            <v>5110610</v>
          </cell>
          <cell r="AA945" t="str">
            <v>WO Shoe
4-1/2" FJWP Box</v>
          </cell>
          <cell r="AB945">
            <v>10.5769675557</v>
          </cell>
          <cell r="AC945">
            <v>4.75</v>
          </cell>
          <cell r="AD945">
            <v>630</v>
          </cell>
          <cell r="AE945" t="str">
            <v>4-1/2" FJWP Box</v>
          </cell>
          <cell r="AF945"/>
          <cell r="AG945" t="str">
            <v>CC</v>
          </cell>
          <cell r="AH945" t="str">
            <v>sur chantier</v>
          </cell>
          <cell r="AI945" t="str">
            <v/>
          </cell>
          <cell r="AJ945">
            <v>1</v>
          </cell>
          <cell r="AK945">
            <v>0</v>
          </cell>
          <cell r="AL945"/>
          <cell r="AM945"/>
          <cell r="AN945">
            <v>5110610</v>
          </cell>
          <cell r="AO945"/>
          <cell r="AP945"/>
          <cell r="AQ945"/>
          <cell r="AR945"/>
          <cell r="AS945">
            <v>54</v>
          </cell>
          <cell r="AT945"/>
          <cell r="AU945" t="str">
            <v>FR</v>
          </cell>
          <cell r="AV945"/>
        </row>
        <row r="946">
          <cell r="Z946">
            <v>5110611</v>
          </cell>
          <cell r="AA946" t="str">
            <v>WO Shoe
4-1/2" FJWP Box</v>
          </cell>
          <cell r="AB946">
            <v>10.5769675557</v>
          </cell>
          <cell r="AC946">
            <v>4.875</v>
          </cell>
          <cell r="AD946">
            <v>630</v>
          </cell>
          <cell r="AE946" t="str">
            <v>4-1/2" FJWP Box</v>
          </cell>
          <cell r="AF946"/>
          <cell r="AG946" t="str">
            <v>CC</v>
          </cell>
          <cell r="AH946" t="str">
            <v xml:space="preserve"> en stock </v>
          </cell>
          <cell r="AI946">
            <v>1</v>
          </cell>
          <cell r="AJ946">
            <v>0</v>
          </cell>
          <cell r="AK946">
            <v>0</v>
          </cell>
          <cell r="AL946"/>
          <cell r="AM946"/>
          <cell r="AN946">
            <v>5110611</v>
          </cell>
          <cell r="AO946"/>
          <cell r="AP946"/>
          <cell r="AQ946"/>
          <cell r="AR946"/>
          <cell r="AS946">
            <v>55</v>
          </cell>
          <cell r="AT946"/>
          <cell r="AU946" t="str">
            <v>FR</v>
          </cell>
          <cell r="AV946"/>
        </row>
        <row r="947">
          <cell r="Z947">
            <v>5100612</v>
          </cell>
          <cell r="AA947" t="str">
            <v>WO Pipe
4-1/2" FJWP Pin x Box</v>
          </cell>
          <cell r="AB947">
            <v>0</v>
          </cell>
          <cell r="AC947">
            <v>4.5</v>
          </cell>
          <cell r="AD947">
            <v>0</v>
          </cell>
          <cell r="AE947" t="str">
            <v>4-1/2" FJWP Box</v>
          </cell>
          <cell r="AF947" t="str">
            <v>4-1/2" FJWP Pin</v>
          </cell>
          <cell r="AG947"/>
          <cell r="AH947" t="str">
            <v>maintenance</v>
          </cell>
          <cell r="AI947" t="str">
            <v/>
          </cell>
          <cell r="AJ947">
            <v>0</v>
          </cell>
          <cell r="AK947">
            <v>1</v>
          </cell>
          <cell r="AL947"/>
          <cell r="AM947"/>
          <cell r="AN947">
            <v>5100612</v>
          </cell>
          <cell r="AO947"/>
          <cell r="AP947"/>
          <cell r="AQ947"/>
          <cell r="AR947"/>
          <cell r="AS947">
            <v>26</v>
          </cell>
          <cell r="AT947" t="str">
            <v>509-4,500FJWP</v>
          </cell>
          <cell r="AU947" t="str">
            <v>FR</v>
          </cell>
          <cell r="AV947"/>
        </row>
        <row r="948">
          <cell r="Z948">
            <v>5100613</v>
          </cell>
          <cell r="AA948" t="str">
            <v>WO Pipe
4-1/2" FJWP Pin x Box</v>
          </cell>
          <cell r="AB948">
            <v>0</v>
          </cell>
          <cell r="AC948">
            <v>4.5</v>
          </cell>
          <cell r="AD948">
            <v>0</v>
          </cell>
          <cell r="AE948" t="str">
            <v>4-1/2" FJWP Box</v>
          </cell>
          <cell r="AF948" t="str">
            <v>4-1/2" FJWP Pin</v>
          </cell>
          <cell r="AG948"/>
          <cell r="AH948" t="str">
            <v>maintenance</v>
          </cell>
          <cell r="AI948" t="str">
            <v/>
          </cell>
          <cell r="AJ948">
            <v>0</v>
          </cell>
          <cell r="AK948">
            <v>1</v>
          </cell>
          <cell r="AL948"/>
          <cell r="AM948"/>
          <cell r="AN948">
            <v>5100613</v>
          </cell>
          <cell r="AO948"/>
          <cell r="AP948"/>
          <cell r="AQ948"/>
          <cell r="AR948"/>
          <cell r="AS948">
            <v>27</v>
          </cell>
          <cell r="AT948" t="str">
            <v>509-4,500FJWP</v>
          </cell>
          <cell r="AU948" t="str">
            <v>FR</v>
          </cell>
          <cell r="AV948"/>
        </row>
        <row r="949">
          <cell r="Z949">
            <v>5100614</v>
          </cell>
          <cell r="AA949" t="str">
            <v>WO Pipe
4-1/2" FJWP Pin x Box</v>
          </cell>
          <cell r="AB949">
            <v>0</v>
          </cell>
          <cell r="AC949">
            <v>4.5</v>
          </cell>
          <cell r="AD949">
            <v>0</v>
          </cell>
          <cell r="AE949" t="str">
            <v>4-1/2" FJWP Box</v>
          </cell>
          <cell r="AF949" t="str">
            <v>4-1/2" FJWP Pin</v>
          </cell>
          <cell r="AG949"/>
          <cell r="AH949" t="str">
            <v>maintenance</v>
          </cell>
          <cell r="AI949" t="str">
            <v/>
          </cell>
          <cell r="AJ949">
            <v>0</v>
          </cell>
          <cell r="AK949">
            <v>1</v>
          </cell>
          <cell r="AL949"/>
          <cell r="AM949"/>
          <cell r="AN949">
            <v>5100614</v>
          </cell>
          <cell r="AO949"/>
          <cell r="AP949"/>
          <cell r="AQ949"/>
          <cell r="AR949"/>
          <cell r="AS949">
            <v>28</v>
          </cell>
          <cell r="AT949" t="str">
            <v>509-4,500FJWP</v>
          </cell>
          <cell r="AU949" t="str">
            <v>FR</v>
          </cell>
          <cell r="AV949"/>
        </row>
        <row r="950">
          <cell r="Z950">
            <v>5100619</v>
          </cell>
          <cell r="AA950" t="str">
            <v>WO Pipe
5-1/2" FJWP Pin x Box</v>
          </cell>
          <cell r="AB950">
            <v>0</v>
          </cell>
          <cell r="AC950">
            <v>5.5</v>
          </cell>
          <cell r="AD950">
            <v>0</v>
          </cell>
          <cell r="AE950" t="str">
            <v>5-1/2" FJWP Box</v>
          </cell>
          <cell r="AF950" t="str">
            <v>5-1/2" FJWP Pin</v>
          </cell>
          <cell r="AG950"/>
          <cell r="AH950" t="str">
            <v xml:space="preserve"> en stock </v>
          </cell>
          <cell r="AI950">
            <v>1</v>
          </cell>
          <cell r="AJ950">
            <v>0</v>
          </cell>
          <cell r="AK950">
            <v>0</v>
          </cell>
          <cell r="AL950"/>
          <cell r="AM950"/>
          <cell r="AN950">
            <v>5100619</v>
          </cell>
          <cell r="AO950"/>
          <cell r="AP950"/>
          <cell r="AQ950"/>
          <cell r="AR950"/>
          <cell r="AS950">
            <v>53</v>
          </cell>
          <cell r="AT950" t="str">
            <v>509-5,500FJWP</v>
          </cell>
          <cell r="AU950" t="str">
            <v>FR</v>
          </cell>
          <cell r="AV950"/>
        </row>
        <row r="951">
          <cell r="Z951">
            <v>5100620</v>
          </cell>
          <cell r="AA951" t="str">
            <v>WO Pipe
5-1/2" FJWP Pin x Box</v>
          </cell>
          <cell r="AB951">
            <v>0</v>
          </cell>
          <cell r="AC951">
            <v>5.5</v>
          </cell>
          <cell r="AD951">
            <v>0</v>
          </cell>
          <cell r="AE951" t="str">
            <v>5-1/2" FJWP Box</v>
          </cell>
          <cell r="AF951" t="str">
            <v>5-1/2" FJWP Pin</v>
          </cell>
          <cell r="AG951"/>
          <cell r="AH951" t="str">
            <v xml:space="preserve"> en stock </v>
          </cell>
          <cell r="AI951">
            <v>1</v>
          </cell>
          <cell r="AJ951">
            <v>0</v>
          </cell>
          <cell r="AK951">
            <v>0</v>
          </cell>
          <cell r="AL951"/>
          <cell r="AM951"/>
          <cell r="AN951">
            <v>5100620</v>
          </cell>
          <cell r="AO951"/>
          <cell r="AP951"/>
          <cell r="AQ951"/>
          <cell r="AR951"/>
          <cell r="AS951">
            <v>54</v>
          </cell>
          <cell r="AT951" t="str">
            <v>509-5,500FJWP</v>
          </cell>
          <cell r="AU951" t="str">
            <v>FR</v>
          </cell>
          <cell r="AV951"/>
        </row>
        <row r="952">
          <cell r="Z952">
            <v>1060621</v>
          </cell>
          <cell r="AA952" t="str">
            <v>Impression Block 6-3/4" 
3-1/2" REG Box</v>
          </cell>
          <cell r="AB952">
            <v>64</v>
          </cell>
          <cell r="AC952">
            <v>6.75</v>
          </cell>
          <cell r="AD952">
            <v>600</v>
          </cell>
          <cell r="AE952" t="str">
            <v>3-1/2" REG Box</v>
          </cell>
          <cell r="AF952"/>
          <cell r="AG952"/>
          <cell r="AH952" t="str">
            <v xml:space="preserve"> en stock </v>
          </cell>
          <cell r="AI952">
            <v>1</v>
          </cell>
          <cell r="AJ952">
            <v>0</v>
          </cell>
          <cell r="AK952">
            <v>0</v>
          </cell>
          <cell r="AL952"/>
          <cell r="AM952"/>
          <cell r="AN952" t="str">
            <v/>
          </cell>
          <cell r="AO952"/>
          <cell r="AP952"/>
          <cell r="AQ952"/>
          <cell r="AR952"/>
          <cell r="AS952">
            <v>11</v>
          </cell>
          <cell r="AT952"/>
          <cell r="AU952" t="str">
            <v/>
          </cell>
          <cell r="AV952"/>
        </row>
        <row r="953">
          <cell r="Z953">
            <v>1060622</v>
          </cell>
          <cell r="AA953" t="str">
            <v>Impression Block 6-3/4" 
3-1/2" REG Box</v>
          </cell>
          <cell r="AB953">
            <v>62</v>
          </cell>
          <cell r="AC953">
            <v>6.75</v>
          </cell>
          <cell r="AD953">
            <v>600</v>
          </cell>
          <cell r="AE953" t="str">
            <v>3-1/2" REG Box</v>
          </cell>
          <cell r="AF953"/>
          <cell r="AG953"/>
          <cell r="AH953" t="str">
            <v xml:space="preserve"> en stock </v>
          </cell>
          <cell r="AI953">
            <v>1</v>
          </cell>
          <cell r="AJ953">
            <v>0</v>
          </cell>
          <cell r="AK953">
            <v>0</v>
          </cell>
          <cell r="AL953"/>
          <cell r="AM953"/>
          <cell r="AN953" t="str">
            <v/>
          </cell>
          <cell r="AO953"/>
          <cell r="AP953"/>
          <cell r="AQ953"/>
          <cell r="AR953"/>
          <cell r="AS953">
            <v>12</v>
          </cell>
          <cell r="AT953"/>
          <cell r="AU953" t="str">
            <v/>
          </cell>
          <cell r="AV953"/>
        </row>
        <row r="954">
          <cell r="Z954">
            <v>1060623</v>
          </cell>
          <cell r="AA954" t="str">
            <v>Impression Block 6" 
3-1/2" REG Box</v>
          </cell>
          <cell r="AB954">
            <v>58</v>
          </cell>
          <cell r="AC954">
            <v>6</v>
          </cell>
          <cell r="AD954">
            <v>600</v>
          </cell>
          <cell r="AE954" t="str">
            <v>3-1/2" REG Box</v>
          </cell>
          <cell r="AF954"/>
          <cell r="AG954"/>
          <cell r="AH954" t="str">
            <v>maintenance</v>
          </cell>
          <cell r="AI954" t="str">
            <v/>
          </cell>
          <cell r="AJ954">
            <v>0</v>
          </cell>
          <cell r="AK954">
            <v>1</v>
          </cell>
          <cell r="AL954" t="str">
            <v>2-3</v>
          </cell>
          <cell r="AM954"/>
          <cell r="AN954" t="str">
            <v/>
          </cell>
          <cell r="AO954"/>
          <cell r="AP954"/>
          <cell r="AQ954"/>
          <cell r="AR954"/>
          <cell r="AS954">
            <v>9</v>
          </cell>
          <cell r="AT954"/>
          <cell r="AU954" t="str">
            <v/>
          </cell>
          <cell r="AV954"/>
        </row>
        <row r="955">
          <cell r="Z955">
            <v>1060624</v>
          </cell>
          <cell r="AA955" t="str">
            <v>Impression Block 5-7/8"
3-1/2" REG Box</v>
          </cell>
          <cell r="AB955">
            <v>58</v>
          </cell>
          <cell r="AC955">
            <v>6</v>
          </cell>
          <cell r="AD955">
            <v>600</v>
          </cell>
          <cell r="AE955" t="str">
            <v>3-1/2" REG Box</v>
          </cell>
          <cell r="AF955"/>
          <cell r="AG955"/>
          <cell r="AH955" t="str">
            <v xml:space="preserve"> en stock </v>
          </cell>
          <cell r="AI955">
            <v>1</v>
          </cell>
          <cell r="AJ955">
            <v>0</v>
          </cell>
          <cell r="AK955">
            <v>0</v>
          </cell>
          <cell r="AL955"/>
          <cell r="AM955"/>
          <cell r="AN955" t="str">
            <v/>
          </cell>
          <cell r="AO955"/>
          <cell r="AP955"/>
          <cell r="AQ955"/>
          <cell r="AR955"/>
          <cell r="AS955">
            <v>10</v>
          </cell>
          <cell r="AT955"/>
          <cell r="AU955" t="str">
            <v/>
          </cell>
          <cell r="AV955"/>
        </row>
        <row r="956">
          <cell r="Z956">
            <v>5110625</v>
          </cell>
          <cell r="AA956" t="str">
            <v>WO Shoe
4-1/2" FJWP Box</v>
          </cell>
          <cell r="AB956">
            <v>10.5769675557</v>
          </cell>
          <cell r="AC956">
            <v>4.875</v>
          </cell>
          <cell r="AD956">
            <v>630</v>
          </cell>
          <cell r="AE956" t="str">
            <v>4-1/2" FJWP Box</v>
          </cell>
          <cell r="AF956"/>
          <cell r="AG956" t="str">
            <v>CC</v>
          </cell>
          <cell r="AH956" t="str">
            <v xml:space="preserve"> en stock </v>
          </cell>
          <cell r="AI956">
            <v>1</v>
          </cell>
          <cell r="AJ956">
            <v>0</v>
          </cell>
          <cell r="AK956">
            <v>0</v>
          </cell>
          <cell r="AL956"/>
          <cell r="AM956"/>
          <cell r="AN956" t="str">
            <v/>
          </cell>
          <cell r="AO956"/>
          <cell r="AP956"/>
          <cell r="AQ956"/>
          <cell r="AR956"/>
          <cell r="AS956">
            <v>56</v>
          </cell>
          <cell r="AT956"/>
          <cell r="AU956" t="str">
            <v/>
          </cell>
          <cell r="AV956"/>
        </row>
        <row r="957">
          <cell r="Z957">
            <v>5110626</v>
          </cell>
          <cell r="AA957" t="str">
            <v>WO Shoe
4-1/2" FJWP Box</v>
          </cell>
          <cell r="AB957">
            <v>10.5769675557</v>
          </cell>
          <cell r="AC957">
            <v>4.875</v>
          </cell>
          <cell r="AD957">
            <v>630</v>
          </cell>
          <cell r="AE957" t="str">
            <v>4-1/2" FJWP Box</v>
          </cell>
          <cell r="AF957"/>
          <cell r="AG957" t="str">
            <v>CC</v>
          </cell>
          <cell r="AH957" t="str">
            <v xml:space="preserve"> en stock </v>
          </cell>
          <cell r="AI957">
            <v>1</v>
          </cell>
          <cell r="AJ957">
            <v>0</v>
          </cell>
          <cell r="AK957">
            <v>0</v>
          </cell>
          <cell r="AL957"/>
          <cell r="AM957"/>
          <cell r="AN957" t="str">
            <v/>
          </cell>
          <cell r="AO957"/>
          <cell r="AP957"/>
          <cell r="AQ957"/>
          <cell r="AR957"/>
          <cell r="AS957">
            <v>57</v>
          </cell>
          <cell r="AT957"/>
          <cell r="AU957" t="str">
            <v/>
          </cell>
          <cell r="AV957"/>
        </row>
        <row r="958">
          <cell r="Z958">
            <v>5060627</v>
          </cell>
          <cell r="AA958" t="str">
            <v>String Mill 8,5 OD 
4-1/2" IF Box x 4-1/2" IF Pin</v>
          </cell>
          <cell r="AB958">
            <v>226</v>
          </cell>
          <cell r="AC958">
            <v>8.5</v>
          </cell>
          <cell r="AD958">
            <v>1585</v>
          </cell>
          <cell r="AE958" t="str">
            <v>4-1/2" IF Box</v>
          </cell>
          <cell r="AF958" t="str">
            <v>4-1/2" IF Pin</v>
          </cell>
          <cell r="AG958"/>
          <cell r="AH958" t="str">
            <v xml:space="preserve"> en stock </v>
          </cell>
          <cell r="AI958">
            <v>1</v>
          </cell>
          <cell r="AJ958">
            <v>0</v>
          </cell>
          <cell r="AK958">
            <v>0</v>
          </cell>
          <cell r="AL958"/>
          <cell r="AM958"/>
          <cell r="AN958">
            <v>5060627</v>
          </cell>
          <cell r="AO958"/>
          <cell r="AP958"/>
          <cell r="AQ958"/>
          <cell r="AR958"/>
          <cell r="AS958">
            <v>18</v>
          </cell>
          <cell r="AT958"/>
          <cell r="AU958" t="str">
            <v>FR</v>
          </cell>
          <cell r="AV958"/>
        </row>
        <row r="959">
          <cell r="Z959">
            <v>5060628</v>
          </cell>
          <cell r="AA959" t="str">
            <v>String Mill 8,5 OD 
4-1/2" IF Box x 4-1/2" IF Pin</v>
          </cell>
          <cell r="AB959">
            <v>228</v>
          </cell>
          <cell r="AC959">
            <v>8.5</v>
          </cell>
          <cell r="AD959">
            <v>1585</v>
          </cell>
          <cell r="AE959" t="str">
            <v>4-1/2" IF Box</v>
          </cell>
          <cell r="AF959" t="str">
            <v>4-1/2" IF Pin</v>
          </cell>
          <cell r="AG959"/>
          <cell r="AH959" t="str">
            <v xml:space="preserve"> en stock </v>
          </cell>
          <cell r="AI959">
            <v>1</v>
          </cell>
          <cell r="AJ959">
            <v>0</v>
          </cell>
          <cell r="AK959">
            <v>0</v>
          </cell>
          <cell r="AL959"/>
          <cell r="AM959"/>
          <cell r="AN959">
            <v>5060628</v>
          </cell>
          <cell r="AO959"/>
          <cell r="AP959"/>
          <cell r="AQ959"/>
          <cell r="AR959"/>
          <cell r="AS959">
            <v>19</v>
          </cell>
          <cell r="AT959"/>
          <cell r="AU959" t="str">
            <v>FR</v>
          </cell>
          <cell r="AV959"/>
        </row>
        <row r="960">
          <cell r="Z960">
            <v>8020629</v>
          </cell>
          <cell r="AA960" t="str">
            <v>Bit Sub
4-1/2" IF Box x 6-5/8" REG Box</v>
          </cell>
          <cell r="AB960">
            <v>101.10336634125001</v>
          </cell>
          <cell r="AC960">
            <v>7.5</v>
          </cell>
          <cell r="AD960">
            <v>500</v>
          </cell>
          <cell r="AE960" t="str">
            <v>4-1/2" IF Box</v>
          </cell>
          <cell r="AF960" t="str">
            <v>6-5/8" REG Box</v>
          </cell>
          <cell r="AG960"/>
          <cell r="AH960" t="str">
            <v>sur chantier</v>
          </cell>
          <cell r="AI960" t="str">
            <v/>
          </cell>
          <cell r="AJ960">
            <v>1</v>
          </cell>
          <cell r="AK960">
            <v>0</v>
          </cell>
          <cell r="AL960"/>
          <cell r="AM960"/>
          <cell r="AN960">
            <v>8020629</v>
          </cell>
          <cell r="AO960"/>
          <cell r="AP960"/>
          <cell r="AQ960"/>
          <cell r="AR960"/>
          <cell r="AS960">
            <v>54</v>
          </cell>
          <cell r="AT960"/>
          <cell r="AU960" t="str">
            <v>FR</v>
          </cell>
          <cell r="AV960"/>
        </row>
        <row r="961">
          <cell r="Z961">
            <v>7040630</v>
          </cell>
          <cell r="AA961" t="str">
            <v>5-3/4" FS Overshot - CA 8975
3-1/2" IF Box</v>
          </cell>
          <cell r="AB961">
            <v>70</v>
          </cell>
          <cell r="AC961" t="str">
            <v>5-3/4" FS</v>
          </cell>
          <cell r="AD961">
            <v>1220</v>
          </cell>
          <cell r="AE961" t="str">
            <v>3-1/2" IF Box</v>
          </cell>
          <cell r="AF961"/>
          <cell r="AG961"/>
          <cell r="AH961" t="str">
            <v xml:space="preserve"> en stock </v>
          </cell>
          <cell r="AI961">
            <v>1</v>
          </cell>
          <cell r="AJ961">
            <v>0</v>
          </cell>
          <cell r="AK961">
            <v>0</v>
          </cell>
          <cell r="AL961"/>
          <cell r="AM961"/>
          <cell r="AN961" t="str">
            <v/>
          </cell>
          <cell r="AO961"/>
          <cell r="AP961"/>
          <cell r="AQ961"/>
          <cell r="AR961"/>
          <cell r="AS961">
            <v>34</v>
          </cell>
          <cell r="AT961" t="str">
            <v>704-8975</v>
          </cell>
          <cell r="AU961" t="str">
            <v/>
          </cell>
          <cell r="AV961"/>
        </row>
        <row r="962">
          <cell r="Z962">
            <v>5050632</v>
          </cell>
          <cell r="AA962" t="str">
            <v>Pilot Mill
4-1/2" IF Box x Pilot</v>
          </cell>
          <cell r="AB962">
            <v>180</v>
          </cell>
          <cell r="AC962">
            <v>12</v>
          </cell>
          <cell r="AD962">
            <v>1300</v>
          </cell>
          <cell r="AE962" t="str">
            <v>4-1/2" IF Box</v>
          </cell>
          <cell r="AF962" t="str">
            <v>Pilot</v>
          </cell>
          <cell r="AG962" t="str">
            <v>carbure</v>
          </cell>
          <cell r="AH962" t="str">
            <v xml:space="preserve"> en stock </v>
          </cell>
          <cell r="AI962">
            <v>1</v>
          </cell>
          <cell r="AJ962">
            <v>0</v>
          </cell>
          <cell r="AK962">
            <v>0</v>
          </cell>
          <cell r="AL962"/>
          <cell r="AM962"/>
          <cell r="AN962">
            <v>5050632</v>
          </cell>
          <cell r="AO962"/>
          <cell r="AP962"/>
          <cell r="AQ962"/>
          <cell r="AR962"/>
          <cell r="AS962">
            <v>16</v>
          </cell>
          <cell r="AT962"/>
          <cell r="AU962" t="str">
            <v>FR</v>
          </cell>
          <cell r="AV962"/>
        </row>
        <row r="963">
          <cell r="Z963">
            <v>4030633</v>
          </cell>
          <cell r="AA963" t="str">
            <v>Jar Z 4-3/4" 
3-1/2" IF Pin down x Box up</v>
          </cell>
          <cell r="AB963">
            <v>180</v>
          </cell>
          <cell r="AC963">
            <v>4.75</v>
          </cell>
          <cell r="AD963">
            <v>2140</v>
          </cell>
          <cell r="AE963" t="str">
            <v>3-1/2" IF Box</v>
          </cell>
          <cell r="AF963" t="str">
            <v>3-1/2" IF Pin</v>
          </cell>
          <cell r="AG963"/>
          <cell r="AH963" t="str">
            <v>maintenance</v>
          </cell>
          <cell r="AI963" t="str">
            <v/>
          </cell>
          <cell r="AJ963">
            <v>0</v>
          </cell>
          <cell r="AK963">
            <v>1</v>
          </cell>
          <cell r="AL963"/>
          <cell r="AM963"/>
          <cell r="AN963">
            <v>4030633</v>
          </cell>
          <cell r="AO963"/>
          <cell r="AP963"/>
          <cell r="AQ963"/>
          <cell r="AR963"/>
          <cell r="AS963">
            <v>10</v>
          </cell>
          <cell r="AT963" t="str">
            <v>403-4,750</v>
          </cell>
          <cell r="AU963" t="str">
            <v/>
          </cell>
          <cell r="AV963"/>
        </row>
        <row r="964">
          <cell r="Z964">
            <v>7040310</v>
          </cell>
          <cell r="AA964" t="str">
            <v>7-5/8" SH Overshot - CA 9860
4-1/2" IF Box</v>
          </cell>
          <cell r="AB964">
            <v>98</v>
          </cell>
          <cell r="AC964" t="str">
            <v>7-5/8" SH</v>
          </cell>
          <cell r="AD964">
            <v>1220</v>
          </cell>
          <cell r="AE964" t="str">
            <v>4-1/2" IF Box</v>
          </cell>
          <cell r="AF964"/>
          <cell r="AG964"/>
          <cell r="AH964" t="str">
            <v xml:space="preserve"> en stock </v>
          </cell>
          <cell r="AI964">
            <v>1</v>
          </cell>
          <cell r="AJ964">
            <v>0</v>
          </cell>
          <cell r="AK964">
            <v>0</v>
          </cell>
          <cell r="AL964"/>
          <cell r="AM964"/>
          <cell r="AN964" t="str">
            <v/>
          </cell>
          <cell r="AO964"/>
          <cell r="AP964"/>
          <cell r="AQ964"/>
          <cell r="AR964"/>
          <cell r="AS964">
            <v>48</v>
          </cell>
          <cell r="AT964" t="str">
            <v>704-9860</v>
          </cell>
          <cell r="AU964" t="str">
            <v/>
          </cell>
          <cell r="AV964"/>
        </row>
        <row r="965">
          <cell r="Z965">
            <v>8020310</v>
          </cell>
          <cell r="AA965" t="str">
            <v>Bit Sub
3-1/2" IF Box x 3-1/2" REG Box</v>
          </cell>
          <cell r="AB965">
            <v>38.114364295312491</v>
          </cell>
          <cell r="AC965">
            <v>4.75</v>
          </cell>
          <cell r="AD965">
            <v>475</v>
          </cell>
          <cell r="AE965" t="str">
            <v>3-1/2" IF Box</v>
          </cell>
          <cell r="AF965" t="str">
            <v>3-1/2" REG Box</v>
          </cell>
          <cell r="AG965"/>
          <cell r="AH965" t="str">
            <v xml:space="preserve"> en stock </v>
          </cell>
          <cell r="AI965">
            <v>1</v>
          </cell>
          <cell r="AJ965">
            <v>0</v>
          </cell>
          <cell r="AK965">
            <v>0</v>
          </cell>
          <cell r="AL965"/>
          <cell r="AM965"/>
          <cell r="AN965">
            <v>8020310</v>
          </cell>
          <cell r="AO965"/>
          <cell r="AP965"/>
          <cell r="AQ965"/>
          <cell r="AR965"/>
          <cell r="AS965">
            <v>32</v>
          </cell>
          <cell r="AT965"/>
          <cell r="AU965" t="str">
            <v>FR</v>
          </cell>
          <cell r="AV965"/>
        </row>
        <row r="966">
          <cell r="Z966">
            <v>2010343</v>
          </cell>
          <cell r="AA966" t="str">
            <v>Hydraulic External Cutter 5-5/8" OD body 
5-1/2" FJWP Box</v>
          </cell>
          <cell r="AB966">
            <v>82</v>
          </cell>
          <cell r="AC966">
            <v>5.625</v>
          </cell>
          <cell r="AD966">
            <v>1130</v>
          </cell>
          <cell r="AE966" t="str">
            <v>5-1/2" FJWP Box</v>
          </cell>
          <cell r="AF966"/>
          <cell r="AG966"/>
          <cell r="AH966" t="str">
            <v xml:space="preserve"> en stock </v>
          </cell>
          <cell r="AI966">
            <v>1</v>
          </cell>
          <cell r="AJ966">
            <v>0</v>
          </cell>
          <cell r="AK966">
            <v>0</v>
          </cell>
          <cell r="AL966"/>
          <cell r="AM966"/>
          <cell r="AN966">
            <v>2020343</v>
          </cell>
          <cell r="AO966"/>
          <cell r="AP966"/>
          <cell r="AQ966"/>
          <cell r="AR966"/>
          <cell r="AS966">
            <v>6</v>
          </cell>
          <cell r="AT966" t="str">
            <v>201-34551</v>
          </cell>
          <cell r="AU966" t="str">
            <v/>
          </cell>
          <cell r="AV966"/>
        </row>
        <row r="967">
          <cell r="Z967">
            <v>2020335</v>
          </cell>
          <cell r="AA967"/>
          <cell r="AB967"/>
          <cell r="AC967"/>
          <cell r="AD967"/>
          <cell r="AE967"/>
          <cell r="AF967"/>
          <cell r="AG967"/>
          <cell r="AH967" t="str">
            <v>en stock</v>
          </cell>
          <cell r="AI967"/>
          <cell r="AJ967"/>
          <cell r="AK967"/>
          <cell r="AL967"/>
          <cell r="AM967"/>
          <cell r="AN967">
            <v>2020335</v>
          </cell>
          <cell r="AO967"/>
          <cell r="AP967"/>
          <cell r="AQ967"/>
          <cell r="AR967"/>
          <cell r="AS967"/>
          <cell r="AT967"/>
          <cell r="AU967" t="str">
            <v>n° réattribué au 2020311</v>
          </cell>
          <cell r="AV967"/>
        </row>
        <row r="968">
          <cell r="Z968" t="str">
            <v/>
          </cell>
          <cell r="AA968"/>
          <cell r="AB968"/>
          <cell r="AC968"/>
          <cell r="AD968"/>
          <cell r="AE968"/>
          <cell r="AF968"/>
          <cell r="AG968"/>
          <cell r="AH968" t="str">
            <v>en stock</v>
          </cell>
          <cell r="AI968"/>
          <cell r="AJ968"/>
          <cell r="AK968"/>
          <cell r="AL968"/>
          <cell r="AM968"/>
          <cell r="AN968" t="str">
            <v/>
          </cell>
          <cell r="AO968"/>
          <cell r="AP968"/>
          <cell r="AQ968"/>
          <cell r="AR968"/>
          <cell r="AS968"/>
          <cell r="AT968"/>
          <cell r="AU968" t="str">
            <v/>
          </cell>
          <cell r="AV968"/>
        </row>
        <row r="969">
          <cell r="Z969" t="str">
            <v/>
          </cell>
          <cell r="AA969"/>
          <cell r="AB969"/>
          <cell r="AC969"/>
          <cell r="AD969"/>
          <cell r="AE969"/>
          <cell r="AF969"/>
          <cell r="AG969"/>
          <cell r="AH969" t="str">
            <v>en stock</v>
          </cell>
          <cell r="AI969"/>
          <cell r="AJ969"/>
          <cell r="AK969"/>
          <cell r="AL969"/>
          <cell r="AM969"/>
          <cell r="AN969">
            <v>2019</v>
          </cell>
          <cell r="AO969"/>
          <cell r="AP969"/>
          <cell r="AQ969"/>
          <cell r="AR969"/>
          <cell r="AS969"/>
          <cell r="AT969"/>
          <cell r="AU969" t="str">
            <v/>
          </cell>
          <cell r="AV969"/>
        </row>
        <row r="970">
          <cell r="Z970">
            <v>7040631</v>
          </cell>
          <cell r="AA970" t="str">
            <v>5-3/4" FS Overshot - CA 8975
3-1/2" IF Box</v>
          </cell>
          <cell r="AB970">
            <v>70</v>
          </cell>
          <cell r="AC970" t="str">
            <v>5-3/4" FS</v>
          </cell>
          <cell r="AD970">
            <v>1220</v>
          </cell>
          <cell r="AE970" t="str">
            <v>3-1/2" IF Box</v>
          </cell>
          <cell r="AF970"/>
          <cell r="AG970"/>
          <cell r="AH970" t="str">
            <v xml:space="preserve"> en stock </v>
          </cell>
          <cell r="AI970">
            <v>1</v>
          </cell>
          <cell r="AJ970">
            <v>0</v>
          </cell>
          <cell r="AK970">
            <v>0</v>
          </cell>
          <cell r="AL970"/>
          <cell r="AM970"/>
          <cell r="AN970">
            <v>7040631</v>
          </cell>
          <cell r="AO970"/>
          <cell r="AP970"/>
          <cell r="AQ970"/>
          <cell r="AR970"/>
          <cell r="AS970">
            <v>33</v>
          </cell>
          <cell r="AT970" t="str">
            <v>704-8975</v>
          </cell>
          <cell r="AU970" t="str">
            <v/>
          </cell>
          <cell r="AV970"/>
        </row>
        <row r="971">
          <cell r="Z971">
            <v>4020634</v>
          </cell>
          <cell r="AA971" t="str">
            <v>Bumper Sub 4-3/4" OD
3-1/2" IF Pin down x Box up</v>
          </cell>
          <cell r="AB971">
            <v>98</v>
          </cell>
          <cell r="AC971">
            <v>4.75</v>
          </cell>
          <cell r="AD971">
            <v>1455</v>
          </cell>
          <cell r="AE971" t="str">
            <v>3-1/2" IF Box</v>
          </cell>
          <cell r="AF971" t="str">
            <v>3-1/2" IF Pin</v>
          </cell>
          <cell r="AG971"/>
          <cell r="AH971" t="str">
            <v xml:space="preserve"> en stock </v>
          </cell>
          <cell r="AI971">
            <v>1</v>
          </cell>
          <cell r="AJ971">
            <v>0</v>
          </cell>
          <cell r="AK971">
            <v>0</v>
          </cell>
          <cell r="AL971"/>
          <cell r="AM971"/>
          <cell r="AN971">
            <v>4020634</v>
          </cell>
          <cell r="AO971"/>
          <cell r="AP971"/>
          <cell r="AQ971"/>
          <cell r="AR971"/>
          <cell r="AS971">
            <v>10</v>
          </cell>
          <cell r="AT971" t="str">
            <v>402-4,750</v>
          </cell>
          <cell r="AU971" t="str">
            <v/>
          </cell>
          <cell r="AV971"/>
        </row>
        <row r="972">
          <cell r="Z972">
            <v>4040635</v>
          </cell>
          <cell r="AA972" t="str">
            <v>Intensifier 4-3/4" OD 
3-1/2" IF Pin x Box</v>
          </cell>
          <cell r="AB972">
            <v>202</v>
          </cell>
          <cell r="AC972">
            <v>4.75</v>
          </cell>
          <cell r="AD972">
            <v>3500</v>
          </cell>
          <cell r="AE972" t="str">
            <v>3-1/2" IF Box</v>
          </cell>
          <cell r="AF972" t="str">
            <v>3-1/2" IF Pin</v>
          </cell>
          <cell r="AG972"/>
          <cell r="AH972" t="str">
            <v>maintenance</v>
          </cell>
          <cell r="AI972" t="str">
            <v/>
          </cell>
          <cell r="AJ972">
            <v>0</v>
          </cell>
          <cell r="AK972">
            <v>1</v>
          </cell>
          <cell r="AL972"/>
          <cell r="AM972"/>
          <cell r="AN972">
            <v>4040635</v>
          </cell>
          <cell r="AO972"/>
          <cell r="AP972"/>
          <cell r="AQ972"/>
          <cell r="AR972"/>
          <cell r="AS972">
            <v>8</v>
          </cell>
          <cell r="AT972" t="str">
            <v>404-4,750</v>
          </cell>
          <cell r="AU972" t="str">
            <v/>
          </cell>
          <cell r="AV972"/>
        </row>
        <row r="973">
          <cell r="Z973">
            <v>2030636</v>
          </cell>
          <cell r="AA973" t="str">
            <v>Pipe Cutter 8200s
6-5/8" REG Box up x Box down</v>
          </cell>
          <cell r="AB973">
            <v>400</v>
          </cell>
          <cell r="AC973">
            <v>8200</v>
          </cell>
          <cell r="AD973">
            <v>0</v>
          </cell>
          <cell r="AE973" t="str">
            <v>6-5/8" REG Box</v>
          </cell>
          <cell r="AF973" t="str">
            <v>6-5/8" REG Box</v>
          </cell>
          <cell r="AG973"/>
          <cell r="AH973" t="str">
            <v>sur chantier</v>
          </cell>
          <cell r="AI973" t="str">
            <v/>
          </cell>
          <cell r="AJ973">
            <v>1</v>
          </cell>
          <cell r="AK973">
            <v>0</v>
          </cell>
          <cell r="AL973"/>
          <cell r="AM973"/>
          <cell r="AN973">
            <v>2030636</v>
          </cell>
          <cell r="AO973"/>
          <cell r="AP973"/>
          <cell r="AQ973"/>
          <cell r="AR973"/>
          <cell r="AS973">
            <v>12</v>
          </cell>
          <cell r="AT973" t="str">
            <v>203-8200</v>
          </cell>
          <cell r="AU973" t="str">
            <v>FR</v>
          </cell>
          <cell r="AV973"/>
        </row>
        <row r="974">
          <cell r="Z974">
            <v>1090637</v>
          </cell>
          <cell r="AA974"/>
          <cell r="AB974"/>
          <cell r="AC974">
            <v>6.625</v>
          </cell>
          <cell r="AD974"/>
          <cell r="AE974" t="str">
            <v>4-1/2" REG Pin</v>
          </cell>
          <cell r="AF974" t="str">
            <v>4-1/2" REG Box</v>
          </cell>
          <cell r="AG974"/>
          <cell r="AH974" t="str">
            <v>en stock</v>
          </cell>
          <cell r="AI974"/>
          <cell r="AJ974"/>
          <cell r="AK974"/>
          <cell r="AL974"/>
          <cell r="AM974"/>
          <cell r="AN974">
            <v>1090637</v>
          </cell>
          <cell r="AO974"/>
          <cell r="AP974"/>
          <cell r="AQ974"/>
          <cell r="AR974"/>
          <cell r="AS974"/>
          <cell r="AT974"/>
          <cell r="AU974" t="str">
            <v>parti à la place du 1091001 destiné à Perenco</v>
          </cell>
          <cell r="AV974"/>
        </row>
        <row r="975">
          <cell r="Z975">
            <v>5070638</v>
          </cell>
          <cell r="AA975" t="str">
            <v>Super Junk Mill 
4-1/2" REG Pin</v>
          </cell>
          <cell r="AB975">
            <v>118</v>
          </cell>
          <cell r="AC975">
            <v>8.125</v>
          </cell>
          <cell r="AD975">
            <v>775</v>
          </cell>
          <cell r="AE975" t="str">
            <v>4-1/2" REG Pin</v>
          </cell>
          <cell r="AF975"/>
          <cell r="AG975" t="str">
            <v>C</v>
          </cell>
          <cell r="AH975" t="str">
            <v>maintenance</v>
          </cell>
          <cell r="AI975" t="str">
            <v/>
          </cell>
          <cell r="AJ975">
            <v>0</v>
          </cell>
          <cell r="AK975">
            <v>1</v>
          </cell>
          <cell r="AL975"/>
          <cell r="AM975"/>
          <cell r="AN975">
            <v>5070638</v>
          </cell>
          <cell r="AO975"/>
          <cell r="AP975"/>
          <cell r="AQ975"/>
          <cell r="AR975"/>
          <cell r="AS975">
            <v>63</v>
          </cell>
          <cell r="AT975" t="str">
            <v>507-</v>
          </cell>
          <cell r="AU975" t="str">
            <v>FR</v>
          </cell>
          <cell r="AV975"/>
        </row>
        <row r="976">
          <cell r="Z976">
            <v>5070639</v>
          </cell>
          <cell r="AA976" t="str">
            <v>Super Junk Mill 
4-1/2" REG Pin</v>
          </cell>
          <cell r="AB976">
            <v>122</v>
          </cell>
          <cell r="AC976">
            <v>8.5</v>
          </cell>
          <cell r="AD976">
            <v>775</v>
          </cell>
          <cell r="AE976" t="str">
            <v>4-1/2" REG Pin</v>
          </cell>
          <cell r="AF976"/>
          <cell r="AG976" t="str">
            <v>C</v>
          </cell>
          <cell r="AH976" t="str">
            <v>maintenance</v>
          </cell>
          <cell r="AI976" t="str">
            <v/>
          </cell>
          <cell r="AJ976">
            <v>0</v>
          </cell>
          <cell r="AK976">
            <v>1</v>
          </cell>
          <cell r="AL976"/>
          <cell r="AM976"/>
          <cell r="AN976">
            <v>5070639</v>
          </cell>
          <cell r="AO976"/>
          <cell r="AP976"/>
          <cell r="AQ976"/>
          <cell r="AR976"/>
          <cell r="AS976">
            <v>64</v>
          </cell>
          <cell r="AT976" t="str">
            <v>507-</v>
          </cell>
          <cell r="AU976" t="str">
            <v>FR</v>
          </cell>
          <cell r="AV976"/>
        </row>
        <row r="977">
          <cell r="Z977">
            <v>5070640</v>
          </cell>
          <cell r="AA977" t="str">
            <v>Super Junk Mill 
0</v>
          </cell>
          <cell r="AB977">
            <v>0</v>
          </cell>
          <cell r="AC977">
            <v>6.625</v>
          </cell>
          <cell r="AD977">
            <v>680</v>
          </cell>
          <cell r="AE977">
            <v>0</v>
          </cell>
          <cell r="AF977"/>
          <cell r="AG977" t="str">
            <v>C</v>
          </cell>
          <cell r="AH977" t="str">
            <v xml:space="preserve"> en stock </v>
          </cell>
          <cell r="AI977">
            <v>1</v>
          </cell>
          <cell r="AJ977">
            <v>0</v>
          </cell>
          <cell r="AK977">
            <v>0</v>
          </cell>
          <cell r="AL977"/>
          <cell r="AM977"/>
          <cell r="AN977">
            <v>5070640</v>
          </cell>
          <cell r="AO977"/>
          <cell r="AP977"/>
          <cell r="AQ977"/>
          <cell r="AR977"/>
          <cell r="AS977">
            <v>59</v>
          </cell>
          <cell r="AT977" t="str">
            <v>507-</v>
          </cell>
          <cell r="AU977" t="str">
            <v>FR</v>
          </cell>
          <cell r="AV977"/>
        </row>
        <row r="978">
          <cell r="Z978">
            <v>5120641</v>
          </cell>
          <cell r="AA978" t="str">
            <v>WO Top Sub
4-1/2" REG Pin x 7-5/8" FJWP Pin x 4-1/2" REG Box in</v>
          </cell>
          <cell r="AB978">
            <v>126</v>
          </cell>
          <cell r="AC978">
            <v>7.625</v>
          </cell>
          <cell r="AD978">
            <v>660</v>
          </cell>
          <cell r="AE978" t="str">
            <v>4-1/2" REG Pin</v>
          </cell>
          <cell r="AF978" t="str">
            <v>7-5/8" FJWP Pin</v>
          </cell>
          <cell r="AG978" t="str">
            <v>4-1/2" REG Box</v>
          </cell>
          <cell r="AH978" t="str">
            <v>maintenance</v>
          </cell>
          <cell r="AI978" t="str">
            <v/>
          </cell>
          <cell r="AJ978">
            <v>0</v>
          </cell>
          <cell r="AK978">
            <v>1</v>
          </cell>
          <cell r="AL978"/>
          <cell r="AM978"/>
          <cell r="AN978">
            <v>5120641</v>
          </cell>
          <cell r="AO978"/>
          <cell r="AP978"/>
          <cell r="AQ978"/>
          <cell r="AR978"/>
          <cell r="AS978">
            <v>33</v>
          </cell>
          <cell r="AT978"/>
          <cell r="AU978" t="str">
            <v>FR</v>
          </cell>
          <cell r="AV978"/>
        </row>
        <row r="979">
          <cell r="Z979">
            <v>7020642</v>
          </cell>
          <cell r="AA979" t="str">
            <v>String Magnet 6-1/2" OD
4-1/2" IF Pin x Box</v>
          </cell>
          <cell r="AB979">
            <v>176</v>
          </cell>
          <cell r="AC979">
            <v>6.5</v>
          </cell>
          <cell r="AD979">
            <v>1520</v>
          </cell>
          <cell r="AE979" t="str">
            <v>4-1/2" IF Box</v>
          </cell>
          <cell r="AF979" t="str">
            <v>4-1/2" IF Pin</v>
          </cell>
          <cell r="AG979"/>
          <cell r="AH979" t="str">
            <v xml:space="preserve"> en stock </v>
          </cell>
          <cell r="AI979">
            <v>1</v>
          </cell>
          <cell r="AJ979">
            <v>0</v>
          </cell>
          <cell r="AK979">
            <v>0</v>
          </cell>
          <cell r="AL979"/>
          <cell r="AM979"/>
          <cell r="AN979">
            <v>7020642</v>
          </cell>
          <cell r="AO979"/>
          <cell r="AP979"/>
          <cell r="AQ979"/>
          <cell r="AR979"/>
          <cell r="AS979">
            <v>11</v>
          </cell>
          <cell r="AT979"/>
          <cell r="AU979" t="str">
            <v>FR</v>
          </cell>
          <cell r="AV979"/>
        </row>
        <row r="980">
          <cell r="Z980">
            <v>7040337</v>
          </cell>
          <cell r="AA980" t="str">
            <v>5-7/8" SH Overshot - CA C-5171
3-1/2" IF Box</v>
          </cell>
          <cell r="AB980">
            <v>44</v>
          </cell>
          <cell r="AC980" t="str">
            <v>5-7/8" SH</v>
          </cell>
          <cell r="AD980">
            <v>1110</v>
          </cell>
          <cell r="AE980" t="str">
            <v>3-1/2" IF Box</v>
          </cell>
          <cell r="AF980"/>
          <cell r="AG980"/>
          <cell r="AH980" t="str">
            <v>sur chantier</v>
          </cell>
          <cell r="AI980" t="str">
            <v/>
          </cell>
          <cell r="AJ980">
            <v>1</v>
          </cell>
          <cell r="AK980">
            <v>0</v>
          </cell>
          <cell r="AL980"/>
          <cell r="AM980"/>
          <cell r="AN980">
            <v>7040337</v>
          </cell>
          <cell r="AO980"/>
          <cell r="AP980"/>
          <cell r="AQ980"/>
          <cell r="AR980"/>
          <cell r="AS980">
            <v>40</v>
          </cell>
          <cell r="AT980" t="str">
            <v>704-5171</v>
          </cell>
          <cell r="AU980" t="str">
            <v/>
          </cell>
          <cell r="AV980"/>
        </row>
        <row r="981">
          <cell r="Z981">
            <v>5080643</v>
          </cell>
          <cell r="AA981" t="str">
            <v>Taper Mill 
6-5/8" REG Box</v>
          </cell>
          <cell r="AB981">
            <v>338</v>
          </cell>
          <cell r="AC981">
            <v>12.25</v>
          </cell>
          <cell r="AD981">
            <v>338</v>
          </cell>
          <cell r="AE981" t="str">
            <v>6-5/8" REG Box</v>
          </cell>
          <cell r="AF981"/>
          <cell r="AG981"/>
          <cell r="AH981" t="str">
            <v xml:space="preserve"> en stock </v>
          </cell>
          <cell r="AI981">
            <v>1</v>
          </cell>
          <cell r="AJ981">
            <v>0</v>
          </cell>
          <cell r="AK981">
            <v>0</v>
          </cell>
          <cell r="AL981"/>
          <cell r="AM981"/>
          <cell r="AN981" t="str">
            <v/>
          </cell>
          <cell r="AO981"/>
          <cell r="AP981"/>
          <cell r="AQ981"/>
          <cell r="AR981"/>
          <cell r="AS981">
            <v>45</v>
          </cell>
          <cell r="AT981" t="str">
            <v>508-</v>
          </cell>
          <cell r="AU981" t="str">
            <v/>
          </cell>
          <cell r="AV981"/>
        </row>
        <row r="982">
          <cell r="Z982">
            <v>5060644</v>
          </cell>
          <cell r="AA982" t="str">
            <v>String Mill 12,25 OD 
6-5/8" REG Box x 6-5/8" REG Pin</v>
          </cell>
          <cell r="AB982">
            <v>490</v>
          </cell>
          <cell r="AC982">
            <v>12.25</v>
          </cell>
          <cell r="AD982">
            <v>1720</v>
          </cell>
          <cell r="AE982" t="str">
            <v>6-5/8" REG Box</v>
          </cell>
          <cell r="AF982" t="str">
            <v>6-5/8" REG Pin</v>
          </cell>
          <cell r="AG982"/>
          <cell r="AH982" t="str">
            <v xml:space="preserve"> en stock </v>
          </cell>
          <cell r="AI982">
            <v>1</v>
          </cell>
          <cell r="AJ982">
            <v>0</v>
          </cell>
          <cell r="AK982">
            <v>0</v>
          </cell>
          <cell r="AL982"/>
          <cell r="AM982"/>
          <cell r="AN982" t="str">
            <v/>
          </cell>
          <cell r="AO982"/>
          <cell r="AP982"/>
          <cell r="AQ982"/>
          <cell r="AR982"/>
          <cell r="AS982">
            <v>25</v>
          </cell>
          <cell r="AT982"/>
          <cell r="AU982" t="str">
            <v>FR</v>
          </cell>
          <cell r="AV982"/>
        </row>
        <row r="983">
          <cell r="Z983">
            <v>5060645</v>
          </cell>
          <cell r="AA983" t="str">
            <v>String Mill 12,1875 OD 
6-5/8" REG Box x 6-5/8" REG Pin</v>
          </cell>
          <cell r="AB983">
            <v>510</v>
          </cell>
          <cell r="AC983">
            <v>12.1875</v>
          </cell>
          <cell r="AD983">
            <v>1710</v>
          </cell>
          <cell r="AE983" t="str">
            <v>6-5/8" REG Box</v>
          </cell>
          <cell r="AF983" t="str">
            <v>6-5/8" REG Pin</v>
          </cell>
          <cell r="AG983"/>
          <cell r="AH983" t="str">
            <v xml:space="preserve"> en stock </v>
          </cell>
          <cell r="AI983">
            <v>1</v>
          </cell>
          <cell r="AJ983">
            <v>0</v>
          </cell>
          <cell r="AK983">
            <v>0</v>
          </cell>
          <cell r="AL983"/>
          <cell r="AM983"/>
          <cell r="AN983" t="str">
            <v/>
          </cell>
          <cell r="AO983"/>
          <cell r="AP983"/>
          <cell r="AQ983"/>
          <cell r="AR983"/>
          <cell r="AS983">
            <v>26</v>
          </cell>
          <cell r="AT983"/>
          <cell r="AU983" t="str">
            <v>FR</v>
          </cell>
          <cell r="AV983"/>
        </row>
        <row r="984">
          <cell r="Z984">
            <v>5060646</v>
          </cell>
          <cell r="AA984" t="str">
            <v>String Mill 8 1/2 blank OD 
4-1/2" IF Box x 4-1/2" IF Pin</v>
          </cell>
          <cell r="AB984">
            <v>0</v>
          </cell>
          <cell r="AC984" t="str">
            <v>8 1/2 blank</v>
          </cell>
          <cell r="AD984">
            <v>0</v>
          </cell>
          <cell r="AE984" t="str">
            <v>4-1/2" IF Box</v>
          </cell>
          <cell r="AF984" t="str">
            <v>4-1/2" IF Pin</v>
          </cell>
          <cell r="AG984"/>
          <cell r="AH984" t="str">
            <v>maintenance</v>
          </cell>
          <cell r="AI984" t="str">
            <v/>
          </cell>
          <cell r="AJ984">
            <v>0</v>
          </cell>
          <cell r="AK984">
            <v>1</v>
          </cell>
          <cell r="AL984"/>
          <cell r="AM984"/>
          <cell r="AN984">
            <v>5060222</v>
          </cell>
          <cell r="AO984"/>
          <cell r="AP984"/>
          <cell r="AQ984"/>
          <cell r="AR984"/>
          <cell r="AS984">
            <v>20</v>
          </cell>
          <cell r="AT984"/>
          <cell r="AU984" t="str">
            <v>FR</v>
          </cell>
          <cell r="AV984"/>
        </row>
        <row r="985">
          <cell r="Z985" t="str">
            <v xml:space="preserve"> - </v>
          </cell>
          <cell r="AA985"/>
          <cell r="AB985"/>
          <cell r="AC985"/>
          <cell r="AD985"/>
          <cell r="AE985"/>
          <cell r="AF985"/>
          <cell r="AG985"/>
          <cell r="AH985" t="str">
            <v>en stock</v>
          </cell>
          <cell r="AI985"/>
          <cell r="AJ985"/>
          <cell r="AK985"/>
          <cell r="AL985"/>
          <cell r="AM985"/>
          <cell r="AN985">
            <v>1930001</v>
          </cell>
          <cell r="AO985"/>
          <cell r="AP985"/>
          <cell r="AQ985"/>
          <cell r="AR985"/>
          <cell r="AS985"/>
          <cell r="AT985"/>
          <cell r="AU985" t="str">
            <v/>
          </cell>
          <cell r="AV985"/>
        </row>
        <row r="986">
          <cell r="Z986">
            <v>5030647</v>
          </cell>
          <cell r="AA986" t="str">
            <v>Junk Mill 
3-1/2" REG Pin</v>
          </cell>
          <cell r="AB986">
            <v>60</v>
          </cell>
          <cell r="AC986">
            <v>6.25</v>
          </cell>
          <cell r="AD986">
            <v>0</v>
          </cell>
          <cell r="AE986" t="str">
            <v>3-1/2" REG Pin</v>
          </cell>
          <cell r="AF986"/>
          <cell r="AG986" t="str">
            <v>C</v>
          </cell>
          <cell r="AH986" t="str">
            <v xml:space="preserve"> en stock </v>
          </cell>
          <cell r="AI986">
            <v>1</v>
          </cell>
          <cell r="AJ986">
            <v>0</v>
          </cell>
          <cell r="AK986">
            <v>0</v>
          </cell>
          <cell r="AL986"/>
          <cell r="AM986"/>
          <cell r="AN986">
            <v>5030302</v>
          </cell>
          <cell r="AO986"/>
          <cell r="AP986"/>
          <cell r="AQ986"/>
          <cell r="AR986"/>
          <cell r="AS986">
            <v>66</v>
          </cell>
          <cell r="AT986" t="str">
            <v>503-</v>
          </cell>
          <cell r="AU986" t="str">
            <v/>
          </cell>
          <cell r="AV986"/>
        </row>
        <row r="987">
          <cell r="Z987">
            <v>5030648</v>
          </cell>
          <cell r="AA987" t="str">
            <v>Junk Mill 
3-1/2" REG Pin</v>
          </cell>
          <cell r="AB987">
            <v>60</v>
          </cell>
          <cell r="AC987">
            <v>6.75</v>
          </cell>
          <cell r="AD987">
            <v>0</v>
          </cell>
          <cell r="AE987" t="str">
            <v>3-1/2" REG Pin</v>
          </cell>
          <cell r="AF987"/>
          <cell r="AG987" t="str">
            <v>C</v>
          </cell>
          <cell r="AH987" t="str">
            <v xml:space="preserve"> en stock </v>
          </cell>
          <cell r="AI987">
            <v>1</v>
          </cell>
          <cell r="AJ987">
            <v>0</v>
          </cell>
          <cell r="AK987">
            <v>0</v>
          </cell>
          <cell r="AL987"/>
          <cell r="AM987"/>
          <cell r="AN987">
            <v>5030303</v>
          </cell>
          <cell r="AO987"/>
          <cell r="AP987"/>
          <cell r="AQ987"/>
          <cell r="AR987"/>
          <cell r="AS987">
            <v>67</v>
          </cell>
          <cell r="AT987" t="str">
            <v>503-</v>
          </cell>
          <cell r="AU987" t="str">
            <v/>
          </cell>
          <cell r="AV987"/>
        </row>
        <row r="988">
          <cell r="Z988">
            <v>5030649</v>
          </cell>
          <cell r="AA988" t="str">
            <v>Junk Mill  5-7/8" OD
3-1/2" REG Pin</v>
          </cell>
          <cell r="AB988">
            <v>60</v>
          </cell>
          <cell r="AC988">
            <v>5.875</v>
          </cell>
          <cell r="AD988">
            <v>700</v>
          </cell>
          <cell r="AE988" t="str">
            <v>3-1/2" REG Pin</v>
          </cell>
          <cell r="AF988"/>
          <cell r="AG988"/>
          <cell r="AH988" t="str">
            <v>en stock</v>
          </cell>
          <cell r="AI988"/>
          <cell r="AJ988"/>
          <cell r="AK988"/>
          <cell r="AL988"/>
          <cell r="AM988"/>
          <cell r="AN988">
            <v>5030304</v>
          </cell>
          <cell r="AO988"/>
          <cell r="AP988" t="str">
            <v>x</v>
          </cell>
          <cell r="AQ988"/>
          <cell r="AR988"/>
          <cell r="AS988"/>
          <cell r="AT988"/>
          <cell r="AU988" t="str">
            <v>CI1405A2019</v>
          </cell>
          <cell r="AV988"/>
        </row>
        <row r="989">
          <cell r="Z989">
            <v>5030650</v>
          </cell>
          <cell r="AA989" t="str">
            <v>Junk Mill  5-7/8" OD
3-1/2" REG Pin</v>
          </cell>
          <cell r="AB989">
            <v>60</v>
          </cell>
          <cell r="AC989">
            <v>5.875</v>
          </cell>
          <cell r="AD989">
            <v>700</v>
          </cell>
          <cell r="AE989" t="str">
            <v>3-1/2" REG Pin</v>
          </cell>
          <cell r="AF989"/>
          <cell r="AG989"/>
          <cell r="AH989" t="str">
            <v>en stock</v>
          </cell>
          <cell r="AI989"/>
          <cell r="AJ989"/>
          <cell r="AK989"/>
          <cell r="AL989"/>
          <cell r="AM989"/>
          <cell r="AN989">
            <v>5030305</v>
          </cell>
          <cell r="AO989"/>
          <cell r="AP989" t="str">
            <v>x</v>
          </cell>
          <cell r="AQ989"/>
          <cell r="AR989"/>
          <cell r="AS989"/>
          <cell r="AT989"/>
          <cell r="AU989" t="str">
            <v>CI1405A2019</v>
          </cell>
          <cell r="AV989"/>
        </row>
        <row r="990">
          <cell r="Z990">
            <v>5030651</v>
          </cell>
          <cell r="AA990" t="str">
            <v>Junk Mill  6-3/4" OD
3-1/2" REG Pin</v>
          </cell>
          <cell r="AB990"/>
          <cell r="AC990">
            <v>6.75</v>
          </cell>
          <cell r="AD990"/>
          <cell r="AE990" t="str">
            <v>3-1/2" REG Pin</v>
          </cell>
          <cell r="AF990"/>
          <cell r="AG990"/>
          <cell r="AH990" t="str">
            <v>en stock</v>
          </cell>
          <cell r="AI990"/>
          <cell r="AJ990"/>
          <cell r="AK990"/>
          <cell r="AL990"/>
          <cell r="AM990"/>
          <cell r="AN990">
            <v>5030306</v>
          </cell>
          <cell r="AO990"/>
          <cell r="AP990" t="str">
            <v>x</v>
          </cell>
          <cell r="AQ990"/>
          <cell r="AR990"/>
          <cell r="AS990"/>
          <cell r="AT990"/>
          <cell r="AU990" t="str">
            <v>CI1405A2019</v>
          </cell>
          <cell r="AV990"/>
        </row>
        <row r="991">
          <cell r="Z991">
            <v>5030652</v>
          </cell>
          <cell r="AA991" t="str">
            <v>Junk Mill 
3-1/2" REG Pin</v>
          </cell>
          <cell r="AB991">
            <v>60</v>
          </cell>
          <cell r="AC991">
            <v>6.125</v>
          </cell>
          <cell r="AD991">
            <v>0</v>
          </cell>
          <cell r="AE991" t="str">
            <v>3-1/2" REG Pin</v>
          </cell>
          <cell r="AF991"/>
          <cell r="AG991" t="str">
            <v>C</v>
          </cell>
          <cell r="AH991" t="str">
            <v xml:space="preserve"> en stock </v>
          </cell>
          <cell r="AI991">
            <v>1</v>
          </cell>
          <cell r="AJ991">
            <v>0</v>
          </cell>
          <cell r="AK991">
            <v>0</v>
          </cell>
          <cell r="AL991"/>
          <cell r="AM991"/>
          <cell r="AN991">
            <v>5030307</v>
          </cell>
          <cell r="AO991"/>
          <cell r="AP991"/>
          <cell r="AQ991"/>
          <cell r="AR991"/>
          <cell r="AS991">
            <v>42</v>
          </cell>
          <cell r="AT991" t="str">
            <v>503-</v>
          </cell>
          <cell r="AU991" t="str">
            <v/>
          </cell>
          <cell r="AV991"/>
        </row>
        <row r="992">
          <cell r="Z992">
            <v>5030653</v>
          </cell>
          <cell r="AA992" t="str">
            <v>Junk Mill 
3-1/2" REG Pin</v>
          </cell>
          <cell r="AB992">
            <v>58</v>
          </cell>
          <cell r="AC992">
            <v>6.125</v>
          </cell>
          <cell r="AD992">
            <v>0</v>
          </cell>
          <cell r="AE992" t="str">
            <v>3-1/2" REG Pin</v>
          </cell>
          <cell r="AF992"/>
          <cell r="AG992" t="str">
            <v>C</v>
          </cell>
          <cell r="AH992" t="str">
            <v>maintenance</v>
          </cell>
          <cell r="AI992" t="str">
            <v/>
          </cell>
          <cell r="AJ992">
            <v>0</v>
          </cell>
          <cell r="AK992">
            <v>1</v>
          </cell>
          <cell r="AL992"/>
          <cell r="AM992"/>
          <cell r="AN992" t="str">
            <v/>
          </cell>
          <cell r="AO992"/>
          <cell r="AP992"/>
          <cell r="AQ992"/>
          <cell r="AR992"/>
          <cell r="AS992">
            <v>43</v>
          </cell>
          <cell r="AT992" t="str">
            <v>503-</v>
          </cell>
          <cell r="AU992" t="str">
            <v/>
          </cell>
          <cell r="AV992"/>
        </row>
        <row r="993">
          <cell r="Z993">
            <v>5030654</v>
          </cell>
          <cell r="AA993" t="str">
            <v>Junk Mill 
3-1/2" REG Pin</v>
          </cell>
          <cell r="AB993">
            <v>58</v>
          </cell>
          <cell r="AC993">
            <v>6.125</v>
          </cell>
          <cell r="AD993">
            <v>0</v>
          </cell>
          <cell r="AE993" t="str">
            <v>3-1/2" REG Pin</v>
          </cell>
          <cell r="AF993"/>
          <cell r="AG993" t="str">
            <v>C</v>
          </cell>
          <cell r="AH993" t="str">
            <v>sur chantier</v>
          </cell>
          <cell r="AI993" t="str">
            <v/>
          </cell>
          <cell r="AJ993">
            <v>1</v>
          </cell>
          <cell r="AK993">
            <v>0</v>
          </cell>
          <cell r="AL993"/>
          <cell r="AM993"/>
          <cell r="AN993" t="str">
            <v/>
          </cell>
          <cell r="AO993"/>
          <cell r="AP993"/>
          <cell r="AQ993"/>
          <cell r="AR993"/>
          <cell r="AS993">
            <v>44</v>
          </cell>
          <cell r="AT993" t="str">
            <v>503-</v>
          </cell>
          <cell r="AU993" t="str">
            <v/>
          </cell>
          <cell r="AV993"/>
        </row>
        <row r="994">
          <cell r="Z994">
            <v>5030655</v>
          </cell>
          <cell r="AA994" t="str">
            <v>Junk Mill 
3-1/2" REG Pin</v>
          </cell>
          <cell r="AB994">
            <v>60</v>
          </cell>
          <cell r="AC994" t="str">
            <v>6-1/8" blank</v>
          </cell>
          <cell r="AD994">
            <v>0</v>
          </cell>
          <cell r="AE994" t="str">
            <v>3-1/2" REG Pin</v>
          </cell>
          <cell r="AF994"/>
          <cell r="AG994" t="str">
            <v>(Insert)</v>
          </cell>
          <cell r="AH994" t="str">
            <v>maintenance</v>
          </cell>
          <cell r="AI994" t="str">
            <v/>
          </cell>
          <cell r="AJ994">
            <v>0</v>
          </cell>
          <cell r="AK994">
            <v>1</v>
          </cell>
          <cell r="AL994"/>
          <cell r="AM994"/>
          <cell r="AN994" t="str">
            <v/>
          </cell>
          <cell r="AO994"/>
          <cell r="AP994"/>
          <cell r="AQ994"/>
          <cell r="AR994"/>
          <cell r="AS994">
            <v>40</v>
          </cell>
          <cell r="AT994" t="str">
            <v>503-</v>
          </cell>
          <cell r="AU994" t="str">
            <v/>
          </cell>
          <cell r="AV994"/>
        </row>
        <row r="995">
          <cell r="Z995">
            <v>5110656</v>
          </cell>
          <cell r="AA995" t="str">
            <v>WO Shoe
5-1/2" FJWP Box</v>
          </cell>
          <cell r="AB995">
            <v>18</v>
          </cell>
          <cell r="AC995">
            <v>5.875</v>
          </cell>
          <cell r="AD995">
            <v>630</v>
          </cell>
          <cell r="AE995" t="str">
            <v>5-1/2" FJWP Box</v>
          </cell>
          <cell r="AF995"/>
          <cell r="AG995" t="str">
            <v>CC</v>
          </cell>
          <cell r="AH995" t="str">
            <v>maintenance</v>
          </cell>
          <cell r="AI995" t="str">
            <v/>
          </cell>
          <cell r="AJ995">
            <v>0</v>
          </cell>
          <cell r="AK995">
            <v>1</v>
          </cell>
          <cell r="AL995"/>
          <cell r="AM995"/>
          <cell r="AN995" t="str">
            <v/>
          </cell>
          <cell r="AO995"/>
          <cell r="AP995"/>
          <cell r="AQ995"/>
          <cell r="AR995"/>
          <cell r="AS995">
            <v>103</v>
          </cell>
          <cell r="AT995"/>
          <cell r="AU995" t="str">
            <v/>
          </cell>
          <cell r="AV995"/>
        </row>
        <row r="996">
          <cell r="Z996">
            <v>5110657</v>
          </cell>
          <cell r="AA996" t="str">
            <v>WO Shoe
5-1/2" FJWP Box</v>
          </cell>
          <cell r="AB996">
            <v>18</v>
          </cell>
          <cell r="AC996">
            <v>5.875</v>
          </cell>
          <cell r="AD996">
            <v>630</v>
          </cell>
          <cell r="AE996" t="str">
            <v>5-1/2" FJWP Box</v>
          </cell>
          <cell r="AF996"/>
          <cell r="AG996" t="str">
            <v>CC</v>
          </cell>
          <cell r="AH996" t="str">
            <v>maintenance</v>
          </cell>
          <cell r="AI996" t="str">
            <v/>
          </cell>
          <cell r="AJ996">
            <v>0</v>
          </cell>
          <cell r="AK996">
            <v>1</v>
          </cell>
          <cell r="AL996"/>
          <cell r="AM996"/>
          <cell r="AN996" t="str">
            <v/>
          </cell>
          <cell r="AO996"/>
          <cell r="AP996"/>
          <cell r="AQ996"/>
          <cell r="AR996"/>
          <cell r="AS996">
            <v>104</v>
          </cell>
          <cell r="AT996"/>
          <cell r="AU996" t="str">
            <v/>
          </cell>
          <cell r="AV996"/>
        </row>
        <row r="997">
          <cell r="Z997">
            <v>5110658</v>
          </cell>
          <cell r="AA997"/>
          <cell r="AB997"/>
          <cell r="AC997"/>
          <cell r="AD997"/>
          <cell r="AE997"/>
          <cell r="AF997"/>
          <cell r="AG997"/>
          <cell r="AH997" t="str">
            <v>en stock</v>
          </cell>
          <cell r="AI997"/>
          <cell r="AJ997"/>
          <cell r="AK997"/>
          <cell r="AL997"/>
          <cell r="AM997"/>
          <cell r="AN997" t="str">
            <v/>
          </cell>
          <cell r="AO997"/>
          <cell r="AP997"/>
          <cell r="AQ997"/>
          <cell r="AR997"/>
          <cell r="AS997"/>
          <cell r="AT997"/>
          <cell r="AU997" t="str">
            <v>pb Cr</v>
          </cell>
          <cell r="AV997"/>
        </row>
        <row r="998">
          <cell r="Z998">
            <v>5110659</v>
          </cell>
          <cell r="AA998"/>
          <cell r="AB998"/>
          <cell r="AC998"/>
          <cell r="AD998"/>
          <cell r="AE998"/>
          <cell r="AF998"/>
          <cell r="AG998"/>
          <cell r="AH998" t="str">
            <v>en stock</v>
          </cell>
          <cell r="AI998"/>
          <cell r="AJ998"/>
          <cell r="AK998"/>
          <cell r="AL998"/>
          <cell r="AM998"/>
          <cell r="AN998" t="str">
            <v/>
          </cell>
          <cell r="AO998"/>
          <cell r="AP998"/>
          <cell r="AQ998"/>
          <cell r="AR998"/>
          <cell r="AS998"/>
          <cell r="AT998"/>
          <cell r="AU998" t="str">
            <v>pb Cr</v>
          </cell>
          <cell r="AV998"/>
        </row>
        <row r="999">
          <cell r="Z999">
            <v>5110660</v>
          </cell>
          <cell r="AA999"/>
          <cell r="AB999"/>
          <cell r="AC999"/>
          <cell r="AD999"/>
          <cell r="AE999"/>
          <cell r="AF999"/>
          <cell r="AG999"/>
          <cell r="AH999" t="str">
            <v>en stock</v>
          </cell>
          <cell r="AI999"/>
          <cell r="AJ999"/>
          <cell r="AK999"/>
          <cell r="AL999"/>
          <cell r="AM999"/>
          <cell r="AN999" t="str">
            <v/>
          </cell>
          <cell r="AO999"/>
          <cell r="AP999"/>
          <cell r="AQ999"/>
          <cell r="AR999"/>
          <cell r="AS999"/>
          <cell r="AT999"/>
          <cell r="AU999" t="str">
            <v>pb Cr</v>
          </cell>
          <cell r="AV999"/>
        </row>
        <row r="1000">
          <cell r="Z1000">
            <v>5110661</v>
          </cell>
          <cell r="AA1000" t="str">
            <v>WO Shoe
5-1/2" FJWP Box</v>
          </cell>
          <cell r="AB1000">
            <v>18</v>
          </cell>
          <cell r="AC1000">
            <v>5.875</v>
          </cell>
          <cell r="AD1000">
            <v>630</v>
          </cell>
          <cell r="AE1000" t="str">
            <v>5-1/2" FJWP Box</v>
          </cell>
          <cell r="AF1000"/>
          <cell r="AG1000" t="str">
            <v>CC</v>
          </cell>
          <cell r="AH1000" t="str">
            <v>maintenance</v>
          </cell>
          <cell r="AI1000" t="str">
            <v/>
          </cell>
          <cell r="AJ1000">
            <v>0</v>
          </cell>
          <cell r="AK1000">
            <v>1</v>
          </cell>
          <cell r="AL1000"/>
          <cell r="AM1000"/>
          <cell r="AN1000" t="str">
            <v/>
          </cell>
          <cell r="AO1000"/>
          <cell r="AP1000"/>
          <cell r="AQ1000"/>
          <cell r="AR1000"/>
          <cell r="AS1000">
            <v>105</v>
          </cell>
          <cell r="AT1000"/>
          <cell r="AU1000" t="str">
            <v/>
          </cell>
          <cell r="AV1000"/>
        </row>
        <row r="1001">
          <cell r="Z1001">
            <v>8130661</v>
          </cell>
          <cell r="AA1001" t="str">
            <v>XO
2-3/8" IF Pin x 2-3/8" REG Box</v>
          </cell>
          <cell r="AB1001">
            <v>12</v>
          </cell>
          <cell r="AC1001">
            <v>3.5</v>
          </cell>
          <cell r="AD1001">
            <v>315</v>
          </cell>
          <cell r="AE1001" t="str">
            <v>2-3/8" IF Pin</v>
          </cell>
          <cell r="AF1001" t="str">
            <v>2-3/8" REG Box</v>
          </cell>
          <cell r="AG1001"/>
          <cell r="AH1001" t="str">
            <v xml:space="preserve"> en stock </v>
          </cell>
          <cell r="AI1001">
            <v>1</v>
          </cell>
          <cell r="AJ1001">
            <v>0</v>
          </cell>
          <cell r="AK1001">
            <v>0</v>
          </cell>
          <cell r="AL1001"/>
          <cell r="AM1001"/>
          <cell r="AN1001" t="str">
            <v/>
          </cell>
          <cell r="AO1001"/>
          <cell r="AP1001"/>
          <cell r="AQ1001"/>
          <cell r="AR1001"/>
          <cell r="AS1001">
            <v>11</v>
          </cell>
          <cell r="AT1001"/>
          <cell r="AU1001" t="str">
            <v/>
          </cell>
          <cell r="AV1001"/>
        </row>
        <row r="1002">
          <cell r="Z1002">
            <v>8130662</v>
          </cell>
          <cell r="AA1002" t="str">
            <v>XO
1-1/4" REG Pin x 2-3/8" REG Box</v>
          </cell>
          <cell r="AB1002">
            <v>12</v>
          </cell>
          <cell r="AC1002">
            <v>3.5</v>
          </cell>
          <cell r="AD1002">
            <v>310</v>
          </cell>
          <cell r="AE1002" t="str">
            <v>1-1/4" REG Pin</v>
          </cell>
          <cell r="AF1002" t="str">
            <v>2-3/8" REG Box</v>
          </cell>
          <cell r="AG1002"/>
          <cell r="AH1002" t="str">
            <v>maintenance</v>
          </cell>
          <cell r="AI1002" t="str">
            <v/>
          </cell>
          <cell r="AJ1002">
            <v>0</v>
          </cell>
          <cell r="AK1002">
            <v>1</v>
          </cell>
          <cell r="AL1002"/>
          <cell r="AM1002"/>
          <cell r="AN1002" t="str">
            <v/>
          </cell>
          <cell r="AO1002"/>
          <cell r="AP1002"/>
          <cell r="AQ1002"/>
          <cell r="AR1002"/>
          <cell r="AS1002">
            <v>10</v>
          </cell>
          <cell r="AT1002"/>
          <cell r="AU1002" t="str">
            <v/>
          </cell>
          <cell r="AV1002"/>
        </row>
        <row r="1003">
          <cell r="Z1003">
            <v>7120663</v>
          </cell>
          <cell r="AA1003" t="str">
            <v>Releasing Spear 2-5/16" OD Mandrel CA 1227
1-1/4" REG Box</v>
          </cell>
          <cell r="AB1003">
            <v>18</v>
          </cell>
          <cell r="AC1003">
            <v>2.3125</v>
          </cell>
          <cell r="AD1003" t="str">
            <v>CA 1227</v>
          </cell>
          <cell r="AE1003" t="str">
            <v>1-1/4" REG Box</v>
          </cell>
          <cell r="AF1003" t="str">
            <v>mandrel seul</v>
          </cell>
          <cell r="AG1003"/>
          <cell r="AH1003" t="str">
            <v>maintenance</v>
          </cell>
          <cell r="AI1003" t="str">
            <v/>
          </cell>
          <cell r="AJ1003">
            <v>0</v>
          </cell>
          <cell r="AK1003">
            <v>1</v>
          </cell>
          <cell r="AL1003"/>
          <cell r="AM1003"/>
          <cell r="AN1003" t="str">
            <v/>
          </cell>
          <cell r="AO1003"/>
          <cell r="AP1003"/>
          <cell r="AQ1003"/>
          <cell r="AR1003"/>
          <cell r="AS1003">
            <v>8</v>
          </cell>
          <cell r="AT1003"/>
          <cell r="AU1003" t="str">
            <v/>
          </cell>
          <cell r="AV1003"/>
        </row>
        <row r="1004">
          <cell r="Z1004">
            <v>7120664</v>
          </cell>
          <cell r="AA1004" t="str">
            <v>Releasing Spear 2-5/16" OD Mandrel CA 1227
1-1/4" REG Box</v>
          </cell>
          <cell r="AB1004">
            <v>8</v>
          </cell>
          <cell r="AC1004">
            <v>2.3125</v>
          </cell>
          <cell r="AD1004" t="str">
            <v>CA 1227</v>
          </cell>
          <cell r="AE1004" t="str">
            <v>1-1/4" REG Box</v>
          </cell>
          <cell r="AF1004" t="str">
            <v>bull nose nut coupé</v>
          </cell>
          <cell r="AG1004"/>
          <cell r="AH1004" t="str">
            <v xml:space="preserve"> en stock </v>
          </cell>
          <cell r="AI1004">
            <v>1</v>
          </cell>
          <cell r="AJ1004">
            <v>0</v>
          </cell>
          <cell r="AK1004">
            <v>0</v>
          </cell>
          <cell r="AL1004"/>
          <cell r="AM1004"/>
          <cell r="AN1004" t="str">
            <v/>
          </cell>
          <cell r="AO1004"/>
          <cell r="AP1004"/>
          <cell r="AQ1004"/>
          <cell r="AR1004"/>
          <cell r="AS1004">
            <v>9</v>
          </cell>
          <cell r="AT1004"/>
          <cell r="AU1004" t="str">
            <v/>
          </cell>
          <cell r="AV1004"/>
        </row>
        <row r="1005">
          <cell r="Z1005">
            <v>7120665</v>
          </cell>
          <cell r="AA1005"/>
          <cell r="AB1005"/>
          <cell r="AC1005"/>
          <cell r="AD1005"/>
          <cell r="AE1005"/>
          <cell r="AF1005"/>
          <cell r="AG1005"/>
          <cell r="AH1005" t="str">
            <v>en stock</v>
          </cell>
          <cell r="AI1005"/>
          <cell r="AJ1005"/>
          <cell r="AK1005"/>
          <cell r="AL1005"/>
          <cell r="AM1005"/>
          <cell r="AN1005">
            <v>7120082</v>
          </cell>
          <cell r="AO1005"/>
          <cell r="AP1005"/>
          <cell r="AQ1005"/>
          <cell r="AR1005"/>
          <cell r="AS1005"/>
          <cell r="AT1005"/>
          <cell r="AU1005" t="str">
            <v>CI-1201A2021</v>
          </cell>
          <cell r="AV1005"/>
        </row>
        <row r="1006">
          <cell r="Z1006">
            <v>7120666</v>
          </cell>
          <cell r="AA1006" t="str">
            <v>Releasing Spear 5-11/16" OD Mandrel CA 9266
3-1/2" IF Box</v>
          </cell>
          <cell r="AB1006">
            <v>86</v>
          </cell>
          <cell r="AC1006">
            <v>5.6875</v>
          </cell>
          <cell r="AD1006" t="str">
            <v>CA 9266</v>
          </cell>
          <cell r="AE1006" t="str">
            <v>3-1/2" IF Box</v>
          </cell>
          <cell r="AF1006" t="str">
            <v>3-1/2" IF Pin</v>
          </cell>
          <cell r="AG1006"/>
          <cell r="AH1006" t="str">
            <v xml:space="preserve"> en stock </v>
          </cell>
          <cell r="AI1006">
            <v>1</v>
          </cell>
          <cell r="AJ1006">
            <v>0</v>
          </cell>
          <cell r="AK1006">
            <v>0</v>
          </cell>
          <cell r="AL1006"/>
          <cell r="AM1006"/>
          <cell r="AN1006">
            <v>7120666</v>
          </cell>
          <cell r="AO1006"/>
          <cell r="AP1006"/>
          <cell r="AQ1006"/>
          <cell r="AR1006"/>
          <cell r="AS1006">
            <v>26</v>
          </cell>
          <cell r="AT1006"/>
          <cell r="AU1006" t="str">
            <v/>
          </cell>
          <cell r="AV1006"/>
        </row>
        <row r="1007">
          <cell r="Z1007">
            <v>5110667</v>
          </cell>
          <cell r="AA1007" t="str">
            <v>WO Shoe
5-3/4" FJWP Box</v>
          </cell>
          <cell r="AB1007">
            <v>28</v>
          </cell>
          <cell r="AC1007">
            <v>6.75</v>
          </cell>
          <cell r="AD1007">
            <v>725</v>
          </cell>
          <cell r="AE1007" t="str">
            <v>5-3/4" FJWP Box</v>
          </cell>
          <cell r="AF1007"/>
          <cell r="AG1007" t="str">
            <v>CC</v>
          </cell>
          <cell r="AH1007" t="str">
            <v xml:space="preserve"> en stock </v>
          </cell>
          <cell r="AI1007">
            <v>1</v>
          </cell>
          <cell r="AJ1007">
            <v>0</v>
          </cell>
          <cell r="AK1007">
            <v>0</v>
          </cell>
          <cell r="AL1007"/>
          <cell r="AM1007"/>
          <cell r="AN1007" t="str">
            <v/>
          </cell>
          <cell r="AO1007"/>
          <cell r="AP1007"/>
          <cell r="AQ1007"/>
          <cell r="AR1007"/>
          <cell r="AS1007">
            <v>130</v>
          </cell>
          <cell r="AT1007"/>
          <cell r="AU1007" t="str">
            <v/>
          </cell>
          <cell r="AV1007"/>
        </row>
        <row r="1008">
          <cell r="Z1008">
            <v>5110668</v>
          </cell>
          <cell r="AA1008" t="str">
            <v>WO Shoe
5-3/4" FJWP Box</v>
          </cell>
          <cell r="AB1008">
            <v>26</v>
          </cell>
          <cell r="AC1008">
            <v>6.75</v>
          </cell>
          <cell r="AD1008">
            <v>720</v>
          </cell>
          <cell r="AE1008" t="str">
            <v>5-3/4" FJWP Box</v>
          </cell>
          <cell r="AF1008"/>
          <cell r="AG1008" t="str">
            <v>CC</v>
          </cell>
          <cell r="AH1008" t="str">
            <v xml:space="preserve"> en stock </v>
          </cell>
          <cell r="AI1008">
            <v>1</v>
          </cell>
          <cell r="AJ1008">
            <v>0</v>
          </cell>
          <cell r="AK1008">
            <v>0</v>
          </cell>
          <cell r="AL1008"/>
          <cell r="AM1008"/>
          <cell r="AN1008" t="str">
            <v/>
          </cell>
          <cell r="AO1008"/>
          <cell r="AP1008"/>
          <cell r="AQ1008"/>
          <cell r="AR1008"/>
          <cell r="AS1008">
            <v>131</v>
          </cell>
          <cell r="AT1008"/>
          <cell r="AU1008" t="str">
            <v/>
          </cell>
          <cell r="AV1008"/>
        </row>
        <row r="1009">
          <cell r="Z1009">
            <v>5110669</v>
          </cell>
          <cell r="AA1009" t="str">
            <v>WO Shoe
5-3/4" FJWP Box</v>
          </cell>
          <cell r="AB1009">
            <v>26</v>
          </cell>
          <cell r="AC1009">
            <v>6.75</v>
          </cell>
          <cell r="AD1009">
            <v>715</v>
          </cell>
          <cell r="AE1009" t="str">
            <v>5-3/4" FJWP Box</v>
          </cell>
          <cell r="AF1009"/>
          <cell r="AG1009" t="str">
            <v>CC</v>
          </cell>
          <cell r="AH1009" t="str">
            <v xml:space="preserve"> en stock </v>
          </cell>
          <cell r="AI1009">
            <v>1</v>
          </cell>
          <cell r="AJ1009">
            <v>0</v>
          </cell>
          <cell r="AK1009">
            <v>0</v>
          </cell>
          <cell r="AL1009"/>
          <cell r="AM1009"/>
          <cell r="AN1009" t="str">
            <v/>
          </cell>
          <cell r="AO1009"/>
          <cell r="AP1009"/>
          <cell r="AQ1009"/>
          <cell r="AR1009"/>
          <cell r="AS1009">
            <v>132</v>
          </cell>
          <cell r="AT1009"/>
          <cell r="AU1009" t="str">
            <v/>
          </cell>
          <cell r="AV1009"/>
        </row>
        <row r="1010">
          <cell r="Z1010">
            <v>5110670</v>
          </cell>
          <cell r="AA1010" t="str">
            <v>WO Shoe
5-3/4" FJWP Box</v>
          </cell>
          <cell r="AB1010">
            <v>0</v>
          </cell>
          <cell r="AC1010">
            <v>6.75</v>
          </cell>
          <cell r="AD1010">
            <v>700</v>
          </cell>
          <cell r="AE1010" t="str">
            <v>5-3/4" FJWP Box</v>
          </cell>
          <cell r="AF1010"/>
          <cell r="AG1010" t="str">
            <v>CC</v>
          </cell>
          <cell r="AH1010" t="str">
            <v>maintenance</v>
          </cell>
          <cell r="AI1010" t="str">
            <v/>
          </cell>
          <cell r="AJ1010">
            <v>0</v>
          </cell>
          <cell r="AK1010">
            <v>1</v>
          </cell>
          <cell r="AL1010"/>
          <cell r="AM1010"/>
          <cell r="AN1010" t="str">
            <v/>
          </cell>
          <cell r="AO1010"/>
          <cell r="AP1010"/>
          <cell r="AQ1010"/>
          <cell r="AR1010"/>
          <cell r="AS1010">
            <v>133</v>
          </cell>
          <cell r="AT1010"/>
          <cell r="AU1010" t="str">
            <v/>
          </cell>
          <cell r="AV1010"/>
        </row>
        <row r="1011">
          <cell r="Z1011">
            <v>5030671</v>
          </cell>
          <cell r="AA1011" t="str">
            <v>Junk Mill 
2-3/8" REG Pin</v>
          </cell>
          <cell r="AB1011">
            <v>24</v>
          </cell>
          <cell r="AC1011">
            <v>4.75</v>
          </cell>
          <cell r="AD1011">
            <v>0</v>
          </cell>
          <cell r="AE1011" t="str">
            <v>2-3/8" REG Pin</v>
          </cell>
          <cell r="AF1011"/>
          <cell r="AG1011" t="str">
            <v>C</v>
          </cell>
          <cell r="AH1011" t="str">
            <v xml:space="preserve"> en stock </v>
          </cell>
          <cell r="AI1011">
            <v>1</v>
          </cell>
          <cell r="AJ1011">
            <v>0</v>
          </cell>
          <cell r="AK1011">
            <v>0</v>
          </cell>
          <cell r="AL1011"/>
          <cell r="AM1011"/>
          <cell r="AN1011" t="str">
            <v/>
          </cell>
          <cell r="AO1011"/>
          <cell r="AP1011"/>
          <cell r="AQ1011"/>
          <cell r="AR1011"/>
          <cell r="AS1011">
            <v>17</v>
          </cell>
          <cell r="AT1011" t="str">
            <v>503-</v>
          </cell>
          <cell r="AU1011" t="str">
            <v/>
          </cell>
          <cell r="AV1011"/>
        </row>
        <row r="1012">
          <cell r="Z1012">
            <v>5030672</v>
          </cell>
          <cell r="AA1012" t="str">
            <v>Junk Mill 
2-3/8" REG Pin</v>
          </cell>
          <cell r="AB1012">
            <v>24</v>
          </cell>
          <cell r="AC1012">
            <v>4.875</v>
          </cell>
          <cell r="AD1012">
            <v>0</v>
          </cell>
          <cell r="AE1012" t="str">
            <v>2-3/8" REG Pin</v>
          </cell>
          <cell r="AF1012"/>
          <cell r="AG1012" t="str">
            <v>C</v>
          </cell>
          <cell r="AH1012" t="str">
            <v xml:space="preserve"> en stock </v>
          </cell>
          <cell r="AI1012">
            <v>1</v>
          </cell>
          <cell r="AJ1012">
            <v>0</v>
          </cell>
          <cell r="AK1012">
            <v>0</v>
          </cell>
          <cell r="AL1012"/>
          <cell r="AM1012"/>
          <cell r="AN1012" t="str">
            <v/>
          </cell>
          <cell r="AO1012"/>
          <cell r="AP1012"/>
          <cell r="AQ1012"/>
          <cell r="AR1012"/>
          <cell r="AS1012">
            <v>18</v>
          </cell>
          <cell r="AT1012" t="str">
            <v>503-</v>
          </cell>
          <cell r="AU1012" t="str">
            <v/>
          </cell>
          <cell r="AV1012"/>
        </row>
        <row r="1013">
          <cell r="Z1013">
            <v>5030673</v>
          </cell>
          <cell r="AA1013" t="str">
            <v>Junk Mill 
2-3/8" REG Pin</v>
          </cell>
          <cell r="AB1013">
            <v>24</v>
          </cell>
          <cell r="AC1013">
            <v>4.875</v>
          </cell>
          <cell r="AD1013">
            <v>0</v>
          </cell>
          <cell r="AE1013" t="str">
            <v>2-3/8" REG Pin</v>
          </cell>
          <cell r="AF1013"/>
          <cell r="AG1013" t="str">
            <v>C</v>
          </cell>
          <cell r="AH1013" t="str">
            <v xml:space="preserve"> en stock </v>
          </cell>
          <cell r="AI1013">
            <v>1</v>
          </cell>
          <cell r="AJ1013">
            <v>0</v>
          </cell>
          <cell r="AK1013">
            <v>0</v>
          </cell>
          <cell r="AL1013"/>
          <cell r="AM1013"/>
          <cell r="AN1013" t="str">
            <v/>
          </cell>
          <cell r="AO1013"/>
          <cell r="AP1013"/>
          <cell r="AQ1013"/>
          <cell r="AR1013"/>
          <cell r="AS1013">
            <v>19</v>
          </cell>
          <cell r="AT1013" t="str">
            <v>503-</v>
          </cell>
          <cell r="AU1013" t="str">
            <v/>
          </cell>
          <cell r="AV1013"/>
        </row>
        <row r="1014">
          <cell r="Z1014">
            <v>5030674</v>
          </cell>
          <cell r="AA1014" t="str">
            <v>Junk Mill 
4-1/2" REG Pin</v>
          </cell>
          <cell r="AB1014">
            <v>104</v>
          </cell>
          <cell r="AC1014">
            <v>8.25</v>
          </cell>
          <cell r="AD1014">
            <v>0</v>
          </cell>
          <cell r="AE1014" t="str">
            <v>4-1/2" REG Pin</v>
          </cell>
          <cell r="AF1014"/>
          <cell r="AG1014" t="str">
            <v>C</v>
          </cell>
          <cell r="AH1014" t="str">
            <v xml:space="preserve"> en stock </v>
          </cell>
          <cell r="AI1014">
            <v>1</v>
          </cell>
          <cell r="AJ1014">
            <v>0</v>
          </cell>
          <cell r="AK1014">
            <v>0</v>
          </cell>
          <cell r="AL1014"/>
          <cell r="AM1014"/>
          <cell r="AN1014" t="str">
            <v/>
          </cell>
          <cell r="AO1014"/>
          <cell r="AP1014"/>
          <cell r="AQ1014"/>
          <cell r="AR1014"/>
          <cell r="AS1014">
            <v>73</v>
          </cell>
          <cell r="AT1014" t="str">
            <v>503-</v>
          </cell>
          <cell r="AU1014" t="str">
            <v/>
          </cell>
          <cell r="AV1014"/>
        </row>
        <row r="1015">
          <cell r="Z1015">
            <v>5030675</v>
          </cell>
          <cell r="AA1015" t="str">
            <v>Junk Mill 
4-1/2" REG Pin</v>
          </cell>
          <cell r="AB1015">
            <v>104</v>
          </cell>
          <cell r="AC1015">
            <v>8.5</v>
          </cell>
          <cell r="AD1015">
            <v>0</v>
          </cell>
          <cell r="AE1015" t="str">
            <v>4-1/2" REG Pin</v>
          </cell>
          <cell r="AF1015"/>
          <cell r="AG1015" t="str">
            <v>C</v>
          </cell>
          <cell r="AH1015" t="str">
            <v>sur chantier</v>
          </cell>
          <cell r="AI1015" t="str">
            <v/>
          </cell>
          <cell r="AJ1015">
            <v>1</v>
          </cell>
          <cell r="AK1015">
            <v>0</v>
          </cell>
          <cell r="AL1015"/>
          <cell r="AM1015"/>
          <cell r="AN1015" t="str">
            <v/>
          </cell>
          <cell r="AO1015"/>
          <cell r="AP1015"/>
          <cell r="AQ1015"/>
          <cell r="AR1015"/>
          <cell r="AS1015">
            <v>74</v>
          </cell>
          <cell r="AT1015" t="str">
            <v>503-</v>
          </cell>
          <cell r="AU1015" t="str">
            <v/>
          </cell>
          <cell r="AV1015"/>
        </row>
        <row r="1016">
          <cell r="Z1016">
            <v>5020676</v>
          </cell>
          <cell r="AA1016" t="str">
            <v>Economill 
3-1/2" REG Pin</v>
          </cell>
          <cell r="AB1016">
            <v>16</v>
          </cell>
          <cell r="AC1016">
            <v>4.625</v>
          </cell>
          <cell r="AD1016">
            <v>210</v>
          </cell>
          <cell r="AE1016" t="str">
            <v>3-1/2" REG Pin</v>
          </cell>
          <cell r="AF1016"/>
          <cell r="AG1016" t="str">
            <v>C</v>
          </cell>
          <cell r="AH1016" t="str">
            <v>maintenance</v>
          </cell>
          <cell r="AI1016" t="str">
            <v/>
          </cell>
          <cell r="AJ1016">
            <v>0</v>
          </cell>
          <cell r="AK1016">
            <v>1</v>
          </cell>
          <cell r="AL1016"/>
          <cell r="AM1016"/>
          <cell r="AN1016" t="str">
            <v/>
          </cell>
          <cell r="AO1016"/>
          <cell r="AP1016"/>
          <cell r="AQ1016"/>
          <cell r="AR1016"/>
          <cell r="AS1016">
            <v>16</v>
          </cell>
          <cell r="AT1016"/>
          <cell r="AU1016" t="str">
            <v/>
          </cell>
          <cell r="AV1016"/>
        </row>
        <row r="1017">
          <cell r="Z1017">
            <v>5020677</v>
          </cell>
          <cell r="AA1017" t="str">
            <v>Economill 
3-1/2" REG Pin</v>
          </cell>
          <cell r="AB1017">
            <v>18</v>
          </cell>
          <cell r="AC1017">
            <v>4.625</v>
          </cell>
          <cell r="AD1017">
            <v>210</v>
          </cell>
          <cell r="AE1017" t="str">
            <v>3-1/2" REG Pin</v>
          </cell>
          <cell r="AF1017"/>
          <cell r="AG1017" t="str">
            <v>C</v>
          </cell>
          <cell r="AH1017" t="str">
            <v xml:space="preserve"> en stock </v>
          </cell>
          <cell r="AI1017">
            <v>1</v>
          </cell>
          <cell r="AJ1017">
            <v>0</v>
          </cell>
          <cell r="AK1017">
            <v>0</v>
          </cell>
          <cell r="AL1017"/>
          <cell r="AM1017"/>
          <cell r="AN1017" t="str">
            <v/>
          </cell>
          <cell r="AO1017"/>
          <cell r="AP1017"/>
          <cell r="AQ1017"/>
          <cell r="AR1017"/>
          <cell r="AS1017">
            <v>17</v>
          </cell>
          <cell r="AT1017"/>
          <cell r="AU1017" t="str">
            <v/>
          </cell>
          <cell r="AV1017"/>
        </row>
        <row r="1018">
          <cell r="Z1018">
            <v>5020678</v>
          </cell>
          <cell r="AA1018" t="str">
            <v>Economill 
3-1/2" REG Pin</v>
          </cell>
          <cell r="AB1018">
            <v>17</v>
          </cell>
          <cell r="AC1018">
            <v>4.875</v>
          </cell>
          <cell r="AD1018">
            <v>210</v>
          </cell>
          <cell r="AE1018" t="str">
            <v>3-1/2" REG Pin</v>
          </cell>
          <cell r="AF1018"/>
          <cell r="AG1018" t="str">
            <v>C</v>
          </cell>
          <cell r="AH1018" t="str">
            <v xml:space="preserve"> en stock </v>
          </cell>
          <cell r="AI1018">
            <v>1</v>
          </cell>
          <cell r="AJ1018">
            <v>0</v>
          </cell>
          <cell r="AK1018">
            <v>0</v>
          </cell>
          <cell r="AL1018"/>
          <cell r="AM1018"/>
          <cell r="AN1018" t="str">
            <v/>
          </cell>
          <cell r="AO1018"/>
          <cell r="AP1018"/>
          <cell r="AQ1018"/>
          <cell r="AR1018"/>
          <cell r="AS1018">
            <v>19</v>
          </cell>
          <cell r="AT1018"/>
          <cell r="AU1018" t="str">
            <v/>
          </cell>
          <cell r="AV1018"/>
        </row>
        <row r="1019">
          <cell r="Z1019">
            <v>4020679</v>
          </cell>
          <cell r="AA1019" t="str">
            <v xml:space="preserve">Bumper Sub 3-5/32" OD
2-3/8" REG Pin down x Box up </v>
          </cell>
          <cell r="AB1019">
            <v>42</v>
          </cell>
          <cell r="AC1019">
            <v>3.15625</v>
          </cell>
          <cell r="AD1019">
            <v>1370</v>
          </cell>
          <cell r="AE1019" t="str">
            <v>2-3/8" REG Box</v>
          </cell>
          <cell r="AF1019" t="str">
            <v>2-3/8" REG Pin</v>
          </cell>
          <cell r="AG1019"/>
          <cell r="AH1019" t="str">
            <v>maintenance</v>
          </cell>
          <cell r="AI1019" t="str">
            <v/>
          </cell>
          <cell r="AJ1019">
            <v>0</v>
          </cell>
          <cell r="AK1019">
            <v>1</v>
          </cell>
          <cell r="AL1019"/>
          <cell r="AM1019"/>
          <cell r="AN1019" t="str">
            <v/>
          </cell>
          <cell r="AO1019"/>
          <cell r="AP1019"/>
          <cell r="AQ1019"/>
          <cell r="AR1019"/>
          <cell r="AS1019">
            <v>6</v>
          </cell>
          <cell r="AT1019" t="str">
            <v>402-3,156</v>
          </cell>
          <cell r="AU1019" t="str">
            <v/>
          </cell>
          <cell r="AV1019"/>
        </row>
        <row r="1020">
          <cell r="Z1020">
            <v>4020680</v>
          </cell>
          <cell r="AA1020" t="str">
            <v xml:space="preserve">Bumper Sub 3-5/32" OD
2-3/8" REG Pin down x Box up </v>
          </cell>
          <cell r="AB1020">
            <v>42</v>
          </cell>
          <cell r="AC1020">
            <v>3.15625</v>
          </cell>
          <cell r="AD1020">
            <v>1370</v>
          </cell>
          <cell r="AE1020" t="str">
            <v>2-3/8" REG Box</v>
          </cell>
          <cell r="AF1020" t="str">
            <v>2-3/8" REG Pin</v>
          </cell>
          <cell r="AG1020"/>
          <cell r="AH1020" t="str">
            <v>sur chantier</v>
          </cell>
          <cell r="AI1020" t="str">
            <v/>
          </cell>
          <cell r="AJ1020">
            <v>1</v>
          </cell>
          <cell r="AK1020">
            <v>0</v>
          </cell>
          <cell r="AL1020"/>
          <cell r="AM1020"/>
          <cell r="AN1020" t="str">
            <v/>
          </cell>
          <cell r="AO1020"/>
          <cell r="AP1020"/>
          <cell r="AQ1020"/>
          <cell r="AR1020"/>
          <cell r="AS1020">
            <v>5</v>
          </cell>
          <cell r="AT1020" t="str">
            <v>402-3,156</v>
          </cell>
          <cell r="AU1020" t="str">
            <v/>
          </cell>
          <cell r="AV1020"/>
        </row>
        <row r="1021">
          <cell r="Z1021">
            <v>6040681</v>
          </cell>
          <cell r="AA1021"/>
          <cell r="AB1021"/>
          <cell r="AC1021"/>
          <cell r="AD1021"/>
          <cell r="AE1021"/>
          <cell r="AF1021"/>
          <cell r="AG1021"/>
          <cell r="AH1021" t="str">
            <v>en stock</v>
          </cell>
          <cell r="AI1021"/>
          <cell r="AJ1021"/>
          <cell r="AK1021"/>
          <cell r="AL1021"/>
          <cell r="AM1021"/>
          <cell r="AN1021">
            <v>6040681</v>
          </cell>
          <cell r="AO1021"/>
          <cell r="AP1021"/>
          <cell r="AQ1021"/>
          <cell r="AR1021"/>
          <cell r="AS1021"/>
          <cell r="AT1021"/>
          <cell r="AU1021" t="str">
            <v/>
          </cell>
          <cell r="AV1021"/>
        </row>
        <row r="1022">
          <cell r="Z1022">
            <v>6040682</v>
          </cell>
          <cell r="AA1022"/>
          <cell r="AB1022"/>
          <cell r="AC1022"/>
          <cell r="AD1022"/>
          <cell r="AE1022"/>
          <cell r="AF1022"/>
          <cell r="AG1022"/>
          <cell r="AH1022" t="str">
            <v>en stock</v>
          </cell>
          <cell r="AI1022"/>
          <cell r="AJ1022"/>
          <cell r="AK1022"/>
          <cell r="AL1022"/>
          <cell r="AM1022"/>
          <cell r="AN1022">
            <v>6040682</v>
          </cell>
          <cell r="AO1022"/>
          <cell r="AP1022"/>
          <cell r="AQ1022"/>
          <cell r="AR1022"/>
          <cell r="AS1022"/>
          <cell r="AT1022"/>
          <cell r="AU1022" t="str">
            <v/>
          </cell>
          <cell r="AV1022"/>
        </row>
        <row r="1023">
          <cell r="Z1023">
            <v>6040683</v>
          </cell>
          <cell r="AA1023" t="str">
            <v>UBHO 6-3/4" OD
4-1/2" IF Pin x Box</v>
          </cell>
          <cell r="AB1023">
            <v>122</v>
          </cell>
          <cell r="AC1023">
            <v>6.75</v>
          </cell>
          <cell r="AD1023">
            <v>870</v>
          </cell>
          <cell r="AE1023" t="str">
            <v>4-1/2" IF Box</v>
          </cell>
          <cell r="AF1023" t="str">
            <v>4-1/2" IF Pin</v>
          </cell>
          <cell r="AG1023"/>
          <cell r="AH1023" t="str">
            <v>maintenance</v>
          </cell>
          <cell r="AI1023" t="str">
            <v/>
          </cell>
          <cell r="AJ1023">
            <v>0</v>
          </cell>
          <cell r="AK1023">
            <v>1</v>
          </cell>
          <cell r="AL1023"/>
          <cell r="AM1023"/>
          <cell r="AN1023">
            <v>6040683</v>
          </cell>
          <cell r="AO1023"/>
          <cell r="AP1023"/>
          <cell r="AQ1023"/>
          <cell r="AR1023"/>
          <cell r="AS1023">
            <v>19</v>
          </cell>
          <cell r="AT1023"/>
          <cell r="AU1023" t="str">
            <v>FR</v>
          </cell>
          <cell r="AV1023"/>
        </row>
        <row r="1024">
          <cell r="Z1024">
            <v>6040684</v>
          </cell>
          <cell r="AA1024" t="str">
            <v>UBHO 6-3/4" OD
4-1/2" IF Pin x Box</v>
          </cell>
          <cell r="AB1024">
            <v>126</v>
          </cell>
          <cell r="AC1024">
            <v>6.75</v>
          </cell>
          <cell r="AD1024">
            <v>900</v>
          </cell>
          <cell r="AE1024" t="str">
            <v>4-1/2" IF Box</v>
          </cell>
          <cell r="AF1024" t="str">
            <v>4-1/2" IF Pin</v>
          </cell>
          <cell r="AG1024"/>
          <cell r="AH1024" t="str">
            <v xml:space="preserve"> en stock </v>
          </cell>
          <cell r="AI1024">
            <v>1</v>
          </cell>
          <cell r="AJ1024">
            <v>0</v>
          </cell>
          <cell r="AK1024">
            <v>0</v>
          </cell>
          <cell r="AL1024"/>
          <cell r="AM1024"/>
          <cell r="AN1024">
            <v>6040684</v>
          </cell>
          <cell r="AO1024"/>
          <cell r="AP1024"/>
          <cell r="AQ1024"/>
          <cell r="AR1024"/>
          <cell r="AS1024">
            <v>20</v>
          </cell>
          <cell r="AT1024"/>
          <cell r="AU1024" t="str">
            <v>FR</v>
          </cell>
          <cell r="AV1024"/>
        </row>
        <row r="1025">
          <cell r="Z1025">
            <v>8020685</v>
          </cell>
          <cell r="AA1025" t="str">
            <v>Bit Sub
6-5/8" REG Box x 7-5/8" REG Box BF</v>
          </cell>
          <cell r="AB1025">
            <v>248.116796104125</v>
          </cell>
          <cell r="AC1025">
            <v>9.375</v>
          </cell>
          <cell r="AD1025">
            <v>800</v>
          </cell>
          <cell r="AE1025" t="str">
            <v>6-5/8" REG Box</v>
          </cell>
          <cell r="AF1025" t="str">
            <v>7-5/8" REG Box BF</v>
          </cell>
          <cell r="AG1025"/>
          <cell r="AH1025" t="str">
            <v>maintenance</v>
          </cell>
          <cell r="AI1025" t="str">
            <v/>
          </cell>
          <cell r="AJ1025">
            <v>0</v>
          </cell>
          <cell r="AK1025">
            <v>1</v>
          </cell>
          <cell r="AL1025"/>
          <cell r="AM1025"/>
          <cell r="AN1025" t="str">
            <v/>
          </cell>
          <cell r="AO1025"/>
          <cell r="AP1025"/>
          <cell r="AQ1025"/>
          <cell r="AR1025"/>
          <cell r="AS1025">
            <v>61</v>
          </cell>
          <cell r="AT1025"/>
          <cell r="AU1025" t="str">
            <v>FR</v>
          </cell>
          <cell r="AV1025"/>
        </row>
        <row r="1026">
          <cell r="Z1026">
            <v>2741</v>
          </cell>
          <cell r="AA1026" t="str">
            <v xml:space="preserve">9-5/8" PDM   - lobes - stages
7-5/8" REG Box x Box
Rotor : 
Stator : 
Bent : </v>
          </cell>
          <cell r="AB1026">
            <v>2900</v>
          </cell>
          <cell r="AC1026">
            <v>9.625</v>
          </cell>
          <cell r="AD1026">
            <v>9500</v>
          </cell>
          <cell r="AE1026" t="str">
            <v>NBR</v>
          </cell>
          <cell r="AF1026">
            <v>0</v>
          </cell>
          <cell r="AG1026"/>
          <cell r="AH1026" t="str">
            <v>sur chantier</v>
          </cell>
          <cell r="AI1026" t="str">
            <v/>
          </cell>
          <cell r="AJ1026">
            <v>1</v>
          </cell>
          <cell r="AK1026">
            <v>0</v>
          </cell>
          <cell r="AL1026"/>
          <cell r="AM1026"/>
          <cell r="AN1026" t="str">
            <v>601-962-7-6-001</v>
          </cell>
          <cell r="AO1026"/>
          <cell r="AP1026"/>
          <cell r="AQ1026"/>
          <cell r="AR1026"/>
          <cell r="AS1026">
            <v>5</v>
          </cell>
          <cell r="AT1026"/>
          <cell r="AU1026" t="str">
            <v/>
          </cell>
          <cell r="AV1026"/>
        </row>
        <row r="1027">
          <cell r="Z1027">
            <v>2739</v>
          </cell>
          <cell r="AA1027" t="str">
            <v xml:space="preserve">8-1/2" PDM   - lobes - stages
6-5/8" REG Box x Box
Rotor : 
Stator : 
Bent : </v>
          </cell>
          <cell r="AB1027">
            <v>2200</v>
          </cell>
          <cell r="AC1027">
            <v>8.5</v>
          </cell>
          <cell r="AD1027">
            <v>9500</v>
          </cell>
          <cell r="AE1027" t="str">
            <v>NBR HR</v>
          </cell>
          <cell r="AF1027">
            <v>0</v>
          </cell>
          <cell r="AG1027"/>
          <cell r="AH1027" t="str">
            <v>sur chantier</v>
          </cell>
          <cell r="AI1027" t="str">
            <v/>
          </cell>
          <cell r="AJ1027">
            <v>1</v>
          </cell>
          <cell r="AK1027">
            <v>0</v>
          </cell>
          <cell r="AL1027"/>
          <cell r="AM1027"/>
          <cell r="AN1027">
            <v>6018507602</v>
          </cell>
          <cell r="AO1027"/>
          <cell r="AP1027"/>
          <cell r="AQ1027"/>
          <cell r="AR1027"/>
          <cell r="AS1027">
            <v>16</v>
          </cell>
          <cell r="AT1027"/>
          <cell r="AU1027" t="str">
            <v/>
          </cell>
          <cell r="AV1027"/>
        </row>
        <row r="1028">
          <cell r="Z1028">
            <v>2740</v>
          </cell>
          <cell r="AA1028" t="str">
            <v xml:space="preserve">8-1/2" PDM  - lobes - stages
6-5/8" REG Box x Box
Rotor : 
Stator : 
Bent : </v>
          </cell>
          <cell r="AB1028">
            <v>2200</v>
          </cell>
          <cell r="AC1028">
            <v>8.5</v>
          </cell>
          <cell r="AD1028">
            <v>9500</v>
          </cell>
          <cell r="AE1028" t="e">
            <v>#N/A</v>
          </cell>
          <cell r="AF1028" t="e">
            <v>#N/A</v>
          </cell>
          <cell r="AG1028"/>
          <cell r="AH1028" t="str">
            <v>sur chantier</v>
          </cell>
          <cell r="AI1028" t="str">
            <v/>
          </cell>
          <cell r="AJ1028">
            <v>1</v>
          </cell>
          <cell r="AK1028">
            <v>0</v>
          </cell>
          <cell r="AL1028"/>
          <cell r="AM1028"/>
          <cell r="AN1028">
            <v>6018507603</v>
          </cell>
          <cell r="AO1028"/>
          <cell r="AP1028"/>
          <cell r="AQ1028"/>
          <cell r="AR1028"/>
          <cell r="AS1028">
            <v>17</v>
          </cell>
          <cell r="AT1028"/>
          <cell r="AU1028" t="str">
            <v/>
          </cell>
          <cell r="AV1028"/>
        </row>
        <row r="1029">
          <cell r="Z1029">
            <v>2738</v>
          </cell>
          <cell r="AA1029" t="str">
            <v xml:space="preserve">6-3/4" PDM  - lobes - stages
4-1/2" IF Box x 4-1/2" REG Box
Rotor : 
Stator : 
Bent : </v>
          </cell>
          <cell r="AB1029">
            <v>1500</v>
          </cell>
          <cell r="AC1029">
            <v>6.75</v>
          </cell>
          <cell r="AD1029">
            <v>9840</v>
          </cell>
          <cell r="AE1029" t="str">
            <v>NRB HP</v>
          </cell>
          <cell r="AF1029">
            <v>0</v>
          </cell>
          <cell r="AG1029"/>
          <cell r="AH1029" t="str">
            <v xml:space="preserve"> en stock </v>
          </cell>
          <cell r="AI1029">
            <v>1</v>
          </cell>
          <cell r="AJ1029">
            <v>0</v>
          </cell>
          <cell r="AK1029">
            <v>0</v>
          </cell>
          <cell r="AL1029"/>
          <cell r="AM1029"/>
          <cell r="AN1029">
            <v>6016757604</v>
          </cell>
          <cell r="AO1029"/>
          <cell r="AP1029"/>
          <cell r="AQ1029"/>
          <cell r="AR1029"/>
          <cell r="AS1029">
            <v>22</v>
          </cell>
          <cell r="AT1029"/>
          <cell r="AU1029" t="str">
            <v/>
          </cell>
          <cell r="AV1029"/>
        </row>
        <row r="1030">
          <cell r="Z1030">
            <v>2737</v>
          </cell>
          <cell r="AA1030" t="str">
            <v>6-3/4" PDM
#N/A x A</v>
          </cell>
          <cell r="AB1030" t="e">
            <v>#N/A</v>
          </cell>
          <cell r="AC1030" t="e">
            <v>#N/A</v>
          </cell>
          <cell r="AD1030" t="e">
            <v>#N/A</v>
          </cell>
          <cell r="AE1030" t="e">
            <v>#N/A</v>
          </cell>
          <cell r="AF1030" t="e">
            <v>#N/A</v>
          </cell>
          <cell r="AG1030"/>
          <cell r="AH1030" t="e">
            <v>#N/A</v>
          </cell>
          <cell r="AI1030" t="e">
            <v>#N/A</v>
          </cell>
          <cell r="AJ1030" t="e">
            <v>#N/A</v>
          </cell>
          <cell r="AK1030" t="e">
            <v>#N/A</v>
          </cell>
          <cell r="AL1030"/>
          <cell r="AM1030"/>
          <cell r="AN1030" t="str">
            <v/>
          </cell>
          <cell r="AO1030"/>
          <cell r="AP1030"/>
          <cell r="AQ1030"/>
          <cell r="AR1030"/>
          <cell r="AS1030" t="e">
            <v>#N/A</v>
          </cell>
          <cell r="AT1030"/>
          <cell r="AU1030" t="str">
            <v/>
          </cell>
          <cell r="AV1030"/>
        </row>
        <row r="1031">
          <cell r="Z1031">
            <v>84</v>
          </cell>
          <cell r="AA1031" t="str">
            <v>Drilling Jar Hydro Méca 8-1/8" OD
6-5/8" REG Pin down x Box up</v>
          </cell>
          <cell r="AB1031">
            <v>1086</v>
          </cell>
          <cell r="AC1031">
            <v>8</v>
          </cell>
          <cell r="AD1031">
            <v>5530</v>
          </cell>
          <cell r="AE1031" t="str">
            <v>6-5/8" REG Box</v>
          </cell>
          <cell r="AF1031" t="str">
            <v>6-5/8" REG Pin</v>
          </cell>
          <cell r="AG1031"/>
          <cell r="AH1031" t="str">
            <v xml:space="preserve"> en stock </v>
          </cell>
          <cell r="AI1031">
            <v>1</v>
          </cell>
          <cell r="AJ1031">
            <v>0</v>
          </cell>
          <cell r="AK1031">
            <v>0</v>
          </cell>
          <cell r="AL1031"/>
          <cell r="AM1031"/>
          <cell r="AN1031">
            <v>4018125001</v>
          </cell>
          <cell r="AO1031"/>
          <cell r="AP1031"/>
          <cell r="AQ1031"/>
          <cell r="AR1031"/>
          <cell r="AS1031">
            <v>25</v>
          </cell>
          <cell r="AT1031" t="str">
            <v>401-8,000HM</v>
          </cell>
          <cell r="AU1031" t="str">
            <v/>
          </cell>
          <cell r="AV1031"/>
        </row>
        <row r="1032">
          <cell r="Z1032">
            <v>106</v>
          </cell>
          <cell r="AA1032" t="str">
            <v>Drilling Jar Hydro Méca 6-7/8" OD
4-1/2" IF Pin down x Box up</v>
          </cell>
          <cell r="AB1032">
            <v>730</v>
          </cell>
          <cell r="AC1032">
            <v>6.8125</v>
          </cell>
          <cell r="AD1032">
            <v>5475</v>
          </cell>
          <cell r="AE1032" t="str">
            <v>4-1/2" IF Box</v>
          </cell>
          <cell r="AF1032" t="str">
            <v>4-1/2" IF Pin</v>
          </cell>
          <cell r="AG1032"/>
          <cell r="AH1032" t="str">
            <v>maintenance</v>
          </cell>
          <cell r="AI1032" t="str">
            <v/>
          </cell>
          <cell r="AJ1032">
            <v>0</v>
          </cell>
          <cell r="AK1032">
            <v>1</v>
          </cell>
          <cell r="AL1032"/>
          <cell r="AM1032"/>
          <cell r="AN1032" t="str">
            <v>401-6750-002</v>
          </cell>
          <cell r="AO1032"/>
          <cell r="AP1032"/>
          <cell r="AQ1032"/>
          <cell r="AR1032"/>
          <cell r="AS1032">
            <v>14</v>
          </cell>
          <cell r="AT1032" t="str">
            <v>401-6,750HM</v>
          </cell>
          <cell r="AU1032" t="str">
            <v/>
          </cell>
          <cell r="AV1032"/>
        </row>
        <row r="1033">
          <cell r="Z1033">
            <v>107</v>
          </cell>
          <cell r="AA1033" t="str">
            <v>Drilling Jar Hydro Méca 6-7/8" OD
4-1/2" IF Pin down x Box up</v>
          </cell>
          <cell r="AB1033">
            <v>730</v>
          </cell>
          <cell r="AC1033">
            <v>6.8125</v>
          </cell>
          <cell r="AD1033">
            <v>5475</v>
          </cell>
          <cell r="AE1033" t="str">
            <v>4-1/2" IF Box</v>
          </cell>
          <cell r="AF1033" t="str">
            <v>4-1/2" IF Pin</v>
          </cell>
          <cell r="AG1033"/>
          <cell r="AH1033" t="str">
            <v>maintenance</v>
          </cell>
          <cell r="AI1033" t="str">
            <v/>
          </cell>
          <cell r="AJ1033">
            <v>0</v>
          </cell>
          <cell r="AK1033">
            <v>1</v>
          </cell>
          <cell r="AL1033"/>
          <cell r="AM1033"/>
          <cell r="AN1033" t="str">
            <v>401-6750-003</v>
          </cell>
          <cell r="AO1033"/>
          <cell r="AP1033"/>
          <cell r="AQ1033"/>
          <cell r="AR1033"/>
          <cell r="AS1033">
            <v>15</v>
          </cell>
          <cell r="AT1033" t="str">
            <v>401-6,750HM</v>
          </cell>
          <cell r="AU1033" t="str">
            <v/>
          </cell>
          <cell r="AV1033"/>
        </row>
        <row r="1034">
          <cell r="Z1034">
            <v>2747</v>
          </cell>
          <cell r="AA1034" t="str">
            <v xml:space="preserve">8-1/2" PDM   - lobes - stages
6-5/8" REG Box x Box
Rotor : 
Stator : 
Bent : </v>
          </cell>
          <cell r="AB1034">
            <v>2200</v>
          </cell>
          <cell r="AC1034">
            <v>8.5</v>
          </cell>
          <cell r="AD1034">
            <v>9500</v>
          </cell>
          <cell r="AE1034">
            <v>0</v>
          </cell>
          <cell r="AF1034">
            <v>0</v>
          </cell>
          <cell r="AG1034"/>
          <cell r="AH1034" t="str">
            <v>maintenance</v>
          </cell>
          <cell r="AI1034" t="str">
            <v/>
          </cell>
          <cell r="AJ1034">
            <v>0</v>
          </cell>
          <cell r="AK1034">
            <v>1</v>
          </cell>
          <cell r="AL1034"/>
          <cell r="AM1034"/>
          <cell r="AN1034">
            <v>6018507606</v>
          </cell>
          <cell r="AO1034"/>
          <cell r="AP1034"/>
          <cell r="AQ1034"/>
          <cell r="AR1034"/>
          <cell r="AS1034">
            <v>18</v>
          </cell>
          <cell r="AT1034"/>
          <cell r="AU1034" t="str">
            <v/>
          </cell>
          <cell r="AV1034"/>
        </row>
        <row r="1035">
          <cell r="Z1035">
            <v>2748</v>
          </cell>
          <cell r="AA1035" t="str">
            <v xml:space="preserve">9-5/8" PDM   - lobes - stages
7-5/8" REG Box x Box
Rotor : 
Stator : 
Bent : </v>
          </cell>
          <cell r="AB1035">
            <v>2900</v>
          </cell>
          <cell r="AC1035">
            <v>9.625</v>
          </cell>
          <cell r="AD1035">
            <v>9500</v>
          </cell>
          <cell r="AE1035">
            <v>0</v>
          </cell>
          <cell r="AF1035">
            <v>0</v>
          </cell>
          <cell r="AG1035"/>
          <cell r="AH1035" t="str">
            <v>maintenance</v>
          </cell>
          <cell r="AI1035" t="str">
            <v/>
          </cell>
          <cell r="AJ1035">
            <v>0</v>
          </cell>
          <cell r="AK1035">
            <v>1</v>
          </cell>
          <cell r="AL1035"/>
          <cell r="AM1035"/>
          <cell r="AN1035">
            <v>6019627607</v>
          </cell>
          <cell r="AO1035"/>
          <cell r="AP1035"/>
          <cell r="AQ1035"/>
          <cell r="AR1035"/>
          <cell r="AS1035">
            <v>6</v>
          </cell>
          <cell r="AT1035"/>
          <cell r="AU1035" t="str">
            <v/>
          </cell>
          <cell r="AV1035"/>
        </row>
        <row r="1036">
          <cell r="Z1036">
            <v>2750</v>
          </cell>
          <cell r="AA1036" t="str">
            <v xml:space="preserve">9-5/8" PDM - lobes - stages
7-5/8" REG Box x Box
Rotor : 
Stator : 
Bent : </v>
          </cell>
          <cell r="AB1036">
            <v>2900</v>
          </cell>
          <cell r="AC1036">
            <v>9.625</v>
          </cell>
          <cell r="AD1036">
            <v>9500</v>
          </cell>
          <cell r="AE1036" t="str">
            <v>NBR HPW</v>
          </cell>
          <cell r="AF1036">
            <v>0</v>
          </cell>
          <cell r="AG1036"/>
          <cell r="AH1036" t="str">
            <v>maintenance</v>
          </cell>
          <cell r="AI1036" t="str">
            <v/>
          </cell>
          <cell r="AJ1036">
            <v>0</v>
          </cell>
          <cell r="AK1036">
            <v>1</v>
          </cell>
          <cell r="AL1036"/>
          <cell r="AM1036"/>
          <cell r="AN1036">
            <v>6019627608</v>
          </cell>
          <cell r="AO1036"/>
          <cell r="AP1036"/>
          <cell r="AQ1036"/>
          <cell r="AR1036"/>
          <cell r="AS1036">
            <v>7</v>
          </cell>
          <cell r="AT1036"/>
          <cell r="AU1036" t="str">
            <v>UAE</v>
          </cell>
          <cell r="AV1036"/>
        </row>
        <row r="1037">
          <cell r="Z1037">
            <v>2751</v>
          </cell>
          <cell r="AA1037" t="str">
            <v>9-5/8" PDM
#N/A x A</v>
          </cell>
          <cell r="AB1037" t="e">
            <v>#N/A</v>
          </cell>
          <cell r="AC1037" t="e">
            <v>#N/A</v>
          </cell>
          <cell r="AD1037" t="e">
            <v>#N/A</v>
          </cell>
          <cell r="AE1037" t="e">
            <v>#N/A</v>
          </cell>
          <cell r="AF1037" t="e">
            <v>#N/A</v>
          </cell>
          <cell r="AG1037"/>
          <cell r="AH1037" t="e">
            <v>#N/A</v>
          </cell>
          <cell r="AI1037" t="e">
            <v>#N/A</v>
          </cell>
          <cell r="AJ1037" t="e">
            <v>#N/A</v>
          </cell>
          <cell r="AK1037" t="e">
            <v>#N/A</v>
          </cell>
          <cell r="AL1037"/>
          <cell r="AM1037"/>
          <cell r="AN1037" t="str">
            <v/>
          </cell>
          <cell r="AO1037"/>
          <cell r="AP1037"/>
          <cell r="AQ1037"/>
          <cell r="AR1037"/>
          <cell r="AS1037" t="e">
            <v>#N/A</v>
          </cell>
          <cell r="AT1037"/>
          <cell r="AU1037" t="str">
            <v>LIH le 07/01/20</v>
          </cell>
          <cell r="AV1037"/>
        </row>
        <row r="1038">
          <cell r="Z1038">
            <v>2746</v>
          </cell>
          <cell r="AA1038" t="str">
            <v xml:space="preserve">6-3/4" PDM  - lobes - stages
4-1/2" IF Box x 4-1/2" REG Box
Rotor : 
Stator : 
Bent : </v>
          </cell>
          <cell r="AB1038">
            <v>1500</v>
          </cell>
          <cell r="AC1038">
            <v>6.75</v>
          </cell>
          <cell r="AD1038">
            <v>9840</v>
          </cell>
          <cell r="AE1038">
            <v>0</v>
          </cell>
          <cell r="AF1038">
            <v>0</v>
          </cell>
          <cell r="AG1038"/>
          <cell r="AH1038" t="str">
            <v>maintenance</v>
          </cell>
          <cell r="AI1038" t="str">
            <v/>
          </cell>
          <cell r="AJ1038">
            <v>0</v>
          </cell>
          <cell r="AK1038">
            <v>1</v>
          </cell>
          <cell r="AL1038"/>
          <cell r="AM1038"/>
          <cell r="AN1038">
            <v>6016757610</v>
          </cell>
          <cell r="AO1038"/>
          <cell r="AP1038"/>
          <cell r="AQ1038"/>
          <cell r="AR1038"/>
          <cell r="AS1038">
            <v>23</v>
          </cell>
          <cell r="AT1038"/>
          <cell r="AU1038" t="str">
            <v/>
          </cell>
          <cell r="AV1038"/>
        </row>
        <row r="1039">
          <cell r="Z1039">
            <v>5070686</v>
          </cell>
          <cell r="AA1039" t="str">
            <v>Super Junk Mill 
4-1/2" REG Pin</v>
          </cell>
          <cell r="AB1039">
            <v>116</v>
          </cell>
          <cell r="AC1039">
            <v>8.375</v>
          </cell>
          <cell r="AD1039">
            <v>770</v>
          </cell>
          <cell r="AE1039" t="str">
            <v>4-1/2" REG Pin</v>
          </cell>
          <cell r="AF1039"/>
          <cell r="AG1039" t="str">
            <v>C</v>
          </cell>
          <cell r="AH1039" t="str">
            <v>sur chantier</v>
          </cell>
          <cell r="AI1039" t="str">
            <v/>
          </cell>
          <cell r="AJ1039">
            <v>1</v>
          </cell>
          <cell r="AK1039">
            <v>0</v>
          </cell>
          <cell r="AL1039"/>
          <cell r="AM1039"/>
          <cell r="AN1039" t="str">
            <v/>
          </cell>
          <cell r="AO1039"/>
          <cell r="AP1039"/>
          <cell r="AQ1039"/>
          <cell r="AR1039"/>
          <cell r="AS1039">
            <v>65</v>
          </cell>
          <cell r="AT1039" t="str">
            <v>507-</v>
          </cell>
          <cell r="AU1039" t="str">
            <v>FR</v>
          </cell>
          <cell r="AV1039"/>
        </row>
        <row r="1040">
          <cell r="Z1040">
            <v>5070687</v>
          </cell>
          <cell r="AA1040" t="str">
            <v>Super Junk Mill 
4-1/2" REG Pin</v>
          </cell>
          <cell r="AB1040">
            <v>118</v>
          </cell>
          <cell r="AC1040">
            <v>8.5</v>
          </cell>
          <cell r="AD1040">
            <v>770</v>
          </cell>
          <cell r="AE1040" t="str">
            <v>4-1/2" REG Pin</v>
          </cell>
          <cell r="AF1040"/>
          <cell r="AG1040" t="str">
            <v>C</v>
          </cell>
          <cell r="AH1040" t="str">
            <v>maintenance</v>
          </cell>
          <cell r="AI1040" t="str">
            <v/>
          </cell>
          <cell r="AJ1040">
            <v>0</v>
          </cell>
          <cell r="AK1040">
            <v>1</v>
          </cell>
          <cell r="AL1040"/>
          <cell r="AM1040"/>
          <cell r="AN1040" t="str">
            <v/>
          </cell>
          <cell r="AO1040"/>
          <cell r="AP1040"/>
          <cell r="AQ1040"/>
          <cell r="AR1040"/>
          <cell r="AS1040">
            <v>69</v>
          </cell>
          <cell r="AT1040" t="str">
            <v>507-</v>
          </cell>
          <cell r="AU1040" t="str">
            <v>FR</v>
          </cell>
          <cell r="AV1040"/>
        </row>
        <row r="1041">
          <cell r="Z1041">
            <v>5070688</v>
          </cell>
          <cell r="AA1041" t="str">
            <v>Super Junk Mill 
4-1/2" REG Pin</v>
          </cell>
          <cell r="AB1041">
            <v>118</v>
          </cell>
          <cell r="AC1041">
            <v>8.625</v>
          </cell>
          <cell r="AD1041">
            <v>770</v>
          </cell>
          <cell r="AE1041" t="str">
            <v>4-1/2" REG Pin</v>
          </cell>
          <cell r="AF1041"/>
          <cell r="AG1041" t="str">
            <v>C</v>
          </cell>
          <cell r="AH1041" t="str">
            <v xml:space="preserve"> en stock </v>
          </cell>
          <cell r="AI1041">
            <v>1</v>
          </cell>
          <cell r="AJ1041">
            <v>0</v>
          </cell>
          <cell r="AK1041">
            <v>0</v>
          </cell>
          <cell r="AL1041"/>
          <cell r="AM1041"/>
          <cell r="AN1041" t="str">
            <v/>
          </cell>
          <cell r="AO1041"/>
          <cell r="AP1041"/>
          <cell r="AQ1041"/>
          <cell r="AR1041"/>
          <cell r="AS1041">
            <v>70</v>
          </cell>
          <cell r="AT1041" t="str">
            <v>507-</v>
          </cell>
          <cell r="AU1041" t="str">
            <v>FR</v>
          </cell>
          <cell r="AV1041"/>
        </row>
        <row r="1042">
          <cell r="Z1042">
            <v>2030689</v>
          </cell>
          <cell r="AA1042" t="str">
            <v>Pipe Cutter 5700s
3-1/2" IF Box up x 3-1/2" REG Box down</v>
          </cell>
          <cell r="AB1042">
            <v>150</v>
          </cell>
          <cell r="AC1042">
            <v>5700</v>
          </cell>
          <cell r="AD1042">
            <v>1760</v>
          </cell>
          <cell r="AE1042" t="str">
            <v>3-1/2" IF Box</v>
          </cell>
          <cell r="AF1042" t="str">
            <v>3-1/2" REG Box</v>
          </cell>
          <cell r="AG1042"/>
          <cell r="AH1042" t="str">
            <v>maintenance</v>
          </cell>
          <cell r="AI1042" t="str">
            <v/>
          </cell>
          <cell r="AJ1042">
            <v>0</v>
          </cell>
          <cell r="AK1042">
            <v>1</v>
          </cell>
          <cell r="AL1042"/>
          <cell r="AM1042"/>
          <cell r="AN1042">
            <v>2030689</v>
          </cell>
          <cell r="AO1042"/>
          <cell r="AP1042"/>
          <cell r="AQ1042"/>
          <cell r="AR1042"/>
          <cell r="AS1042">
            <v>10</v>
          </cell>
          <cell r="AT1042" t="str">
            <v>203-5700</v>
          </cell>
          <cell r="AU1042" t="str">
            <v>FR</v>
          </cell>
          <cell r="AV1042"/>
        </row>
        <row r="1043">
          <cell r="Z1043">
            <v>8080690</v>
          </cell>
          <cell r="AA1043" t="str">
            <v xml:space="preserve">Flex Collar 6-5/8" OD
4-1/2" IF Pin x Box
Set on : </v>
          </cell>
          <cell r="AB1043">
            <v>374</v>
          </cell>
          <cell r="AC1043">
            <v>6.625</v>
          </cell>
          <cell r="AD1043">
            <v>3520</v>
          </cell>
          <cell r="AE1043" t="str">
            <v>4-1/2" IF Box</v>
          </cell>
          <cell r="AF1043" t="str">
            <v>4-1/2" IF Pin</v>
          </cell>
          <cell r="AG1043" t="str">
            <v>DJ</v>
          </cell>
          <cell r="AH1043" t="str">
            <v xml:space="preserve"> en stock </v>
          </cell>
          <cell r="AI1043">
            <v>1</v>
          </cell>
          <cell r="AJ1043">
            <v>0</v>
          </cell>
          <cell r="AK1043">
            <v>0</v>
          </cell>
          <cell r="AL1043"/>
          <cell r="AM1043"/>
          <cell r="AN1043">
            <v>8080690</v>
          </cell>
          <cell r="AO1043"/>
          <cell r="AP1043"/>
          <cell r="AQ1043"/>
          <cell r="AR1043"/>
          <cell r="AS1043">
            <v>48</v>
          </cell>
          <cell r="AT1043"/>
          <cell r="AU1043" t="str">
            <v>FR</v>
          </cell>
          <cell r="AV1043"/>
        </row>
        <row r="1044">
          <cell r="Z1044">
            <v>8080691</v>
          </cell>
          <cell r="AA1044" t="str">
            <v xml:space="preserve">Flex Collar 6-5/8" OD
4-1/2" IF Pin x Box
Set on : </v>
          </cell>
          <cell r="AB1044">
            <v>314</v>
          </cell>
          <cell r="AC1044">
            <v>6.625</v>
          </cell>
          <cell r="AD1044">
            <v>3520</v>
          </cell>
          <cell r="AE1044" t="str">
            <v>4-1/2" IF Box</v>
          </cell>
          <cell r="AF1044" t="str">
            <v>4-1/2" IF Pin</v>
          </cell>
          <cell r="AG1044" t="str">
            <v>DJ</v>
          </cell>
          <cell r="AH1044" t="str">
            <v>maintenance</v>
          </cell>
          <cell r="AI1044" t="str">
            <v/>
          </cell>
          <cell r="AJ1044">
            <v>0</v>
          </cell>
          <cell r="AK1044">
            <v>1</v>
          </cell>
          <cell r="AL1044"/>
          <cell r="AM1044"/>
          <cell r="AN1044">
            <v>8080691</v>
          </cell>
          <cell r="AO1044"/>
          <cell r="AP1044"/>
          <cell r="AQ1044"/>
          <cell r="AR1044"/>
          <cell r="AS1044">
            <v>49</v>
          </cell>
          <cell r="AT1044"/>
          <cell r="AU1044" t="str">
            <v>FR</v>
          </cell>
          <cell r="AV1044"/>
        </row>
        <row r="1045">
          <cell r="Z1045">
            <v>8080692</v>
          </cell>
          <cell r="AA1045" t="str">
            <v xml:space="preserve">6-3/4" OD Saver Sub for DJ
4-1/2" IF Pin x Box 
Set on : </v>
          </cell>
          <cell r="AB1045">
            <v>101.8859452826414</v>
          </cell>
          <cell r="AC1045">
            <v>6.75</v>
          </cell>
          <cell r="AD1045">
            <v>685</v>
          </cell>
          <cell r="AE1045" t="str">
            <v>4-1/2" IF Box</v>
          </cell>
          <cell r="AF1045" t="str">
            <v>4-1/2" IF Pin</v>
          </cell>
          <cell r="AG1045" t="str">
            <v>DJ</v>
          </cell>
          <cell r="AH1045" t="str">
            <v>maintenance</v>
          </cell>
          <cell r="AI1045" t="str">
            <v/>
          </cell>
          <cell r="AJ1045">
            <v>0</v>
          </cell>
          <cell r="AK1045">
            <v>1</v>
          </cell>
          <cell r="AL1045"/>
          <cell r="AM1045"/>
          <cell r="AN1045">
            <v>8080692</v>
          </cell>
          <cell r="AO1045"/>
          <cell r="AP1045"/>
          <cell r="AQ1045"/>
          <cell r="AR1045"/>
          <cell r="AS1045">
            <v>65</v>
          </cell>
          <cell r="AT1045"/>
          <cell r="AU1045" t="str">
            <v>FR</v>
          </cell>
          <cell r="AV1045"/>
        </row>
        <row r="1046">
          <cell r="Z1046">
            <v>8080693</v>
          </cell>
          <cell r="AA1046" t="str">
            <v xml:space="preserve">6-3/4" OD Saver Sub for DJ
4-1/2" IF Pin x Box
Set on : </v>
          </cell>
          <cell r="AB1046">
            <v>104.11702437642185</v>
          </cell>
          <cell r="AC1046">
            <v>6.75</v>
          </cell>
          <cell r="AD1046">
            <v>700</v>
          </cell>
          <cell r="AE1046" t="str">
            <v>4-1/2" IF Box</v>
          </cell>
          <cell r="AF1046" t="str">
            <v>4-1/2" IF Pin</v>
          </cell>
          <cell r="AG1046" t="str">
            <v>DJ</v>
          </cell>
          <cell r="AH1046" t="str">
            <v>sur chantier</v>
          </cell>
          <cell r="AI1046" t="str">
            <v/>
          </cell>
          <cell r="AJ1046">
            <v>1</v>
          </cell>
          <cell r="AK1046">
            <v>0</v>
          </cell>
          <cell r="AL1046"/>
          <cell r="AM1046"/>
          <cell r="AN1046">
            <v>8080693</v>
          </cell>
          <cell r="AO1046"/>
          <cell r="AP1046"/>
          <cell r="AQ1046"/>
          <cell r="AR1046"/>
          <cell r="AS1046">
            <v>64</v>
          </cell>
          <cell r="AT1046"/>
          <cell r="AU1046" t="str">
            <v>FR</v>
          </cell>
          <cell r="AV1046"/>
        </row>
        <row r="1047">
          <cell r="Z1047">
            <v>8080694</v>
          </cell>
          <cell r="AA1047" t="str">
            <v>Float Sub 9-1/2" Lg 1010 mm
7-5/8" REG Pin x 7-5/8" REG Box BF (5F-6R)</v>
          </cell>
          <cell r="AB1047">
            <v>300</v>
          </cell>
          <cell r="AC1047">
            <v>9.5</v>
          </cell>
          <cell r="AD1047">
            <v>1010</v>
          </cell>
          <cell r="AE1047" t="str">
            <v>7-5/8" REG Box BF</v>
          </cell>
          <cell r="AF1047" t="str">
            <v>7-5/8" REG Pin</v>
          </cell>
          <cell r="AG1047" t="str">
            <v>5F-6R</v>
          </cell>
          <cell r="AH1047" t="str">
            <v>maintenance</v>
          </cell>
          <cell r="AI1047" t="str">
            <v/>
          </cell>
          <cell r="AJ1047">
            <v>0</v>
          </cell>
          <cell r="AK1047">
            <v>1</v>
          </cell>
          <cell r="AL1047"/>
          <cell r="AM1047"/>
          <cell r="AN1047">
            <v>8080694</v>
          </cell>
          <cell r="AO1047"/>
          <cell r="AP1047"/>
          <cell r="AQ1047"/>
          <cell r="AR1047"/>
          <cell r="AS1047">
            <v>43</v>
          </cell>
          <cell r="AT1047"/>
          <cell r="AU1047" t="str">
            <v>FR</v>
          </cell>
          <cell r="AV1047"/>
        </row>
        <row r="1048">
          <cell r="Z1048">
            <v>8080695</v>
          </cell>
          <cell r="AA1048" t="str">
            <v xml:space="preserve">Flex Collar 8" OD
6-5/8" REG Pin x Box
Set on : </v>
          </cell>
          <cell r="AB1048">
            <v>650</v>
          </cell>
          <cell r="AC1048">
            <v>8</v>
          </cell>
          <cell r="AD1048">
            <v>3610</v>
          </cell>
          <cell r="AE1048" t="str">
            <v>6-5/8" REG Box</v>
          </cell>
          <cell r="AF1048" t="str">
            <v>6-5/8" REG Pin</v>
          </cell>
          <cell r="AG1048" t="str">
            <v>DJ</v>
          </cell>
          <cell r="AH1048" t="str">
            <v>sur chantier</v>
          </cell>
          <cell r="AI1048" t="str">
            <v/>
          </cell>
          <cell r="AJ1048">
            <v>1</v>
          </cell>
          <cell r="AK1048">
            <v>0</v>
          </cell>
          <cell r="AL1048"/>
          <cell r="AM1048"/>
          <cell r="AN1048">
            <v>8080695</v>
          </cell>
          <cell r="AO1048"/>
          <cell r="AP1048"/>
          <cell r="AQ1048"/>
          <cell r="AR1048"/>
          <cell r="AS1048">
            <v>84</v>
          </cell>
          <cell r="AT1048"/>
          <cell r="AU1048" t="str">
            <v>FR</v>
          </cell>
          <cell r="AV1048"/>
        </row>
        <row r="1049">
          <cell r="Z1049">
            <v>8080696</v>
          </cell>
          <cell r="AA1049" t="str">
            <v xml:space="preserve">Flex Collar 8" OD
6-5/8" REG Pin x Box
Set on : </v>
          </cell>
          <cell r="AB1049">
            <v>550</v>
          </cell>
          <cell r="AC1049">
            <v>8</v>
          </cell>
          <cell r="AD1049">
            <v>3440</v>
          </cell>
          <cell r="AE1049" t="str">
            <v>6-5/8" REG Box</v>
          </cell>
          <cell r="AF1049" t="str">
            <v>6-5/8" REG Pin</v>
          </cell>
          <cell r="AG1049" t="str">
            <v>DJ</v>
          </cell>
          <cell r="AH1049" t="str">
            <v>maintenance</v>
          </cell>
          <cell r="AI1049" t="str">
            <v/>
          </cell>
          <cell r="AJ1049">
            <v>0</v>
          </cell>
          <cell r="AK1049">
            <v>1</v>
          </cell>
          <cell r="AL1049"/>
          <cell r="AM1049"/>
          <cell r="AN1049">
            <v>8080696</v>
          </cell>
          <cell r="AO1049"/>
          <cell r="AP1049"/>
          <cell r="AQ1049"/>
          <cell r="AR1049"/>
          <cell r="AS1049">
            <v>85</v>
          </cell>
          <cell r="AT1049"/>
          <cell r="AU1049" t="str">
            <v>FR</v>
          </cell>
          <cell r="AV1049"/>
        </row>
        <row r="1050">
          <cell r="Z1050">
            <v>8080697</v>
          </cell>
          <cell r="AA1050" t="str">
            <v xml:space="preserve">Saver Sub 8" OD for DJ
6-5/8" REG Pin x Box
Set on : </v>
          </cell>
          <cell r="AB1050">
            <v>132</v>
          </cell>
          <cell r="AC1050">
            <v>8</v>
          </cell>
          <cell r="AD1050">
            <v>620</v>
          </cell>
          <cell r="AE1050" t="str">
            <v>6-5/8" REG Box</v>
          </cell>
          <cell r="AF1050" t="str">
            <v>6-5/8" REG Pin</v>
          </cell>
          <cell r="AG1050" t="str">
            <v>DJ</v>
          </cell>
          <cell r="AH1050" t="str">
            <v>maintenance</v>
          </cell>
          <cell r="AI1050" t="str">
            <v/>
          </cell>
          <cell r="AJ1050">
            <v>0</v>
          </cell>
          <cell r="AK1050">
            <v>1</v>
          </cell>
          <cell r="AL1050"/>
          <cell r="AM1050"/>
          <cell r="AN1050">
            <v>8080697</v>
          </cell>
          <cell r="AO1050"/>
          <cell r="AP1050"/>
          <cell r="AQ1050"/>
          <cell r="AR1050"/>
          <cell r="AS1050">
            <v>97</v>
          </cell>
          <cell r="AT1050"/>
          <cell r="AU1050" t="str">
            <v>FR</v>
          </cell>
          <cell r="AV1050"/>
        </row>
        <row r="1051">
          <cell r="Z1051">
            <v>8080698</v>
          </cell>
          <cell r="AA1051" t="str">
            <v xml:space="preserve">Saver Sub 8" OD for DJ
6-5/8" REG Pin x Box
Set on : </v>
          </cell>
          <cell r="AB1051">
            <v>132.53305751399998</v>
          </cell>
          <cell r="AC1051">
            <v>8</v>
          </cell>
          <cell r="AD1051">
            <v>610</v>
          </cell>
          <cell r="AE1051" t="str">
            <v>6-5/8" REG Box BB</v>
          </cell>
          <cell r="AF1051" t="str">
            <v>6-5/8" REG Pin</v>
          </cell>
          <cell r="AG1051" t="str">
            <v>DJ</v>
          </cell>
          <cell r="AH1051" t="str">
            <v>maintenance</v>
          </cell>
          <cell r="AI1051" t="str">
            <v/>
          </cell>
          <cell r="AJ1051">
            <v>0</v>
          </cell>
          <cell r="AK1051">
            <v>1</v>
          </cell>
          <cell r="AL1051"/>
          <cell r="AM1051"/>
          <cell r="AN1051">
            <v>8080698</v>
          </cell>
          <cell r="AO1051"/>
          <cell r="AP1051"/>
          <cell r="AQ1051"/>
          <cell r="AR1051"/>
          <cell r="AS1051">
            <v>96</v>
          </cell>
          <cell r="AT1051"/>
          <cell r="AU1051" t="str">
            <v>FR</v>
          </cell>
          <cell r="AV1051"/>
        </row>
        <row r="1052">
          <cell r="Z1052">
            <v>8020699</v>
          </cell>
          <cell r="AA1052" t="str">
            <v>Bit Sub
6-5/8" REG Box x 6-5/8" REG Box BF</v>
          </cell>
          <cell r="AB1052">
            <v>225.22966042687503</v>
          </cell>
          <cell r="AC1052">
            <v>8.125</v>
          </cell>
          <cell r="AD1052">
            <v>1000</v>
          </cell>
          <cell r="AE1052" t="str">
            <v>6-5/8" REG Box</v>
          </cell>
          <cell r="AF1052" t="str">
            <v>6-5/8" REG Box BF</v>
          </cell>
          <cell r="AG1052"/>
          <cell r="AH1052" t="str">
            <v xml:space="preserve"> en stock </v>
          </cell>
          <cell r="AI1052">
            <v>1</v>
          </cell>
          <cell r="AJ1052">
            <v>0</v>
          </cell>
          <cell r="AK1052">
            <v>0</v>
          </cell>
          <cell r="AL1052"/>
          <cell r="AM1052"/>
          <cell r="AN1052" t="str">
            <v/>
          </cell>
          <cell r="AO1052"/>
          <cell r="AP1052"/>
          <cell r="AQ1052"/>
          <cell r="AR1052"/>
          <cell r="AS1052">
            <v>58</v>
          </cell>
          <cell r="AT1052"/>
          <cell r="AU1052" t="str">
            <v/>
          </cell>
          <cell r="AV1052"/>
        </row>
        <row r="1053">
          <cell r="Z1053">
            <v>6040700</v>
          </cell>
          <cell r="AA1053" t="str">
            <v>UBHO 9-1/2" OD
7-5/8" REG Pin x Box</v>
          </cell>
          <cell r="AB1053">
            <v>260</v>
          </cell>
          <cell r="AC1053">
            <v>9.5</v>
          </cell>
          <cell r="AD1053">
            <v>860</v>
          </cell>
          <cell r="AE1053" t="str">
            <v>7-5/8" REG Box</v>
          </cell>
          <cell r="AF1053" t="str">
            <v>7-5/8" REG Pin</v>
          </cell>
          <cell r="AG1053"/>
          <cell r="AH1053" t="str">
            <v>sur chantier</v>
          </cell>
          <cell r="AI1053" t="str">
            <v/>
          </cell>
          <cell r="AJ1053">
            <v>1</v>
          </cell>
          <cell r="AK1053">
            <v>0</v>
          </cell>
          <cell r="AL1053"/>
          <cell r="AM1053"/>
          <cell r="AN1053" t="str">
            <v/>
          </cell>
          <cell r="AO1053"/>
          <cell r="AP1053"/>
          <cell r="AQ1053"/>
          <cell r="AR1053"/>
          <cell r="AS1053">
            <v>32</v>
          </cell>
          <cell r="AT1053"/>
          <cell r="AU1053" t="str">
            <v>FR</v>
          </cell>
          <cell r="AV1053"/>
        </row>
        <row r="1054">
          <cell r="Z1054">
            <v>6040701</v>
          </cell>
          <cell r="AA1054"/>
          <cell r="AB1054"/>
          <cell r="AC1054"/>
          <cell r="AD1054"/>
          <cell r="AE1054"/>
          <cell r="AF1054"/>
          <cell r="AG1054"/>
          <cell r="AH1054" t="str">
            <v>en stock</v>
          </cell>
          <cell r="AI1054"/>
          <cell r="AJ1054"/>
          <cell r="AK1054"/>
          <cell r="AL1054"/>
          <cell r="AM1054"/>
          <cell r="AN1054" t="str">
            <v/>
          </cell>
          <cell r="AO1054"/>
          <cell r="AP1054"/>
          <cell r="AQ1054"/>
          <cell r="AR1054"/>
          <cell r="AS1054"/>
          <cell r="AT1054"/>
          <cell r="AU1054" t="str">
            <v>FR</v>
          </cell>
          <cell r="AV1054"/>
        </row>
        <row r="1055">
          <cell r="Z1055">
            <v>6040702</v>
          </cell>
          <cell r="AA1055" t="str">
            <v>UBHO 9-1/2" OD
7-5/8" REG Pin x Box</v>
          </cell>
          <cell r="AB1055">
            <v>268</v>
          </cell>
          <cell r="AC1055">
            <v>9.4375</v>
          </cell>
          <cell r="AD1055">
            <v>880</v>
          </cell>
          <cell r="AE1055" t="str">
            <v>7-5/8" REG Box</v>
          </cell>
          <cell r="AF1055" t="str">
            <v>7-5/8" REG Pin</v>
          </cell>
          <cell r="AG1055"/>
          <cell r="AH1055" t="str">
            <v xml:space="preserve"> en stock </v>
          </cell>
          <cell r="AI1055">
            <v>1</v>
          </cell>
          <cell r="AJ1055">
            <v>0</v>
          </cell>
          <cell r="AK1055">
            <v>0</v>
          </cell>
          <cell r="AL1055"/>
          <cell r="AM1055"/>
          <cell r="AN1055" t="str">
            <v/>
          </cell>
          <cell r="AO1055"/>
          <cell r="AP1055"/>
          <cell r="AQ1055"/>
          <cell r="AR1055"/>
          <cell r="AS1055">
            <v>33</v>
          </cell>
          <cell r="AT1055"/>
          <cell r="AU1055" t="str">
            <v>FR</v>
          </cell>
          <cell r="AV1055"/>
        </row>
        <row r="1056">
          <cell r="Z1056">
            <v>6040703</v>
          </cell>
          <cell r="AA1056" t="str">
            <v>UBHO 9-3/8" OD
7-5/8" REG Pin x Box</v>
          </cell>
          <cell r="AB1056">
            <v>266</v>
          </cell>
          <cell r="AC1056">
            <v>9.375</v>
          </cell>
          <cell r="AD1056">
            <v>880</v>
          </cell>
          <cell r="AE1056" t="str">
            <v>7-5/8" REG Box</v>
          </cell>
          <cell r="AF1056" t="str">
            <v>7-5/8" REG Pin</v>
          </cell>
          <cell r="AG1056"/>
          <cell r="AH1056" t="str">
            <v xml:space="preserve"> en stock </v>
          </cell>
          <cell r="AI1056">
            <v>1</v>
          </cell>
          <cell r="AJ1056">
            <v>0</v>
          </cell>
          <cell r="AK1056">
            <v>0</v>
          </cell>
          <cell r="AL1056"/>
          <cell r="AM1056"/>
          <cell r="AN1056" t="str">
            <v/>
          </cell>
          <cell r="AO1056"/>
          <cell r="AP1056"/>
          <cell r="AQ1056"/>
          <cell r="AR1056"/>
          <cell r="AS1056">
            <v>34</v>
          </cell>
          <cell r="AT1056"/>
          <cell r="AU1056" t="str">
            <v>FR</v>
          </cell>
          <cell r="AV1056"/>
        </row>
        <row r="1057">
          <cell r="Z1057">
            <v>6040704</v>
          </cell>
          <cell r="AA1057" t="str">
            <v>UBHO 6-3/4" OD
4-1/2" IF Pin x Box</v>
          </cell>
          <cell r="AB1057">
            <v>124</v>
          </cell>
          <cell r="AC1057">
            <v>6.75</v>
          </cell>
          <cell r="AD1057">
            <v>905</v>
          </cell>
          <cell r="AE1057" t="str">
            <v>4-1/2" IF Box</v>
          </cell>
          <cell r="AF1057" t="str">
            <v>4-1/2" IF Pin SRG</v>
          </cell>
          <cell r="AG1057"/>
          <cell r="AH1057" t="str">
            <v>maintenance</v>
          </cell>
          <cell r="AI1057" t="str">
            <v/>
          </cell>
          <cell r="AJ1057">
            <v>0</v>
          </cell>
          <cell r="AK1057">
            <v>1</v>
          </cell>
          <cell r="AL1057"/>
          <cell r="AM1057"/>
          <cell r="AN1057">
            <v>6040704</v>
          </cell>
          <cell r="AO1057"/>
          <cell r="AP1057"/>
          <cell r="AQ1057"/>
          <cell r="AR1057"/>
          <cell r="AS1057">
            <v>21</v>
          </cell>
          <cell r="AT1057"/>
          <cell r="AU1057" t="str">
            <v>FR</v>
          </cell>
          <cell r="AV1057"/>
        </row>
        <row r="1058">
          <cell r="Z1058">
            <v>6040705</v>
          </cell>
          <cell r="AA1058" t="str">
            <v>UBHO 6-3/4" OD
4-1/2" IF Pin x Box</v>
          </cell>
          <cell r="AB1058">
            <v>124</v>
          </cell>
          <cell r="AC1058">
            <v>6.75</v>
          </cell>
          <cell r="AD1058">
            <v>905</v>
          </cell>
          <cell r="AE1058" t="str">
            <v>4-1/2" IF Box</v>
          </cell>
          <cell r="AF1058" t="str">
            <v>4-1/2" IF Pin SRG</v>
          </cell>
          <cell r="AG1058"/>
          <cell r="AH1058" t="str">
            <v>maintenance</v>
          </cell>
          <cell r="AI1058" t="str">
            <v/>
          </cell>
          <cell r="AJ1058">
            <v>0</v>
          </cell>
          <cell r="AK1058">
            <v>1</v>
          </cell>
          <cell r="AL1058"/>
          <cell r="AM1058"/>
          <cell r="AN1058">
            <v>6040705</v>
          </cell>
          <cell r="AO1058"/>
          <cell r="AP1058"/>
          <cell r="AQ1058"/>
          <cell r="AR1058"/>
          <cell r="AS1058">
            <v>22</v>
          </cell>
          <cell r="AT1058" t="str">
            <v>604-6,750</v>
          </cell>
          <cell r="AU1058" t="str">
            <v>FR</v>
          </cell>
          <cell r="AV1058"/>
        </row>
        <row r="1059">
          <cell r="Z1059">
            <v>6040706</v>
          </cell>
          <cell r="AA1059" t="str">
            <v>UBHO 8" OD
6-5/8" REG Pin x Box</v>
          </cell>
          <cell r="AB1059">
            <v>186</v>
          </cell>
          <cell r="AC1059">
            <v>8</v>
          </cell>
          <cell r="AD1059">
            <v>890</v>
          </cell>
          <cell r="AE1059" t="str">
            <v>6-5/8" REG Box</v>
          </cell>
          <cell r="AF1059" t="str">
            <v>6-5/8" REG Pin SRG</v>
          </cell>
          <cell r="AG1059"/>
          <cell r="AH1059" t="str">
            <v xml:space="preserve"> en stock </v>
          </cell>
          <cell r="AI1059" t="str">
            <v>DBR</v>
          </cell>
          <cell r="AJ1059">
            <v>0</v>
          </cell>
          <cell r="AK1059">
            <v>0</v>
          </cell>
          <cell r="AL1059"/>
          <cell r="AM1059"/>
          <cell r="AN1059">
            <v>6040706</v>
          </cell>
          <cell r="AO1059"/>
          <cell r="AP1059"/>
          <cell r="AQ1059"/>
          <cell r="AR1059"/>
          <cell r="AS1059">
            <v>45</v>
          </cell>
          <cell r="AT1059"/>
          <cell r="AU1059" t="str">
            <v>FR</v>
          </cell>
          <cell r="AV1059"/>
        </row>
        <row r="1060">
          <cell r="Z1060">
            <v>6040707</v>
          </cell>
          <cell r="AA1060" t="str">
            <v>UBHO 8" OD
6-5/8" REG Pin x Box</v>
          </cell>
          <cell r="AB1060">
            <v>188</v>
          </cell>
          <cell r="AC1060">
            <v>8</v>
          </cell>
          <cell r="AD1060">
            <v>890</v>
          </cell>
          <cell r="AE1060" t="str">
            <v>6-5/8" REG Box</v>
          </cell>
          <cell r="AF1060" t="str">
            <v>6-5/8" REG Pin</v>
          </cell>
          <cell r="AG1060"/>
          <cell r="AH1060" t="str">
            <v>maintenance</v>
          </cell>
          <cell r="AI1060" t="str">
            <v/>
          </cell>
          <cell r="AJ1060">
            <v>0</v>
          </cell>
          <cell r="AK1060">
            <v>1</v>
          </cell>
          <cell r="AL1060"/>
          <cell r="AM1060"/>
          <cell r="AN1060">
            <v>6040707</v>
          </cell>
          <cell r="AO1060"/>
          <cell r="AP1060"/>
          <cell r="AQ1060"/>
          <cell r="AR1060"/>
          <cell r="AS1060">
            <v>26</v>
          </cell>
          <cell r="AT1060"/>
          <cell r="AU1060" t="str">
            <v>FR</v>
          </cell>
          <cell r="AV1060"/>
        </row>
        <row r="1061">
          <cell r="Z1061">
            <v>8080708</v>
          </cell>
          <cell r="AA1061" t="str">
            <v>Float Sub 6-3/4" Lg 600 mm
4-1/2" IF Pin x 4-1/2" IF Box BF (4R)</v>
          </cell>
          <cell r="AB1061">
            <v>84</v>
          </cell>
          <cell r="AC1061">
            <v>6.75</v>
          </cell>
          <cell r="AD1061">
            <v>600</v>
          </cell>
          <cell r="AE1061" t="str">
            <v>4-1/2" IF Box BF</v>
          </cell>
          <cell r="AF1061" t="str">
            <v>4-1/2" IF Pin</v>
          </cell>
          <cell r="AG1061" t="str">
            <v>4R</v>
          </cell>
          <cell r="AH1061" t="str">
            <v>maintenance</v>
          </cell>
          <cell r="AI1061" t="str">
            <v/>
          </cell>
          <cell r="AJ1061">
            <v>0</v>
          </cell>
          <cell r="AK1061">
            <v>1</v>
          </cell>
          <cell r="AL1061"/>
          <cell r="AM1061"/>
          <cell r="AN1061">
            <v>8080708</v>
          </cell>
          <cell r="AO1061"/>
          <cell r="AP1061"/>
          <cell r="AQ1061"/>
          <cell r="AR1061"/>
          <cell r="AS1061">
            <v>18</v>
          </cell>
          <cell r="AT1061"/>
          <cell r="AU1061" t="str">
            <v>FR</v>
          </cell>
          <cell r="AV1061"/>
        </row>
        <row r="1062">
          <cell r="Z1062">
            <v>8080709</v>
          </cell>
          <cell r="AA1062" t="str">
            <v>Short DC 6-3/4" Lg 2900mm
4-1/2" IF Pin x Box</v>
          </cell>
          <cell r="AB1062">
            <v>410.0858703508124</v>
          </cell>
          <cell r="AC1062">
            <v>6.75</v>
          </cell>
          <cell r="AD1062">
            <v>2900</v>
          </cell>
          <cell r="AE1062" t="str">
            <v>4-1/2" IF Box</v>
          </cell>
          <cell r="AF1062" t="str">
            <v>4-1/2" IF Pin</v>
          </cell>
          <cell r="AG1062"/>
          <cell r="AH1062" t="str">
            <v>maintenance</v>
          </cell>
          <cell r="AI1062" t="str">
            <v/>
          </cell>
          <cell r="AJ1062">
            <v>0</v>
          </cell>
          <cell r="AK1062">
            <v>1</v>
          </cell>
          <cell r="AL1062"/>
          <cell r="AM1062"/>
          <cell r="AN1062" t="str">
            <v/>
          </cell>
          <cell r="AO1062"/>
          <cell r="AP1062"/>
          <cell r="AQ1062"/>
          <cell r="AR1062"/>
          <cell r="AS1062">
            <v>20</v>
          </cell>
          <cell r="AT1062"/>
          <cell r="AU1062" t="str">
            <v>FR</v>
          </cell>
          <cell r="AV1062"/>
        </row>
        <row r="1063">
          <cell r="Z1063">
            <v>1070710</v>
          </cell>
          <cell r="AA1063"/>
          <cell r="AB1063"/>
          <cell r="AC1063"/>
          <cell r="AD1063"/>
          <cell r="AE1063"/>
          <cell r="AF1063"/>
          <cell r="AG1063"/>
          <cell r="AH1063" t="str">
            <v>en stock</v>
          </cell>
          <cell r="AI1063"/>
          <cell r="AJ1063"/>
          <cell r="AK1063"/>
          <cell r="AL1063"/>
          <cell r="AM1063"/>
          <cell r="AN1063" t="str">
            <v/>
          </cell>
          <cell r="AO1063"/>
          <cell r="AP1063"/>
          <cell r="AQ1063"/>
          <cell r="AR1063"/>
          <cell r="AS1063"/>
          <cell r="AT1063"/>
          <cell r="AU1063" t="str">
            <v/>
          </cell>
          <cell r="AV1063"/>
        </row>
        <row r="1064">
          <cell r="Z1064">
            <v>1070711</v>
          </cell>
          <cell r="AA1064"/>
          <cell r="AB1064"/>
          <cell r="AC1064"/>
          <cell r="AD1064"/>
          <cell r="AE1064"/>
          <cell r="AF1064"/>
          <cell r="AG1064"/>
          <cell r="AH1064" t="str">
            <v>en stock</v>
          </cell>
          <cell r="AI1064"/>
          <cell r="AJ1064"/>
          <cell r="AK1064"/>
          <cell r="AL1064"/>
          <cell r="AM1064"/>
          <cell r="AN1064" t="str">
            <v/>
          </cell>
          <cell r="AO1064"/>
          <cell r="AP1064"/>
          <cell r="AQ1064"/>
          <cell r="AR1064"/>
          <cell r="AS1064"/>
          <cell r="AT1064"/>
          <cell r="AU1064" t="str">
            <v/>
          </cell>
          <cell r="AV1064"/>
        </row>
        <row r="1065">
          <cell r="Z1065">
            <v>2886</v>
          </cell>
          <cell r="AA1065" t="str">
            <v xml:space="preserve">4-3/4" PDM  - lobes - stages
3-1/2" IF Box x 3-1/2" REG Box
Rotor : 
Stator : 
Bent : </v>
          </cell>
          <cell r="AB1065">
            <v>470</v>
          </cell>
          <cell r="AC1065">
            <v>4.75</v>
          </cell>
          <cell r="AD1065">
            <v>6745</v>
          </cell>
          <cell r="AE1065" t="e">
            <v>#N/A</v>
          </cell>
          <cell r="AF1065" t="e">
            <v>#N/A</v>
          </cell>
          <cell r="AG1065"/>
          <cell r="AH1065" t="str">
            <v>maintenance</v>
          </cell>
          <cell r="AI1065" t="str">
            <v/>
          </cell>
          <cell r="AJ1065">
            <v>0</v>
          </cell>
          <cell r="AK1065">
            <v>1</v>
          </cell>
          <cell r="AL1065"/>
          <cell r="AM1065"/>
          <cell r="AN1065">
            <v>6014757701</v>
          </cell>
          <cell r="AO1065"/>
          <cell r="AP1065"/>
          <cell r="AQ1065"/>
          <cell r="AR1065"/>
          <cell r="AS1065">
            <v>30</v>
          </cell>
          <cell r="AT1065"/>
          <cell r="AU1065" t="str">
            <v/>
          </cell>
          <cell r="AV1065"/>
        </row>
        <row r="1066">
          <cell r="Z1066">
            <v>2887</v>
          </cell>
          <cell r="AA1066" t="str">
            <v xml:space="preserve">4-3/4" PDM  - lobes - stages
3-1/2" IF Box x 3-1/2" REG Box
Rotor : 
Stator : 
Bent : </v>
          </cell>
          <cell r="AB1066">
            <v>470</v>
          </cell>
          <cell r="AC1066">
            <v>4.75</v>
          </cell>
          <cell r="AD1066">
            <v>6745</v>
          </cell>
          <cell r="AE1066" t="str">
            <v>NBR</v>
          </cell>
          <cell r="AF1066">
            <v>0</v>
          </cell>
          <cell r="AG1066"/>
          <cell r="AH1066" t="e">
            <v>#VALUE!</v>
          </cell>
          <cell r="AI1066" t="e">
            <v>#VALUE!</v>
          </cell>
          <cell r="AJ1066">
            <v>0</v>
          </cell>
          <cell r="AK1066" t="str">
            <v>to build</v>
          </cell>
          <cell r="AL1066"/>
          <cell r="AM1066"/>
          <cell r="AN1066">
            <v>6014757712</v>
          </cell>
          <cell r="AO1066"/>
          <cell r="AP1066"/>
          <cell r="AQ1066"/>
          <cell r="AR1066"/>
          <cell r="AS1066">
            <v>31</v>
          </cell>
          <cell r="AT1066"/>
          <cell r="AU1066" t="str">
            <v/>
          </cell>
          <cell r="AV1066"/>
        </row>
        <row r="1067">
          <cell r="Z1067" t="str">
            <v>605-962-001</v>
          </cell>
          <cell r="AA1067" t="str">
            <v xml:space="preserve">Sleeve 0 for PDM 9-5/8"
Set on : </v>
          </cell>
          <cell r="AB1067">
            <v>250</v>
          </cell>
          <cell r="AC1067">
            <v>0</v>
          </cell>
          <cell r="AD1067"/>
          <cell r="AE1067" t="str">
            <v xml:space="preserve">for PDM </v>
          </cell>
          <cell r="AF1067" t="str">
            <v xml:space="preserve">on </v>
          </cell>
          <cell r="AG1067"/>
          <cell r="AH1067" t="str">
            <v xml:space="preserve"> en stock </v>
          </cell>
          <cell r="AI1067">
            <v>1</v>
          </cell>
          <cell r="AJ1067">
            <v>0</v>
          </cell>
          <cell r="AK1067">
            <v>0</v>
          </cell>
          <cell r="AL1067"/>
          <cell r="AM1067"/>
          <cell r="AN1067">
            <v>605962001</v>
          </cell>
          <cell r="AO1067"/>
          <cell r="AP1067"/>
          <cell r="AQ1067"/>
          <cell r="AR1067"/>
          <cell r="AS1067">
            <v>44</v>
          </cell>
          <cell r="AT1067"/>
          <cell r="AU1067" t="str">
            <v>FR</v>
          </cell>
          <cell r="AV1067"/>
        </row>
        <row r="1068">
          <cell r="Z1068" t="str">
            <v>605-962-002</v>
          </cell>
          <cell r="AA1068" t="str">
            <v xml:space="preserve">Sleeve 0 for PDM 9-5/8"
Set on : </v>
          </cell>
          <cell r="AB1068">
            <v>140</v>
          </cell>
          <cell r="AC1068">
            <v>0</v>
          </cell>
          <cell r="AD1068"/>
          <cell r="AE1068" t="str">
            <v xml:space="preserve">for PDM </v>
          </cell>
          <cell r="AF1068" t="str">
            <v xml:space="preserve">on </v>
          </cell>
          <cell r="AG1068"/>
          <cell r="AH1068" t="str">
            <v>sur chantier</v>
          </cell>
          <cell r="AI1068" t="str">
            <v/>
          </cell>
          <cell r="AJ1068">
            <v>1</v>
          </cell>
          <cell r="AK1068">
            <v>0</v>
          </cell>
          <cell r="AL1068"/>
          <cell r="AM1068"/>
          <cell r="AN1068" t="str">
            <v/>
          </cell>
          <cell r="AO1068"/>
          <cell r="AP1068"/>
          <cell r="AQ1068"/>
          <cell r="AR1068"/>
          <cell r="AS1068">
            <v>52</v>
          </cell>
          <cell r="AT1068"/>
          <cell r="AU1068" t="str">
            <v>FR</v>
          </cell>
          <cell r="AV1068"/>
        </row>
        <row r="1069">
          <cell r="Z1069" t="str">
            <v>605-962-003</v>
          </cell>
          <cell r="AA1069" t="str">
            <v xml:space="preserve">Sleeve 0 for PDM 9-5/8"
Set on : </v>
          </cell>
          <cell r="AB1069">
            <v>140</v>
          </cell>
          <cell r="AC1069">
            <v>0</v>
          </cell>
          <cell r="AD1069"/>
          <cell r="AE1069" t="str">
            <v xml:space="preserve">for PDM </v>
          </cell>
          <cell r="AF1069" t="str">
            <v xml:space="preserve">on </v>
          </cell>
          <cell r="AG1069"/>
          <cell r="AH1069" t="str">
            <v>maintenance</v>
          </cell>
          <cell r="AI1069" t="str">
            <v/>
          </cell>
          <cell r="AJ1069">
            <v>0</v>
          </cell>
          <cell r="AK1069">
            <v>1</v>
          </cell>
          <cell r="AL1069"/>
          <cell r="AM1069"/>
          <cell r="AN1069" t="str">
            <v/>
          </cell>
          <cell r="AO1069"/>
          <cell r="AP1069"/>
          <cell r="AQ1069"/>
          <cell r="AR1069"/>
          <cell r="AS1069">
            <v>51</v>
          </cell>
          <cell r="AT1069"/>
          <cell r="AU1069" t="str">
            <v>FR</v>
          </cell>
          <cell r="AV1069"/>
        </row>
        <row r="1070">
          <cell r="Z1070" t="str">
            <v>Cabine n°1</v>
          </cell>
          <cell r="AA1070" t="str">
            <v>Cabine de chantier n°1 (Container RJMU 012355-9)</v>
          </cell>
          <cell r="AB1070">
            <v>2500</v>
          </cell>
          <cell r="AC1070"/>
          <cell r="AD1070" t="str">
            <v>20ft</v>
          </cell>
          <cell r="AE1070"/>
          <cell r="AF1070"/>
          <cell r="AG1070"/>
          <cell r="AH1070" t="str">
            <v xml:space="preserve"> en stock </v>
          </cell>
          <cell r="AI1070">
            <v>1</v>
          </cell>
          <cell r="AJ1070">
            <v>0</v>
          </cell>
          <cell r="AK1070">
            <v>0</v>
          </cell>
          <cell r="AL1070"/>
          <cell r="AM1070"/>
          <cell r="AN1070">
            <v>56</v>
          </cell>
          <cell r="AO1070"/>
          <cell r="AP1070"/>
          <cell r="AQ1070"/>
          <cell r="AR1070"/>
          <cell r="AS1070">
            <v>5</v>
          </cell>
          <cell r="AT1070"/>
          <cell r="AU1070" t="str">
            <v/>
          </cell>
          <cell r="AV1070"/>
        </row>
        <row r="1071">
          <cell r="Z1071" t="str">
            <v>Cabine n°2</v>
          </cell>
          <cell r="AA1071" t="str">
            <v>Cabine de chantier n°2  (Container RJMU 012312-1)</v>
          </cell>
          <cell r="AB1071">
            <v>2500</v>
          </cell>
          <cell r="AC1071"/>
          <cell r="AD1071" t="str">
            <v>20ft</v>
          </cell>
          <cell r="AE1071"/>
          <cell r="AF1071"/>
          <cell r="AG1071"/>
          <cell r="AH1071" t="str">
            <v>sur chantier</v>
          </cell>
          <cell r="AI1071" t="str">
            <v/>
          </cell>
          <cell r="AJ1071">
            <v>1</v>
          </cell>
          <cell r="AK1071">
            <v>0</v>
          </cell>
          <cell r="AL1071"/>
          <cell r="AM1071"/>
          <cell r="AN1071">
            <v>57</v>
          </cell>
          <cell r="AO1071"/>
          <cell r="AP1071"/>
          <cell r="AQ1071"/>
          <cell r="AR1071"/>
          <cell r="AS1071">
            <v>6</v>
          </cell>
          <cell r="AT1071"/>
          <cell r="AU1071" t="str">
            <v/>
          </cell>
          <cell r="AV1071"/>
        </row>
        <row r="1072">
          <cell r="Z1072" t="str">
            <v/>
          </cell>
          <cell r="AA1072"/>
          <cell r="AB1072"/>
          <cell r="AC1072"/>
          <cell r="AD1072"/>
          <cell r="AE1072"/>
          <cell r="AF1072"/>
          <cell r="AG1072"/>
          <cell r="AH1072" t="str">
            <v>en stock</v>
          </cell>
          <cell r="AI1072"/>
          <cell r="AJ1072"/>
          <cell r="AK1072"/>
          <cell r="AL1072"/>
          <cell r="AM1072"/>
          <cell r="AN1072" t="str">
            <v/>
          </cell>
          <cell r="AO1072"/>
          <cell r="AP1072"/>
          <cell r="AQ1072"/>
          <cell r="AR1072"/>
          <cell r="AS1072"/>
          <cell r="AT1072"/>
          <cell r="AU1072" t="str">
            <v/>
          </cell>
          <cell r="AV1072"/>
        </row>
        <row r="1073">
          <cell r="Z1073" t="str">
            <v/>
          </cell>
          <cell r="AA1073"/>
          <cell r="AB1073"/>
          <cell r="AC1073"/>
          <cell r="AD1073"/>
          <cell r="AE1073"/>
          <cell r="AF1073"/>
          <cell r="AG1073"/>
          <cell r="AH1073" t="str">
            <v>en stock</v>
          </cell>
          <cell r="AI1073"/>
          <cell r="AJ1073"/>
          <cell r="AK1073"/>
          <cell r="AL1073"/>
          <cell r="AM1073"/>
          <cell r="AN1073">
            <v>2020</v>
          </cell>
          <cell r="AO1073"/>
          <cell r="AP1073"/>
          <cell r="AQ1073"/>
          <cell r="AR1073"/>
          <cell r="AS1073"/>
          <cell r="AT1073"/>
          <cell r="AU1073" t="str">
            <v/>
          </cell>
          <cell r="AV1073"/>
        </row>
        <row r="1074">
          <cell r="Z1074" t="str">
            <v>605-850-004</v>
          </cell>
          <cell r="AA1074" t="str">
            <v>Sleeve 0 for PDM 8-1/2"</v>
          </cell>
          <cell r="AB1074">
            <v>106</v>
          </cell>
          <cell r="AC1074">
            <v>0</v>
          </cell>
          <cell r="AD1074"/>
          <cell r="AE1074" t="str">
            <v xml:space="preserve">for PDM </v>
          </cell>
          <cell r="AF1074" t="str">
            <v xml:space="preserve">on </v>
          </cell>
          <cell r="AG1074"/>
          <cell r="AH1074" t="str">
            <v xml:space="preserve"> en stock </v>
          </cell>
          <cell r="AI1074">
            <v>1</v>
          </cell>
          <cell r="AJ1074">
            <v>0</v>
          </cell>
          <cell r="AK1074">
            <v>0</v>
          </cell>
          <cell r="AL1074"/>
          <cell r="AM1074"/>
          <cell r="AN1074" t="str">
            <v>605-850-004</v>
          </cell>
          <cell r="AO1074"/>
          <cell r="AP1074"/>
          <cell r="AQ1074"/>
          <cell r="AR1074"/>
          <cell r="AS1074">
            <v>68</v>
          </cell>
          <cell r="AT1074"/>
          <cell r="AU1074" t="str">
            <v>FR</v>
          </cell>
          <cell r="AV1074"/>
        </row>
        <row r="1075">
          <cell r="Z1075" t="str">
            <v>605-850-005</v>
          </cell>
          <cell r="AA1075" t="str">
            <v>Sleeve 0 for PDM 8-1/2"</v>
          </cell>
          <cell r="AB1075">
            <v>70</v>
          </cell>
          <cell r="AC1075">
            <v>0</v>
          </cell>
          <cell r="AD1075"/>
          <cell r="AE1075" t="str">
            <v xml:space="preserve">for PDM </v>
          </cell>
          <cell r="AF1075" t="str">
            <v xml:space="preserve">on </v>
          </cell>
          <cell r="AG1075"/>
          <cell r="AH1075" t="str">
            <v xml:space="preserve"> en stock </v>
          </cell>
          <cell r="AI1075">
            <v>1</v>
          </cell>
          <cell r="AJ1075">
            <v>0</v>
          </cell>
          <cell r="AK1075">
            <v>0</v>
          </cell>
          <cell r="AL1075"/>
          <cell r="AM1075"/>
          <cell r="AN1075" t="str">
            <v>605-850-005</v>
          </cell>
          <cell r="AO1075"/>
          <cell r="AP1075"/>
          <cell r="AQ1075"/>
          <cell r="AR1075"/>
          <cell r="AS1075">
            <v>67</v>
          </cell>
          <cell r="AT1075"/>
          <cell r="AU1075" t="str">
            <v>FR</v>
          </cell>
          <cell r="AV1075"/>
        </row>
        <row r="1076">
          <cell r="Z1076">
            <v>7050712</v>
          </cell>
          <cell r="AA1076" t="str">
            <v>Extension 11-3/4" FS Lg 300mm CA 5329
11-3/4" FS Sellers Pin x Box</v>
          </cell>
          <cell r="AB1076">
            <v>163.61709615224999</v>
          </cell>
          <cell r="AC1076" t="str">
            <v>11-3/4" FS</v>
          </cell>
          <cell r="AD1076">
            <v>300</v>
          </cell>
          <cell r="AE1076" t="str">
            <v>11-3/4" FS Sellers Box</v>
          </cell>
          <cell r="AF1076" t="str">
            <v>11-3/4" FS Sellers Pin</v>
          </cell>
          <cell r="AG1076">
            <v>5329</v>
          </cell>
          <cell r="AH1076" t="str">
            <v xml:space="preserve"> en stock </v>
          </cell>
          <cell r="AI1076">
            <v>1</v>
          </cell>
          <cell r="AJ1076">
            <v>0</v>
          </cell>
          <cell r="AK1076">
            <v>0</v>
          </cell>
          <cell r="AL1076"/>
          <cell r="AM1076"/>
          <cell r="AN1076" t="str">
            <v/>
          </cell>
          <cell r="AO1076"/>
          <cell r="AP1076"/>
          <cell r="AQ1076"/>
          <cell r="AR1076"/>
          <cell r="AS1076">
            <v>72</v>
          </cell>
          <cell r="AT1076" t="str">
            <v>705-5329</v>
          </cell>
          <cell r="AU1076" t="str">
            <v>FR</v>
          </cell>
          <cell r="AV1076"/>
        </row>
        <row r="1077">
          <cell r="Z1077">
            <v>8120713</v>
          </cell>
          <cell r="AA1077" t="str">
            <v>Top Sub 3-1/2" REG Box</v>
          </cell>
          <cell r="AB1077"/>
          <cell r="AC1077"/>
          <cell r="AD1077"/>
          <cell r="AE1077"/>
          <cell r="AF1077"/>
          <cell r="AG1077"/>
          <cell r="AH1077" t="str">
            <v>en stock</v>
          </cell>
          <cell r="AI1077"/>
          <cell r="AJ1077"/>
          <cell r="AK1077"/>
          <cell r="AL1077"/>
          <cell r="AM1077"/>
          <cell r="AN1077">
            <v>8120713</v>
          </cell>
          <cell r="AO1077"/>
          <cell r="AP1077"/>
          <cell r="AQ1077"/>
          <cell r="AR1077"/>
          <cell r="AS1077"/>
          <cell r="AT1077"/>
          <cell r="AU1077" t="str">
            <v>FR</v>
          </cell>
          <cell r="AV1077"/>
        </row>
        <row r="1078">
          <cell r="Z1078">
            <v>2050714</v>
          </cell>
          <cell r="AA1078" t="str">
            <v>Section Mill 8200 
4-1/2" REG Pin up</v>
          </cell>
          <cell r="AB1078">
            <v>428</v>
          </cell>
          <cell r="AC1078">
            <v>8200</v>
          </cell>
          <cell r="AD1078">
            <v>2380</v>
          </cell>
          <cell r="AE1078" t="str">
            <v>4-1/2" REG Pin</v>
          </cell>
          <cell r="AF1078" t="str">
            <v>4" IF Box</v>
          </cell>
          <cell r="AG1078"/>
          <cell r="AH1078" t="str">
            <v xml:space="preserve"> en stock </v>
          </cell>
          <cell r="AI1078">
            <v>1</v>
          </cell>
          <cell r="AJ1078">
            <v>0</v>
          </cell>
          <cell r="AK1078">
            <v>0</v>
          </cell>
          <cell r="AL1078"/>
          <cell r="AM1078"/>
          <cell r="AN1078">
            <v>2050714</v>
          </cell>
          <cell r="AO1078"/>
          <cell r="AP1078"/>
          <cell r="AQ1078"/>
          <cell r="AR1078"/>
          <cell r="AS1078">
            <v>11</v>
          </cell>
          <cell r="AT1078" t="str">
            <v>205-8200</v>
          </cell>
          <cell r="AU1078" t="str">
            <v>FR</v>
          </cell>
          <cell r="AV1078"/>
        </row>
        <row r="1079">
          <cell r="Z1079">
            <v>7050715</v>
          </cell>
          <cell r="AA1079" t="str">
            <v>Extension 3-7/8" SH Lg 800mm CA C-1835
3-7/8" SH Sellers Pin x Box</v>
          </cell>
          <cell r="AB1079">
            <v>17.813450260125006</v>
          </cell>
          <cell r="AC1079" t="str">
            <v>3-7/8" SH</v>
          </cell>
          <cell r="AD1079">
            <v>800</v>
          </cell>
          <cell r="AE1079" t="str">
            <v>3-7/8" SH Sellers Box</v>
          </cell>
          <cell r="AF1079" t="str">
            <v>3-7/8" SH Sellers Pin</v>
          </cell>
          <cell r="AG1079" t="str">
            <v>C-1835</v>
          </cell>
          <cell r="AH1079" t="str">
            <v>maintenance</v>
          </cell>
          <cell r="AI1079" t="str">
            <v/>
          </cell>
          <cell r="AJ1079">
            <v>0</v>
          </cell>
          <cell r="AK1079">
            <v>1</v>
          </cell>
          <cell r="AL1079"/>
          <cell r="AM1079"/>
          <cell r="AN1079">
            <v>7050715</v>
          </cell>
          <cell r="AO1079"/>
          <cell r="AP1079"/>
          <cell r="AQ1079"/>
          <cell r="AR1079"/>
          <cell r="AS1079">
            <v>5</v>
          </cell>
          <cell r="AT1079" t="str">
            <v>705-1835</v>
          </cell>
          <cell r="AU1079" t="str">
            <v>FR</v>
          </cell>
          <cell r="AV1079"/>
        </row>
        <row r="1080">
          <cell r="Z1080" t="str">
            <v>605-675-006</v>
          </cell>
          <cell r="AA1080" t="str">
            <v>Sleeve 0 for PDM 6-3/4"</v>
          </cell>
          <cell r="AB1080">
            <v>26</v>
          </cell>
          <cell r="AC1080">
            <v>0</v>
          </cell>
          <cell r="AD1080"/>
          <cell r="AE1080" t="str">
            <v xml:space="preserve">for PDM </v>
          </cell>
          <cell r="AF1080" t="str">
            <v xml:space="preserve">on </v>
          </cell>
          <cell r="AG1080"/>
          <cell r="AH1080" t="str">
            <v xml:space="preserve"> en stock </v>
          </cell>
          <cell r="AI1080">
            <v>1</v>
          </cell>
          <cell r="AJ1080">
            <v>0</v>
          </cell>
          <cell r="AK1080">
            <v>0</v>
          </cell>
          <cell r="AL1080"/>
          <cell r="AM1080"/>
          <cell r="AN1080" t="str">
            <v>605-675-006</v>
          </cell>
          <cell r="AO1080"/>
          <cell r="AP1080"/>
          <cell r="AQ1080"/>
          <cell r="AR1080"/>
          <cell r="AS1080">
            <v>87</v>
          </cell>
          <cell r="AT1080"/>
          <cell r="AU1080" t="str">
            <v>FR</v>
          </cell>
          <cell r="AV1080"/>
        </row>
        <row r="1081">
          <cell r="Z1081">
            <v>7040087</v>
          </cell>
          <cell r="AA1081"/>
          <cell r="AB1081"/>
          <cell r="AC1081"/>
          <cell r="AD1081"/>
          <cell r="AE1081"/>
          <cell r="AF1081"/>
          <cell r="AG1081"/>
          <cell r="AH1081" t="str">
            <v>en stock</v>
          </cell>
          <cell r="AI1081"/>
          <cell r="AJ1081"/>
          <cell r="AK1081"/>
          <cell r="AL1081"/>
          <cell r="AM1081"/>
          <cell r="AN1081">
            <v>7040716</v>
          </cell>
          <cell r="AO1081"/>
          <cell r="AP1081"/>
          <cell r="AQ1081"/>
          <cell r="AR1081"/>
          <cell r="AS1081"/>
          <cell r="AT1081"/>
          <cell r="AU1081" t="str">
            <v>FR</v>
          </cell>
          <cell r="AV1081"/>
        </row>
        <row r="1082">
          <cell r="Z1082">
            <v>7040717</v>
          </cell>
          <cell r="AA1082" t="str">
            <v>8-1/8" FS Overshot - CA C-5342
4-1/2" IF Box</v>
          </cell>
          <cell r="AB1082">
            <v>142</v>
          </cell>
          <cell r="AC1082" t="str">
            <v>8-1/8" FS</v>
          </cell>
          <cell r="AD1082">
            <v>1330</v>
          </cell>
          <cell r="AE1082" t="str">
            <v>4-1/2" IF Box</v>
          </cell>
          <cell r="AF1082"/>
          <cell r="AG1082"/>
          <cell r="AH1082" t="str">
            <v xml:space="preserve"> en stock </v>
          </cell>
          <cell r="AI1082">
            <v>1</v>
          </cell>
          <cell r="AJ1082">
            <v>0</v>
          </cell>
          <cell r="AK1082">
            <v>0</v>
          </cell>
          <cell r="AL1082"/>
          <cell r="AM1082"/>
          <cell r="AN1082">
            <v>7040717</v>
          </cell>
          <cell r="AO1082"/>
          <cell r="AP1082"/>
          <cell r="AQ1082"/>
          <cell r="AR1082"/>
          <cell r="AS1082">
            <v>58</v>
          </cell>
          <cell r="AT1082" t="str">
            <v>704-5342</v>
          </cell>
          <cell r="AU1082" t="str">
            <v>FR</v>
          </cell>
          <cell r="AV1082"/>
        </row>
        <row r="1083">
          <cell r="Z1083">
            <v>6070718</v>
          </cell>
          <cell r="AA1083" t="str">
            <v>fin cutter 7-5/8"</v>
          </cell>
          <cell r="AB1083"/>
          <cell r="AC1083"/>
          <cell r="AD1083"/>
          <cell r="AE1083"/>
          <cell r="AF1083"/>
          <cell r="AG1083"/>
          <cell r="AH1083" t="str">
            <v>en stock</v>
          </cell>
          <cell r="AI1083"/>
          <cell r="AJ1083"/>
          <cell r="AK1083"/>
          <cell r="AL1083"/>
          <cell r="AM1083"/>
          <cell r="AN1083">
            <v>6070718</v>
          </cell>
          <cell r="AO1083"/>
          <cell r="AP1083"/>
          <cell r="AQ1083"/>
          <cell r="AR1083"/>
          <cell r="AS1083"/>
          <cell r="AT1083"/>
          <cell r="AU1083" t="str">
            <v>FR</v>
          </cell>
          <cell r="AV1083"/>
        </row>
        <row r="1084">
          <cell r="Z1084" t="str">
            <v>601-962-7-6-007-1</v>
          </cell>
          <cell r="AA1084" t="str">
            <v>Top Sub PDM 9-5/8"</v>
          </cell>
          <cell r="AB1084"/>
          <cell r="AC1084"/>
          <cell r="AD1084"/>
          <cell r="AE1084"/>
          <cell r="AF1084"/>
          <cell r="AG1084"/>
          <cell r="AH1084" t="str">
            <v>en stock</v>
          </cell>
          <cell r="AI1084"/>
          <cell r="AJ1084"/>
          <cell r="AK1084"/>
          <cell r="AL1084"/>
          <cell r="AM1084"/>
          <cell r="AN1084" t="str">
            <v>601-962-7-6-007-1</v>
          </cell>
          <cell r="AO1084"/>
          <cell r="AP1084"/>
          <cell r="AQ1084"/>
          <cell r="AR1084"/>
          <cell r="AS1084"/>
          <cell r="AT1084"/>
          <cell r="AU1084" t="str">
            <v>FR</v>
          </cell>
          <cell r="AV1084"/>
        </row>
        <row r="1085">
          <cell r="Z1085">
            <v>2969</v>
          </cell>
          <cell r="AA1085" t="str">
            <v xml:space="preserve">9-5/8" PDM  - lobes - stages
7-5/8" REG Box x Box
Rotor : 
Stator : 
Bent : </v>
          </cell>
          <cell r="AB1085">
            <v>2900</v>
          </cell>
          <cell r="AC1085">
            <v>9.625</v>
          </cell>
          <cell r="AD1085">
            <v>11018</v>
          </cell>
          <cell r="AE1085" t="str">
            <v>NBR</v>
          </cell>
          <cell r="AF1085">
            <v>0</v>
          </cell>
          <cell r="AG1085"/>
          <cell r="AH1085" t="str">
            <v>sur chantier</v>
          </cell>
          <cell r="AI1085" t="str">
            <v/>
          </cell>
          <cell r="AJ1085">
            <v>1</v>
          </cell>
          <cell r="AK1085">
            <v>0</v>
          </cell>
          <cell r="AL1085"/>
          <cell r="AM1085"/>
          <cell r="AN1085">
            <v>6019627617</v>
          </cell>
          <cell r="AO1085"/>
          <cell r="AP1085"/>
          <cell r="AQ1085"/>
          <cell r="AR1085"/>
          <cell r="AS1085">
            <v>4</v>
          </cell>
          <cell r="AT1085"/>
          <cell r="AU1085" t="str">
            <v/>
          </cell>
          <cell r="AV1085"/>
        </row>
        <row r="1086">
          <cell r="Z1086">
            <v>5060719</v>
          </cell>
          <cell r="AA1086" t="str">
            <v>String Mill 6 OD 
3-1/2" IF Box x 3-1/2" IF Pin</v>
          </cell>
          <cell r="AB1086">
            <v>114</v>
          </cell>
          <cell r="AC1086">
            <v>6</v>
          </cell>
          <cell r="AD1086">
            <v>1400</v>
          </cell>
          <cell r="AE1086" t="str">
            <v>3-1/2" IF Box</v>
          </cell>
          <cell r="AF1086" t="str">
            <v>3-1/2" IF Pin</v>
          </cell>
          <cell r="AG1086"/>
          <cell r="AH1086" t="str">
            <v xml:space="preserve"> en stock </v>
          </cell>
          <cell r="AI1086">
            <v>1</v>
          </cell>
          <cell r="AJ1086">
            <v>0</v>
          </cell>
          <cell r="AK1086">
            <v>0</v>
          </cell>
          <cell r="AL1086"/>
          <cell r="AM1086"/>
          <cell r="AN1086" t="str">
            <v/>
          </cell>
          <cell r="AO1086"/>
          <cell r="AP1086"/>
          <cell r="AQ1086"/>
          <cell r="AR1086"/>
          <cell r="AS1086">
            <v>12</v>
          </cell>
          <cell r="AT1086"/>
          <cell r="AU1086" t="str">
            <v/>
          </cell>
          <cell r="AV1086"/>
        </row>
        <row r="1087">
          <cell r="Z1087">
            <v>5060720</v>
          </cell>
          <cell r="AA1087" t="str">
            <v>String Mill 6,125 OD 
3-1/2" IF Box x 3-1/2" IF Pin</v>
          </cell>
          <cell r="AB1087">
            <v>104</v>
          </cell>
          <cell r="AC1087">
            <v>6.125</v>
          </cell>
          <cell r="AD1087">
            <v>1400</v>
          </cell>
          <cell r="AE1087" t="str">
            <v>3-1/2" IF Box</v>
          </cell>
          <cell r="AF1087" t="str">
            <v>3-1/2" IF Pin</v>
          </cell>
          <cell r="AG1087"/>
          <cell r="AH1087" t="str">
            <v xml:space="preserve"> en stock </v>
          </cell>
          <cell r="AI1087">
            <v>1</v>
          </cell>
          <cell r="AJ1087">
            <v>0</v>
          </cell>
          <cell r="AK1087">
            <v>0</v>
          </cell>
          <cell r="AL1087"/>
          <cell r="AM1087"/>
          <cell r="AN1087" t="str">
            <v/>
          </cell>
          <cell r="AO1087"/>
          <cell r="AP1087"/>
          <cell r="AQ1087"/>
          <cell r="AR1087"/>
          <cell r="AS1087">
            <v>15</v>
          </cell>
          <cell r="AT1087"/>
          <cell r="AU1087" t="str">
            <v/>
          </cell>
          <cell r="AV1087"/>
        </row>
        <row r="1088">
          <cell r="Z1088">
            <v>5060721</v>
          </cell>
          <cell r="AA1088" t="str">
            <v>String Mill 6 3/4 blank OD 
3-1/2" IF Box x 3-1/2" IF Pin</v>
          </cell>
          <cell r="AB1088">
            <v>0</v>
          </cell>
          <cell r="AC1088" t="str">
            <v>6 3/4 blank</v>
          </cell>
          <cell r="AD1088">
            <v>1400</v>
          </cell>
          <cell r="AE1088" t="str">
            <v>3-1/2" IF Box</v>
          </cell>
          <cell r="AF1088" t="str">
            <v>3-1/2" IF Pin</v>
          </cell>
          <cell r="AG1088"/>
          <cell r="AH1088" t="str">
            <v>maintenance</v>
          </cell>
          <cell r="AI1088" t="str">
            <v/>
          </cell>
          <cell r="AJ1088">
            <v>0</v>
          </cell>
          <cell r="AK1088">
            <v>1</v>
          </cell>
          <cell r="AL1088"/>
          <cell r="AM1088"/>
          <cell r="AN1088" t="str">
            <v/>
          </cell>
          <cell r="AO1088"/>
          <cell r="AP1088"/>
          <cell r="AQ1088"/>
          <cell r="AR1088"/>
          <cell r="AS1088">
            <v>16</v>
          </cell>
          <cell r="AT1088"/>
          <cell r="AU1088" t="str">
            <v/>
          </cell>
          <cell r="AV1088"/>
        </row>
        <row r="1089">
          <cell r="Z1089">
            <v>5060722</v>
          </cell>
          <cell r="AA1089" t="str">
            <v>String Mill 6 3/4 blank OD 
3-1/2" IF Box x 3-1/2" IF Pin</v>
          </cell>
          <cell r="AB1089">
            <v>0</v>
          </cell>
          <cell r="AC1089" t="str">
            <v>6 3/4 blank</v>
          </cell>
          <cell r="AD1089">
            <v>1400</v>
          </cell>
          <cell r="AE1089" t="str">
            <v>3-1/2" IF Box</v>
          </cell>
          <cell r="AF1089" t="str">
            <v>3-1/2" IF Pin</v>
          </cell>
          <cell r="AG1089"/>
          <cell r="AH1089" t="str">
            <v>maintenance</v>
          </cell>
          <cell r="AI1089" t="str">
            <v/>
          </cell>
          <cell r="AJ1089">
            <v>0</v>
          </cell>
          <cell r="AK1089">
            <v>1</v>
          </cell>
          <cell r="AL1089"/>
          <cell r="AM1089"/>
          <cell r="AN1089" t="str">
            <v/>
          </cell>
          <cell r="AO1089"/>
          <cell r="AP1089"/>
          <cell r="AQ1089"/>
          <cell r="AR1089"/>
          <cell r="AS1089">
            <v>17</v>
          </cell>
          <cell r="AT1089"/>
          <cell r="AU1089" t="str">
            <v/>
          </cell>
          <cell r="AV1089"/>
        </row>
        <row r="1090">
          <cell r="Z1090">
            <v>8110723</v>
          </cell>
          <cell r="AA1090" t="str">
            <v>String Stab
4-1/2" IF Pin SRG x 4-1/2" IF Box BB</v>
          </cell>
          <cell r="AB1090">
            <v>236</v>
          </cell>
          <cell r="AC1090">
            <v>8.375</v>
          </cell>
          <cell r="AD1090">
            <v>1580</v>
          </cell>
          <cell r="AE1090" t="str">
            <v>4-1/2" IF Box BB</v>
          </cell>
          <cell r="AF1090" t="str">
            <v>4-1/2" IF Pin SRG</v>
          </cell>
          <cell r="AG1090" t="str">
            <v>Carbure</v>
          </cell>
          <cell r="AH1090" t="str">
            <v>maintenance</v>
          </cell>
          <cell r="AI1090" t="str">
            <v/>
          </cell>
          <cell r="AJ1090">
            <v>0</v>
          </cell>
          <cell r="AK1090">
            <v>1</v>
          </cell>
          <cell r="AL1090"/>
          <cell r="AM1090"/>
          <cell r="AN1090">
            <v>8110723</v>
          </cell>
          <cell r="AO1090"/>
          <cell r="AP1090"/>
          <cell r="AQ1090"/>
          <cell r="AR1090"/>
          <cell r="AS1090">
            <v>40</v>
          </cell>
          <cell r="AT1090"/>
          <cell r="AU1090" t="str">
            <v>FR</v>
          </cell>
          <cell r="AV1090"/>
        </row>
        <row r="1091">
          <cell r="Z1091">
            <v>8110724</v>
          </cell>
          <cell r="AA1091" t="str">
            <v>String Stab
4-1/2" IF Pin x 4-1/2" IF Box</v>
          </cell>
          <cell r="AB1091">
            <v>240</v>
          </cell>
          <cell r="AC1091">
            <v>8.375</v>
          </cell>
          <cell r="AD1091">
            <v>1580</v>
          </cell>
          <cell r="AE1091" t="str">
            <v>4-1/2" IF Box</v>
          </cell>
          <cell r="AF1091" t="str">
            <v>4-1/2" IF Pin</v>
          </cell>
          <cell r="AG1091" t="str">
            <v>Carbure</v>
          </cell>
          <cell r="AH1091" t="str">
            <v>sur chantier</v>
          </cell>
          <cell r="AI1091" t="str">
            <v/>
          </cell>
          <cell r="AJ1091">
            <v>1</v>
          </cell>
          <cell r="AK1091">
            <v>0</v>
          </cell>
          <cell r="AL1091"/>
          <cell r="AM1091"/>
          <cell r="AN1091">
            <v>8110724</v>
          </cell>
          <cell r="AO1091"/>
          <cell r="AP1091"/>
          <cell r="AQ1091"/>
          <cell r="AR1091"/>
          <cell r="AS1091">
            <v>38</v>
          </cell>
          <cell r="AT1091"/>
          <cell r="AU1091" t="str">
            <v>FR</v>
          </cell>
          <cell r="AV1091"/>
        </row>
        <row r="1092">
          <cell r="Z1092">
            <v>8110725</v>
          </cell>
          <cell r="AA1092" t="str">
            <v>String Stab
4-1/2" IF Pin x 4-1/2" IF Box</v>
          </cell>
          <cell r="AB1092">
            <v>246</v>
          </cell>
          <cell r="AC1092">
            <v>9.125</v>
          </cell>
          <cell r="AD1092">
            <v>1590</v>
          </cell>
          <cell r="AE1092" t="str">
            <v>4-1/2" IF Box</v>
          </cell>
          <cell r="AF1092" t="str">
            <v>4-1/2" IF Pin</v>
          </cell>
          <cell r="AG1092" t="str">
            <v>Carbure</v>
          </cell>
          <cell r="AH1092" t="str">
            <v xml:space="preserve"> en stock </v>
          </cell>
          <cell r="AI1092">
            <v>1</v>
          </cell>
          <cell r="AJ1092">
            <v>0</v>
          </cell>
          <cell r="AK1092">
            <v>0</v>
          </cell>
          <cell r="AL1092"/>
          <cell r="AM1092"/>
          <cell r="AN1092">
            <v>8110725</v>
          </cell>
          <cell r="AO1092"/>
          <cell r="AP1092"/>
          <cell r="AQ1092"/>
          <cell r="AR1092"/>
          <cell r="AS1092">
            <v>43</v>
          </cell>
          <cell r="AT1092"/>
          <cell r="AU1092" t="str">
            <v>FR</v>
          </cell>
          <cell r="AV1092"/>
        </row>
        <row r="1093">
          <cell r="Z1093">
            <v>8110726</v>
          </cell>
          <cell r="AA1093"/>
          <cell r="AB1093"/>
          <cell r="AC1093"/>
          <cell r="AD1093"/>
          <cell r="AE1093"/>
          <cell r="AF1093"/>
          <cell r="AG1093"/>
          <cell r="AH1093" t="str">
            <v>en stock</v>
          </cell>
          <cell r="AI1093"/>
          <cell r="AJ1093"/>
          <cell r="AK1093"/>
          <cell r="AL1093"/>
          <cell r="AM1093"/>
          <cell r="AN1093">
            <v>8110726</v>
          </cell>
          <cell r="AO1093"/>
          <cell r="AP1093"/>
          <cell r="AQ1093"/>
          <cell r="AR1093"/>
          <cell r="AS1093"/>
          <cell r="AT1093"/>
          <cell r="AU1093" t="str">
            <v>FR</v>
          </cell>
          <cell r="AV1093"/>
        </row>
        <row r="1094">
          <cell r="Z1094" t="str">
            <v>605-962-SLK1</v>
          </cell>
          <cell r="AA1094" t="str">
            <v xml:space="preserve">Sleeve 0 for PDM 9-5/8"
Set on : </v>
          </cell>
          <cell r="AB1094">
            <v>38</v>
          </cell>
          <cell r="AC1094">
            <v>0</v>
          </cell>
          <cell r="AD1094"/>
          <cell r="AE1094" t="str">
            <v xml:space="preserve">for PDM </v>
          </cell>
          <cell r="AF1094" t="str">
            <v xml:space="preserve">on </v>
          </cell>
          <cell r="AG1094"/>
          <cell r="AH1094" t="str">
            <v xml:space="preserve"> en stock </v>
          </cell>
          <cell r="AI1094">
            <v>1</v>
          </cell>
          <cell r="AJ1094">
            <v>0</v>
          </cell>
          <cell r="AK1094">
            <v>0</v>
          </cell>
          <cell r="AL1094"/>
          <cell r="AM1094"/>
          <cell r="AN1094" t="str">
            <v/>
          </cell>
          <cell r="AO1094"/>
          <cell r="AP1094"/>
          <cell r="AQ1094"/>
          <cell r="AR1094"/>
          <cell r="AS1094">
            <v>63</v>
          </cell>
          <cell r="AT1094"/>
          <cell r="AU1094" t="str">
            <v/>
          </cell>
          <cell r="AV1094"/>
        </row>
        <row r="1095">
          <cell r="Z1095" t="str">
            <v>605-962-SLK2</v>
          </cell>
          <cell r="AA1095" t="str">
            <v xml:space="preserve">Sleeve 0 for PDM 9-5/8"
Set on : </v>
          </cell>
          <cell r="AB1095">
            <v>38</v>
          </cell>
          <cell r="AC1095">
            <v>0</v>
          </cell>
          <cell r="AD1095"/>
          <cell r="AE1095" t="str">
            <v xml:space="preserve">for PDM </v>
          </cell>
          <cell r="AF1095" t="str">
            <v xml:space="preserve">on </v>
          </cell>
          <cell r="AG1095"/>
          <cell r="AH1095" t="str">
            <v xml:space="preserve"> en stock </v>
          </cell>
          <cell r="AI1095">
            <v>1</v>
          </cell>
          <cell r="AJ1095">
            <v>0</v>
          </cell>
          <cell r="AK1095">
            <v>0</v>
          </cell>
          <cell r="AL1095"/>
          <cell r="AM1095"/>
          <cell r="AN1095" t="str">
            <v/>
          </cell>
          <cell r="AO1095"/>
          <cell r="AP1095"/>
          <cell r="AQ1095"/>
          <cell r="AR1095"/>
          <cell r="AS1095">
            <v>62</v>
          </cell>
          <cell r="AT1095"/>
          <cell r="AU1095" t="str">
            <v/>
          </cell>
          <cell r="AV1095"/>
        </row>
        <row r="1096">
          <cell r="Z1096" t="str">
            <v>605-962-SLK3</v>
          </cell>
          <cell r="AA1096" t="str">
            <v xml:space="preserve">Sleeve 0 for PDM 9-5/8"
Set on : </v>
          </cell>
          <cell r="AB1096">
            <v>38</v>
          </cell>
          <cell r="AC1096">
            <v>0</v>
          </cell>
          <cell r="AD1096"/>
          <cell r="AE1096" t="str">
            <v xml:space="preserve">for PDM </v>
          </cell>
          <cell r="AF1096" t="str">
            <v xml:space="preserve">on </v>
          </cell>
          <cell r="AG1096"/>
          <cell r="AH1096" t="str">
            <v xml:space="preserve"> en stock </v>
          </cell>
          <cell r="AI1096">
            <v>1</v>
          </cell>
          <cell r="AJ1096">
            <v>0</v>
          </cell>
          <cell r="AK1096">
            <v>0</v>
          </cell>
          <cell r="AL1096"/>
          <cell r="AM1096"/>
          <cell r="AN1096" t="str">
            <v/>
          </cell>
          <cell r="AO1096"/>
          <cell r="AP1096"/>
          <cell r="AQ1096"/>
          <cell r="AR1096"/>
          <cell r="AS1096">
            <v>61</v>
          </cell>
          <cell r="AT1096"/>
          <cell r="AU1096" t="str">
            <v/>
          </cell>
          <cell r="AV1096"/>
        </row>
        <row r="1097">
          <cell r="Z1097" t="str">
            <v>605-962-SLK4</v>
          </cell>
          <cell r="AA1097"/>
          <cell r="AB1097"/>
          <cell r="AC1097"/>
          <cell r="AD1097"/>
          <cell r="AE1097"/>
          <cell r="AF1097"/>
          <cell r="AG1097"/>
          <cell r="AH1097" t="str">
            <v>en stock</v>
          </cell>
          <cell r="AI1097"/>
          <cell r="AJ1097"/>
          <cell r="AK1097"/>
          <cell r="AL1097"/>
          <cell r="AM1097"/>
          <cell r="AN1097" t="str">
            <v/>
          </cell>
          <cell r="AO1097"/>
          <cell r="AP1097"/>
          <cell r="AQ1097"/>
          <cell r="AR1097"/>
          <cell r="AS1097"/>
          <cell r="AT1097"/>
          <cell r="AU1097" t="str">
            <v/>
          </cell>
          <cell r="AV1097"/>
        </row>
        <row r="1098">
          <cell r="Z1098" t="str">
            <v>605-850-SLK5</v>
          </cell>
          <cell r="AA1098" t="str">
            <v>Sleeve 0 for PDM 8-1/2"</v>
          </cell>
          <cell r="AB1098">
            <v>28</v>
          </cell>
          <cell r="AC1098">
            <v>0</v>
          </cell>
          <cell r="AD1098"/>
          <cell r="AE1098" t="str">
            <v xml:space="preserve">for PDM </v>
          </cell>
          <cell r="AF1098" t="str">
            <v xml:space="preserve">on </v>
          </cell>
          <cell r="AG1098"/>
          <cell r="AH1098" t="str">
            <v xml:space="preserve"> en stock </v>
          </cell>
          <cell r="AI1098">
            <v>1</v>
          </cell>
          <cell r="AJ1098">
            <v>0</v>
          </cell>
          <cell r="AK1098">
            <v>0</v>
          </cell>
          <cell r="AL1098"/>
          <cell r="AM1098"/>
          <cell r="AN1098" t="str">
            <v/>
          </cell>
          <cell r="AO1098"/>
          <cell r="AP1098"/>
          <cell r="AQ1098"/>
          <cell r="AR1098"/>
          <cell r="AS1098">
            <v>77</v>
          </cell>
          <cell r="AT1098"/>
          <cell r="AU1098" t="str">
            <v/>
          </cell>
          <cell r="AV1098"/>
        </row>
        <row r="1099">
          <cell r="Z1099" t="str">
            <v>605-850-SLK6</v>
          </cell>
          <cell r="AA1099" t="str">
            <v>Sleeve 0 for PDM 8-1/2"</v>
          </cell>
          <cell r="AB1099">
            <v>28</v>
          </cell>
          <cell r="AC1099">
            <v>0</v>
          </cell>
          <cell r="AD1099"/>
          <cell r="AE1099" t="str">
            <v xml:space="preserve">for PDM </v>
          </cell>
          <cell r="AF1099" t="str">
            <v xml:space="preserve">on </v>
          </cell>
          <cell r="AG1099"/>
          <cell r="AH1099" t="str">
            <v xml:space="preserve"> en stock </v>
          </cell>
          <cell r="AI1099">
            <v>1</v>
          </cell>
          <cell r="AJ1099">
            <v>0</v>
          </cell>
          <cell r="AK1099">
            <v>0</v>
          </cell>
          <cell r="AL1099"/>
          <cell r="AM1099"/>
          <cell r="AN1099" t="str">
            <v/>
          </cell>
          <cell r="AO1099"/>
          <cell r="AP1099"/>
          <cell r="AQ1099"/>
          <cell r="AR1099"/>
          <cell r="AS1099">
            <v>78</v>
          </cell>
          <cell r="AT1099"/>
          <cell r="AU1099" t="str">
            <v/>
          </cell>
          <cell r="AV1099"/>
        </row>
        <row r="1100">
          <cell r="Z1100" t="str">
            <v>605-850-SLK7</v>
          </cell>
          <cell r="AA1100" t="str">
            <v>Sleeve 0 for PDM 8-1/2"</v>
          </cell>
          <cell r="AB1100">
            <v>28</v>
          </cell>
          <cell r="AC1100">
            <v>0</v>
          </cell>
          <cell r="AD1100"/>
          <cell r="AE1100" t="str">
            <v xml:space="preserve">for PDM </v>
          </cell>
          <cell r="AF1100" t="str">
            <v xml:space="preserve">on </v>
          </cell>
          <cell r="AG1100"/>
          <cell r="AH1100" t="str">
            <v xml:space="preserve"> en stock </v>
          </cell>
          <cell r="AI1100">
            <v>1</v>
          </cell>
          <cell r="AJ1100">
            <v>0</v>
          </cell>
          <cell r="AK1100">
            <v>0</v>
          </cell>
          <cell r="AL1100"/>
          <cell r="AM1100"/>
          <cell r="AN1100" t="str">
            <v/>
          </cell>
          <cell r="AO1100"/>
          <cell r="AP1100"/>
          <cell r="AQ1100"/>
          <cell r="AR1100"/>
          <cell r="AS1100">
            <v>79</v>
          </cell>
          <cell r="AT1100"/>
          <cell r="AU1100" t="str">
            <v/>
          </cell>
          <cell r="AV1100"/>
        </row>
        <row r="1101">
          <cell r="Z1101" t="str">
            <v>605-675-SLK8</v>
          </cell>
          <cell r="AA1101" t="str">
            <v>Sleeve 0 for PDM 6-3/4"</v>
          </cell>
          <cell r="AB1101">
            <v>0</v>
          </cell>
          <cell r="AC1101">
            <v>0</v>
          </cell>
          <cell r="AD1101"/>
          <cell r="AE1101" t="str">
            <v xml:space="preserve">for PDM </v>
          </cell>
          <cell r="AF1101" t="str">
            <v xml:space="preserve">on </v>
          </cell>
          <cell r="AG1101"/>
          <cell r="AH1101" t="str">
            <v>maintenance</v>
          </cell>
          <cell r="AI1101" t="str">
            <v/>
          </cell>
          <cell r="AJ1101">
            <v>0</v>
          </cell>
          <cell r="AK1101">
            <v>1</v>
          </cell>
          <cell r="AL1101"/>
          <cell r="AM1101"/>
          <cell r="AN1101" t="str">
            <v/>
          </cell>
          <cell r="AO1101"/>
          <cell r="AP1101"/>
          <cell r="AQ1101"/>
          <cell r="AR1101"/>
          <cell r="AS1101">
            <v>94</v>
          </cell>
          <cell r="AT1101"/>
          <cell r="AU1101" t="str">
            <v/>
          </cell>
          <cell r="AV1101"/>
        </row>
        <row r="1102">
          <cell r="Z1102" t="str">
            <v>605-675-SLK9</v>
          </cell>
          <cell r="AA1102" t="str">
            <v>Sleeve 0 for PDM 6-3/4"</v>
          </cell>
          <cell r="AB1102">
            <v>0</v>
          </cell>
          <cell r="AC1102">
            <v>0</v>
          </cell>
          <cell r="AD1102"/>
          <cell r="AE1102" t="str">
            <v xml:space="preserve">for PDM </v>
          </cell>
          <cell r="AF1102" t="str">
            <v xml:space="preserve">on </v>
          </cell>
          <cell r="AG1102"/>
          <cell r="AH1102" t="str">
            <v>maintenance</v>
          </cell>
          <cell r="AI1102" t="str">
            <v/>
          </cell>
          <cell r="AJ1102">
            <v>0</v>
          </cell>
          <cell r="AK1102">
            <v>1</v>
          </cell>
          <cell r="AL1102"/>
          <cell r="AM1102"/>
          <cell r="AN1102" t="str">
            <v/>
          </cell>
          <cell r="AO1102"/>
          <cell r="AP1102"/>
          <cell r="AQ1102"/>
          <cell r="AR1102"/>
          <cell r="AS1102">
            <v>95</v>
          </cell>
          <cell r="AT1102"/>
          <cell r="AU1102" t="str">
            <v/>
          </cell>
          <cell r="AV1102"/>
        </row>
        <row r="1103">
          <cell r="Z1103" t="str">
            <v>605-475-SLK10</v>
          </cell>
          <cell r="AA1103" t="str">
            <v>Sleeve 0 for PDM 4-3/4"</v>
          </cell>
          <cell r="AB1103">
            <v>6</v>
          </cell>
          <cell r="AC1103">
            <v>0</v>
          </cell>
          <cell r="AD1103"/>
          <cell r="AE1103" t="str">
            <v xml:space="preserve">for PDM </v>
          </cell>
          <cell r="AF1103" t="str">
            <v xml:space="preserve">on </v>
          </cell>
          <cell r="AG1103"/>
          <cell r="AH1103" t="str">
            <v>maintenance</v>
          </cell>
          <cell r="AI1103" t="str">
            <v/>
          </cell>
          <cell r="AJ1103">
            <v>0</v>
          </cell>
          <cell r="AK1103">
            <v>1</v>
          </cell>
          <cell r="AL1103"/>
          <cell r="AM1103"/>
          <cell r="AN1103" t="str">
            <v/>
          </cell>
          <cell r="AO1103"/>
          <cell r="AP1103"/>
          <cell r="AQ1103"/>
          <cell r="AR1103"/>
          <cell r="AS1103">
            <v>105</v>
          </cell>
          <cell r="AT1103"/>
          <cell r="AU1103" t="str">
            <v/>
          </cell>
          <cell r="AV1103"/>
        </row>
        <row r="1104">
          <cell r="Z1104" t="str">
            <v>605-962-SLK11</v>
          </cell>
          <cell r="AA1104" t="str">
            <v xml:space="preserve">Sleeve 0 for PDM 9-5/8"
Set on : </v>
          </cell>
          <cell r="AB1104">
            <v>38</v>
          </cell>
          <cell r="AC1104">
            <v>0</v>
          </cell>
          <cell r="AD1104"/>
          <cell r="AE1104" t="str">
            <v xml:space="preserve">for PDM </v>
          </cell>
          <cell r="AF1104" t="str">
            <v xml:space="preserve">on </v>
          </cell>
          <cell r="AG1104"/>
          <cell r="AH1104" t="str">
            <v xml:space="preserve"> en stock </v>
          </cell>
          <cell r="AI1104">
            <v>1</v>
          </cell>
          <cell r="AJ1104">
            <v>0</v>
          </cell>
          <cell r="AK1104">
            <v>0</v>
          </cell>
          <cell r="AL1104"/>
          <cell r="AM1104"/>
          <cell r="AN1104" t="str">
            <v/>
          </cell>
          <cell r="AO1104"/>
          <cell r="AP1104"/>
          <cell r="AQ1104"/>
          <cell r="AR1104"/>
          <cell r="AS1104">
            <v>60</v>
          </cell>
          <cell r="AT1104"/>
          <cell r="AU1104" t="str">
            <v/>
          </cell>
          <cell r="AV1104"/>
        </row>
        <row r="1105">
          <cell r="Z1105" t="str">
            <v>605-962-SLK12</v>
          </cell>
          <cell r="AA1105" t="str">
            <v xml:space="preserve">Sleeve 0 for PDM 9-5/8"
Set on : </v>
          </cell>
          <cell r="AB1105">
            <v>38</v>
          </cell>
          <cell r="AC1105">
            <v>0</v>
          </cell>
          <cell r="AD1105"/>
          <cell r="AE1105" t="str">
            <v xml:space="preserve">for PDM </v>
          </cell>
          <cell r="AF1105" t="str">
            <v xml:space="preserve">on </v>
          </cell>
          <cell r="AG1105"/>
          <cell r="AH1105" t="str">
            <v xml:space="preserve"> en stock </v>
          </cell>
          <cell r="AI1105">
            <v>1</v>
          </cell>
          <cell r="AJ1105">
            <v>0</v>
          </cell>
          <cell r="AK1105">
            <v>0</v>
          </cell>
          <cell r="AL1105"/>
          <cell r="AM1105"/>
          <cell r="AN1105" t="str">
            <v/>
          </cell>
          <cell r="AO1105"/>
          <cell r="AP1105"/>
          <cell r="AQ1105"/>
          <cell r="AR1105"/>
          <cell r="AS1105">
            <v>59</v>
          </cell>
          <cell r="AT1105"/>
          <cell r="AU1105" t="str">
            <v/>
          </cell>
          <cell r="AV1105"/>
        </row>
        <row r="1106">
          <cell r="Z1106" t="str">
            <v>605-475-SLK13</v>
          </cell>
          <cell r="AA1106" t="str">
            <v>Sleeve 0 for PDM 4-3/4"</v>
          </cell>
          <cell r="AB1106">
            <v>6</v>
          </cell>
          <cell r="AC1106">
            <v>0</v>
          </cell>
          <cell r="AD1106"/>
          <cell r="AE1106" t="str">
            <v xml:space="preserve">for PDM </v>
          </cell>
          <cell r="AF1106" t="str">
            <v xml:space="preserve">on </v>
          </cell>
          <cell r="AG1106"/>
          <cell r="AH1106" t="str">
            <v>maintenance</v>
          </cell>
          <cell r="AI1106" t="str">
            <v/>
          </cell>
          <cell r="AJ1106">
            <v>0</v>
          </cell>
          <cell r="AK1106">
            <v>1</v>
          </cell>
          <cell r="AL1106"/>
          <cell r="AM1106"/>
          <cell r="AN1106" t="str">
            <v/>
          </cell>
          <cell r="AO1106"/>
          <cell r="AP1106"/>
          <cell r="AQ1106"/>
          <cell r="AR1106"/>
          <cell r="AS1106">
            <v>106</v>
          </cell>
          <cell r="AT1106"/>
          <cell r="AU1106" t="str">
            <v/>
          </cell>
          <cell r="AV1106"/>
        </row>
        <row r="1107">
          <cell r="Z1107">
            <v>8080727</v>
          </cell>
          <cell r="AA1107" t="str">
            <v>Float Sub 9-1/2" Lg 1120 mm
7-5/8" REG Pin x 6-5/8" REG Box BF (5F-6R)</v>
          </cell>
          <cell r="AB1107">
            <v>290</v>
          </cell>
          <cell r="AC1107">
            <v>9.5</v>
          </cell>
          <cell r="AD1107">
            <v>1120</v>
          </cell>
          <cell r="AE1107" t="str">
            <v>6-5/8" REG Box BF</v>
          </cell>
          <cell r="AF1107" t="str">
            <v>7-5/8" REG Pin</v>
          </cell>
          <cell r="AG1107" t="str">
            <v>5F-6R</v>
          </cell>
          <cell r="AH1107" t="str">
            <v>maintenance</v>
          </cell>
          <cell r="AI1107" t="str">
            <v/>
          </cell>
          <cell r="AJ1107">
            <v>0</v>
          </cell>
          <cell r="AK1107">
            <v>1</v>
          </cell>
          <cell r="AL1107"/>
          <cell r="AM1107"/>
          <cell r="AN1107">
            <v>8080727</v>
          </cell>
          <cell r="AO1107"/>
          <cell r="AP1107"/>
          <cell r="AQ1107"/>
          <cell r="AR1107"/>
          <cell r="AS1107">
            <v>38</v>
          </cell>
          <cell r="AT1107"/>
          <cell r="AU1107" t="str">
            <v>FR</v>
          </cell>
          <cell r="AV1107"/>
        </row>
        <row r="1108">
          <cell r="Z1108">
            <v>8080728</v>
          </cell>
          <cell r="AA1108" t="str">
            <v>Float Sub 9-1/2" Lg 1090 mm
7-5/8" REG Pin x 6-5/8" REG Box BF (5F-6R)</v>
          </cell>
          <cell r="AB1108">
            <v>282</v>
          </cell>
          <cell r="AC1108">
            <v>9.5</v>
          </cell>
          <cell r="AD1108">
            <v>1090</v>
          </cell>
          <cell r="AE1108" t="str">
            <v>6-5/8" REG Box BF</v>
          </cell>
          <cell r="AF1108" t="str">
            <v>7-5/8" REG Pin</v>
          </cell>
          <cell r="AG1108" t="str">
            <v>5F-6R</v>
          </cell>
          <cell r="AH1108" t="str">
            <v xml:space="preserve"> en stock </v>
          </cell>
          <cell r="AI1108">
            <v>1</v>
          </cell>
          <cell r="AJ1108">
            <v>0</v>
          </cell>
          <cell r="AK1108">
            <v>0</v>
          </cell>
          <cell r="AL1108"/>
          <cell r="AM1108"/>
          <cell r="AN1108">
            <v>8080728</v>
          </cell>
          <cell r="AO1108"/>
          <cell r="AP1108"/>
          <cell r="AQ1108"/>
          <cell r="AR1108"/>
          <cell r="AS1108">
            <v>39</v>
          </cell>
          <cell r="AT1108"/>
          <cell r="AU1108" t="str">
            <v>FR</v>
          </cell>
          <cell r="AV1108"/>
        </row>
        <row r="1109">
          <cell r="Z1109">
            <v>8130729</v>
          </cell>
          <cell r="AA1109" t="str">
            <v>XO
9-3/8" FS Pin x 8-5/8" FJWP Box</v>
          </cell>
          <cell r="AB1109">
            <v>40.885756938000029</v>
          </cell>
          <cell r="AC1109">
            <v>9.375</v>
          </cell>
          <cell r="AD1109">
            <v>400</v>
          </cell>
          <cell r="AE1109" t="str">
            <v>9-3/8" FS Pin</v>
          </cell>
          <cell r="AF1109" t="str">
            <v>8-5/8" FJWP Box</v>
          </cell>
          <cell r="AG1109"/>
          <cell r="AH1109" t="str">
            <v>maintenance</v>
          </cell>
          <cell r="AI1109" t="str">
            <v/>
          </cell>
          <cell r="AJ1109">
            <v>0</v>
          </cell>
          <cell r="AK1109">
            <v>1</v>
          </cell>
          <cell r="AL1109"/>
          <cell r="AM1109"/>
          <cell r="AN1109">
            <v>8130729</v>
          </cell>
          <cell r="AO1109"/>
          <cell r="AP1109"/>
          <cell r="AQ1109"/>
          <cell r="AR1109"/>
          <cell r="AS1109">
            <v>240</v>
          </cell>
          <cell r="AT1109"/>
          <cell r="AU1109" t="str">
            <v>FR</v>
          </cell>
          <cell r="AV1109"/>
        </row>
        <row r="1110">
          <cell r="Z1110">
            <v>8130730</v>
          </cell>
          <cell r="AA1110" t="str">
            <v>XO
8-1/8" SH Pin x 7-5/8" FJWP Box</v>
          </cell>
          <cell r="AB1110">
            <v>39.256252132500016</v>
          </cell>
          <cell r="AC1110">
            <v>8.125</v>
          </cell>
          <cell r="AD1110">
            <v>530</v>
          </cell>
          <cell r="AE1110" t="str">
            <v>8-1/8" SH Pin</v>
          </cell>
          <cell r="AF1110" t="str">
            <v>7-5/8" FJWP Box</v>
          </cell>
          <cell r="AG1110"/>
          <cell r="AH1110" t="str">
            <v xml:space="preserve"> en stock </v>
          </cell>
          <cell r="AI1110">
            <v>1</v>
          </cell>
          <cell r="AJ1110">
            <v>0</v>
          </cell>
          <cell r="AK1110">
            <v>0</v>
          </cell>
          <cell r="AL1110"/>
          <cell r="AM1110"/>
          <cell r="AN1110">
            <v>8130730</v>
          </cell>
          <cell r="AO1110"/>
          <cell r="AP1110"/>
          <cell r="AQ1110"/>
          <cell r="AR1110"/>
          <cell r="AS1110">
            <v>239</v>
          </cell>
          <cell r="AT1110"/>
          <cell r="AU1110" t="str">
            <v>FR</v>
          </cell>
          <cell r="AV1110"/>
        </row>
        <row r="1111">
          <cell r="Z1111">
            <v>8110731</v>
          </cell>
          <cell r="AA1111"/>
          <cell r="AB1111"/>
          <cell r="AC1111"/>
          <cell r="AD1111"/>
          <cell r="AE1111"/>
          <cell r="AF1111"/>
          <cell r="AG1111"/>
          <cell r="AH1111" t="str">
            <v>en stock</v>
          </cell>
          <cell r="AI1111"/>
          <cell r="AJ1111"/>
          <cell r="AK1111"/>
          <cell r="AL1111"/>
          <cell r="AM1111"/>
          <cell r="AN1111" t="str">
            <v/>
          </cell>
          <cell r="AO1111"/>
          <cell r="AP1111"/>
          <cell r="AQ1111"/>
          <cell r="AR1111"/>
          <cell r="AS1111"/>
          <cell r="AT1111"/>
          <cell r="AU1111" t="str">
            <v>FR</v>
          </cell>
          <cell r="AV1111"/>
        </row>
        <row r="1112">
          <cell r="Z1112">
            <v>8110732</v>
          </cell>
          <cell r="AA1112" t="str">
            <v>String Stab
4-1/2" IF Pin x 4-1/2" IF Box</v>
          </cell>
          <cell r="AB1112">
            <v>244</v>
          </cell>
          <cell r="AC1112">
            <v>9.0625</v>
          </cell>
          <cell r="AD1112">
            <v>1590</v>
          </cell>
          <cell r="AE1112" t="str">
            <v>4-1/2" IF Box</v>
          </cell>
          <cell r="AF1112" t="str">
            <v>4-1/2" IF Pin</v>
          </cell>
          <cell r="AG1112" t="str">
            <v>Carbure</v>
          </cell>
          <cell r="AH1112" t="str">
            <v xml:space="preserve"> en stock </v>
          </cell>
          <cell r="AI1112">
            <v>1</v>
          </cell>
          <cell r="AJ1112">
            <v>0</v>
          </cell>
          <cell r="AK1112">
            <v>0</v>
          </cell>
          <cell r="AL1112"/>
          <cell r="AM1112"/>
          <cell r="AN1112">
            <v>8110732</v>
          </cell>
          <cell r="AO1112"/>
          <cell r="AP1112"/>
          <cell r="AQ1112"/>
          <cell r="AR1112"/>
          <cell r="AS1112">
            <v>46</v>
          </cell>
          <cell r="AT1112"/>
          <cell r="AU1112" t="str">
            <v>FR</v>
          </cell>
          <cell r="AV1112"/>
        </row>
        <row r="1113">
          <cell r="Z1113">
            <v>8130733</v>
          </cell>
          <cell r="AA1113" t="str">
            <v>XO
6-5/8" REG Pin x 4-1/2" IF Box</v>
          </cell>
          <cell r="AB1113">
            <v>132</v>
          </cell>
          <cell r="AC1113">
            <v>8</v>
          </cell>
          <cell r="AD1113">
            <v>680</v>
          </cell>
          <cell r="AE1113" t="str">
            <v>6-5/8" REG Pin</v>
          </cell>
          <cell r="AF1113" t="str">
            <v>4-1/2" IF Box</v>
          </cell>
          <cell r="AG1113"/>
          <cell r="AH1113" t="str">
            <v>maintenance</v>
          </cell>
          <cell r="AI1113" t="str">
            <v/>
          </cell>
          <cell r="AJ1113">
            <v>0</v>
          </cell>
          <cell r="AK1113">
            <v>1</v>
          </cell>
          <cell r="AL1113"/>
          <cell r="AM1113"/>
          <cell r="AN1113">
            <v>8130733</v>
          </cell>
          <cell r="AO1113"/>
          <cell r="AP1113"/>
          <cell r="AQ1113"/>
          <cell r="AR1113"/>
          <cell r="AS1113">
            <v>209</v>
          </cell>
          <cell r="AT1113"/>
          <cell r="AU1113" t="str">
            <v>FR</v>
          </cell>
          <cell r="AV1113"/>
        </row>
        <row r="1114">
          <cell r="Z1114">
            <v>7040734</v>
          </cell>
          <cell r="AA1114" t="str">
            <v>11-3/4" FS Overshot - CA C-5329
6-5/8" REG Box</v>
          </cell>
          <cell r="AB1114">
            <v>0</v>
          </cell>
          <cell r="AC1114" t="str">
            <v>11-3/4" FS</v>
          </cell>
          <cell r="AD1114">
            <v>0</v>
          </cell>
          <cell r="AE1114" t="str">
            <v>6-5/8" REG Box</v>
          </cell>
          <cell r="AF1114"/>
          <cell r="AG1114"/>
          <cell r="AH1114" t="str">
            <v>sur chantier</v>
          </cell>
          <cell r="AI1114" t="str">
            <v/>
          </cell>
          <cell r="AJ1114">
            <v>1</v>
          </cell>
          <cell r="AK1114">
            <v>0</v>
          </cell>
          <cell r="AL1114"/>
          <cell r="AM1114"/>
          <cell r="AN1114">
            <v>7040734</v>
          </cell>
          <cell r="AO1114"/>
          <cell r="AP1114"/>
          <cell r="AQ1114"/>
          <cell r="AR1114"/>
          <cell r="AS1114">
            <v>92</v>
          </cell>
          <cell r="AT1114" t="str">
            <v>704-5329</v>
          </cell>
          <cell r="AU1114" t="str">
            <v/>
          </cell>
          <cell r="AV1114"/>
        </row>
        <row r="1115">
          <cell r="Z1115">
            <v>7050735</v>
          </cell>
          <cell r="AA1115" t="str">
            <v>Extension 11-3/4" FS Lg 920mm CA 5329
11-3/4" FS Sellers Pin x Box</v>
          </cell>
          <cell r="AB1115">
            <v>124.57379067046867</v>
          </cell>
          <cell r="AC1115" t="str">
            <v>11-3/4" FS</v>
          </cell>
          <cell r="AD1115">
            <v>920</v>
          </cell>
          <cell r="AE1115" t="str">
            <v>11-3/4" FS Sellers Box</v>
          </cell>
          <cell r="AF1115" t="str">
            <v>11-3/4" FS Sellers Pin</v>
          </cell>
          <cell r="AG1115">
            <v>5329</v>
          </cell>
          <cell r="AH1115" t="str">
            <v>sur chantier</v>
          </cell>
          <cell r="AI1115" t="str">
            <v/>
          </cell>
          <cell r="AJ1115">
            <v>1</v>
          </cell>
          <cell r="AK1115">
            <v>0</v>
          </cell>
          <cell r="AL1115"/>
          <cell r="AM1115"/>
          <cell r="AN1115">
            <v>7050735</v>
          </cell>
          <cell r="AO1115"/>
          <cell r="AP1115"/>
          <cell r="AQ1115"/>
          <cell r="AR1115"/>
          <cell r="AS1115">
            <v>74</v>
          </cell>
          <cell r="AT1115" t="str">
            <v>705-5329</v>
          </cell>
          <cell r="AU1115" t="str">
            <v/>
          </cell>
          <cell r="AV1115"/>
        </row>
        <row r="1116">
          <cell r="Z1116">
            <v>8130736</v>
          </cell>
          <cell r="AA1116" t="str">
            <v>XO
4-1/2" REG Pin x 6-5/8" REG Box</v>
          </cell>
          <cell r="AB1116">
            <v>42</v>
          </cell>
          <cell r="AC1116">
            <v>7.5</v>
          </cell>
          <cell r="AD1116">
            <v>300</v>
          </cell>
          <cell r="AE1116" t="str">
            <v>4-1/2" REG Pin</v>
          </cell>
          <cell r="AF1116" t="str">
            <v>6-5/8" REG Box</v>
          </cell>
          <cell r="AG1116"/>
          <cell r="AH1116" t="str">
            <v>sur chantier</v>
          </cell>
          <cell r="AI1116" t="str">
            <v/>
          </cell>
          <cell r="AJ1116">
            <v>1</v>
          </cell>
          <cell r="AK1116">
            <v>0</v>
          </cell>
          <cell r="AL1116"/>
          <cell r="AM1116"/>
          <cell r="AN1116">
            <v>8130736</v>
          </cell>
          <cell r="AO1116"/>
          <cell r="AP1116"/>
          <cell r="AQ1116"/>
          <cell r="AR1116"/>
          <cell r="AS1116">
            <v>262</v>
          </cell>
          <cell r="AT1116"/>
          <cell r="AU1116" t="str">
            <v>FR</v>
          </cell>
          <cell r="AV1116"/>
        </row>
        <row r="1117">
          <cell r="Z1117">
            <v>8080737</v>
          </cell>
          <cell r="AA1117" t="str">
            <v>Float Sub 9-3/8" Lg 795 mm
7-5/8" REG Pin x 7-5/8" REG Box BF (5F-6R)</v>
          </cell>
          <cell r="AB1117">
            <v>228</v>
          </cell>
          <cell r="AC1117">
            <v>9.375</v>
          </cell>
          <cell r="AD1117">
            <v>795</v>
          </cell>
          <cell r="AE1117" t="str">
            <v>7-5/8" REG Box BF</v>
          </cell>
          <cell r="AF1117" t="str">
            <v>7-5/8" REG Pin</v>
          </cell>
          <cell r="AG1117" t="str">
            <v>5F-6R</v>
          </cell>
          <cell r="AH1117" t="str">
            <v>maintenance</v>
          </cell>
          <cell r="AI1117" t="str">
            <v/>
          </cell>
          <cell r="AJ1117">
            <v>0</v>
          </cell>
          <cell r="AK1117">
            <v>1</v>
          </cell>
          <cell r="AL1117"/>
          <cell r="AM1117"/>
          <cell r="AN1117">
            <v>8080737</v>
          </cell>
          <cell r="AO1117"/>
          <cell r="AP1117"/>
          <cell r="AQ1117"/>
          <cell r="AR1117"/>
          <cell r="AS1117">
            <v>44</v>
          </cell>
          <cell r="AT1117"/>
          <cell r="AU1117" t="str">
            <v>FR</v>
          </cell>
          <cell r="AV1117"/>
        </row>
        <row r="1118">
          <cell r="Z1118" t="str">
            <v>605-850-007</v>
          </cell>
          <cell r="AA1118" t="str">
            <v>Sleeve 0 for PDM 8-1/2"</v>
          </cell>
          <cell r="AB1118">
            <v>36</v>
          </cell>
          <cell r="AC1118">
            <v>0</v>
          </cell>
          <cell r="AD1118"/>
          <cell r="AE1118" t="str">
            <v xml:space="preserve">for PDM </v>
          </cell>
          <cell r="AF1118" t="str">
            <v xml:space="preserve">on </v>
          </cell>
          <cell r="AG1118"/>
          <cell r="AH1118" t="str">
            <v>maintenance</v>
          </cell>
          <cell r="AI1118" t="str">
            <v/>
          </cell>
          <cell r="AJ1118">
            <v>0</v>
          </cell>
          <cell r="AK1118">
            <v>1</v>
          </cell>
          <cell r="AL1118"/>
          <cell r="AM1118"/>
          <cell r="AN1118" t="str">
            <v>605-850-007</v>
          </cell>
          <cell r="AO1118"/>
          <cell r="AP1118"/>
          <cell r="AQ1118"/>
          <cell r="AR1118"/>
          <cell r="AS1118">
            <v>76</v>
          </cell>
          <cell r="AT1118"/>
          <cell r="AU1118" t="str">
            <v>FR</v>
          </cell>
          <cell r="AV1118"/>
        </row>
        <row r="1119">
          <cell r="Z1119" t="str">
            <v>605-850-008</v>
          </cell>
          <cell r="AA1119" t="str">
            <v>Sleeve 0 for PDM 8-1/2"</v>
          </cell>
          <cell r="AB1119">
            <v>36</v>
          </cell>
          <cell r="AC1119">
            <v>0</v>
          </cell>
          <cell r="AD1119"/>
          <cell r="AE1119" t="str">
            <v xml:space="preserve">for PDM </v>
          </cell>
          <cell r="AF1119" t="str">
            <v xml:space="preserve">on </v>
          </cell>
          <cell r="AG1119"/>
          <cell r="AH1119" t="str">
            <v>sur chantier</v>
          </cell>
          <cell r="AI1119" t="str">
            <v/>
          </cell>
          <cell r="AJ1119">
            <v>1</v>
          </cell>
          <cell r="AK1119">
            <v>0</v>
          </cell>
          <cell r="AL1119"/>
          <cell r="AM1119"/>
          <cell r="AN1119" t="str">
            <v>605-850-008</v>
          </cell>
          <cell r="AO1119"/>
          <cell r="AP1119"/>
          <cell r="AQ1119"/>
          <cell r="AR1119"/>
          <cell r="AS1119">
            <v>75</v>
          </cell>
          <cell r="AT1119"/>
          <cell r="AU1119" t="str">
            <v>FR</v>
          </cell>
          <cell r="AV1119"/>
        </row>
        <row r="1120">
          <cell r="Z1120" t="str">
            <v>605-850-009</v>
          </cell>
          <cell r="AA1120" t="str">
            <v>Sleeve 0 for PDM 8-1/2"</v>
          </cell>
          <cell r="AB1120">
            <v>36</v>
          </cell>
          <cell r="AC1120">
            <v>0</v>
          </cell>
          <cell r="AD1120"/>
          <cell r="AE1120" t="str">
            <v xml:space="preserve">for PDM </v>
          </cell>
          <cell r="AF1120" t="str">
            <v xml:space="preserve">on </v>
          </cell>
          <cell r="AG1120"/>
          <cell r="AH1120" t="str">
            <v>maintenance</v>
          </cell>
          <cell r="AI1120" t="str">
            <v/>
          </cell>
          <cell r="AJ1120">
            <v>0</v>
          </cell>
          <cell r="AK1120">
            <v>1</v>
          </cell>
          <cell r="AL1120"/>
          <cell r="AM1120"/>
          <cell r="AN1120" t="str">
            <v>605-850-009</v>
          </cell>
          <cell r="AO1120"/>
          <cell r="AP1120"/>
          <cell r="AQ1120"/>
          <cell r="AR1120"/>
          <cell r="AS1120">
            <v>74</v>
          </cell>
          <cell r="AT1120"/>
          <cell r="AU1120" t="str">
            <v>FR</v>
          </cell>
          <cell r="AV1120"/>
        </row>
        <row r="1121">
          <cell r="Z1121" t="str">
            <v>605-850-010</v>
          </cell>
          <cell r="AA1121" t="str">
            <v>Sleeve 0 for PDM 8-1/2"</v>
          </cell>
          <cell r="AB1121">
            <v>36</v>
          </cell>
          <cell r="AC1121">
            <v>0</v>
          </cell>
          <cell r="AD1121"/>
          <cell r="AE1121" t="str">
            <v xml:space="preserve">for PDM </v>
          </cell>
          <cell r="AF1121" t="str">
            <v xml:space="preserve">on </v>
          </cell>
          <cell r="AG1121"/>
          <cell r="AH1121" t="str">
            <v>sur chantier</v>
          </cell>
          <cell r="AI1121" t="str">
            <v/>
          </cell>
          <cell r="AJ1121">
            <v>1</v>
          </cell>
          <cell r="AK1121">
            <v>0</v>
          </cell>
          <cell r="AL1121"/>
          <cell r="AM1121"/>
          <cell r="AN1121" t="str">
            <v>605-850-010</v>
          </cell>
          <cell r="AO1121"/>
          <cell r="AP1121"/>
          <cell r="AQ1121"/>
          <cell r="AR1121"/>
          <cell r="AS1121">
            <v>73</v>
          </cell>
          <cell r="AT1121"/>
          <cell r="AU1121" t="str">
            <v>FR</v>
          </cell>
          <cell r="AV1121"/>
        </row>
        <row r="1122">
          <cell r="Z1122">
            <v>4060738</v>
          </cell>
          <cell r="AA1122" t="str">
            <v>Shock Tool 9-1/2" OD
7-5/8" REG Pin x Box</v>
          </cell>
          <cell r="AB1122">
            <v>1100</v>
          </cell>
          <cell r="AC1122">
            <v>9.5</v>
          </cell>
          <cell r="AD1122">
            <v>3490</v>
          </cell>
          <cell r="AE1122" t="str">
            <v>7-5/8" REG Box</v>
          </cell>
          <cell r="AF1122" t="str">
            <v>7-5/8" REG Pin</v>
          </cell>
          <cell r="AG1122"/>
          <cell r="AH1122" t="str">
            <v>maintenance</v>
          </cell>
          <cell r="AI1122" t="str">
            <v/>
          </cell>
          <cell r="AJ1122">
            <v>0</v>
          </cell>
          <cell r="AK1122">
            <v>1</v>
          </cell>
          <cell r="AL1122"/>
          <cell r="AM1122"/>
          <cell r="AN1122">
            <v>4060738</v>
          </cell>
          <cell r="AO1122"/>
          <cell r="AP1122"/>
          <cell r="AQ1122"/>
          <cell r="AR1122"/>
          <cell r="AS1122">
            <v>5</v>
          </cell>
          <cell r="AT1122" t="str">
            <v>406-9,625</v>
          </cell>
          <cell r="AU1122" t="str">
            <v/>
          </cell>
          <cell r="AV1122"/>
        </row>
        <row r="1123">
          <cell r="Z1123">
            <v>7120739</v>
          </cell>
          <cell r="AA1123"/>
          <cell r="AB1123"/>
          <cell r="AC1123"/>
          <cell r="AD1123"/>
          <cell r="AE1123"/>
          <cell r="AF1123"/>
          <cell r="AG1123"/>
          <cell r="AH1123" t="str">
            <v>en stock</v>
          </cell>
          <cell r="AI1123"/>
          <cell r="AJ1123"/>
          <cell r="AK1123"/>
          <cell r="AL1123"/>
          <cell r="AM1123"/>
          <cell r="AN1123">
            <v>7120739</v>
          </cell>
          <cell r="AO1123"/>
          <cell r="AP1123"/>
          <cell r="AQ1123"/>
          <cell r="AR1123"/>
          <cell r="AS1123"/>
          <cell r="AT1123"/>
          <cell r="AU1123" t="str">
            <v/>
          </cell>
          <cell r="AV1123"/>
        </row>
        <row r="1124">
          <cell r="Z1124">
            <v>5020740</v>
          </cell>
          <cell r="AA1124" t="str">
            <v>Economill 
4-1/2" REG Pin</v>
          </cell>
          <cell r="AB1124">
            <v>0</v>
          </cell>
          <cell r="AC1124">
            <v>8.25</v>
          </cell>
          <cell r="AD1124">
            <v>210</v>
          </cell>
          <cell r="AE1124" t="str">
            <v>4-1/2" REG Pin</v>
          </cell>
          <cell r="AF1124"/>
          <cell r="AG1124">
            <v>0</v>
          </cell>
          <cell r="AH1124" t="str">
            <v>maintenance</v>
          </cell>
          <cell r="AI1124" t="str">
            <v/>
          </cell>
          <cell r="AJ1124">
            <v>0</v>
          </cell>
          <cell r="AK1124">
            <v>1</v>
          </cell>
          <cell r="AL1124"/>
          <cell r="AM1124"/>
          <cell r="AN1124" t="str">
            <v/>
          </cell>
          <cell r="AO1124"/>
          <cell r="AP1124"/>
          <cell r="AQ1124"/>
          <cell r="AR1124"/>
          <cell r="AS1124">
            <v>53</v>
          </cell>
          <cell r="AT1124"/>
          <cell r="AU1124" t="str">
            <v/>
          </cell>
          <cell r="AV1124"/>
        </row>
        <row r="1125">
          <cell r="Z1125">
            <v>7050741</v>
          </cell>
          <cell r="AA1125" t="str">
            <v>Extension 8-1/8" FS Lg 900mm CA C-5342
8-1/8" FS Sellers Pin x Box</v>
          </cell>
          <cell r="AB1125">
            <v>75.702534330515718</v>
          </cell>
          <cell r="AC1125" t="str">
            <v>8-1/8" FS</v>
          </cell>
          <cell r="AD1125">
            <v>900</v>
          </cell>
          <cell r="AE1125" t="str">
            <v>8-1/8" FS Sellers Box</v>
          </cell>
          <cell r="AF1125" t="str">
            <v>8-1/8" FS Sellers Pin</v>
          </cell>
          <cell r="AG1125" t="str">
            <v>C-5342</v>
          </cell>
          <cell r="AH1125" t="str">
            <v xml:space="preserve"> en stock </v>
          </cell>
          <cell r="AI1125">
            <v>1</v>
          </cell>
          <cell r="AJ1125">
            <v>0</v>
          </cell>
          <cell r="AK1125">
            <v>0</v>
          </cell>
          <cell r="AL1125"/>
          <cell r="AM1125"/>
          <cell r="AN1125" t="str">
            <v/>
          </cell>
          <cell r="AO1125"/>
          <cell r="AP1125"/>
          <cell r="AQ1125"/>
          <cell r="AR1125"/>
          <cell r="AS1125">
            <v>48</v>
          </cell>
          <cell r="AT1125" t="str">
            <v>705-5342</v>
          </cell>
          <cell r="AU1125" t="str">
            <v>FR</v>
          </cell>
          <cell r="AV1125"/>
        </row>
        <row r="1126">
          <cell r="Z1126">
            <v>8130742</v>
          </cell>
          <cell r="AA1126"/>
          <cell r="AB1126"/>
          <cell r="AC1126"/>
          <cell r="AD1126"/>
          <cell r="AE1126"/>
          <cell r="AF1126"/>
          <cell r="AG1126"/>
          <cell r="AH1126" t="str">
            <v>en stock</v>
          </cell>
          <cell r="AI1126"/>
          <cell r="AJ1126"/>
          <cell r="AK1126"/>
          <cell r="AL1126"/>
          <cell r="AM1126"/>
          <cell r="AN1126" t="str">
            <v/>
          </cell>
          <cell r="AO1126"/>
          <cell r="AP1126"/>
          <cell r="AQ1126"/>
          <cell r="AR1126"/>
          <cell r="AS1126"/>
          <cell r="AT1126"/>
          <cell r="AU1126" t="str">
            <v>FR</v>
          </cell>
          <cell r="AV1126"/>
        </row>
        <row r="1127">
          <cell r="Z1127">
            <v>8130743</v>
          </cell>
          <cell r="AA1127"/>
          <cell r="AB1127"/>
          <cell r="AC1127"/>
          <cell r="AD1127"/>
          <cell r="AE1127"/>
          <cell r="AF1127"/>
          <cell r="AG1127"/>
          <cell r="AH1127" t="str">
            <v>en stock</v>
          </cell>
          <cell r="AI1127"/>
          <cell r="AJ1127"/>
          <cell r="AK1127"/>
          <cell r="AL1127"/>
          <cell r="AM1127"/>
          <cell r="AN1127" t="str">
            <v/>
          </cell>
          <cell r="AO1127"/>
          <cell r="AP1127"/>
          <cell r="AQ1127"/>
          <cell r="AR1127"/>
          <cell r="AS1127"/>
          <cell r="AT1127"/>
          <cell r="AU1127" t="str">
            <v>FR</v>
          </cell>
          <cell r="AV1127"/>
        </row>
        <row r="1128">
          <cell r="Z1128">
            <v>5040744</v>
          </cell>
          <cell r="AA1128" t="str">
            <v>Viper Pilot Mill
3-1/2" REG Box x 0</v>
          </cell>
          <cell r="AB1128">
            <v>0</v>
          </cell>
          <cell r="AC1128">
            <v>6</v>
          </cell>
          <cell r="AD1128">
            <v>0</v>
          </cell>
          <cell r="AE1128" t="str">
            <v>3-1/2" REG Box</v>
          </cell>
          <cell r="AF1128">
            <v>0</v>
          </cell>
          <cell r="AG1128" t="str">
            <v>BLANK</v>
          </cell>
          <cell r="AH1128" t="str">
            <v xml:space="preserve"> en stock </v>
          </cell>
          <cell r="AI1128">
            <v>1</v>
          </cell>
          <cell r="AJ1128">
            <v>0</v>
          </cell>
          <cell r="AK1128">
            <v>0</v>
          </cell>
          <cell r="AL1128"/>
          <cell r="AM1128"/>
          <cell r="AN1128">
            <v>5040744</v>
          </cell>
          <cell r="AO1128"/>
          <cell r="AP1128"/>
          <cell r="AQ1128"/>
          <cell r="AR1128"/>
          <cell r="AS1128">
            <v>44</v>
          </cell>
          <cell r="AT1128"/>
          <cell r="AU1128" t="str">
            <v>FR</v>
          </cell>
          <cell r="AV1128"/>
        </row>
        <row r="1129">
          <cell r="Z1129">
            <v>5040745</v>
          </cell>
          <cell r="AA1129" t="str">
            <v>Viper Pilot Mill
3-1/2" REG Box x 0</v>
          </cell>
          <cell r="AB1129">
            <v>0</v>
          </cell>
          <cell r="AC1129">
            <v>6</v>
          </cell>
          <cell r="AD1129">
            <v>0</v>
          </cell>
          <cell r="AE1129" t="str">
            <v>3-1/2" REG Box</v>
          </cell>
          <cell r="AF1129">
            <v>0</v>
          </cell>
          <cell r="AG1129" t="str">
            <v>BLANK</v>
          </cell>
          <cell r="AH1129" t="str">
            <v xml:space="preserve"> en stock </v>
          </cell>
          <cell r="AI1129">
            <v>1</v>
          </cell>
          <cell r="AJ1129">
            <v>0</v>
          </cell>
          <cell r="AK1129">
            <v>0</v>
          </cell>
          <cell r="AL1129"/>
          <cell r="AM1129"/>
          <cell r="AN1129">
            <v>5040745</v>
          </cell>
          <cell r="AO1129"/>
          <cell r="AP1129"/>
          <cell r="AQ1129"/>
          <cell r="AR1129"/>
          <cell r="AS1129">
            <v>45</v>
          </cell>
          <cell r="AT1129"/>
          <cell r="AU1129" t="str">
            <v>FR</v>
          </cell>
          <cell r="AV1129"/>
        </row>
        <row r="1130">
          <cell r="Z1130">
            <v>5110746</v>
          </cell>
          <cell r="AA1130" t="str">
            <v>WO Shoe
7-5/8" FJWP Box</v>
          </cell>
          <cell r="AB1130">
            <v>0</v>
          </cell>
          <cell r="AC1130">
            <v>8.125</v>
          </cell>
          <cell r="AD1130">
            <v>0</v>
          </cell>
          <cell r="AE1130" t="str">
            <v>7-5/8" FJWP Box</v>
          </cell>
          <cell r="AF1130"/>
          <cell r="AG1130" t="str">
            <v>CC</v>
          </cell>
          <cell r="AH1130" t="str">
            <v>maintenance</v>
          </cell>
          <cell r="AI1130" t="str">
            <v/>
          </cell>
          <cell r="AJ1130">
            <v>0</v>
          </cell>
          <cell r="AK1130">
            <v>1</v>
          </cell>
          <cell r="AL1130"/>
          <cell r="AM1130"/>
          <cell r="AN1130" t="str">
            <v/>
          </cell>
          <cell r="AO1130"/>
          <cell r="AP1130"/>
          <cell r="AQ1130"/>
          <cell r="AR1130"/>
          <cell r="AS1130">
            <v>156</v>
          </cell>
          <cell r="AT1130"/>
          <cell r="AU1130" t="str">
            <v>FR</v>
          </cell>
          <cell r="AV1130"/>
        </row>
        <row r="1131">
          <cell r="Z1131">
            <v>5110747</v>
          </cell>
          <cell r="AA1131" t="str">
            <v>WO Shoe
7-5/8" FJWP Box</v>
          </cell>
          <cell r="AB1131">
            <v>0</v>
          </cell>
          <cell r="AC1131">
            <v>8.5</v>
          </cell>
          <cell r="AD1131">
            <v>820</v>
          </cell>
          <cell r="AE1131" t="str">
            <v>7-5/8" FJWP Box</v>
          </cell>
          <cell r="AF1131"/>
          <cell r="AG1131" t="str">
            <v>CC</v>
          </cell>
          <cell r="AH1131" t="str">
            <v xml:space="preserve"> en stock </v>
          </cell>
          <cell r="AI1131">
            <v>1</v>
          </cell>
          <cell r="AJ1131">
            <v>0</v>
          </cell>
          <cell r="AK1131">
            <v>0</v>
          </cell>
          <cell r="AL1131"/>
          <cell r="AM1131"/>
          <cell r="AN1131" t="str">
            <v/>
          </cell>
          <cell r="AO1131"/>
          <cell r="AP1131"/>
          <cell r="AQ1131"/>
          <cell r="AR1131"/>
          <cell r="AS1131">
            <v>157</v>
          </cell>
          <cell r="AT1131"/>
          <cell r="AU1131" t="str">
            <v>FR</v>
          </cell>
          <cell r="AV1131"/>
        </row>
        <row r="1132">
          <cell r="Z1132">
            <v>5110748</v>
          </cell>
          <cell r="AA1132" t="str">
            <v>WO Shoe
7-5/8" FJWP Box</v>
          </cell>
          <cell r="AB1132">
            <v>0</v>
          </cell>
          <cell r="AC1132">
            <v>8.375</v>
          </cell>
          <cell r="AD1132">
            <v>0</v>
          </cell>
          <cell r="AE1132" t="str">
            <v>7-5/8" FJWP Box</v>
          </cell>
          <cell r="AF1132"/>
          <cell r="AG1132" t="str">
            <v>CC</v>
          </cell>
          <cell r="AH1132" t="str">
            <v>maintenance</v>
          </cell>
          <cell r="AI1132" t="str">
            <v/>
          </cell>
          <cell r="AJ1132">
            <v>0</v>
          </cell>
          <cell r="AK1132">
            <v>1</v>
          </cell>
          <cell r="AL1132"/>
          <cell r="AM1132"/>
          <cell r="AN1132" t="str">
            <v/>
          </cell>
          <cell r="AO1132"/>
          <cell r="AP1132"/>
          <cell r="AQ1132"/>
          <cell r="AR1132"/>
          <cell r="AS1132">
            <v>158</v>
          </cell>
          <cell r="AT1132"/>
          <cell r="AU1132" t="str">
            <v>FR</v>
          </cell>
          <cell r="AV1132"/>
        </row>
        <row r="1133">
          <cell r="Z1133">
            <v>5110749</v>
          </cell>
          <cell r="AA1133" t="str">
            <v>WO Shoe
7-5/8" FJWP Box</v>
          </cell>
          <cell r="AB1133" t="e">
            <v>#VALUE!</v>
          </cell>
          <cell r="AC1133">
            <v>8</v>
          </cell>
          <cell r="AD1133" t="e">
            <v>#VALUE!</v>
          </cell>
          <cell r="AE1133" t="str">
            <v>7-5/8" FJWP Box</v>
          </cell>
          <cell r="AF1133"/>
          <cell r="AG1133" t="str">
            <v>CC</v>
          </cell>
          <cell r="AH1133" t="str">
            <v>en stock</v>
          </cell>
          <cell r="AI1133">
            <v>0</v>
          </cell>
          <cell r="AJ1133">
            <v>1</v>
          </cell>
          <cell r="AK1133">
            <v>0</v>
          </cell>
          <cell r="AL1133"/>
          <cell r="AM1133"/>
          <cell r="AN1133" t="str">
            <v/>
          </cell>
          <cell r="AO1133"/>
          <cell r="AP1133"/>
          <cell r="AQ1133"/>
          <cell r="AR1133"/>
          <cell r="AS1133">
            <v>159</v>
          </cell>
          <cell r="AT1133"/>
          <cell r="AU1133" t="str">
            <v>FR</v>
          </cell>
          <cell r="AV1133"/>
        </row>
        <row r="1134">
          <cell r="Z1134">
            <v>5110750</v>
          </cell>
          <cell r="AA1134" t="str">
            <v>WO Shoe
7-5/8" FJWP Box</v>
          </cell>
          <cell r="AB1134">
            <v>0</v>
          </cell>
          <cell r="AC1134">
            <v>8.5</v>
          </cell>
          <cell r="AD1134">
            <v>650</v>
          </cell>
          <cell r="AE1134" t="str">
            <v>7-5/8" FJWP Box</v>
          </cell>
          <cell r="AF1134"/>
          <cell r="AG1134" t="str">
            <v>CC</v>
          </cell>
          <cell r="AH1134" t="str">
            <v xml:space="preserve"> en stock </v>
          </cell>
          <cell r="AI1134">
            <v>1</v>
          </cell>
          <cell r="AJ1134">
            <v>0</v>
          </cell>
          <cell r="AK1134">
            <v>0</v>
          </cell>
          <cell r="AL1134"/>
          <cell r="AM1134"/>
          <cell r="AN1134" t="str">
            <v/>
          </cell>
          <cell r="AO1134"/>
          <cell r="AP1134"/>
          <cell r="AQ1134"/>
          <cell r="AR1134"/>
          <cell r="AS1134">
            <v>160</v>
          </cell>
          <cell r="AT1134"/>
          <cell r="AU1134" t="str">
            <v>FR</v>
          </cell>
          <cell r="AV1134"/>
        </row>
        <row r="1135">
          <cell r="Z1135">
            <v>5030751</v>
          </cell>
          <cell r="AA1135" t="str">
            <v>Junk Mill 
4-1/2" REG Pin</v>
          </cell>
          <cell r="AB1135">
            <v>0</v>
          </cell>
          <cell r="AC1135" t="str">
            <v>8-1/2" blank</v>
          </cell>
          <cell r="AD1135">
            <v>0</v>
          </cell>
          <cell r="AE1135" t="str">
            <v>4-1/2" REG Pin</v>
          </cell>
          <cell r="AF1135"/>
          <cell r="AG1135">
            <v>0</v>
          </cell>
          <cell r="AH1135" t="str">
            <v>maintenance</v>
          </cell>
          <cell r="AI1135" t="str">
            <v/>
          </cell>
          <cell r="AJ1135">
            <v>0</v>
          </cell>
          <cell r="AK1135">
            <v>1</v>
          </cell>
          <cell r="AL1135"/>
          <cell r="AM1135"/>
          <cell r="AN1135" t="str">
            <v/>
          </cell>
          <cell r="AO1135"/>
          <cell r="AP1135"/>
          <cell r="AQ1135"/>
          <cell r="AR1135"/>
          <cell r="AS1135">
            <v>76</v>
          </cell>
          <cell r="AT1135" t="str">
            <v>503-</v>
          </cell>
          <cell r="AU1135" t="str">
            <v>FR</v>
          </cell>
          <cell r="AV1135"/>
        </row>
        <row r="1136">
          <cell r="Z1136">
            <v>5030752</v>
          </cell>
          <cell r="AA1136" t="str">
            <v>Junk Mill 
4-1/2" REG Pin</v>
          </cell>
          <cell r="AB1136">
            <v>0</v>
          </cell>
          <cell r="AC1136">
            <v>8.5</v>
          </cell>
          <cell r="AD1136">
            <v>0</v>
          </cell>
          <cell r="AE1136" t="str">
            <v>4-1/2" REG Pin</v>
          </cell>
          <cell r="AF1136"/>
          <cell r="AG1136">
            <v>0</v>
          </cell>
          <cell r="AH1136" t="str">
            <v xml:space="preserve"> en stock </v>
          </cell>
          <cell r="AI1136">
            <v>1</v>
          </cell>
          <cell r="AJ1136">
            <v>0</v>
          </cell>
          <cell r="AK1136">
            <v>0</v>
          </cell>
          <cell r="AL1136"/>
          <cell r="AM1136"/>
          <cell r="AN1136" t="str">
            <v/>
          </cell>
          <cell r="AO1136"/>
          <cell r="AP1136"/>
          <cell r="AQ1136"/>
          <cell r="AR1136"/>
          <cell r="AS1136">
            <v>75</v>
          </cell>
          <cell r="AT1136" t="str">
            <v>503-</v>
          </cell>
          <cell r="AU1136" t="str">
            <v>FR</v>
          </cell>
          <cell r="AV1136"/>
        </row>
        <row r="1137">
          <cell r="Z1137">
            <v>5100753</v>
          </cell>
          <cell r="AA1137" t="str">
            <v>WO Pipe
5-1/2" FJWP Pin x Box</v>
          </cell>
          <cell r="AB1137">
            <v>0</v>
          </cell>
          <cell r="AC1137">
            <v>5.5</v>
          </cell>
          <cell r="AD1137">
            <v>0</v>
          </cell>
          <cell r="AE1137" t="str">
            <v>5-1/2" FJWP Box</v>
          </cell>
          <cell r="AF1137" t="str">
            <v>5-1/2" FJWP Pin</v>
          </cell>
          <cell r="AG1137"/>
          <cell r="AH1137" t="str">
            <v xml:space="preserve"> en stock </v>
          </cell>
          <cell r="AI1137">
            <v>1</v>
          </cell>
          <cell r="AJ1137">
            <v>0</v>
          </cell>
          <cell r="AK1137">
            <v>0</v>
          </cell>
          <cell r="AL1137"/>
          <cell r="AM1137"/>
          <cell r="AN1137">
            <v>5100106</v>
          </cell>
          <cell r="AO1137"/>
          <cell r="AP1137"/>
          <cell r="AQ1137"/>
          <cell r="AR1137"/>
          <cell r="AS1137">
            <v>56</v>
          </cell>
          <cell r="AT1137" t="str">
            <v>509-5,500FJWP</v>
          </cell>
          <cell r="AU1137" t="str">
            <v>FR</v>
          </cell>
          <cell r="AV1137"/>
        </row>
        <row r="1138">
          <cell r="Z1138">
            <v>5100754</v>
          </cell>
          <cell r="AA1138" t="str">
            <v>WO Pipe
5-1/2" FJWP Pin x Box</v>
          </cell>
          <cell r="AB1138">
            <v>0</v>
          </cell>
          <cell r="AC1138">
            <v>5.5</v>
          </cell>
          <cell r="AD1138">
            <v>0</v>
          </cell>
          <cell r="AE1138" t="str">
            <v>5-1/2" FJWP Box</v>
          </cell>
          <cell r="AF1138" t="str">
            <v>5-1/2" FJWP Pin</v>
          </cell>
          <cell r="AG1138"/>
          <cell r="AH1138" t="str">
            <v xml:space="preserve"> en stock </v>
          </cell>
          <cell r="AI1138">
            <v>1</v>
          </cell>
          <cell r="AJ1138">
            <v>0</v>
          </cell>
          <cell r="AK1138">
            <v>0</v>
          </cell>
          <cell r="AL1138"/>
          <cell r="AM1138"/>
          <cell r="AN1138">
            <v>5100107</v>
          </cell>
          <cell r="AO1138"/>
          <cell r="AP1138"/>
          <cell r="AQ1138"/>
          <cell r="AR1138"/>
          <cell r="AS1138">
            <v>57</v>
          </cell>
          <cell r="AT1138" t="str">
            <v>509-5,500FJWP</v>
          </cell>
          <cell r="AU1138" t="str">
            <v>FR</v>
          </cell>
          <cell r="AV1138"/>
        </row>
        <row r="1139">
          <cell r="Z1139">
            <v>5100755</v>
          </cell>
          <cell r="AA1139" t="str">
            <v>WO Pipe
7-5/8" FJWP Pin x Box</v>
          </cell>
          <cell r="AB1139">
            <v>328.64149190924968</v>
          </cell>
          <cell r="AC1139">
            <v>7.625</v>
          </cell>
          <cell r="AD1139">
            <v>7650</v>
          </cell>
          <cell r="AE1139" t="str">
            <v>7-5/8" FJWP Box</v>
          </cell>
          <cell r="AF1139" t="str">
            <v>7-5/8" FJWP Pin</v>
          </cell>
          <cell r="AG1139"/>
          <cell r="AH1139" t="str">
            <v xml:space="preserve"> en stock </v>
          </cell>
          <cell r="AI1139">
            <v>1</v>
          </cell>
          <cell r="AJ1139">
            <v>0</v>
          </cell>
          <cell r="AK1139">
            <v>0</v>
          </cell>
          <cell r="AL1139"/>
          <cell r="AM1139"/>
          <cell r="AN1139" t="str">
            <v/>
          </cell>
          <cell r="AO1139"/>
          <cell r="AP1139"/>
          <cell r="AQ1139"/>
          <cell r="AR1139"/>
          <cell r="AS1139">
            <v>96</v>
          </cell>
          <cell r="AT1139" t="str">
            <v>509-7,625FJWP</v>
          </cell>
          <cell r="AU1139" t="str">
            <v>FR</v>
          </cell>
          <cell r="AV1139"/>
        </row>
        <row r="1140">
          <cell r="Z1140">
            <v>5100756</v>
          </cell>
          <cell r="AA1140" t="str">
            <v>WO Pipe
7-5/8" FJWP Pin x Box</v>
          </cell>
          <cell r="AB1140">
            <v>386.63704930499966</v>
          </cell>
          <cell r="AC1140">
            <v>7.625</v>
          </cell>
          <cell r="AD1140">
            <v>9000</v>
          </cell>
          <cell r="AE1140" t="str">
            <v>7-5/8" FJWP Box</v>
          </cell>
          <cell r="AF1140" t="str">
            <v>7-5/8" FJWP Pin</v>
          </cell>
          <cell r="AG1140"/>
          <cell r="AH1140" t="str">
            <v xml:space="preserve"> en stock </v>
          </cell>
          <cell r="AI1140">
            <v>1</v>
          </cell>
          <cell r="AJ1140">
            <v>0</v>
          </cell>
          <cell r="AK1140">
            <v>0</v>
          </cell>
          <cell r="AL1140"/>
          <cell r="AM1140"/>
          <cell r="AN1140" t="str">
            <v/>
          </cell>
          <cell r="AO1140"/>
          <cell r="AP1140"/>
          <cell r="AQ1140"/>
          <cell r="AR1140"/>
          <cell r="AS1140">
            <v>97</v>
          </cell>
          <cell r="AT1140" t="str">
            <v>509-7,625FJWP</v>
          </cell>
          <cell r="AU1140" t="str">
            <v>FR</v>
          </cell>
          <cell r="AV1140"/>
        </row>
        <row r="1141">
          <cell r="Z1141">
            <v>5100757</v>
          </cell>
          <cell r="AA1141" t="str">
            <v>WO Pipe
7-5/8" FJWP Pin x Box</v>
          </cell>
          <cell r="AB1141">
            <v>386.63704930499966</v>
          </cell>
          <cell r="AC1141">
            <v>7.625</v>
          </cell>
          <cell r="AD1141">
            <v>9000</v>
          </cell>
          <cell r="AE1141" t="str">
            <v>7-5/8" FJWP Box</v>
          </cell>
          <cell r="AF1141" t="str">
            <v>7-5/8" FJWP Pin</v>
          </cell>
          <cell r="AG1141"/>
          <cell r="AH1141" t="str">
            <v xml:space="preserve"> en stock </v>
          </cell>
          <cell r="AI1141">
            <v>1</v>
          </cell>
          <cell r="AJ1141">
            <v>0</v>
          </cell>
          <cell r="AK1141">
            <v>0</v>
          </cell>
          <cell r="AL1141"/>
          <cell r="AM1141"/>
          <cell r="AN1141" t="str">
            <v/>
          </cell>
          <cell r="AO1141"/>
          <cell r="AP1141"/>
          <cell r="AQ1141"/>
          <cell r="AR1141"/>
          <cell r="AS1141">
            <v>98</v>
          </cell>
          <cell r="AT1141" t="str">
            <v>509-7,625FJWP</v>
          </cell>
          <cell r="AU1141" t="str">
            <v>FR</v>
          </cell>
          <cell r="AV1141"/>
        </row>
        <row r="1142">
          <cell r="Z1142">
            <v>5100758</v>
          </cell>
          <cell r="AA1142" t="str">
            <v>WO Pipe
7-5/8" FJWP Pin x Box</v>
          </cell>
          <cell r="AB1142">
            <v>386.63704930499966</v>
          </cell>
          <cell r="AC1142">
            <v>7.625</v>
          </cell>
          <cell r="AD1142">
            <v>9000</v>
          </cell>
          <cell r="AE1142" t="str">
            <v>7-5/8" FJWP Box</v>
          </cell>
          <cell r="AF1142" t="str">
            <v>7-5/8" FJWP Pin</v>
          </cell>
          <cell r="AG1142"/>
          <cell r="AH1142" t="str">
            <v xml:space="preserve"> en stock </v>
          </cell>
          <cell r="AI1142">
            <v>1</v>
          </cell>
          <cell r="AJ1142">
            <v>0</v>
          </cell>
          <cell r="AK1142">
            <v>0</v>
          </cell>
          <cell r="AL1142"/>
          <cell r="AM1142"/>
          <cell r="AN1142" t="str">
            <v/>
          </cell>
          <cell r="AO1142"/>
          <cell r="AP1142"/>
          <cell r="AQ1142"/>
          <cell r="AR1142"/>
          <cell r="AS1142">
            <v>99</v>
          </cell>
          <cell r="AT1142" t="str">
            <v>509-7,625FJWP</v>
          </cell>
          <cell r="AU1142" t="str">
            <v>FR</v>
          </cell>
          <cell r="AV1142"/>
        </row>
        <row r="1143">
          <cell r="Z1143">
            <v>5040759</v>
          </cell>
          <cell r="AA1143" t="str">
            <v>Viper Pilot Mill
2-7/8" REG Pin x 3-1/2" REG Pin x 
2-1/4" AMMT Pin down</v>
          </cell>
          <cell r="AB1143">
            <v>50</v>
          </cell>
          <cell r="AC1143">
            <v>6</v>
          </cell>
          <cell r="AD1143">
            <v>0</v>
          </cell>
          <cell r="AE1143" t="str">
            <v>2-7/8" REG Pin</v>
          </cell>
          <cell r="AF1143" t="str">
            <v>3-1/2" REG Pin x 
2-1/4" AMMT Pin down</v>
          </cell>
          <cell r="AG1143">
            <v>0</v>
          </cell>
          <cell r="AH1143" t="str">
            <v xml:space="preserve"> en stock </v>
          </cell>
          <cell r="AI1143">
            <v>1</v>
          </cell>
          <cell r="AJ1143">
            <v>0</v>
          </cell>
          <cell r="AK1143">
            <v>0</v>
          </cell>
          <cell r="AL1143"/>
          <cell r="AM1143"/>
          <cell r="AN1143">
            <v>5040759</v>
          </cell>
          <cell r="AO1143"/>
          <cell r="AP1143"/>
          <cell r="AQ1143"/>
          <cell r="AR1143"/>
          <cell r="AS1143">
            <v>41</v>
          </cell>
          <cell r="AT1143"/>
          <cell r="AU1143" t="str">
            <v>FR</v>
          </cell>
          <cell r="AV1143"/>
        </row>
        <row r="1144">
          <cell r="Z1144">
            <v>5070760</v>
          </cell>
          <cell r="AA1144" t="str">
            <v>Super Junk Mill 
3-1/2" REG Pin</v>
          </cell>
          <cell r="AB1144">
            <v>0</v>
          </cell>
          <cell r="AC1144">
            <v>6</v>
          </cell>
          <cell r="AD1144">
            <v>630</v>
          </cell>
          <cell r="AE1144" t="str">
            <v>3-1/2" REG Pin</v>
          </cell>
          <cell r="AF1144"/>
          <cell r="AG1144" t="str">
            <v>C</v>
          </cell>
          <cell r="AH1144" t="str">
            <v xml:space="preserve"> en stock </v>
          </cell>
          <cell r="AI1144">
            <v>1</v>
          </cell>
          <cell r="AJ1144">
            <v>0</v>
          </cell>
          <cell r="AK1144">
            <v>0</v>
          </cell>
          <cell r="AL1144"/>
          <cell r="AM1144"/>
          <cell r="AN1144" t="str">
            <v/>
          </cell>
          <cell r="AO1144"/>
          <cell r="AP1144"/>
          <cell r="AQ1144"/>
          <cell r="AR1144"/>
          <cell r="AS1144">
            <v>55</v>
          </cell>
          <cell r="AT1144" t="str">
            <v>507-</v>
          </cell>
          <cell r="AU1144" t="str">
            <v>FR</v>
          </cell>
          <cell r="AV1144"/>
        </row>
        <row r="1145">
          <cell r="Z1145">
            <v>5070761</v>
          </cell>
          <cell r="AA1145" t="str">
            <v>Super Junk Mill 
3-1/2" REG Pin</v>
          </cell>
          <cell r="AB1145">
            <v>0</v>
          </cell>
          <cell r="AC1145">
            <v>6</v>
          </cell>
          <cell r="AD1145">
            <v>630</v>
          </cell>
          <cell r="AE1145" t="str">
            <v>3-1/2" REG Pin</v>
          </cell>
          <cell r="AF1145"/>
          <cell r="AG1145" t="str">
            <v>C</v>
          </cell>
          <cell r="AH1145" t="str">
            <v xml:space="preserve"> en stock </v>
          </cell>
          <cell r="AI1145">
            <v>1</v>
          </cell>
          <cell r="AJ1145">
            <v>0</v>
          </cell>
          <cell r="AK1145">
            <v>0</v>
          </cell>
          <cell r="AL1145"/>
          <cell r="AM1145"/>
          <cell r="AN1145" t="str">
            <v/>
          </cell>
          <cell r="AO1145"/>
          <cell r="AP1145"/>
          <cell r="AQ1145"/>
          <cell r="AR1145"/>
          <cell r="AS1145">
            <v>56</v>
          </cell>
          <cell r="AT1145" t="str">
            <v>507-</v>
          </cell>
          <cell r="AU1145" t="str">
            <v>FR</v>
          </cell>
          <cell r="AV1145"/>
        </row>
        <row r="1146">
          <cell r="Z1146">
            <v>5070762</v>
          </cell>
          <cell r="AA1146" t="str">
            <v>Super Junk Mill 
3-1/2" REG Pin</v>
          </cell>
          <cell r="AB1146">
            <v>68</v>
          </cell>
          <cell r="AC1146">
            <v>6.75</v>
          </cell>
          <cell r="AD1146">
            <v>640</v>
          </cell>
          <cell r="AE1146" t="str">
            <v>3-1/2" REG Pin</v>
          </cell>
          <cell r="AF1146"/>
          <cell r="AG1146" t="str">
            <v>C</v>
          </cell>
          <cell r="AH1146" t="str">
            <v xml:space="preserve"> en stock </v>
          </cell>
          <cell r="AI1146">
            <v>1</v>
          </cell>
          <cell r="AJ1146">
            <v>0</v>
          </cell>
          <cell r="AK1146">
            <v>0</v>
          </cell>
          <cell r="AL1146"/>
          <cell r="AM1146"/>
          <cell r="AN1146" t="str">
            <v/>
          </cell>
          <cell r="AO1146"/>
          <cell r="AP1146"/>
          <cell r="AQ1146"/>
          <cell r="AR1146"/>
          <cell r="AS1146">
            <v>60</v>
          </cell>
          <cell r="AT1146" t="str">
            <v>507-</v>
          </cell>
          <cell r="AU1146" t="str">
            <v>FR</v>
          </cell>
          <cell r="AV1146"/>
        </row>
        <row r="1147">
          <cell r="Z1147">
            <v>5070763</v>
          </cell>
          <cell r="AA1147" t="str">
            <v>Super Junk Mill 
3-1/2" REG Pin</v>
          </cell>
          <cell r="AB1147">
            <v>68</v>
          </cell>
          <cell r="AC1147">
            <v>6.75</v>
          </cell>
          <cell r="AD1147">
            <v>640</v>
          </cell>
          <cell r="AE1147" t="str">
            <v>3-1/2" REG Pin</v>
          </cell>
          <cell r="AF1147"/>
          <cell r="AG1147" t="str">
            <v>C</v>
          </cell>
          <cell r="AH1147" t="str">
            <v xml:space="preserve"> en stock </v>
          </cell>
          <cell r="AI1147">
            <v>1</v>
          </cell>
          <cell r="AJ1147">
            <v>0</v>
          </cell>
          <cell r="AK1147">
            <v>0</v>
          </cell>
          <cell r="AL1147"/>
          <cell r="AM1147"/>
          <cell r="AN1147" t="str">
            <v/>
          </cell>
          <cell r="AO1147"/>
          <cell r="AP1147"/>
          <cell r="AQ1147"/>
          <cell r="AR1147"/>
          <cell r="AS1147">
            <v>61</v>
          </cell>
          <cell r="AT1147" t="str">
            <v>507-</v>
          </cell>
          <cell r="AU1147" t="str">
            <v>FR</v>
          </cell>
          <cell r="AV1147"/>
        </row>
        <row r="1148">
          <cell r="Z1148">
            <v>5070764</v>
          </cell>
          <cell r="AA1148" t="str">
            <v>Super Junk Mill 
4-1/2" REG Pin</v>
          </cell>
          <cell r="AB1148">
            <v>120</v>
          </cell>
          <cell r="AC1148">
            <v>8.375</v>
          </cell>
          <cell r="AD1148">
            <v>770</v>
          </cell>
          <cell r="AE1148" t="str">
            <v>4-1/2" REG Pin</v>
          </cell>
          <cell r="AF1148"/>
          <cell r="AG1148" t="str">
            <v>C</v>
          </cell>
          <cell r="AH1148" t="str">
            <v xml:space="preserve"> en stock </v>
          </cell>
          <cell r="AI1148">
            <v>1</v>
          </cell>
          <cell r="AJ1148">
            <v>0</v>
          </cell>
          <cell r="AK1148">
            <v>0</v>
          </cell>
          <cell r="AL1148"/>
          <cell r="AM1148"/>
          <cell r="AN1148" t="str">
            <v/>
          </cell>
          <cell r="AO1148"/>
          <cell r="AP1148"/>
          <cell r="AQ1148"/>
          <cell r="AR1148"/>
          <cell r="AS1148">
            <v>62</v>
          </cell>
          <cell r="AT1148" t="str">
            <v>507-</v>
          </cell>
          <cell r="AU1148" t="str">
            <v>FR</v>
          </cell>
          <cell r="AV1148"/>
        </row>
        <row r="1149">
          <cell r="Z1149">
            <v>5150765</v>
          </cell>
          <cell r="AA1149" t="str">
            <v>WO Lift Plug 
5-1/2" FJWP Pin</v>
          </cell>
          <cell r="AB1149">
            <v>14</v>
          </cell>
          <cell r="AC1149">
            <v>5.875</v>
          </cell>
          <cell r="AD1149"/>
          <cell r="AE1149" t="str">
            <v>5-1/2" FJWP Pin</v>
          </cell>
          <cell r="AF1149"/>
          <cell r="AG1149"/>
          <cell r="AH1149" t="str">
            <v>maintenance</v>
          </cell>
          <cell r="AI1149" t="str">
            <v/>
          </cell>
          <cell r="AJ1149">
            <v>0</v>
          </cell>
          <cell r="AK1149">
            <v>1</v>
          </cell>
          <cell r="AL1149"/>
          <cell r="AM1149"/>
          <cell r="AN1149" t="str">
            <v/>
          </cell>
          <cell r="AO1149"/>
          <cell r="AP1149"/>
          <cell r="AQ1149"/>
          <cell r="AR1149"/>
          <cell r="AS1149">
            <v>14</v>
          </cell>
          <cell r="AT1149"/>
          <cell r="AU1149" t="str">
            <v>FR</v>
          </cell>
          <cell r="AV1149"/>
        </row>
        <row r="1150">
          <cell r="Z1150">
            <v>5150766</v>
          </cell>
          <cell r="AA1150" t="str">
            <v>WO Lift Plug 
5-1/2" FJWP Pin</v>
          </cell>
          <cell r="AB1150">
            <v>14</v>
          </cell>
          <cell r="AC1150">
            <v>5.875</v>
          </cell>
          <cell r="AD1150"/>
          <cell r="AE1150" t="str">
            <v>5-1/2" FJWP Pin</v>
          </cell>
          <cell r="AF1150"/>
          <cell r="AG1150"/>
          <cell r="AH1150" t="str">
            <v>maintenance</v>
          </cell>
          <cell r="AI1150" t="str">
            <v/>
          </cell>
          <cell r="AJ1150">
            <v>0</v>
          </cell>
          <cell r="AK1150">
            <v>1</v>
          </cell>
          <cell r="AL1150"/>
          <cell r="AM1150"/>
          <cell r="AN1150" t="str">
            <v/>
          </cell>
          <cell r="AO1150"/>
          <cell r="AP1150"/>
          <cell r="AQ1150"/>
          <cell r="AR1150"/>
          <cell r="AS1150">
            <v>15</v>
          </cell>
          <cell r="AT1150"/>
          <cell r="AU1150" t="str">
            <v>FR</v>
          </cell>
          <cell r="AV1150"/>
        </row>
        <row r="1151">
          <cell r="Z1151">
            <v>5030767</v>
          </cell>
          <cell r="AA1151" t="str">
            <v>Junk Mill 
3-1/2" REG Pin</v>
          </cell>
          <cell r="AB1151">
            <v>60</v>
          </cell>
          <cell r="AC1151">
            <v>6.0625</v>
          </cell>
          <cell r="AD1151">
            <v>0</v>
          </cell>
          <cell r="AE1151" t="str">
            <v>3-1/2" REG Pin</v>
          </cell>
          <cell r="AF1151"/>
          <cell r="AG1151" t="str">
            <v>(Insert)</v>
          </cell>
          <cell r="AH1151" t="str">
            <v xml:space="preserve"> en stock </v>
          </cell>
          <cell r="AI1151">
            <v>1</v>
          </cell>
          <cell r="AJ1151">
            <v>0</v>
          </cell>
          <cell r="AK1151">
            <v>0</v>
          </cell>
          <cell r="AL1151"/>
          <cell r="AM1151"/>
          <cell r="AN1151">
            <v>5030304</v>
          </cell>
          <cell r="AO1151"/>
          <cell r="AP1151"/>
          <cell r="AQ1151"/>
          <cell r="AR1151"/>
          <cell r="AS1151">
            <v>37</v>
          </cell>
          <cell r="AT1151" t="str">
            <v>503-</v>
          </cell>
          <cell r="AU1151" t="str">
            <v>FR</v>
          </cell>
          <cell r="AV1151"/>
        </row>
        <row r="1152">
          <cell r="Z1152">
            <v>5030768</v>
          </cell>
          <cell r="AA1152" t="str">
            <v>Junk Mill 
3-1/2" REG Pin</v>
          </cell>
          <cell r="AB1152">
            <v>60</v>
          </cell>
          <cell r="AC1152">
            <v>5.9375</v>
          </cell>
          <cell r="AD1152">
            <v>0</v>
          </cell>
          <cell r="AE1152" t="str">
            <v>3-1/2" REG Pin</v>
          </cell>
          <cell r="AF1152"/>
          <cell r="AG1152" t="str">
            <v>(Insert)</v>
          </cell>
          <cell r="AH1152" t="str">
            <v xml:space="preserve"> en stock </v>
          </cell>
          <cell r="AI1152">
            <v>1</v>
          </cell>
          <cell r="AJ1152">
            <v>0</v>
          </cell>
          <cell r="AK1152">
            <v>0</v>
          </cell>
          <cell r="AL1152"/>
          <cell r="AM1152"/>
          <cell r="AN1152">
            <v>5030305</v>
          </cell>
          <cell r="AO1152"/>
          <cell r="AP1152"/>
          <cell r="AQ1152"/>
          <cell r="AR1152"/>
          <cell r="AS1152">
            <v>38</v>
          </cell>
          <cell r="AT1152" t="str">
            <v>503-</v>
          </cell>
          <cell r="AU1152" t="str">
            <v>FR</v>
          </cell>
          <cell r="AV1152"/>
        </row>
        <row r="1153">
          <cell r="Z1153">
            <v>5030769</v>
          </cell>
          <cell r="AA1153" t="str">
            <v>Junk Mill 
3-1/2" REG Pin</v>
          </cell>
          <cell r="AB1153">
            <v>60</v>
          </cell>
          <cell r="AC1153">
            <v>6.125</v>
          </cell>
          <cell r="AD1153">
            <v>0</v>
          </cell>
          <cell r="AE1153" t="str">
            <v>3-1/2" REG Pin</v>
          </cell>
          <cell r="AF1153"/>
          <cell r="AG1153" t="str">
            <v>(Insert)</v>
          </cell>
          <cell r="AH1153" t="str">
            <v xml:space="preserve"> en stock </v>
          </cell>
          <cell r="AI1153">
            <v>1</v>
          </cell>
          <cell r="AJ1153">
            <v>0</v>
          </cell>
          <cell r="AK1153">
            <v>0</v>
          </cell>
          <cell r="AL1153"/>
          <cell r="AM1153"/>
          <cell r="AN1153">
            <v>5030306</v>
          </cell>
          <cell r="AO1153"/>
          <cell r="AP1153"/>
          <cell r="AQ1153"/>
          <cell r="AR1153"/>
          <cell r="AS1153">
            <v>39</v>
          </cell>
          <cell r="AT1153" t="str">
            <v>503-</v>
          </cell>
          <cell r="AU1153" t="str">
            <v>FR</v>
          </cell>
          <cell r="AV1153"/>
        </row>
        <row r="1154">
          <cell r="Z1154">
            <v>5030770</v>
          </cell>
          <cell r="AA1154" t="str">
            <v>Junk Mill 
2-3/8" REG Pin</v>
          </cell>
          <cell r="AB1154">
            <v>24</v>
          </cell>
          <cell r="AC1154" t="str">
            <v>4-7/8"</v>
          </cell>
          <cell r="AD1154">
            <v>0</v>
          </cell>
          <cell r="AE1154" t="str">
            <v>2-3/8" REG Pin</v>
          </cell>
          <cell r="AF1154"/>
          <cell r="AG1154" t="str">
            <v>(insert)</v>
          </cell>
          <cell r="AH1154" t="str">
            <v xml:space="preserve"> en stock </v>
          </cell>
          <cell r="AI1154" t="str">
            <v>blank</v>
          </cell>
          <cell r="AJ1154">
            <v>0</v>
          </cell>
          <cell r="AK1154">
            <v>0</v>
          </cell>
          <cell r="AL1154"/>
          <cell r="AM1154"/>
          <cell r="AN1154" t="str">
            <v/>
          </cell>
          <cell r="AO1154"/>
          <cell r="AP1154"/>
          <cell r="AQ1154"/>
          <cell r="AR1154"/>
          <cell r="AS1154">
            <v>20</v>
          </cell>
          <cell r="AT1154" t="str">
            <v>503-</v>
          </cell>
          <cell r="AU1154" t="str">
            <v>FR</v>
          </cell>
          <cell r="AV1154"/>
        </row>
        <row r="1155">
          <cell r="Z1155">
            <v>5030771</v>
          </cell>
          <cell r="AA1155" t="str">
            <v>Junk Mill 
2-3/8" REG Pin</v>
          </cell>
          <cell r="AB1155">
            <v>24</v>
          </cell>
          <cell r="AC1155" t="str">
            <v>4-7/8"</v>
          </cell>
          <cell r="AD1155">
            <v>0</v>
          </cell>
          <cell r="AE1155" t="str">
            <v>2-3/8" REG Pin</v>
          </cell>
          <cell r="AF1155"/>
          <cell r="AG1155" t="str">
            <v>(insert)</v>
          </cell>
          <cell r="AH1155" t="str">
            <v xml:space="preserve"> en stock </v>
          </cell>
          <cell r="AI1155" t="str">
            <v>blank</v>
          </cell>
          <cell r="AJ1155">
            <v>0</v>
          </cell>
          <cell r="AK1155">
            <v>0</v>
          </cell>
          <cell r="AL1155"/>
          <cell r="AM1155"/>
          <cell r="AN1155" t="str">
            <v/>
          </cell>
          <cell r="AO1155"/>
          <cell r="AP1155"/>
          <cell r="AQ1155"/>
          <cell r="AR1155"/>
          <cell r="AS1155">
            <v>21</v>
          </cell>
          <cell r="AT1155" t="str">
            <v>503-</v>
          </cell>
          <cell r="AU1155" t="str">
            <v>FR</v>
          </cell>
          <cell r="AV1155"/>
        </row>
        <row r="1156">
          <cell r="Z1156">
            <v>8110775</v>
          </cell>
          <cell r="AA1156" t="str">
            <v>String Stab
3-1/2" IF Pin x 3-1/2" IF Box</v>
          </cell>
          <cell r="AB1156">
            <v>0</v>
          </cell>
          <cell r="AC1156">
            <v>5.875</v>
          </cell>
          <cell r="AD1156">
            <v>1450</v>
          </cell>
          <cell r="AE1156" t="str">
            <v>3-1/2" IF Box</v>
          </cell>
          <cell r="AF1156" t="str">
            <v>3-1/2" IF Pin</v>
          </cell>
          <cell r="AG1156" t="str">
            <v>PTA</v>
          </cell>
          <cell r="AH1156" t="str">
            <v xml:space="preserve"> en stock </v>
          </cell>
          <cell r="AI1156">
            <v>1</v>
          </cell>
          <cell r="AJ1156">
            <v>0</v>
          </cell>
          <cell r="AK1156">
            <v>0</v>
          </cell>
          <cell r="AL1156"/>
          <cell r="AM1156"/>
          <cell r="AN1156">
            <v>8110775</v>
          </cell>
          <cell r="AO1156"/>
          <cell r="AP1156"/>
          <cell r="AQ1156"/>
          <cell r="AR1156"/>
          <cell r="AS1156">
            <v>14</v>
          </cell>
          <cell r="AT1156"/>
          <cell r="AU1156" t="str">
            <v>FR</v>
          </cell>
          <cell r="AV1156"/>
        </row>
        <row r="1157">
          <cell r="Z1157">
            <v>8110776</v>
          </cell>
          <cell r="AA1157" t="str">
            <v>String Stab
3-1/2" IF Pin x 3-1/2" IF Box</v>
          </cell>
          <cell r="AB1157">
            <v>0</v>
          </cell>
          <cell r="AC1157">
            <v>6.0625</v>
          </cell>
          <cell r="AD1157">
            <v>1450</v>
          </cell>
          <cell r="AE1157" t="str">
            <v>3-1/2" IF Box</v>
          </cell>
          <cell r="AF1157" t="str">
            <v>3-1/2" IF Pin</v>
          </cell>
          <cell r="AG1157" t="str">
            <v>TGG</v>
          </cell>
          <cell r="AH1157" t="str">
            <v xml:space="preserve"> en stock </v>
          </cell>
          <cell r="AI1157">
            <v>1</v>
          </cell>
          <cell r="AJ1157">
            <v>0</v>
          </cell>
          <cell r="AK1157">
            <v>0</v>
          </cell>
          <cell r="AL1157"/>
          <cell r="AM1157"/>
          <cell r="AN1157">
            <v>8110776</v>
          </cell>
          <cell r="AO1157"/>
          <cell r="AP1157"/>
          <cell r="AQ1157"/>
          <cell r="AR1157"/>
          <cell r="AS1157">
            <v>15</v>
          </cell>
          <cell r="AT1157"/>
          <cell r="AU1157" t="str">
            <v>FR</v>
          </cell>
          <cell r="AV1157"/>
        </row>
        <row r="1158">
          <cell r="Z1158">
            <v>8090777</v>
          </cell>
          <cell r="AA1158" t="str">
            <v>Near Bit Stab
3-1/2" IF Box x 3-1/2" REG Box</v>
          </cell>
          <cell r="AB1158">
            <v>0</v>
          </cell>
          <cell r="AC1158">
            <v>6</v>
          </cell>
          <cell r="AD1158">
            <v>0</v>
          </cell>
          <cell r="AE1158" t="str">
            <v>3-1/2" IF Box</v>
          </cell>
          <cell r="AF1158" t="str">
            <v>3-1/2" REG Box</v>
          </cell>
          <cell r="AG1158" t="str">
            <v>TGG</v>
          </cell>
          <cell r="AH1158" t="str">
            <v>maintenance</v>
          </cell>
          <cell r="AI1158" t="str">
            <v/>
          </cell>
          <cell r="AJ1158">
            <v>0</v>
          </cell>
          <cell r="AK1158">
            <v>1</v>
          </cell>
          <cell r="AL1158"/>
          <cell r="AM1158"/>
          <cell r="AN1158">
            <v>8090777</v>
          </cell>
          <cell r="AO1158"/>
          <cell r="AP1158"/>
          <cell r="AQ1158"/>
          <cell r="AR1158"/>
          <cell r="AS1158">
            <v>7</v>
          </cell>
          <cell r="AT1158"/>
          <cell r="AU1158" t="str">
            <v>FR</v>
          </cell>
          <cell r="AV1158"/>
        </row>
        <row r="1159">
          <cell r="Z1159" t="str">
            <v>ref 807-1,660-3,02BTS</v>
          </cell>
          <cell r="AA1159" t="str">
            <v>DP 1,660" 3,02# Range 2
BTS-8 Pin x Box</v>
          </cell>
          <cell r="AB1159">
            <v>3.02</v>
          </cell>
          <cell r="AC1159">
            <v>1.66</v>
          </cell>
          <cell r="AD1159" t="str">
            <v>R2</v>
          </cell>
          <cell r="AE1159" t="str">
            <v>BTS-8 Box</v>
          </cell>
          <cell r="AF1159" t="str">
            <v>BTS-8 Pin</v>
          </cell>
          <cell r="AG1159"/>
          <cell r="AH1159" t="str">
            <v>maintenance</v>
          </cell>
          <cell r="AI1159">
            <v>91</v>
          </cell>
          <cell r="AJ1159">
            <v>0</v>
          </cell>
          <cell r="AK1159">
            <v>15</v>
          </cell>
          <cell r="AL1159"/>
          <cell r="AM1159"/>
          <cell r="AN1159">
            <v>8070778</v>
          </cell>
          <cell r="AO1159">
            <v>2</v>
          </cell>
          <cell r="AP1159"/>
          <cell r="AQ1159"/>
          <cell r="AR1159"/>
          <cell r="AS1159">
            <v>5</v>
          </cell>
          <cell r="AT1159"/>
          <cell r="AU1159" t="str">
            <v/>
          </cell>
          <cell r="AV1159"/>
        </row>
        <row r="1160">
          <cell r="Z1160">
            <v>8110779</v>
          </cell>
          <cell r="AA1160" t="str">
            <v>String Stab
3-1/2" IF Pin x 3-1/2" IF Box</v>
          </cell>
          <cell r="AB1160">
            <v>114</v>
          </cell>
          <cell r="AC1160">
            <v>6.125</v>
          </cell>
          <cell r="AD1160">
            <v>1320</v>
          </cell>
          <cell r="AE1160" t="str">
            <v>3-1/2" IF Box</v>
          </cell>
          <cell r="AF1160" t="str">
            <v>3-1/2" IF Pin</v>
          </cell>
          <cell r="AG1160" t="str">
            <v>Insert pastilles</v>
          </cell>
          <cell r="AH1160" t="str">
            <v xml:space="preserve"> en stock </v>
          </cell>
          <cell r="AI1160">
            <v>1</v>
          </cell>
          <cell r="AJ1160">
            <v>0</v>
          </cell>
          <cell r="AK1160">
            <v>0</v>
          </cell>
          <cell r="AL1160"/>
          <cell r="AM1160"/>
          <cell r="AN1160">
            <v>8110779</v>
          </cell>
          <cell r="AO1160"/>
          <cell r="AP1160"/>
          <cell r="AQ1160"/>
          <cell r="AR1160">
            <v>336443</v>
          </cell>
          <cell r="AS1160">
            <v>20</v>
          </cell>
          <cell r="AT1160"/>
          <cell r="AU1160" t="str">
            <v/>
          </cell>
          <cell r="AV1160"/>
        </row>
        <row r="1161">
          <cell r="Z1161"/>
          <cell r="AA1161"/>
          <cell r="AB1161"/>
          <cell r="AC1161"/>
          <cell r="AD1161"/>
          <cell r="AE1161"/>
          <cell r="AF1161"/>
          <cell r="AG1161"/>
          <cell r="AH1161" t="str">
            <v>en stock</v>
          </cell>
          <cell r="AI1161"/>
          <cell r="AJ1161"/>
          <cell r="AK1161"/>
          <cell r="AL1161"/>
          <cell r="AM1161"/>
          <cell r="AN1161" t="str">
            <v/>
          </cell>
          <cell r="AO1161"/>
          <cell r="AP1161"/>
          <cell r="AQ1161"/>
          <cell r="AR1161"/>
          <cell r="AS1161"/>
          <cell r="AT1161"/>
          <cell r="AU1161" t="str">
            <v/>
          </cell>
          <cell r="AV1161"/>
        </row>
        <row r="1162">
          <cell r="Z1162">
            <v>8110782</v>
          </cell>
          <cell r="AA1162" t="str">
            <v>String Stab
4-1/2" IF Pin x 4-1/2" IF Box</v>
          </cell>
          <cell r="AB1162">
            <v>308</v>
          </cell>
          <cell r="AC1162">
            <v>9.125</v>
          </cell>
          <cell r="AD1162">
            <v>1875</v>
          </cell>
          <cell r="AE1162" t="str">
            <v>4-1/2" IF Box</v>
          </cell>
          <cell r="AF1162" t="str">
            <v>4-1/2" IF Pin</v>
          </cell>
          <cell r="AG1162" t="str">
            <v>Carbure</v>
          </cell>
          <cell r="AH1162" t="str">
            <v>maintenance</v>
          </cell>
          <cell r="AI1162" t="str">
            <v/>
          </cell>
          <cell r="AJ1162">
            <v>0</v>
          </cell>
          <cell r="AK1162">
            <v>1</v>
          </cell>
          <cell r="AL1162"/>
          <cell r="AM1162"/>
          <cell r="AN1162">
            <v>8110782</v>
          </cell>
          <cell r="AO1162"/>
          <cell r="AP1162"/>
          <cell r="AQ1162"/>
          <cell r="AR1162">
            <v>35920</v>
          </cell>
          <cell r="AS1162">
            <v>48</v>
          </cell>
          <cell r="AT1162"/>
          <cell r="AU1162" t="str">
            <v/>
          </cell>
          <cell r="AV1162"/>
        </row>
        <row r="1163">
          <cell r="Z1163">
            <v>8711496</v>
          </cell>
          <cell r="AA1163" t="str">
            <v>NON MAG String Stab
6-5/8" REG Pin SRG x 6-5/8" REG Box BB</v>
          </cell>
          <cell r="AB1163">
            <v>368</v>
          </cell>
          <cell r="AC1163">
            <v>12</v>
          </cell>
          <cell r="AD1163">
            <v>1400</v>
          </cell>
          <cell r="AE1163" t="str">
            <v>6-5/8" REG Box BB</v>
          </cell>
          <cell r="AF1163" t="str">
            <v>6-5/8" REG Pin SRG</v>
          </cell>
          <cell r="AG1163" t="str">
            <v>Insert</v>
          </cell>
          <cell r="AH1163" t="str">
            <v xml:space="preserve"> en stock </v>
          </cell>
          <cell r="AI1163">
            <v>1</v>
          </cell>
          <cell r="AJ1163">
            <v>0</v>
          </cell>
          <cell r="AK1163">
            <v>0</v>
          </cell>
          <cell r="AL1163"/>
          <cell r="AM1163"/>
          <cell r="AN1163">
            <v>8110783</v>
          </cell>
          <cell r="AO1163"/>
          <cell r="AP1163"/>
          <cell r="AQ1163"/>
          <cell r="AR1163" t="str">
            <v>DOT1096</v>
          </cell>
          <cell r="AS1163">
            <v>62</v>
          </cell>
          <cell r="AT1163"/>
          <cell r="AU1163" t="str">
            <v/>
          </cell>
          <cell r="AV1163"/>
        </row>
        <row r="1164">
          <cell r="Z1164">
            <v>8710784</v>
          </cell>
          <cell r="AA1164" t="str">
            <v>NON MAG String Stab
6-5/8" REG Pin x 6-5/8" REG Box</v>
          </cell>
          <cell r="AB1164">
            <v>540</v>
          </cell>
          <cell r="AC1164">
            <v>11.375</v>
          </cell>
          <cell r="AD1164">
            <v>2130</v>
          </cell>
          <cell r="AE1164" t="str">
            <v>6-5/8" REG Box</v>
          </cell>
          <cell r="AF1164" t="str">
            <v>6-5/8" REG Pin</v>
          </cell>
          <cell r="AG1164" t="str">
            <v>Insert</v>
          </cell>
          <cell r="AH1164" t="str">
            <v>en stock</v>
          </cell>
          <cell r="AI1164">
            <v>0</v>
          </cell>
          <cell r="AJ1164">
            <v>0</v>
          </cell>
          <cell r="AK1164">
            <v>1</v>
          </cell>
          <cell r="AL1164"/>
          <cell r="AM1164"/>
          <cell r="AN1164">
            <v>8110784</v>
          </cell>
          <cell r="AO1164"/>
          <cell r="AP1164"/>
          <cell r="AQ1164"/>
          <cell r="AR1164"/>
          <cell r="AS1164">
            <v>54</v>
          </cell>
          <cell r="AT1164"/>
          <cell r="AU1164" t="str">
            <v/>
          </cell>
          <cell r="AV1164"/>
        </row>
        <row r="1165">
          <cell r="Z1165">
            <v>8710785</v>
          </cell>
          <cell r="AA1165" t="str">
            <v>NON MAG String Stab
6-5/8" REG Pin x 6-5/8" REG Box</v>
          </cell>
          <cell r="AB1165">
            <v>566</v>
          </cell>
          <cell r="AC1165">
            <v>11.3125</v>
          </cell>
          <cell r="AD1165">
            <v>2250</v>
          </cell>
          <cell r="AE1165" t="str">
            <v>6-5/8" REG Box</v>
          </cell>
          <cell r="AF1165" t="str">
            <v>6-5/8" REG Pin</v>
          </cell>
          <cell r="AG1165" t="str">
            <v>Insert</v>
          </cell>
          <cell r="AH1165" t="str">
            <v xml:space="preserve"> en stock </v>
          </cell>
          <cell r="AI1165">
            <v>1</v>
          </cell>
          <cell r="AJ1165">
            <v>0</v>
          </cell>
          <cell r="AK1165">
            <v>0</v>
          </cell>
          <cell r="AL1165"/>
          <cell r="AM1165"/>
          <cell r="AN1165">
            <v>8110785</v>
          </cell>
          <cell r="AO1165"/>
          <cell r="AP1165"/>
          <cell r="AQ1165"/>
          <cell r="AR1165"/>
          <cell r="AS1165">
            <v>51</v>
          </cell>
          <cell r="AT1165"/>
          <cell r="AU1165" t="str">
            <v/>
          </cell>
          <cell r="AV1165"/>
        </row>
        <row r="1166">
          <cell r="Z1166">
            <v>8711498</v>
          </cell>
          <cell r="AA1166" t="str">
            <v>NON MAG String Stab
6-5/8" REG Pin SRG x 6-5/8" REG Box BB</v>
          </cell>
          <cell r="AB1166">
            <v>494</v>
          </cell>
          <cell r="AC1166">
            <v>13.5</v>
          </cell>
          <cell r="AD1166">
            <v>1810</v>
          </cell>
          <cell r="AE1166" t="str">
            <v>6-5/8" REG Box BB</v>
          </cell>
          <cell r="AF1166" t="str">
            <v>6-5/8" REG Pin SRG</v>
          </cell>
          <cell r="AG1166" t="str">
            <v>Carbure</v>
          </cell>
          <cell r="AH1166" t="str">
            <v xml:space="preserve"> en stock </v>
          </cell>
          <cell r="AI1166">
            <v>1</v>
          </cell>
          <cell r="AJ1166">
            <v>0</v>
          </cell>
          <cell r="AK1166">
            <v>0</v>
          </cell>
          <cell r="AL1166"/>
          <cell r="AM1166"/>
          <cell r="AN1166">
            <v>8110786</v>
          </cell>
          <cell r="AO1166"/>
          <cell r="AP1166"/>
          <cell r="AQ1166"/>
          <cell r="AR1166" t="str">
            <v>DOT 32397</v>
          </cell>
          <cell r="AS1166">
            <v>76</v>
          </cell>
          <cell r="AT1166"/>
          <cell r="AU1166" t="str">
            <v/>
          </cell>
          <cell r="AV1166"/>
        </row>
        <row r="1167">
          <cell r="Z1167">
            <v>8710787</v>
          </cell>
          <cell r="AA1167" t="str">
            <v>NON MAG String Stab
6-5/8" REG Pin x 6-5/8" REG Box</v>
          </cell>
          <cell r="AB1167">
            <v>550</v>
          </cell>
          <cell r="AC1167">
            <v>11.75</v>
          </cell>
          <cell r="AD1167">
            <v>2070</v>
          </cell>
          <cell r="AE1167" t="str">
            <v>6-5/8" REG Box</v>
          </cell>
          <cell r="AF1167" t="str">
            <v>6-5/8" REG Pin</v>
          </cell>
          <cell r="AG1167" t="str">
            <v>Carbure</v>
          </cell>
          <cell r="AH1167" t="str">
            <v xml:space="preserve"> en stock </v>
          </cell>
          <cell r="AI1167">
            <v>1</v>
          </cell>
          <cell r="AJ1167">
            <v>0</v>
          </cell>
          <cell r="AK1167">
            <v>0</v>
          </cell>
          <cell r="AL1167"/>
          <cell r="AM1167"/>
          <cell r="AN1167">
            <v>8110787</v>
          </cell>
          <cell r="AO1167"/>
          <cell r="AP1167"/>
          <cell r="AQ1167"/>
          <cell r="AR1167"/>
          <cell r="AS1167">
            <v>74</v>
          </cell>
          <cell r="AT1167"/>
          <cell r="AU1167" t="str">
            <v/>
          </cell>
          <cell r="AV1167"/>
        </row>
        <row r="1168">
          <cell r="Z1168">
            <v>8711500</v>
          </cell>
          <cell r="AA1168" t="str">
            <v>NON MAG String Stab
7-5/8" REG Pin SRG x 7-5/8" REG Box BB</v>
          </cell>
          <cell r="AB1168">
            <v>706</v>
          </cell>
          <cell r="AC1168">
            <v>14.8125</v>
          </cell>
          <cell r="AD1168">
            <v>1810</v>
          </cell>
          <cell r="AE1168" t="str">
            <v>7-5/8" REG Box BB</v>
          </cell>
          <cell r="AF1168" t="str">
            <v>7-5/8" REG Pin SRG</v>
          </cell>
          <cell r="AG1168" t="str">
            <v>Insert</v>
          </cell>
          <cell r="AH1168" t="str">
            <v xml:space="preserve"> en stock </v>
          </cell>
          <cell r="AI1168">
            <v>1</v>
          </cell>
          <cell r="AJ1168">
            <v>0</v>
          </cell>
          <cell r="AK1168">
            <v>0</v>
          </cell>
          <cell r="AL1168"/>
          <cell r="AM1168"/>
          <cell r="AN1168">
            <v>8110788</v>
          </cell>
          <cell r="AO1168"/>
          <cell r="AP1168"/>
          <cell r="AQ1168"/>
          <cell r="AR1168">
            <v>3241001</v>
          </cell>
          <cell r="AS1168">
            <v>83</v>
          </cell>
          <cell r="AT1168"/>
          <cell r="AU1168" t="str">
            <v/>
          </cell>
          <cell r="AV1168"/>
        </row>
        <row r="1169">
          <cell r="Z1169">
            <v>8710789</v>
          </cell>
          <cell r="AA1169" t="str">
            <v>NON MAG String Stab
7-5/8" REG Pin x 7-5/8" REG Box</v>
          </cell>
          <cell r="AB1169">
            <v>884</v>
          </cell>
          <cell r="AC1169">
            <v>16.25</v>
          </cell>
          <cell r="AD1169">
            <v>1730</v>
          </cell>
          <cell r="AE1169" t="str">
            <v>7-5/8" REG Box</v>
          </cell>
          <cell r="AF1169" t="str">
            <v>7-5/8" REG Pin</v>
          </cell>
          <cell r="AG1169" t="str">
            <v>Insert</v>
          </cell>
          <cell r="AH1169" t="str">
            <v>sur chantier</v>
          </cell>
          <cell r="AI1169" t="str">
            <v/>
          </cell>
          <cell r="AJ1169">
            <v>1</v>
          </cell>
          <cell r="AK1169">
            <v>0</v>
          </cell>
          <cell r="AL1169"/>
          <cell r="AM1169"/>
          <cell r="AN1169">
            <v>8110789</v>
          </cell>
          <cell r="AO1169"/>
          <cell r="AP1169"/>
          <cell r="AQ1169"/>
          <cell r="AR1169"/>
          <cell r="AS1169">
            <v>87</v>
          </cell>
          <cell r="AT1169"/>
          <cell r="AU1169" t="str">
            <v/>
          </cell>
          <cell r="AV1169"/>
        </row>
        <row r="1170">
          <cell r="Z1170">
            <v>8710790</v>
          </cell>
          <cell r="AA1170" t="str">
            <v>NON MAG String Stab
7-5/8" REG Pin x 7-5/8" REG Box</v>
          </cell>
          <cell r="AB1170">
            <v>880</v>
          </cell>
          <cell r="AC1170">
            <v>16.5</v>
          </cell>
          <cell r="AD1170">
            <v>1710</v>
          </cell>
          <cell r="AE1170" t="str">
            <v>7-5/8" REG Box</v>
          </cell>
          <cell r="AF1170" t="str">
            <v>7-5/8" REG Pin</v>
          </cell>
          <cell r="AG1170" t="str">
            <v>Insert</v>
          </cell>
          <cell r="AH1170" t="str">
            <v xml:space="preserve"> en stock </v>
          </cell>
          <cell r="AI1170">
            <v>1</v>
          </cell>
          <cell r="AJ1170">
            <v>0</v>
          </cell>
          <cell r="AK1170">
            <v>0</v>
          </cell>
          <cell r="AL1170"/>
          <cell r="AM1170"/>
          <cell r="AN1170">
            <v>8110790</v>
          </cell>
          <cell r="AO1170"/>
          <cell r="AP1170"/>
          <cell r="AQ1170"/>
          <cell r="AR1170"/>
          <cell r="AS1170">
            <v>88</v>
          </cell>
          <cell r="AT1170"/>
          <cell r="AU1170" t="str">
            <v/>
          </cell>
          <cell r="AV1170"/>
        </row>
        <row r="1171">
          <cell r="Z1171">
            <v>8110791</v>
          </cell>
          <cell r="AA1171" t="str">
            <v>String Stab
7-5/8" REG Pin x 7-5/8" REG Box</v>
          </cell>
          <cell r="AB1171">
            <v>700</v>
          </cell>
          <cell r="AC1171">
            <v>16.6875</v>
          </cell>
          <cell r="AD1171">
            <v>1900</v>
          </cell>
          <cell r="AE1171" t="str">
            <v>7-5/8" REG Box</v>
          </cell>
          <cell r="AF1171" t="str">
            <v>7-5/8" REG Pin</v>
          </cell>
          <cell r="AG1171" t="str">
            <v>Mixed I/C</v>
          </cell>
          <cell r="AH1171" t="str">
            <v>sur chantier</v>
          </cell>
          <cell r="AI1171" t="str">
            <v/>
          </cell>
          <cell r="AJ1171">
            <v>1</v>
          </cell>
          <cell r="AK1171">
            <v>0</v>
          </cell>
          <cell r="AL1171"/>
          <cell r="AM1171"/>
          <cell r="AN1171">
            <v>8110791</v>
          </cell>
          <cell r="AO1171"/>
          <cell r="AP1171"/>
          <cell r="AQ1171"/>
          <cell r="AR1171" t="str">
            <v>588801 = DOT 1245</v>
          </cell>
          <cell r="AS1171">
            <v>89</v>
          </cell>
          <cell r="AT1171"/>
          <cell r="AU1171" t="str">
            <v/>
          </cell>
          <cell r="AV1171"/>
        </row>
        <row r="1172">
          <cell r="Z1172">
            <v>8110792</v>
          </cell>
          <cell r="AA1172" t="str">
            <v>String Stab
7-5/8" REG Pin x 7-5/8" REG Box</v>
          </cell>
          <cell r="AB1172">
            <v>858</v>
          </cell>
          <cell r="AC1172">
            <v>17.1875</v>
          </cell>
          <cell r="AD1172">
            <v>1720</v>
          </cell>
          <cell r="AE1172" t="str">
            <v>7-5/8" REG Box</v>
          </cell>
          <cell r="AF1172" t="str">
            <v>7-5/8" REG Pin</v>
          </cell>
          <cell r="AG1172" t="str">
            <v>TGG</v>
          </cell>
          <cell r="AH1172" t="str">
            <v xml:space="preserve"> en stock </v>
          </cell>
          <cell r="AI1172">
            <v>1</v>
          </cell>
          <cell r="AJ1172">
            <v>0</v>
          </cell>
          <cell r="AK1172">
            <v>0</v>
          </cell>
          <cell r="AL1172"/>
          <cell r="AM1172"/>
          <cell r="AN1172">
            <v>8110792</v>
          </cell>
          <cell r="AO1172"/>
          <cell r="AP1172"/>
          <cell r="AQ1172"/>
          <cell r="AR1172">
            <v>588706</v>
          </cell>
          <cell r="AS1172">
            <v>96</v>
          </cell>
          <cell r="AT1172"/>
          <cell r="AU1172" t="str">
            <v/>
          </cell>
          <cell r="AV1172"/>
        </row>
        <row r="1173">
          <cell r="Z1173">
            <v>8110793</v>
          </cell>
          <cell r="AA1173"/>
          <cell r="AB1173"/>
          <cell r="AC1173"/>
          <cell r="AD1173"/>
          <cell r="AE1173"/>
          <cell r="AF1173"/>
          <cell r="AG1173"/>
          <cell r="AH1173" t="str">
            <v>en stock</v>
          </cell>
          <cell r="AI1173"/>
          <cell r="AJ1173"/>
          <cell r="AK1173"/>
          <cell r="AL1173"/>
          <cell r="AM1173"/>
          <cell r="AN1173" t="str">
            <v/>
          </cell>
          <cell r="AO1173"/>
          <cell r="AP1173"/>
          <cell r="AQ1173"/>
          <cell r="AR1173"/>
          <cell r="AS1173"/>
          <cell r="AT1173"/>
          <cell r="AU1173" t="str">
            <v/>
          </cell>
          <cell r="AV1173"/>
        </row>
        <row r="1174">
          <cell r="Z1174">
            <v>2021</v>
          </cell>
          <cell r="AA1174"/>
          <cell r="AB1174"/>
          <cell r="AC1174"/>
          <cell r="AD1174"/>
          <cell r="AE1174"/>
          <cell r="AF1174"/>
          <cell r="AG1174"/>
          <cell r="AH1174" t="str">
            <v>en stock</v>
          </cell>
          <cell r="AI1174"/>
          <cell r="AJ1174"/>
          <cell r="AK1174"/>
          <cell r="AL1174"/>
          <cell r="AM1174"/>
          <cell r="AN1174">
            <v>2021</v>
          </cell>
          <cell r="AO1174"/>
          <cell r="AP1174"/>
          <cell r="AQ1174"/>
          <cell r="AR1174"/>
          <cell r="AS1174"/>
          <cell r="AT1174"/>
          <cell r="AU1174" t="str">
            <v/>
          </cell>
          <cell r="AV1174"/>
        </row>
        <row r="1175">
          <cell r="Z1175">
            <v>1030772</v>
          </cell>
          <cell r="AA1175" t="str">
            <v>Casing Scraper 7-7/8" OD Body
6-5/8" REG Box x 6-5/8" REG Box</v>
          </cell>
          <cell r="AB1175">
            <v>328</v>
          </cell>
          <cell r="AC1175">
            <v>7.875</v>
          </cell>
          <cell r="AD1175">
            <v>1505</v>
          </cell>
          <cell r="AE1175" t="str">
            <v>6-5/8" REG Box</v>
          </cell>
          <cell r="AF1175" t="str">
            <v>6-5/8" REG Box</v>
          </cell>
          <cell r="AG1175"/>
          <cell r="AH1175" t="str">
            <v xml:space="preserve"> en stock </v>
          </cell>
          <cell r="AI1175">
            <v>1</v>
          </cell>
          <cell r="AJ1175">
            <v>0</v>
          </cell>
          <cell r="AK1175">
            <v>0</v>
          </cell>
          <cell r="AL1175"/>
          <cell r="AM1175"/>
          <cell r="AN1175">
            <v>1030772</v>
          </cell>
          <cell r="AO1175"/>
          <cell r="AP1175"/>
          <cell r="AQ1175"/>
          <cell r="AR1175"/>
          <cell r="AS1175">
            <v>20</v>
          </cell>
          <cell r="AT1175"/>
          <cell r="AU1175" t="str">
            <v>FR</v>
          </cell>
          <cell r="AV1175"/>
        </row>
        <row r="1176">
          <cell r="Z1176">
            <v>7040773</v>
          </cell>
          <cell r="AA1176" t="str">
            <v>8-1/8" FS Overshot - CA C-5342
4-1/2" IF Box</v>
          </cell>
          <cell r="AB1176">
            <v>142</v>
          </cell>
          <cell r="AC1176" t="str">
            <v>8-1/8" FS</v>
          </cell>
          <cell r="AD1176">
            <v>1330</v>
          </cell>
          <cell r="AE1176" t="str">
            <v>4-1/2" IF Box</v>
          </cell>
          <cell r="AF1176"/>
          <cell r="AG1176"/>
          <cell r="AH1176" t="str">
            <v xml:space="preserve"> en stock </v>
          </cell>
          <cell r="AI1176">
            <v>1</v>
          </cell>
          <cell r="AJ1176">
            <v>0</v>
          </cell>
          <cell r="AK1176">
            <v>0</v>
          </cell>
          <cell r="AL1176"/>
          <cell r="AM1176"/>
          <cell r="AN1176">
            <v>7040773</v>
          </cell>
          <cell r="AO1176"/>
          <cell r="AP1176"/>
          <cell r="AQ1176"/>
          <cell r="AR1176"/>
          <cell r="AS1176">
            <v>59</v>
          </cell>
          <cell r="AT1176" t="str">
            <v>704-5342</v>
          </cell>
          <cell r="AU1176" t="str">
            <v>FR</v>
          </cell>
          <cell r="AV1176"/>
        </row>
        <row r="1177">
          <cell r="Z1177">
            <v>5010774</v>
          </cell>
          <cell r="AA1177" t="str">
            <v>Ditch Magnet 36"</v>
          </cell>
          <cell r="AB1177">
            <v>46</v>
          </cell>
          <cell r="AC1177">
            <v>36</v>
          </cell>
          <cell r="AD1177">
            <v>36</v>
          </cell>
          <cell r="AE1177"/>
          <cell r="AF1177"/>
          <cell r="AG1177"/>
          <cell r="AH1177" t="str">
            <v xml:space="preserve"> en stock </v>
          </cell>
          <cell r="AI1177">
            <v>1</v>
          </cell>
          <cell r="AJ1177">
            <v>0</v>
          </cell>
          <cell r="AK1177">
            <v>0</v>
          </cell>
          <cell r="AL1177"/>
          <cell r="AM1177"/>
          <cell r="AN1177">
            <v>5010774</v>
          </cell>
          <cell r="AO1177"/>
          <cell r="AP1177"/>
          <cell r="AQ1177"/>
          <cell r="AR1177"/>
          <cell r="AS1177">
            <v>7</v>
          </cell>
          <cell r="AT1177"/>
          <cell r="AU1177" t="str">
            <v/>
          </cell>
          <cell r="AV1177"/>
        </row>
        <row r="1178">
          <cell r="Z1178" t="str">
            <v>xxx0775</v>
          </cell>
          <cell r="AA1178"/>
          <cell r="AB1178"/>
          <cell r="AC1178"/>
          <cell r="AD1178"/>
          <cell r="AE1178"/>
          <cell r="AF1178"/>
          <cell r="AG1178"/>
          <cell r="AH1178" t="str">
            <v>en stock</v>
          </cell>
          <cell r="AI1178"/>
          <cell r="AJ1178"/>
          <cell r="AK1178"/>
          <cell r="AL1178"/>
          <cell r="AM1178"/>
          <cell r="AN1178" t="str">
            <v/>
          </cell>
          <cell r="AO1178"/>
          <cell r="AP1178"/>
          <cell r="AQ1178"/>
          <cell r="AR1178"/>
          <cell r="AS1178"/>
          <cell r="AT1178"/>
          <cell r="AU1178" t="str">
            <v/>
          </cell>
          <cell r="AV1178"/>
        </row>
        <row r="1179">
          <cell r="Z1179" t="str">
            <v>xxx0776</v>
          </cell>
          <cell r="AA1179"/>
          <cell r="AB1179"/>
          <cell r="AC1179"/>
          <cell r="AD1179"/>
          <cell r="AE1179"/>
          <cell r="AF1179"/>
          <cell r="AG1179"/>
          <cell r="AH1179" t="str">
            <v>en stock</v>
          </cell>
          <cell r="AI1179"/>
          <cell r="AJ1179"/>
          <cell r="AK1179"/>
          <cell r="AL1179"/>
          <cell r="AM1179"/>
          <cell r="AN1179" t="str">
            <v/>
          </cell>
          <cell r="AO1179"/>
          <cell r="AP1179"/>
          <cell r="AQ1179"/>
          <cell r="AR1179"/>
          <cell r="AS1179"/>
          <cell r="AT1179"/>
          <cell r="AU1179" t="str">
            <v/>
          </cell>
          <cell r="AV1179"/>
        </row>
        <row r="1180">
          <cell r="Z1180" t="str">
            <v>xxx0777</v>
          </cell>
          <cell r="AA1180"/>
          <cell r="AB1180"/>
          <cell r="AC1180"/>
          <cell r="AD1180"/>
          <cell r="AE1180"/>
          <cell r="AF1180"/>
          <cell r="AG1180"/>
          <cell r="AH1180" t="str">
            <v>en stock</v>
          </cell>
          <cell r="AI1180"/>
          <cell r="AJ1180"/>
          <cell r="AK1180"/>
          <cell r="AL1180"/>
          <cell r="AM1180"/>
          <cell r="AN1180" t="str">
            <v/>
          </cell>
          <cell r="AO1180"/>
          <cell r="AP1180"/>
          <cell r="AQ1180"/>
          <cell r="AR1180"/>
          <cell r="AS1180"/>
          <cell r="AT1180"/>
          <cell r="AU1180" t="str">
            <v/>
          </cell>
          <cell r="AV1180"/>
        </row>
        <row r="1181">
          <cell r="Z1181" t="str">
            <v>xxx0778</v>
          </cell>
          <cell r="AA1181"/>
          <cell r="AB1181"/>
          <cell r="AC1181"/>
          <cell r="AD1181"/>
          <cell r="AE1181"/>
          <cell r="AF1181"/>
          <cell r="AG1181"/>
          <cell r="AH1181" t="str">
            <v>en stock</v>
          </cell>
          <cell r="AI1181"/>
          <cell r="AJ1181"/>
          <cell r="AK1181"/>
          <cell r="AL1181"/>
          <cell r="AM1181"/>
          <cell r="AN1181" t="str">
            <v/>
          </cell>
          <cell r="AO1181"/>
          <cell r="AP1181"/>
          <cell r="AQ1181"/>
          <cell r="AR1181"/>
          <cell r="AS1181"/>
          <cell r="AT1181"/>
          <cell r="AU1181" t="str">
            <v/>
          </cell>
          <cell r="AV1181"/>
        </row>
        <row r="1182">
          <cell r="Z1182" t="str">
            <v>xxx0779</v>
          </cell>
          <cell r="AA1182"/>
          <cell r="AB1182"/>
          <cell r="AC1182"/>
          <cell r="AD1182"/>
          <cell r="AE1182"/>
          <cell r="AF1182"/>
          <cell r="AG1182"/>
          <cell r="AH1182" t="str">
            <v>en stock</v>
          </cell>
          <cell r="AI1182"/>
          <cell r="AJ1182"/>
          <cell r="AK1182"/>
          <cell r="AL1182"/>
          <cell r="AM1182"/>
          <cell r="AN1182" t="str">
            <v/>
          </cell>
          <cell r="AO1182"/>
          <cell r="AP1182"/>
          <cell r="AQ1182"/>
          <cell r="AR1182"/>
          <cell r="AS1182"/>
          <cell r="AT1182"/>
          <cell r="AU1182" t="str">
            <v/>
          </cell>
          <cell r="AV1182"/>
        </row>
        <row r="1183">
          <cell r="Z1183" t="str">
            <v>xxx0780</v>
          </cell>
          <cell r="AA1183"/>
          <cell r="AB1183"/>
          <cell r="AC1183"/>
          <cell r="AD1183"/>
          <cell r="AE1183"/>
          <cell r="AF1183"/>
          <cell r="AG1183"/>
          <cell r="AH1183" t="str">
            <v>en stock</v>
          </cell>
          <cell r="AI1183"/>
          <cell r="AJ1183"/>
          <cell r="AK1183"/>
          <cell r="AL1183"/>
          <cell r="AM1183"/>
          <cell r="AN1183" t="str">
            <v/>
          </cell>
          <cell r="AO1183"/>
          <cell r="AP1183"/>
          <cell r="AQ1183"/>
          <cell r="AR1183"/>
          <cell r="AS1183"/>
          <cell r="AT1183"/>
          <cell r="AU1183" t="str">
            <v/>
          </cell>
          <cell r="AV1183"/>
        </row>
        <row r="1184">
          <cell r="Z1184" t="str">
            <v>xxx0781</v>
          </cell>
          <cell r="AA1184"/>
          <cell r="AB1184"/>
          <cell r="AC1184"/>
          <cell r="AD1184"/>
          <cell r="AE1184"/>
          <cell r="AF1184"/>
          <cell r="AG1184"/>
          <cell r="AH1184" t="str">
            <v>en stock</v>
          </cell>
          <cell r="AI1184"/>
          <cell r="AJ1184"/>
          <cell r="AK1184"/>
          <cell r="AL1184"/>
          <cell r="AM1184"/>
          <cell r="AN1184" t="str">
            <v/>
          </cell>
          <cell r="AO1184"/>
          <cell r="AP1184"/>
          <cell r="AQ1184"/>
          <cell r="AR1184"/>
          <cell r="AS1184"/>
          <cell r="AT1184"/>
          <cell r="AU1184" t="str">
            <v/>
          </cell>
          <cell r="AV1184"/>
        </row>
        <row r="1185">
          <cell r="Z1185" t="str">
            <v>xxx0782</v>
          </cell>
          <cell r="AA1185"/>
          <cell r="AB1185"/>
          <cell r="AC1185"/>
          <cell r="AD1185"/>
          <cell r="AE1185"/>
          <cell r="AF1185"/>
          <cell r="AG1185"/>
          <cell r="AH1185" t="str">
            <v>en stock</v>
          </cell>
          <cell r="AI1185"/>
          <cell r="AJ1185"/>
          <cell r="AK1185"/>
          <cell r="AL1185"/>
          <cell r="AM1185"/>
          <cell r="AN1185" t="str">
            <v/>
          </cell>
          <cell r="AO1185"/>
          <cell r="AP1185"/>
          <cell r="AQ1185"/>
          <cell r="AR1185"/>
          <cell r="AS1185"/>
          <cell r="AT1185"/>
          <cell r="AU1185" t="str">
            <v/>
          </cell>
          <cell r="AV1185"/>
        </row>
        <row r="1186">
          <cell r="Z1186" t="str">
            <v>xxx0783</v>
          </cell>
          <cell r="AA1186"/>
          <cell r="AB1186"/>
          <cell r="AC1186"/>
          <cell r="AD1186"/>
          <cell r="AE1186"/>
          <cell r="AF1186"/>
          <cell r="AG1186"/>
          <cell r="AH1186" t="str">
            <v>en stock</v>
          </cell>
          <cell r="AI1186"/>
          <cell r="AJ1186"/>
          <cell r="AK1186"/>
          <cell r="AL1186"/>
          <cell r="AM1186"/>
          <cell r="AN1186" t="str">
            <v/>
          </cell>
          <cell r="AO1186"/>
          <cell r="AP1186"/>
          <cell r="AQ1186"/>
          <cell r="AR1186"/>
          <cell r="AS1186"/>
          <cell r="AT1186"/>
          <cell r="AU1186" t="str">
            <v/>
          </cell>
          <cell r="AV1186"/>
        </row>
        <row r="1187">
          <cell r="Z1187" t="str">
            <v>xxx0784</v>
          </cell>
          <cell r="AA1187"/>
          <cell r="AB1187"/>
          <cell r="AC1187"/>
          <cell r="AD1187"/>
          <cell r="AE1187"/>
          <cell r="AF1187"/>
          <cell r="AG1187"/>
          <cell r="AH1187" t="str">
            <v>en stock</v>
          </cell>
          <cell r="AI1187"/>
          <cell r="AJ1187"/>
          <cell r="AK1187"/>
          <cell r="AL1187"/>
          <cell r="AM1187"/>
          <cell r="AN1187" t="str">
            <v/>
          </cell>
          <cell r="AO1187"/>
          <cell r="AP1187"/>
          <cell r="AQ1187"/>
          <cell r="AR1187"/>
          <cell r="AS1187"/>
          <cell r="AT1187"/>
          <cell r="AU1187" t="str">
            <v/>
          </cell>
          <cell r="AV1187"/>
        </row>
        <row r="1188">
          <cell r="Z1188" t="str">
            <v>xxx0785</v>
          </cell>
          <cell r="AA1188"/>
          <cell r="AB1188"/>
          <cell r="AC1188"/>
          <cell r="AD1188"/>
          <cell r="AE1188"/>
          <cell r="AF1188"/>
          <cell r="AG1188"/>
          <cell r="AH1188" t="str">
            <v>en stock</v>
          </cell>
          <cell r="AI1188"/>
          <cell r="AJ1188"/>
          <cell r="AK1188"/>
          <cell r="AL1188"/>
          <cell r="AM1188"/>
          <cell r="AN1188" t="str">
            <v/>
          </cell>
          <cell r="AO1188"/>
          <cell r="AP1188"/>
          <cell r="AQ1188"/>
          <cell r="AR1188"/>
          <cell r="AS1188"/>
          <cell r="AT1188"/>
          <cell r="AU1188" t="str">
            <v/>
          </cell>
          <cell r="AV1188"/>
        </row>
        <row r="1189">
          <cell r="Z1189" t="str">
            <v>xxx0786</v>
          </cell>
          <cell r="AA1189"/>
          <cell r="AB1189"/>
          <cell r="AC1189"/>
          <cell r="AD1189"/>
          <cell r="AE1189"/>
          <cell r="AF1189"/>
          <cell r="AG1189"/>
          <cell r="AH1189" t="str">
            <v>en stock</v>
          </cell>
          <cell r="AI1189"/>
          <cell r="AJ1189"/>
          <cell r="AK1189"/>
          <cell r="AL1189"/>
          <cell r="AM1189"/>
          <cell r="AN1189" t="str">
            <v/>
          </cell>
          <cell r="AO1189"/>
          <cell r="AP1189"/>
          <cell r="AQ1189"/>
          <cell r="AR1189"/>
          <cell r="AS1189"/>
          <cell r="AT1189"/>
          <cell r="AU1189" t="str">
            <v/>
          </cell>
          <cell r="AV1189"/>
        </row>
        <row r="1190">
          <cell r="Z1190" t="str">
            <v>xxx0787</v>
          </cell>
          <cell r="AA1190"/>
          <cell r="AB1190"/>
          <cell r="AC1190"/>
          <cell r="AD1190"/>
          <cell r="AE1190"/>
          <cell r="AF1190"/>
          <cell r="AG1190"/>
          <cell r="AH1190" t="str">
            <v>en stock</v>
          </cell>
          <cell r="AI1190"/>
          <cell r="AJ1190"/>
          <cell r="AK1190"/>
          <cell r="AL1190"/>
          <cell r="AM1190"/>
          <cell r="AN1190" t="str">
            <v/>
          </cell>
          <cell r="AO1190"/>
          <cell r="AP1190"/>
          <cell r="AQ1190"/>
          <cell r="AR1190"/>
          <cell r="AS1190"/>
          <cell r="AT1190"/>
          <cell r="AU1190" t="str">
            <v/>
          </cell>
          <cell r="AV1190"/>
        </row>
        <row r="1191">
          <cell r="Z1191" t="str">
            <v>xxx0788</v>
          </cell>
          <cell r="AA1191"/>
          <cell r="AB1191"/>
          <cell r="AC1191"/>
          <cell r="AD1191"/>
          <cell r="AE1191"/>
          <cell r="AF1191"/>
          <cell r="AG1191"/>
          <cell r="AH1191" t="str">
            <v>en stock</v>
          </cell>
          <cell r="AI1191"/>
          <cell r="AJ1191"/>
          <cell r="AK1191"/>
          <cell r="AL1191"/>
          <cell r="AM1191"/>
          <cell r="AN1191" t="str">
            <v/>
          </cell>
          <cell r="AO1191"/>
          <cell r="AP1191"/>
          <cell r="AQ1191"/>
          <cell r="AR1191"/>
          <cell r="AS1191"/>
          <cell r="AT1191"/>
          <cell r="AU1191" t="str">
            <v/>
          </cell>
          <cell r="AV1191"/>
        </row>
        <row r="1192">
          <cell r="Z1192" t="str">
            <v>xxx0789</v>
          </cell>
          <cell r="AA1192"/>
          <cell r="AB1192"/>
          <cell r="AC1192"/>
          <cell r="AD1192"/>
          <cell r="AE1192"/>
          <cell r="AF1192"/>
          <cell r="AG1192"/>
          <cell r="AH1192" t="str">
            <v>en stock</v>
          </cell>
          <cell r="AI1192"/>
          <cell r="AJ1192"/>
          <cell r="AK1192"/>
          <cell r="AL1192"/>
          <cell r="AM1192"/>
          <cell r="AN1192" t="str">
            <v/>
          </cell>
          <cell r="AO1192"/>
          <cell r="AP1192"/>
          <cell r="AQ1192"/>
          <cell r="AR1192"/>
          <cell r="AS1192"/>
          <cell r="AT1192"/>
          <cell r="AU1192" t="str">
            <v/>
          </cell>
          <cell r="AV1192"/>
        </row>
        <row r="1193">
          <cell r="Z1193" t="str">
            <v>xxx0790</v>
          </cell>
          <cell r="AA1193"/>
          <cell r="AB1193"/>
          <cell r="AC1193"/>
          <cell r="AD1193"/>
          <cell r="AE1193"/>
          <cell r="AF1193"/>
          <cell r="AG1193"/>
          <cell r="AH1193" t="str">
            <v>en stock</v>
          </cell>
          <cell r="AI1193"/>
          <cell r="AJ1193"/>
          <cell r="AK1193"/>
          <cell r="AL1193"/>
          <cell r="AM1193"/>
          <cell r="AN1193" t="str">
            <v/>
          </cell>
          <cell r="AO1193"/>
          <cell r="AP1193"/>
          <cell r="AQ1193"/>
          <cell r="AR1193"/>
          <cell r="AS1193"/>
          <cell r="AT1193"/>
          <cell r="AU1193" t="str">
            <v/>
          </cell>
          <cell r="AV1193"/>
        </row>
        <row r="1194">
          <cell r="Z1194" t="str">
            <v>xxx0791</v>
          </cell>
          <cell r="AA1194"/>
          <cell r="AB1194"/>
          <cell r="AC1194"/>
          <cell r="AD1194"/>
          <cell r="AE1194"/>
          <cell r="AF1194"/>
          <cell r="AG1194"/>
          <cell r="AH1194" t="str">
            <v>en stock</v>
          </cell>
          <cell r="AI1194"/>
          <cell r="AJ1194"/>
          <cell r="AK1194"/>
          <cell r="AL1194"/>
          <cell r="AM1194"/>
          <cell r="AN1194" t="str">
            <v/>
          </cell>
          <cell r="AO1194"/>
          <cell r="AP1194"/>
          <cell r="AQ1194"/>
          <cell r="AR1194"/>
          <cell r="AS1194"/>
          <cell r="AT1194"/>
          <cell r="AU1194" t="str">
            <v/>
          </cell>
          <cell r="AV1194"/>
        </row>
        <row r="1195">
          <cell r="Z1195" t="str">
            <v>xxx0792</v>
          </cell>
          <cell r="AA1195"/>
          <cell r="AB1195"/>
          <cell r="AC1195"/>
          <cell r="AD1195"/>
          <cell r="AE1195"/>
          <cell r="AF1195"/>
          <cell r="AG1195"/>
          <cell r="AH1195" t="str">
            <v>en stock</v>
          </cell>
          <cell r="AI1195"/>
          <cell r="AJ1195"/>
          <cell r="AK1195"/>
          <cell r="AL1195"/>
          <cell r="AM1195"/>
          <cell r="AN1195" t="str">
            <v/>
          </cell>
          <cell r="AO1195"/>
          <cell r="AP1195"/>
          <cell r="AQ1195"/>
          <cell r="AR1195"/>
          <cell r="AS1195"/>
          <cell r="AT1195"/>
          <cell r="AU1195" t="str">
            <v/>
          </cell>
          <cell r="AV1195"/>
        </row>
        <row r="1196">
          <cell r="Z1196" t="str">
            <v>xxx0793</v>
          </cell>
          <cell r="AA1196"/>
          <cell r="AB1196"/>
          <cell r="AC1196"/>
          <cell r="AD1196"/>
          <cell r="AE1196"/>
          <cell r="AF1196"/>
          <cell r="AG1196"/>
          <cell r="AH1196" t="str">
            <v>en stock</v>
          </cell>
          <cell r="AI1196"/>
          <cell r="AJ1196"/>
          <cell r="AK1196"/>
          <cell r="AL1196"/>
          <cell r="AM1196"/>
          <cell r="AN1196" t="str">
            <v/>
          </cell>
          <cell r="AO1196"/>
          <cell r="AP1196"/>
          <cell r="AQ1196"/>
          <cell r="AR1196"/>
          <cell r="AS1196"/>
          <cell r="AT1196"/>
          <cell r="AU1196" t="str">
            <v/>
          </cell>
          <cell r="AV1196"/>
        </row>
        <row r="1197">
          <cell r="Z1197" t="str">
            <v>TS-850-21019</v>
          </cell>
          <cell r="AA1197" t="str">
            <v>Top Sub PDM 8-1/2"</v>
          </cell>
          <cell r="AB1197"/>
          <cell r="AC1197"/>
          <cell r="AD1197"/>
          <cell r="AE1197"/>
          <cell r="AF1197"/>
          <cell r="AG1197"/>
          <cell r="AH1197" t="str">
            <v>en stock</v>
          </cell>
          <cell r="AI1197"/>
          <cell r="AJ1197"/>
          <cell r="AK1197"/>
          <cell r="AL1197"/>
          <cell r="AM1197"/>
          <cell r="AN1197" t="str">
            <v/>
          </cell>
          <cell r="AO1197"/>
          <cell r="AP1197"/>
          <cell r="AQ1197"/>
          <cell r="AR1197"/>
          <cell r="AS1197"/>
          <cell r="AT1197"/>
          <cell r="AU1197" t="str">
            <v>FR</v>
          </cell>
          <cell r="AV1197"/>
        </row>
        <row r="1198">
          <cell r="Z1198">
            <v>8130794</v>
          </cell>
          <cell r="AA1198" t="str">
            <v>XO
2-3/8" REG Pin x 3-1/2" REG Box</v>
          </cell>
          <cell r="AB1198">
            <v>24</v>
          </cell>
          <cell r="AC1198">
            <v>4.25</v>
          </cell>
          <cell r="AD1198">
            <v>500</v>
          </cell>
          <cell r="AE1198" t="str">
            <v>2-3/8" REG Pin</v>
          </cell>
          <cell r="AF1198" t="str">
            <v>3-1/2" REG Box</v>
          </cell>
          <cell r="AG1198"/>
          <cell r="AH1198" t="str">
            <v xml:space="preserve"> en stock </v>
          </cell>
          <cell r="AI1198">
            <v>1</v>
          </cell>
          <cell r="AJ1198">
            <v>0</v>
          </cell>
          <cell r="AK1198">
            <v>0</v>
          </cell>
          <cell r="AL1198"/>
          <cell r="AM1198"/>
          <cell r="AN1198">
            <v>8130794</v>
          </cell>
          <cell r="AO1198"/>
          <cell r="AP1198"/>
          <cell r="AQ1198"/>
          <cell r="AR1198"/>
          <cell r="AS1198">
            <v>63</v>
          </cell>
          <cell r="AT1198"/>
          <cell r="AU1198" t="str">
            <v>FR</v>
          </cell>
          <cell r="AV1198"/>
        </row>
        <row r="1199">
          <cell r="Z1199">
            <v>8130795</v>
          </cell>
          <cell r="AA1199" t="str">
            <v>XO
3-1/2" IF Pin x 3-1/2" REG Pin</v>
          </cell>
          <cell r="AB1199">
            <v>42</v>
          </cell>
          <cell r="AC1199">
            <v>4.75</v>
          </cell>
          <cell r="AD1199">
            <v>500</v>
          </cell>
          <cell r="AE1199" t="str">
            <v>3-1/2" IF Pin</v>
          </cell>
          <cell r="AF1199" t="str">
            <v>3-1/2" REG Pin</v>
          </cell>
          <cell r="AG1199"/>
          <cell r="AH1199" t="str">
            <v>maintenance</v>
          </cell>
          <cell r="AI1199" t="str">
            <v/>
          </cell>
          <cell r="AJ1199">
            <v>0</v>
          </cell>
          <cell r="AK1199">
            <v>1</v>
          </cell>
          <cell r="AL1199"/>
          <cell r="AM1199"/>
          <cell r="AN1199">
            <v>8130795</v>
          </cell>
          <cell r="AO1199"/>
          <cell r="AP1199"/>
          <cell r="AQ1199"/>
          <cell r="AR1199"/>
          <cell r="AS1199">
            <v>119</v>
          </cell>
          <cell r="AT1199"/>
          <cell r="AU1199" t="str">
            <v>FR</v>
          </cell>
          <cell r="AV1199"/>
        </row>
        <row r="1200">
          <cell r="Z1200">
            <v>8130796</v>
          </cell>
          <cell r="AA1200" t="str">
            <v>XO
2-7/8" REG Pin x 3-1/2" IF Box</v>
          </cell>
          <cell r="AB1200">
            <v>38</v>
          </cell>
          <cell r="AC1200">
            <v>4.75</v>
          </cell>
          <cell r="AD1200">
            <v>500</v>
          </cell>
          <cell r="AE1200" t="str">
            <v>2-7/8" REG Pin</v>
          </cell>
          <cell r="AF1200" t="str">
            <v>3-1/2" IF Box</v>
          </cell>
          <cell r="AG1200"/>
          <cell r="AH1200" t="str">
            <v>maintenance</v>
          </cell>
          <cell r="AI1200" t="str">
            <v/>
          </cell>
          <cell r="AJ1200">
            <v>0</v>
          </cell>
          <cell r="AK1200">
            <v>1</v>
          </cell>
          <cell r="AL1200"/>
          <cell r="AM1200"/>
          <cell r="AN1200">
            <v>8130796</v>
          </cell>
          <cell r="AO1200"/>
          <cell r="AP1200"/>
          <cell r="AQ1200"/>
          <cell r="AR1200"/>
          <cell r="AS1200">
            <v>93</v>
          </cell>
          <cell r="AT1200"/>
          <cell r="AU1200" t="str">
            <v>FR</v>
          </cell>
          <cell r="AV1200"/>
        </row>
        <row r="1201">
          <cell r="Z1201">
            <v>7050797</v>
          </cell>
          <cell r="AA1201" t="str">
            <v>Extension 8-1/8" FS Lg 315mm CA C-5342
8-1/8" FS Sellers Pin x Box</v>
          </cell>
          <cell r="AB1201">
            <v>22.553827876124995</v>
          </cell>
          <cell r="AC1201" t="str">
            <v>8-1/8" FS</v>
          </cell>
          <cell r="AD1201">
            <v>315</v>
          </cell>
          <cell r="AE1201" t="str">
            <v>8-1/8" FS Sellers Box</v>
          </cell>
          <cell r="AF1201" t="str">
            <v>8-1/8" FS Sellers Pin</v>
          </cell>
          <cell r="AG1201" t="str">
            <v>C-5342</v>
          </cell>
          <cell r="AH1201" t="str">
            <v xml:space="preserve"> en stock </v>
          </cell>
          <cell r="AI1201">
            <v>1</v>
          </cell>
          <cell r="AJ1201">
            <v>0</v>
          </cell>
          <cell r="AK1201">
            <v>0</v>
          </cell>
          <cell r="AL1201"/>
          <cell r="AM1201"/>
          <cell r="AN1201" t="str">
            <v/>
          </cell>
          <cell r="AO1201"/>
          <cell r="AP1201"/>
          <cell r="AQ1201"/>
          <cell r="AR1201"/>
          <cell r="AS1201">
            <v>45</v>
          </cell>
          <cell r="AT1201" t="str">
            <v>705-5342</v>
          </cell>
          <cell r="AU1201" t="str">
            <v>FR</v>
          </cell>
          <cell r="AV1201"/>
        </row>
        <row r="1202">
          <cell r="Z1202" t="str">
            <v>605-850-011</v>
          </cell>
          <cell r="AA1202" t="str">
            <v>Sleeve 0 for PDM 8-1/2"</v>
          </cell>
          <cell r="AB1202">
            <v>114</v>
          </cell>
          <cell r="AC1202">
            <v>0</v>
          </cell>
          <cell r="AD1202"/>
          <cell r="AE1202" t="str">
            <v xml:space="preserve">for PDM </v>
          </cell>
          <cell r="AF1202" t="str">
            <v xml:space="preserve">on </v>
          </cell>
          <cell r="AG1202"/>
          <cell r="AH1202" t="str">
            <v xml:space="preserve"> en stock </v>
          </cell>
          <cell r="AI1202">
            <v>1</v>
          </cell>
          <cell r="AJ1202">
            <v>0</v>
          </cell>
          <cell r="AK1202">
            <v>0</v>
          </cell>
          <cell r="AL1202"/>
          <cell r="AM1202"/>
          <cell r="AN1202">
            <v>605850011</v>
          </cell>
          <cell r="AO1202"/>
          <cell r="AP1202"/>
          <cell r="AQ1202"/>
          <cell r="AR1202"/>
          <cell r="AS1202">
            <v>66</v>
          </cell>
          <cell r="AT1202"/>
          <cell r="AU1202" t="str">
            <v>FR</v>
          </cell>
          <cell r="AV1202"/>
        </row>
        <row r="1203">
          <cell r="Z1203">
            <v>7120798</v>
          </cell>
          <cell r="AA1203" t="str">
            <v>Releasing Spear 4-1/32" OD Mandrel CA 9680
2-7/8" IF Box</v>
          </cell>
          <cell r="AB1203">
            <v>42</v>
          </cell>
          <cell r="AC1203">
            <v>4.03125</v>
          </cell>
          <cell r="AD1203" t="str">
            <v>CA 9680</v>
          </cell>
          <cell r="AE1203" t="str">
            <v>2-7/8" IF Box</v>
          </cell>
          <cell r="AF1203" t="str">
            <v>2-7/8" REG Pin</v>
          </cell>
          <cell r="AG1203"/>
          <cell r="AH1203" t="str">
            <v>maintenance</v>
          </cell>
          <cell r="AI1203" t="str">
            <v/>
          </cell>
          <cell r="AJ1203">
            <v>0</v>
          </cell>
          <cell r="AK1203">
            <v>1</v>
          </cell>
          <cell r="AL1203"/>
          <cell r="AM1203"/>
          <cell r="AN1203" t="str">
            <v/>
          </cell>
          <cell r="AO1203"/>
          <cell r="AP1203"/>
          <cell r="AQ1203"/>
          <cell r="AR1203"/>
          <cell r="AS1203">
            <v>19</v>
          </cell>
          <cell r="AT1203"/>
          <cell r="AU1203" t="str">
            <v/>
          </cell>
          <cell r="AV1203"/>
        </row>
        <row r="1204">
          <cell r="Z1204">
            <v>8130799</v>
          </cell>
          <cell r="AA1204" t="str">
            <v>XO
5-3/4" FS Pin x 5-1/2" FJWP Box</v>
          </cell>
          <cell r="AB1204">
            <v>14</v>
          </cell>
          <cell r="AC1204">
            <v>5.625</v>
          </cell>
          <cell r="AD1204">
            <v>430</v>
          </cell>
          <cell r="AE1204" t="str">
            <v>5-3/4" FS Pin</v>
          </cell>
          <cell r="AF1204" t="str">
            <v>5-1/2" FJWP Box</v>
          </cell>
          <cell r="AG1204"/>
          <cell r="AH1204" t="str">
            <v xml:space="preserve"> en stock </v>
          </cell>
          <cell r="AI1204">
            <v>1</v>
          </cell>
          <cell r="AJ1204">
            <v>0</v>
          </cell>
          <cell r="AK1204">
            <v>0</v>
          </cell>
          <cell r="AL1204"/>
          <cell r="AM1204"/>
          <cell r="AN1204" t="str">
            <v/>
          </cell>
          <cell r="AO1204"/>
          <cell r="AP1204"/>
          <cell r="AQ1204"/>
          <cell r="AR1204"/>
          <cell r="AS1204">
            <v>198</v>
          </cell>
          <cell r="AT1204"/>
          <cell r="AU1204" t="str">
            <v>FR</v>
          </cell>
          <cell r="AV1204"/>
        </row>
        <row r="1205">
          <cell r="Z1205">
            <v>1060799</v>
          </cell>
          <cell r="AA1205" t="str">
            <v>Impression Block 3-5/8" 
2-3/8" IF Box</v>
          </cell>
          <cell r="AB1205">
            <v>0</v>
          </cell>
          <cell r="AC1205">
            <v>3.625</v>
          </cell>
          <cell r="AD1205">
            <v>285</v>
          </cell>
          <cell r="AE1205" t="str">
            <v>2-3/8" IF Box</v>
          </cell>
          <cell r="AF1205"/>
          <cell r="AG1205"/>
          <cell r="AH1205" t="str">
            <v xml:space="preserve"> en stock </v>
          </cell>
          <cell r="AI1205">
            <v>1</v>
          </cell>
          <cell r="AJ1205">
            <v>0</v>
          </cell>
          <cell r="AK1205">
            <v>0</v>
          </cell>
          <cell r="AL1205" t="str">
            <v>4-3</v>
          </cell>
          <cell r="AM1205"/>
          <cell r="AN1205">
            <v>1060799</v>
          </cell>
          <cell r="AO1205"/>
          <cell r="AP1205"/>
          <cell r="AQ1205"/>
          <cell r="AR1205"/>
          <cell r="AS1205">
            <v>6</v>
          </cell>
          <cell r="AT1205"/>
          <cell r="AU1205" t="str">
            <v/>
          </cell>
          <cell r="AV1205"/>
        </row>
        <row r="1206">
          <cell r="Z1206">
            <v>5110800</v>
          </cell>
          <cell r="AA1206" t="str">
            <v>WO Shoe
2-7/8" EU Pin</v>
          </cell>
          <cell r="AB1206">
            <v>0</v>
          </cell>
          <cell r="AC1206" t="str">
            <v xml:space="preserve"> - </v>
          </cell>
          <cell r="AD1206">
            <v>460</v>
          </cell>
          <cell r="AE1206" t="str">
            <v>2-7/8" EU Pin</v>
          </cell>
          <cell r="AF1206"/>
          <cell r="AG1206" t="str">
            <v xml:space="preserve"> - </v>
          </cell>
          <cell r="AH1206" t="str">
            <v xml:space="preserve"> en stock </v>
          </cell>
          <cell r="AI1206">
            <v>1</v>
          </cell>
          <cell r="AJ1206">
            <v>0</v>
          </cell>
          <cell r="AK1206">
            <v>0</v>
          </cell>
          <cell r="AL1206"/>
          <cell r="AM1206"/>
          <cell r="AN1206" t="str">
            <v/>
          </cell>
          <cell r="AO1206"/>
          <cell r="AP1206"/>
          <cell r="AQ1206"/>
          <cell r="AR1206"/>
          <cell r="AS1206">
            <v>7</v>
          </cell>
          <cell r="AT1206"/>
          <cell r="AU1206" t="str">
            <v/>
          </cell>
          <cell r="AV1206"/>
        </row>
        <row r="1207">
          <cell r="Z1207">
            <v>7040801</v>
          </cell>
          <cell r="AA1207"/>
          <cell r="AB1207"/>
          <cell r="AC1207"/>
          <cell r="AD1207"/>
          <cell r="AE1207"/>
          <cell r="AF1207"/>
          <cell r="AG1207"/>
          <cell r="AH1207" t="str">
            <v>en stock</v>
          </cell>
          <cell r="AI1207"/>
          <cell r="AJ1207"/>
          <cell r="AK1207"/>
          <cell r="AL1207"/>
          <cell r="AM1207"/>
          <cell r="AN1207" t="str">
            <v/>
          </cell>
          <cell r="AO1207"/>
          <cell r="AP1207"/>
          <cell r="AQ1207"/>
          <cell r="AR1207"/>
          <cell r="AS1207"/>
          <cell r="AT1207"/>
          <cell r="AU1207" t="str">
            <v/>
          </cell>
          <cell r="AV1207"/>
        </row>
        <row r="1208">
          <cell r="Z1208">
            <v>7060802</v>
          </cell>
          <cell r="AA1208" t="str">
            <v>Oversize Guide 15" OD
11-3/4" FS Sellers Pin</v>
          </cell>
          <cell r="AB1208">
            <v>68</v>
          </cell>
          <cell r="AC1208" t="str">
            <v>15"</v>
          </cell>
          <cell r="AD1208">
            <v>430</v>
          </cell>
          <cell r="AE1208" t="str">
            <v>11-3/4" FS Sellers Pin</v>
          </cell>
          <cell r="AF1208"/>
          <cell r="AG1208"/>
          <cell r="AH1208" t="str">
            <v>sur chantier</v>
          </cell>
          <cell r="AI1208" t="str">
            <v/>
          </cell>
          <cell r="AJ1208">
            <v>1</v>
          </cell>
          <cell r="AK1208">
            <v>0</v>
          </cell>
          <cell r="AL1208"/>
          <cell r="AM1208"/>
          <cell r="AN1208">
            <v>7060802</v>
          </cell>
          <cell r="AO1208"/>
          <cell r="AP1208"/>
          <cell r="AQ1208"/>
          <cell r="AR1208"/>
          <cell r="AS1208">
            <v>42</v>
          </cell>
          <cell r="AT1208"/>
          <cell r="AU1208" t="str">
            <v>FR</v>
          </cell>
          <cell r="AV1208"/>
        </row>
        <row r="1209">
          <cell r="Z1209">
            <v>8130803</v>
          </cell>
          <cell r="AA1209" t="str">
            <v>XO
5-1/2" FJWP Pin x 5-3/4" FS Pin</v>
          </cell>
          <cell r="AB1209">
            <v>12</v>
          </cell>
          <cell r="AC1209">
            <v>5.6875</v>
          </cell>
          <cell r="AD1209">
            <v>290</v>
          </cell>
          <cell r="AE1209" t="str">
            <v>5-1/2" FJWP Pin</v>
          </cell>
          <cell r="AF1209" t="str">
            <v>5-3/4" FS Pin</v>
          </cell>
          <cell r="AG1209"/>
          <cell r="AH1209" t="str">
            <v xml:space="preserve"> en stock </v>
          </cell>
          <cell r="AI1209">
            <v>1</v>
          </cell>
          <cell r="AJ1209">
            <v>0</v>
          </cell>
          <cell r="AK1209">
            <v>0</v>
          </cell>
          <cell r="AL1209"/>
          <cell r="AM1209"/>
          <cell r="AN1209" t="str">
            <v/>
          </cell>
          <cell r="AO1209"/>
          <cell r="AP1209"/>
          <cell r="AQ1209"/>
          <cell r="AR1209"/>
          <cell r="AS1209">
            <v>192</v>
          </cell>
          <cell r="AT1209"/>
          <cell r="AU1209" t="str">
            <v>FR</v>
          </cell>
          <cell r="AV1209"/>
        </row>
        <row r="1210">
          <cell r="Z1210">
            <v>8130804</v>
          </cell>
          <cell r="AA1210" t="str">
            <v>XO
7-5/8" FJWP Pin x 8-1/8" FS Pin</v>
          </cell>
          <cell r="AB1210">
            <v>37</v>
          </cell>
          <cell r="AC1210">
            <v>8</v>
          </cell>
          <cell r="AD1210">
            <v>190</v>
          </cell>
          <cell r="AE1210" t="str">
            <v>7-5/8" FJWP Pin</v>
          </cell>
          <cell r="AF1210" t="str">
            <v>8-1/8" FS Pin</v>
          </cell>
          <cell r="AG1210"/>
          <cell r="AH1210" t="str">
            <v xml:space="preserve"> en stock </v>
          </cell>
          <cell r="AI1210">
            <v>1</v>
          </cell>
          <cell r="AJ1210">
            <v>0</v>
          </cell>
          <cell r="AK1210">
            <v>0</v>
          </cell>
          <cell r="AL1210"/>
          <cell r="AM1210"/>
          <cell r="AN1210" t="str">
            <v/>
          </cell>
          <cell r="AO1210"/>
          <cell r="AP1210"/>
          <cell r="AQ1210"/>
          <cell r="AR1210"/>
          <cell r="AS1210">
            <v>233</v>
          </cell>
          <cell r="AT1210"/>
          <cell r="AU1210" t="str">
            <v>FR</v>
          </cell>
          <cell r="AV1210"/>
        </row>
        <row r="1211">
          <cell r="Z1211">
            <v>8130805</v>
          </cell>
          <cell r="AA1211"/>
          <cell r="AB1211"/>
          <cell r="AC1211"/>
          <cell r="AD1211"/>
          <cell r="AE1211"/>
          <cell r="AF1211"/>
          <cell r="AG1211"/>
          <cell r="AH1211" t="str">
            <v>en stock</v>
          </cell>
          <cell r="AI1211"/>
          <cell r="AJ1211"/>
          <cell r="AK1211"/>
          <cell r="AL1211"/>
          <cell r="AM1211"/>
          <cell r="AN1211">
            <v>8130805</v>
          </cell>
          <cell r="AO1211"/>
          <cell r="AP1211"/>
          <cell r="AQ1211"/>
          <cell r="AR1211"/>
          <cell r="AS1211"/>
          <cell r="AT1211"/>
          <cell r="AU1211" t="str">
            <v>FR</v>
          </cell>
          <cell r="AV1211"/>
        </row>
        <row r="1212">
          <cell r="Z1212">
            <v>5030806</v>
          </cell>
          <cell r="AA1212" t="str">
            <v>Junk Mill 
4-1/2" REG Pin</v>
          </cell>
          <cell r="AB1212">
            <v>0</v>
          </cell>
          <cell r="AC1212">
            <v>8.125</v>
          </cell>
          <cell r="AD1212">
            <v>0</v>
          </cell>
          <cell r="AE1212" t="str">
            <v>4-1/2" REG Pin</v>
          </cell>
          <cell r="AF1212"/>
          <cell r="AG1212">
            <v>0</v>
          </cell>
          <cell r="AH1212" t="str">
            <v>maintenance</v>
          </cell>
          <cell r="AI1212" t="str">
            <v/>
          </cell>
          <cell r="AJ1212">
            <v>0</v>
          </cell>
          <cell r="AK1212">
            <v>1</v>
          </cell>
          <cell r="AL1212"/>
          <cell r="AM1212"/>
          <cell r="AN1212" t="str">
            <v/>
          </cell>
          <cell r="AO1212"/>
          <cell r="AP1212"/>
          <cell r="AQ1212"/>
          <cell r="AR1212"/>
          <cell r="AS1212">
            <v>70</v>
          </cell>
          <cell r="AT1212" t="str">
            <v>503-</v>
          </cell>
          <cell r="AU1212" t="str">
            <v>FR</v>
          </cell>
          <cell r="AV1212"/>
        </row>
        <row r="1213">
          <cell r="Z1213">
            <v>8130807</v>
          </cell>
          <cell r="AA1213" t="str">
            <v>XO
8-1/8" FS Pin topsub side x 7-5/8" FJWP Box</v>
          </cell>
          <cell r="AB1213">
            <v>30</v>
          </cell>
          <cell r="AC1213">
            <v>8</v>
          </cell>
          <cell r="AD1213">
            <v>410</v>
          </cell>
          <cell r="AE1213" t="str">
            <v>8-1/8" FS Pin topsub side</v>
          </cell>
          <cell r="AF1213" t="str">
            <v>7-5/8" FJWP Box</v>
          </cell>
          <cell r="AG1213"/>
          <cell r="AH1213" t="str">
            <v xml:space="preserve"> en stock </v>
          </cell>
          <cell r="AI1213">
            <v>1</v>
          </cell>
          <cell r="AJ1213">
            <v>0</v>
          </cell>
          <cell r="AK1213">
            <v>0</v>
          </cell>
          <cell r="AL1213"/>
          <cell r="AM1213"/>
          <cell r="AN1213" t="str">
            <v/>
          </cell>
          <cell r="AO1213"/>
          <cell r="AP1213"/>
          <cell r="AQ1213"/>
          <cell r="AR1213"/>
          <cell r="AS1213">
            <v>238</v>
          </cell>
          <cell r="AT1213"/>
          <cell r="AU1213" t="str">
            <v>FR</v>
          </cell>
          <cell r="AV1213"/>
        </row>
        <row r="1214">
          <cell r="Z1214">
            <v>7130808</v>
          </cell>
          <cell r="AA1214" t="str">
            <v>Pack Off 3-1/4" OD body CA 9604
2-3/8" REG Box x Box</v>
          </cell>
          <cell r="AB1214">
            <v>26</v>
          </cell>
          <cell r="AC1214">
            <v>3.25</v>
          </cell>
          <cell r="AD1214" t="str">
            <v>CA 9604</v>
          </cell>
          <cell r="AE1214" t="str">
            <v>2-3/8" REG Box</v>
          </cell>
          <cell r="AF1214" t="str">
            <v>2-3/8" REG Box</v>
          </cell>
          <cell r="AG1214"/>
          <cell r="AH1214" t="str">
            <v xml:space="preserve"> en stock </v>
          </cell>
          <cell r="AI1214">
            <v>1</v>
          </cell>
          <cell r="AJ1214">
            <v>0</v>
          </cell>
          <cell r="AK1214">
            <v>0</v>
          </cell>
          <cell r="AL1214"/>
          <cell r="AM1214"/>
          <cell r="AN1214">
            <v>7130808</v>
          </cell>
          <cell r="AO1214"/>
          <cell r="AP1214"/>
          <cell r="AQ1214"/>
          <cell r="AR1214"/>
          <cell r="AS1214">
            <v>6</v>
          </cell>
          <cell r="AT1214"/>
          <cell r="AU1214" t="str">
            <v>FR</v>
          </cell>
          <cell r="AV1214"/>
        </row>
        <row r="1215">
          <cell r="Z1215">
            <v>7130809</v>
          </cell>
          <cell r="AA1215" t="str">
            <v>Pack Off 4-1/32" OD body CA 9760
2-7/8" REG Box x Box</v>
          </cell>
          <cell r="AB1215">
            <v>44</v>
          </cell>
          <cell r="AC1215">
            <v>4.03125</v>
          </cell>
          <cell r="AD1215" t="str">
            <v>CA 9760</v>
          </cell>
          <cell r="AE1215" t="str">
            <v>2-7/8" REG Box</v>
          </cell>
          <cell r="AF1215" t="str">
            <v>2-3/8" REG Pin</v>
          </cell>
          <cell r="AG1215"/>
          <cell r="AH1215" t="str">
            <v>maintenance</v>
          </cell>
          <cell r="AI1215" t="str">
            <v/>
          </cell>
          <cell r="AJ1215">
            <v>0</v>
          </cell>
          <cell r="AK1215">
            <v>1</v>
          </cell>
          <cell r="AL1215"/>
          <cell r="AM1215"/>
          <cell r="AN1215">
            <v>7130809</v>
          </cell>
          <cell r="AO1215"/>
          <cell r="AP1215"/>
          <cell r="AQ1215"/>
          <cell r="AR1215"/>
          <cell r="AS1215">
            <v>7</v>
          </cell>
          <cell r="AT1215"/>
          <cell r="AU1215" t="str">
            <v>FR</v>
          </cell>
          <cell r="AV1215"/>
        </row>
        <row r="1216">
          <cell r="Z1216">
            <v>7020810</v>
          </cell>
          <cell r="AA1216" t="str">
            <v>Fishing Magnet 7-5/8" OD
4-1/2" REG Pin</v>
          </cell>
          <cell r="AB1216">
            <v>0</v>
          </cell>
          <cell r="AC1216">
            <v>7.625</v>
          </cell>
          <cell r="AD1216">
            <v>0</v>
          </cell>
          <cell r="AE1216" t="str">
            <v>4-1/2" REG Pin</v>
          </cell>
          <cell r="AF1216"/>
          <cell r="AG1216"/>
          <cell r="AH1216" t="str">
            <v xml:space="preserve"> en stock </v>
          </cell>
          <cell r="AI1216">
            <v>1</v>
          </cell>
          <cell r="AJ1216">
            <v>0</v>
          </cell>
          <cell r="AK1216">
            <v>0</v>
          </cell>
          <cell r="AL1216"/>
          <cell r="AM1216"/>
          <cell r="AN1216" t="str">
            <v/>
          </cell>
          <cell r="AO1216"/>
          <cell r="AP1216"/>
          <cell r="AQ1216"/>
          <cell r="AR1216"/>
          <cell r="AS1216">
            <v>11</v>
          </cell>
          <cell r="AT1216"/>
          <cell r="AU1216" t="str">
            <v>FR</v>
          </cell>
          <cell r="AV1216"/>
        </row>
        <row r="1217">
          <cell r="Z1217">
            <v>8080901</v>
          </cell>
          <cell r="AA1217" t="str">
            <v>Short DC 9-1/2" Lg 2970mm
7-5/8" REG Pin x Box</v>
          </cell>
          <cell r="AB1217">
            <v>1058.8522226139</v>
          </cell>
          <cell r="AC1217">
            <v>9.5</v>
          </cell>
          <cell r="AD1217">
            <v>2970</v>
          </cell>
          <cell r="AE1217" t="str">
            <v>7-5/8" REG Box</v>
          </cell>
          <cell r="AF1217" t="str">
            <v>7-5/8" REG Pin</v>
          </cell>
          <cell r="AG1217"/>
          <cell r="AH1217" t="str">
            <v>maintenance</v>
          </cell>
          <cell r="AI1217" t="str">
            <v/>
          </cell>
          <cell r="AJ1217">
            <v>0</v>
          </cell>
          <cell r="AK1217">
            <v>1</v>
          </cell>
          <cell r="AL1217"/>
          <cell r="AM1217"/>
          <cell r="AN1217">
            <v>8080901</v>
          </cell>
          <cell r="AO1217"/>
          <cell r="AP1217"/>
          <cell r="AQ1217"/>
          <cell r="AR1217"/>
          <cell r="AS1217">
            <v>29</v>
          </cell>
          <cell r="AT1217"/>
          <cell r="AU1217" t="str">
            <v/>
          </cell>
          <cell r="AV1217"/>
        </row>
        <row r="1218">
          <cell r="Z1218">
            <v>8080902</v>
          </cell>
          <cell r="AA1218" t="str">
            <v>Short DC 9-1/2" Lg 2960mm
7-5/8" REG Pin x Box</v>
          </cell>
          <cell r="AB1218">
            <v>1055.2870636151999</v>
          </cell>
          <cell r="AC1218">
            <v>9.5</v>
          </cell>
          <cell r="AD1218">
            <v>2960</v>
          </cell>
          <cell r="AE1218" t="str">
            <v>7-5/8" REG Box BB</v>
          </cell>
          <cell r="AF1218" t="str">
            <v>7-5/8" REG Pin SRG</v>
          </cell>
          <cell r="AG1218"/>
          <cell r="AH1218" t="str">
            <v>maintenance</v>
          </cell>
          <cell r="AI1218" t="str">
            <v/>
          </cell>
          <cell r="AJ1218">
            <v>0</v>
          </cell>
          <cell r="AK1218">
            <v>1</v>
          </cell>
          <cell r="AL1218"/>
          <cell r="AM1218"/>
          <cell r="AN1218">
            <v>8080902</v>
          </cell>
          <cell r="AO1218"/>
          <cell r="AP1218"/>
          <cell r="AQ1218"/>
          <cell r="AR1218"/>
          <cell r="AS1218">
            <v>30</v>
          </cell>
          <cell r="AT1218"/>
          <cell r="AU1218" t="str">
            <v/>
          </cell>
          <cell r="AV1218"/>
        </row>
        <row r="1219">
          <cell r="Z1219">
            <v>8130808</v>
          </cell>
          <cell r="AA1219" t="str">
            <v>XO
3-1/2" IF Pin x 4-1/2" IF Box</v>
          </cell>
          <cell r="AB1219">
            <v>71</v>
          </cell>
          <cell r="AC1219">
            <v>6.0625</v>
          </cell>
          <cell r="AD1219">
            <v>824</v>
          </cell>
          <cell r="AE1219" t="str">
            <v>3-1/2" IF Pin</v>
          </cell>
          <cell r="AF1219" t="str">
            <v>4-1/2" IF Box</v>
          </cell>
          <cell r="AG1219"/>
          <cell r="AH1219" t="str">
            <v>maintenance</v>
          </cell>
          <cell r="AI1219" t="str">
            <v/>
          </cell>
          <cell r="AJ1219">
            <v>0</v>
          </cell>
          <cell r="AK1219">
            <v>1</v>
          </cell>
          <cell r="AL1219"/>
          <cell r="AM1219"/>
          <cell r="AN1219">
            <v>8130808</v>
          </cell>
          <cell r="AO1219"/>
          <cell r="AP1219"/>
          <cell r="AQ1219"/>
          <cell r="AR1219"/>
          <cell r="AS1219">
            <v>127</v>
          </cell>
          <cell r="AT1219"/>
          <cell r="AU1219" t="str">
            <v>FR</v>
          </cell>
          <cell r="AV1219"/>
        </row>
        <row r="1220">
          <cell r="Z1220">
            <v>8130809</v>
          </cell>
          <cell r="AA1220" t="str">
            <v>XO
2-3/8" REG Pin x 3-1/2" IF Box</v>
          </cell>
          <cell r="AB1220">
            <v>16</v>
          </cell>
          <cell r="AC1220">
            <v>4.75</v>
          </cell>
          <cell r="AD1220">
            <v>390</v>
          </cell>
          <cell r="AE1220" t="str">
            <v>2-3/8" REG Pin</v>
          </cell>
          <cell r="AF1220" t="str">
            <v>3-1/2" IF Box</v>
          </cell>
          <cell r="AG1220"/>
          <cell r="AH1220" t="str">
            <v xml:space="preserve"> en stock </v>
          </cell>
          <cell r="AI1220">
            <v>1</v>
          </cell>
          <cell r="AJ1220">
            <v>0</v>
          </cell>
          <cell r="AK1220">
            <v>0</v>
          </cell>
          <cell r="AL1220"/>
          <cell r="AM1220"/>
          <cell r="AN1220">
            <v>8130809</v>
          </cell>
          <cell r="AO1220"/>
          <cell r="AP1220"/>
          <cell r="AQ1220"/>
          <cell r="AR1220"/>
          <cell r="AS1220">
            <v>60</v>
          </cell>
          <cell r="AT1220"/>
          <cell r="AU1220" t="str">
            <v>FR</v>
          </cell>
          <cell r="AV1220"/>
        </row>
        <row r="1221">
          <cell r="Z1221">
            <v>5120135</v>
          </cell>
          <cell r="AA1221" t="str">
            <v>WO Top Sub
3-1/2" IF Box x 5-3/8" BRS Pin x 2-3/8" REG Box in</v>
          </cell>
          <cell r="AB1221">
            <v>52</v>
          </cell>
          <cell r="AC1221">
            <v>5.375</v>
          </cell>
          <cell r="AD1221">
            <v>300</v>
          </cell>
          <cell r="AE1221" t="str">
            <v>3-1/2" IF Box</v>
          </cell>
          <cell r="AF1221" t="str">
            <v>5-3/8" BRS Pin</v>
          </cell>
          <cell r="AG1221" t="str">
            <v>2-3/8" REG Box</v>
          </cell>
          <cell r="AH1221" t="str">
            <v xml:space="preserve"> en stock </v>
          </cell>
          <cell r="AI1221">
            <v>1</v>
          </cell>
          <cell r="AJ1221">
            <v>0</v>
          </cell>
          <cell r="AK1221">
            <v>0</v>
          </cell>
          <cell r="AL1221"/>
          <cell r="AM1221"/>
          <cell r="AN1221" t="str">
            <v/>
          </cell>
          <cell r="AO1221"/>
          <cell r="AP1221"/>
          <cell r="AQ1221"/>
          <cell r="AR1221"/>
          <cell r="AS1221">
            <v>20</v>
          </cell>
          <cell r="AT1221"/>
          <cell r="AU1221" t="str">
            <v>FR</v>
          </cell>
          <cell r="AV1221"/>
        </row>
        <row r="1222">
          <cell r="Z1222">
            <v>5090606</v>
          </cell>
          <cell r="AA1222" t="str">
            <v>WO Extension Lg 770 mm
5-3/8" BR Pin x Box</v>
          </cell>
          <cell r="AB1222">
            <v>0</v>
          </cell>
          <cell r="AC1222">
            <v>5.375</v>
          </cell>
          <cell r="AD1222">
            <v>770</v>
          </cell>
          <cell r="AE1222" t="str">
            <v>5-3/8" BR Box</v>
          </cell>
          <cell r="AF1222" t="str">
            <v>5-3/8" BR Pin</v>
          </cell>
          <cell r="AG1222"/>
          <cell r="AH1222" t="str">
            <v xml:space="preserve"> en stock </v>
          </cell>
          <cell r="AI1222">
            <v>1</v>
          </cell>
          <cell r="AJ1222">
            <v>0</v>
          </cell>
          <cell r="AK1222">
            <v>0</v>
          </cell>
          <cell r="AL1222"/>
          <cell r="AM1222"/>
          <cell r="AN1222" t="str">
            <v/>
          </cell>
          <cell r="AO1222"/>
          <cell r="AP1222"/>
          <cell r="AQ1222"/>
          <cell r="AR1222"/>
          <cell r="AS1222">
            <v>39</v>
          </cell>
          <cell r="AT1222" t="str">
            <v>509-5,375FJWP</v>
          </cell>
          <cell r="AU1222" t="str">
            <v>FR</v>
          </cell>
          <cell r="AV1222"/>
        </row>
        <row r="1223">
          <cell r="Z1223">
            <v>1095221</v>
          </cell>
          <cell r="AA1223" t="str">
            <v>Junk Sub 5" OD Cup 
3-1/2" REG Pin x Box</v>
          </cell>
          <cell r="AB1223">
            <v>64</v>
          </cell>
          <cell r="AC1223">
            <v>5</v>
          </cell>
          <cell r="AD1223">
            <v>1020</v>
          </cell>
          <cell r="AE1223" t="str">
            <v>3-1/2" REG Pin</v>
          </cell>
          <cell r="AF1223" t="str">
            <v>3-1/2" REG Box</v>
          </cell>
          <cell r="AG1223"/>
          <cell r="AH1223" t="str">
            <v xml:space="preserve"> en stock </v>
          </cell>
          <cell r="AI1223">
            <v>1</v>
          </cell>
          <cell r="AJ1223">
            <v>0</v>
          </cell>
          <cell r="AK1223">
            <v>0</v>
          </cell>
          <cell r="AL1223"/>
          <cell r="AM1223"/>
          <cell r="AN1223" t="str">
            <v/>
          </cell>
          <cell r="AO1223"/>
          <cell r="AP1223"/>
          <cell r="AQ1223"/>
          <cell r="AR1223"/>
          <cell r="AS1223">
            <v>13</v>
          </cell>
          <cell r="AT1223" t="str">
            <v>109-5,000</v>
          </cell>
          <cell r="AU1223" t="str">
            <v>FR</v>
          </cell>
          <cell r="AV1223"/>
        </row>
        <row r="1224">
          <cell r="Z1224">
            <v>1095222</v>
          </cell>
          <cell r="AA1224" t="str">
            <v>Junk Sub 5" OD Cup 
3-1/2"IF Box up x Pin down</v>
          </cell>
          <cell r="AB1224">
            <v>64</v>
          </cell>
          <cell r="AC1224">
            <v>5</v>
          </cell>
          <cell r="AD1224"/>
          <cell r="AE1224" t="str">
            <v>3-1/2" IF Box</v>
          </cell>
          <cell r="AF1224" t="str">
            <v>3-1/2" IF Pin</v>
          </cell>
          <cell r="AG1224"/>
          <cell r="AH1224" t="str">
            <v>en stock</v>
          </cell>
          <cell r="AI1224"/>
          <cell r="AJ1224"/>
          <cell r="AK1224"/>
          <cell r="AL1224"/>
          <cell r="AM1224"/>
          <cell r="AN1224" t="str">
            <v/>
          </cell>
          <cell r="AO1224"/>
          <cell r="AP1224"/>
          <cell r="AQ1224"/>
          <cell r="AR1224"/>
          <cell r="AS1224"/>
          <cell r="AT1224"/>
          <cell r="AU1224" t="str">
            <v/>
          </cell>
          <cell r="AV1224"/>
        </row>
        <row r="1225">
          <cell r="Z1225">
            <v>6040708</v>
          </cell>
          <cell r="AA1225" t="str">
            <v>UBHO 8" OD
6-5/8" REG Pin x Box</v>
          </cell>
          <cell r="AB1225">
            <v>200</v>
          </cell>
          <cell r="AC1225">
            <v>8</v>
          </cell>
          <cell r="AD1225">
            <v>940</v>
          </cell>
          <cell r="AE1225" t="str">
            <v>6-5/8" REG Box</v>
          </cell>
          <cell r="AF1225" t="str">
            <v>6-5/8" REG Pin</v>
          </cell>
          <cell r="AG1225"/>
          <cell r="AH1225" t="str">
            <v xml:space="preserve"> en stock </v>
          </cell>
          <cell r="AI1225">
            <v>1</v>
          </cell>
          <cell r="AJ1225">
            <v>0</v>
          </cell>
          <cell r="AK1225">
            <v>0</v>
          </cell>
          <cell r="AL1225"/>
          <cell r="AM1225"/>
          <cell r="AN1225">
            <v>6070708</v>
          </cell>
          <cell r="AO1225"/>
          <cell r="AP1225"/>
          <cell r="AQ1225"/>
          <cell r="AR1225"/>
          <cell r="AS1225">
            <v>27</v>
          </cell>
          <cell r="AT1225"/>
          <cell r="AU1225" t="str">
            <v>FR</v>
          </cell>
          <cell r="AV1225"/>
        </row>
        <row r="1226">
          <cell r="Z1226">
            <v>8080729</v>
          </cell>
          <cell r="AA1226" t="str">
            <v>Float Sub 8" Lg 685 mm
6-5/8" REG Pin x 6-5/8" REG Box BF (5F-6R)</v>
          </cell>
          <cell r="AB1226">
            <v>123</v>
          </cell>
          <cell r="AC1226">
            <v>8</v>
          </cell>
          <cell r="AD1226">
            <v>685</v>
          </cell>
          <cell r="AE1226" t="str">
            <v>6-5/8" REG Box BF</v>
          </cell>
          <cell r="AF1226" t="str">
            <v>6-5/8" REG Pin</v>
          </cell>
          <cell r="AG1226" t="str">
            <v>5F-6R</v>
          </cell>
          <cell r="AH1226" t="str">
            <v xml:space="preserve"> en stock </v>
          </cell>
          <cell r="AI1226">
            <v>1</v>
          </cell>
          <cell r="AJ1226">
            <v>0</v>
          </cell>
          <cell r="AK1226">
            <v>0</v>
          </cell>
          <cell r="AL1226"/>
          <cell r="AM1226"/>
          <cell r="AN1226">
            <v>8080729</v>
          </cell>
          <cell r="AO1226"/>
          <cell r="AP1226"/>
          <cell r="AQ1226"/>
          <cell r="AR1226"/>
          <cell r="AS1226">
            <v>28</v>
          </cell>
          <cell r="AT1226"/>
          <cell r="AU1226" t="str">
            <v>FR</v>
          </cell>
          <cell r="AV1226"/>
        </row>
        <row r="1227">
          <cell r="Z1227">
            <v>8080730</v>
          </cell>
          <cell r="AA1227" t="str">
            <v>Float Sub 8" Lg 685 mm
6-5/8" REG Pin x 6-5/8" REG Box BF (5F-6R)</v>
          </cell>
          <cell r="AB1227">
            <v>125</v>
          </cell>
          <cell r="AC1227">
            <v>8</v>
          </cell>
          <cell r="AD1227">
            <v>685</v>
          </cell>
          <cell r="AE1227" t="str">
            <v>6-5/8" REG Box BF</v>
          </cell>
          <cell r="AF1227" t="str">
            <v>6-5/8" REG Pin</v>
          </cell>
          <cell r="AG1227" t="str">
            <v>5F-6R</v>
          </cell>
          <cell r="AH1227" t="str">
            <v xml:space="preserve"> en stock </v>
          </cell>
          <cell r="AI1227">
            <v>1</v>
          </cell>
          <cell r="AJ1227">
            <v>0</v>
          </cell>
          <cell r="AK1227">
            <v>0</v>
          </cell>
          <cell r="AL1227"/>
          <cell r="AM1227"/>
          <cell r="AN1227">
            <v>8080730</v>
          </cell>
          <cell r="AO1227"/>
          <cell r="AP1227"/>
          <cell r="AQ1227"/>
          <cell r="AR1227"/>
          <cell r="AS1227">
            <v>29</v>
          </cell>
          <cell r="AT1227"/>
          <cell r="AU1227" t="str">
            <v>FR</v>
          </cell>
          <cell r="AV1227"/>
        </row>
        <row r="1228">
          <cell r="Z1228">
            <v>7050713</v>
          </cell>
          <cell r="AA1228" t="str">
            <v>Extension 11-1/4" FS Lg 300mm CA C12822
11-1/4" FS Sellers Pin x Box</v>
          </cell>
          <cell r="AB1228">
            <v>37.330473726000008</v>
          </cell>
          <cell r="AC1228" t="str">
            <v>11-1/4" FS</v>
          </cell>
          <cell r="AD1228">
            <v>300</v>
          </cell>
          <cell r="AE1228" t="str">
            <v>11-1/4" FS Sellers Box</v>
          </cell>
          <cell r="AF1228" t="str">
            <v>11-1/4" FS Sellers Pin</v>
          </cell>
          <cell r="AG1228" t="str">
            <v>C12822</v>
          </cell>
          <cell r="AH1228" t="str">
            <v xml:space="preserve"> en stock </v>
          </cell>
          <cell r="AI1228">
            <v>1</v>
          </cell>
          <cell r="AJ1228">
            <v>0</v>
          </cell>
          <cell r="AK1228">
            <v>0</v>
          </cell>
          <cell r="AL1228"/>
          <cell r="AM1228"/>
          <cell r="AN1228">
            <v>7050713</v>
          </cell>
          <cell r="AO1228"/>
          <cell r="AP1228"/>
          <cell r="AQ1228"/>
          <cell r="AR1228"/>
          <cell r="AS1228">
            <v>67</v>
          </cell>
          <cell r="AT1228" t="str">
            <v>705-12822</v>
          </cell>
          <cell r="AU1228" t="str">
            <v>FR</v>
          </cell>
          <cell r="AV1228"/>
        </row>
        <row r="1229">
          <cell r="Z1229">
            <v>8130810</v>
          </cell>
          <cell r="AA1229" t="str">
            <v>XO
3-1/8" PRT Pin x 2-1/4" PRT Box</v>
          </cell>
          <cell r="AB1229">
            <v>2.5</v>
          </cell>
          <cell r="AC1229">
            <v>3.0625</v>
          </cell>
          <cell r="AD1229">
            <v>220</v>
          </cell>
          <cell r="AE1229" t="str">
            <v>3-1/8" PRT Pin</v>
          </cell>
          <cell r="AF1229" t="str">
            <v>2-1/4" PRT Box</v>
          </cell>
          <cell r="AG1229"/>
          <cell r="AH1229" t="str">
            <v xml:space="preserve"> en stock </v>
          </cell>
          <cell r="AI1229">
            <v>1</v>
          </cell>
          <cell r="AJ1229">
            <v>0</v>
          </cell>
          <cell r="AK1229">
            <v>0</v>
          </cell>
          <cell r="AL1229"/>
          <cell r="AM1229"/>
          <cell r="AN1229" t="str">
            <v/>
          </cell>
          <cell r="AO1229"/>
          <cell r="AP1229"/>
          <cell r="AQ1229"/>
          <cell r="AR1229"/>
          <cell r="AS1229">
            <v>97</v>
          </cell>
          <cell r="AT1229"/>
          <cell r="AU1229" t="str">
            <v>FR</v>
          </cell>
          <cell r="AV1229"/>
        </row>
        <row r="1230">
          <cell r="Z1230">
            <v>8130811</v>
          </cell>
          <cell r="AA1230" t="str">
            <v>XO
5 3/8" BR Pin x  5 1/2" FJWP Box</v>
          </cell>
          <cell r="AB1230">
            <v>10</v>
          </cell>
          <cell r="AC1230">
            <v>5.5</v>
          </cell>
          <cell r="AD1230">
            <v>377</v>
          </cell>
          <cell r="AE1230" t="str">
            <v>5 3/8" BR Pin</v>
          </cell>
          <cell r="AF1230" t="str">
            <v xml:space="preserve"> 5 1/2" FJWP Box</v>
          </cell>
          <cell r="AG1230"/>
          <cell r="AH1230" t="str">
            <v xml:space="preserve"> en stock </v>
          </cell>
          <cell r="AI1230">
            <v>1</v>
          </cell>
          <cell r="AJ1230">
            <v>0</v>
          </cell>
          <cell r="AK1230">
            <v>0</v>
          </cell>
          <cell r="AL1230"/>
          <cell r="AM1230"/>
          <cell r="AN1230" t="str">
            <v/>
          </cell>
          <cell r="AO1230"/>
          <cell r="AP1230"/>
          <cell r="AQ1230"/>
          <cell r="AR1230"/>
          <cell r="AS1230">
            <v>194</v>
          </cell>
          <cell r="AT1230"/>
          <cell r="AU1230" t="str">
            <v>FR</v>
          </cell>
          <cell r="AV1230"/>
        </row>
        <row r="1231">
          <cell r="Z1231">
            <v>7020811</v>
          </cell>
          <cell r="AA1231" t="str">
            <v>Fishing Magnet 5-3/8" OD
3-1/2" REG Pin</v>
          </cell>
          <cell r="AB1231">
            <v>48</v>
          </cell>
          <cell r="AC1231">
            <v>5.375</v>
          </cell>
          <cell r="AD1231">
            <v>651</v>
          </cell>
          <cell r="AE1231" t="str">
            <v>3-1/2 REG Pin</v>
          </cell>
          <cell r="AF1231"/>
          <cell r="AG1231"/>
          <cell r="AH1231" t="str">
            <v>maintenance</v>
          </cell>
          <cell r="AI1231" t="str">
            <v/>
          </cell>
          <cell r="AJ1231">
            <v>0</v>
          </cell>
          <cell r="AK1231">
            <v>1</v>
          </cell>
          <cell r="AL1231"/>
          <cell r="AM1231"/>
          <cell r="AN1231" t="str">
            <v/>
          </cell>
          <cell r="AO1231"/>
          <cell r="AP1231"/>
          <cell r="AQ1231"/>
          <cell r="AR1231"/>
          <cell r="AS1231">
            <v>8</v>
          </cell>
          <cell r="AT1231"/>
          <cell r="AU1231" t="str">
            <v>FR</v>
          </cell>
          <cell r="AV1231"/>
        </row>
        <row r="1232">
          <cell r="Z1232">
            <v>8130812</v>
          </cell>
          <cell r="AA1232" t="str">
            <v>XO
7-5/8" REG Pin x 6-5/8" REG Box</v>
          </cell>
          <cell r="AB1232">
            <v>300.8731715009414</v>
          </cell>
          <cell r="AC1232">
            <v>9.5</v>
          </cell>
          <cell r="AD1232">
            <v>925</v>
          </cell>
          <cell r="AE1232" t="str">
            <v>7-5/8" REG Pin</v>
          </cell>
          <cell r="AF1232" t="str">
            <v>6-5/8" REG Box</v>
          </cell>
          <cell r="AG1232"/>
          <cell r="AH1232" t="str">
            <v>sur chantier</v>
          </cell>
          <cell r="AI1232" t="str">
            <v/>
          </cell>
          <cell r="AJ1232">
            <v>1</v>
          </cell>
          <cell r="AK1232">
            <v>0</v>
          </cell>
          <cell r="AL1232"/>
          <cell r="AM1232"/>
          <cell r="AN1232" t="str">
            <v/>
          </cell>
          <cell r="AO1232"/>
          <cell r="AP1232"/>
          <cell r="AQ1232"/>
          <cell r="AR1232"/>
          <cell r="AS1232">
            <v>228</v>
          </cell>
          <cell r="AT1232"/>
          <cell r="AU1232" t="str">
            <v/>
          </cell>
          <cell r="AV1232"/>
        </row>
        <row r="1233">
          <cell r="Z1233">
            <v>4080301</v>
          </cell>
          <cell r="AA1233" t="str">
            <v>Super Fishing Jar 3-1/8" OD 
2-3/8" REG Pin down x Box up</v>
          </cell>
          <cell r="AB1233">
            <v>80</v>
          </cell>
          <cell r="AC1233">
            <v>3.125</v>
          </cell>
          <cell r="AD1233">
            <v>2700</v>
          </cell>
          <cell r="AE1233" t="str">
            <v>2-3/8" REG Box</v>
          </cell>
          <cell r="AF1233" t="str">
            <v>2-3/8" REG Pin</v>
          </cell>
          <cell r="AG1233"/>
          <cell r="AH1233" t="str">
            <v>maintenance</v>
          </cell>
          <cell r="AI1233" t="str">
            <v/>
          </cell>
          <cell r="AJ1233">
            <v>0</v>
          </cell>
          <cell r="AK1233">
            <v>1</v>
          </cell>
          <cell r="AL1233"/>
          <cell r="AM1233"/>
          <cell r="AN1233">
            <v>4080301</v>
          </cell>
          <cell r="AO1233"/>
          <cell r="AP1233"/>
          <cell r="AQ1233"/>
          <cell r="AR1233"/>
          <cell r="AS1233">
            <v>5</v>
          </cell>
          <cell r="AT1233" t="str">
            <v>408-3,125</v>
          </cell>
          <cell r="AU1233" t="str">
            <v/>
          </cell>
          <cell r="AV1233"/>
        </row>
        <row r="1234">
          <cell r="Z1234">
            <v>7060803</v>
          </cell>
          <cell r="AA1234" t="str">
            <v>Oversize Guide 7,875 OD
5-3/4" FS Sellers Pin</v>
          </cell>
          <cell r="AB1234">
            <v>0</v>
          </cell>
          <cell r="AC1234">
            <v>7.875</v>
          </cell>
          <cell r="AD1234">
            <v>0</v>
          </cell>
          <cell r="AE1234" t="str">
            <v>5-3/4" FS Sellers Pin</v>
          </cell>
          <cell r="AF1234"/>
          <cell r="AG1234"/>
          <cell r="AH1234" t="str">
            <v>maintenance</v>
          </cell>
          <cell r="AI1234" t="str">
            <v/>
          </cell>
          <cell r="AJ1234">
            <v>0</v>
          </cell>
          <cell r="AK1234">
            <v>1</v>
          </cell>
          <cell r="AL1234"/>
          <cell r="AM1234"/>
          <cell r="AN1234" t="str">
            <v/>
          </cell>
          <cell r="AO1234"/>
          <cell r="AP1234"/>
          <cell r="AQ1234"/>
          <cell r="AR1234"/>
          <cell r="AS1234">
            <v>5</v>
          </cell>
          <cell r="AT1234"/>
          <cell r="AU1234" t="str">
            <v>FR</v>
          </cell>
          <cell r="AV1234"/>
        </row>
        <row r="1235">
          <cell r="Z1235">
            <v>7060804</v>
          </cell>
          <cell r="AA1235"/>
          <cell r="AB1235"/>
          <cell r="AC1235"/>
          <cell r="AD1235"/>
          <cell r="AE1235"/>
          <cell r="AF1235"/>
          <cell r="AG1235"/>
          <cell r="AH1235" t="str">
            <v>en stock</v>
          </cell>
          <cell r="AI1235"/>
          <cell r="AJ1235"/>
          <cell r="AK1235"/>
          <cell r="AL1235"/>
          <cell r="AM1235"/>
          <cell r="AN1235" t="str">
            <v/>
          </cell>
          <cell r="AO1235"/>
          <cell r="AP1235"/>
          <cell r="AQ1235"/>
          <cell r="AR1235"/>
          <cell r="AS1235"/>
          <cell r="AT1235"/>
          <cell r="AU1235" t="str">
            <v>FR</v>
          </cell>
          <cell r="AV1235"/>
        </row>
        <row r="1236">
          <cell r="Z1236">
            <v>8080731</v>
          </cell>
          <cell r="AA1236" t="str">
            <v>Short DC 4-15/16" Lg 3000mm
3-1/2" IF Pin x Box</v>
          </cell>
          <cell r="AB1236">
            <v>168</v>
          </cell>
          <cell r="AC1236">
            <v>4.9375</v>
          </cell>
          <cell r="AD1236">
            <v>3000</v>
          </cell>
          <cell r="AE1236" t="str">
            <v>3-1/2" IF Box</v>
          </cell>
          <cell r="AF1236" t="str">
            <v>3-1/2" IF Pin</v>
          </cell>
          <cell r="AG1236"/>
          <cell r="AH1236" t="str">
            <v xml:space="preserve"> en stock </v>
          </cell>
          <cell r="AI1236">
            <v>1</v>
          </cell>
          <cell r="AJ1236">
            <v>0</v>
          </cell>
          <cell r="AK1236">
            <v>0</v>
          </cell>
          <cell r="AL1236"/>
          <cell r="AM1236"/>
          <cell r="AN1236" t="str">
            <v/>
          </cell>
          <cell r="AO1236"/>
          <cell r="AP1236"/>
          <cell r="AQ1236"/>
          <cell r="AR1236"/>
          <cell r="AS1236">
            <v>16</v>
          </cell>
          <cell r="AT1236"/>
          <cell r="AU1236" t="str">
            <v/>
          </cell>
          <cell r="AV1236"/>
        </row>
        <row r="1237">
          <cell r="Z1237">
            <v>2010336</v>
          </cell>
          <cell r="AA1237" t="str">
            <v>Hydraulic External Cutter 6-1/16" OD body 
5-1/2" FJWP Box</v>
          </cell>
          <cell r="AB1237">
            <v>73</v>
          </cell>
          <cell r="AC1237">
            <v>6.0625</v>
          </cell>
          <cell r="AD1237">
            <v>0</v>
          </cell>
          <cell r="AE1237" t="str">
            <v>5-1/2" FJWP Box</v>
          </cell>
          <cell r="AF1237"/>
          <cell r="AG1237"/>
          <cell r="AH1237" t="str">
            <v xml:space="preserve"> en stock </v>
          </cell>
          <cell r="AI1237">
            <v>1</v>
          </cell>
          <cell r="AJ1237">
            <v>0</v>
          </cell>
          <cell r="AK1237">
            <v>0</v>
          </cell>
          <cell r="AL1237"/>
          <cell r="AM1237"/>
          <cell r="AN1237" t="str">
            <v/>
          </cell>
          <cell r="AO1237"/>
          <cell r="AP1237"/>
          <cell r="AQ1237"/>
          <cell r="AR1237"/>
          <cell r="AS1237">
            <v>7</v>
          </cell>
          <cell r="AT1237" t="str">
            <v>201-51148</v>
          </cell>
          <cell r="AU1237" t="str">
            <v/>
          </cell>
          <cell r="AV1237"/>
        </row>
        <row r="1238">
          <cell r="Z1238">
            <v>2020337</v>
          </cell>
          <cell r="AA1238" t="str">
            <v>Oversize Lip Guide 7-7/8" OD f/ HEC 8"</v>
          </cell>
          <cell r="AB1238">
            <v>0</v>
          </cell>
          <cell r="AC1238">
            <v>5.625</v>
          </cell>
          <cell r="AD1238">
            <v>0</v>
          </cell>
          <cell r="AE1238" t="str">
            <v>5-5/8 Sellers Pin</v>
          </cell>
          <cell r="AF1238"/>
          <cell r="AG1238"/>
          <cell r="AH1238" t="str">
            <v xml:space="preserve"> en stock </v>
          </cell>
          <cell r="AI1238">
            <v>1</v>
          </cell>
          <cell r="AJ1238">
            <v>0</v>
          </cell>
          <cell r="AK1238">
            <v>0</v>
          </cell>
          <cell r="AL1238"/>
          <cell r="AM1238" t="str">
            <v>x</v>
          </cell>
          <cell r="AN1238" t="str">
            <v/>
          </cell>
          <cell r="AO1238"/>
          <cell r="AP1238"/>
          <cell r="AQ1238"/>
          <cell r="AR1238"/>
          <cell r="AS1238">
            <v>18</v>
          </cell>
          <cell r="AT1238"/>
          <cell r="AU1238" t="str">
            <v>FR</v>
          </cell>
          <cell r="AV1238"/>
        </row>
        <row r="1239">
          <cell r="Z1239">
            <v>2020338</v>
          </cell>
          <cell r="AA1239" t="str">
            <v>Oversize Lip Guide 7-7/8" OD f/ HEC 8"</v>
          </cell>
          <cell r="AB1239">
            <v>0</v>
          </cell>
          <cell r="AC1239">
            <v>5.625</v>
          </cell>
          <cell r="AD1239">
            <v>0</v>
          </cell>
          <cell r="AE1239" t="str">
            <v>5-5/8 Sellers Pin</v>
          </cell>
          <cell r="AF1239"/>
          <cell r="AG1239"/>
          <cell r="AH1239" t="str">
            <v xml:space="preserve"> en stock </v>
          </cell>
          <cell r="AI1239">
            <v>1</v>
          </cell>
          <cell r="AJ1239">
            <v>0</v>
          </cell>
          <cell r="AK1239">
            <v>0</v>
          </cell>
          <cell r="AL1239"/>
          <cell r="AM1239" t="str">
            <v>x</v>
          </cell>
          <cell r="AN1239" t="str">
            <v/>
          </cell>
          <cell r="AO1239"/>
          <cell r="AP1239"/>
          <cell r="AQ1239"/>
          <cell r="AR1239"/>
          <cell r="AS1239">
            <v>19</v>
          </cell>
          <cell r="AT1239"/>
          <cell r="AU1239" t="str">
            <v>FR</v>
          </cell>
          <cell r="AV1239"/>
        </row>
        <row r="1240">
          <cell r="Z1240">
            <v>7060805</v>
          </cell>
          <cell r="AA1240" t="str">
            <v>Lip guide</v>
          </cell>
          <cell r="AB1240"/>
          <cell r="AC1240"/>
          <cell r="AD1240"/>
          <cell r="AE1240"/>
          <cell r="AF1240"/>
          <cell r="AG1240"/>
          <cell r="AH1240" t="str">
            <v>en stock</v>
          </cell>
          <cell r="AI1240"/>
          <cell r="AJ1240"/>
          <cell r="AK1240"/>
          <cell r="AL1240"/>
          <cell r="AM1240"/>
          <cell r="AN1240" t="str">
            <v/>
          </cell>
          <cell r="AO1240"/>
          <cell r="AP1240"/>
          <cell r="AQ1240"/>
          <cell r="AR1240"/>
          <cell r="AS1240"/>
          <cell r="AT1240"/>
          <cell r="AU1240" t="str">
            <v>FR</v>
          </cell>
          <cell r="AV1240"/>
        </row>
        <row r="1241">
          <cell r="Z1241">
            <v>5040760</v>
          </cell>
          <cell r="AA1241" t="str">
            <v>Viper Pilot Mill
3-1/2" REG Pin x Pilot</v>
          </cell>
          <cell r="AB1241">
            <v>0</v>
          </cell>
          <cell r="AC1241">
            <v>6</v>
          </cell>
          <cell r="AD1241">
            <v>960</v>
          </cell>
          <cell r="AE1241" t="str">
            <v>3-1/2" REG Pin</v>
          </cell>
          <cell r="AF1241" t="str">
            <v>Pilot</v>
          </cell>
          <cell r="AG1241" t="str">
            <v>Insert</v>
          </cell>
          <cell r="AH1241" t="str">
            <v xml:space="preserve"> en stock </v>
          </cell>
          <cell r="AI1241">
            <v>1</v>
          </cell>
          <cell r="AJ1241">
            <v>0</v>
          </cell>
          <cell r="AK1241">
            <v>0</v>
          </cell>
          <cell r="AL1241"/>
          <cell r="AM1241"/>
          <cell r="AN1241" t="str">
            <v/>
          </cell>
          <cell r="AO1241"/>
          <cell r="AP1241"/>
          <cell r="AQ1241"/>
          <cell r="AR1241"/>
          <cell r="AS1241">
            <v>14</v>
          </cell>
          <cell r="AT1241"/>
          <cell r="AU1241" t="str">
            <v>FR</v>
          </cell>
          <cell r="AV1241"/>
        </row>
        <row r="1242">
          <cell r="Z1242" t="str">
            <v>(5030772)</v>
          </cell>
          <cell r="AA1242" t="str">
            <v>Junk Mill  8-1/2" OD
4-1/2" REG Pin</v>
          </cell>
          <cell r="AB1242"/>
          <cell r="AC1242">
            <v>8.5</v>
          </cell>
          <cell r="AD1242"/>
          <cell r="AE1242" t="str">
            <v>4-1/2" REG Pin</v>
          </cell>
          <cell r="AF1242"/>
          <cell r="AG1242"/>
          <cell r="AH1242" t="str">
            <v>en stock</v>
          </cell>
          <cell r="AI1242"/>
          <cell r="AJ1242"/>
          <cell r="AK1242"/>
          <cell r="AL1242"/>
          <cell r="AM1242"/>
          <cell r="AN1242">
            <v>5030772</v>
          </cell>
          <cell r="AO1242"/>
          <cell r="AP1242"/>
          <cell r="AQ1242"/>
          <cell r="AR1242"/>
          <cell r="AS1242"/>
          <cell r="AT1242"/>
          <cell r="AU1242" t="str">
            <v>FR</v>
          </cell>
          <cell r="AV1242"/>
        </row>
        <row r="1243">
          <cell r="Z1243">
            <v>5030772</v>
          </cell>
          <cell r="AA1243" t="str">
            <v xml:space="preserve">Pilot Mill
4-1/2" REG Pin x </v>
          </cell>
          <cell r="AB1243">
            <v>104</v>
          </cell>
          <cell r="AC1243">
            <v>8.375</v>
          </cell>
          <cell r="AD1243">
            <v>0</v>
          </cell>
          <cell r="AE1243" t="str">
            <v>4-1/2" REG Pin</v>
          </cell>
          <cell r="AF1243"/>
          <cell r="AG1243" t="str">
            <v>C</v>
          </cell>
          <cell r="AH1243" t="str">
            <v>en stock</v>
          </cell>
          <cell r="AI1243">
            <v>0</v>
          </cell>
          <cell r="AJ1243">
            <v>0</v>
          </cell>
          <cell r="AK1243">
            <v>0</v>
          </cell>
          <cell r="AL1243"/>
          <cell r="AM1243"/>
          <cell r="AN1243" t="str">
            <v/>
          </cell>
          <cell r="AO1243"/>
          <cell r="AP1243"/>
          <cell r="AQ1243"/>
          <cell r="AR1243"/>
          <cell r="AS1243">
            <v>71</v>
          </cell>
          <cell r="AT1243"/>
          <cell r="AU1243" t="str">
            <v>retourvé blk</v>
          </cell>
          <cell r="AV1243"/>
        </row>
        <row r="1244">
          <cell r="Z1244">
            <v>1095223</v>
          </cell>
          <cell r="AA1244" t="str">
            <v>Junk Sub 5" OD Cup 
3-1/2" REG Pin x Box</v>
          </cell>
          <cell r="AB1244">
            <v>64</v>
          </cell>
          <cell r="AC1244">
            <v>5</v>
          </cell>
          <cell r="AD1244">
            <v>1105</v>
          </cell>
          <cell r="AE1244" t="str">
            <v>3-1/2" REG Pin</v>
          </cell>
          <cell r="AF1244" t="str">
            <v>3-1/2" REG Box</v>
          </cell>
          <cell r="AG1244"/>
          <cell r="AH1244" t="str">
            <v xml:space="preserve"> en stock </v>
          </cell>
          <cell r="AI1244">
            <v>1</v>
          </cell>
          <cell r="AJ1244">
            <v>0</v>
          </cell>
          <cell r="AK1244">
            <v>0</v>
          </cell>
          <cell r="AL1244"/>
          <cell r="AM1244"/>
          <cell r="AN1244" t="str">
            <v/>
          </cell>
          <cell r="AO1244"/>
          <cell r="AP1244"/>
          <cell r="AQ1244"/>
          <cell r="AR1244"/>
          <cell r="AS1244">
            <v>14</v>
          </cell>
          <cell r="AT1244" t="str">
            <v>109-5,000</v>
          </cell>
          <cell r="AU1244" t="str">
            <v>FR</v>
          </cell>
          <cell r="AV1244"/>
        </row>
        <row r="1245">
          <cell r="Z1245">
            <v>1095224</v>
          </cell>
          <cell r="AA1245" t="str">
            <v>Junk Sub 5" OD Cup 
3-1/2"IF Box up x Pin down</v>
          </cell>
          <cell r="AB1245">
            <v>64</v>
          </cell>
          <cell r="AC1245">
            <v>5</v>
          </cell>
          <cell r="AD1245">
            <v>1020</v>
          </cell>
          <cell r="AE1245" t="str">
            <v>3-1/2" IF Box</v>
          </cell>
          <cell r="AF1245" t="str">
            <v>3-1/2" IF Pin</v>
          </cell>
          <cell r="AG1245"/>
          <cell r="AH1245" t="str">
            <v>maintenance</v>
          </cell>
          <cell r="AI1245" t="str">
            <v/>
          </cell>
          <cell r="AJ1245">
            <v>0</v>
          </cell>
          <cell r="AK1245">
            <v>1</v>
          </cell>
          <cell r="AL1245"/>
          <cell r="AM1245"/>
          <cell r="AN1245" t="str">
            <v/>
          </cell>
          <cell r="AO1245"/>
          <cell r="AP1245"/>
          <cell r="AQ1245"/>
          <cell r="AR1245"/>
          <cell r="AS1245">
            <v>19</v>
          </cell>
          <cell r="AT1245" t="str">
            <v>109-5,000</v>
          </cell>
          <cell r="AU1245" t="str">
            <v>FR</v>
          </cell>
          <cell r="AV1245"/>
        </row>
        <row r="1246">
          <cell r="Z1246">
            <v>6040709</v>
          </cell>
          <cell r="AA1246" t="str">
            <v>UBHO 4-3/4" OD
3-1/2" IF Pin x Box</v>
          </cell>
          <cell r="AB1246">
            <v>43</v>
          </cell>
          <cell r="AC1246">
            <v>4.75</v>
          </cell>
          <cell r="AD1246">
            <v>760</v>
          </cell>
          <cell r="AE1246" t="str">
            <v>3-1/2" IF Box</v>
          </cell>
          <cell r="AF1246" t="str">
            <v>3-1/2" IF Pin</v>
          </cell>
          <cell r="AG1246"/>
          <cell r="AH1246" t="str">
            <v xml:space="preserve"> en stock </v>
          </cell>
          <cell r="AI1246">
            <v>1</v>
          </cell>
          <cell r="AJ1246">
            <v>0</v>
          </cell>
          <cell r="AK1246">
            <v>0</v>
          </cell>
          <cell r="AL1246"/>
          <cell r="AM1246"/>
          <cell r="AN1246" t="str">
            <v/>
          </cell>
          <cell r="AO1246"/>
          <cell r="AP1246"/>
          <cell r="AQ1246"/>
          <cell r="AR1246"/>
          <cell r="AS1246">
            <v>11</v>
          </cell>
          <cell r="AT1246"/>
          <cell r="AU1246" t="str">
            <v>FR</v>
          </cell>
          <cell r="AV1246"/>
        </row>
        <row r="1247">
          <cell r="Z1247">
            <v>6040710</v>
          </cell>
          <cell r="AA1247" t="str">
            <v>UBHO 4-3/4" OD
3-1/2" IF Pin x Box</v>
          </cell>
          <cell r="AB1247">
            <v>43</v>
          </cell>
          <cell r="AC1247">
            <v>4.75</v>
          </cell>
          <cell r="AD1247">
            <v>760</v>
          </cell>
          <cell r="AE1247" t="str">
            <v>3-1/2" IF Box</v>
          </cell>
          <cell r="AF1247" t="str">
            <v>3-1/2" IF Pin</v>
          </cell>
          <cell r="AG1247"/>
          <cell r="AH1247" t="str">
            <v xml:space="preserve"> en stock </v>
          </cell>
          <cell r="AI1247">
            <v>1</v>
          </cell>
          <cell r="AJ1247">
            <v>0</v>
          </cell>
          <cell r="AK1247">
            <v>0</v>
          </cell>
          <cell r="AL1247"/>
          <cell r="AM1247"/>
          <cell r="AN1247" t="str">
            <v/>
          </cell>
          <cell r="AO1247"/>
          <cell r="AP1247"/>
          <cell r="AQ1247"/>
          <cell r="AR1247"/>
          <cell r="AS1247">
            <v>12</v>
          </cell>
          <cell r="AT1247"/>
          <cell r="AU1247" t="str">
            <v>FR</v>
          </cell>
          <cell r="AV1247"/>
        </row>
        <row r="1248">
          <cell r="Z1248">
            <v>7020812</v>
          </cell>
          <cell r="AA1248" t="str">
            <v>String Magnet 4-1/2" OD
3-1/2" IF Pin x Box</v>
          </cell>
          <cell r="AB1248">
            <v>0</v>
          </cell>
          <cell r="AC1248">
            <v>4.75</v>
          </cell>
          <cell r="AD1248">
            <v>0</v>
          </cell>
          <cell r="AE1248" t="str">
            <v>3-1/2" IF Box</v>
          </cell>
          <cell r="AF1248" t="str">
            <v>3-1/2" IF Pin</v>
          </cell>
          <cell r="AG1248"/>
          <cell r="AH1248" t="str">
            <v>maintenance</v>
          </cell>
          <cell r="AI1248" t="str">
            <v/>
          </cell>
          <cell r="AJ1248">
            <v>0</v>
          </cell>
          <cell r="AK1248">
            <v>1</v>
          </cell>
          <cell r="AL1248"/>
          <cell r="AM1248"/>
          <cell r="AN1248" t="str">
            <v/>
          </cell>
          <cell r="AO1248"/>
          <cell r="AP1248"/>
          <cell r="AQ1248"/>
          <cell r="AR1248"/>
          <cell r="AS1248">
            <v>6</v>
          </cell>
          <cell r="AT1248"/>
          <cell r="AU1248" t="str">
            <v>FR</v>
          </cell>
          <cell r="AV1248"/>
        </row>
        <row r="1249">
          <cell r="Z1249">
            <v>7020816</v>
          </cell>
          <cell r="AA1249" t="str">
            <v>String Magnet 4-1/2" OD
3-1/2" IF Pin x Box</v>
          </cell>
          <cell r="AB1249">
            <v>0</v>
          </cell>
          <cell r="AC1249">
            <v>4.75</v>
          </cell>
          <cell r="AD1249">
            <v>0</v>
          </cell>
          <cell r="AE1249" t="str">
            <v>3-1/2" IF Box</v>
          </cell>
          <cell r="AF1249" t="str">
            <v>3-1/2" IF Pin</v>
          </cell>
          <cell r="AG1249"/>
          <cell r="AH1249" t="str">
            <v>maintenance</v>
          </cell>
          <cell r="AI1249" t="str">
            <v/>
          </cell>
          <cell r="AJ1249">
            <v>0</v>
          </cell>
          <cell r="AK1249">
            <v>1</v>
          </cell>
          <cell r="AL1249"/>
          <cell r="AM1249"/>
          <cell r="AN1249" t="str">
            <v/>
          </cell>
          <cell r="AO1249"/>
          <cell r="AP1249"/>
          <cell r="AQ1249"/>
          <cell r="AR1249"/>
          <cell r="AS1249">
            <v>7</v>
          </cell>
          <cell r="AT1249"/>
          <cell r="AU1249" t="str">
            <v>FR</v>
          </cell>
          <cell r="AV1249"/>
        </row>
        <row r="1250">
          <cell r="Z1250">
            <v>7020813</v>
          </cell>
          <cell r="AA1250" t="str">
            <v>String Magnet 6-1/2" OD
4-1/2" IF Pin x Box</v>
          </cell>
          <cell r="AB1250">
            <v>0</v>
          </cell>
          <cell r="AC1250">
            <v>6.5</v>
          </cell>
          <cell r="AD1250">
            <v>0</v>
          </cell>
          <cell r="AE1250" t="str">
            <v>4-1/2" IF Box</v>
          </cell>
          <cell r="AF1250" t="str">
            <v>4-1/2" IF Pin</v>
          </cell>
          <cell r="AG1250"/>
          <cell r="AH1250" t="str">
            <v xml:space="preserve"> en stock </v>
          </cell>
          <cell r="AI1250">
            <v>1</v>
          </cell>
          <cell r="AJ1250">
            <v>0</v>
          </cell>
          <cell r="AK1250">
            <v>0</v>
          </cell>
          <cell r="AL1250"/>
          <cell r="AM1250"/>
          <cell r="AN1250">
            <v>7020813</v>
          </cell>
          <cell r="AO1250"/>
          <cell r="AP1250"/>
          <cell r="AQ1250"/>
          <cell r="AR1250"/>
          <cell r="AS1250">
            <v>10</v>
          </cell>
          <cell r="AT1250"/>
          <cell r="AU1250" t="str">
            <v>FR</v>
          </cell>
          <cell r="AV1250"/>
        </row>
        <row r="1251">
          <cell r="Z1251">
            <v>5120136</v>
          </cell>
          <cell r="AA1251" t="str">
            <v>WO Top Sub
2-3/8" REG Box x 4-1/2" FJWP Pin x 2-3/8" REG Box in</v>
          </cell>
          <cell r="AB1251">
            <v>36</v>
          </cell>
          <cell r="AC1251">
            <v>4.4375</v>
          </cell>
          <cell r="AD1251">
            <v>635</v>
          </cell>
          <cell r="AE1251" t="str">
            <v>2-3/8" REG Box</v>
          </cell>
          <cell r="AF1251" t="str">
            <v>4-1/2" FJWP Pin</v>
          </cell>
          <cell r="AG1251" t="str">
            <v>2-3/8" REG Box</v>
          </cell>
          <cell r="AH1251" t="str">
            <v xml:space="preserve"> en stock </v>
          </cell>
          <cell r="AI1251">
            <v>1</v>
          </cell>
          <cell r="AJ1251">
            <v>0</v>
          </cell>
          <cell r="AK1251">
            <v>0</v>
          </cell>
          <cell r="AL1251"/>
          <cell r="AM1251"/>
          <cell r="AN1251" t="str">
            <v/>
          </cell>
          <cell r="AO1251"/>
          <cell r="AP1251"/>
          <cell r="AQ1251"/>
          <cell r="AR1251"/>
          <cell r="AS1251">
            <v>13</v>
          </cell>
          <cell r="AT1251"/>
          <cell r="AU1251" t="str">
            <v>FR</v>
          </cell>
          <cell r="AV1251"/>
        </row>
        <row r="1252">
          <cell r="Z1252">
            <v>7020814</v>
          </cell>
          <cell r="AA1252" t="str">
            <v>Fishing Magnet 10-3/8" OD
6-5/8" REG Pin</v>
          </cell>
          <cell r="AB1252">
            <v>180</v>
          </cell>
          <cell r="AC1252">
            <v>10.375</v>
          </cell>
          <cell r="AD1252">
            <v>735</v>
          </cell>
          <cell r="AE1252" t="str">
            <v>6-5/8" REG Pin</v>
          </cell>
          <cell r="AF1252"/>
          <cell r="AG1252"/>
          <cell r="AH1252" t="str">
            <v>sur chantier</v>
          </cell>
          <cell r="AI1252" t="str">
            <v/>
          </cell>
          <cell r="AJ1252">
            <v>1</v>
          </cell>
          <cell r="AK1252">
            <v>0</v>
          </cell>
          <cell r="AL1252"/>
          <cell r="AM1252"/>
          <cell r="AN1252" t="str">
            <v/>
          </cell>
          <cell r="AO1252"/>
          <cell r="AP1252"/>
          <cell r="AQ1252"/>
          <cell r="AR1252"/>
          <cell r="AS1252">
            <v>12</v>
          </cell>
          <cell r="AT1252"/>
          <cell r="AU1252" t="str">
            <v>FR</v>
          </cell>
          <cell r="AV1252"/>
        </row>
        <row r="1253">
          <cell r="Z1253">
            <v>8040020</v>
          </cell>
          <cell r="AA1253" t="str">
            <v>Lift Sub 2-3/8" REG Pin
0 OD body for Elevator DP 18°</v>
          </cell>
          <cell r="AB1253">
            <v>0</v>
          </cell>
          <cell r="AC1253">
            <v>0</v>
          </cell>
          <cell r="AD1253">
            <v>380</v>
          </cell>
          <cell r="AE1253" t="str">
            <v>18°</v>
          </cell>
          <cell r="AF1253" t="str">
            <v>2-3/8" REG Pin</v>
          </cell>
          <cell r="AG1253"/>
          <cell r="AH1253" t="str">
            <v xml:space="preserve"> en stock </v>
          </cell>
          <cell r="AI1253">
            <v>1</v>
          </cell>
          <cell r="AJ1253">
            <v>0</v>
          </cell>
          <cell r="AK1253">
            <v>0</v>
          </cell>
          <cell r="AL1253"/>
          <cell r="AM1253"/>
          <cell r="AN1253" t="str">
            <v/>
          </cell>
          <cell r="AO1253"/>
          <cell r="AP1253"/>
          <cell r="AQ1253"/>
          <cell r="AR1253"/>
          <cell r="AS1253">
            <v>26</v>
          </cell>
          <cell r="AT1253"/>
          <cell r="AU1253" t="str">
            <v>FR</v>
          </cell>
          <cell r="AV1253"/>
        </row>
        <row r="1254">
          <cell r="Z1254">
            <v>8040021</v>
          </cell>
          <cell r="AA1254" t="str">
            <v>Lift Sub 2-3/8" REG Pin
0 OD body for Elevator DP 18°</v>
          </cell>
          <cell r="AB1254">
            <v>0</v>
          </cell>
          <cell r="AC1254">
            <v>0</v>
          </cell>
          <cell r="AD1254">
            <v>380</v>
          </cell>
          <cell r="AE1254" t="str">
            <v>18°</v>
          </cell>
          <cell r="AF1254" t="str">
            <v>2-3/8" REG Pin</v>
          </cell>
          <cell r="AG1254"/>
          <cell r="AH1254" t="str">
            <v xml:space="preserve"> en stock </v>
          </cell>
          <cell r="AI1254">
            <v>1</v>
          </cell>
          <cell r="AJ1254">
            <v>0</v>
          </cell>
          <cell r="AK1254">
            <v>0</v>
          </cell>
          <cell r="AL1254"/>
          <cell r="AM1254"/>
          <cell r="AN1254" t="str">
            <v/>
          </cell>
          <cell r="AO1254"/>
          <cell r="AP1254"/>
          <cell r="AQ1254"/>
          <cell r="AR1254"/>
          <cell r="AS1254">
            <v>27</v>
          </cell>
          <cell r="AT1254"/>
          <cell r="AU1254" t="str">
            <v>FR</v>
          </cell>
          <cell r="AV1254"/>
        </row>
        <row r="1255">
          <cell r="Z1255">
            <v>211613003</v>
          </cell>
          <cell r="AA1255" t="str">
            <v>stator</v>
          </cell>
          <cell r="AB1255"/>
          <cell r="AC1255"/>
          <cell r="AD1255"/>
          <cell r="AE1255"/>
          <cell r="AF1255"/>
          <cell r="AG1255"/>
          <cell r="AH1255" t="str">
            <v>en stock</v>
          </cell>
          <cell r="AI1255"/>
          <cell r="AJ1255"/>
          <cell r="AK1255"/>
          <cell r="AL1255"/>
          <cell r="AM1255" t="str">
            <v>x</v>
          </cell>
          <cell r="AN1255"/>
          <cell r="AO1255"/>
          <cell r="AP1255"/>
          <cell r="AQ1255"/>
          <cell r="AR1255"/>
          <cell r="AS1255"/>
          <cell r="AT1255"/>
          <cell r="AU1255" t="str">
            <v/>
          </cell>
          <cell r="AV1255"/>
        </row>
        <row r="1256">
          <cell r="Z1256">
            <v>211613001</v>
          </cell>
          <cell r="AA1256" t="str">
            <v>stator</v>
          </cell>
          <cell r="AB1256"/>
          <cell r="AC1256"/>
          <cell r="AD1256"/>
          <cell r="AE1256"/>
          <cell r="AF1256"/>
          <cell r="AG1256"/>
          <cell r="AH1256" t="str">
            <v>en stock</v>
          </cell>
          <cell r="AI1256"/>
          <cell r="AJ1256"/>
          <cell r="AK1256"/>
          <cell r="AL1256"/>
          <cell r="AM1256" t="str">
            <v>x</v>
          </cell>
          <cell r="AN1256"/>
          <cell r="AO1256"/>
          <cell r="AP1256"/>
          <cell r="AQ1256"/>
          <cell r="AR1256"/>
          <cell r="AS1256"/>
          <cell r="AT1256"/>
          <cell r="AU1256" t="str">
            <v/>
          </cell>
          <cell r="AV1256"/>
        </row>
        <row r="1257">
          <cell r="Z1257">
            <v>210582001</v>
          </cell>
          <cell r="AA1257" t="str">
            <v>rotor</v>
          </cell>
          <cell r="AB1257"/>
          <cell r="AC1257"/>
          <cell r="AD1257"/>
          <cell r="AE1257"/>
          <cell r="AF1257"/>
          <cell r="AG1257"/>
          <cell r="AH1257" t="str">
            <v>en stock</v>
          </cell>
          <cell r="AI1257"/>
          <cell r="AJ1257"/>
          <cell r="AK1257"/>
          <cell r="AL1257"/>
          <cell r="AM1257" t="str">
            <v>x</v>
          </cell>
          <cell r="AN1257"/>
          <cell r="AO1257"/>
          <cell r="AP1257"/>
          <cell r="AQ1257"/>
          <cell r="AR1257"/>
          <cell r="AS1257"/>
          <cell r="AT1257"/>
          <cell r="AU1257" t="str">
            <v/>
          </cell>
          <cell r="AV1257"/>
        </row>
        <row r="1258">
          <cell r="Z1258" t="str">
            <v/>
          </cell>
          <cell r="AA1258" t="str">
            <v>rotor</v>
          </cell>
          <cell r="AB1258"/>
          <cell r="AC1258"/>
          <cell r="AD1258"/>
          <cell r="AE1258"/>
          <cell r="AF1258"/>
          <cell r="AG1258"/>
          <cell r="AH1258" t="str">
            <v>en stock</v>
          </cell>
          <cell r="AI1258"/>
          <cell r="AJ1258"/>
          <cell r="AK1258"/>
          <cell r="AL1258"/>
          <cell r="AM1258" t="str">
            <v>x</v>
          </cell>
          <cell r="AN1258" t="str">
            <v/>
          </cell>
          <cell r="AO1258"/>
          <cell r="AP1258"/>
          <cell r="AQ1258"/>
          <cell r="AR1258"/>
          <cell r="AS1258"/>
          <cell r="AT1258"/>
          <cell r="AU1258" t="str">
            <v/>
          </cell>
          <cell r="AV1258"/>
        </row>
        <row r="1259">
          <cell r="Z1259" t="str">
            <v/>
          </cell>
          <cell r="AA1259" t="str">
            <v>rotor</v>
          </cell>
          <cell r="AB1259"/>
          <cell r="AC1259"/>
          <cell r="AD1259"/>
          <cell r="AE1259"/>
          <cell r="AF1259"/>
          <cell r="AG1259"/>
          <cell r="AH1259" t="str">
            <v>en stock</v>
          </cell>
          <cell r="AI1259"/>
          <cell r="AJ1259"/>
          <cell r="AK1259"/>
          <cell r="AL1259"/>
          <cell r="AM1259" t="str">
            <v>x</v>
          </cell>
          <cell r="AN1259" t="str">
            <v/>
          </cell>
          <cell r="AO1259"/>
          <cell r="AP1259"/>
          <cell r="AQ1259"/>
          <cell r="AR1259"/>
          <cell r="AS1259"/>
          <cell r="AT1259"/>
          <cell r="AU1259" t="str">
            <v/>
          </cell>
          <cell r="AV1259"/>
        </row>
        <row r="1260">
          <cell r="Z1260">
            <v>8130813</v>
          </cell>
          <cell r="AA1260" t="str">
            <v>XO
3-1/2" REG Pin x 2-7/8" REG Box</v>
          </cell>
          <cell r="AB1260">
            <v>41.893087181399991</v>
          </cell>
          <cell r="AC1260">
            <v>4.75</v>
          </cell>
          <cell r="AD1260">
            <v>505</v>
          </cell>
          <cell r="AE1260" t="str">
            <v>3-1/2" REG Pin</v>
          </cell>
          <cell r="AF1260" t="str">
            <v>2-7/8" REG Box</v>
          </cell>
          <cell r="AG1260"/>
          <cell r="AH1260" t="str">
            <v xml:space="preserve"> en stock </v>
          </cell>
          <cell r="AI1260">
            <v>1</v>
          </cell>
          <cell r="AJ1260">
            <v>0</v>
          </cell>
          <cell r="AK1260">
            <v>0</v>
          </cell>
          <cell r="AL1260"/>
          <cell r="AM1260"/>
          <cell r="AN1260" t="str">
            <v/>
          </cell>
          <cell r="AO1260"/>
          <cell r="AP1260"/>
          <cell r="AQ1260"/>
          <cell r="AR1260"/>
          <cell r="AS1260">
            <v>132</v>
          </cell>
          <cell r="AT1260"/>
          <cell r="AU1260" t="str">
            <v>FR</v>
          </cell>
          <cell r="AV1260"/>
        </row>
        <row r="1261">
          <cell r="Z1261">
            <v>7060806</v>
          </cell>
          <cell r="AA1261" t="str">
            <v>Oversize Guide 10-1/8" OD
8-1/8" FS Sellers Pin</v>
          </cell>
          <cell r="AB1261">
            <v>0</v>
          </cell>
          <cell r="AC1261" t="str">
            <v>10-1/8"</v>
          </cell>
          <cell r="AD1261">
            <v>0</v>
          </cell>
          <cell r="AE1261" t="str">
            <v>8-1/8" FS Sellers Pin</v>
          </cell>
          <cell r="AF1261"/>
          <cell r="AG1261"/>
          <cell r="AH1261" t="str">
            <v xml:space="preserve"> en stock </v>
          </cell>
          <cell r="AI1261">
            <v>1</v>
          </cell>
          <cell r="AJ1261">
            <v>0</v>
          </cell>
          <cell r="AK1261">
            <v>0</v>
          </cell>
          <cell r="AL1261"/>
          <cell r="AM1261"/>
          <cell r="AN1261" t="str">
            <v/>
          </cell>
          <cell r="AO1261"/>
          <cell r="AP1261"/>
          <cell r="AQ1261"/>
          <cell r="AR1261"/>
          <cell r="AS1261">
            <v>20</v>
          </cell>
          <cell r="AT1261"/>
          <cell r="AU1261" t="str">
            <v>FR</v>
          </cell>
          <cell r="AV1261"/>
        </row>
        <row r="1262">
          <cell r="Z1262">
            <v>1010001</v>
          </cell>
          <cell r="AA1262" t="str">
            <v>blades for casing brush</v>
          </cell>
          <cell r="AB1262"/>
          <cell r="AC1262"/>
          <cell r="AD1262"/>
          <cell r="AE1262"/>
          <cell r="AF1262"/>
          <cell r="AG1262"/>
          <cell r="AH1262" t="str">
            <v>en stock</v>
          </cell>
          <cell r="AI1262"/>
          <cell r="AJ1262"/>
          <cell r="AK1262"/>
          <cell r="AL1262"/>
          <cell r="AM1262" t="str">
            <v>x</v>
          </cell>
          <cell r="AN1262" t="str">
            <v/>
          </cell>
          <cell r="AO1262"/>
          <cell r="AP1262"/>
          <cell r="AQ1262"/>
          <cell r="AR1262"/>
          <cell r="AS1262"/>
          <cell r="AT1262"/>
          <cell r="AU1262" t="str">
            <v>FR</v>
          </cell>
          <cell r="AV1262"/>
        </row>
        <row r="1263">
          <cell r="Z1263">
            <v>1010002</v>
          </cell>
          <cell r="AA1263" t="str">
            <v>blades for casing brush</v>
          </cell>
          <cell r="AB1263"/>
          <cell r="AC1263"/>
          <cell r="AD1263"/>
          <cell r="AE1263"/>
          <cell r="AF1263"/>
          <cell r="AG1263"/>
          <cell r="AH1263" t="str">
            <v>en stock</v>
          </cell>
          <cell r="AI1263"/>
          <cell r="AJ1263"/>
          <cell r="AK1263"/>
          <cell r="AL1263"/>
          <cell r="AM1263" t="str">
            <v>x</v>
          </cell>
          <cell r="AN1263" t="str">
            <v/>
          </cell>
          <cell r="AO1263"/>
          <cell r="AP1263"/>
          <cell r="AQ1263"/>
          <cell r="AR1263"/>
          <cell r="AS1263"/>
          <cell r="AT1263"/>
          <cell r="AU1263" t="str">
            <v>FR</v>
          </cell>
          <cell r="AV1263"/>
        </row>
        <row r="1264">
          <cell r="Z1264">
            <v>1010003</v>
          </cell>
          <cell r="AA1264" t="str">
            <v>blades for casing brush</v>
          </cell>
          <cell r="AB1264"/>
          <cell r="AC1264"/>
          <cell r="AD1264"/>
          <cell r="AE1264"/>
          <cell r="AF1264"/>
          <cell r="AG1264"/>
          <cell r="AH1264" t="str">
            <v>en stock</v>
          </cell>
          <cell r="AI1264"/>
          <cell r="AJ1264"/>
          <cell r="AK1264"/>
          <cell r="AL1264"/>
          <cell r="AM1264" t="str">
            <v>x</v>
          </cell>
          <cell r="AN1264" t="str">
            <v/>
          </cell>
          <cell r="AO1264"/>
          <cell r="AP1264"/>
          <cell r="AQ1264"/>
          <cell r="AR1264"/>
          <cell r="AS1264"/>
          <cell r="AT1264"/>
          <cell r="AU1264" t="str">
            <v>FR</v>
          </cell>
          <cell r="AV1264"/>
        </row>
        <row r="1265">
          <cell r="Z1265">
            <v>7020817</v>
          </cell>
          <cell r="AA1265" t="str">
            <v>Fishing Magnet 4-1/2" OD
2-3/8" REG Pin</v>
          </cell>
          <cell r="AB1265">
            <v>42</v>
          </cell>
          <cell r="AC1265">
            <v>4.5</v>
          </cell>
          <cell r="AD1265">
            <v>660</v>
          </cell>
          <cell r="AE1265" t="str">
            <v>2-3/8" REG Pin</v>
          </cell>
          <cell r="AF1265"/>
          <cell r="AG1265"/>
          <cell r="AH1265" t="str">
            <v xml:space="preserve"> en stock </v>
          </cell>
          <cell r="AI1265">
            <v>1</v>
          </cell>
          <cell r="AJ1265">
            <v>0</v>
          </cell>
          <cell r="AK1265">
            <v>0</v>
          </cell>
          <cell r="AL1265"/>
          <cell r="AM1265"/>
          <cell r="AN1265" t="str">
            <v/>
          </cell>
          <cell r="AO1265"/>
          <cell r="AP1265"/>
          <cell r="AQ1265"/>
          <cell r="AR1265"/>
          <cell r="AS1265">
            <v>7</v>
          </cell>
          <cell r="AT1265"/>
          <cell r="AU1265" t="str">
            <v>FR</v>
          </cell>
          <cell r="AV1265"/>
        </row>
        <row r="1266">
          <cell r="Z1266">
            <v>5060001</v>
          </cell>
          <cell r="AA1266" t="str">
            <v>String Mill 4,75 OD 
2 3/8" REG Box x 2 3/8" REG Pin</v>
          </cell>
          <cell r="AB1266">
            <v>0</v>
          </cell>
          <cell r="AC1266">
            <v>4.75</v>
          </cell>
          <cell r="AD1266">
            <v>1130</v>
          </cell>
          <cell r="AE1266" t="str">
            <v>2 3/8" REG Box</v>
          </cell>
          <cell r="AF1266" t="str">
            <v>2 3/8" REG Pin</v>
          </cell>
          <cell r="AG1266"/>
          <cell r="AH1266" t="str">
            <v xml:space="preserve"> en stock </v>
          </cell>
          <cell r="AI1266">
            <v>1</v>
          </cell>
          <cell r="AJ1266">
            <v>0</v>
          </cell>
          <cell r="AK1266">
            <v>0</v>
          </cell>
          <cell r="AL1266"/>
          <cell r="AM1266"/>
          <cell r="AN1266" t="str">
            <v/>
          </cell>
          <cell r="AO1266"/>
          <cell r="AP1266"/>
          <cell r="AQ1266"/>
          <cell r="AR1266"/>
          <cell r="AS1266">
            <v>8</v>
          </cell>
          <cell r="AT1266"/>
          <cell r="AU1266" t="str">
            <v>FR</v>
          </cell>
          <cell r="AV1266"/>
        </row>
        <row r="1267">
          <cell r="Z1267">
            <v>5120715</v>
          </cell>
          <cell r="AA1267" t="str">
            <v>4-1/2" OD Top Sub 
2-3/8" REG Box x 4-1/2" FJWP Pin x 2-3/8" REG Box in</v>
          </cell>
          <cell r="AB1267">
            <v>0</v>
          </cell>
          <cell r="AC1267">
            <v>4.5</v>
          </cell>
          <cell r="AD1267">
            <v>0</v>
          </cell>
          <cell r="AE1267" t="str">
            <v>2-3/8" REG Box</v>
          </cell>
          <cell r="AF1267" t="str">
            <v>4-1/2" FJWP Pin</v>
          </cell>
          <cell r="AG1267" t="str">
            <v>2-3/8" REG Box</v>
          </cell>
          <cell r="AH1267" t="str">
            <v xml:space="preserve"> en stock </v>
          </cell>
          <cell r="AI1267">
            <v>1</v>
          </cell>
          <cell r="AJ1267">
            <v>0</v>
          </cell>
          <cell r="AK1267">
            <v>0</v>
          </cell>
          <cell r="AL1267"/>
          <cell r="AM1267"/>
          <cell r="AN1267" t="str">
            <v/>
          </cell>
          <cell r="AO1267"/>
          <cell r="AP1267"/>
          <cell r="AQ1267"/>
          <cell r="AR1267"/>
          <cell r="AS1267">
            <v>14</v>
          </cell>
          <cell r="AT1267"/>
          <cell r="AU1267" t="str">
            <v>FR</v>
          </cell>
          <cell r="AV1267"/>
        </row>
        <row r="1268">
          <cell r="Z1268">
            <v>5120716</v>
          </cell>
          <cell r="AA1268" t="str">
            <v>4-1/2" OD Top Sub 
2-3/8" IF Box x 4-1/2" FJWP Pin x 2-3/8" REG Box in</v>
          </cell>
          <cell r="AB1268">
            <v>0</v>
          </cell>
          <cell r="AC1268">
            <v>4.5</v>
          </cell>
          <cell r="AD1268">
            <v>0</v>
          </cell>
          <cell r="AE1268" t="str">
            <v>2-3/8" IF Box</v>
          </cell>
          <cell r="AF1268" t="str">
            <v>4-1/2" FJWP Pin</v>
          </cell>
          <cell r="AG1268" t="str">
            <v>2-3/8" REG Box</v>
          </cell>
          <cell r="AH1268" t="str">
            <v xml:space="preserve"> en stock </v>
          </cell>
          <cell r="AI1268">
            <v>1</v>
          </cell>
          <cell r="AJ1268">
            <v>0</v>
          </cell>
          <cell r="AK1268">
            <v>0</v>
          </cell>
          <cell r="AL1268"/>
          <cell r="AM1268"/>
          <cell r="AN1268" t="str">
            <v/>
          </cell>
          <cell r="AO1268"/>
          <cell r="AP1268"/>
          <cell r="AQ1268"/>
          <cell r="AR1268"/>
          <cell r="AS1268">
            <v>15</v>
          </cell>
          <cell r="AT1268"/>
          <cell r="AU1268" t="str">
            <v/>
          </cell>
          <cell r="AV1268"/>
        </row>
        <row r="1269">
          <cell r="Z1269">
            <v>8020814</v>
          </cell>
          <cell r="AA1269" t="str">
            <v>Bit Sub
2-3/8" REG Box x 2-7/8" EU Box</v>
          </cell>
          <cell r="AB1269">
            <v>25.850566078502347</v>
          </cell>
          <cell r="AC1269">
            <v>3.4375</v>
          </cell>
          <cell r="AD1269">
            <v>605</v>
          </cell>
          <cell r="AE1269" t="str">
            <v>2-3/8" REG Box</v>
          </cell>
          <cell r="AF1269" t="str">
            <v>2-7/8" EU Box</v>
          </cell>
          <cell r="AG1269"/>
          <cell r="AH1269" t="str">
            <v xml:space="preserve"> en stock </v>
          </cell>
          <cell r="AI1269">
            <v>1</v>
          </cell>
          <cell r="AJ1269">
            <v>0</v>
          </cell>
          <cell r="AK1269">
            <v>0</v>
          </cell>
          <cell r="AL1269"/>
          <cell r="AM1269"/>
          <cell r="AN1269">
            <v>8130742</v>
          </cell>
          <cell r="AO1269"/>
          <cell r="AP1269"/>
          <cell r="AQ1269"/>
          <cell r="AR1269"/>
          <cell r="AS1269">
            <v>19</v>
          </cell>
          <cell r="AT1269"/>
          <cell r="AU1269" t="str">
            <v>FR</v>
          </cell>
          <cell r="AV1269"/>
        </row>
        <row r="1270">
          <cell r="Z1270">
            <v>8020815</v>
          </cell>
          <cell r="AA1270" t="str">
            <v>Bit Sub
2-3/8" REG Box x 2-7/8" EU Box</v>
          </cell>
          <cell r="AB1270">
            <v>25.850566078502347</v>
          </cell>
          <cell r="AC1270">
            <v>3.4375</v>
          </cell>
          <cell r="AD1270">
            <v>605</v>
          </cell>
          <cell r="AE1270" t="str">
            <v>2-3/8" REG Box</v>
          </cell>
          <cell r="AF1270" t="str">
            <v>2-7/8" EU Box</v>
          </cell>
          <cell r="AG1270"/>
          <cell r="AH1270" t="str">
            <v xml:space="preserve"> en stock </v>
          </cell>
          <cell r="AI1270">
            <v>1</v>
          </cell>
          <cell r="AJ1270">
            <v>0</v>
          </cell>
          <cell r="AK1270">
            <v>0</v>
          </cell>
          <cell r="AL1270"/>
          <cell r="AM1270"/>
          <cell r="AN1270">
            <v>8130737</v>
          </cell>
          <cell r="AO1270"/>
          <cell r="AP1270"/>
          <cell r="AQ1270"/>
          <cell r="AR1270"/>
          <cell r="AS1270">
            <v>20</v>
          </cell>
          <cell r="AT1270"/>
          <cell r="AU1270" t="str">
            <v>FR</v>
          </cell>
          <cell r="AV1270"/>
        </row>
        <row r="1271">
          <cell r="Z1271">
            <v>8130816</v>
          </cell>
          <cell r="AA1271" t="str">
            <v>XO
2-3/8" REG Pin x 2-7/8" EU Pin</v>
          </cell>
          <cell r="AB1271">
            <v>33</v>
          </cell>
          <cell r="AC1271">
            <v>3.4375</v>
          </cell>
          <cell r="AD1271">
            <v>610</v>
          </cell>
          <cell r="AE1271" t="str">
            <v>2-3/8" REG Pin</v>
          </cell>
          <cell r="AF1271" t="str">
            <v>2-7/8" EU Pin</v>
          </cell>
          <cell r="AG1271"/>
          <cell r="AH1271" t="str">
            <v>maintenance</v>
          </cell>
          <cell r="AI1271" t="str">
            <v/>
          </cell>
          <cell r="AJ1271">
            <v>0</v>
          </cell>
          <cell r="AK1271">
            <v>1</v>
          </cell>
          <cell r="AL1271"/>
          <cell r="AM1271"/>
          <cell r="AN1271">
            <v>8130738</v>
          </cell>
          <cell r="AO1271"/>
          <cell r="AP1271"/>
          <cell r="AQ1271"/>
          <cell r="AR1271"/>
          <cell r="AS1271">
            <v>51</v>
          </cell>
          <cell r="AT1271"/>
          <cell r="AU1271" t="str">
            <v>FR</v>
          </cell>
          <cell r="AV1271"/>
        </row>
        <row r="1272">
          <cell r="Z1272">
            <v>8130817</v>
          </cell>
          <cell r="AA1272" t="str">
            <v>XO
3-1/2" IF Pin x 2-7/8" REG Box</v>
          </cell>
          <cell r="AB1272">
            <v>40</v>
          </cell>
          <cell r="AC1272">
            <v>4.625</v>
          </cell>
          <cell r="AD1272">
            <v>880</v>
          </cell>
          <cell r="AE1272" t="str">
            <v>3-1/2" IF Pin</v>
          </cell>
          <cell r="AF1272" t="str">
            <v>2-7/8" REG Box</v>
          </cell>
          <cell r="AG1272"/>
          <cell r="AH1272" t="str">
            <v xml:space="preserve"> en stock </v>
          </cell>
          <cell r="AI1272">
            <v>1</v>
          </cell>
          <cell r="AJ1272">
            <v>0</v>
          </cell>
          <cell r="AK1272">
            <v>0</v>
          </cell>
          <cell r="AL1272"/>
          <cell r="AM1272"/>
          <cell r="AN1272">
            <v>8130735</v>
          </cell>
          <cell r="AO1272"/>
          <cell r="AP1272"/>
          <cell r="AQ1272"/>
          <cell r="AR1272"/>
          <cell r="AS1272">
            <v>107</v>
          </cell>
          <cell r="AT1272"/>
          <cell r="AU1272" t="str">
            <v>FR</v>
          </cell>
          <cell r="AV1272"/>
        </row>
        <row r="1273">
          <cell r="Z1273">
            <v>8130819</v>
          </cell>
          <cell r="AA1273" t="str">
            <v>Float Sub 3 1/4" Lg 483 mm
2-3/8" REG Pin x 2-3/8" IF Box BF (1F-2R)</v>
          </cell>
          <cell r="AB1273">
            <v>18.245269033582499</v>
          </cell>
          <cell r="AC1273">
            <v>3.25</v>
          </cell>
          <cell r="AD1273">
            <v>483</v>
          </cell>
          <cell r="AE1273" t="str">
            <v>2-3/8" IF Box BF</v>
          </cell>
          <cell r="AF1273" t="str">
            <v>2-3/8" REG Pin</v>
          </cell>
          <cell r="AG1273" t="str">
            <v>1F-2R</v>
          </cell>
          <cell r="AH1273" t="str">
            <v>maintenance</v>
          </cell>
          <cell r="AI1273" t="str">
            <v/>
          </cell>
          <cell r="AJ1273">
            <v>0</v>
          </cell>
          <cell r="AK1273">
            <v>1</v>
          </cell>
          <cell r="AL1273"/>
          <cell r="AM1273"/>
          <cell r="AN1273">
            <v>8080732</v>
          </cell>
          <cell r="AO1273"/>
          <cell r="AP1273"/>
          <cell r="AQ1273"/>
          <cell r="AR1273"/>
          <cell r="AS1273">
            <v>45</v>
          </cell>
          <cell r="AT1273"/>
          <cell r="AU1273" t="str">
            <v>FR</v>
          </cell>
          <cell r="AV1273"/>
        </row>
        <row r="1274">
          <cell r="Z1274">
            <v>8130820</v>
          </cell>
          <cell r="AA1274" t="str">
            <v>Float Sub 3 1/4" Lg 500 mm
2-3/8" REG Pin x 2-3/8" IF Box BF (1F-2R)</v>
          </cell>
          <cell r="AB1274">
            <v>18.887442063750001</v>
          </cell>
          <cell r="AC1274">
            <v>3.25</v>
          </cell>
          <cell r="AD1274">
            <v>500</v>
          </cell>
          <cell r="AE1274" t="str">
            <v>2-3/8" IF Box BF</v>
          </cell>
          <cell r="AF1274" t="str">
            <v>2-3/8" REG Pin</v>
          </cell>
          <cell r="AG1274" t="str">
            <v>1F-2R</v>
          </cell>
          <cell r="AH1274" t="str">
            <v>sur chantier</v>
          </cell>
          <cell r="AI1274" t="str">
            <v/>
          </cell>
          <cell r="AJ1274">
            <v>1</v>
          </cell>
          <cell r="AK1274">
            <v>0</v>
          </cell>
          <cell r="AL1274"/>
          <cell r="AM1274"/>
          <cell r="AN1274">
            <v>8080733</v>
          </cell>
          <cell r="AO1274"/>
          <cell r="AP1274"/>
          <cell r="AQ1274"/>
          <cell r="AR1274"/>
          <cell r="AS1274">
            <v>47</v>
          </cell>
          <cell r="AT1274"/>
          <cell r="AU1274" t="str">
            <v>FR</v>
          </cell>
          <cell r="AV1274"/>
        </row>
        <row r="1275">
          <cell r="Z1275">
            <v>8020101</v>
          </cell>
          <cell r="AA1275" t="str">
            <v>Bit Sub
2-3/8" REG Box x 2-3/8" REG Box BF</v>
          </cell>
          <cell r="AB1275">
            <v>18.881269697062496</v>
          </cell>
          <cell r="AC1275">
            <v>3.375</v>
          </cell>
          <cell r="AD1275">
            <v>460</v>
          </cell>
          <cell r="AE1275" t="str">
            <v>2-3/8" REG Box</v>
          </cell>
          <cell r="AF1275" t="str">
            <v>2-3/8" REG Box BF</v>
          </cell>
          <cell r="AG1275"/>
          <cell r="AH1275" t="str">
            <v>maintenance</v>
          </cell>
          <cell r="AI1275" t="str">
            <v/>
          </cell>
          <cell r="AJ1275">
            <v>0</v>
          </cell>
          <cell r="AK1275">
            <v>1</v>
          </cell>
          <cell r="AL1275"/>
          <cell r="AM1275"/>
          <cell r="AN1275">
            <v>8020734</v>
          </cell>
          <cell r="AO1275"/>
          <cell r="AP1275"/>
          <cell r="AQ1275"/>
          <cell r="AR1275"/>
          <cell r="AS1275">
            <v>12</v>
          </cell>
          <cell r="AT1275"/>
          <cell r="AU1275" t="str">
            <v>FR</v>
          </cell>
          <cell r="AV1275"/>
        </row>
        <row r="1276">
          <cell r="Z1276">
            <v>807</v>
          </cell>
          <cell r="AA1276"/>
          <cell r="AB1276"/>
          <cell r="AC1276"/>
          <cell r="AD1276"/>
          <cell r="AE1276"/>
          <cell r="AF1276"/>
          <cell r="AG1276"/>
          <cell r="AH1276" t="str">
            <v>en stock</v>
          </cell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 t="str">
            <v>FR</v>
          </cell>
          <cell r="AV1276"/>
        </row>
        <row r="1277">
          <cell r="Z1277">
            <v>8130818</v>
          </cell>
          <cell r="AA1277" t="str">
            <v>XO
3-1/2" IF Pin x 2-7/8" EU Box</v>
          </cell>
          <cell r="AB1277">
            <v>0</v>
          </cell>
          <cell r="AC1277">
            <v>4.75</v>
          </cell>
          <cell r="AD1277">
            <v>410</v>
          </cell>
          <cell r="AE1277" t="str">
            <v>3-1/2" IF Pin</v>
          </cell>
          <cell r="AF1277" t="str">
            <v>2-7/8" EU Box</v>
          </cell>
          <cell r="AG1277"/>
          <cell r="AH1277" t="str">
            <v>maintenance</v>
          </cell>
          <cell r="AI1277" t="str">
            <v/>
          </cell>
          <cell r="AJ1277">
            <v>0</v>
          </cell>
          <cell r="AK1277">
            <v>1</v>
          </cell>
          <cell r="AL1277"/>
          <cell r="AM1277"/>
          <cell r="AN1277">
            <v>8130818</v>
          </cell>
          <cell r="AO1277"/>
          <cell r="AP1277"/>
          <cell r="AQ1277"/>
          <cell r="AR1277"/>
          <cell r="AS1277">
            <v>108</v>
          </cell>
          <cell r="AT1277"/>
          <cell r="AU1277" t="str">
            <v>FR</v>
          </cell>
          <cell r="AV1277"/>
        </row>
        <row r="1278">
          <cell r="Z1278">
            <v>8130821</v>
          </cell>
          <cell r="AA1278"/>
          <cell r="AB1278"/>
          <cell r="AC1278"/>
          <cell r="AD1278"/>
          <cell r="AE1278"/>
          <cell r="AF1278"/>
          <cell r="AG1278"/>
          <cell r="AH1278" t="str">
            <v>en stock</v>
          </cell>
          <cell r="AI1278"/>
          <cell r="AJ1278"/>
          <cell r="AK1278"/>
          <cell r="AL1278"/>
          <cell r="AM1278"/>
          <cell r="AN1278" t="str">
            <v/>
          </cell>
          <cell r="AO1278"/>
          <cell r="AP1278"/>
          <cell r="AQ1278"/>
          <cell r="AR1278"/>
          <cell r="AS1278"/>
          <cell r="AT1278"/>
          <cell r="AU1278" t="str">
            <v>FR</v>
          </cell>
          <cell r="AV1278"/>
        </row>
        <row r="1279">
          <cell r="Z1279">
            <v>1035187</v>
          </cell>
          <cell r="AA1279" t="str">
            <v>Casing Scraper 5-1/4" OD Body
3-1/2" REG Pin x 3-1/2" REG Box</v>
          </cell>
          <cell r="AB1279">
            <v>142</v>
          </cell>
          <cell r="AC1279">
            <v>5.25</v>
          </cell>
          <cell r="AD1279">
            <v>1610</v>
          </cell>
          <cell r="AE1279" t="str">
            <v>3-1/2" REG Pin</v>
          </cell>
          <cell r="AF1279" t="str">
            <v>3-1/2" REG Box</v>
          </cell>
          <cell r="AG1279"/>
          <cell r="AH1279" t="e">
            <v>#VALUE!</v>
          </cell>
          <cell r="AI1279" t="e">
            <v>#VALUE!</v>
          </cell>
          <cell r="AJ1279">
            <v>0</v>
          </cell>
          <cell r="AK1279" t="e">
            <v>#VALUE!</v>
          </cell>
          <cell r="AL1279"/>
          <cell r="AM1279"/>
          <cell r="AN1279" t="str">
            <v/>
          </cell>
          <cell r="AO1279"/>
          <cell r="AP1279"/>
          <cell r="AQ1279"/>
          <cell r="AR1279"/>
          <cell r="AS1279">
            <v>24</v>
          </cell>
          <cell r="AT1279"/>
          <cell r="AU1279" t="str">
            <v>FR</v>
          </cell>
          <cell r="AV1279"/>
        </row>
        <row r="1280">
          <cell r="Z1280">
            <v>8130822</v>
          </cell>
          <cell r="AA1280"/>
          <cell r="AB1280"/>
          <cell r="AC1280"/>
          <cell r="AD1280"/>
          <cell r="AE1280"/>
          <cell r="AF1280"/>
          <cell r="AG1280"/>
          <cell r="AH1280" t="str">
            <v>en stock</v>
          </cell>
          <cell r="AI1280"/>
          <cell r="AJ1280"/>
          <cell r="AK1280"/>
          <cell r="AL1280"/>
          <cell r="AM1280"/>
          <cell r="AN1280" t="str">
            <v/>
          </cell>
          <cell r="AO1280"/>
          <cell r="AP1280"/>
          <cell r="AQ1280"/>
          <cell r="AR1280"/>
          <cell r="AS1280"/>
          <cell r="AT1280"/>
          <cell r="AU1280" t="str">
            <v>FR</v>
          </cell>
          <cell r="AV1280"/>
        </row>
        <row r="1281">
          <cell r="Z1281">
            <v>7130810</v>
          </cell>
          <cell r="AA1281" t="str">
            <v>Pack Off 5-11/16" OD body CA 9615
3-1/2" IF Pin down x Box up</v>
          </cell>
          <cell r="AB1281">
            <v>0</v>
          </cell>
          <cell r="AC1281">
            <v>5.6875</v>
          </cell>
          <cell r="AD1281" t="str">
            <v>CA 9615</v>
          </cell>
          <cell r="AE1281" t="str">
            <v>3-1/2" IF Box</v>
          </cell>
          <cell r="AF1281" t="str">
            <v>3-1/2" IF Pin</v>
          </cell>
          <cell r="AG1281"/>
          <cell r="AH1281" t="str">
            <v>maintenance</v>
          </cell>
          <cell r="AI1281" t="str">
            <v/>
          </cell>
          <cell r="AJ1281">
            <v>0</v>
          </cell>
          <cell r="AK1281">
            <v>1</v>
          </cell>
          <cell r="AL1281"/>
          <cell r="AM1281"/>
          <cell r="AN1281">
            <v>7130810</v>
          </cell>
          <cell r="AO1281"/>
          <cell r="AP1281"/>
          <cell r="AQ1281"/>
          <cell r="AR1281"/>
          <cell r="AS1281">
            <v>8</v>
          </cell>
          <cell r="AT1281"/>
          <cell r="AU1281" t="str">
            <v>FR</v>
          </cell>
          <cell r="AV1281"/>
        </row>
        <row r="1282">
          <cell r="Z1282">
            <v>8015247</v>
          </cell>
          <cell r="AA1282" t="str">
            <v>Bull Nose 4-1/2" OD
2-3/8" REG Pin</v>
          </cell>
          <cell r="AB1282">
            <v>26.615245156499995</v>
          </cell>
          <cell r="AC1282">
            <v>4.5</v>
          </cell>
          <cell r="AD1282">
            <v>350</v>
          </cell>
          <cell r="AE1282" t="str">
            <v>2-3/8" REG Pin</v>
          </cell>
          <cell r="AF1282"/>
          <cell r="AG1282"/>
          <cell r="AH1282" t="str">
            <v xml:space="preserve"> en stock </v>
          </cell>
          <cell r="AI1282">
            <v>1</v>
          </cell>
          <cell r="AJ1282">
            <v>0</v>
          </cell>
          <cell r="AK1282">
            <v>0</v>
          </cell>
          <cell r="AL1282"/>
          <cell r="AM1282"/>
          <cell r="AN1282">
            <v>8015247</v>
          </cell>
          <cell r="AO1282"/>
          <cell r="AP1282"/>
          <cell r="AQ1282"/>
          <cell r="AR1282"/>
          <cell r="AS1282">
            <v>7</v>
          </cell>
          <cell r="AT1282" t="str">
            <v>801-2,375REG</v>
          </cell>
          <cell r="AU1282" t="str">
            <v>FR</v>
          </cell>
          <cell r="AV1282"/>
        </row>
        <row r="1283">
          <cell r="Z1283">
            <v>2030690</v>
          </cell>
          <cell r="AA1283" t="str">
            <v>Pipe Cutter 5700s
3-1/2" REG Pin up x 3-1/2" REG Box down</v>
          </cell>
          <cell r="AB1283">
            <v>0</v>
          </cell>
          <cell r="AC1283">
            <v>5700</v>
          </cell>
          <cell r="AD1283">
            <v>0</v>
          </cell>
          <cell r="AE1283" t="str">
            <v>3-1/2" REG Pin</v>
          </cell>
          <cell r="AF1283" t="str">
            <v>3-1/2" REG Box</v>
          </cell>
          <cell r="AG1283"/>
          <cell r="AH1283" t="str">
            <v xml:space="preserve"> en stock </v>
          </cell>
          <cell r="AI1283">
            <v>1</v>
          </cell>
          <cell r="AJ1283">
            <v>0</v>
          </cell>
          <cell r="AK1283">
            <v>0</v>
          </cell>
          <cell r="AL1283"/>
          <cell r="AM1283"/>
          <cell r="AN1283">
            <v>2030690</v>
          </cell>
          <cell r="AO1283"/>
          <cell r="AP1283"/>
          <cell r="AQ1283"/>
          <cell r="AR1283"/>
          <cell r="AS1283">
            <v>9</v>
          </cell>
          <cell r="AT1283" t="str">
            <v>203-5700</v>
          </cell>
          <cell r="AU1283" t="str">
            <v>FR</v>
          </cell>
          <cell r="AV1283"/>
        </row>
        <row r="1284">
          <cell r="Z1284">
            <v>1070712</v>
          </cell>
          <cell r="AA1284" t="str">
            <v>Circulating Sub 4-3/4" OD 
3-1/2" IF Pin x Box</v>
          </cell>
          <cell r="AB1284">
            <v>42</v>
          </cell>
          <cell r="AC1284">
            <v>4.75</v>
          </cell>
          <cell r="AD1284">
            <v>590</v>
          </cell>
          <cell r="AE1284" t="str">
            <v xml:space="preserve"> 3-1/2 IF Box</v>
          </cell>
          <cell r="AF1284" t="str">
            <v xml:space="preserve"> 3-1/2 IF Pin</v>
          </cell>
          <cell r="AG1284"/>
          <cell r="AH1284" t="str">
            <v xml:space="preserve"> en stock </v>
          </cell>
          <cell r="AI1284">
            <v>1</v>
          </cell>
          <cell r="AJ1284">
            <v>0</v>
          </cell>
          <cell r="AK1284">
            <v>0</v>
          </cell>
          <cell r="AL1284"/>
          <cell r="AM1284"/>
          <cell r="AN1284" t="str">
            <v/>
          </cell>
          <cell r="AO1284"/>
          <cell r="AP1284"/>
          <cell r="AQ1284"/>
          <cell r="AR1284"/>
          <cell r="AS1284">
            <v>5</v>
          </cell>
          <cell r="AT1284"/>
          <cell r="AU1284" t="str">
            <v>FR</v>
          </cell>
          <cell r="AV1284"/>
        </row>
        <row r="1285">
          <cell r="Z1285">
            <v>8130823</v>
          </cell>
          <cell r="AA1285" t="str">
            <v>XO
2-7/8" IF Pin x 3-1/2" EU Box</v>
          </cell>
          <cell r="AB1285">
            <v>0</v>
          </cell>
          <cell r="AC1285">
            <v>0</v>
          </cell>
          <cell r="AD1285">
            <v>0</v>
          </cell>
          <cell r="AE1285" t="str">
            <v>2-7/8" IF Pin</v>
          </cell>
          <cell r="AF1285" t="str">
            <v>3-1/2" EU Box</v>
          </cell>
          <cell r="AG1285"/>
          <cell r="AH1285" t="str">
            <v xml:space="preserve"> en stock </v>
          </cell>
          <cell r="AI1285">
            <v>1</v>
          </cell>
          <cell r="AJ1285">
            <v>0</v>
          </cell>
          <cell r="AK1285">
            <v>0</v>
          </cell>
          <cell r="AL1285"/>
          <cell r="AM1285"/>
          <cell r="AN1285" t="str">
            <v/>
          </cell>
          <cell r="AO1285"/>
          <cell r="AP1285"/>
          <cell r="AQ1285"/>
          <cell r="AR1285"/>
          <cell r="AS1285">
            <v>84</v>
          </cell>
          <cell r="AT1285"/>
          <cell r="AU1285" t="str">
            <v>FR</v>
          </cell>
          <cell r="AV1285"/>
        </row>
        <row r="1286">
          <cell r="Z1286">
            <v>8130824</v>
          </cell>
          <cell r="AA1286" t="str">
            <v>XO
2-3/8" REG Pin x 3-1/2" EU Box</v>
          </cell>
          <cell r="AB1286">
            <v>0</v>
          </cell>
          <cell r="AC1286">
            <v>0</v>
          </cell>
          <cell r="AD1286">
            <v>0</v>
          </cell>
          <cell r="AE1286" t="str">
            <v>2-3/8" REG Pin</v>
          </cell>
          <cell r="AF1286" t="str">
            <v>3-1/2" EU Box</v>
          </cell>
          <cell r="AG1286"/>
          <cell r="AH1286" t="str">
            <v xml:space="preserve"> en stock </v>
          </cell>
          <cell r="AI1286">
            <v>1</v>
          </cell>
          <cell r="AJ1286">
            <v>0</v>
          </cell>
          <cell r="AK1286">
            <v>0</v>
          </cell>
          <cell r="AL1286"/>
          <cell r="AM1286"/>
          <cell r="AN1286" t="str">
            <v/>
          </cell>
          <cell r="AO1286"/>
          <cell r="AP1286"/>
          <cell r="AQ1286"/>
          <cell r="AR1286"/>
          <cell r="AS1286">
            <v>65</v>
          </cell>
          <cell r="AT1286"/>
          <cell r="AU1286" t="str">
            <v>FR</v>
          </cell>
          <cell r="AV1286"/>
        </row>
        <row r="1287">
          <cell r="Z1287">
            <v>8130825</v>
          </cell>
          <cell r="AA1287" t="str">
            <v>XO
2-3/8" IF Pin x 3-1/2" EU Box</v>
          </cell>
          <cell r="AB1287">
            <v>0</v>
          </cell>
          <cell r="AC1287">
            <v>0</v>
          </cell>
          <cell r="AD1287">
            <v>0</v>
          </cell>
          <cell r="AE1287" t="str">
            <v>2-3/8" IF Pin</v>
          </cell>
          <cell r="AF1287" t="str">
            <v>3-1/2" EU Box</v>
          </cell>
          <cell r="AG1287"/>
          <cell r="AH1287" t="str">
            <v xml:space="preserve"> en stock </v>
          </cell>
          <cell r="AI1287">
            <v>1</v>
          </cell>
          <cell r="AJ1287">
            <v>0</v>
          </cell>
          <cell r="AK1287">
            <v>0</v>
          </cell>
          <cell r="AL1287"/>
          <cell r="AM1287"/>
          <cell r="AN1287" t="str">
            <v/>
          </cell>
          <cell r="AO1287"/>
          <cell r="AP1287"/>
          <cell r="AQ1287"/>
          <cell r="AR1287"/>
          <cell r="AS1287">
            <v>35</v>
          </cell>
          <cell r="AT1287"/>
          <cell r="AU1287" t="str">
            <v>FR</v>
          </cell>
          <cell r="AV1287"/>
        </row>
        <row r="1288">
          <cell r="Z1288">
            <v>7095449</v>
          </cell>
          <cell r="AA1288" t="str">
            <v>Taper Tap 11" OD to catch from 7/8" to 2"
Lg catch - mm
2-3/8" REG Pin</v>
          </cell>
          <cell r="AB1288">
            <v>11</v>
          </cell>
          <cell r="AC1288">
            <v>3</v>
          </cell>
          <cell r="AD1288">
            <v>575</v>
          </cell>
          <cell r="AE1288" t="str">
            <v>2-3/8" REG Pin</v>
          </cell>
          <cell r="AF1288"/>
          <cell r="AG1288"/>
          <cell r="AH1288" t="str">
            <v xml:space="preserve"> en stock </v>
          </cell>
          <cell r="AI1288">
            <v>1</v>
          </cell>
          <cell r="AJ1288">
            <v>0</v>
          </cell>
          <cell r="AK1288">
            <v>0</v>
          </cell>
          <cell r="AL1288"/>
          <cell r="AM1288"/>
          <cell r="AN1288" t="str">
            <v/>
          </cell>
          <cell r="AO1288"/>
          <cell r="AP1288"/>
          <cell r="AQ1288"/>
          <cell r="AR1288"/>
          <cell r="AS1288">
            <v>6</v>
          </cell>
          <cell r="AT1288" t="str">
            <v>709-</v>
          </cell>
          <cell r="AU1288" t="str">
            <v>FR</v>
          </cell>
          <cell r="AV1288"/>
        </row>
        <row r="1289">
          <cell r="Z1289">
            <v>8020826</v>
          </cell>
          <cell r="AA1289" t="str">
            <v>Bit Sub
2-7/8" EU Box x 3-1/2" REG Box</v>
          </cell>
          <cell r="AB1289">
            <v>45.366895153125</v>
          </cell>
          <cell r="AC1289">
            <v>4.625</v>
          </cell>
          <cell r="AD1289">
            <v>600</v>
          </cell>
          <cell r="AE1289" t="str">
            <v>2-7/8" EU Box</v>
          </cell>
          <cell r="AF1289" t="str">
            <v>3-1/2" REG Box</v>
          </cell>
          <cell r="AG1289"/>
          <cell r="AH1289" t="str">
            <v xml:space="preserve"> en stock </v>
          </cell>
          <cell r="AI1289">
            <v>1</v>
          </cell>
          <cell r="AJ1289">
            <v>0</v>
          </cell>
          <cell r="AK1289">
            <v>0</v>
          </cell>
          <cell r="AL1289"/>
          <cell r="AM1289"/>
          <cell r="AN1289">
            <v>8130739</v>
          </cell>
          <cell r="AO1289"/>
          <cell r="AP1289"/>
          <cell r="AQ1289"/>
          <cell r="AR1289"/>
          <cell r="AS1289">
            <v>24</v>
          </cell>
          <cell r="AT1289"/>
          <cell r="AU1289" t="str">
            <v>FR</v>
          </cell>
          <cell r="AV1289"/>
        </row>
        <row r="1290">
          <cell r="Z1290">
            <v>8020827</v>
          </cell>
          <cell r="AA1290" t="str">
            <v>Bit Sub
2-7/8" EU Box x 3-1/2" REG Box</v>
          </cell>
          <cell r="AB1290">
            <v>45.366895153125</v>
          </cell>
          <cell r="AC1290">
            <v>4.625</v>
          </cell>
          <cell r="AD1290">
            <v>600</v>
          </cell>
          <cell r="AE1290" t="str">
            <v>2-7/8" EU Box</v>
          </cell>
          <cell r="AF1290" t="str">
            <v>3-1/2" REG Box</v>
          </cell>
          <cell r="AG1290"/>
          <cell r="AH1290" t="str">
            <v>maintenance</v>
          </cell>
          <cell r="AI1290" t="str">
            <v/>
          </cell>
          <cell r="AJ1290">
            <v>0</v>
          </cell>
          <cell r="AK1290">
            <v>1</v>
          </cell>
          <cell r="AL1290"/>
          <cell r="AM1290"/>
          <cell r="AN1290">
            <v>8130740</v>
          </cell>
          <cell r="AO1290"/>
          <cell r="AP1290"/>
          <cell r="AQ1290"/>
          <cell r="AR1290"/>
          <cell r="AS1290">
            <v>25</v>
          </cell>
          <cell r="AT1290"/>
          <cell r="AU1290" t="str">
            <v>FR</v>
          </cell>
          <cell r="AV1290"/>
        </row>
        <row r="1291">
          <cell r="Z1291">
            <v>8130828</v>
          </cell>
          <cell r="AA1291" t="str">
            <v>XO
2-7/8" EU Pin x 3-1/2" REG Pin</v>
          </cell>
          <cell r="AB1291">
            <v>48.545663997187503</v>
          </cell>
          <cell r="AC1291">
            <v>4.75</v>
          </cell>
          <cell r="AD1291">
            <v>605</v>
          </cell>
          <cell r="AE1291" t="str">
            <v>2-7/8" EU Pin</v>
          </cell>
          <cell r="AF1291" t="str">
            <v>3-1/2" REG Pin</v>
          </cell>
          <cell r="AG1291"/>
          <cell r="AH1291" t="str">
            <v>maintenance</v>
          </cell>
          <cell r="AI1291" t="str">
            <v/>
          </cell>
          <cell r="AJ1291">
            <v>0</v>
          </cell>
          <cell r="AK1291">
            <v>1</v>
          </cell>
          <cell r="AL1291"/>
          <cell r="AM1291"/>
          <cell r="AN1291">
            <v>8130741</v>
          </cell>
          <cell r="AO1291"/>
          <cell r="AP1291"/>
          <cell r="AQ1291"/>
          <cell r="AR1291"/>
          <cell r="AS1291">
            <v>78</v>
          </cell>
          <cell r="AT1291"/>
          <cell r="AU1291" t="str">
            <v>FR</v>
          </cell>
          <cell r="AV1291"/>
        </row>
        <row r="1292">
          <cell r="Z1292" t="str">
            <v/>
          </cell>
          <cell r="AA1292"/>
          <cell r="AB1292"/>
          <cell r="AC1292"/>
          <cell r="AD1292"/>
          <cell r="AE1292"/>
          <cell r="AF1292"/>
          <cell r="AG1292"/>
          <cell r="AH1292" t="str">
            <v>en stock</v>
          </cell>
          <cell r="AI1292"/>
          <cell r="AJ1292"/>
          <cell r="AK1292"/>
          <cell r="AL1292"/>
          <cell r="AM1292"/>
          <cell r="AN1292">
            <v>2022</v>
          </cell>
          <cell r="AO1292"/>
          <cell r="AP1292"/>
          <cell r="AQ1292"/>
          <cell r="AR1292"/>
          <cell r="AS1292"/>
          <cell r="AT1292"/>
          <cell r="AU1292" t="str">
            <v/>
          </cell>
          <cell r="AV1292"/>
        </row>
        <row r="1293">
          <cell r="Z1293">
            <v>8130829</v>
          </cell>
          <cell r="AA1293" t="str">
            <v>XO
3-1/2" IF Pin x 4-1/2" IF Pin</v>
          </cell>
          <cell r="AB1293">
            <v>70</v>
          </cell>
          <cell r="AC1293">
            <v>6.5</v>
          </cell>
          <cell r="AD1293">
            <v>595</v>
          </cell>
          <cell r="AE1293" t="str">
            <v>3-1/2" IF Pin</v>
          </cell>
          <cell r="AF1293" t="str">
            <v>4-1/2" IF Pin</v>
          </cell>
          <cell r="AG1293"/>
          <cell r="AH1293" t="str">
            <v>maintenance</v>
          </cell>
          <cell r="AI1293" t="str">
            <v/>
          </cell>
          <cell r="AJ1293">
            <v>0</v>
          </cell>
          <cell r="AK1293">
            <v>1</v>
          </cell>
          <cell r="AL1293"/>
          <cell r="AM1293"/>
          <cell r="AN1293">
            <v>8130829</v>
          </cell>
          <cell r="AO1293"/>
          <cell r="AP1293"/>
          <cell r="AQ1293"/>
          <cell r="AR1293"/>
          <cell r="AS1293">
            <v>130</v>
          </cell>
          <cell r="AT1293"/>
          <cell r="AU1293" t="str">
            <v>FR</v>
          </cell>
          <cell r="AV1293"/>
        </row>
        <row r="1294">
          <cell r="Z1294">
            <v>8130830</v>
          </cell>
          <cell r="AA1294" t="str">
            <v>XO
2-7/8" IF Pin x 3-1/2" IF Pin</v>
          </cell>
          <cell r="AB1294">
            <v>35.256558519000002</v>
          </cell>
          <cell r="AC1294">
            <v>4.75</v>
          </cell>
          <cell r="AD1294">
            <v>510</v>
          </cell>
          <cell r="AE1294" t="str">
            <v>2-7/8" IF Pin</v>
          </cell>
          <cell r="AF1294" t="str">
            <v>3-1/2" IF Pin</v>
          </cell>
          <cell r="AG1294"/>
          <cell r="AH1294" t="str">
            <v xml:space="preserve"> en stock </v>
          </cell>
          <cell r="AI1294">
            <v>1</v>
          </cell>
          <cell r="AJ1294">
            <v>0</v>
          </cell>
          <cell r="AK1294">
            <v>0</v>
          </cell>
          <cell r="AL1294"/>
          <cell r="AM1294"/>
          <cell r="AN1294">
            <v>8130830</v>
          </cell>
          <cell r="AO1294"/>
          <cell r="AP1294"/>
          <cell r="AQ1294"/>
          <cell r="AR1294"/>
          <cell r="AS1294">
            <v>88</v>
          </cell>
          <cell r="AT1294"/>
          <cell r="AU1294" t="str">
            <v>FR</v>
          </cell>
          <cell r="AV1294"/>
        </row>
        <row r="1295">
          <cell r="Z1295">
            <v>8130831</v>
          </cell>
          <cell r="AA1295" t="str">
            <v>XO
2-3/8" IF Pin x 2-3/8" REG Box</v>
          </cell>
          <cell r="AB1295">
            <v>17.44465135054687</v>
          </cell>
          <cell r="AC1295">
            <v>3.375</v>
          </cell>
          <cell r="AD1295">
            <v>425</v>
          </cell>
          <cell r="AE1295" t="str">
            <v>2-3/8" IF Pin</v>
          </cell>
          <cell r="AF1295" t="str">
            <v>2-3/8" REG Box</v>
          </cell>
          <cell r="AG1295"/>
          <cell r="AH1295" t="str">
            <v xml:space="preserve"> en stock </v>
          </cell>
          <cell r="AI1295">
            <v>1</v>
          </cell>
          <cell r="AJ1295">
            <v>0</v>
          </cell>
          <cell r="AK1295">
            <v>0</v>
          </cell>
          <cell r="AL1295"/>
          <cell r="AM1295"/>
          <cell r="AN1295" t="str">
            <v/>
          </cell>
          <cell r="AO1295"/>
          <cell r="AP1295"/>
          <cell r="AQ1295"/>
          <cell r="AR1295"/>
          <cell r="AS1295">
            <v>24</v>
          </cell>
          <cell r="AT1295"/>
          <cell r="AU1295" t="str">
            <v>FR</v>
          </cell>
          <cell r="AV1295"/>
        </row>
        <row r="1296">
          <cell r="Z1296">
            <v>8130832</v>
          </cell>
          <cell r="AA1296" t="str">
            <v>XO
2-7/8" IF Pin x 2-3/8" REG Box</v>
          </cell>
          <cell r="AB1296">
            <v>0</v>
          </cell>
          <cell r="AC1296">
            <v>4.125</v>
          </cell>
          <cell r="AD1296">
            <v>515</v>
          </cell>
          <cell r="AE1296" t="str">
            <v>2-7/8" IF Pin</v>
          </cell>
          <cell r="AF1296" t="str">
            <v>2-3/8" REG Box</v>
          </cell>
          <cell r="AG1296"/>
          <cell r="AH1296" t="str">
            <v>sur chantier</v>
          </cell>
          <cell r="AI1296" t="str">
            <v/>
          </cell>
          <cell r="AJ1296">
            <v>1</v>
          </cell>
          <cell r="AK1296">
            <v>0</v>
          </cell>
          <cell r="AL1296"/>
          <cell r="AM1296"/>
          <cell r="AN1296" t="str">
            <v/>
          </cell>
          <cell r="AO1296"/>
          <cell r="AP1296"/>
          <cell r="AQ1296"/>
          <cell r="AR1296"/>
          <cell r="AS1296">
            <v>79</v>
          </cell>
          <cell r="AT1296"/>
          <cell r="AU1296" t="str">
            <v>FR</v>
          </cell>
          <cell r="AV1296"/>
        </row>
        <row r="1297">
          <cell r="Z1297">
            <v>8130833</v>
          </cell>
          <cell r="AA1297" t="str">
            <v>XO
3-1/2" IF Pin x 3-1/2" REG Pin</v>
          </cell>
          <cell r="AB1297">
            <v>32.497510609687509</v>
          </cell>
          <cell r="AC1297">
            <v>4.75</v>
          </cell>
          <cell r="AD1297">
            <v>405</v>
          </cell>
          <cell r="AE1297" t="str">
            <v>3-1/2" IF Pin</v>
          </cell>
          <cell r="AF1297" t="str">
            <v>3-1/2" REG Pin</v>
          </cell>
          <cell r="AG1297"/>
          <cell r="AH1297" t="str">
            <v>maintenance</v>
          </cell>
          <cell r="AI1297" t="str">
            <v/>
          </cell>
          <cell r="AJ1297">
            <v>0</v>
          </cell>
          <cell r="AK1297">
            <v>1</v>
          </cell>
          <cell r="AL1297"/>
          <cell r="AM1297"/>
          <cell r="AN1297">
            <v>8130833</v>
          </cell>
          <cell r="AO1297"/>
          <cell r="AP1297"/>
          <cell r="AQ1297"/>
          <cell r="AR1297"/>
          <cell r="AS1297">
            <v>123</v>
          </cell>
          <cell r="AT1297"/>
          <cell r="AU1297" t="str">
            <v>FR</v>
          </cell>
          <cell r="AV1297"/>
        </row>
        <row r="1298">
          <cell r="Z1298">
            <v>8130889</v>
          </cell>
          <cell r="AA1298" t="str">
            <v>XO
2-3/8" IF Pin x 2-3/8" REG Box</v>
          </cell>
          <cell r="AB1298">
            <v>15.409004817009377</v>
          </cell>
          <cell r="AC1298">
            <v>3.125</v>
          </cell>
          <cell r="AD1298">
            <v>445</v>
          </cell>
          <cell r="AE1298" t="str">
            <v>2-3/8" IF Pin</v>
          </cell>
          <cell r="AF1298" t="str">
            <v>2-3/8" REG Box</v>
          </cell>
          <cell r="AG1298"/>
          <cell r="AH1298" t="str">
            <v>maintenance</v>
          </cell>
          <cell r="AI1298" t="str">
            <v/>
          </cell>
          <cell r="AJ1298">
            <v>0</v>
          </cell>
          <cell r="AK1298">
            <v>1</v>
          </cell>
          <cell r="AL1298"/>
          <cell r="AM1298"/>
          <cell r="AN1298" t="str">
            <v/>
          </cell>
          <cell r="AO1298"/>
          <cell r="AP1298"/>
          <cell r="AQ1298"/>
          <cell r="AR1298"/>
          <cell r="AS1298">
            <v>21</v>
          </cell>
          <cell r="AT1298"/>
          <cell r="AU1298" t="str">
            <v/>
          </cell>
          <cell r="AV1298"/>
        </row>
        <row r="1299">
          <cell r="Z1299"/>
          <cell r="AA1299"/>
          <cell r="AB1299"/>
          <cell r="AC1299"/>
          <cell r="AD1299"/>
          <cell r="AE1299"/>
          <cell r="AF1299"/>
          <cell r="AG1299"/>
          <cell r="AH1299" t="str">
            <v>en stock</v>
          </cell>
          <cell r="AI1299"/>
          <cell r="AJ1299"/>
          <cell r="AK1299"/>
          <cell r="AL1299"/>
          <cell r="AM1299"/>
          <cell r="AN1299" t="str">
            <v/>
          </cell>
          <cell r="AO1299"/>
          <cell r="AP1299"/>
          <cell r="AQ1299"/>
          <cell r="AR1299"/>
          <cell r="AS1299" t="e">
            <v>#N/A</v>
          </cell>
          <cell r="AT1299"/>
          <cell r="AU1299" t="str">
            <v>FR</v>
          </cell>
          <cell r="AV1299"/>
        </row>
        <row r="1300">
          <cell r="Z1300">
            <v>5045134</v>
          </cell>
          <cell r="AA1300" t="str">
            <v>Viper Pilot Mill
4 1/2 REG Pin x 3-1/2" REG Box</v>
          </cell>
          <cell r="AB1300">
            <v>0</v>
          </cell>
          <cell r="AC1300">
            <v>7.875</v>
          </cell>
          <cell r="AD1300">
            <v>0</v>
          </cell>
          <cell r="AE1300" t="str">
            <v>4 1/2 REG Pin</v>
          </cell>
          <cell r="AF1300" t="str">
            <v>3-1/2" REG Box</v>
          </cell>
          <cell r="AG1300" t="str">
            <v>Insert</v>
          </cell>
          <cell r="AH1300" t="str">
            <v xml:space="preserve"> en stock </v>
          </cell>
          <cell r="AI1300">
            <v>1</v>
          </cell>
          <cell r="AJ1300">
            <v>0</v>
          </cell>
          <cell r="AK1300">
            <v>0</v>
          </cell>
          <cell r="AL1300"/>
          <cell r="AM1300"/>
          <cell r="AN1300">
            <v>5055134</v>
          </cell>
          <cell r="AO1300"/>
          <cell r="AP1300"/>
          <cell r="AQ1300"/>
          <cell r="AR1300"/>
          <cell r="AS1300">
            <v>23</v>
          </cell>
          <cell r="AT1300"/>
          <cell r="AU1300" t="str">
            <v>FR</v>
          </cell>
          <cell r="AV1300"/>
        </row>
        <row r="1301">
          <cell r="Z1301">
            <v>5045135</v>
          </cell>
          <cell r="AA1301" t="str">
            <v>Viper Pilot Mill
4 1/2 REG Pin x 3-1/2" REG Box</v>
          </cell>
          <cell r="AB1301">
            <v>0</v>
          </cell>
          <cell r="AC1301">
            <v>7.875</v>
          </cell>
          <cell r="AD1301">
            <v>0</v>
          </cell>
          <cell r="AE1301" t="str">
            <v>4 1/2 REG Pin</v>
          </cell>
          <cell r="AF1301" t="str">
            <v>3-1/2" REG Box</v>
          </cell>
          <cell r="AG1301"/>
          <cell r="AH1301" t="e">
            <v>#VALUE!</v>
          </cell>
          <cell r="AI1301" t="e">
            <v>#VALUE!</v>
          </cell>
          <cell r="AJ1301">
            <v>0</v>
          </cell>
          <cell r="AK1301" t="str">
            <v>HS</v>
          </cell>
          <cell r="AL1301"/>
          <cell r="AM1301"/>
          <cell r="AN1301" t="str">
            <v/>
          </cell>
          <cell r="AO1301"/>
          <cell r="AP1301"/>
          <cell r="AQ1301"/>
          <cell r="AR1301"/>
          <cell r="AS1301">
            <v>27</v>
          </cell>
          <cell r="AT1301"/>
          <cell r="AU1301" t="str">
            <v>FR</v>
          </cell>
          <cell r="AV1301"/>
        </row>
        <row r="1302">
          <cell r="Z1302">
            <v>5045136</v>
          </cell>
          <cell r="AA1302" t="str">
            <v>Viper Pilot Mill
4 1/2 REG Pin x 3-1/2" REG Box</v>
          </cell>
          <cell r="AB1302">
            <v>0</v>
          </cell>
          <cell r="AC1302">
            <v>7.875</v>
          </cell>
          <cell r="AD1302">
            <v>0</v>
          </cell>
          <cell r="AE1302" t="str">
            <v>4 1/2 REG Pin</v>
          </cell>
          <cell r="AF1302" t="str">
            <v>3-1/2" REG Box</v>
          </cell>
          <cell r="AG1302" t="str">
            <v>BLANK</v>
          </cell>
          <cell r="AH1302" t="str">
            <v xml:space="preserve"> en stock </v>
          </cell>
          <cell r="AI1302">
            <v>1</v>
          </cell>
          <cell r="AJ1302">
            <v>0</v>
          </cell>
          <cell r="AK1302">
            <v>0</v>
          </cell>
          <cell r="AL1302"/>
          <cell r="AM1302"/>
          <cell r="AN1302">
            <v>5045136</v>
          </cell>
          <cell r="AO1302"/>
          <cell r="AP1302"/>
          <cell r="AQ1302"/>
          <cell r="AR1302"/>
          <cell r="AS1302">
            <v>28</v>
          </cell>
          <cell r="AT1302"/>
          <cell r="AU1302" t="str">
            <v>FR</v>
          </cell>
          <cell r="AV1302"/>
        </row>
        <row r="1303">
          <cell r="Z1303">
            <v>5045137</v>
          </cell>
          <cell r="AA1303" t="str">
            <v>Viper Pilot Mill
4-1/2" REG Pin x 3-1/2" REG Box</v>
          </cell>
          <cell r="AB1303">
            <v>154</v>
          </cell>
          <cell r="AC1303">
            <v>8.0625</v>
          </cell>
          <cell r="AD1303">
            <v>1230</v>
          </cell>
          <cell r="AE1303" t="str">
            <v>4-1/2" REG Pin</v>
          </cell>
          <cell r="AF1303" t="str">
            <v>3-1/2" REG Box</v>
          </cell>
          <cell r="AG1303" t="str">
            <v>Insert</v>
          </cell>
          <cell r="AH1303" t="str">
            <v xml:space="preserve"> en stock </v>
          </cell>
          <cell r="AI1303">
            <v>1</v>
          </cell>
          <cell r="AJ1303">
            <v>0</v>
          </cell>
          <cell r="AK1303">
            <v>0</v>
          </cell>
          <cell r="AL1303"/>
          <cell r="AM1303"/>
          <cell r="AN1303">
            <v>5045137</v>
          </cell>
          <cell r="AO1303"/>
          <cell r="AP1303"/>
          <cell r="AQ1303"/>
          <cell r="AR1303"/>
          <cell r="AS1303">
            <v>24</v>
          </cell>
          <cell r="AT1303"/>
          <cell r="AU1303" t="str">
            <v>FR</v>
          </cell>
          <cell r="AV1303"/>
        </row>
        <row r="1304">
          <cell r="Z1304">
            <v>5045138</v>
          </cell>
          <cell r="AA1304" t="str">
            <v>Viper Pilot Mill
4-1/2" REG Pin x 3-1/2" REG Box</v>
          </cell>
          <cell r="AB1304">
            <v>0</v>
          </cell>
          <cell r="AC1304">
            <v>7.875</v>
          </cell>
          <cell r="AD1304">
            <v>0</v>
          </cell>
          <cell r="AE1304" t="str">
            <v>4-1/2" REG Pin</v>
          </cell>
          <cell r="AF1304" t="str">
            <v>3-1/2" REG Box</v>
          </cell>
          <cell r="AG1304" t="str">
            <v>BLANK</v>
          </cell>
          <cell r="AH1304" t="str">
            <v xml:space="preserve"> en stock </v>
          </cell>
          <cell r="AI1304">
            <v>1</v>
          </cell>
          <cell r="AJ1304">
            <v>0</v>
          </cell>
          <cell r="AK1304">
            <v>0</v>
          </cell>
          <cell r="AL1304"/>
          <cell r="AM1304"/>
          <cell r="AN1304">
            <v>5045138</v>
          </cell>
          <cell r="AO1304"/>
          <cell r="AP1304"/>
          <cell r="AQ1304"/>
          <cell r="AR1304"/>
          <cell r="AS1304">
            <v>29</v>
          </cell>
          <cell r="AT1304"/>
          <cell r="AU1304" t="str">
            <v>FR</v>
          </cell>
          <cell r="AV1304"/>
        </row>
        <row r="1305">
          <cell r="Z1305" t="str">
            <v/>
          </cell>
          <cell r="AA1305"/>
          <cell r="AB1305"/>
          <cell r="AC1305"/>
          <cell r="AD1305"/>
          <cell r="AE1305"/>
          <cell r="AF1305"/>
          <cell r="AG1305"/>
          <cell r="AH1305" t="str">
            <v>en stock</v>
          </cell>
          <cell r="AI1305"/>
          <cell r="AJ1305"/>
          <cell r="AK1305"/>
          <cell r="AL1305"/>
          <cell r="AM1305"/>
          <cell r="AN1305">
            <v>2022</v>
          </cell>
          <cell r="AO1305"/>
          <cell r="AP1305"/>
          <cell r="AQ1305"/>
          <cell r="AR1305"/>
          <cell r="AS1305"/>
          <cell r="AT1305"/>
          <cell r="AU1305" t="str">
            <v/>
          </cell>
          <cell r="AV1305"/>
        </row>
        <row r="1306">
          <cell r="Z1306">
            <v>1091000</v>
          </cell>
          <cell r="AA1306"/>
          <cell r="AB1306"/>
          <cell r="AC1306">
            <v>7.625</v>
          </cell>
          <cell r="AD1306"/>
          <cell r="AE1306" t="str">
            <v>4-1/2" REG Pin</v>
          </cell>
          <cell r="AF1306" t="str">
            <v>4-1/2" REG Box</v>
          </cell>
          <cell r="AG1306"/>
          <cell r="AH1306" t="str">
            <v>en stock</v>
          </cell>
          <cell r="AI1306"/>
          <cell r="AJ1306"/>
          <cell r="AK1306"/>
          <cell r="AL1306"/>
          <cell r="AM1306"/>
          <cell r="AN1306" t="str">
            <v/>
          </cell>
          <cell r="AO1306"/>
          <cell r="AP1306"/>
          <cell r="AQ1306"/>
          <cell r="AR1306"/>
          <cell r="AS1306"/>
          <cell r="AT1306"/>
          <cell r="AU1306" t="str">
            <v/>
          </cell>
          <cell r="AV1306"/>
        </row>
        <row r="1307">
          <cell r="Z1307">
            <v>1091001</v>
          </cell>
          <cell r="AA1307" t="str">
            <v>Junk Sub 6-5/8" OD Cup 
4-1/2" REG Pin x Box</v>
          </cell>
          <cell r="AB1307">
            <v>0</v>
          </cell>
          <cell r="AC1307">
            <v>6.625</v>
          </cell>
          <cell r="AD1307">
            <v>1360</v>
          </cell>
          <cell r="AE1307" t="str">
            <v>4-1/2" REG Pin</v>
          </cell>
          <cell r="AF1307" t="str">
            <v>4-1/2" REG Box</v>
          </cell>
          <cell r="AG1307"/>
          <cell r="AH1307" t="str">
            <v xml:space="preserve"> en stock </v>
          </cell>
          <cell r="AI1307">
            <v>1</v>
          </cell>
          <cell r="AJ1307">
            <v>0</v>
          </cell>
          <cell r="AK1307">
            <v>0</v>
          </cell>
          <cell r="AL1307"/>
          <cell r="AM1307"/>
          <cell r="AN1307">
            <v>1090637</v>
          </cell>
          <cell r="AO1307"/>
          <cell r="AP1307"/>
          <cell r="AQ1307"/>
          <cell r="AR1307"/>
          <cell r="AS1307">
            <v>24</v>
          </cell>
          <cell r="AT1307" t="str">
            <v>109-6,625</v>
          </cell>
          <cell r="AU1307" t="str">
            <v/>
          </cell>
          <cell r="AV1307"/>
        </row>
        <row r="1308">
          <cell r="Z1308">
            <v>8021002</v>
          </cell>
          <cell r="AA1308"/>
          <cell r="AB1308"/>
          <cell r="AC1308"/>
          <cell r="AD1308"/>
          <cell r="AE1308"/>
          <cell r="AF1308"/>
          <cell r="AG1308"/>
          <cell r="AH1308" t="str">
            <v>en stock</v>
          </cell>
          <cell r="AI1308"/>
          <cell r="AJ1308"/>
          <cell r="AK1308"/>
          <cell r="AL1308"/>
          <cell r="AM1308"/>
          <cell r="AN1308" t="str">
            <v/>
          </cell>
          <cell r="AO1308"/>
          <cell r="AP1308"/>
          <cell r="AQ1308"/>
          <cell r="AR1308"/>
          <cell r="AS1308"/>
          <cell r="AT1308"/>
          <cell r="AU1308" t="str">
            <v>FR</v>
          </cell>
          <cell r="AV1308"/>
        </row>
        <row r="1309">
          <cell r="Z1309">
            <v>8091003</v>
          </cell>
          <cell r="AA1309" t="str">
            <v>Near Bit Stab
2-3/8" IF Box BB x 2-3/8" REG Box BF</v>
          </cell>
          <cell r="AB1309">
            <v>0</v>
          </cell>
          <cell r="AC1309">
            <v>4.5</v>
          </cell>
          <cell r="AD1309">
            <v>0</v>
          </cell>
          <cell r="AE1309" t="str">
            <v>2-3/8" IF Box BB</v>
          </cell>
          <cell r="AF1309" t="str">
            <v>2-3/8" REG Box BF</v>
          </cell>
          <cell r="AG1309" t="str">
            <v>TGG</v>
          </cell>
          <cell r="AH1309" t="str">
            <v>maintenance</v>
          </cell>
          <cell r="AI1309" t="str">
            <v/>
          </cell>
          <cell r="AJ1309">
            <v>0</v>
          </cell>
          <cell r="AK1309">
            <v>1</v>
          </cell>
          <cell r="AL1309"/>
          <cell r="AM1309"/>
          <cell r="AN1309">
            <v>8091003</v>
          </cell>
          <cell r="AO1309"/>
          <cell r="AP1309"/>
          <cell r="AQ1309"/>
          <cell r="AR1309"/>
          <cell r="AS1309">
            <v>5</v>
          </cell>
          <cell r="AT1309"/>
          <cell r="AU1309" t="str">
            <v>CH</v>
          </cell>
          <cell r="AV1309"/>
        </row>
        <row r="1310">
          <cell r="Z1310">
            <v>8111004</v>
          </cell>
          <cell r="AA1310" t="str">
            <v>String Stab
2-3/8" IF Pin SRG x 2-3/8" REG Box BB</v>
          </cell>
          <cell r="AB1310">
            <v>52</v>
          </cell>
          <cell r="AC1310">
            <v>4.75</v>
          </cell>
          <cell r="AD1310">
            <v>1495</v>
          </cell>
          <cell r="AE1310" t="str">
            <v>2-3/8" REG Box BB</v>
          </cell>
          <cell r="AF1310" t="str">
            <v>2-3/8" IF Pin SRG</v>
          </cell>
          <cell r="AG1310" t="str">
            <v>TGG</v>
          </cell>
          <cell r="AH1310" t="str">
            <v xml:space="preserve"> en stock </v>
          </cell>
          <cell r="AI1310">
            <v>1</v>
          </cell>
          <cell r="AJ1310">
            <v>0</v>
          </cell>
          <cell r="AK1310">
            <v>0</v>
          </cell>
          <cell r="AL1310"/>
          <cell r="AM1310"/>
          <cell r="AN1310">
            <v>8111004</v>
          </cell>
          <cell r="AO1310"/>
          <cell r="AP1310"/>
          <cell r="AQ1310"/>
          <cell r="AR1310"/>
          <cell r="AS1310">
            <v>9</v>
          </cell>
          <cell r="AT1310"/>
          <cell r="AU1310" t="str">
            <v>CH</v>
          </cell>
          <cell r="AV1310"/>
        </row>
        <row r="1311">
          <cell r="Z1311">
            <v>8111005</v>
          </cell>
          <cell r="AA1311" t="str">
            <v>String Stab
2-3/8" IF Pin SRG x 2-3/8" REG Box BB</v>
          </cell>
          <cell r="AB1311">
            <v>52</v>
          </cell>
          <cell r="AC1311">
            <v>4.75</v>
          </cell>
          <cell r="AD1311">
            <v>1495</v>
          </cell>
          <cell r="AE1311" t="str">
            <v>2-3/8" REG Box BB</v>
          </cell>
          <cell r="AF1311" t="str">
            <v>2-3/8" IF Pin SRG</v>
          </cell>
          <cell r="AG1311" t="str">
            <v>TGG</v>
          </cell>
          <cell r="AH1311" t="str">
            <v xml:space="preserve"> en stock </v>
          </cell>
          <cell r="AI1311">
            <v>1</v>
          </cell>
          <cell r="AJ1311">
            <v>0</v>
          </cell>
          <cell r="AK1311">
            <v>0</v>
          </cell>
          <cell r="AL1311"/>
          <cell r="AM1311"/>
          <cell r="AN1311">
            <v>8111005</v>
          </cell>
          <cell r="AO1311"/>
          <cell r="AP1311"/>
          <cell r="AQ1311"/>
          <cell r="AR1311"/>
          <cell r="AS1311">
            <v>10</v>
          </cell>
          <cell r="AT1311"/>
          <cell r="AU1311" t="str">
            <v>CH</v>
          </cell>
          <cell r="AV1311"/>
        </row>
        <row r="1312">
          <cell r="Z1312">
            <v>5101006</v>
          </cell>
          <cell r="AA1312" t="str">
            <v>WO Pipe
5-1/2" FJWP Pin x Box</v>
          </cell>
          <cell r="AB1312">
            <v>241.04017769690623</v>
          </cell>
          <cell r="AC1312">
            <v>5.5</v>
          </cell>
          <cell r="AD1312">
            <v>9410</v>
          </cell>
          <cell r="AE1312" t="str">
            <v>5-1/2" FJWP Box</v>
          </cell>
          <cell r="AF1312" t="str">
            <v>5-1/2" FJWP Pin</v>
          </cell>
          <cell r="AG1312"/>
          <cell r="AH1312" t="str">
            <v xml:space="preserve"> en stock </v>
          </cell>
          <cell r="AI1312">
            <v>1</v>
          </cell>
          <cell r="AJ1312">
            <v>0</v>
          </cell>
          <cell r="AK1312">
            <v>0</v>
          </cell>
          <cell r="AL1312"/>
          <cell r="AM1312"/>
          <cell r="AN1312" t="str">
            <v/>
          </cell>
          <cell r="AO1312"/>
          <cell r="AP1312"/>
          <cell r="AQ1312"/>
          <cell r="AR1312"/>
          <cell r="AS1312">
            <v>58</v>
          </cell>
          <cell r="AT1312" t="str">
            <v>509-5,500FJWP</v>
          </cell>
          <cell r="AU1312" t="str">
            <v>FR</v>
          </cell>
          <cell r="AV1312"/>
        </row>
        <row r="1313">
          <cell r="Z1313">
            <v>5101007</v>
          </cell>
          <cell r="AA1313" t="str">
            <v>WO Pipe
5-1/2" FJWP Pin x Box</v>
          </cell>
          <cell r="AB1313">
            <v>243.3455566546875</v>
          </cell>
          <cell r="AC1313">
            <v>5.5</v>
          </cell>
          <cell r="AD1313">
            <v>9500</v>
          </cell>
          <cell r="AE1313" t="str">
            <v>5-1/2" FJWP Box</v>
          </cell>
          <cell r="AF1313" t="str">
            <v>5-1/2" FJWP Pin</v>
          </cell>
          <cell r="AG1313"/>
          <cell r="AH1313" t="str">
            <v>maintenance</v>
          </cell>
          <cell r="AI1313" t="str">
            <v/>
          </cell>
          <cell r="AJ1313">
            <v>0</v>
          </cell>
          <cell r="AK1313">
            <v>1</v>
          </cell>
          <cell r="AL1313"/>
          <cell r="AM1313"/>
          <cell r="AN1313" t="str">
            <v/>
          </cell>
          <cell r="AO1313"/>
          <cell r="AP1313"/>
          <cell r="AQ1313"/>
          <cell r="AR1313"/>
          <cell r="AS1313">
            <v>59</v>
          </cell>
          <cell r="AT1313" t="str">
            <v>509-5,500FJWP</v>
          </cell>
          <cell r="AU1313" t="str">
            <v>FR</v>
          </cell>
          <cell r="AV1313"/>
        </row>
        <row r="1314">
          <cell r="Z1314">
            <v>5101008</v>
          </cell>
          <cell r="AA1314" t="str">
            <v>WO Pipe
5-1/2" FJWP Pin x Box</v>
          </cell>
          <cell r="AB1314">
            <v>234.63634725862497</v>
          </cell>
          <cell r="AC1314">
            <v>5.5</v>
          </cell>
          <cell r="AD1314">
            <v>9160</v>
          </cell>
          <cell r="AE1314" t="str">
            <v>5-1/2" FJWP Box</v>
          </cell>
          <cell r="AF1314" t="str">
            <v>5-1/2" FJWP Pin</v>
          </cell>
          <cell r="AG1314"/>
          <cell r="AH1314" t="str">
            <v xml:space="preserve"> en stock </v>
          </cell>
          <cell r="AI1314">
            <v>1</v>
          </cell>
          <cell r="AJ1314">
            <v>0</v>
          </cell>
          <cell r="AK1314">
            <v>0</v>
          </cell>
          <cell r="AL1314"/>
          <cell r="AM1314"/>
          <cell r="AN1314" t="str">
            <v/>
          </cell>
          <cell r="AO1314"/>
          <cell r="AP1314"/>
          <cell r="AQ1314"/>
          <cell r="AR1314"/>
          <cell r="AS1314">
            <v>60</v>
          </cell>
          <cell r="AT1314" t="str">
            <v>509-5,500FJWP</v>
          </cell>
          <cell r="AU1314" t="str">
            <v>FR</v>
          </cell>
          <cell r="AV1314"/>
        </row>
        <row r="1315">
          <cell r="Z1315">
            <v>5101009</v>
          </cell>
          <cell r="AA1315" t="str">
            <v>WO Pipe
5-1/2" FJWP Pin x Box</v>
          </cell>
          <cell r="AB1315">
            <v>234.63634725862497</v>
          </cell>
          <cell r="AC1315">
            <v>5.5</v>
          </cell>
          <cell r="AD1315">
            <v>9160</v>
          </cell>
          <cell r="AE1315" t="str">
            <v>5-1/2" FJWP Box</v>
          </cell>
          <cell r="AF1315" t="str">
            <v>5-1/2" FJWP Pin</v>
          </cell>
          <cell r="AG1315"/>
          <cell r="AH1315" t="str">
            <v xml:space="preserve"> en stock </v>
          </cell>
          <cell r="AI1315">
            <v>1</v>
          </cell>
          <cell r="AJ1315">
            <v>0</v>
          </cell>
          <cell r="AK1315">
            <v>0</v>
          </cell>
          <cell r="AL1315"/>
          <cell r="AM1315"/>
          <cell r="AN1315" t="str">
            <v/>
          </cell>
          <cell r="AO1315"/>
          <cell r="AP1315"/>
          <cell r="AQ1315"/>
          <cell r="AR1315"/>
          <cell r="AS1315">
            <v>61</v>
          </cell>
          <cell r="AT1315" t="str">
            <v>509-5,500FJWP</v>
          </cell>
          <cell r="AU1315" t="str">
            <v>FR</v>
          </cell>
          <cell r="AV1315"/>
        </row>
        <row r="1316">
          <cell r="Z1316">
            <v>5101010</v>
          </cell>
          <cell r="AA1316" t="str">
            <v>WO Pipe
5-1/2" FJWP Pin x Box</v>
          </cell>
          <cell r="AB1316">
            <v>234.63634725862497</v>
          </cell>
          <cell r="AC1316">
            <v>5.5</v>
          </cell>
          <cell r="AD1316">
            <v>9160</v>
          </cell>
          <cell r="AE1316" t="str">
            <v>5-1/2" FJWP Box</v>
          </cell>
          <cell r="AF1316" t="str">
            <v>5-1/2" FJWP Pin</v>
          </cell>
          <cell r="AG1316"/>
          <cell r="AH1316" t="str">
            <v xml:space="preserve"> en stock </v>
          </cell>
          <cell r="AI1316">
            <v>1</v>
          </cell>
          <cell r="AJ1316">
            <v>0</v>
          </cell>
          <cell r="AK1316">
            <v>0</v>
          </cell>
          <cell r="AL1316"/>
          <cell r="AM1316"/>
          <cell r="AN1316" t="str">
            <v/>
          </cell>
          <cell r="AO1316"/>
          <cell r="AP1316"/>
          <cell r="AQ1316"/>
          <cell r="AR1316"/>
          <cell r="AS1316">
            <v>62</v>
          </cell>
          <cell r="AT1316" t="str">
            <v>509-5,500FJWP</v>
          </cell>
          <cell r="AU1316" t="str">
            <v>FR</v>
          </cell>
          <cell r="AV1316"/>
        </row>
        <row r="1317">
          <cell r="Z1317">
            <v>5101011</v>
          </cell>
          <cell r="AA1317" t="str">
            <v>WO Pipe
5-1/2" FJWP Pin x Box</v>
          </cell>
          <cell r="AB1317">
            <v>234.63634725862497</v>
          </cell>
          <cell r="AC1317">
            <v>5.5</v>
          </cell>
          <cell r="AD1317">
            <v>9160</v>
          </cell>
          <cell r="AE1317" t="str">
            <v>5-1/2" FJWP Box</v>
          </cell>
          <cell r="AF1317" t="str">
            <v>5-1/2" FJWP Pin</v>
          </cell>
          <cell r="AG1317"/>
          <cell r="AH1317" t="str">
            <v xml:space="preserve"> en stock </v>
          </cell>
          <cell r="AI1317">
            <v>1</v>
          </cell>
          <cell r="AJ1317">
            <v>0</v>
          </cell>
          <cell r="AK1317">
            <v>0</v>
          </cell>
          <cell r="AL1317"/>
          <cell r="AM1317"/>
          <cell r="AN1317" t="str">
            <v/>
          </cell>
          <cell r="AO1317"/>
          <cell r="AP1317"/>
          <cell r="AQ1317"/>
          <cell r="AR1317"/>
          <cell r="AS1317">
            <v>63</v>
          </cell>
          <cell r="AT1317" t="str">
            <v>509-5,500FJWP</v>
          </cell>
          <cell r="AU1317" t="str">
            <v>FR</v>
          </cell>
          <cell r="AV1317"/>
        </row>
        <row r="1318">
          <cell r="Z1318">
            <v>5101012</v>
          </cell>
          <cell r="AA1318" t="str">
            <v>WO Pipe
5-1/2" FJWP Pin x Box</v>
          </cell>
          <cell r="AB1318">
            <v>234.12404082356247</v>
          </cell>
          <cell r="AC1318">
            <v>5.5</v>
          </cell>
          <cell r="AD1318">
            <v>9140</v>
          </cell>
          <cell r="AE1318" t="str">
            <v>5-1/2" FJWP Box</v>
          </cell>
          <cell r="AF1318" t="str">
            <v>5-1/2" FJWP Pin</v>
          </cell>
          <cell r="AG1318"/>
          <cell r="AH1318" t="str">
            <v xml:space="preserve"> en stock </v>
          </cell>
          <cell r="AI1318">
            <v>1</v>
          </cell>
          <cell r="AJ1318">
            <v>0</v>
          </cell>
          <cell r="AK1318">
            <v>0</v>
          </cell>
          <cell r="AL1318"/>
          <cell r="AM1318"/>
          <cell r="AN1318" t="str">
            <v/>
          </cell>
          <cell r="AO1318"/>
          <cell r="AP1318"/>
          <cell r="AQ1318"/>
          <cell r="AR1318"/>
          <cell r="AS1318">
            <v>65</v>
          </cell>
          <cell r="AT1318" t="str">
            <v>509-5,500FJWP</v>
          </cell>
          <cell r="AU1318" t="str">
            <v>FR</v>
          </cell>
          <cell r="AV1318"/>
        </row>
        <row r="1319">
          <cell r="Z1319">
            <v>5101013</v>
          </cell>
          <cell r="AA1319" t="str">
            <v>WO Pipe
5-1/2" FJWP Pin x Box</v>
          </cell>
          <cell r="AB1319">
            <v>240.01556482678117</v>
          </cell>
          <cell r="AC1319">
            <v>5.5</v>
          </cell>
          <cell r="AD1319">
            <v>9370</v>
          </cell>
          <cell r="AE1319" t="str">
            <v>5-1/2" FJWP Box</v>
          </cell>
          <cell r="AF1319" t="str">
            <v>5-1/2" FJWP Pin</v>
          </cell>
          <cell r="AG1319"/>
          <cell r="AH1319" t="str">
            <v>maintenance</v>
          </cell>
          <cell r="AI1319" t="str">
            <v/>
          </cell>
          <cell r="AJ1319">
            <v>0</v>
          </cell>
          <cell r="AK1319">
            <v>1</v>
          </cell>
          <cell r="AL1319"/>
          <cell r="AM1319"/>
          <cell r="AN1319" t="str">
            <v/>
          </cell>
          <cell r="AO1319"/>
          <cell r="AP1319"/>
          <cell r="AQ1319"/>
          <cell r="AR1319"/>
          <cell r="AS1319">
            <v>66</v>
          </cell>
          <cell r="AT1319" t="str">
            <v>509-5,500FJWP</v>
          </cell>
          <cell r="AU1319" t="str">
            <v>FR</v>
          </cell>
          <cell r="AV1319"/>
        </row>
        <row r="1320">
          <cell r="Z1320">
            <v>5101014</v>
          </cell>
          <cell r="AA1320" t="str">
            <v>WO Pipe
5-1/2" FJWP Pin x Box</v>
          </cell>
          <cell r="AB1320">
            <v>241.80863734949995</v>
          </cell>
          <cell r="AC1320">
            <v>5.5</v>
          </cell>
          <cell r="AD1320">
            <v>9440</v>
          </cell>
          <cell r="AE1320" t="str">
            <v>5-1/2" FJWP Box</v>
          </cell>
          <cell r="AF1320" t="str">
            <v>5-1/2" FJWP Pin</v>
          </cell>
          <cell r="AG1320"/>
          <cell r="AH1320" t="str">
            <v>maintenance</v>
          </cell>
          <cell r="AI1320" t="str">
            <v/>
          </cell>
          <cell r="AJ1320">
            <v>0</v>
          </cell>
          <cell r="AK1320">
            <v>1</v>
          </cell>
          <cell r="AL1320"/>
          <cell r="AM1320"/>
          <cell r="AN1320" t="str">
            <v/>
          </cell>
          <cell r="AO1320"/>
          <cell r="AP1320"/>
          <cell r="AQ1320"/>
          <cell r="AR1320"/>
          <cell r="AS1320">
            <v>67</v>
          </cell>
          <cell r="AT1320" t="str">
            <v>509-5,500FJWP</v>
          </cell>
          <cell r="AU1320" t="str">
            <v>FR</v>
          </cell>
          <cell r="AV1320"/>
        </row>
        <row r="1321">
          <cell r="Z1321">
            <v>5101015</v>
          </cell>
          <cell r="AA1321" t="str">
            <v>WO Pipe
5-1/2" FJWP Pin x Box</v>
          </cell>
          <cell r="AB1321">
            <v>241.55248413196873</v>
          </cell>
          <cell r="AC1321">
            <v>5.5</v>
          </cell>
          <cell r="AD1321">
            <v>9430</v>
          </cell>
          <cell r="AE1321" t="str">
            <v>5-1/2" FJWP Box</v>
          </cell>
          <cell r="AF1321" t="str">
            <v>5-1/2" FJWP Pin</v>
          </cell>
          <cell r="AG1321"/>
          <cell r="AH1321" t="str">
            <v xml:space="preserve"> en stock </v>
          </cell>
          <cell r="AI1321">
            <v>1</v>
          </cell>
          <cell r="AJ1321">
            <v>0</v>
          </cell>
          <cell r="AK1321">
            <v>0</v>
          </cell>
          <cell r="AL1321"/>
          <cell r="AM1321"/>
          <cell r="AN1321" t="str">
            <v/>
          </cell>
          <cell r="AO1321"/>
          <cell r="AP1321"/>
          <cell r="AQ1321"/>
          <cell r="AR1321"/>
          <cell r="AS1321">
            <v>68</v>
          </cell>
          <cell r="AT1321" t="str">
            <v>509-5,500FJWP</v>
          </cell>
          <cell r="AU1321" t="str">
            <v>FR</v>
          </cell>
          <cell r="AV1321"/>
        </row>
        <row r="1322">
          <cell r="Z1322">
            <v>5101016</v>
          </cell>
          <cell r="AA1322" t="str">
            <v>WO Pipe
5-1/2" FJWP Pin x Box</v>
          </cell>
          <cell r="AB1322">
            <v>240.52787126184376</v>
          </cell>
          <cell r="AC1322">
            <v>5.5</v>
          </cell>
          <cell r="AD1322">
            <v>9390</v>
          </cell>
          <cell r="AE1322" t="str">
            <v>5-1/2" FJWP Box</v>
          </cell>
          <cell r="AF1322" t="str">
            <v>5-1/2" FJWP Pin</v>
          </cell>
          <cell r="AG1322"/>
          <cell r="AH1322" t="str">
            <v>maintenance</v>
          </cell>
          <cell r="AI1322" t="str">
            <v/>
          </cell>
          <cell r="AJ1322">
            <v>0</v>
          </cell>
          <cell r="AK1322">
            <v>1</v>
          </cell>
          <cell r="AL1322"/>
          <cell r="AM1322"/>
          <cell r="AN1322" t="str">
            <v/>
          </cell>
          <cell r="AO1322"/>
          <cell r="AP1322"/>
          <cell r="AQ1322"/>
          <cell r="AR1322"/>
          <cell r="AS1322">
            <v>69</v>
          </cell>
          <cell r="AT1322" t="str">
            <v>509-5,500FJWP</v>
          </cell>
          <cell r="AU1322" t="str">
            <v>FR</v>
          </cell>
          <cell r="AV1322"/>
        </row>
        <row r="1323">
          <cell r="Z1323">
            <v>5101017</v>
          </cell>
          <cell r="AA1323" t="str">
            <v>WO Pipe
5-1/2" FJWP Pin x Box</v>
          </cell>
          <cell r="AB1323">
            <v>240.01556482678117</v>
          </cell>
          <cell r="AC1323">
            <v>5.5</v>
          </cell>
          <cell r="AD1323">
            <v>9370</v>
          </cell>
          <cell r="AE1323" t="str">
            <v>5-1/2" FJWP Box</v>
          </cell>
          <cell r="AF1323" t="str">
            <v>5-1/2" FJWP Pin</v>
          </cell>
          <cell r="AG1323"/>
          <cell r="AH1323" t="str">
            <v xml:space="preserve"> en stock </v>
          </cell>
          <cell r="AI1323">
            <v>1</v>
          </cell>
          <cell r="AJ1323">
            <v>0</v>
          </cell>
          <cell r="AK1323">
            <v>0</v>
          </cell>
          <cell r="AL1323"/>
          <cell r="AM1323"/>
          <cell r="AN1323" t="str">
            <v/>
          </cell>
          <cell r="AO1323"/>
          <cell r="AP1323"/>
          <cell r="AQ1323"/>
          <cell r="AR1323"/>
          <cell r="AS1323">
            <v>70</v>
          </cell>
          <cell r="AT1323" t="str">
            <v>509-5,500FJWP</v>
          </cell>
          <cell r="AU1323" t="str">
            <v>FR</v>
          </cell>
          <cell r="AV1323"/>
        </row>
        <row r="1324">
          <cell r="Z1324">
            <v>5101018</v>
          </cell>
          <cell r="AA1324" t="str">
            <v>WO Pipe
5-1/2" FJWP Pin x Box</v>
          </cell>
          <cell r="AB1324">
            <v>243.3455566546875</v>
          </cell>
          <cell r="AC1324">
            <v>5.5</v>
          </cell>
          <cell r="AD1324">
            <v>9500</v>
          </cell>
          <cell r="AE1324" t="str">
            <v>5-1/2" FJWP Box</v>
          </cell>
          <cell r="AF1324" t="str">
            <v>5-1/2" FJWP Pin</v>
          </cell>
          <cell r="AG1324"/>
          <cell r="AH1324" t="str">
            <v xml:space="preserve"> en stock </v>
          </cell>
          <cell r="AI1324">
            <v>1</v>
          </cell>
          <cell r="AJ1324">
            <v>0</v>
          </cell>
          <cell r="AK1324">
            <v>0</v>
          </cell>
          <cell r="AL1324"/>
          <cell r="AM1324"/>
          <cell r="AN1324" t="str">
            <v/>
          </cell>
          <cell r="AO1324"/>
          <cell r="AP1324"/>
          <cell r="AQ1324"/>
          <cell r="AR1324"/>
          <cell r="AS1324">
            <v>71</v>
          </cell>
          <cell r="AT1324" t="str">
            <v>509-5,500FJWP</v>
          </cell>
          <cell r="AU1324" t="str">
            <v>FR</v>
          </cell>
          <cell r="AV1324"/>
        </row>
        <row r="1325">
          <cell r="Z1325">
            <v>5101019</v>
          </cell>
          <cell r="AA1325" t="str">
            <v>WO Pipe
5-1/2" FJWP Pin x Box</v>
          </cell>
          <cell r="AB1325">
            <v>243.3455566546875</v>
          </cell>
          <cell r="AC1325">
            <v>5.5</v>
          </cell>
          <cell r="AD1325">
            <v>9500</v>
          </cell>
          <cell r="AE1325" t="str">
            <v>5-1/2" FJWP Box</v>
          </cell>
          <cell r="AF1325" t="str">
            <v>5-1/2" FJWP Pin</v>
          </cell>
          <cell r="AG1325"/>
          <cell r="AH1325" t="str">
            <v xml:space="preserve"> en stock </v>
          </cell>
          <cell r="AI1325">
            <v>1</v>
          </cell>
          <cell r="AJ1325">
            <v>0</v>
          </cell>
          <cell r="AK1325">
            <v>0</v>
          </cell>
          <cell r="AL1325"/>
          <cell r="AM1325"/>
          <cell r="AN1325" t="str">
            <v/>
          </cell>
          <cell r="AO1325"/>
          <cell r="AP1325"/>
          <cell r="AQ1325"/>
          <cell r="AR1325"/>
          <cell r="AS1325">
            <v>72</v>
          </cell>
          <cell r="AT1325" t="str">
            <v>509-5,500FJWP</v>
          </cell>
          <cell r="AU1325" t="str">
            <v>FR</v>
          </cell>
          <cell r="AV1325"/>
        </row>
        <row r="1326">
          <cell r="Z1326">
            <v>5101020</v>
          </cell>
          <cell r="AA1326" t="str">
            <v>WO Pipe
5-1/2" FJWP Pin x Box</v>
          </cell>
          <cell r="AB1326">
            <v>243.3455566546875</v>
          </cell>
          <cell r="AC1326">
            <v>5.5</v>
          </cell>
          <cell r="AD1326">
            <v>9500</v>
          </cell>
          <cell r="AE1326" t="str">
            <v>5-1/2" FJWP Box</v>
          </cell>
          <cell r="AF1326" t="str">
            <v>5-1/2" FJWP Pin</v>
          </cell>
          <cell r="AG1326"/>
          <cell r="AH1326" t="str">
            <v>maintenance</v>
          </cell>
          <cell r="AI1326" t="str">
            <v/>
          </cell>
          <cell r="AJ1326">
            <v>0</v>
          </cell>
          <cell r="AK1326">
            <v>1</v>
          </cell>
          <cell r="AL1326"/>
          <cell r="AM1326"/>
          <cell r="AN1326" t="str">
            <v/>
          </cell>
          <cell r="AO1326"/>
          <cell r="AP1326"/>
          <cell r="AQ1326"/>
          <cell r="AR1326"/>
          <cell r="AS1326">
            <v>73</v>
          </cell>
          <cell r="AT1326" t="str">
            <v>509-5,500FJWP</v>
          </cell>
          <cell r="AU1326" t="str">
            <v>FR</v>
          </cell>
          <cell r="AV1326"/>
        </row>
        <row r="1327">
          <cell r="Z1327">
            <v>5101021</v>
          </cell>
          <cell r="AA1327" t="str">
            <v>WO Pipe
5-1/2" FJWP Pin x Box</v>
          </cell>
          <cell r="AB1327">
            <v>243.3455566546875</v>
          </cell>
          <cell r="AC1327">
            <v>5.5</v>
          </cell>
          <cell r="AD1327">
            <v>9500</v>
          </cell>
          <cell r="AE1327" t="str">
            <v>5-1/2" FJWP Box</v>
          </cell>
          <cell r="AF1327" t="str">
            <v>5-1/2" FJWP Pin</v>
          </cell>
          <cell r="AG1327"/>
          <cell r="AH1327" t="str">
            <v>maintenance</v>
          </cell>
          <cell r="AI1327" t="str">
            <v/>
          </cell>
          <cell r="AJ1327">
            <v>0</v>
          </cell>
          <cell r="AK1327">
            <v>1</v>
          </cell>
          <cell r="AL1327"/>
          <cell r="AM1327"/>
          <cell r="AN1327" t="str">
            <v/>
          </cell>
          <cell r="AO1327"/>
          <cell r="AP1327"/>
          <cell r="AQ1327"/>
          <cell r="AR1327"/>
          <cell r="AS1327">
            <v>74</v>
          </cell>
          <cell r="AT1327" t="str">
            <v>509-5,500FJWP</v>
          </cell>
          <cell r="AU1327" t="str">
            <v>FR</v>
          </cell>
          <cell r="AV1327"/>
        </row>
        <row r="1328">
          <cell r="Z1328">
            <v>5101022</v>
          </cell>
          <cell r="AA1328" t="str">
            <v>WO Pipe
5-1/2" FJWP Pin x Box</v>
          </cell>
          <cell r="AB1328">
            <v>243.3455566546875</v>
          </cell>
          <cell r="AC1328">
            <v>5.5</v>
          </cell>
          <cell r="AD1328">
            <v>9500</v>
          </cell>
          <cell r="AE1328" t="str">
            <v>5-1/2" FJWP Box</v>
          </cell>
          <cell r="AF1328" t="str">
            <v>5-1/2" FJWP Pin</v>
          </cell>
          <cell r="AG1328"/>
          <cell r="AH1328" t="str">
            <v xml:space="preserve"> en stock </v>
          </cell>
          <cell r="AI1328">
            <v>1</v>
          </cell>
          <cell r="AJ1328">
            <v>0</v>
          </cell>
          <cell r="AK1328">
            <v>0</v>
          </cell>
          <cell r="AL1328"/>
          <cell r="AM1328"/>
          <cell r="AN1328" t="str">
            <v/>
          </cell>
          <cell r="AO1328"/>
          <cell r="AP1328"/>
          <cell r="AQ1328"/>
          <cell r="AR1328"/>
          <cell r="AS1328">
            <v>75</v>
          </cell>
          <cell r="AT1328" t="str">
            <v>509-5,500FJWP</v>
          </cell>
          <cell r="AU1328" t="str">
            <v>FR</v>
          </cell>
          <cell r="AV1328"/>
        </row>
        <row r="1329">
          <cell r="Z1329">
            <v>5101023</v>
          </cell>
          <cell r="AA1329" t="str">
            <v>WO Pipe
5-1/2" FJWP Pin x Box</v>
          </cell>
          <cell r="AB1329">
            <v>243.3455566546875</v>
          </cell>
          <cell r="AC1329">
            <v>5.5</v>
          </cell>
          <cell r="AD1329">
            <v>9500</v>
          </cell>
          <cell r="AE1329" t="str">
            <v>5-1/2" FJWP Box</v>
          </cell>
          <cell r="AF1329" t="str">
            <v>5-1/2" FJWP Pin</v>
          </cell>
          <cell r="AG1329"/>
          <cell r="AH1329" t="str">
            <v>maintenance</v>
          </cell>
          <cell r="AI1329" t="str">
            <v/>
          </cell>
          <cell r="AJ1329">
            <v>0</v>
          </cell>
          <cell r="AK1329">
            <v>1</v>
          </cell>
          <cell r="AL1329"/>
          <cell r="AM1329"/>
          <cell r="AN1329" t="str">
            <v/>
          </cell>
          <cell r="AO1329"/>
          <cell r="AP1329"/>
          <cell r="AQ1329"/>
          <cell r="AR1329"/>
          <cell r="AS1329">
            <v>76</v>
          </cell>
          <cell r="AT1329" t="str">
            <v>509-5,500FJWP</v>
          </cell>
          <cell r="AU1329" t="str">
            <v>FR</v>
          </cell>
          <cell r="AV1329"/>
        </row>
        <row r="1330">
          <cell r="Z1330">
            <v>5091024</v>
          </cell>
          <cell r="AA1330" t="str">
            <v>WO Extension Lg 5430 mm
5-1/2" FJWP Pin x Box</v>
          </cell>
          <cell r="AB1330">
            <v>139.09119711946875</v>
          </cell>
          <cell r="AC1330">
            <v>5.5</v>
          </cell>
          <cell r="AD1330">
            <v>5430</v>
          </cell>
          <cell r="AE1330" t="str">
            <v>5-1/2" FJWP Box</v>
          </cell>
          <cell r="AF1330" t="str">
            <v>5-1/2" FJWP Pin</v>
          </cell>
          <cell r="AG1330"/>
          <cell r="AH1330" t="str">
            <v xml:space="preserve"> en stock </v>
          </cell>
          <cell r="AI1330">
            <v>1</v>
          </cell>
          <cell r="AJ1330">
            <v>0</v>
          </cell>
          <cell r="AK1330">
            <v>0</v>
          </cell>
          <cell r="AL1330"/>
          <cell r="AM1330"/>
          <cell r="AN1330" t="str">
            <v/>
          </cell>
          <cell r="AO1330"/>
          <cell r="AP1330"/>
          <cell r="AQ1330"/>
          <cell r="AR1330"/>
          <cell r="AS1330">
            <v>60</v>
          </cell>
          <cell r="AT1330" t="str">
            <v>509-5,500FJWP</v>
          </cell>
          <cell r="AU1330" t="str">
            <v>FR</v>
          </cell>
          <cell r="AV1330"/>
        </row>
        <row r="1331">
          <cell r="Z1331">
            <v>5091025</v>
          </cell>
          <cell r="AA1331" t="str">
            <v>WO Extension Lg 5530 mm
5-1/2" FJWP Pin x Box</v>
          </cell>
          <cell r="AB1331">
            <v>141.65272929478124</v>
          </cell>
          <cell r="AC1331">
            <v>5.5</v>
          </cell>
          <cell r="AD1331">
            <v>5530</v>
          </cell>
          <cell r="AE1331" t="str">
            <v>5-1/2" FJWP Box</v>
          </cell>
          <cell r="AF1331" t="str">
            <v>5-1/2" FJWP Pin</v>
          </cell>
          <cell r="AG1331"/>
          <cell r="AH1331" t="str">
            <v xml:space="preserve"> en stock </v>
          </cell>
          <cell r="AI1331">
            <v>1</v>
          </cell>
          <cell r="AJ1331">
            <v>0</v>
          </cell>
          <cell r="AK1331">
            <v>0</v>
          </cell>
          <cell r="AL1331"/>
          <cell r="AM1331"/>
          <cell r="AN1331" t="str">
            <v/>
          </cell>
          <cell r="AO1331"/>
          <cell r="AP1331"/>
          <cell r="AQ1331"/>
          <cell r="AR1331"/>
          <cell r="AS1331">
            <v>61</v>
          </cell>
          <cell r="AT1331" t="str">
            <v>509-5,500FJWP</v>
          </cell>
          <cell r="AU1331" t="str">
            <v>FR</v>
          </cell>
          <cell r="AV1331"/>
        </row>
        <row r="1332">
          <cell r="Z1332">
            <v>5091026</v>
          </cell>
          <cell r="AA1332" t="str">
            <v>WO Extension Lg 3000 mm
5-1/2" FJWP Pin x Box</v>
          </cell>
          <cell r="AB1332">
            <v>76.845965259374992</v>
          </cell>
          <cell r="AC1332">
            <v>5.5</v>
          </cell>
          <cell r="AD1332">
            <v>3000</v>
          </cell>
          <cell r="AE1332" t="str">
            <v>5-1/2" FJWP Box</v>
          </cell>
          <cell r="AF1332" t="str">
            <v>5-1/2" FJWP Pin</v>
          </cell>
          <cell r="AG1332"/>
          <cell r="AH1332" t="str">
            <v xml:space="preserve"> en stock </v>
          </cell>
          <cell r="AI1332">
            <v>1</v>
          </cell>
          <cell r="AJ1332">
            <v>0</v>
          </cell>
          <cell r="AK1332">
            <v>0</v>
          </cell>
          <cell r="AL1332"/>
          <cell r="AM1332"/>
          <cell r="AN1332" t="str">
            <v/>
          </cell>
          <cell r="AO1332"/>
          <cell r="AP1332"/>
          <cell r="AQ1332"/>
          <cell r="AR1332"/>
          <cell r="AS1332">
            <v>52</v>
          </cell>
          <cell r="AT1332" t="str">
            <v>509-5,500FJWP</v>
          </cell>
          <cell r="AU1332" t="str">
            <v>FR</v>
          </cell>
          <cell r="AV1332"/>
        </row>
        <row r="1333">
          <cell r="Z1333">
            <v>5091027</v>
          </cell>
          <cell r="AA1333" t="str">
            <v>WO Extension Lg 3000 mm
5-1/2" FJWP Pin x Box</v>
          </cell>
          <cell r="AB1333">
            <v>76.845965259374992</v>
          </cell>
          <cell r="AC1333">
            <v>5.5</v>
          </cell>
          <cell r="AD1333">
            <v>3000</v>
          </cell>
          <cell r="AE1333" t="str">
            <v>5-1/2" FJWP Box</v>
          </cell>
          <cell r="AF1333" t="str">
            <v>5-1/2" FJWP Pin</v>
          </cell>
          <cell r="AG1333"/>
          <cell r="AH1333" t="str">
            <v xml:space="preserve"> en stock </v>
          </cell>
          <cell r="AI1333">
            <v>1</v>
          </cell>
          <cell r="AJ1333">
            <v>0</v>
          </cell>
          <cell r="AK1333">
            <v>0</v>
          </cell>
          <cell r="AL1333"/>
          <cell r="AM1333"/>
          <cell r="AN1333" t="str">
            <v/>
          </cell>
          <cell r="AO1333"/>
          <cell r="AP1333"/>
          <cell r="AQ1333"/>
          <cell r="AR1333"/>
          <cell r="AS1333">
            <v>51</v>
          </cell>
          <cell r="AT1333" t="str">
            <v>509-5,500FJWP</v>
          </cell>
          <cell r="AU1333" t="str">
            <v>FR</v>
          </cell>
          <cell r="AV1333"/>
        </row>
        <row r="1334">
          <cell r="Z1334">
            <v>5091028</v>
          </cell>
          <cell r="AA1334" t="str">
            <v>WO Extension Lg 4530 mm
5-1/2" FJWP Pin x Box</v>
          </cell>
          <cell r="AB1334">
            <v>116.03740754165622</v>
          </cell>
          <cell r="AC1334">
            <v>5.5</v>
          </cell>
          <cell r="AD1334">
            <v>4530</v>
          </cell>
          <cell r="AE1334" t="str">
            <v>5-1/2" FJWP Box</v>
          </cell>
          <cell r="AF1334" t="str">
            <v>5-1/2" FJWP Pin</v>
          </cell>
          <cell r="AG1334"/>
          <cell r="AH1334" t="str">
            <v xml:space="preserve"> en stock </v>
          </cell>
          <cell r="AI1334">
            <v>1</v>
          </cell>
          <cell r="AJ1334">
            <v>0</v>
          </cell>
          <cell r="AK1334">
            <v>0</v>
          </cell>
          <cell r="AL1334"/>
          <cell r="AM1334"/>
          <cell r="AN1334" t="str">
            <v/>
          </cell>
          <cell r="AO1334"/>
          <cell r="AP1334"/>
          <cell r="AQ1334"/>
          <cell r="AR1334"/>
          <cell r="AS1334">
            <v>59</v>
          </cell>
          <cell r="AT1334" t="str">
            <v>509-5,500FJWP</v>
          </cell>
          <cell r="AU1334" t="str">
            <v>FR</v>
          </cell>
          <cell r="AV1334"/>
        </row>
        <row r="1335">
          <cell r="Z1335">
            <v>5111029</v>
          </cell>
          <cell r="AA1335" t="str">
            <v>WO Shoe
4-1/2" FJWP Box</v>
          </cell>
          <cell r="AB1335"/>
          <cell r="AC1335"/>
          <cell r="AD1335"/>
          <cell r="AE1335"/>
          <cell r="AF1335"/>
          <cell r="AG1335"/>
          <cell r="AH1335" t="str">
            <v>en stock</v>
          </cell>
          <cell r="AI1335"/>
          <cell r="AJ1335"/>
          <cell r="AK1335"/>
          <cell r="AL1335"/>
          <cell r="AM1335"/>
          <cell r="AN1335" t="str">
            <v/>
          </cell>
          <cell r="AO1335"/>
          <cell r="AP1335"/>
          <cell r="AQ1335"/>
          <cell r="AR1335"/>
          <cell r="AS1335"/>
          <cell r="AT1335"/>
          <cell r="AU1335" t="str">
            <v>FR</v>
          </cell>
          <cell r="AV1335"/>
        </row>
        <row r="1336">
          <cell r="Z1336">
            <v>5111030</v>
          </cell>
          <cell r="AA1336" t="str">
            <v>WO Shoe
4-1/2" FJWP Box</v>
          </cell>
          <cell r="AB1336"/>
          <cell r="AC1336"/>
          <cell r="AD1336"/>
          <cell r="AE1336"/>
          <cell r="AF1336"/>
          <cell r="AG1336"/>
          <cell r="AH1336" t="str">
            <v>en stock</v>
          </cell>
          <cell r="AI1336"/>
          <cell r="AJ1336"/>
          <cell r="AK1336"/>
          <cell r="AL1336"/>
          <cell r="AM1336"/>
          <cell r="AN1336" t="str">
            <v/>
          </cell>
          <cell r="AO1336"/>
          <cell r="AP1336"/>
          <cell r="AQ1336"/>
          <cell r="AR1336"/>
          <cell r="AS1336"/>
          <cell r="AT1336"/>
          <cell r="AU1336" t="str">
            <v>FR</v>
          </cell>
          <cell r="AV1336"/>
        </row>
        <row r="1337">
          <cell r="Z1337">
            <v>5091031</v>
          </cell>
          <cell r="AA1337" t="str">
            <v>WO Extension Lg 4530 mm
5-1/2" FJWP Pin x Box</v>
          </cell>
          <cell r="AB1337">
            <v>116.03740754165622</v>
          </cell>
          <cell r="AC1337">
            <v>5.5</v>
          </cell>
          <cell r="AD1337">
            <v>4530</v>
          </cell>
          <cell r="AE1337" t="str">
            <v>5-1/2" FJWP Box</v>
          </cell>
          <cell r="AF1337" t="str">
            <v>5-1/2" FJWP Pin</v>
          </cell>
          <cell r="AG1337"/>
          <cell r="AH1337" t="str">
            <v xml:space="preserve"> en stock </v>
          </cell>
          <cell r="AI1337">
            <v>1</v>
          </cell>
          <cell r="AJ1337">
            <v>0</v>
          </cell>
          <cell r="AK1337">
            <v>0</v>
          </cell>
          <cell r="AL1337"/>
          <cell r="AM1337"/>
          <cell r="AN1337" t="str">
            <v/>
          </cell>
          <cell r="AO1337"/>
          <cell r="AP1337"/>
          <cell r="AQ1337"/>
          <cell r="AR1337"/>
          <cell r="AS1337">
            <v>58</v>
          </cell>
          <cell r="AT1337" t="str">
            <v>509-5,500FJWP</v>
          </cell>
          <cell r="AU1337" t="str">
            <v>FR</v>
          </cell>
          <cell r="AV1337"/>
        </row>
        <row r="1338">
          <cell r="Z1338">
            <v>5121032</v>
          </cell>
          <cell r="AA1338"/>
          <cell r="AB1338"/>
          <cell r="AC1338"/>
          <cell r="AD1338"/>
          <cell r="AE1338"/>
          <cell r="AF1338"/>
          <cell r="AG1338"/>
          <cell r="AH1338" t="str">
            <v>en stock</v>
          </cell>
          <cell r="AI1338"/>
          <cell r="AJ1338"/>
          <cell r="AK1338"/>
          <cell r="AL1338"/>
          <cell r="AM1338"/>
          <cell r="AN1338" t="str">
            <v/>
          </cell>
          <cell r="AO1338"/>
          <cell r="AP1338"/>
          <cell r="AQ1338"/>
          <cell r="AR1338"/>
          <cell r="AS1338"/>
          <cell r="AT1338"/>
          <cell r="AU1338" t="str">
            <v>FR</v>
          </cell>
          <cell r="AV1338"/>
        </row>
        <row r="1339">
          <cell r="Z1339">
            <v>5091033</v>
          </cell>
          <cell r="AA1339"/>
          <cell r="AB1339">
            <v>25.615321753124995</v>
          </cell>
          <cell r="AC1339">
            <v>5.5</v>
          </cell>
          <cell r="AD1339">
            <v>1000</v>
          </cell>
          <cell r="AE1339" t="str">
            <v>5-1/2" FJWP Box</v>
          </cell>
          <cell r="AF1339" t="str">
            <v>5-1/2" FJWP Pin</v>
          </cell>
          <cell r="AG1339"/>
          <cell r="AH1339" t="str">
            <v>sur chantier</v>
          </cell>
          <cell r="AI1339" t="str">
            <v/>
          </cell>
          <cell r="AJ1339">
            <v>1</v>
          </cell>
          <cell r="AK1339">
            <v>0</v>
          </cell>
          <cell r="AL1339"/>
          <cell r="AM1339"/>
          <cell r="AN1339" t="str">
            <v/>
          </cell>
          <cell r="AO1339"/>
          <cell r="AP1339"/>
          <cell r="AQ1339"/>
          <cell r="AR1339"/>
          <cell r="AS1339">
            <v>163</v>
          </cell>
          <cell r="AT1339"/>
          <cell r="AU1339" t="str">
            <v>FR</v>
          </cell>
          <cell r="AV1339"/>
        </row>
        <row r="1340">
          <cell r="Z1340">
            <v>5091034</v>
          </cell>
          <cell r="AA1340"/>
          <cell r="AB1340">
            <v>25.615321753124995</v>
          </cell>
          <cell r="AC1340">
            <v>5.5</v>
          </cell>
          <cell r="AD1340">
            <v>1000</v>
          </cell>
          <cell r="AE1340" t="str">
            <v>5-1/2" FJWP Box</v>
          </cell>
          <cell r="AF1340" t="str">
            <v>5-1/2" FJWP Pin</v>
          </cell>
          <cell r="AG1340"/>
          <cell r="AH1340" t="str">
            <v>sur chantier</v>
          </cell>
          <cell r="AI1340" t="str">
            <v/>
          </cell>
          <cell r="AJ1340">
            <v>1</v>
          </cell>
          <cell r="AK1340">
            <v>0</v>
          </cell>
          <cell r="AL1340"/>
          <cell r="AM1340"/>
          <cell r="AN1340" t="str">
            <v/>
          </cell>
          <cell r="AO1340"/>
          <cell r="AP1340"/>
          <cell r="AQ1340"/>
          <cell r="AR1340"/>
          <cell r="AS1340">
            <v>164</v>
          </cell>
          <cell r="AT1340"/>
          <cell r="AU1340" t="str">
            <v>FR</v>
          </cell>
          <cell r="AV1340"/>
        </row>
        <row r="1341">
          <cell r="Z1341" t="str">
            <v>5021035
=5025105</v>
          </cell>
          <cell r="AA1341"/>
          <cell r="AB1341"/>
          <cell r="AC1341"/>
          <cell r="AD1341"/>
          <cell r="AE1341"/>
          <cell r="AF1341"/>
          <cell r="AG1341"/>
          <cell r="AH1341" t="str">
            <v>en stock</v>
          </cell>
          <cell r="AI1341"/>
          <cell r="AJ1341"/>
          <cell r="AK1341"/>
          <cell r="AL1341"/>
          <cell r="AM1341"/>
          <cell r="AN1341" t="str">
            <v/>
          </cell>
          <cell r="AO1341"/>
          <cell r="AP1341"/>
          <cell r="AQ1341"/>
          <cell r="AR1341"/>
          <cell r="AS1341"/>
          <cell r="AT1341"/>
          <cell r="AU1341" t="str">
            <v>FR</v>
          </cell>
          <cell r="AV1341"/>
        </row>
        <row r="1342">
          <cell r="Z1342">
            <v>7121036</v>
          </cell>
          <cell r="AA1342" t="str">
            <v>Releasing Spear 2-5/16" OD Mandrel CA 1227
2-3/8" REG Box</v>
          </cell>
          <cell r="AB1342">
            <v>10</v>
          </cell>
          <cell r="AC1342">
            <v>2.3125</v>
          </cell>
          <cell r="AD1342" t="str">
            <v>CA 1227</v>
          </cell>
          <cell r="AE1342" t="str">
            <v>2-3/8' REG Box</v>
          </cell>
          <cell r="AF1342" t="str">
            <v>mandrel seul</v>
          </cell>
          <cell r="AG1342"/>
          <cell r="AH1342" t="str">
            <v>sur chantier</v>
          </cell>
          <cell r="AI1342" t="str">
            <v/>
          </cell>
          <cell r="AJ1342">
            <v>1</v>
          </cell>
          <cell r="AK1342">
            <v>0</v>
          </cell>
          <cell r="AL1342"/>
          <cell r="AM1342"/>
          <cell r="AN1342">
            <v>7121036</v>
          </cell>
          <cell r="AO1342"/>
          <cell r="AP1342"/>
          <cell r="AQ1342"/>
          <cell r="AR1342"/>
          <cell r="AS1342">
            <v>11</v>
          </cell>
          <cell r="AT1342"/>
          <cell r="AU1342" t="str">
            <v/>
          </cell>
          <cell r="AV1342"/>
        </row>
        <row r="1343">
          <cell r="Z1343">
            <v>7121037</v>
          </cell>
          <cell r="AA1343" t="str">
            <v>Releasing Spear 3-1/4" OD Mandrel CA 9485
2-3/8" REG Box</v>
          </cell>
          <cell r="AB1343">
            <v>33</v>
          </cell>
          <cell r="AC1343">
            <v>3.25</v>
          </cell>
          <cell r="AD1343" t="str">
            <v>CA 9485</v>
          </cell>
          <cell r="AE1343" t="str">
            <v>2-3/8" REG Box</v>
          </cell>
          <cell r="AF1343" t="str">
            <v>bull nose nut</v>
          </cell>
          <cell r="AG1343"/>
          <cell r="AH1343" t="str">
            <v xml:space="preserve"> en stock </v>
          </cell>
          <cell r="AI1343">
            <v>1</v>
          </cell>
          <cell r="AJ1343">
            <v>0</v>
          </cell>
          <cell r="AK1343">
            <v>0</v>
          </cell>
          <cell r="AL1343"/>
          <cell r="AM1343"/>
          <cell r="AN1343">
            <v>7121037</v>
          </cell>
          <cell r="AO1343"/>
          <cell r="AP1343"/>
          <cell r="AQ1343"/>
          <cell r="AR1343"/>
          <cell r="AS1343">
            <v>15</v>
          </cell>
          <cell r="AT1343"/>
          <cell r="AU1343" t="str">
            <v/>
          </cell>
          <cell r="AV1343"/>
        </row>
        <row r="1344">
          <cell r="Z1344">
            <v>7031038</v>
          </cell>
          <cell r="AA1344" t="str">
            <v>Harpon f/ 9-5/8" &amp; 13-3/8" csg
2-3/8" IF Box</v>
          </cell>
          <cell r="AB1344">
            <v>0</v>
          </cell>
          <cell r="AC1344" t="str">
            <v>4-1/2" -5"</v>
          </cell>
          <cell r="AD1344">
            <v>0</v>
          </cell>
          <cell r="AE1344" t="str">
            <v>2-3/8" IF Box</v>
          </cell>
          <cell r="AF1344"/>
          <cell r="AG1344"/>
          <cell r="AH1344" t="str">
            <v>maintenance</v>
          </cell>
          <cell r="AI1344" t="str">
            <v/>
          </cell>
          <cell r="AJ1344">
            <v>0</v>
          </cell>
          <cell r="AK1344">
            <v>1</v>
          </cell>
          <cell r="AL1344"/>
          <cell r="AM1344"/>
          <cell r="AN1344" t="str">
            <v/>
          </cell>
          <cell r="AO1344"/>
          <cell r="AP1344"/>
          <cell r="AQ1344"/>
          <cell r="AR1344"/>
          <cell r="AS1344">
            <v>5</v>
          </cell>
          <cell r="AT1344"/>
          <cell r="AU1344" t="str">
            <v/>
          </cell>
          <cell r="AV1344"/>
        </row>
        <row r="1345">
          <cell r="Z1345">
            <v>7031039</v>
          </cell>
          <cell r="AA1345" t="str">
            <v>Harpon f/ 9-5/8" 47# csg
2-7/8" IF Box</v>
          </cell>
          <cell r="AB1345">
            <v>0</v>
          </cell>
          <cell r="AC1345">
            <v>0</v>
          </cell>
          <cell r="AD1345">
            <v>2670</v>
          </cell>
          <cell r="AE1345" t="str">
            <v>2-7/8" IF Box</v>
          </cell>
          <cell r="AF1345"/>
          <cell r="AG1345"/>
          <cell r="AH1345" t="str">
            <v>maintenance</v>
          </cell>
          <cell r="AI1345" t="str">
            <v/>
          </cell>
          <cell r="AJ1345">
            <v>0</v>
          </cell>
          <cell r="AK1345">
            <v>1</v>
          </cell>
          <cell r="AL1345"/>
          <cell r="AM1345"/>
          <cell r="AN1345" t="str">
            <v/>
          </cell>
          <cell r="AO1345"/>
          <cell r="AP1345"/>
          <cell r="AQ1345"/>
          <cell r="AR1345"/>
          <cell r="AS1345">
            <v>7</v>
          </cell>
          <cell r="AT1345"/>
          <cell r="AU1345" t="str">
            <v/>
          </cell>
          <cell r="AV1345"/>
        </row>
        <row r="1346">
          <cell r="Z1346">
            <v>7031040</v>
          </cell>
          <cell r="AA1346" t="str">
            <v>Harpon f/13-3/8" 68# csg
3-1/2" IF Box</v>
          </cell>
          <cell r="AB1346">
            <v>0</v>
          </cell>
          <cell r="AC1346">
            <v>0</v>
          </cell>
          <cell r="AD1346">
            <v>3050</v>
          </cell>
          <cell r="AE1346" t="str">
            <v>3-1/2" IF Box</v>
          </cell>
          <cell r="AF1346"/>
          <cell r="AG1346"/>
          <cell r="AH1346" t="str">
            <v xml:space="preserve"> en stock </v>
          </cell>
          <cell r="AI1346">
            <v>1</v>
          </cell>
          <cell r="AJ1346">
            <v>0</v>
          </cell>
          <cell r="AK1346">
            <v>0</v>
          </cell>
          <cell r="AL1346"/>
          <cell r="AM1346"/>
          <cell r="AN1346" t="str">
            <v/>
          </cell>
          <cell r="AO1346"/>
          <cell r="AP1346"/>
          <cell r="AQ1346"/>
          <cell r="AR1346"/>
          <cell r="AS1346">
            <v>8</v>
          </cell>
          <cell r="AT1346"/>
          <cell r="AU1346" t="str">
            <v/>
          </cell>
          <cell r="AV1346"/>
        </row>
        <row r="1347">
          <cell r="Z1347">
            <v>8081041</v>
          </cell>
          <cell r="AA1347" t="str">
            <v>Float Sub 6-3/4" Lg 590 mm
4-1/2" IF Pin x 4-1/2" IF Box BF (4R)</v>
          </cell>
          <cell r="AB1347">
            <v>90.887636545935933</v>
          </cell>
          <cell r="AC1347">
            <v>6.75</v>
          </cell>
          <cell r="AD1347">
            <v>590</v>
          </cell>
          <cell r="AE1347" t="str">
            <v>4-1/2" IF Box BF</v>
          </cell>
          <cell r="AF1347" t="str">
            <v>4-1/2" IF Pin</v>
          </cell>
          <cell r="AG1347" t="str">
            <v>4R</v>
          </cell>
          <cell r="AH1347" t="str">
            <v xml:space="preserve"> en stock </v>
          </cell>
          <cell r="AI1347">
            <v>1</v>
          </cell>
          <cell r="AJ1347">
            <v>0</v>
          </cell>
          <cell r="AK1347">
            <v>0</v>
          </cell>
          <cell r="AL1347"/>
          <cell r="AM1347"/>
          <cell r="AN1347">
            <v>8081041</v>
          </cell>
          <cell r="AO1347"/>
          <cell r="AP1347"/>
          <cell r="AQ1347"/>
          <cell r="AR1347"/>
          <cell r="AS1347">
            <v>19</v>
          </cell>
          <cell r="AT1347"/>
          <cell r="AU1347" t="str">
            <v>FR</v>
          </cell>
          <cell r="AV1347"/>
        </row>
        <row r="1348">
          <cell r="Z1348">
            <v>8081042</v>
          </cell>
          <cell r="AA1348" t="str">
            <v>Float Sub 6-3/4" Lg 590 mm
4-1/2" IF Pin x 4-1/2" IF Box BF (4R)</v>
          </cell>
          <cell r="AB1348">
            <v>90.887636545935933</v>
          </cell>
          <cell r="AC1348">
            <v>6.75</v>
          </cell>
          <cell r="AD1348">
            <v>590</v>
          </cell>
          <cell r="AE1348" t="str">
            <v>4-1/2" IF Box BF</v>
          </cell>
          <cell r="AF1348" t="str">
            <v>4-1/2" IF Pin</v>
          </cell>
          <cell r="AG1348" t="str">
            <v>4R</v>
          </cell>
          <cell r="AH1348" t="str">
            <v>sur chantier</v>
          </cell>
          <cell r="AI1348" t="str">
            <v/>
          </cell>
          <cell r="AJ1348">
            <v>1</v>
          </cell>
          <cell r="AK1348">
            <v>0</v>
          </cell>
          <cell r="AL1348"/>
          <cell r="AM1348"/>
          <cell r="AN1348">
            <v>8081042</v>
          </cell>
          <cell r="AO1348"/>
          <cell r="AP1348"/>
          <cell r="AQ1348"/>
          <cell r="AR1348"/>
          <cell r="AS1348">
            <v>20</v>
          </cell>
          <cell r="AT1348"/>
          <cell r="AU1348" t="str">
            <v>FR</v>
          </cell>
          <cell r="AV1348"/>
        </row>
        <row r="1349">
          <cell r="Z1349">
            <v>8131043</v>
          </cell>
          <cell r="AA1349" t="str">
            <v>XO
3-1/2" IF Pin x 3-1/2" IF Pin</v>
          </cell>
          <cell r="AB1349">
            <v>25.775803286999999</v>
          </cell>
          <cell r="AC1349">
            <v>4.75</v>
          </cell>
          <cell r="AD1349">
            <v>400</v>
          </cell>
          <cell r="AE1349" t="str">
            <v>3-1/2" IF Pin</v>
          </cell>
          <cell r="AF1349" t="str">
            <v>3-1/2" IF Pin</v>
          </cell>
          <cell r="AG1349"/>
          <cell r="AH1349" t="str">
            <v xml:space="preserve"> en stock </v>
          </cell>
          <cell r="AI1349">
            <v>1</v>
          </cell>
          <cell r="AJ1349">
            <v>0</v>
          </cell>
          <cell r="AK1349">
            <v>0</v>
          </cell>
          <cell r="AL1349"/>
          <cell r="AM1349"/>
          <cell r="AN1349">
            <v>8131043</v>
          </cell>
          <cell r="AO1349"/>
          <cell r="AP1349"/>
          <cell r="AQ1349"/>
          <cell r="AR1349"/>
          <cell r="AS1349">
            <v>115</v>
          </cell>
          <cell r="AT1349"/>
          <cell r="AU1349" t="str">
            <v>FR</v>
          </cell>
          <cell r="AV1349"/>
        </row>
        <row r="1350">
          <cell r="Z1350">
            <v>8131044</v>
          </cell>
          <cell r="AA1350" t="str">
            <v>XO
4-1/2" IF Pin x 4-1/2" IF Pin</v>
          </cell>
          <cell r="AB1350">
            <v>61.043934993539054</v>
          </cell>
          <cell r="AC1350">
            <v>6.5</v>
          </cell>
          <cell r="AD1350">
            <v>450</v>
          </cell>
          <cell r="AE1350" t="str">
            <v>4-1/2" IF Pin</v>
          </cell>
          <cell r="AF1350" t="str">
            <v>4-1/2" IF Pin</v>
          </cell>
          <cell r="AG1350"/>
          <cell r="AH1350" t="str">
            <v xml:space="preserve"> en stock </v>
          </cell>
          <cell r="AI1350">
            <v>1</v>
          </cell>
          <cell r="AJ1350">
            <v>0</v>
          </cell>
          <cell r="AK1350">
            <v>0</v>
          </cell>
          <cell r="AL1350"/>
          <cell r="AM1350"/>
          <cell r="AN1350">
            <v>8131044</v>
          </cell>
          <cell r="AO1350"/>
          <cell r="AP1350"/>
          <cell r="AQ1350"/>
          <cell r="AR1350"/>
          <cell r="AS1350">
            <v>170</v>
          </cell>
          <cell r="AT1350"/>
          <cell r="AU1350" t="str">
            <v>FR</v>
          </cell>
          <cell r="AV1350"/>
        </row>
        <row r="1351">
          <cell r="Z1351">
            <v>8011045</v>
          </cell>
          <cell r="AA1351" t="str">
            <v>Bull Nose 3-3/4" OD
2-3/8" REG Pin</v>
          </cell>
          <cell r="AB1351">
            <v>14.190271014562505</v>
          </cell>
          <cell r="AC1351">
            <v>3.75</v>
          </cell>
          <cell r="AD1351">
            <v>275</v>
          </cell>
          <cell r="AE1351" t="str">
            <v>2-3/8" REG Pin</v>
          </cell>
          <cell r="AF1351"/>
          <cell r="AG1351"/>
          <cell r="AH1351" t="str">
            <v xml:space="preserve"> en stock </v>
          </cell>
          <cell r="AI1351">
            <v>1</v>
          </cell>
          <cell r="AJ1351">
            <v>0</v>
          </cell>
          <cell r="AK1351">
            <v>0</v>
          </cell>
          <cell r="AL1351"/>
          <cell r="AM1351"/>
          <cell r="AN1351">
            <v>8011045</v>
          </cell>
          <cell r="AO1351"/>
          <cell r="AP1351"/>
          <cell r="AQ1351"/>
          <cell r="AR1351"/>
          <cell r="AS1351">
            <v>6</v>
          </cell>
          <cell r="AT1351" t="str">
            <v>801-2,375REG</v>
          </cell>
          <cell r="AU1351" t="str">
            <v>FR</v>
          </cell>
          <cell r="AV1351"/>
        </row>
        <row r="1352">
          <cell r="Z1352">
            <v>5041046</v>
          </cell>
          <cell r="AA1352" t="e">
            <v>#N/A</v>
          </cell>
          <cell r="AB1352" t="e">
            <v>#N/A</v>
          </cell>
          <cell r="AC1352" t="e">
            <v>#N/A</v>
          </cell>
          <cell r="AD1352" t="e">
            <v>#N/A</v>
          </cell>
          <cell r="AE1352" t="e">
            <v>#N/A</v>
          </cell>
          <cell r="AF1352" t="e">
            <v>#N/A</v>
          </cell>
          <cell r="AG1352"/>
          <cell r="AH1352" t="e">
            <v>#N/A</v>
          </cell>
          <cell r="AI1352" t="e">
            <v>#N/A</v>
          </cell>
          <cell r="AJ1352" t="e">
            <v>#N/A</v>
          </cell>
          <cell r="AK1352" t="e">
            <v>#N/A</v>
          </cell>
          <cell r="AL1352"/>
          <cell r="AM1352"/>
          <cell r="AN1352" t="str">
            <v/>
          </cell>
          <cell r="AO1352"/>
          <cell r="AP1352"/>
          <cell r="AQ1352"/>
          <cell r="AR1352"/>
          <cell r="AS1352" t="e">
            <v>#N/A</v>
          </cell>
          <cell r="AT1352"/>
          <cell r="AU1352" t="str">
            <v>FR</v>
          </cell>
          <cell r="AV1352"/>
        </row>
        <row r="1353">
          <cell r="Z1353">
            <v>8021047</v>
          </cell>
          <cell r="AA1353" t="str">
            <v>Bit Sub
4-1/2" IF Box x 4-1/2" REG Box BF</v>
          </cell>
          <cell r="AB1353">
            <v>103.99203395099998</v>
          </cell>
          <cell r="AC1353">
            <v>6.75</v>
          </cell>
          <cell r="AD1353">
            <v>650</v>
          </cell>
          <cell r="AE1353" t="str">
            <v>4-1/2" IF Box</v>
          </cell>
          <cell r="AF1353" t="str">
            <v>4-1/2" REG Box BF</v>
          </cell>
          <cell r="AG1353"/>
          <cell r="AH1353" t="str">
            <v>maintenance</v>
          </cell>
          <cell r="AI1353" t="str">
            <v/>
          </cell>
          <cell r="AJ1353">
            <v>0</v>
          </cell>
          <cell r="AK1353">
            <v>1</v>
          </cell>
          <cell r="AL1353"/>
          <cell r="AM1353"/>
          <cell r="AN1353">
            <v>8021047</v>
          </cell>
          <cell r="AO1353"/>
          <cell r="AP1353"/>
          <cell r="AQ1353"/>
          <cell r="AR1353"/>
          <cell r="AS1353">
            <v>51</v>
          </cell>
          <cell r="AT1353"/>
          <cell r="AU1353" t="str">
            <v>FR</v>
          </cell>
          <cell r="AV1353"/>
        </row>
        <row r="1354">
          <cell r="Z1354">
            <v>8021048</v>
          </cell>
          <cell r="AA1354" t="str">
            <v>Bit Sub
4" IF Box x 4-1/2" IF Box</v>
          </cell>
          <cell r="AB1354">
            <v>95.486512655624992</v>
          </cell>
          <cell r="AC1354">
            <v>6.5</v>
          </cell>
          <cell r="AD1354">
            <v>650</v>
          </cell>
          <cell r="AE1354" t="str">
            <v>4" IF Box</v>
          </cell>
          <cell r="AF1354" t="str">
            <v>4-1/2" IF Box</v>
          </cell>
          <cell r="AG1354"/>
          <cell r="AH1354" t="str">
            <v>maintenance</v>
          </cell>
          <cell r="AI1354" t="str">
            <v/>
          </cell>
          <cell r="AJ1354">
            <v>0</v>
          </cell>
          <cell r="AK1354">
            <v>1</v>
          </cell>
          <cell r="AL1354"/>
          <cell r="AM1354"/>
          <cell r="AN1354">
            <v>8021048</v>
          </cell>
          <cell r="AO1354"/>
          <cell r="AP1354"/>
          <cell r="AQ1354"/>
          <cell r="AR1354"/>
          <cell r="AS1354">
            <v>41</v>
          </cell>
          <cell r="AT1354"/>
          <cell r="AU1354" t="str">
            <v>FR</v>
          </cell>
          <cell r="AV1354"/>
        </row>
        <row r="1355">
          <cell r="Z1355">
            <v>8021049</v>
          </cell>
          <cell r="AA1355" t="str">
            <v>Bit Sub
5-1/2" FH Box x 6-5/8" REG Box</v>
          </cell>
          <cell r="AB1355">
            <v>144</v>
          </cell>
          <cell r="AC1355">
            <v>8</v>
          </cell>
          <cell r="AD1355">
            <v>800</v>
          </cell>
          <cell r="AE1355" t="str">
            <v>5-1/2" FH Box</v>
          </cell>
          <cell r="AF1355" t="str">
            <v>6-5/8" REG Box</v>
          </cell>
          <cell r="AG1355"/>
          <cell r="AH1355" t="str">
            <v>maintenance</v>
          </cell>
          <cell r="AI1355" t="str">
            <v/>
          </cell>
          <cell r="AJ1355">
            <v>0</v>
          </cell>
          <cell r="AK1355">
            <v>1</v>
          </cell>
          <cell r="AL1355"/>
          <cell r="AM1355"/>
          <cell r="AN1355">
            <v>8021049</v>
          </cell>
          <cell r="AO1355"/>
          <cell r="AP1355"/>
          <cell r="AQ1355"/>
          <cell r="AR1355"/>
          <cell r="AS1355">
            <v>56</v>
          </cell>
          <cell r="AT1355"/>
          <cell r="AU1355" t="str">
            <v>FR</v>
          </cell>
          <cell r="AV1355"/>
        </row>
        <row r="1356">
          <cell r="Z1356">
            <v>7041050</v>
          </cell>
          <cell r="AA1356"/>
          <cell r="AB1356"/>
          <cell r="AC1356"/>
          <cell r="AD1356"/>
          <cell r="AE1356"/>
          <cell r="AF1356"/>
          <cell r="AG1356"/>
          <cell r="AH1356" t="str">
            <v>en stock</v>
          </cell>
          <cell r="AI1356"/>
          <cell r="AJ1356"/>
          <cell r="AK1356"/>
          <cell r="AL1356"/>
          <cell r="AM1356"/>
          <cell r="AN1356" t="str">
            <v/>
          </cell>
          <cell r="AO1356"/>
          <cell r="AP1356"/>
          <cell r="AQ1356"/>
          <cell r="AR1356"/>
          <cell r="AS1356"/>
          <cell r="AT1356"/>
          <cell r="AU1356" t="str">
            <v/>
          </cell>
          <cell r="AV1356"/>
        </row>
        <row r="1357">
          <cell r="Z1357">
            <v>7041051</v>
          </cell>
          <cell r="AA1357" t="str">
            <v>4-1/8" FS Overshot - CA 9105
4-1/8" FS</v>
          </cell>
          <cell r="AB1357">
            <v>0</v>
          </cell>
          <cell r="AC1357" t="str">
            <v>4-1/8" FS</v>
          </cell>
          <cell r="AD1357">
            <v>0</v>
          </cell>
          <cell r="AE1357" t="str">
            <v>2-3/8" IF Box</v>
          </cell>
          <cell r="AF1357"/>
          <cell r="AG1357"/>
          <cell r="AH1357" t="str">
            <v xml:space="preserve"> en stock </v>
          </cell>
          <cell r="AI1357">
            <v>1</v>
          </cell>
          <cell r="AJ1357">
            <v>0</v>
          </cell>
          <cell r="AK1357">
            <v>0</v>
          </cell>
          <cell r="AL1357"/>
          <cell r="AM1357"/>
          <cell r="AN1357" t="str">
            <v/>
          </cell>
          <cell r="AO1357"/>
          <cell r="AP1357"/>
          <cell r="AQ1357"/>
          <cell r="AR1357"/>
          <cell r="AS1357">
            <v>18</v>
          </cell>
          <cell r="AT1357" t="str">
            <v>704-9105</v>
          </cell>
          <cell r="AU1357" t="str">
            <v/>
          </cell>
          <cell r="AV1357"/>
        </row>
        <row r="1358">
          <cell r="Z1358">
            <v>2010311</v>
          </cell>
          <cell r="AA1358" t="str">
            <v>Hydraulic External Cutter 8" OD body 
7-5/8" FJWP Box</v>
          </cell>
          <cell r="AB1358">
            <v>127</v>
          </cell>
          <cell r="AC1358">
            <v>8</v>
          </cell>
          <cell r="AD1358">
            <v>1190</v>
          </cell>
          <cell r="AE1358" t="str">
            <v>7-5/8" FJWP Box</v>
          </cell>
          <cell r="AF1358"/>
          <cell r="AG1358"/>
          <cell r="AH1358" t="str">
            <v>maintenance</v>
          </cell>
          <cell r="AI1358" t="str">
            <v/>
          </cell>
          <cell r="AJ1358">
            <v>0</v>
          </cell>
          <cell r="AK1358">
            <v>1</v>
          </cell>
          <cell r="AL1358"/>
          <cell r="AM1358"/>
          <cell r="AN1358">
            <v>2020335</v>
          </cell>
          <cell r="AO1358"/>
          <cell r="AP1358"/>
          <cell r="AQ1358"/>
          <cell r="AR1358"/>
          <cell r="AS1358">
            <v>11</v>
          </cell>
          <cell r="AT1358" t="str">
            <v>201-35957</v>
          </cell>
          <cell r="AU1358" t="str">
            <v/>
          </cell>
          <cell r="AV1358"/>
        </row>
        <row r="1359">
          <cell r="Z1359">
            <v>8131053</v>
          </cell>
          <cell r="AA1359" t="str">
            <v>XO
3-1/2" IF Pin x 3-1/2" PH6 Box</v>
          </cell>
          <cell r="AB1359">
            <v>34.926213453885005</v>
          </cell>
          <cell r="AC1359">
            <v>4.75</v>
          </cell>
          <cell r="AD1359">
            <v>542</v>
          </cell>
          <cell r="AE1359" t="str">
            <v>3-1/2" IF Pin</v>
          </cell>
          <cell r="AF1359" t="str">
            <v>3-1/2" PH6 Box</v>
          </cell>
          <cell r="AG1359"/>
          <cell r="AH1359" t="str">
            <v>maintenance</v>
          </cell>
          <cell r="AI1359" t="str">
            <v/>
          </cell>
          <cell r="AJ1359">
            <v>0</v>
          </cell>
          <cell r="AK1359">
            <v>1</v>
          </cell>
          <cell r="AL1359"/>
          <cell r="AM1359"/>
          <cell r="AN1359">
            <v>8131053</v>
          </cell>
          <cell r="AO1359"/>
          <cell r="AP1359"/>
          <cell r="AQ1359"/>
          <cell r="AR1359"/>
          <cell r="AS1359">
            <v>112</v>
          </cell>
          <cell r="AT1359"/>
          <cell r="AU1359" t="str">
            <v>FR</v>
          </cell>
          <cell r="AV1359"/>
        </row>
        <row r="1360">
          <cell r="Z1360">
            <v>7051054</v>
          </cell>
          <cell r="AA1360"/>
          <cell r="AB1360"/>
          <cell r="AC1360"/>
          <cell r="AD1360"/>
          <cell r="AE1360"/>
          <cell r="AF1360"/>
          <cell r="AG1360"/>
          <cell r="AH1360" t="str">
            <v>en stock</v>
          </cell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 t="str">
            <v>FR</v>
          </cell>
          <cell r="AV1360"/>
        </row>
        <row r="1361">
          <cell r="Z1361" t="str">
            <v>6081055M</v>
          </cell>
          <cell r="AA1361" t="str">
            <v>NMDC 4-3/4" for MWD
3-1/2" IF Pin x Box</v>
          </cell>
          <cell r="AB1361">
            <v>545.37488959078132</v>
          </cell>
          <cell r="AC1361">
            <v>4.75</v>
          </cell>
          <cell r="AD1361">
            <v>9000</v>
          </cell>
          <cell r="AE1361" t="str">
            <v>3-1/2" IF Box</v>
          </cell>
          <cell r="AF1361" t="str">
            <v>3-1/2" IF Pin</v>
          </cell>
          <cell r="AG1361"/>
          <cell r="AH1361" t="str">
            <v xml:space="preserve"> en stock </v>
          </cell>
          <cell r="AI1361">
            <v>1</v>
          </cell>
          <cell r="AJ1361">
            <v>0</v>
          </cell>
          <cell r="AK1361">
            <v>0</v>
          </cell>
          <cell r="AL1361"/>
          <cell r="AM1361"/>
          <cell r="AN1361">
            <v>6081055</v>
          </cell>
          <cell r="AO1361"/>
          <cell r="AP1361"/>
          <cell r="AQ1361"/>
          <cell r="AR1361"/>
          <cell r="AS1361">
            <v>12</v>
          </cell>
          <cell r="AT1361"/>
          <cell r="AU1361" t="str">
            <v>US</v>
          </cell>
          <cell r="AV1361"/>
        </row>
        <row r="1362">
          <cell r="Z1362" t="str">
            <v>6081056M</v>
          </cell>
          <cell r="AA1362" t="str">
            <v>NMDC 4-3/4" for MWD
3-1/2" IF Pin x Box</v>
          </cell>
          <cell r="AB1362">
            <v>545.37488959078132</v>
          </cell>
          <cell r="AC1362">
            <v>4.75</v>
          </cell>
          <cell r="AD1362">
            <v>9000</v>
          </cell>
          <cell r="AE1362" t="str">
            <v>3-1/2" IF Box</v>
          </cell>
          <cell r="AF1362" t="str">
            <v>3-1/2" IF Pin</v>
          </cell>
          <cell r="AG1362"/>
          <cell r="AH1362" t="str">
            <v xml:space="preserve"> en stock </v>
          </cell>
          <cell r="AI1362">
            <v>1</v>
          </cell>
          <cell r="AJ1362">
            <v>0</v>
          </cell>
          <cell r="AK1362">
            <v>0</v>
          </cell>
          <cell r="AL1362"/>
          <cell r="AM1362"/>
          <cell r="AN1362">
            <v>6081056</v>
          </cell>
          <cell r="AO1362"/>
          <cell r="AP1362"/>
          <cell r="AQ1362"/>
          <cell r="AR1362"/>
          <cell r="AS1362">
            <v>13</v>
          </cell>
          <cell r="AT1362"/>
          <cell r="AU1362" t="str">
            <v>US</v>
          </cell>
          <cell r="AV1362"/>
        </row>
        <row r="1363">
          <cell r="Z1363" t="str">
            <v>6081057M</v>
          </cell>
          <cell r="AA1363" t="str">
            <v>NMDC 6-1/2" for MWD
4-1/2" IF Pin x Box</v>
          </cell>
          <cell r="AB1363">
            <v>1126.5803678024999</v>
          </cell>
          <cell r="AC1363">
            <v>6.5</v>
          </cell>
          <cell r="AD1363">
            <v>9000</v>
          </cell>
          <cell r="AE1363" t="str">
            <v>4-1/2" IF Box</v>
          </cell>
          <cell r="AF1363" t="str">
            <v>4-1/2" IF Pin</v>
          </cell>
          <cell r="AG1363"/>
          <cell r="AH1363" t="str">
            <v>maintenance</v>
          </cell>
          <cell r="AI1363" t="str">
            <v/>
          </cell>
          <cell r="AJ1363">
            <v>0</v>
          </cell>
          <cell r="AK1363">
            <v>1</v>
          </cell>
          <cell r="AL1363"/>
          <cell r="AM1363"/>
          <cell r="AN1363">
            <v>6081057</v>
          </cell>
          <cell r="AO1363"/>
          <cell r="AP1363"/>
          <cell r="AQ1363"/>
          <cell r="AR1363"/>
          <cell r="AS1363">
            <v>20</v>
          </cell>
          <cell r="AT1363"/>
          <cell r="AU1363" t="str">
            <v>US</v>
          </cell>
          <cell r="AV1363"/>
        </row>
        <row r="1364">
          <cell r="Z1364" t="str">
            <v>6081058M</v>
          </cell>
          <cell r="AA1364" t="str">
            <v>NMDC 6-1/2" for MWD
4-1/2" IF Pin x Box</v>
          </cell>
          <cell r="AB1364">
            <v>1126.5803678024999</v>
          </cell>
          <cell r="AC1364">
            <v>6.5</v>
          </cell>
          <cell r="AD1364">
            <v>9000</v>
          </cell>
          <cell r="AE1364" t="str">
            <v>4-1/2" IF Box</v>
          </cell>
          <cell r="AF1364" t="str">
            <v>4-1/2" IF Pin</v>
          </cell>
          <cell r="AG1364"/>
          <cell r="AH1364" t="str">
            <v xml:space="preserve"> en stock </v>
          </cell>
          <cell r="AI1364">
            <v>1</v>
          </cell>
          <cell r="AJ1364">
            <v>0</v>
          </cell>
          <cell r="AK1364">
            <v>0</v>
          </cell>
          <cell r="AL1364"/>
          <cell r="AM1364"/>
          <cell r="AN1364">
            <v>6081058</v>
          </cell>
          <cell r="AO1364"/>
          <cell r="AP1364"/>
          <cell r="AQ1364"/>
          <cell r="AR1364"/>
          <cell r="AS1364">
            <v>21</v>
          </cell>
          <cell r="AT1364"/>
          <cell r="AU1364" t="str">
            <v>US</v>
          </cell>
          <cell r="AV1364"/>
        </row>
        <row r="1365">
          <cell r="Z1365" t="str">
            <v>6081059M</v>
          </cell>
          <cell r="AA1365" t="str">
            <v>NMDC 6-1/2" for MWD
4-1/2" IF Pin x Box</v>
          </cell>
          <cell r="AB1365">
            <v>1126.5803678024999</v>
          </cell>
          <cell r="AC1365">
            <v>6.5</v>
          </cell>
          <cell r="AD1365">
            <v>9000</v>
          </cell>
          <cell r="AE1365" t="str">
            <v>4-1/2" IF Box</v>
          </cell>
          <cell r="AF1365" t="str">
            <v>4-1/2" IF Pin</v>
          </cell>
          <cell r="AG1365"/>
          <cell r="AH1365" t="str">
            <v xml:space="preserve"> en stock </v>
          </cell>
          <cell r="AI1365">
            <v>1</v>
          </cell>
          <cell r="AJ1365">
            <v>0</v>
          </cell>
          <cell r="AK1365">
            <v>0</v>
          </cell>
          <cell r="AL1365"/>
          <cell r="AM1365"/>
          <cell r="AN1365">
            <v>6081059</v>
          </cell>
          <cell r="AO1365"/>
          <cell r="AP1365"/>
          <cell r="AQ1365"/>
          <cell r="AR1365"/>
          <cell r="AS1365">
            <v>22</v>
          </cell>
          <cell r="AT1365"/>
          <cell r="AU1365" t="str">
            <v>US</v>
          </cell>
          <cell r="AV1365"/>
        </row>
        <row r="1366">
          <cell r="Z1366">
            <v>3428</v>
          </cell>
          <cell r="AA1366" t="str">
            <v xml:space="preserve">3-1/8" PDM - 5/6 lobes - 5 stages
2-3/8" REG Box x Box
Rotor : 
Stator : 
Bent : </v>
          </cell>
          <cell r="AB1366">
            <v>120</v>
          </cell>
          <cell r="AC1366">
            <v>3.125</v>
          </cell>
          <cell r="AD1366">
            <v>4370</v>
          </cell>
          <cell r="AE1366" t="str">
            <v>NBR-HPX</v>
          </cell>
          <cell r="AF1366">
            <v>0</v>
          </cell>
          <cell r="AG1366"/>
          <cell r="AH1366" t="str">
            <v>sur chantier</v>
          </cell>
          <cell r="AI1366" t="str">
            <v/>
          </cell>
          <cell r="AJ1366">
            <v>1</v>
          </cell>
          <cell r="AK1366">
            <v>0</v>
          </cell>
          <cell r="AL1366"/>
          <cell r="AM1366"/>
          <cell r="AN1366">
            <v>6013126014</v>
          </cell>
          <cell r="AO1366"/>
          <cell r="AP1366"/>
          <cell r="AQ1366"/>
          <cell r="AR1366"/>
          <cell r="AS1366">
            <v>36</v>
          </cell>
          <cell r="AT1366"/>
          <cell r="AU1366" t="str">
            <v/>
          </cell>
          <cell r="AV1366"/>
        </row>
        <row r="1367">
          <cell r="Z1367">
            <v>3427</v>
          </cell>
          <cell r="AA1367" t="str">
            <v xml:space="preserve">3-1/8" PDM - 5/6 lobes - 5 stages
2-3/8" REG Box x Box
Rotor : 
Stator : 
Bent : </v>
          </cell>
          <cell r="AB1367">
            <v>120</v>
          </cell>
          <cell r="AC1367">
            <v>3.125</v>
          </cell>
          <cell r="AD1367">
            <v>4370</v>
          </cell>
          <cell r="AE1367" t="str">
            <v>NBR-HPX</v>
          </cell>
          <cell r="AF1367">
            <v>0</v>
          </cell>
          <cell r="AG1367"/>
          <cell r="AH1367" t="str">
            <v>sur chantier</v>
          </cell>
          <cell r="AI1367" t="str">
            <v/>
          </cell>
          <cell r="AJ1367">
            <v>1</v>
          </cell>
          <cell r="AK1367">
            <v>0</v>
          </cell>
          <cell r="AL1367"/>
          <cell r="AM1367"/>
          <cell r="AN1367">
            <v>6013126015</v>
          </cell>
          <cell r="AO1367"/>
          <cell r="AP1367"/>
          <cell r="AQ1367"/>
          <cell r="AR1367"/>
          <cell r="AS1367">
            <v>37</v>
          </cell>
          <cell r="AT1367"/>
          <cell r="AU1367" t="str">
            <v/>
          </cell>
          <cell r="AV1367"/>
        </row>
        <row r="1368">
          <cell r="Z1368">
            <v>3443</v>
          </cell>
          <cell r="AA1368" t="str">
            <v xml:space="preserve">8-1/2" PDM  - lobes - stages
6-5/8" REG Box x Box
Rotor : 
Stator : 
Bent : </v>
          </cell>
          <cell r="AB1368">
            <v>2200</v>
          </cell>
          <cell r="AC1368">
            <v>8.5</v>
          </cell>
          <cell r="AD1368">
            <v>9500</v>
          </cell>
          <cell r="AE1368" t="str">
            <v>NBR</v>
          </cell>
          <cell r="AF1368">
            <v>0</v>
          </cell>
          <cell r="AG1368"/>
          <cell r="AH1368" t="str">
            <v>maintenance</v>
          </cell>
          <cell r="AI1368" t="str">
            <v/>
          </cell>
          <cell r="AJ1368">
            <v>0</v>
          </cell>
          <cell r="AK1368">
            <v>1</v>
          </cell>
          <cell r="AL1368"/>
          <cell r="AM1368"/>
          <cell r="AN1368">
            <v>60185076016</v>
          </cell>
          <cell r="AO1368"/>
          <cell r="AP1368"/>
          <cell r="AQ1368"/>
          <cell r="AR1368"/>
          <cell r="AS1368">
            <v>19</v>
          </cell>
          <cell r="AT1368"/>
          <cell r="AU1368" t="str">
            <v/>
          </cell>
          <cell r="AV1368"/>
        </row>
        <row r="1369">
          <cell r="Z1369">
            <v>4050339</v>
          </cell>
          <cell r="AA1369" t="str">
            <v>Safety Joint 4-3/4" OD 
3-1/2" IF Pin down x Box up</v>
          </cell>
          <cell r="AB1369">
            <v>21</v>
          </cell>
          <cell r="AC1369">
            <v>4.75</v>
          </cell>
          <cell r="AD1369"/>
          <cell r="AE1369" t="str">
            <v>3-1/2 IF Box</v>
          </cell>
          <cell r="AF1369" t="str">
            <v>3-1/2 IF Pin</v>
          </cell>
          <cell r="AG1369"/>
          <cell r="AH1369" t="str">
            <v>en stock</v>
          </cell>
          <cell r="AI1369"/>
          <cell r="AJ1369"/>
          <cell r="AK1369"/>
          <cell r="AL1369"/>
          <cell r="AM1369"/>
          <cell r="AN1369" t="str">
            <v/>
          </cell>
          <cell r="AO1369"/>
          <cell r="AP1369"/>
          <cell r="AQ1369"/>
          <cell r="AR1369"/>
          <cell r="AS1369"/>
          <cell r="AT1369"/>
          <cell r="AU1369" t="str">
            <v/>
          </cell>
          <cell r="AV1369"/>
        </row>
        <row r="1370">
          <cell r="Z1370">
            <v>8131060</v>
          </cell>
          <cell r="AA1370" t="str">
            <v>XO
3-1/2" IF Pin x 3-1/2" EU Box</v>
          </cell>
          <cell r="AB1370">
            <v>0</v>
          </cell>
          <cell r="AC1370">
            <v>0</v>
          </cell>
          <cell r="AD1370">
            <v>0</v>
          </cell>
          <cell r="AE1370" t="str">
            <v>3-1/2" IF Pin</v>
          </cell>
          <cell r="AF1370" t="str">
            <v>3-1/2" EU Box</v>
          </cell>
          <cell r="AG1370"/>
          <cell r="AH1370" t="str">
            <v>maintenance</v>
          </cell>
          <cell r="AI1370" t="str">
            <v/>
          </cell>
          <cell r="AJ1370">
            <v>0</v>
          </cell>
          <cell r="AK1370">
            <v>1</v>
          </cell>
          <cell r="AL1370"/>
          <cell r="AM1370"/>
          <cell r="AN1370" t="str">
            <v/>
          </cell>
          <cell r="AO1370"/>
          <cell r="AP1370"/>
          <cell r="AQ1370"/>
          <cell r="AR1370"/>
          <cell r="AS1370">
            <v>113</v>
          </cell>
          <cell r="AT1370"/>
          <cell r="AU1370" t="str">
            <v>FR</v>
          </cell>
          <cell r="AV1370"/>
        </row>
        <row r="1371">
          <cell r="Z1371">
            <v>8021061</v>
          </cell>
          <cell r="AA1371" t="str">
            <v>Bit Sub
3-1/2" IF Box x 3-1/2" REG Box BF</v>
          </cell>
          <cell r="AB1371">
            <v>33.528295846500001</v>
          </cell>
          <cell r="AC1371">
            <v>4.75</v>
          </cell>
          <cell r="AD1371">
            <v>485</v>
          </cell>
          <cell r="AE1371" t="str">
            <v>3-1/2" IF Box</v>
          </cell>
          <cell r="AF1371" t="str">
            <v>3-1/2" REG Box BF</v>
          </cell>
          <cell r="AG1371"/>
          <cell r="AH1371" t="str">
            <v>maintenance</v>
          </cell>
          <cell r="AI1371" t="str">
            <v/>
          </cell>
          <cell r="AJ1371">
            <v>0</v>
          </cell>
          <cell r="AK1371">
            <v>1</v>
          </cell>
          <cell r="AL1371"/>
          <cell r="AM1371"/>
          <cell r="AN1371" t="str">
            <v/>
          </cell>
          <cell r="AO1371"/>
          <cell r="AP1371"/>
          <cell r="AQ1371"/>
          <cell r="AR1371"/>
          <cell r="AS1371">
            <v>38</v>
          </cell>
          <cell r="AT1371"/>
          <cell r="AU1371" t="str">
            <v>FR</v>
          </cell>
          <cell r="AV1371"/>
        </row>
        <row r="1372">
          <cell r="Z1372">
            <v>5011062</v>
          </cell>
          <cell r="AA1372" t="str">
            <v>Ditch Magnet 36"</v>
          </cell>
          <cell r="AB1372">
            <v>46</v>
          </cell>
          <cell r="AC1372">
            <v>36</v>
          </cell>
          <cell r="AD1372">
            <v>36</v>
          </cell>
          <cell r="AE1372"/>
          <cell r="AF1372"/>
          <cell r="AG1372"/>
          <cell r="AH1372" t="str">
            <v xml:space="preserve"> en stock </v>
          </cell>
          <cell r="AI1372">
            <v>1</v>
          </cell>
          <cell r="AJ1372">
            <v>0</v>
          </cell>
          <cell r="AK1372">
            <v>0</v>
          </cell>
          <cell r="AL1372"/>
          <cell r="AM1372"/>
          <cell r="AN1372" t="str">
            <v/>
          </cell>
          <cell r="AO1372"/>
          <cell r="AP1372"/>
          <cell r="AQ1372"/>
          <cell r="AR1372"/>
          <cell r="AS1372">
            <v>5</v>
          </cell>
          <cell r="AT1372"/>
          <cell r="AU1372" t="str">
            <v/>
          </cell>
          <cell r="AV1372"/>
        </row>
        <row r="1373">
          <cell r="Z1373">
            <v>5011063</v>
          </cell>
          <cell r="AA1373" t="str">
            <v>Ditch Magnet 36"</v>
          </cell>
          <cell r="AB1373">
            <v>46</v>
          </cell>
          <cell r="AC1373">
            <v>36</v>
          </cell>
          <cell r="AD1373">
            <v>36</v>
          </cell>
          <cell r="AE1373"/>
          <cell r="AF1373"/>
          <cell r="AG1373"/>
          <cell r="AH1373" t="str">
            <v>sur chantier</v>
          </cell>
          <cell r="AI1373" t="str">
            <v/>
          </cell>
          <cell r="AJ1373">
            <v>1</v>
          </cell>
          <cell r="AK1373">
            <v>0</v>
          </cell>
          <cell r="AL1373"/>
          <cell r="AM1373"/>
          <cell r="AN1373" t="str">
            <v/>
          </cell>
          <cell r="AO1373"/>
          <cell r="AP1373"/>
          <cell r="AQ1373"/>
          <cell r="AR1373"/>
          <cell r="AS1373">
            <v>6</v>
          </cell>
          <cell r="AT1373"/>
          <cell r="AU1373" t="str">
            <v/>
          </cell>
          <cell r="AV1373"/>
        </row>
        <row r="1374">
          <cell r="Z1374">
            <v>7101064</v>
          </cell>
          <cell r="AA1374" t="str">
            <v>Slick Bore Packer Retriever Tool PRS 325 388 - SN
3-1/8" PRT Box</v>
          </cell>
          <cell r="AB1374">
            <v>0</v>
          </cell>
          <cell r="AC1374" t="str">
            <v>PRS325388</v>
          </cell>
          <cell r="AD1374">
            <v>0</v>
          </cell>
          <cell r="AE1374" t="str">
            <v>3-1/8" PRT Box</v>
          </cell>
          <cell r="AF1374" t="str">
            <v>SN simplex</v>
          </cell>
          <cell r="AG1374"/>
          <cell r="AH1374" t="str">
            <v>en stock</v>
          </cell>
          <cell r="AI1374">
            <v>0</v>
          </cell>
          <cell r="AJ1374">
            <v>0</v>
          </cell>
          <cell r="AK1374">
            <v>1</v>
          </cell>
          <cell r="AL1374"/>
          <cell r="AM1374"/>
          <cell r="AN1374" t="str">
            <v/>
          </cell>
          <cell r="AO1374"/>
          <cell r="AP1374"/>
          <cell r="AQ1374"/>
          <cell r="AR1374"/>
          <cell r="AS1374">
            <v>10</v>
          </cell>
          <cell r="AT1374"/>
          <cell r="AU1374" t="str">
            <v/>
          </cell>
          <cell r="AV1374"/>
        </row>
        <row r="1375">
          <cell r="Z1375">
            <v>7121065</v>
          </cell>
          <cell r="AA1375" t="str">
            <v>Releasing Spear 4-1/32" OD Mandrel CA 9680
2-7/8" IF Box</v>
          </cell>
          <cell r="AB1375">
            <v>46</v>
          </cell>
          <cell r="AC1375">
            <v>4.03125</v>
          </cell>
          <cell r="AD1375" t="str">
            <v>CA 9680</v>
          </cell>
          <cell r="AE1375" t="str">
            <v>2-7/8" IF Box</v>
          </cell>
          <cell r="AF1375" t="str">
            <v>2-7/8" IF Pin</v>
          </cell>
          <cell r="AG1375"/>
          <cell r="AH1375" t="str">
            <v xml:space="preserve"> en stock </v>
          </cell>
          <cell r="AI1375">
            <v>1</v>
          </cell>
          <cell r="AJ1375">
            <v>0</v>
          </cell>
          <cell r="AK1375">
            <v>0</v>
          </cell>
          <cell r="AL1375"/>
          <cell r="AM1375"/>
          <cell r="AN1375">
            <v>7121065</v>
          </cell>
          <cell r="AO1375"/>
          <cell r="AP1375"/>
          <cell r="AQ1375"/>
          <cell r="AR1375"/>
          <cell r="AS1375">
            <v>20</v>
          </cell>
          <cell r="AT1375"/>
          <cell r="AU1375" t="str">
            <v/>
          </cell>
          <cell r="AV1375"/>
        </row>
        <row r="1376">
          <cell r="Z1376">
            <v>7031066</v>
          </cell>
          <cell r="AA1376" t="str">
            <v>Harpon f/ 9-5/8" &amp; 13-3/8" csg
2-3/8" IF Box</v>
          </cell>
          <cell r="AB1376">
            <v>50</v>
          </cell>
          <cell r="AC1376">
            <v>5.5</v>
          </cell>
          <cell r="AD1376">
            <v>3380</v>
          </cell>
          <cell r="AE1376" t="str">
            <v>2-3/8" IF Box</v>
          </cell>
          <cell r="AF1376"/>
          <cell r="AG1376"/>
          <cell r="AH1376" t="str">
            <v xml:space="preserve"> en stock </v>
          </cell>
          <cell r="AI1376">
            <v>1</v>
          </cell>
          <cell r="AJ1376">
            <v>0</v>
          </cell>
          <cell r="AK1376">
            <v>0</v>
          </cell>
          <cell r="AL1376"/>
          <cell r="AM1376"/>
          <cell r="AN1376" t="str">
            <v/>
          </cell>
          <cell r="AO1376"/>
          <cell r="AP1376"/>
          <cell r="AQ1376"/>
          <cell r="AR1376"/>
          <cell r="AS1376">
            <v>6</v>
          </cell>
          <cell r="AT1376"/>
          <cell r="AU1376" t="str">
            <v/>
          </cell>
          <cell r="AV1376"/>
        </row>
        <row r="1377">
          <cell r="Z1377">
            <v>8131067</v>
          </cell>
          <cell r="AA1377" t="str">
            <v>XO
2-3/8" IF Pin x 2-3/8" REG Box</v>
          </cell>
          <cell r="AB1377">
            <v>19.642939746299998</v>
          </cell>
          <cell r="AC1377">
            <v>3.25</v>
          </cell>
          <cell r="AD1377">
            <v>520</v>
          </cell>
          <cell r="AE1377" t="str">
            <v>2-3/8" IF Pin</v>
          </cell>
          <cell r="AF1377" t="str">
            <v>2-3/8" REG Box</v>
          </cell>
          <cell r="AG1377"/>
          <cell r="AH1377" t="str">
            <v>sur chantier</v>
          </cell>
          <cell r="AI1377" t="str">
            <v/>
          </cell>
          <cell r="AJ1377">
            <v>1</v>
          </cell>
          <cell r="AK1377">
            <v>0</v>
          </cell>
          <cell r="AL1377"/>
          <cell r="AM1377"/>
          <cell r="AN1377" t="str">
            <v/>
          </cell>
          <cell r="AO1377"/>
          <cell r="AP1377"/>
          <cell r="AQ1377"/>
          <cell r="AR1377"/>
          <cell r="AS1377">
            <v>23</v>
          </cell>
          <cell r="AT1377"/>
          <cell r="AU1377" t="str">
            <v>FR</v>
          </cell>
          <cell r="AV1377"/>
        </row>
        <row r="1378">
          <cell r="Z1378">
            <v>8061066</v>
          </cell>
          <cell r="AA1378" t="str">
            <v>Drill Collar 4-3/4" OD spiralé
3-1/2" IF Pin x Box</v>
          </cell>
          <cell r="AB1378">
            <v>569.9162195402813</v>
          </cell>
          <cell r="AC1378">
            <v>4.75</v>
          </cell>
          <cell r="AD1378">
            <v>8680</v>
          </cell>
          <cell r="AE1378" t="str">
            <v>3-1/2" IF Box BB</v>
          </cell>
          <cell r="AF1378" t="str">
            <v>3-1/2" IF Pin SRG</v>
          </cell>
          <cell r="AG1378"/>
          <cell r="AH1378" t="str">
            <v>maintenance</v>
          </cell>
          <cell r="AI1378" t="str">
            <v/>
          </cell>
          <cell r="AJ1378">
            <v>0</v>
          </cell>
          <cell r="AK1378">
            <v>1</v>
          </cell>
          <cell r="AL1378"/>
          <cell r="AM1378"/>
          <cell r="AN1378" t="str">
            <v/>
          </cell>
          <cell r="AO1378"/>
          <cell r="AP1378"/>
          <cell r="AQ1378"/>
          <cell r="AR1378"/>
          <cell r="AS1378">
            <v>35</v>
          </cell>
          <cell r="AT1378"/>
          <cell r="AU1378" t="str">
            <v/>
          </cell>
          <cell r="AV1378"/>
        </row>
        <row r="1379">
          <cell r="Z1379">
            <v>8061067</v>
          </cell>
          <cell r="AA1379" t="str">
            <v>Drill Collar 4-3/4" OD spiralé
3-1/2" IF Pin x Box</v>
          </cell>
          <cell r="AB1379">
            <v>598.43563981987506</v>
          </cell>
          <cell r="AC1379">
            <v>4.75</v>
          </cell>
          <cell r="AD1379">
            <v>8800</v>
          </cell>
          <cell r="AE1379" t="str">
            <v>3-1/2" IF Box BB</v>
          </cell>
          <cell r="AF1379" t="str">
            <v>3-1/2" IF Pin SRG</v>
          </cell>
          <cell r="AG1379"/>
          <cell r="AH1379" t="str">
            <v>maintenance</v>
          </cell>
          <cell r="AI1379" t="str">
            <v/>
          </cell>
          <cell r="AJ1379">
            <v>0</v>
          </cell>
          <cell r="AK1379">
            <v>1</v>
          </cell>
          <cell r="AL1379"/>
          <cell r="AM1379"/>
          <cell r="AN1379" t="str">
            <v/>
          </cell>
          <cell r="AO1379"/>
          <cell r="AP1379"/>
          <cell r="AQ1379"/>
          <cell r="AR1379"/>
          <cell r="AS1379">
            <v>36</v>
          </cell>
          <cell r="AT1379"/>
          <cell r="AU1379" t="str">
            <v/>
          </cell>
          <cell r="AV1379"/>
        </row>
        <row r="1380">
          <cell r="Z1380">
            <v>8131068</v>
          </cell>
          <cell r="AA1380" t="str">
            <v>XO
6-5/8" REG Pin x 4-1/2" IF Box</v>
          </cell>
          <cell r="AB1380">
            <v>73.96424156214843</v>
          </cell>
          <cell r="AC1380">
            <v>8.0625</v>
          </cell>
          <cell r="AD1380">
            <v>330</v>
          </cell>
          <cell r="AE1380" t="str">
            <v>6-5/8" REG Pin</v>
          </cell>
          <cell r="AF1380" t="str">
            <v>4-1/2" IF Box</v>
          </cell>
          <cell r="AG1380"/>
          <cell r="AH1380" t="str">
            <v>maintenance</v>
          </cell>
          <cell r="AI1380" t="str">
            <v/>
          </cell>
          <cell r="AJ1380">
            <v>0</v>
          </cell>
          <cell r="AK1380">
            <v>1</v>
          </cell>
          <cell r="AL1380"/>
          <cell r="AM1380"/>
          <cell r="AN1380" t="str">
            <v/>
          </cell>
          <cell r="AO1380"/>
          <cell r="AP1380"/>
          <cell r="AQ1380"/>
          <cell r="AR1380"/>
          <cell r="AS1380">
            <v>207</v>
          </cell>
          <cell r="AT1380"/>
          <cell r="AU1380" t="str">
            <v/>
          </cell>
          <cell r="AV1380"/>
        </row>
        <row r="1381">
          <cell r="Z1381">
            <v>5121069</v>
          </cell>
          <cell r="AA1381" t="str">
            <v>WO Top Sub
4-1/2" IF Box x 8-5/8" FJWP Pin x 4-1/2" REG Box in</v>
          </cell>
          <cell r="AB1381">
            <v>108</v>
          </cell>
          <cell r="AC1381">
            <v>8.625</v>
          </cell>
          <cell r="AD1381">
            <v>640</v>
          </cell>
          <cell r="AE1381" t="str">
            <v>4-1/2" IF Box</v>
          </cell>
          <cell r="AF1381" t="str">
            <v>8-5/8" FJWP Pin</v>
          </cell>
          <cell r="AG1381" t="str">
            <v>4-1/2" REG Box</v>
          </cell>
          <cell r="AH1381" t="str">
            <v>maintenance</v>
          </cell>
          <cell r="AI1381" t="str">
            <v/>
          </cell>
          <cell r="AJ1381">
            <v>0</v>
          </cell>
          <cell r="AK1381">
            <v>1</v>
          </cell>
          <cell r="AL1381"/>
          <cell r="AM1381"/>
          <cell r="AN1381">
            <v>5121069</v>
          </cell>
          <cell r="AO1381"/>
          <cell r="AP1381"/>
          <cell r="AQ1381"/>
          <cell r="AR1381"/>
          <cell r="AS1381">
            <v>44</v>
          </cell>
          <cell r="AT1381"/>
          <cell r="AU1381" t="str">
            <v>FR</v>
          </cell>
          <cell r="AV1381"/>
        </row>
        <row r="1382">
          <cell r="Z1382">
            <v>5121070</v>
          </cell>
          <cell r="AA1382" t="str">
            <v>WO Top Sub
4-1/2" IF Box x 10-3/4" FJWP Pin x 6-5/8" REG Box in</v>
          </cell>
          <cell r="AB1382">
            <v>194</v>
          </cell>
          <cell r="AC1382">
            <v>10.75</v>
          </cell>
          <cell r="AD1382">
            <v>710</v>
          </cell>
          <cell r="AE1382" t="str">
            <v>4-1/2" IF Box</v>
          </cell>
          <cell r="AF1382" t="str">
            <v>10-3/4" FJWP Pin</v>
          </cell>
          <cell r="AG1382" t="str">
            <v>6-5/8" REG Box</v>
          </cell>
          <cell r="AH1382" t="str">
            <v xml:space="preserve"> en stock </v>
          </cell>
          <cell r="AI1382">
            <v>1</v>
          </cell>
          <cell r="AJ1382">
            <v>0</v>
          </cell>
          <cell r="AK1382">
            <v>0</v>
          </cell>
          <cell r="AL1382"/>
          <cell r="AM1382"/>
          <cell r="AN1382" t="str">
            <v/>
          </cell>
          <cell r="AO1382"/>
          <cell r="AP1382"/>
          <cell r="AQ1382"/>
          <cell r="AR1382"/>
          <cell r="AS1382">
            <v>45</v>
          </cell>
          <cell r="AT1382"/>
          <cell r="AU1382" t="str">
            <v/>
          </cell>
          <cell r="AV1382"/>
        </row>
        <row r="1383">
          <cell r="Z1383">
            <v>4051071</v>
          </cell>
          <cell r="AA1383" t="str">
            <v>Safety Joint 3-3/8" OD 
2-3/8" IF Pin down x Box up</v>
          </cell>
          <cell r="AB1383">
            <v>27</v>
          </cell>
          <cell r="AC1383">
            <v>3.375</v>
          </cell>
          <cell r="AD1383">
            <v>0</v>
          </cell>
          <cell r="AE1383" t="str">
            <v>2-3/8" IF Box</v>
          </cell>
          <cell r="AF1383" t="str">
            <v>2-3/8" IF Pin</v>
          </cell>
          <cell r="AG1383"/>
          <cell r="AH1383" t="str">
            <v xml:space="preserve"> en stock </v>
          </cell>
          <cell r="AI1383">
            <v>1</v>
          </cell>
          <cell r="AJ1383">
            <v>0</v>
          </cell>
          <cell r="AK1383">
            <v>0</v>
          </cell>
          <cell r="AL1383"/>
          <cell r="AM1383"/>
          <cell r="AN1383">
            <v>4051071</v>
          </cell>
          <cell r="AO1383"/>
          <cell r="AP1383"/>
          <cell r="AQ1383"/>
          <cell r="AR1383"/>
          <cell r="AS1383">
            <v>6</v>
          </cell>
          <cell r="AT1383" t="str">
            <v>405-3,375</v>
          </cell>
          <cell r="AU1383" t="str">
            <v/>
          </cell>
          <cell r="AV1383"/>
        </row>
        <row r="1384">
          <cell r="Z1384">
            <v>4051072</v>
          </cell>
          <cell r="AA1384" t="str">
            <v>Safety Joint 4-3/4" OD 
3-1/2" IF Pin down x Box up</v>
          </cell>
          <cell r="AB1384">
            <v>44</v>
          </cell>
          <cell r="AC1384">
            <v>4.75</v>
          </cell>
          <cell r="AD1384">
            <v>765</v>
          </cell>
          <cell r="AE1384" t="str">
            <v>3-1/2" IF Box</v>
          </cell>
          <cell r="AF1384" t="str">
            <v>3-1/2" IF Pin</v>
          </cell>
          <cell r="AG1384"/>
          <cell r="AH1384" t="str">
            <v>maintenance</v>
          </cell>
          <cell r="AI1384" t="str">
            <v/>
          </cell>
          <cell r="AJ1384">
            <v>0</v>
          </cell>
          <cell r="AK1384">
            <v>1</v>
          </cell>
          <cell r="AL1384"/>
          <cell r="AM1384"/>
          <cell r="AN1384">
            <v>4051072</v>
          </cell>
          <cell r="AO1384"/>
          <cell r="AP1384"/>
          <cell r="AQ1384"/>
          <cell r="AR1384"/>
          <cell r="AS1384">
            <v>9</v>
          </cell>
          <cell r="AT1384" t="str">
            <v>405-4,750</v>
          </cell>
          <cell r="AU1384" t="str">
            <v/>
          </cell>
          <cell r="AV1384"/>
        </row>
        <row r="1385">
          <cell r="Z1385">
            <v>4051073</v>
          </cell>
          <cell r="AA1385" t="str">
            <v>Safety Joint 6 1/8" OD 
4-1/2" IF Pin down x Box up</v>
          </cell>
          <cell r="AB1385">
            <v>110</v>
          </cell>
          <cell r="AC1385">
            <v>6.125</v>
          </cell>
          <cell r="AD1385">
            <v>1220</v>
          </cell>
          <cell r="AE1385" t="str">
            <v>4-1/2" IF Box</v>
          </cell>
          <cell r="AF1385" t="str">
            <v>4-1/2" IF Pin</v>
          </cell>
          <cell r="AG1385"/>
          <cell r="AH1385" t="str">
            <v xml:space="preserve"> en stock </v>
          </cell>
          <cell r="AI1385">
            <v>1</v>
          </cell>
          <cell r="AJ1385">
            <v>0</v>
          </cell>
          <cell r="AK1385">
            <v>0</v>
          </cell>
          <cell r="AL1385"/>
          <cell r="AM1385"/>
          <cell r="AN1385">
            <v>4051073</v>
          </cell>
          <cell r="AO1385"/>
          <cell r="AP1385"/>
          <cell r="AQ1385"/>
          <cell r="AR1385"/>
          <cell r="AS1385">
            <v>16</v>
          </cell>
          <cell r="AT1385" t="str">
            <v>405-6,125</v>
          </cell>
          <cell r="AU1385" t="str">
            <v/>
          </cell>
          <cell r="AV1385"/>
        </row>
        <row r="1386">
          <cell r="Z1386">
            <v>4051074</v>
          </cell>
          <cell r="AA1386" t="str">
            <v>Safety Joint 3-3/8" OD 
2-3/8" IF Pin down x Box up</v>
          </cell>
          <cell r="AB1386">
            <v>27</v>
          </cell>
          <cell r="AC1386">
            <v>3.375</v>
          </cell>
          <cell r="AD1386">
            <v>0</v>
          </cell>
          <cell r="AE1386" t="str">
            <v>2-3/8" IF Box</v>
          </cell>
          <cell r="AF1386" t="str">
            <v>2-3/8" IF Pin</v>
          </cell>
          <cell r="AG1386"/>
          <cell r="AH1386" t="str">
            <v xml:space="preserve"> en stock </v>
          </cell>
          <cell r="AI1386">
            <v>1</v>
          </cell>
          <cell r="AJ1386">
            <v>0</v>
          </cell>
          <cell r="AK1386">
            <v>0</v>
          </cell>
          <cell r="AL1386"/>
          <cell r="AM1386"/>
          <cell r="AN1386">
            <v>4051074</v>
          </cell>
          <cell r="AO1386"/>
          <cell r="AP1386"/>
          <cell r="AQ1386"/>
          <cell r="AR1386"/>
          <cell r="AS1386">
            <v>7</v>
          </cell>
          <cell r="AT1386" t="str">
            <v>405-3,375</v>
          </cell>
          <cell r="AU1386" t="str">
            <v/>
          </cell>
          <cell r="AV1386"/>
        </row>
        <row r="1387">
          <cell r="Z1387">
            <v>4051075</v>
          </cell>
          <cell r="AA1387" t="str">
            <v>Safety Joint 4-3/4" OD 
3-1/2" IF Pin down x Box up</v>
          </cell>
          <cell r="AB1387">
            <v>44</v>
          </cell>
          <cell r="AC1387">
            <v>4.75</v>
          </cell>
          <cell r="AD1387">
            <v>765</v>
          </cell>
          <cell r="AE1387" t="str">
            <v>3-1/2" IF Box</v>
          </cell>
          <cell r="AF1387" t="str">
            <v>3-1/2" IF Pin</v>
          </cell>
          <cell r="AG1387"/>
          <cell r="AH1387" t="str">
            <v xml:space="preserve"> en stock </v>
          </cell>
          <cell r="AI1387">
            <v>1</v>
          </cell>
          <cell r="AJ1387">
            <v>0</v>
          </cell>
          <cell r="AK1387">
            <v>0</v>
          </cell>
          <cell r="AL1387"/>
          <cell r="AM1387"/>
          <cell r="AN1387">
            <v>4051075</v>
          </cell>
          <cell r="AO1387"/>
          <cell r="AP1387"/>
          <cell r="AQ1387"/>
          <cell r="AR1387"/>
          <cell r="AS1387">
            <v>10</v>
          </cell>
          <cell r="AT1387" t="str">
            <v>405-4,750</v>
          </cell>
          <cell r="AU1387" t="str">
            <v/>
          </cell>
          <cell r="AV1387"/>
        </row>
        <row r="1388">
          <cell r="Z1388">
            <v>5111076</v>
          </cell>
          <cell r="AA1388" t="str">
            <v>WO Shoe
4-1/2" FJWP Box</v>
          </cell>
          <cell r="AB1388"/>
          <cell r="AC1388"/>
          <cell r="AD1388"/>
          <cell r="AE1388"/>
          <cell r="AF1388"/>
          <cell r="AG1388"/>
          <cell r="AH1388" t="str">
            <v>en stock</v>
          </cell>
          <cell r="AI1388"/>
          <cell r="AJ1388"/>
          <cell r="AK1388"/>
          <cell r="AL1388"/>
          <cell r="AM1388"/>
          <cell r="AN1388" t="str">
            <v/>
          </cell>
          <cell r="AO1388"/>
          <cell r="AP1388"/>
          <cell r="AQ1388"/>
          <cell r="AR1388"/>
          <cell r="AS1388"/>
          <cell r="AT1388"/>
          <cell r="AU1388" t="str">
            <v>FR</v>
          </cell>
          <cell r="AV1388"/>
        </row>
        <row r="1389">
          <cell r="Z1389">
            <v>5111077</v>
          </cell>
          <cell r="AA1389" t="str">
            <v>WO Shoe
4-1/2" FJWP Box</v>
          </cell>
          <cell r="AB1389"/>
          <cell r="AC1389"/>
          <cell r="AD1389"/>
          <cell r="AE1389"/>
          <cell r="AF1389"/>
          <cell r="AG1389"/>
          <cell r="AH1389" t="str">
            <v>en stock</v>
          </cell>
          <cell r="AI1389"/>
          <cell r="AJ1389"/>
          <cell r="AK1389"/>
          <cell r="AL1389"/>
          <cell r="AM1389"/>
          <cell r="AN1389" t="str">
            <v/>
          </cell>
          <cell r="AO1389"/>
          <cell r="AP1389"/>
          <cell r="AQ1389"/>
          <cell r="AR1389"/>
          <cell r="AS1389"/>
          <cell r="AT1389"/>
          <cell r="AU1389" t="str">
            <v>FR</v>
          </cell>
          <cell r="AV1389"/>
        </row>
        <row r="1390">
          <cell r="Z1390">
            <v>5111078</v>
          </cell>
          <cell r="AA1390" t="str">
            <v>WO Shoe
5-1/2" FJWP Box</v>
          </cell>
          <cell r="AB1390">
            <v>17</v>
          </cell>
          <cell r="AC1390">
            <v>5.875</v>
          </cell>
          <cell r="AD1390">
            <v>560</v>
          </cell>
          <cell r="AE1390" t="str">
            <v>5-1/2" FJWP Box</v>
          </cell>
          <cell r="AF1390"/>
          <cell r="AG1390" t="str">
            <v>CC</v>
          </cell>
          <cell r="AH1390" t="str">
            <v xml:space="preserve"> en stock </v>
          </cell>
          <cell r="AI1390">
            <v>1</v>
          </cell>
          <cell r="AJ1390">
            <v>0</v>
          </cell>
          <cell r="AK1390">
            <v>0</v>
          </cell>
          <cell r="AL1390"/>
          <cell r="AM1390"/>
          <cell r="AN1390" t="str">
            <v/>
          </cell>
          <cell r="AO1390"/>
          <cell r="AP1390"/>
          <cell r="AQ1390"/>
          <cell r="AR1390"/>
          <cell r="AS1390">
            <v>108</v>
          </cell>
          <cell r="AT1390"/>
          <cell r="AU1390" t="str">
            <v>FR</v>
          </cell>
          <cell r="AV1390"/>
        </row>
        <row r="1391">
          <cell r="Z1391">
            <v>5111079</v>
          </cell>
          <cell r="AA1391" t="str">
            <v>WO Shoe
5-1/2" FJWP Box</v>
          </cell>
          <cell r="AB1391">
            <v>17</v>
          </cell>
          <cell r="AC1391">
            <v>6.125</v>
          </cell>
          <cell r="AD1391">
            <v>0</v>
          </cell>
          <cell r="AE1391" t="str">
            <v>5-1/2" FJWP Box</v>
          </cell>
          <cell r="AF1391"/>
          <cell r="AG1391" t="str">
            <v>CC</v>
          </cell>
          <cell r="AH1391" t="str">
            <v>maintenance</v>
          </cell>
          <cell r="AI1391" t="str">
            <v/>
          </cell>
          <cell r="AJ1391">
            <v>0</v>
          </cell>
          <cell r="AK1391">
            <v>1</v>
          </cell>
          <cell r="AL1391"/>
          <cell r="AM1391"/>
          <cell r="AN1391" t="str">
            <v/>
          </cell>
          <cell r="AO1391"/>
          <cell r="AP1391"/>
          <cell r="AQ1391"/>
          <cell r="AR1391"/>
          <cell r="AS1391">
            <v>109</v>
          </cell>
          <cell r="AT1391"/>
          <cell r="AU1391" t="str">
            <v>FR</v>
          </cell>
          <cell r="AV1391"/>
        </row>
        <row r="1392">
          <cell r="Z1392">
            <v>5111080</v>
          </cell>
          <cell r="AA1392" t="str">
            <v>WO Shoe
5-1/2" FJWP Box</v>
          </cell>
          <cell r="AB1392">
            <v>17</v>
          </cell>
          <cell r="AC1392">
            <v>6.125</v>
          </cell>
          <cell r="AD1392">
            <v>610</v>
          </cell>
          <cell r="AE1392" t="str">
            <v>5-1/2" FJWP Box</v>
          </cell>
          <cell r="AF1392"/>
          <cell r="AG1392" t="str">
            <v>CC</v>
          </cell>
          <cell r="AH1392" t="str">
            <v xml:space="preserve"> en stock </v>
          </cell>
          <cell r="AI1392">
            <v>1</v>
          </cell>
          <cell r="AJ1392">
            <v>0</v>
          </cell>
          <cell r="AK1392">
            <v>0</v>
          </cell>
          <cell r="AL1392"/>
          <cell r="AM1392"/>
          <cell r="AN1392" t="str">
            <v/>
          </cell>
          <cell r="AO1392"/>
          <cell r="AP1392"/>
          <cell r="AQ1392"/>
          <cell r="AR1392"/>
          <cell r="AS1392">
            <v>110</v>
          </cell>
          <cell r="AT1392"/>
          <cell r="AU1392" t="str">
            <v>FR</v>
          </cell>
          <cell r="AV1392"/>
        </row>
        <row r="1393">
          <cell r="Z1393">
            <v>5111081</v>
          </cell>
          <cell r="AA1393" t="str">
            <v>WO Shoe
5-1/2" FJWP Box</v>
          </cell>
          <cell r="AB1393">
            <v>17</v>
          </cell>
          <cell r="AC1393">
            <v>6.125</v>
          </cell>
          <cell r="AD1393">
            <v>550</v>
          </cell>
          <cell r="AE1393" t="str">
            <v>5-1/2" FJWP Box</v>
          </cell>
          <cell r="AF1393"/>
          <cell r="AG1393" t="str">
            <v>CC</v>
          </cell>
          <cell r="AH1393" t="str">
            <v xml:space="preserve"> en stock </v>
          </cell>
          <cell r="AI1393">
            <v>1</v>
          </cell>
          <cell r="AJ1393">
            <v>0</v>
          </cell>
          <cell r="AK1393">
            <v>0</v>
          </cell>
          <cell r="AL1393"/>
          <cell r="AM1393"/>
          <cell r="AN1393" t="str">
            <v/>
          </cell>
          <cell r="AO1393"/>
          <cell r="AP1393"/>
          <cell r="AQ1393"/>
          <cell r="AR1393"/>
          <cell r="AS1393">
            <v>111</v>
          </cell>
          <cell r="AT1393"/>
          <cell r="AU1393" t="str">
            <v>FR</v>
          </cell>
          <cell r="AV1393"/>
        </row>
        <row r="1394">
          <cell r="Z1394">
            <v>4021084</v>
          </cell>
          <cell r="AA1394" t="str">
            <v xml:space="preserve">Bumper Sub 3-5/32" OD
2-3/8" REG Pin down x Box up </v>
          </cell>
          <cell r="AB1394">
            <v>42</v>
          </cell>
          <cell r="AC1394">
            <v>3.15625</v>
          </cell>
          <cell r="AD1394">
            <v>1370</v>
          </cell>
          <cell r="AE1394" t="str">
            <v>2-3/8" REG Box</v>
          </cell>
          <cell r="AF1394" t="str">
            <v>2-3/8" REG Pin</v>
          </cell>
          <cell r="AG1394"/>
          <cell r="AH1394" t="str">
            <v>maintenance</v>
          </cell>
          <cell r="AI1394" t="str">
            <v/>
          </cell>
          <cell r="AJ1394">
            <v>0</v>
          </cell>
          <cell r="AK1394">
            <v>1</v>
          </cell>
          <cell r="AL1394"/>
          <cell r="AM1394"/>
          <cell r="AN1394">
            <v>4021084</v>
          </cell>
          <cell r="AO1394"/>
          <cell r="AP1394"/>
          <cell r="AQ1394"/>
          <cell r="AR1394"/>
          <cell r="AS1394">
            <v>7</v>
          </cell>
          <cell r="AT1394" t="str">
            <v>402-3,156</v>
          </cell>
          <cell r="AU1394" t="str">
            <v/>
          </cell>
          <cell r="AV1394"/>
        </row>
        <row r="1395">
          <cell r="Z1395">
            <v>4031085</v>
          </cell>
          <cell r="AA1395" t="str">
            <v>Jar Z 3-1/8" 
2-3/8" REG Pin down x Box up</v>
          </cell>
          <cell r="AB1395">
            <v>60</v>
          </cell>
          <cell r="AC1395">
            <v>3.125</v>
          </cell>
          <cell r="AD1395">
            <v>1900</v>
          </cell>
          <cell r="AE1395" t="str">
            <v>2-3/8" REG Box</v>
          </cell>
          <cell r="AF1395" t="str">
            <v>2-3/8" REG Pin</v>
          </cell>
          <cell r="AG1395"/>
          <cell r="AH1395" t="str">
            <v>sur chantier</v>
          </cell>
          <cell r="AI1395" t="str">
            <v/>
          </cell>
          <cell r="AJ1395">
            <v>1</v>
          </cell>
          <cell r="AK1395">
            <v>0</v>
          </cell>
          <cell r="AL1395"/>
          <cell r="AM1395"/>
          <cell r="AN1395">
            <v>4031085</v>
          </cell>
          <cell r="AO1395"/>
          <cell r="AP1395"/>
          <cell r="AQ1395"/>
          <cell r="AR1395"/>
          <cell r="AS1395">
            <v>7</v>
          </cell>
          <cell r="AT1395" t="str">
            <v>403-3,125</v>
          </cell>
          <cell r="AU1395" t="str">
            <v/>
          </cell>
          <cell r="AV1395"/>
        </row>
        <row r="1396">
          <cell r="Z1396">
            <v>8131086</v>
          </cell>
          <cell r="AA1396" t="str">
            <v>XO
2-3/8" IF Pin x 3-1/2" IF Box</v>
          </cell>
          <cell r="AB1396">
            <v>0</v>
          </cell>
          <cell r="AC1396">
            <v>4.75</v>
          </cell>
          <cell r="AD1396">
            <v>635</v>
          </cell>
          <cell r="AE1396" t="str">
            <v>2-3/8" IF Pin</v>
          </cell>
          <cell r="AF1396" t="str">
            <v>3-1/2" IF Box</v>
          </cell>
          <cell r="AG1396"/>
          <cell r="AH1396" t="str">
            <v>sur chantier</v>
          </cell>
          <cell r="AI1396" t="str">
            <v/>
          </cell>
          <cell r="AJ1396">
            <v>1</v>
          </cell>
          <cell r="AK1396">
            <v>0</v>
          </cell>
          <cell r="AL1396"/>
          <cell r="AM1396"/>
          <cell r="AN1396">
            <v>8131086</v>
          </cell>
          <cell r="AO1396"/>
          <cell r="AP1396"/>
          <cell r="AQ1396"/>
          <cell r="AR1396"/>
          <cell r="AS1396">
            <v>36</v>
          </cell>
          <cell r="AT1396"/>
          <cell r="AU1396" t="str">
            <v>FR</v>
          </cell>
          <cell r="AV1396"/>
        </row>
        <row r="1397">
          <cell r="Z1397">
            <v>8021087</v>
          </cell>
          <cell r="AA1397" t="str">
            <v>Bit Sub
2-3/8" IF Box x 2-3/8" REG Box BF</v>
          </cell>
          <cell r="AB1397">
            <v>26.997931891124995</v>
          </cell>
          <cell r="AC1397">
            <v>3.375</v>
          </cell>
          <cell r="AD1397">
            <v>600</v>
          </cell>
          <cell r="AE1397" t="str">
            <v>2-3/8" IF Box</v>
          </cell>
          <cell r="AF1397" t="str">
            <v>2-3/8" REG Box BF</v>
          </cell>
          <cell r="AG1397"/>
          <cell r="AH1397" t="str">
            <v>maintenance</v>
          </cell>
          <cell r="AI1397" t="str">
            <v/>
          </cell>
          <cell r="AJ1397">
            <v>0</v>
          </cell>
          <cell r="AK1397">
            <v>1</v>
          </cell>
          <cell r="AL1397"/>
          <cell r="AM1397"/>
          <cell r="AN1397">
            <v>8131087</v>
          </cell>
          <cell r="AO1397"/>
          <cell r="AP1397"/>
          <cell r="AQ1397"/>
          <cell r="AR1397"/>
          <cell r="AS1397">
            <v>10</v>
          </cell>
          <cell r="AT1397"/>
          <cell r="AU1397" t="str">
            <v>FR</v>
          </cell>
          <cell r="AV1397"/>
        </row>
        <row r="1398">
          <cell r="Z1398">
            <v>6041086</v>
          </cell>
          <cell r="AA1398" t="str">
            <v>UBHO 9-3/8" OD
7-5/8" REG Pin x Box</v>
          </cell>
          <cell r="AB1398">
            <v>270</v>
          </cell>
          <cell r="AC1398">
            <v>9.375</v>
          </cell>
          <cell r="AD1398">
            <v>890</v>
          </cell>
          <cell r="AE1398" t="str">
            <v>7-5/8" REG Box</v>
          </cell>
          <cell r="AF1398" t="str">
            <v>7-5/8" REG Pin</v>
          </cell>
          <cell r="AG1398"/>
          <cell r="AH1398" t="str">
            <v>maintenance</v>
          </cell>
          <cell r="AI1398" t="str">
            <v/>
          </cell>
          <cell r="AJ1398">
            <v>0</v>
          </cell>
          <cell r="AK1398">
            <v>1</v>
          </cell>
          <cell r="AL1398"/>
          <cell r="AM1398"/>
          <cell r="AN1398">
            <v>6041086</v>
          </cell>
          <cell r="AO1398"/>
          <cell r="AP1398"/>
          <cell r="AQ1398"/>
          <cell r="AR1398"/>
          <cell r="AS1398">
            <v>35</v>
          </cell>
          <cell r="AT1398"/>
          <cell r="AU1398" t="str">
            <v>FR</v>
          </cell>
          <cell r="AV1398"/>
        </row>
        <row r="1399">
          <cell r="Z1399">
            <v>8081087</v>
          </cell>
          <cell r="AA1399" t="str">
            <v>Float Sub 9-3/8" Lg 1065 mm
7-5/8" REG Pin x 6-5/8" REG Box BF (5F-6R)</v>
          </cell>
          <cell r="AB1399">
            <v>331.89957566524691</v>
          </cell>
          <cell r="AC1399">
            <v>9.375</v>
          </cell>
          <cell r="AD1399">
            <v>1065</v>
          </cell>
          <cell r="AE1399" t="str">
            <v>6-5/8" REG Box BF</v>
          </cell>
          <cell r="AF1399" t="str">
            <v>7-5/8" REG Pin</v>
          </cell>
          <cell r="AG1399" t="str">
            <v>5F-6R</v>
          </cell>
          <cell r="AH1399" t="str">
            <v>sur chantier</v>
          </cell>
          <cell r="AI1399" t="str">
            <v/>
          </cell>
          <cell r="AJ1399">
            <v>1</v>
          </cell>
          <cell r="AK1399">
            <v>0</v>
          </cell>
          <cell r="AL1399"/>
          <cell r="AM1399"/>
          <cell r="AN1399">
            <v>8081087</v>
          </cell>
          <cell r="AO1399"/>
          <cell r="AP1399"/>
          <cell r="AQ1399"/>
          <cell r="AR1399"/>
          <cell r="AS1399">
            <v>40</v>
          </cell>
          <cell r="AT1399"/>
          <cell r="AU1399" t="str">
            <v>FR</v>
          </cell>
          <cell r="AV1399"/>
        </row>
        <row r="1400">
          <cell r="Z1400">
            <v>8081088</v>
          </cell>
          <cell r="AA1400" t="str">
            <v>Float Sub 9-3/8" Lg 1065 mm
7-5/8" REG Pin x 6-5/8" REG Box BF (5F-6R)</v>
          </cell>
          <cell r="AB1400">
            <v>331.89957566524691</v>
          </cell>
          <cell r="AC1400">
            <v>9.375</v>
          </cell>
          <cell r="AD1400">
            <v>1065</v>
          </cell>
          <cell r="AE1400" t="str">
            <v>6-5/8" REG Box BF</v>
          </cell>
          <cell r="AF1400" t="str">
            <v>7-5/8" REG Pin</v>
          </cell>
          <cell r="AG1400" t="str">
            <v>5F-6R</v>
          </cell>
          <cell r="AH1400" t="str">
            <v>maintenance</v>
          </cell>
          <cell r="AI1400" t="str">
            <v/>
          </cell>
          <cell r="AJ1400">
            <v>0</v>
          </cell>
          <cell r="AK1400">
            <v>1</v>
          </cell>
          <cell r="AL1400"/>
          <cell r="AM1400"/>
          <cell r="AN1400">
            <v>8081088</v>
          </cell>
          <cell r="AO1400"/>
          <cell r="AP1400"/>
          <cell r="AQ1400"/>
          <cell r="AR1400"/>
          <cell r="AS1400">
            <v>42</v>
          </cell>
          <cell r="AT1400"/>
          <cell r="AU1400" t="str">
            <v>FR</v>
          </cell>
          <cell r="AV1400"/>
        </row>
        <row r="1401">
          <cell r="Z1401">
            <v>7121089</v>
          </cell>
          <cell r="AA1401" t="str">
            <v>Releasing Spear 1-7/8" OD Mandrel CA 1344
2-3/8" REG Box</v>
          </cell>
          <cell r="AB1401">
            <v>0</v>
          </cell>
          <cell r="AC1401">
            <v>1.875</v>
          </cell>
          <cell r="AD1401" t="str">
            <v>CA 1344</v>
          </cell>
          <cell r="AE1401" t="str">
            <v>2-3/8' REG Box</v>
          </cell>
          <cell r="AF1401" t="str">
            <v>mandrel seul</v>
          </cell>
          <cell r="AG1401"/>
          <cell r="AH1401" t="str">
            <v xml:space="preserve"> en stock </v>
          </cell>
          <cell r="AI1401">
            <v>1</v>
          </cell>
          <cell r="AJ1401">
            <v>0</v>
          </cell>
          <cell r="AK1401">
            <v>0</v>
          </cell>
          <cell r="AL1401"/>
          <cell r="AM1401"/>
          <cell r="AN1401">
            <v>7121089</v>
          </cell>
          <cell r="AO1401"/>
          <cell r="AP1401"/>
          <cell r="AQ1401"/>
          <cell r="AR1401"/>
          <cell r="AS1401">
            <v>6</v>
          </cell>
          <cell r="AT1401"/>
          <cell r="AU1401" t="str">
            <v>CA</v>
          </cell>
          <cell r="AV1401"/>
        </row>
        <row r="1402">
          <cell r="Z1402">
            <v>110</v>
          </cell>
          <cell r="AA1402" t="str">
            <v>Drilling Jar Hydro Méca 8-1/8" OD
6-5/8" REG Pin down x Box up</v>
          </cell>
          <cell r="AB1402">
            <v>1086</v>
          </cell>
          <cell r="AC1402">
            <v>8</v>
          </cell>
          <cell r="AD1402">
            <v>5530</v>
          </cell>
          <cell r="AE1402" t="str">
            <v>6-5/8" REG Box</v>
          </cell>
          <cell r="AF1402" t="str">
            <v>6-5/8" REG Pin</v>
          </cell>
          <cell r="AG1402"/>
          <cell r="AH1402" t="str">
            <v>sur chantier</v>
          </cell>
          <cell r="AI1402" t="str">
            <v/>
          </cell>
          <cell r="AJ1402">
            <v>1</v>
          </cell>
          <cell r="AK1402">
            <v>0</v>
          </cell>
          <cell r="AL1402"/>
          <cell r="AM1402"/>
          <cell r="AN1402">
            <v>4018000004</v>
          </cell>
          <cell r="AO1402"/>
          <cell r="AP1402"/>
          <cell r="AQ1402"/>
          <cell r="AR1402"/>
          <cell r="AS1402">
            <v>26</v>
          </cell>
          <cell r="AT1402" t="str">
            <v>401-8,000HM</v>
          </cell>
          <cell r="AU1402" t="str">
            <v/>
          </cell>
          <cell r="AV1402"/>
        </row>
        <row r="1403">
          <cell r="Z1403">
            <v>1031090</v>
          </cell>
          <cell r="AA1403" t="str">
            <v>Casing Scraper 7-7/8" OD Body
4-1/2" REG Pin x 4-1/2" REG Box</v>
          </cell>
          <cell r="AB1403">
            <v>0</v>
          </cell>
          <cell r="AC1403">
            <v>7.875</v>
          </cell>
          <cell r="AD1403">
            <v>0</v>
          </cell>
          <cell r="AE1403" t="str">
            <v>4-1/2" REG Pin</v>
          </cell>
          <cell r="AF1403" t="str">
            <v>4-1/2" REG Box</v>
          </cell>
          <cell r="AG1403"/>
          <cell r="AH1403" t="str">
            <v xml:space="preserve"> en stock </v>
          </cell>
          <cell r="AI1403">
            <v>1</v>
          </cell>
          <cell r="AJ1403">
            <v>0</v>
          </cell>
          <cell r="AK1403">
            <v>0</v>
          </cell>
          <cell r="AL1403"/>
          <cell r="AM1403"/>
          <cell r="AN1403">
            <v>1031090</v>
          </cell>
          <cell r="AO1403"/>
          <cell r="AP1403"/>
          <cell r="AQ1403"/>
          <cell r="AR1403"/>
          <cell r="AS1403">
            <v>18</v>
          </cell>
          <cell r="AT1403"/>
          <cell r="AU1403" t="str">
            <v>FR</v>
          </cell>
          <cell r="AV1403"/>
        </row>
        <row r="1404">
          <cell r="Z1404" t="str">
            <v>6081091M</v>
          </cell>
          <cell r="AA1404" t="str">
            <v>NMDC 6-1/2" for MWD
4-1/2" IF Pin x Box</v>
          </cell>
          <cell r="AB1404">
            <v>1091.5312008042001</v>
          </cell>
          <cell r="AC1404">
            <v>6.5</v>
          </cell>
          <cell r="AD1404">
            <v>8720</v>
          </cell>
          <cell r="AE1404" t="str">
            <v>4-1/2" IF Box</v>
          </cell>
          <cell r="AF1404" t="str">
            <v>4-1/2" IF Pin</v>
          </cell>
          <cell r="AG1404"/>
          <cell r="AH1404" t="str">
            <v>maintenance</v>
          </cell>
          <cell r="AI1404" t="str">
            <v/>
          </cell>
          <cell r="AJ1404">
            <v>0</v>
          </cell>
          <cell r="AK1404">
            <v>1</v>
          </cell>
          <cell r="AL1404"/>
          <cell r="AM1404"/>
          <cell r="AN1404">
            <v>6081091</v>
          </cell>
          <cell r="AO1404"/>
          <cell r="AP1404"/>
          <cell r="AQ1404"/>
          <cell r="AR1404"/>
          <cell r="AS1404">
            <v>23</v>
          </cell>
          <cell r="AT1404"/>
          <cell r="AU1404" t="str">
            <v/>
          </cell>
          <cell r="AV1404"/>
        </row>
        <row r="1405">
          <cell r="Z1405" t="str">
            <v>6081092M</v>
          </cell>
          <cell r="AA1405" t="str">
            <v>NMDC 9-1/4" for MWD
7-5/8" REG Pin x Box</v>
          </cell>
          <cell r="AB1405">
            <v>2397.1497056910002</v>
          </cell>
          <cell r="AC1405">
            <v>9.25</v>
          </cell>
          <cell r="AD1405">
            <v>8990</v>
          </cell>
          <cell r="AE1405" t="str">
            <v>7-5/8" Reg Box BB</v>
          </cell>
          <cell r="AF1405" t="str">
            <v>7-5/8" REG Pin SRG</v>
          </cell>
          <cell r="AG1405"/>
          <cell r="AH1405" t="str">
            <v>sur chantier</v>
          </cell>
          <cell r="AI1405" t="str">
            <v/>
          </cell>
          <cell r="AJ1405">
            <v>1</v>
          </cell>
          <cell r="AK1405">
            <v>0</v>
          </cell>
          <cell r="AL1405"/>
          <cell r="AM1405"/>
          <cell r="AN1405">
            <v>6081092</v>
          </cell>
          <cell r="AO1405"/>
          <cell r="AP1405"/>
          <cell r="AQ1405"/>
          <cell r="AR1405"/>
          <cell r="AS1405">
            <v>38</v>
          </cell>
          <cell r="AT1405"/>
          <cell r="AU1405" t="str">
            <v/>
          </cell>
          <cell r="AV1405"/>
        </row>
        <row r="1406">
          <cell r="Z1406" t="str">
            <v>6081093M</v>
          </cell>
          <cell r="AA1406" t="str">
            <v>NMDC 9-1/2" for MWD
7-5/8" REG Pin x Box</v>
          </cell>
          <cell r="AB1406">
            <v>2660.5739711801252</v>
          </cell>
          <cell r="AC1406">
            <v>9.5</v>
          </cell>
          <cell r="AD1406">
            <v>9330</v>
          </cell>
          <cell r="AE1406" t="str">
            <v>7-5/8" Reg Box BB</v>
          </cell>
          <cell r="AF1406" t="str">
            <v>7-5/8" REG Pin SRG</v>
          </cell>
          <cell r="AG1406"/>
          <cell r="AH1406" t="str">
            <v xml:space="preserve"> en stock </v>
          </cell>
          <cell r="AI1406">
            <v>1</v>
          </cell>
          <cell r="AJ1406">
            <v>0</v>
          </cell>
          <cell r="AK1406">
            <v>0</v>
          </cell>
          <cell r="AL1406"/>
          <cell r="AM1406"/>
          <cell r="AN1406">
            <v>6081093</v>
          </cell>
          <cell r="AO1406"/>
          <cell r="AP1406"/>
          <cell r="AQ1406"/>
          <cell r="AR1406"/>
          <cell r="AS1406">
            <v>39</v>
          </cell>
          <cell r="AT1406"/>
          <cell r="AU1406" t="str">
            <v/>
          </cell>
          <cell r="AV1406"/>
        </row>
        <row r="1407">
          <cell r="Z1407">
            <v>8021094</v>
          </cell>
          <cell r="AA1407"/>
          <cell r="AB1407"/>
          <cell r="AC1407"/>
          <cell r="AD1407"/>
          <cell r="AE1407"/>
          <cell r="AF1407"/>
          <cell r="AG1407"/>
          <cell r="AH1407" t="str">
            <v>en stock</v>
          </cell>
          <cell r="AI1407"/>
          <cell r="AJ1407"/>
          <cell r="AK1407"/>
          <cell r="AL1407"/>
          <cell r="AM1407"/>
          <cell r="AN1407" t="str">
            <v/>
          </cell>
          <cell r="AO1407"/>
          <cell r="AP1407"/>
          <cell r="AQ1407"/>
          <cell r="AR1407"/>
          <cell r="AS1407"/>
          <cell r="AT1407"/>
          <cell r="AU1407" t="str">
            <v>FR</v>
          </cell>
          <cell r="AV1407"/>
        </row>
        <row r="1408">
          <cell r="Z1408">
            <v>6041095</v>
          </cell>
          <cell r="AA1408" t="str">
            <v>UBHO 8" OD
6-5/8" REG Pin x Box</v>
          </cell>
          <cell r="AB1408">
            <v>184</v>
          </cell>
          <cell r="AC1408">
            <v>8</v>
          </cell>
          <cell r="AD1408">
            <v>880</v>
          </cell>
          <cell r="AE1408" t="str">
            <v>6-5/8" REG Box</v>
          </cell>
          <cell r="AF1408" t="str">
            <v>6-5/8" REG Pin</v>
          </cell>
          <cell r="AG1408"/>
          <cell r="AH1408" t="str">
            <v>maintenance</v>
          </cell>
          <cell r="AI1408" t="str">
            <v/>
          </cell>
          <cell r="AJ1408">
            <v>0</v>
          </cell>
          <cell r="AK1408">
            <v>1</v>
          </cell>
          <cell r="AL1408"/>
          <cell r="AM1408"/>
          <cell r="AN1408">
            <v>6041095</v>
          </cell>
          <cell r="AO1408"/>
          <cell r="AP1408"/>
          <cell r="AQ1408"/>
          <cell r="AR1408"/>
          <cell r="AS1408">
            <v>28</v>
          </cell>
          <cell r="AT1408"/>
          <cell r="AU1408" t="str">
            <v>FR</v>
          </cell>
          <cell r="AV1408"/>
        </row>
        <row r="1409">
          <cell r="Z1409">
            <v>8131096</v>
          </cell>
          <cell r="AA1409" t="str">
            <v>XO
6-5/8" REG Pin SRG x 6-5/8" REG Pin</v>
          </cell>
          <cell r="AB1409">
            <v>147.74176903200001</v>
          </cell>
          <cell r="AC1409">
            <v>8</v>
          </cell>
          <cell r="AD1409">
            <v>680</v>
          </cell>
          <cell r="AE1409" t="str">
            <v>6-5/8" REG Pin SRG</v>
          </cell>
          <cell r="AF1409" t="str">
            <v>6-5/8" REG Pin</v>
          </cell>
          <cell r="AG1409"/>
          <cell r="AH1409" t="str">
            <v>maintenance</v>
          </cell>
          <cell r="AI1409" t="str">
            <v/>
          </cell>
          <cell r="AJ1409">
            <v>0</v>
          </cell>
          <cell r="AK1409">
            <v>1</v>
          </cell>
          <cell r="AL1409"/>
          <cell r="AM1409"/>
          <cell r="AN1409" t="str">
            <v/>
          </cell>
          <cell r="AO1409"/>
          <cell r="AP1409"/>
          <cell r="AQ1409"/>
          <cell r="AR1409"/>
          <cell r="AS1409">
            <v>214</v>
          </cell>
          <cell r="AT1409"/>
          <cell r="AU1409" t="str">
            <v>FR</v>
          </cell>
          <cell r="AV1409"/>
        </row>
        <row r="1410">
          <cell r="Z1410">
            <v>5071097</v>
          </cell>
          <cell r="AA1410" t="str">
            <v>Super Junk Mill 
7-5/8" REG Pin</v>
          </cell>
          <cell r="AB1410">
            <v>0</v>
          </cell>
          <cell r="AC1410">
            <v>17.25</v>
          </cell>
          <cell r="AD1410">
            <v>780</v>
          </cell>
          <cell r="AE1410" t="str">
            <v>7-5/8" REG Pin</v>
          </cell>
          <cell r="AF1410"/>
          <cell r="AG1410">
            <v>0</v>
          </cell>
          <cell r="AH1410" t="str">
            <v>maintenance</v>
          </cell>
          <cell r="AI1410" t="str">
            <v/>
          </cell>
          <cell r="AJ1410">
            <v>0</v>
          </cell>
          <cell r="AK1410">
            <v>1</v>
          </cell>
          <cell r="AL1410"/>
          <cell r="AM1410"/>
          <cell r="AN1410">
            <v>5071097</v>
          </cell>
          <cell r="AO1410"/>
          <cell r="AP1410"/>
          <cell r="AQ1410"/>
          <cell r="AR1410"/>
          <cell r="AS1410">
            <v>91</v>
          </cell>
          <cell r="AT1410" t="str">
            <v>507-</v>
          </cell>
          <cell r="AU1410" t="str">
            <v>FR</v>
          </cell>
          <cell r="AV1410"/>
        </row>
        <row r="1411">
          <cell r="Z1411">
            <v>5071181</v>
          </cell>
          <cell r="AA1411" t="str">
            <v>Super Junk Mill 
7-5/8" REG Pin</v>
          </cell>
          <cell r="AB1411">
            <v>0</v>
          </cell>
          <cell r="AC1411">
            <v>17.5</v>
          </cell>
          <cell r="AD1411">
            <v>800</v>
          </cell>
          <cell r="AE1411" t="str">
            <v>7-5/8" REG Pin</v>
          </cell>
          <cell r="AF1411"/>
          <cell r="AG1411" t="str">
            <v>C</v>
          </cell>
          <cell r="AH1411" t="str">
            <v>sur chantier</v>
          </cell>
          <cell r="AI1411" t="str">
            <v/>
          </cell>
          <cell r="AJ1411">
            <v>1</v>
          </cell>
          <cell r="AK1411">
            <v>0</v>
          </cell>
          <cell r="AL1411"/>
          <cell r="AM1411"/>
          <cell r="AN1411">
            <v>5071098</v>
          </cell>
          <cell r="AO1411"/>
          <cell r="AP1411"/>
          <cell r="AQ1411"/>
          <cell r="AR1411"/>
          <cell r="AS1411">
            <v>90</v>
          </cell>
          <cell r="AT1411" t="str">
            <v>507-</v>
          </cell>
          <cell r="AU1411" t="str">
            <v>FR</v>
          </cell>
          <cell r="AV1411"/>
        </row>
        <row r="1412">
          <cell r="Z1412">
            <v>5071099</v>
          </cell>
          <cell r="AA1412" t="str">
            <v>Super Junk Mill 
6-5/8" REG Pin</v>
          </cell>
          <cell r="AB1412">
            <v>0</v>
          </cell>
          <cell r="AC1412">
            <v>14.625</v>
          </cell>
          <cell r="AD1412">
            <v>800</v>
          </cell>
          <cell r="AE1412" t="str">
            <v>6-5/8" REG Pin</v>
          </cell>
          <cell r="AF1412"/>
          <cell r="AG1412" t="str">
            <v>C</v>
          </cell>
          <cell r="AH1412" t="str">
            <v xml:space="preserve"> en stock </v>
          </cell>
          <cell r="AI1412">
            <v>1</v>
          </cell>
          <cell r="AJ1412">
            <v>0</v>
          </cell>
          <cell r="AK1412">
            <v>0</v>
          </cell>
          <cell r="AL1412"/>
          <cell r="AM1412"/>
          <cell r="AN1412">
            <v>5071099</v>
          </cell>
          <cell r="AO1412"/>
          <cell r="AP1412"/>
          <cell r="AQ1412"/>
          <cell r="AR1412"/>
          <cell r="AS1412">
            <v>87</v>
          </cell>
          <cell r="AT1412" t="str">
            <v>507-</v>
          </cell>
          <cell r="AU1412" t="str">
            <v>FR</v>
          </cell>
          <cell r="AV1412"/>
        </row>
        <row r="1413">
          <cell r="Z1413">
            <v>5071100</v>
          </cell>
          <cell r="AA1413" t="str">
            <v>Super Junk Mill 
6-5/8" REG Pin</v>
          </cell>
          <cell r="AB1413">
            <v>0</v>
          </cell>
          <cell r="AC1413">
            <v>14.625</v>
          </cell>
          <cell r="AD1413">
            <v>780</v>
          </cell>
          <cell r="AE1413" t="str">
            <v>6-5/8" REG Pin</v>
          </cell>
          <cell r="AF1413"/>
          <cell r="AG1413" t="str">
            <v>C</v>
          </cell>
          <cell r="AH1413" t="str">
            <v xml:space="preserve"> en stock </v>
          </cell>
          <cell r="AI1413">
            <v>1</v>
          </cell>
          <cell r="AJ1413">
            <v>0</v>
          </cell>
          <cell r="AK1413">
            <v>0</v>
          </cell>
          <cell r="AL1413"/>
          <cell r="AM1413"/>
          <cell r="AN1413">
            <v>5071100</v>
          </cell>
          <cell r="AO1413"/>
          <cell r="AP1413"/>
          <cell r="AQ1413"/>
          <cell r="AR1413"/>
          <cell r="AS1413">
            <v>88</v>
          </cell>
          <cell r="AT1413" t="str">
            <v>507-</v>
          </cell>
          <cell r="AU1413" t="str">
            <v>FR</v>
          </cell>
          <cell r="AV1413"/>
        </row>
        <row r="1414">
          <cell r="Z1414">
            <v>5071101</v>
          </cell>
          <cell r="AA1414" t="str">
            <v>Super Junk Mill 
4-1/2" IF Box</v>
          </cell>
          <cell r="AB1414">
            <v>0</v>
          </cell>
          <cell r="AC1414">
            <v>9.375</v>
          </cell>
          <cell r="AD1414">
            <v>0</v>
          </cell>
          <cell r="AE1414" t="str">
            <v>4-1/2" IF Box</v>
          </cell>
          <cell r="AF1414"/>
          <cell r="AG1414">
            <v>0</v>
          </cell>
          <cell r="AH1414" t="str">
            <v xml:space="preserve"> en stock </v>
          </cell>
          <cell r="AI1414">
            <v>1</v>
          </cell>
          <cell r="AJ1414">
            <v>0</v>
          </cell>
          <cell r="AK1414">
            <v>0</v>
          </cell>
          <cell r="AL1414"/>
          <cell r="AM1414"/>
          <cell r="AN1414">
            <v>5071101</v>
          </cell>
          <cell r="AO1414"/>
          <cell r="AP1414"/>
          <cell r="AQ1414"/>
          <cell r="AR1414"/>
          <cell r="AS1414">
            <v>72</v>
          </cell>
          <cell r="AT1414" t="str">
            <v>507-</v>
          </cell>
          <cell r="AU1414" t="str">
            <v>FR</v>
          </cell>
          <cell r="AV1414"/>
        </row>
        <row r="1415">
          <cell r="Z1415">
            <v>5071102</v>
          </cell>
          <cell r="AA1415" t="str">
            <v>Super Junk Mill 
7-5/8" REG Pin</v>
          </cell>
          <cell r="AB1415">
            <v>0</v>
          </cell>
          <cell r="AC1415">
            <v>18.375</v>
          </cell>
          <cell r="AD1415">
            <v>800</v>
          </cell>
          <cell r="AE1415" t="str">
            <v>7-5/8" REG Pin</v>
          </cell>
          <cell r="AF1415"/>
          <cell r="AG1415" t="str">
            <v>C</v>
          </cell>
          <cell r="AH1415" t="str">
            <v xml:space="preserve"> en stock </v>
          </cell>
          <cell r="AI1415">
            <v>1</v>
          </cell>
          <cell r="AJ1415">
            <v>0</v>
          </cell>
          <cell r="AK1415">
            <v>0</v>
          </cell>
          <cell r="AL1415"/>
          <cell r="AM1415"/>
          <cell r="AN1415">
            <v>5071102</v>
          </cell>
          <cell r="AO1415"/>
          <cell r="AP1415"/>
          <cell r="AQ1415"/>
          <cell r="AR1415"/>
          <cell r="AS1415">
            <v>92</v>
          </cell>
          <cell r="AT1415" t="str">
            <v>507-</v>
          </cell>
          <cell r="AU1415" t="str">
            <v>FR</v>
          </cell>
          <cell r="AV1415"/>
        </row>
        <row r="1416">
          <cell r="Z1416">
            <v>5071103</v>
          </cell>
          <cell r="AA1416" t="str">
            <v>Super Junk Mill 
7-5/8" REG Pin</v>
          </cell>
          <cell r="AB1416">
            <v>0</v>
          </cell>
          <cell r="AC1416">
            <v>18.375</v>
          </cell>
          <cell r="AD1416">
            <v>800</v>
          </cell>
          <cell r="AE1416" t="str">
            <v>7-5/8" REG Pin</v>
          </cell>
          <cell r="AF1416"/>
          <cell r="AG1416">
            <v>0</v>
          </cell>
          <cell r="AH1416" t="str">
            <v>maintenance</v>
          </cell>
          <cell r="AI1416" t="str">
            <v/>
          </cell>
          <cell r="AJ1416">
            <v>0</v>
          </cell>
          <cell r="AK1416">
            <v>1</v>
          </cell>
          <cell r="AL1416"/>
          <cell r="AM1416"/>
          <cell r="AN1416">
            <v>5071103</v>
          </cell>
          <cell r="AO1416"/>
          <cell r="AP1416"/>
          <cell r="AQ1416"/>
          <cell r="AR1416"/>
          <cell r="AS1416">
            <v>93</v>
          </cell>
          <cell r="AT1416" t="str">
            <v>507-</v>
          </cell>
          <cell r="AU1416" t="str">
            <v>FR</v>
          </cell>
          <cell r="AV1416"/>
        </row>
        <row r="1417">
          <cell r="Z1417" t="str">
            <v>6081104M</v>
          </cell>
          <cell r="AA1417" t="str">
            <v>NMDC 3-1/2" for MWD
2-7/8" PH-6 Pin x Box</v>
          </cell>
          <cell r="AB1417">
            <v>247.30204370137503</v>
          </cell>
          <cell r="AC1417">
            <v>3.5</v>
          </cell>
          <cell r="AD1417">
            <v>8710</v>
          </cell>
          <cell r="AE1417" t="str">
            <v>2-7/8" PH-6 Box</v>
          </cell>
          <cell r="AF1417" t="str">
            <v>2-7/8" PH-6 Pin</v>
          </cell>
          <cell r="AG1417"/>
          <cell r="AH1417" t="str">
            <v>maintenance</v>
          </cell>
          <cell r="AI1417" t="str">
            <v/>
          </cell>
          <cell r="AJ1417">
            <v>0</v>
          </cell>
          <cell r="AK1417">
            <v>1</v>
          </cell>
          <cell r="AL1417"/>
          <cell r="AM1417"/>
          <cell r="AN1417">
            <v>6081104</v>
          </cell>
          <cell r="AO1417"/>
          <cell r="AP1417"/>
          <cell r="AQ1417"/>
          <cell r="AR1417"/>
          <cell r="AS1417">
            <v>5</v>
          </cell>
          <cell r="AT1417"/>
          <cell r="AU1417" t="str">
            <v/>
          </cell>
          <cell r="AV1417"/>
        </row>
        <row r="1418">
          <cell r="Z1418" t="str">
            <v>6081105M</v>
          </cell>
          <cell r="AA1418" t="str">
            <v>NMDC 3-1/2" for MWD
2-7/8" PH-6 Pin x Box</v>
          </cell>
          <cell r="AB1418">
            <v>263.3440247221875</v>
          </cell>
          <cell r="AC1418">
            <v>3.5</v>
          </cell>
          <cell r="AD1418">
            <v>9275</v>
          </cell>
          <cell r="AE1418" t="str">
            <v>2-7/8" PH-6 Box</v>
          </cell>
          <cell r="AF1418" t="str">
            <v>2-7/8" PH-6 Pin</v>
          </cell>
          <cell r="AG1418"/>
          <cell r="AH1418" t="str">
            <v>sur chantier</v>
          </cell>
          <cell r="AI1418" t="str">
            <v/>
          </cell>
          <cell r="AJ1418">
            <v>1</v>
          </cell>
          <cell r="AK1418">
            <v>0</v>
          </cell>
          <cell r="AL1418"/>
          <cell r="AM1418"/>
          <cell r="AN1418">
            <v>6081105</v>
          </cell>
          <cell r="AO1418"/>
          <cell r="AP1418"/>
          <cell r="AQ1418"/>
          <cell r="AR1418"/>
          <cell r="AS1418">
            <v>6</v>
          </cell>
          <cell r="AT1418"/>
          <cell r="AU1418" t="str">
            <v/>
          </cell>
          <cell r="AV1418"/>
        </row>
        <row r="1419">
          <cell r="Z1419" t="str">
            <v>6081106M</v>
          </cell>
          <cell r="AA1419" t="str">
            <v>NMDC 3-1/2" for MWD
2-7/8" PH-6 Pin x Box</v>
          </cell>
          <cell r="AB1419">
            <v>253.40651435531254</v>
          </cell>
          <cell r="AC1419">
            <v>3.5</v>
          </cell>
          <cell r="AD1419">
            <v>8925</v>
          </cell>
          <cell r="AE1419" t="str">
            <v>2-7/8" PH-6 Box</v>
          </cell>
          <cell r="AF1419" t="str">
            <v>2-7/8" PH-6 Pin</v>
          </cell>
          <cell r="AG1419"/>
          <cell r="AH1419" t="str">
            <v xml:space="preserve"> en stock </v>
          </cell>
          <cell r="AI1419">
            <v>1</v>
          </cell>
          <cell r="AJ1419">
            <v>0</v>
          </cell>
          <cell r="AK1419">
            <v>0</v>
          </cell>
          <cell r="AL1419"/>
          <cell r="AM1419"/>
          <cell r="AN1419">
            <v>6081106</v>
          </cell>
          <cell r="AO1419"/>
          <cell r="AP1419"/>
          <cell r="AQ1419"/>
          <cell r="AR1419"/>
          <cell r="AS1419">
            <v>7</v>
          </cell>
          <cell r="AT1419"/>
          <cell r="AU1419" t="str">
            <v/>
          </cell>
          <cell r="AV1419"/>
        </row>
        <row r="1420">
          <cell r="Z1420" t="str">
            <v>6081107M</v>
          </cell>
          <cell r="AA1420" t="str">
            <v>NMDC 3-1/2" for MWD
2-7/8" PH-6 Pin x Box</v>
          </cell>
          <cell r="AB1420">
            <v>255.53598086250003</v>
          </cell>
          <cell r="AC1420">
            <v>3.5</v>
          </cell>
          <cell r="AD1420">
            <v>9000</v>
          </cell>
          <cell r="AE1420" t="str">
            <v>2-7/8" PH-6 Box</v>
          </cell>
          <cell r="AF1420" t="str">
            <v>2-7/8" PH-6 Pin</v>
          </cell>
          <cell r="AG1420"/>
          <cell r="AH1420" t="str">
            <v xml:space="preserve"> en stock </v>
          </cell>
          <cell r="AI1420">
            <v>1</v>
          </cell>
          <cell r="AJ1420">
            <v>0</v>
          </cell>
          <cell r="AK1420">
            <v>0</v>
          </cell>
          <cell r="AL1420"/>
          <cell r="AM1420"/>
          <cell r="AN1420">
            <v>6081107</v>
          </cell>
          <cell r="AO1420"/>
          <cell r="AP1420"/>
          <cell r="AQ1420"/>
          <cell r="AR1420"/>
          <cell r="AS1420">
            <v>8</v>
          </cell>
          <cell r="AT1420"/>
          <cell r="AU1420" t="str">
            <v/>
          </cell>
          <cell r="AV1420"/>
        </row>
        <row r="1421">
          <cell r="Z1421" t="str">
            <v>6081108M</v>
          </cell>
          <cell r="AA1421" t="str">
            <v>NMDC 8-1/16" for MWD
6-5/8" REG Pin x Box</v>
          </cell>
          <cell r="AB1421">
            <v>1904.6853463550551</v>
          </cell>
          <cell r="AC1421">
            <v>8.0625</v>
          </cell>
          <cell r="AD1421">
            <v>9465</v>
          </cell>
          <cell r="AE1421" t="str">
            <v>6-5/8" REG Box BB</v>
          </cell>
          <cell r="AF1421" t="str">
            <v>6-5/8" REG Pin SRG</v>
          </cell>
          <cell r="AG1421"/>
          <cell r="AH1421" t="str">
            <v>sur chantier</v>
          </cell>
          <cell r="AI1421" t="str">
            <v/>
          </cell>
          <cell r="AJ1421">
            <v>1</v>
          </cell>
          <cell r="AK1421">
            <v>0</v>
          </cell>
          <cell r="AL1421"/>
          <cell r="AM1421"/>
          <cell r="AN1421">
            <v>6081108</v>
          </cell>
          <cell r="AO1421"/>
          <cell r="AP1421"/>
          <cell r="AQ1421"/>
          <cell r="AR1421"/>
          <cell r="AS1421">
            <v>27</v>
          </cell>
          <cell r="AT1421"/>
          <cell r="AU1421" t="str">
            <v/>
          </cell>
          <cell r="AV1421"/>
        </row>
        <row r="1422">
          <cell r="Z1422" t="str">
            <v>6081109M</v>
          </cell>
          <cell r="AA1422" t="str">
            <v>NMDC 8-1/16" for MWD
6-5/8" REG Pin x Box</v>
          </cell>
          <cell r="AB1422">
            <v>1905.6915192797012</v>
          </cell>
          <cell r="AC1422">
            <v>8.0625</v>
          </cell>
          <cell r="AD1422">
            <v>9470</v>
          </cell>
          <cell r="AE1422" t="str">
            <v>6-5/8" REG Box BB</v>
          </cell>
          <cell r="AF1422" t="str">
            <v>6-5/8" REG Pin SRG</v>
          </cell>
          <cell r="AG1422"/>
          <cell r="AH1422" t="str">
            <v>sur chantier</v>
          </cell>
          <cell r="AI1422" t="str">
            <v/>
          </cell>
          <cell r="AJ1422">
            <v>1</v>
          </cell>
          <cell r="AK1422">
            <v>0</v>
          </cell>
          <cell r="AL1422"/>
          <cell r="AM1422"/>
          <cell r="AN1422">
            <v>6081109</v>
          </cell>
          <cell r="AO1422"/>
          <cell r="AP1422"/>
          <cell r="AQ1422"/>
          <cell r="AR1422"/>
          <cell r="AS1422">
            <v>28</v>
          </cell>
          <cell r="AT1422"/>
          <cell r="AU1422" t="str">
            <v/>
          </cell>
          <cell r="AV1422"/>
        </row>
        <row r="1423">
          <cell r="Z1423" t="str">
            <v>6081110M</v>
          </cell>
          <cell r="AA1423" t="str">
            <v>NMDC 8-1/16" for MWD
6-5/8" REG Pin x Box</v>
          </cell>
          <cell r="AB1423">
            <v>1906.6976922043473</v>
          </cell>
          <cell r="AC1423">
            <v>8.0625</v>
          </cell>
          <cell r="AD1423">
            <v>9475</v>
          </cell>
          <cell r="AE1423" t="str">
            <v>6-5/8" REG Box BB</v>
          </cell>
          <cell r="AF1423" t="str">
            <v>6-5/8" REG Pin SRG</v>
          </cell>
          <cell r="AG1423"/>
          <cell r="AH1423" t="str">
            <v>sur chantier</v>
          </cell>
          <cell r="AI1423" t="str">
            <v/>
          </cell>
          <cell r="AJ1423">
            <v>1</v>
          </cell>
          <cell r="AK1423">
            <v>0</v>
          </cell>
          <cell r="AL1423"/>
          <cell r="AM1423"/>
          <cell r="AN1423">
            <v>6081110</v>
          </cell>
          <cell r="AO1423"/>
          <cell r="AP1423"/>
          <cell r="AQ1423"/>
          <cell r="AR1423"/>
          <cell r="AS1423">
            <v>29</v>
          </cell>
          <cell r="AT1423"/>
          <cell r="AU1423" t="str">
            <v/>
          </cell>
          <cell r="AV1423"/>
        </row>
        <row r="1424">
          <cell r="Z1424" t="str">
            <v>6081111M</v>
          </cell>
          <cell r="AA1424" t="str">
            <v>NMDC 8-1/16" for MWD
6-5/8" REG Pin x Box</v>
          </cell>
          <cell r="AB1424">
            <v>1924.0964365776558</v>
          </cell>
          <cell r="AC1424">
            <v>8.0625</v>
          </cell>
          <cell r="AD1424">
            <v>9475</v>
          </cell>
          <cell r="AE1424" t="str">
            <v>6-5/8" REG Box BB</v>
          </cell>
          <cell r="AF1424" t="str">
            <v>6-5/8" REG Pin SRG</v>
          </cell>
          <cell r="AG1424"/>
          <cell r="AH1424" t="str">
            <v>sur chantier</v>
          </cell>
          <cell r="AI1424" t="str">
            <v/>
          </cell>
          <cell r="AJ1424">
            <v>1</v>
          </cell>
          <cell r="AK1424">
            <v>0</v>
          </cell>
          <cell r="AL1424"/>
          <cell r="AM1424"/>
          <cell r="AN1424">
            <v>6081111</v>
          </cell>
          <cell r="AO1424"/>
          <cell r="AP1424"/>
          <cell r="AQ1424"/>
          <cell r="AR1424"/>
          <cell r="AS1424">
            <v>30</v>
          </cell>
          <cell r="AT1424"/>
          <cell r="AU1424" t="str">
            <v/>
          </cell>
          <cell r="AV1424"/>
        </row>
        <row r="1425">
          <cell r="Z1425">
            <v>7021112</v>
          </cell>
          <cell r="AA1425" t="str">
            <v>Fishing Magnet 15" OD
7-5/8" REG Pin</v>
          </cell>
          <cell r="AB1425">
            <v>310</v>
          </cell>
          <cell r="AC1425">
            <v>15</v>
          </cell>
          <cell r="AD1425">
            <v>0</v>
          </cell>
          <cell r="AE1425" t="str">
            <v>7-5/8" REG Pin</v>
          </cell>
          <cell r="AF1425"/>
          <cell r="AG1425"/>
          <cell r="AH1425" t="str">
            <v>sur chantier</v>
          </cell>
          <cell r="AI1425" t="str">
            <v/>
          </cell>
          <cell r="AJ1425">
            <v>1</v>
          </cell>
          <cell r="AK1425">
            <v>0</v>
          </cell>
          <cell r="AL1425"/>
          <cell r="AM1425"/>
          <cell r="AN1425">
            <v>7021112</v>
          </cell>
          <cell r="AO1425"/>
          <cell r="AP1425"/>
          <cell r="AQ1425"/>
          <cell r="AR1425"/>
          <cell r="AS1425">
            <v>16</v>
          </cell>
          <cell r="AT1425"/>
          <cell r="AU1425" t="str">
            <v>FR</v>
          </cell>
          <cell r="AV1425"/>
        </row>
        <row r="1426">
          <cell r="Z1426">
            <v>7021113</v>
          </cell>
          <cell r="AA1426" t="str">
            <v>Fishing Magnet 15" OD
7-5/8" REG Pin</v>
          </cell>
          <cell r="AB1426">
            <v>310</v>
          </cell>
          <cell r="AC1426">
            <v>15</v>
          </cell>
          <cell r="AD1426">
            <v>0</v>
          </cell>
          <cell r="AE1426" t="str">
            <v>7-5/8" REG Pin</v>
          </cell>
          <cell r="AF1426"/>
          <cell r="AG1426"/>
          <cell r="AH1426" t="str">
            <v xml:space="preserve"> en stock </v>
          </cell>
          <cell r="AI1426">
            <v>1</v>
          </cell>
          <cell r="AJ1426">
            <v>0</v>
          </cell>
          <cell r="AK1426">
            <v>0</v>
          </cell>
          <cell r="AL1426"/>
          <cell r="AM1426"/>
          <cell r="AN1426">
            <v>7021113</v>
          </cell>
          <cell r="AO1426"/>
          <cell r="AP1426"/>
          <cell r="AQ1426"/>
          <cell r="AR1426"/>
          <cell r="AS1426">
            <v>17</v>
          </cell>
          <cell r="AT1426"/>
          <cell r="AU1426" t="str">
            <v>FR</v>
          </cell>
          <cell r="AV1426"/>
        </row>
        <row r="1427">
          <cell r="Z1427" t="str">
            <v>605-962-012</v>
          </cell>
          <cell r="AA1427" t="str">
            <v xml:space="preserve">Sleeve 0 for PDM 9-5/8"
Set on : </v>
          </cell>
          <cell r="AB1427">
            <v>140</v>
          </cell>
          <cell r="AC1427">
            <v>0</v>
          </cell>
          <cell r="AD1427"/>
          <cell r="AE1427" t="str">
            <v xml:space="preserve">for PDM </v>
          </cell>
          <cell r="AF1427" t="str">
            <v xml:space="preserve">on </v>
          </cell>
          <cell r="AG1427"/>
          <cell r="AH1427" t="str">
            <v>maintenance</v>
          </cell>
          <cell r="AI1427" t="str">
            <v/>
          </cell>
          <cell r="AJ1427">
            <v>0</v>
          </cell>
          <cell r="AK1427">
            <v>1</v>
          </cell>
          <cell r="AL1427"/>
          <cell r="AM1427"/>
          <cell r="AN1427" t="str">
            <v/>
          </cell>
          <cell r="AO1427"/>
          <cell r="AP1427"/>
          <cell r="AQ1427"/>
          <cell r="AR1427"/>
          <cell r="AS1427">
            <v>49</v>
          </cell>
          <cell r="AT1427"/>
          <cell r="AU1427" t="str">
            <v>FR</v>
          </cell>
          <cell r="AV1427"/>
        </row>
        <row r="1428">
          <cell r="Z1428" t="str">
            <v>605-850-SLK14</v>
          </cell>
          <cell r="AA1428" t="str">
            <v>Sleeve 0 for PDM 8-1/2"</v>
          </cell>
          <cell r="AB1428">
            <v>28</v>
          </cell>
          <cell r="AC1428">
            <v>0</v>
          </cell>
          <cell r="AD1428"/>
          <cell r="AE1428" t="str">
            <v xml:space="preserve">for PDM </v>
          </cell>
          <cell r="AF1428" t="str">
            <v xml:space="preserve">on </v>
          </cell>
          <cell r="AG1428"/>
          <cell r="AH1428" t="str">
            <v xml:space="preserve"> en stock </v>
          </cell>
          <cell r="AI1428">
            <v>1</v>
          </cell>
          <cell r="AJ1428">
            <v>0</v>
          </cell>
          <cell r="AK1428">
            <v>0</v>
          </cell>
          <cell r="AL1428"/>
          <cell r="AM1428"/>
          <cell r="AN1428" t="str">
            <v/>
          </cell>
          <cell r="AO1428"/>
          <cell r="AP1428"/>
          <cell r="AQ1428"/>
          <cell r="AR1428"/>
          <cell r="AS1428">
            <v>80</v>
          </cell>
          <cell r="AT1428"/>
          <cell r="AU1428" t="str">
            <v/>
          </cell>
          <cell r="AV1428"/>
        </row>
        <row r="1429">
          <cell r="Z1429" t="str">
            <v>605-962-013</v>
          </cell>
          <cell r="AA1429" t="str">
            <v xml:space="preserve">Sleeve 0 for PDM 9-5/8"
Set on : </v>
          </cell>
          <cell r="AB1429">
            <v>140</v>
          </cell>
          <cell r="AC1429">
            <v>0</v>
          </cell>
          <cell r="AD1429"/>
          <cell r="AE1429" t="str">
            <v xml:space="preserve">for PDM </v>
          </cell>
          <cell r="AF1429" t="str">
            <v xml:space="preserve">on </v>
          </cell>
          <cell r="AG1429"/>
          <cell r="AH1429" t="str">
            <v xml:space="preserve"> en stock </v>
          </cell>
          <cell r="AI1429">
            <v>1</v>
          </cell>
          <cell r="AJ1429">
            <v>0</v>
          </cell>
          <cell r="AK1429">
            <v>0</v>
          </cell>
          <cell r="AL1429"/>
          <cell r="AM1429"/>
          <cell r="AN1429">
            <v>605962013</v>
          </cell>
          <cell r="AO1429"/>
          <cell r="AP1429"/>
          <cell r="AQ1429"/>
          <cell r="AR1429"/>
          <cell r="AS1429">
            <v>54</v>
          </cell>
          <cell r="AT1429"/>
          <cell r="AU1429" t="str">
            <v>FR</v>
          </cell>
          <cell r="AV1429"/>
        </row>
        <row r="1430">
          <cell r="Z1430" t="str">
            <v>605-962-014</v>
          </cell>
          <cell r="AA1430" t="str">
            <v xml:space="preserve">Sleeve 0 for PDM 9-5/8"
Set on : </v>
          </cell>
          <cell r="AB1430">
            <v>140</v>
          </cell>
          <cell r="AC1430">
            <v>0</v>
          </cell>
          <cell r="AD1430"/>
          <cell r="AE1430" t="str">
            <v xml:space="preserve">for PDM </v>
          </cell>
          <cell r="AF1430" t="str">
            <v xml:space="preserve">on </v>
          </cell>
          <cell r="AG1430"/>
          <cell r="AH1430" t="str">
            <v>sur chantier</v>
          </cell>
          <cell r="AI1430" t="str">
            <v/>
          </cell>
          <cell r="AJ1430">
            <v>1</v>
          </cell>
          <cell r="AK1430">
            <v>0</v>
          </cell>
          <cell r="AL1430"/>
          <cell r="AM1430"/>
          <cell r="AN1430">
            <v>605962014</v>
          </cell>
          <cell r="AO1430"/>
          <cell r="AP1430"/>
          <cell r="AQ1430"/>
          <cell r="AR1430"/>
          <cell r="AS1430">
            <v>53</v>
          </cell>
          <cell r="AT1430"/>
          <cell r="AU1430" t="str">
            <v>FR</v>
          </cell>
          <cell r="AV1430"/>
        </row>
        <row r="1431">
          <cell r="Z1431">
            <v>7051114</v>
          </cell>
          <cell r="AA1431" t="str">
            <v>Extension 8-5/8" FS Lg 914mm CA C-4817
8-5/8" FS Sellers Pin x Box</v>
          </cell>
          <cell r="AB1431">
            <v>85.300132463909961</v>
          </cell>
          <cell r="AC1431" t="str">
            <v>8-5/8" FS</v>
          </cell>
          <cell r="AD1431">
            <v>914</v>
          </cell>
          <cell r="AE1431" t="str">
            <v>8-5/8" FS Sellers Box</v>
          </cell>
          <cell r="AF1431" t="str">
            <v>8-5/8" FS Sellers Pin</v>
          </cell>
          <cell r="AG1431" t="str">
            <v>C-4817</v>
          </cell>
          <cell r="AH1431" t="str">
            <v xml:space="preserve"> en stock </v>
          </cell>
          <cell r="AI1431">
            <v>1</v>
          </cell>
          <cell r="AJ1431">
            <v>0</v>
          </cell>
          <cell r="AK1431">
            <v>0</v>
          </cell>
          <cell r="AL1431"/>
          <cell r="AM1431"/>
          <cell r="AN1431">
            <v>7051114</v>
          </cell>
          <cell r="AO1431"/>
          <cell r="AP1431"/>
          <cell r="AQ1431"/>
          <cell r="AR1431"/>
          <cell r="AS1431">
            <v>52</v>
          </cell>
          <cell r="AT1431" t="str">
            <v>705-4817</v>
          </cell>
          <cell r="AU1431" t="str">
            <v>FR</v>
          </cell>
          <cell r="AV1431"/>
        </row>
        <row r="1432">
          <cell r="Z1432">
            <v>7051115</v>
          </cell>
          <cell r="AA1432" t="str">
            <v>Extension 11-1/4" FS Lg 914mm CA C12822
11-1/4" FS Sellers Pin x Box</v>
          </cell>
          <cell r="AB1432">
            <v>100</v>
          </cell>
          <cell r="AC1432" t="str">
            <v>11-1/4" FS</v>
          </cell>
          <cell r="AD1432">
            <v>914</v>
          </cell>
          <cell r="AE1432" t="str">
            <v>11-1/4" FS Sellers Box</v>
          </cell>
          <cell r="AF1432" t="str">
            <v>11-1/4" FS Sellers Pin</v>
          </cell>
          <cell r="AG1432" t="str">
            <v>C12822</v>
          </cell>
          <cell r="AH1432" t="str">
            <v xml:space="preserve"> en stock </v>
          </cell>
          <cell r="AI1432">
            <v>1</v>
          </cell>
          <cell r="AJ1432">
            <v>0</v>
          </cell>
          <cell r="AK1432">
            <v>0</v>
          </cell>
          <cell r="AL1432"/>
          <cell r="AM1432"/>
          <cell r="AN1432">
            <v>7051115</v>
          </cell>
          <cell r="AO1432"/>
          <cell r="AP1432"/>
          <cell r="AQ1432"/>
          <cell r="AR1432"/>
          <cell r="AS1432">
            <v>68</v>
          </cell>
          <cell r="AT1432" t="str">
            <v>705-12822</v>
          </cell>
          <cell r="AU1432" t="str">
            <v>FR</v>
          </cell>
          <cell r="AV1432"/>
        </row>
        <row r="1433">
          <cell r="Z1433">
            <v>7061116</v>
          </cell>
          <cell r="AA1433" t="str">
            <v>Oversize Guide 15" OD
11-3/4" FS Sellers Pin</v>
          </cell>
          <cell r="AB1433">
            <v>0</v>
          </cell>
          <cell r="AC1433" t="str">
            <v>15"</v>
          </cell>
          <cell r="AD1433">
            <v>500</v>
          </cell>
          <cell r="AE1433" t="str">
            <v>11-3/4" FS Sellers Pin</v>
          </cell>
          <cell r="AF1433"/>
          <cell r="AG1433"/>
          <cell r="AH1433" t="str">
            <v xml:space="preserve"> en stock </v>
          </cell>
          <cell r="AI1433">
            <v>1</v>
          </cell>
          <cell r="AJ1433">
            <v>0</v>
          </cell>
          <cell r="AK1433">
            <v>0</v>
          </cell>
          <cell r="AL1433"/>
          <cell r="AM1433"/>
          <cell r="AN1433">
            <v>7051116</v>
          </cell>
          <cell r="AO1433"/>
          <cell r="AP1433"/>
          <cell r="AQ1433"/>
          <cell r="AR1433"/>
          <cell r="AS1433">
            <v>39</v>
          </cell>
          <cell r="AT1433"/>
          <cell r="AU1433" t="str">
            <v>FR</v>
          </cell>
          <cell r="AV1433"/>
        </row>
        <row r="1434">
          <cell r="Z1434">
            <v>8081117</v>
          </cell>
          <cell r="AA1434" t="str">
            <v>Float Sub 9-1/2" Lg 720 mm
7-5/8" REG Pin x 7-5/8" REG Box BF (5F-6R)</v>
          </cell>
          <cell r="AB1434">
            <v>233.18213766704997</v>
          </cell>
          <cell r="AC1434">
            <v>9.5</v>
          </cell>
          <cell r="AD1434">
            <v>720</v>
          </cell>
          <cell r="AE1434" t="str">
            <v>7-5/8" REG Box BF</v>
          </cell>
          <cell r="AF1434" t="str">
            <v>7-5/8" REG Pin</v>
          </cell>
          <cell r="AG1434" t="str">
            <v>5F-6R</v>
          </cell>
          <cell r="AH1434" t="str">
            <v>maintenance</v>
          </cell>
          <cell r="AI1434" t="str">
            <v/>
          </cell>
          <cell r="AJ1434">
            <v>0</v>
          </cell>
          <cell r="AK1434">
            <v>1</v>
          </cell>
          <cell r="AL1434"/>
          <cell r="AM1434"/>
          <cell r="AN1434">
            <v>8081117</v>
          </cell>
          <cell r="AO1434"/>
          <cell r="AP1434"/>
          <cell r="AQ1434"/>
          <cell r="AR1434"/>
          <cell r="AS1434">
            <v>45</v>
          </cell>
          <cell r="AT1434"/>
          <cell r="AU1434" t="str">
            <v>FR</v>
          </cell>
          <cell r="AV1434"/>
        </row>
        <row r="1435">
          <cell r="Z1435">
            <v>8081118</v>
          </cell>
          <cell r="AA1435" t="str">
            <v>Float Sub 9-1/2" Lg 690 mm
7-5/8" REG Pin x 7-5/8" REG Box BF (5F-6R)</v>
          </cell>
          <cell r="AB1435">
            <v>223.46621526425622</v>
          </cell>
          <cell r="AC1435">
            <v>9.5</v>
          </cell>
          <cell r="AD1435">
            <v>690</v>
          </cell>
          <cell r="AE1435" t="str">
            <v>7-5/8" REG Box BF</v>
          </cell>
          <cell r="AF1435" t="str">
            <v>7-5/8" REG Pin</v>
          </cell>
          <cell r="AG1435" t="str">
            <v>5F-6R</v>
          </cell>
          <cell r="AH1435" t="str">
            <v xml:space="preserve"> en stock </v>
          </cell>
          <cell r="AI1435">
            <v>1</v>
          </cell>
          <cell r="AJ1435">
            <v>0</v>
          </cell>
          <cell r="AK1435">
            <v>0</v>
          </cell>
          <cell r="AL1435"/>
          <cell r="AM1435"/>
          <cell r="AN1435">
            <v>8081118</v>
          </cell>
          <cell r="AO1435"/>
          <cell r="AP1435"/>
          <cell r="AQ1435"/>
          <cell r="AR1435"/>
          <cell r="AS1435">
            <v>46</v>
          </cell>
          <cell r="AT1435"/>
          <cell r="AU1435" t="str">
            <v>FR</v>
          </cell>
          <cell r="AV1435"/>
        </row>
        <row r="1436">
          <cell r="Z1436">
            <v>8021119</v>
          </cell>
          <cell r="AA1436" t="str">
            <v>Bit Sub
3-1/2" IF Box x 3-1/2" REG Box BF</v>
          </cell>
          <cell r="AB1436">
            <v>48.144460162499996</v>
          </cell>
          <cell r="AC1436">
            <v>4.75</v>
          </cell>
          <cell r="AD1436">
            <v>600</v>
          </cell>
          <cell r="AE1436" t="str">
            <v>3-1/2" IF Box</v>
          </cell>
          <cell r="AF1436" t="str">
            <v>3-1/2" REG Box BF</v>
          </cell>
          <cell r="AG1436"/>
          <cell r="AH1436" t="str">
            <v>maintenance</v>
          </cell>
          <cell r="AI1436" t="str">
            <v/>
          </cell>
          <cell r="AJ1436">
            <v>0</v>
          </cell>
          <cell r="AK1436">
            <v>1</v>
          </cell>
          <cell r="AL1436"/>
          <cell r="AM1436"/>
          <cell r="AN1436">
            <v>8021119</v>
          </cell>
          <cell r="AO1436"/>
          <cell r="AP1436"/>
          <cell r="AQ1436"/>
          <cell r="AR1436"/>
          <cell r="AS1436">
            <v>37</v>
          </cell>
          <cell r="AT1436"/>
          <cell r="AU1436" t="str">
            <v>FR</v>
          </cell>
          <cell r="AV1436"/>
        </row>
        <row r="1437">
          <cell r="Z1437" t="str">
            <v>6081120M</v>
          </cell>
          <cell r="AA1437" t="str">
            <v>NMDC 4-3/4" for MWD
3-1/2" IF Pin x Box</v>
          </cell>
          <cell r="AB1437">
            <v>575.06752246850147</v>
          </cell>
          <cell r="AC1437">
            <v>4.75</v>
          </cell>
          <cell r="AD1437">
            <v>9490</v>
          </cell>
          <cell r="AE1437" t="str">
            <v>3-1/2" IF Box</v>
          </cell>
          <cell r="AF1437" t="str">
            <v>3-1/2" IF Pin</v>
          </cell>
          <cell r="AG1437"/>
          <cell r="AH1437" t="str">
            <v xml:space="preserve"> en stock </v>
          </cell>
          <cell r="AI1437">
            <v>1</v>
          </cell>
          <cell r="AJ1437">
            <v>0</v>
          </cell>
          <cell r="AK1437">
            <v>0</v>
          </cell>
          <cell r="AL1437"/>
          <cell r="AM1437"/>
          <cell r="AN1437">
            <v>6081120</v>
          </cell>
          <cell r="AO1437"/>
          <cell r="AP1437"/>
          <cell r="AQ1437"/>
          <cell r="AR1437"/>
          <cell r="AS1437">
            <v>14</v>
          </cell>
          <cell r="AT1437"/>
          <cell r="AU1437" t="str">
            <v/>
          </cell>
          <cell r="AV1437"/>
        </row>
        <row r="1438">
          <cell r="Z1438">
            <v>6041121</v>
          </cell>
          <cell r="AA1438" t="str">
            <v>UBHO 3-1/2" OD
2-7/8" PH6 Pin x Box</v>
          </cell>
          <cell r="AB1438">
            <v>24.539786857828123</v>
          </cell>
          <cell r="AC1438">
            <v>3.5</v>
          </cell>
          <cell r="AD1438">
            <v>900</v>
          </cell>
          <cell r="AE1438" t="str">
            <v>2-7/8" PH6 Box</v>
          </cell>
          <cell r="AF1438" t="str">
            <v>2-3/8" IF Pin</v>
          </cell>
          <cell r="AG1438"/>
          <cell r="AH1438" t="str">
            <v>maintenance</v>
          </cell>
          <cell r="AI1438" t="str">
            <v/>
          </cell>
          <cell r="AJ1438">
            <v>0</v>
          </cell>
          <cell r="AK1438">
            <v>1</v>
          </cell>
          <cell r="AL1438"/>
          <cell r="AM1438"/>
          <cell r="AN1438">
            <v>6041121</v>
          </cell>
          <cell r="AO1438"/>
          <cell r="AP1438"/>
          <cell r="AQ1438"/>
          <cell r="AR1438"/>
          <cell r="AS1438">
            <v>5</v>
          </cell>
          <cell r="AT1438"/>
          <cell r="AU1438" t="str">
            <v/>
          </cell>
          <cell r="AV1438"/>
        </row>
        <row r="1439">
          <cell r="Z1439">
            <v>6041122</v>
          </cell>
          <cell r="AA1439" t="str">
            <v>UBHO 3-1/2" OD
2-7/8" PH6 Pin x Box</v>
          </cell>
          <cell r="AB1439">
            <v>24.539786857828123</v>
          </cell>
          <cell r="AC1439">
            <v>3.5</v>
          </cell>
          <cell r="AD1439">
            <v>900</v>
          </cell>
          <cell r="AE1439" t="str">
            <v>2-7/8" PH6 Box</v>
          </cell>
          <cell r="AF1439" t="str">
            <v>2-7/8" REG Pin</v>
          </cell>
          <cell r="AG1439"/>
          <cell r="AH1439" t="str">
            <v xml:space="preserve"> en stock </v>
          </cell>
          <cell r="AI1439">
            <v>1</v>
          </cell>
          <cell r="AJ1439">
            <v>0</v>
          </cell>
          <cell r="AK1439">
            <v>0</v>
          </cell>
          <cell r="AL1439"/>
          <cell r="AM1439"/>
          <cell r="AN1439">
            <v>6041122</v>
          </cell>
          <cell r="AO1439"/>
          <cell r="AP1439"/>
          <cell r="AQ1439"/>
          <cell r="AR1439"/>
          <cell r="AS1439">
            <v>6</v>
          </cell>
          <cell r="AT1439"/>
          <cell r="AU1439" t="str">
            <v/>
          </cell>
          <cell r="AV1439"/>
        </row>
        <row r="1440">
          <cell r="Z1440">
            <v>6041123</v>
          </cell>
          <cell r="AA1440" t="str">
            <v>UBHO 3-1/2" OD
2-7/8" PH6 Pin x Box</v>
          </cell>
          <cell r="AB1440">
            <v>32.985127577999997</v>
          </cell>
          <cell r="AC1440">
            <v>3.5</v>
          </cell>
          <cell r="AD1440">
            <v>835</v>
          </cell>
          <cell r="AE1440" t="str">
            <v>2-7/8" PH6 Box</v>
          </cell>
          <cell r="AF1440" t="str">
            <v>2-3/8" IF Pin</v>
          </cell>
          <cell r="AG1440"/>
          <cell r="AH1440" t="str">
            <v>maintenance</v>
          </cell>
          <cell r="AI1440" t="str">
            <v/>
          </cell>
          <cell r="AJ1440">
            <v>0</v>
          </cell>
          <cell r="AK1440">
            <v>1</v>
          </cell>
          <cell r="AL1440"/>
          <cell r="AM1440"/>
          <cell r="AN1440">
            <v>6041123</v>
          </cell>
          <cell r="AO1440"/>
          <cell r="AP1440"/>
          <cell r="AQ1440"/>
          <cell r="AR1440"/>
          <cell r="AS1440">
            <v>7</v>
          </cell>
          <cell r="AT1440"/>
          <cell r="AU1440" t="str">
            <v/>
          </cell>
          <cell r="AV1440"/>
        </row>
        <row r="1441">
          <cell r="Z1441">
            <v>8110780</v>
          </cell>
          <cell r="AA1441" t="str">
            <v>String Stab
4-1/2" IF Pin x 4-1/2" IF Box</v>
          </cell>
          <cell r="AB1441">
            <v>256</v>
          </cell>
          <cell r="AC1441">
            <v>7.75</v>
          </cell>
          <cell r="AD1441">
            <v>1585</v>
          </cell>
          <cell r="AE1441" t="str">
            <v>4-1/2" IF Box</v>
          </cell>
          <cell r="AF1441" t="str">
            <v>4-1/2" IF Pin</v>
          </cell>
          <cell r="AG1441" t="str">
            <v>Carbure</v>
          </cell>
          <cell r="AH1441" t="str">
            <v>maintenance</v>
          </cell>
          <cell r="AI1441" t="str">
            <v/>
          </cell>
          <cell r="AJ1441">
            <v>0</v>
          </cell>
          <cell r="AK1441">
            <v>1</v>
          </cell>
          <cell r="AL1441"/>
          <cell r="AM1441"/>
          <cell r="AN1441">
            <v>8110780</v>
          </cell>
          <cell r="AO1441"/>
          <cell r="AP1441"/>
          <cell r="AQ1441"/>
          <cell r="AR1441" t="str">
            <v>ANA 17471</v>
          </cell>
          <cell r="AS1441">
            <v>23</v>
          </cell>
          <cell r="AT1441"/>
          <cell r="AU1441" t="str">
            <v/>
          </cell>
          <cell r="AV1441"/>
        </row>
        <row r="1442">
          <cell r="Z1442">
            <v>5101124</v>
          </cell>
          <cell r="AA1442" t="str">
            <v>WO Pipe
8-5/8" FJWP Pin x Box</v>
          </cell>
          <cell r="AB1442">
            <v>456.58724650110025</v>
          </cell>
          <cell r="AC1442">
            <v>8.625</v>
          </cell>
          <cell r="AD1442">
            <v>9340</v>
          </cell>
          <cell r="AE1442" t="str">
            <v>8-5/8" FJWP Box</v>
          </cell>
          <cell r="AF1442" t="str">
            <v>8-5/8" FJWP Pin</v>
          </cell>
          <cell r="AG1442"/>
          <cell r="AH1442" t="str">
            <v xml:space="preserve"> en stock </v>
          </cell>
          <cell r="AI1442">
            <v>1</v>
          </cell>
          <cell r="AJ1442">
            <v>0</v>
          </cell>
          <cell r="AK1442">
            <v>0</v>
          </cell>
          <cell r="AL1442"/>
          <cell r="AM1442"/>
          <cell r="AN1442">
            <v>5101124</v>
          </cell>
          <cell r="AO1442"/>
          <cell r="AP1442"/>
          <cell r="AQ1442"/>
          <cell r="AR1442"/>
          <cell r="AS1442">
            <v>132</v>
          </cell>
          <cell r="AT1442" t="str">
            <v>509-8,625FJWP</v>
          </cell>
          <cell r="AU1442" t="str">
            <v>FR</v>
          </cell>
          <cell r="AV1442"/>
        </row>
        <row r="1443">
          <cell r="Z1443">
            <v>5101125</v>
          </cell>
          <cell r="AA1443" t="str">
            <v>WO Pipe
8-5/8" FJWP Pin x Box</v>
          </cell>
          <cell r="AB1443">
            <v>456.58724650110025</v>
          </cell>
          <cell r="AC1443">
            <v>8.625</v>
          </cell>
          <cell r="AD1443">
            <v>9340</v>
          </cell>
          <cell r="AE1443" t="str">
            <v>8-5/8" FJWP Box</v>
          </cell>
          <cell r="AF1443" t="str">
            <v>8-5/8" FJWP Pin</v>
          </cell>
          <cell r="AG1443"/>
          <cell r="AH1443" t="str">
            <v xml:space="preserve"> en stock </v>
          </cell>
          <cell r="AI1443">
            <v>1</v>
          </cell>
          <cell r="AJ1443">
            <v>0</v>
          </cell>
          <cell r="AK1443">
            <v>0</v>
          </cell>
          <cell r="AL1443"/>
          <cell r="AM1443"/>
          <cell r="AN1443">
            <v>5101125</v>
          </cell>
          <cell r="AO1443"/>
          <cell r="AP1443"/>
          <cell r="AQ1443"/>
          <cell r="AR1443"/>
          <cell r="AS1443">
            <v>133</v>
          </cell>
          <cell r="AT1443" t="str">
            <v>509-8,625FJWP</v>
          </cell>
          <cell r="AU1443" t="str">
            <v>FR</v>
          </cell>
          <cell r="AV1443"/>
        </row>
        <row r="1444">
          <cell r="Z1444">
            <v>5101126</v>
          </cell>
          <cell r="AA1444" t="str">
            <v>WO Pipe
8-5/8" FJWP Pin x Box</v>
          </cell>
          <cell r="AB1444">
            <v>456.58724650110025</v>
          </cell>
          <cell r="AC1444">
            <v>8.625</v>
          </cell>
          <cell r="AD1444">
            <v>9340</v>
          </cell>
          <cell r="AE1444" t="str">
            <v>8-5/8" FJWP Box</v>
          </cell>
          <cell r="AF1444" t="str">
            <v>8-5/8" FJWP Pin</v>
          </cell>
          <cell r="AG1444"/>
          <cell r="AH1444" t="str">
            <v xml:space="preserve"> en stock </v>
          </cell>
          <cell r="AI1444">
            <v>1</v>
          </cell>
          <cell r="AJ1444">
            <v>0</v>
          </cell>
          <cell r="AK1444">
            <v>0</v>
          </cell>
          <cell r="AL1444"/>
          <cell r="AM1444"/>
          <cell r="AN1444">
            <v>5101126</v>
          </cell>
          <cell r="AO1444"/>
          <cell r="AP1444"/>
          <cell r="AQ1444"/>
          <cell r="AR1444"/>
          <cell r="AS1444">
            <v>134</v>
          </cell>
          <cell r="AT1444" t="str">
            <v>509-8,625FJWP</v>
          </cell>
          <cell r="AU1444" t="str">
            <v>FR</v>
          </cell>
          <cell r="AV1444"/>
        </row>
        <row r="1445">
          <cell r="Z1445">
            <v>5101127</v>
          </cell>
          <cell r="AA1445" t="str">
            <v>WO Pipe
8-5/8" FJWP Pin x Box</v>
          </cell>
          <cell r="AB1445">
            <v>456.58724650110025</v>
          </cell>
          <cell r="AC1445">
            <v>8.625</v>
          </cell>
          <cell r="AD1445">
            <v>9340</v>
          </cell>
          <cell r="AE1445" t="str">
            <v>8-5/8" FJWP Box</v>
          </cell>
          <cell r="AF1445" t="str">
            <v>8-5/8" FJWP Pin</v>
          </cell>
          <cell r="AG1445"/>
          <cell r="AH1445" t="str">
            <v xml:space="preserve"> en stock </v>
          </cell>
          <cell r="AI1445">
            <v>1</v>
          </cell>
          <cell r="AJ1445">
            <v>0</v>
          </cell>
          <cell r="AK1445">
            <v>0</v>
          </cell>
          <cell r="AL1445"/>
          <cell r="AM1445"/>
          <cell r="AN1445">
            <v>5101127</v>
          </cell>
          <cell r="AO1445"/>
          <cell r="AP1445"/>
          <cell r="AQ1445"/>
          <cell r="AR1445"/>
          <cell r="AS1445">
            <v>135</v>
          </cell>
          <cell r="AT1445" t="str">
            <v>509-8,625FJWP</v>
          </cell>
          <cell r="AU1445" t="str">
            <v>FR</v>
          </cell>
          <cell r="AV1445"/>
        </row>
        <row r="1446">
          <cell r="Z1446">
            <v>5091128</v>
          </cell>
          <cell r="AA1446" t="str">
            <v>WO Extension Lg 4070 mm
8-5/8" FJWP Pin x Box</v>
          </cell>
          <cell r="AB1446">
            <v>198.96253675155015</v>
          </cell>
          <cell r="AC1446">
            <v>8.625</v>
          </cell>
          <cell r="AD1446">
            <v>4070</v>
          </cell>
          <cell r="AE1446" t="str">
            <v>8-5/8" FJWP Box</v>
          </cell>
          <cell r="AF1446" t="str">
            <v>8-5/8" FJWP Pin</v>
          </cell>
          <cell r="AG1446"/>
          <cell r="AH1446" t="str">
            <v>maintenance</v>
          </cell>
          <cell r="AI1446" t="str">
            <v/>
          </cell>
          <cell r="AJ1446">
            <v>0</v>
          </cell>
          <cell r="AK1446">
            <v>1</v>
          </cell>
          <cell r="AL1446"/>
          <cell r="AM1446"/>
          <cell r="AN1446">
            <v>5091128</v>
          </cell>
          <cell r="AO1446"/>
          <cell r="AP1446"/>
          <cell r="AQ1446"/>
          <cell r="AR1446"/>
          <cell r="AS1446">
            <v>116</v>
          </cell>
          <cell r="AT1446" t="str">
            <v>509-8,625FJWP</v>
          </cell>
          <cell r="AU1446" t="str">
            <v>FR</v>
          </cell>
          <cell r="AV1446"/>
        </row>
        <row r="1447">
          <cell r="Z1447">
            <v>7041129</v>
          </cell>
          <cell r="AA1447" t="str">
            <v>6-1/8" FS Overshot - CA 9862
0</v>
          </cell>
          <cell r="AB1447">
            <v>0</v>
          </cell>
          <cell r="AC1447" t="str">
            <v>6-1/8" FS</v>
          </cell>
          <cell r="AD1447">
            <v>0</v>
          </cell>
          <cell r="AE1447">
            <v>0</v>
          </cell>
          <cell r="AF1447"/>
          <cell r="AG1447"/>
          <cell r="AH1447" t="str">
            <v xml:space="preserve"> en stock </v>
          </cell>
          <cell r="AI1447">
            <v>1</v>
          </cell>
          <cell r="AJ1447">
            <v>0</v>
          </cell>
          <cell r="AK1447">
            <v>0</v>
          </cell>
          <cell r="AL1447"/>
          <cell r="AM1447"/>
          <cell r="AN1447" t="str">
            <v/>
          </cell>
          <cell r="AO1447"/>
          <cell r="AP1447"/>
          <cell r="AQ1447"/>
          <cell r="AR1447"/>
          <cell r="AS1447">
            <v>45</v>
          </cell>
          <cell r="AT1447" t="str">
            <v>704-9862</v>
          </cell>
          <cell r="AU1447" t="str">
            <v/>
          </cell>
          <cell r="AV1447"/>
        </row>
        <row r="1448">
          <cell r="Z1448">
            <v>5071130</v>
          </cell>
          <cell r="AA1448" t="str">
            <v>Super Junk Mill 
2-7/8" REG Pin</v>
          </cell>
          <cell r="AB1448">
            <v>0</v>
          </cell>
          <cell r="AC1448">
            <v>4.75</v>
          </cell>
          <cell r="AD1448">
            <v>430</v>
          </cell>
          <cell r="AE1448" t="str">
            <v>2-7/8" REG Pin</v>
          </cell>
          <cell r="AF1448"/>
          <cell r="AG1448">
            <v>0</v>
          </cell>
          <cell r="AH1448" t="str">
            <v xml:space="preserve"> en stock </v>
          </cell>
          <cell r="AI1448">
            <v>1</v>
          </cell>
          <cell r="AJ1448">
            <v>0</v>
          </cell>
          <cell r="AK1448">
            <v>0</v>
          </cell>
          <cell r="AL1448"/>
          <cell r="AM1448"/>
          <cell r="AN1448" t="str">
            <v/>
          </cell>
          <cell r="AO1448"/>
          <cell r="AP1448"/>
          <cell r="AQ1448"/>
          <cell r="AR1448"/>
          <cell r="AS1448">
            <v>19</v>
          </cell>
          <cell r="AT1448" t="str">
            <v>507-</v>
          </cell>
          <cell r="AU1448" t="str">
            <v/>
          </cell>
          <cell r="AV1448"/>
        </row>
        <row r="1449">
          <cell r="Z1449">
            <v>5091131</v>
          </cell>
          <cell r="AA1449" t="str">
            <v>WO Extension Lg 2000 mm
8-5/8" FJWP Pin x Box</v>
          </cell>
          <cell r="AB1449">
            <v>97.770288330000071</v>
          </cell>
          <cell r="AC1449">
            <v>8.625</v>
          </cell>
          <cell r="AD1449">
            <v>2000</v>
          </cell>
          <cell r="AE1449" t="str">
            <v>8-5/8" FJWP Box</v>
          </cell>
          <cell r="AF1449" t="str">
            <v>8-5/8" FJWP Pin</v>
          </cell>
          <cell r="AG1449"/>
          <cell r="AH1449" t="str">
            <v xml:space="preserve"> en stock </v>
          </cell>
          <cell r="AI1449">
            <v>1</v>
          </cell>
          <cell r="AJ1449">
            <v>0</v>
          </cell>
          <cell r="AK1449">
            <v>0</v>
          </cell>
          <cell r="AL1449"/>
          <cell r="AM1449"/>
          <cell r="AN1449">
            <v>5091131</v>
          </cell>
          <cell r="AO1449"/>
          <cell r="AP1449"/>
          <cell r="AQ1449"/>
          <cell r="AR1449"/>
          <cell r="AS1449">
            <v>106</v>
          </cell>
          <cell r="AT1449" t="str">
            <v>509-8,625FJWP</v>
          </cell>
          <cell r="AU1449" t="str">
            <v>FR</v>
          </cell>
          <cell r="AV1449"/>
        </row>
        <row r="1450">
          <cell r="Z1450">
            <v>5091132</v>
          </cell>
          <cell r="AA1450" t="str">
            <v>WO Extension
8-5/8" FJWP Pin x Box</v>
          </cell>
          <cell r="AB1450">
            <v>97.770288330000071</v>
          </cell>
          <cell r="AC1450">
            <v>8.625</v>
          </cell>
          <cell r="AD1450">
            <v>2000</v>
          </cell>
          <cell r="AE1450" t="str">
            <v>8-5/8" FJWP Box</v>
          </cell>
          <cell r="AF1450" t="str">
            <v>8-5/8" FJWP Pin</v>
          </cell>
          <cell r="AG1450"/>
          <cell r="AH1450" t="str">
            <v>en stock</v>
          </cell>
          <cell r="AI1450">
            <v>0</v>
          </cell>
          <cell r="AJ1450">
            <v>0</v>
          </cell>
          <cell r="AK1450" t="str">
            <v>DBR</v>
          </cell>
          <cell r="AL1450"/>
          <cell r="AM1450"/>
          <cell r="AN1450">
            <v>5091132</v>
          </cell>
          <cell r="AO1450"/>
          <cell r="AP1450"/>
          <cell r="AQ1450"/>
          <cell r="AR1450"/>
          <cell r="AS1450">
            <v>168</v>
          </cell>
          <cell r="AT1450"/>
          <cell r="AU1450" t="str">
            <v>FR</v>
          </cell>
          <cell r="AV1450"/>
        </row>
        <row r="1451">
          <cell r="Z1451">
            <v>5091133</v>
          </cell>
          <cell r="AA1451" t="str">
            <v>WO Extension Lg 1000 mm
8-5/8" FJWP Pin x Box</v>
          </cell>
          <cell r="AB1451">
            <v>48.885144165000035</v>
          </cell>
          <cell r="AC1451">
            <v>8.625</v>
          </cell>
          <cell r="AD1451">
            <v>1000</v>
          </cell>
          <cell r="AE1451" t="str">
            <v>8-5/8" FJWP Box</v>
          </cell>
          <cell r="AF1451" t="str">
            <v>8-5/8" FJWP Pin</v>
          </cell>
          <cell r="AG1451"/>
          <cell r="AH1451" t="str">
            <v xml:space="preserve"> en stock </v>
          </cell>
          <cell r="AI1451">
            <v>1</v>
          </cell>
          <cell r="AJ1451">
            <v>0</v>
          </cell>
          <cell r="AK1451">
            <v>0</v>
          </cell>
          <cell r="AL1451"/>
          <cell r="AM1451"/>
          <cell r="AN1451">
            <v>5091133</v>
          </cell>
          <cell r="AO1451"/>
          <cell r="AP1451"/>
          <cell r="AQ1451"/>
          <cell r="AR1451"/>
          <cell r="AS1451">
            <v>103</v>
          </cell>
          <cell r="AT1451" t="str">
            <v>509-8,625FJWP</v>
          </cell>
          <cell r="AU1451" t="str">
            <v>FR</v>
          </cell>
          <cell r="AV1451"/>
        </row>
        <row r="1452">
          <cell r="Z1452">
            <v>5091134</v>
          </cell>
          <cell r="AA1452" t="str">
            <v>WO Extension Lg 1000 mm
8-5/8" FJWP Pin x Box</v>
          </cell>
          <cell r="AB1452">
            <v>48.885144165000035</v>
          </cell>
          <cell r="AC1452">
            <v>8.625</v>
          </cell>
          <cell r="AD1452">
            <v>1000</v>
          </cell>
          <cell r="AE1452" t="str">
            <v>8-5/8" FJWP Box</v>
          </cell>
          <cell r="AF1452" t="str">
            <v>8-5/8" FJWP Pin</v>
          </cell>
          <cell r="AG1452"/>
          <cell r="AH1452" t="str">
            <v>maintenance</v>
          </cell>
          <cell r="AI1452" t="str">
            <v/>
          </cell>
          <cell r="AJ1452">
            <v>0</v>
          </cell>
          <cell r="AK1452">
            <v>1</v>
          </cell>
          <cell r="AL1452"/>
          <cell r="AM1452"/>
          <cell r="AN1452">
            <v>5091134</v>
          </cell>
          <cell r="AO1452"/>
          <cell r="AP1452"/>
          <cell r="AQ1452"/>
          <cell r="AR1452"/>
          <cell r="AS1452">
            <v>104</v>
          </cell>
          <cell r="AT1452" t="str">
            <v>509-8,625FJWP</v>
          </cell>
          <cell r="AU1452" t="str">
            <v>FR</v>
          </cell>
          <cell r="AV1452"/>
        </row>
        <row r="1453">
          <cell r="Z1453">
            <v>5091135</v>
          </cell>
          <cell r="AA1453" t="str">
            <v>WO Extension
8-5/8" FJWP Pin x Box</v>
          </cell>
          <cell r="AB1453">
            <v>48.885144165000035</v>
          </cell>
          <cell r="AC1453">
            <v>8.625</v>
          </cell>
          <cell r="AD1453">
            <v>1000</v>
          </cell>
          <cell r="AE1453" t="str">
            <v>8-5/8" FJWP Box</v>
          </cell>
          <cell r="AF1453" t="str">
            <v>8-5/8" FJWP Pin</v>
          </cell>
          <cell r="AG1453"/>
          <cell r="AH1453" t="str">
            <v>en stock</v>
          </cell>
          <cell r="AI1453">
            <v>0</v>
          </cell>
          <cell r="AJ1453">
            <v>0</v>
          </cell>
          <cell r="AK1453" t="str">
            <v>DBR</v>
          </cell>
          <cell r="AL1453"/>
          <cell r="AM1453"/>
          <cell r="AN1453">
            <v>5091135</v>
          </cell>
          <cell r="AO1453"/>
          <cell r="AP1453"/>
          <cell r="AQ1453"/>
          <cell r="AR1453"/>
          <cell r="AS1453">
            <v>167</v>
          </cell>
          <cell r="AT1453" t="str">
            <v>509-8,625FJWP</v>
          </cell>
          <cell r="AU1453" t="str">
            <v>FR</v>
          </cell>
          <cell r="AV1453"/>
        </row>
        <row r="1454">
          <cell r="Z1454">
            <v>5111136</v>
          </cell>
          <cell r="AA1454" t="str">
            <v>WO Shoe
8-5/8" FJWP Box</v>
          </cell>
          <cell r="AB1454">
            <v>0</v>
          </cell>
          <cell r="AC1454">
            <v>0</v>
          </cell>
          <cell r="AD1454">
            <v>0</v>
          </cell>
          <cell r="AE1454" t="str">
            <v>8-5/8" FJWP Box</v>
          </cell>
          <cell r="AF1454"/>
          <cell r="AG1454" t="str">
            <v>BLANK</v>
          </cell>
          <cell r="AH1454" t="str">
            <v xml:space="preserve"> en stock </v>
          </cell>
          <cell r="AI1454" t="str">
            <v>blank</v>
          </cell>
          <cell r="AJ1454">
            <v>0</v>
          </cell>
          <cell r="AK1454">
            <v>0</v>
          </cell>
          <cell r="AL1454"/>
          <cell r="AM1454"/>
          <cell r="AN1454">
            <v>5111136</v>
          </cell>
          <cell r="AO1454"/>
          <cell r="AP1454"/>
          <cell r="AQ1454"/>
          <cell r="AR1454"/>
          <cell r="AS1454">
            <v>207</v>
          </cell>
          <cell r="AT1454"/>
          <cell r="AU1454" t="str">
            <v>FR</v>
          </cell>
          <cell r="AV1454"/>
        </row>
        <row r="1455">
          <cell r="Z1455">
            <v>5111137</v>
          </cell>
          <cell r="AA1455" t="str">
            <v>WO Shoe
8-5/8" FJWP Box</v>
          </cell>
          <cell r="AB1455">
            <v>0</v>
          </cell>
          <cell r="AC1455">
            <v>0</v>
          </cell>
          <cell r="AD1455">
            <v>0</v>
          </cell>
          <cell r="AE1455" t="str">
            <v>8-5/8" FJWP Box</v>
          </cell>
          <cell r="AF1455"/>
          <cell r="AG1455" t="str">
            <v>BLANK</v>
          </cell>
          <cell r="AH1455" t="str">
            <v xml:space="preserve"> en stock </v>
          </cell>
          <cell r="AI1455" t="str">
            <v>blank</v>
          </cell>
          <cell r="AJ1455">
            <v>0</v>
          </cell>
          <cell r="AK1455">
            <v>0</v>
          </cell>
          <cell r="AL1455"/>
          <cell r="AM1455"/>
          <cell r="AN1455">
            <v>5111137</v>
          </cell>
          <cell r="AO1455"/>
          <cell r="AP1455"/>
          <cell r="AQ1455"/>
          <cell r="AR1455"/>
          <cell r="AS1455">
            <v>208</v>
          </cell>
          <cell r="AT1455"/>
          <cell r="AU1455" t="str">
            <v>FR</v>
          </cell>
          <cell r="AV1455"/>
        </row>
        <row r="1456">
          <cell r="Z1456">
            <v>5111138</v>
          </cell>
          <cell r="AA1456" t="str">
            <v>WO Shoe
8-5/8" FJWP Box</v>
          </cell>
          <cell r="AB1456">
            <v>0</v>
          </cell>
          <cell r="AC1456">
            <v>0</v>
          </cell>
          <cell r="AD1456">
            <v>0</v>
          </cell>
          <cell r="AE1456" t="str">
            <v>8-5/8" FJWP Box</v>
          </cell>
          <cell r="AF1456"/>
          <cell r="AG1456" t="str">
            <v>BLANK</v>
          </cell>
          <cell r="AH1456" t="str">
            <v xml:space="preserve"> en stock </v>
          </cell>
          <cell r="AI1456" t="str">
            <v>blank</v>
          </cell>
          <cell r="AJ1456">
            <v>0</v>
          </cell>
          <cell r="AK1456">
            <v>0</v>
          </cell>
          <cell r="AL1456"/>
          <cell r="AM1456"/>
          <cell r="AN1456">
            <v>5111138</v>
          </cell>
          <cell r="AO1456"/>
          <cell r="AP1456"/>
          <cell r="AQ1456"/>
          <cell r="AR1456"/>
          <cell r="AS1456">
            <v>209</v>
          </cell>
          <cell r="AT1456"/>
          <cell r="AU1456" t="str">
            <v>FR</v>
          </cell>
          <cell r="AV1456"/>
        </row>
        <row r="1457">
          <cell r="Z1457">
            <v>5111139</v>
          </cell>
          <cell r="AA1457" t="str">
            <v>WO Shoe
8-5/8" FJWP Box</v>
          </cell>
          <cell r="AB1457">
            <v>0</v>
          </cell>
          <cell r="AC1457">
            <v>0</v>
          </cell>
          <cell r="AD1457">
            <v>0</v>
          </cell>
          <cell r="AE1457" t="str">
            <v>8-5/8" FJWP Box</v>
          </cell>
          <cell r="AF1457"/>
          <cell r="AG1457" t="str">
            <v>BLANK</v>
          </cell>
          <cell r="AH1457" t="str">
            <v xml:space="preserve"> en stock </v>
          </cell>
          <cell r="AI1457" t="str">
            <v>blank</v>
          </cell>
          <cell r="AJ1457">
            <v>0</v>
          </cell>
          <cell r="AK1457">
            <v>0</v>
          </cell>
          <cell r="AL1457"/>
          <cell r="AM1457"/>
          <cell r="AN1457">
            <v>5111139</v>
          </cell>
          <cell r="AO1457"/>
          <cell r="AP1457"/>
          <cell r="AQ1457"/>
          <cell r="AR1457"/>
          <cell r="AS1457">
            <v>210</v>
          </cell>
          <cell r="AT1457"/>
          <cell r="AU1457" t="str">
            <v>FR</v>
          </cell>
          <cell r="AV1457"/>
        </row>
        <row r="1458">
          <cell r="Z1458">
            <v>5111140</v>
          </cell>
          <cell r="AA1458" t="str">
            <v>WO Shoe
8-5/8" FJWP Box</v>
          </cell>
          <cell r="AB1458">
            <v>0</v>
          </cell>
          <cell r="AC1458">
            <v>0</v>
          </cell>
          <cell r="AD1458">
            <v>0</v>
          </cell>
          <cell r="AE1458" t="str">
            <v>8-5/8" FJWP Box</v>
          </cell>
          <cell r="AF1458"/>
          <cell r="AG1458" t="str">
            <v>BLANK</v>
          </cell>
          <cell r="AH1458" t="str">
            <v xml:space="preserve"> en stock </v>
          </cell>
          <cell r="AI1458" t="str">
            <v>blank</v>
          </cell>
          <cell r="AJ1458">
            <v>0</v>
          </cell>
          <cell r="AK1458">
            <v>0</v>
          </cell>
          <cell r="AL1458"/>
          <cell r="AM1458"/>
          <cell r="AN1458">
            <v>5111140</v>
          </cell>
          <cell r="AO1458"/>
          <cell r="AP1458"/>
          <cell r="AQ1458"/>
          <cell r="AR1458"/>
          <cell r="AS1458">
            <v>211</v>
          </cell>
          <cell r="AT1458"/>
          <cell r="AU1458" t="str">
            <v>FR</v>
          </cell>
          <cell r="AV1458"/>
        </row>
        <row r="1459">
          <cell r="Z1459">
            <v>5111141</v>
          </cell>
          <cell r="AA1459" t="str">
            <v>WO Shoe
8-5/8" FJWP Box</v>
          </cell>
          <cell r="AB1459">
            <v>0</v>
          </cell>
          <cell r="AC1459">
            <v>0</v>
          </cell>
          <cell r="AD1459">
            <v>0</v>
          </cell>
          <cell r="AE1459" t="str">
            <v>8-5/8" FJWP Box</v>
          </cell>
          <cell r="AF1459"/>
          <cell r="AG1459" t="str">
            <v>BLANK</v>
          </cell>
          <cell r="AH1459" t="str">
            <v xml:space="preserve"> en stock </v>
          </cell>
          <cell r="AI1459" t="str">
            <v>blank</v>
          </cell>
          <cell r="AJ1459">
            <v>0</v>
          </cell>
          <cell r="AK1459">
            <v>0</v>
          </cell>
          <cell r="AL1459"/>
          <cell r="AM1459"/>
          <cell r="AN1459">
            <v>5111141</v>
          </cell>
          <cell r="AO1459"/>
          <cell r="AP1459"/>
          <cell r="AQ1459"/>
          <cell r="AR1459"/>
          <cell r="AS1459">
            <v>212</v>
          </cell>
          <cell r="AT1459"/>
          <cell r="AU1459" t="str">
            <v>FR</v>
          </cell>
          <cell r="AV1459"/>
        </row>
        <row r="1460">
          <cell r="Z1460">
            <v>8131142</v>
          </cell>
          <cell r="AA1460" t="str">
            <v>XO
11-1/4" FS Pin x 11-3/4" FS Box</v>
          </cell>
          <cell r="AB1460">
            <v>190.88661217762498</v>
          </cell>
          <cell r="AC1460">
            <v>11.75</v>
          </cell>
          <cell r="AD1460">
            <v>350</v>
          </cell>
          <cell r="AE1460" t="str">
            <v>11-1/4" FS Pin</v>
          </cell>
          <cell r="AF1460" t="str">
            <v>11-3/4" FS Box</v>
          </cell>
          <cell r="AG1460"/>
          <cell r="AH1460" t="str">
            <v xml:space="preserve"> en stock </v>
          </cell>
          <cell r="AI1460">
            <v>1</v>
          </cell>
          <cell r="AJ1460">
            <v>0</v>
          </cell>
          <cell r="AK1460">
            <v>0</v>
          </cell>
          <cell r="AL1460"/>
          <cell r="AM1460"/>
          <cell r="AN1460">
            <v>8131142</v>
          </cell>
          <cell r="AO1460"/>
          <cell r="AP1460"/>
          <cell r="AQ1460"/>
          <cell r="AR1460"/>
          <cell r="AS1460">
            <v>241</v>
          </cell>
          <cell r="AT1460"/>
          <cell r="AU1460" t="str">
            <v>FR</v>
          </cell>
          <cell r="AV1460"/>
        </row>
        <row r="1461">
          <cell r="Z1461">
            <v>8081143</v>
          </cell>
          <cell r="AA1461" t="str">
            <v xml:space="preserve">Saver Sub 3-1/2" OD for NMDC
2-7/8" PH Pin x Box
Set on : </v>
          </cell>
          <cell r="AB1461">
            <v>0</v>
          </cell>
          <cell r="AC1461">
            <v>3.5</v>
          </cell>
          <cell r="AD1461">
            <v>350</v>
          </cell>
          <cell r="AE1461" t="str">
            <v>2-7/8" PH Box</v>
          </cell>
          <cell r="AF1461" t="str">
            <v>2''7/8 PH Pin</v>
          </cell>
          <cell r="AG1461" t="str">
            <v>NMDC</v>
          </cell>
          <cell r="AH1461" t="str">
            <v xml:space="preserve"> en stock </v>
          </cell>
          <cell r="AI1461">
            <v>1</v>
          </cell>
          <cell r="AJ1461">
            <v>0</v>
          </cell>
          <cell r="AK1461">
            <v>0</v>
          </cell>
          <cell r="AL1461"/>
          <cell r="AM1461"/>
          <cell r="AN1461" t="str">
            <v/>
          </cell>
          <cell r="AO1461"/>
          <cell r="AP1461"/>
          <cell r="AQ1461"/>
          <cell r="AR1461"/>
          <cell r="AS1461">
            <v>5</v>
          </cell>
          <cell r="AT1461"/>
          <cell r="AU1461" t="str">
            <v>FR</v>
          </cell>
          <cell r="AV1461"/>
        </row>
        <row r="1462">
          <cell r="Z1462">
            <v>8081144</v>
          </cell>
          <cell r="AA1462" t="str">
            <v xml:space="preserve">Saver Sub 3-1/2" OD for NMDC
2-7/8" PH Pin x Box
Set on : </v>
          </cell>
          <cell r="AB1462">
            <v>0</v>
          </cell>
          <cell r="AC1462">
            <v>3.5</v>
          </cell>
          <cell r="AD1462">
            <v>350</v>
          </cell>
          <cell r="AE1462" t="str">
            <v>2-7/8" PH Box</v>
          </cell>
          <cell r="AF1462" t="str">
            <v>2''7/8 PH Pin</v>
          </cell>
          <cell r="AG1462" t="str">
            <v>NMDC</v>
          </cell>
          <cell r="AH1462" t="str">
            <v xml:space="preserve"> en stock </v>
          </cell>
          <cell r="AI1462">
            <v>1</v>
          </cell>
          <cell r="AJ1462">
            <v>0</v>
          </cell>
          <cell r="AK1462">
            <v>0</v>
          </cell>
          <cell r="AL1462"/>
          <cell r="AM1462"/>
          <cell r="AN1462" t="str">
            <v/>
          </cell>
          <cell r="AO1462"/>
          <cell r="AP1462"/>
          <cell r="AQ1462"/>
          <cell r="AR1462"/>
          <cell r="AS1462">
            <v>6</v>
          </cell>
          <cell r="AT1462"/>
          <cell r="AU1462" t="str">
            <v>FR</v>
          </cell>
          <cell r="AV1462"/>
        </row>
        <row r="1463">
          <cell r="Z1463">
            <v>8081145</v>
          </cell>
          <cell r="AA1463" t="str">
            <v xml:space="preserve">Saver Sub 3-1/2" OD for NMDC
2-7/8" PH Pin x Box
Set on : </v>
          </cell>
          <cell r="AB1463">
            <v>0</v>
          </cell>
          <cell r="AC1463">
            <v>3.5</v>
          </cell>
          <cell r="AD1463">
            <v>350</v>
          </cell>
          <cell r="AE1463" t="str">
            <v>2-7/8" PH Box</v>
          </cell>
          <cell r="AF1463" t="str">
            <v>2''7/8 PH Pin</v>
          </cell>
          <cell r="AG1463" t="str">
            <v>NMDC</v>
          </cell>
          <cell r="AH1463" t="str">
            <v xml:space="preserve"> en stock </v>
          </cell>
          <cell r="AI1463">
            <v>1</v>
          </cell>
          <cell r="AJ1463">
            <v>0</v>
          </cell>
          <cell r="AK1463">
            <v>0</v>
          </cell>
          <cell r="AL1463"/>
          <cell r="AM1463"/>
          <cell r="AN1463" t="str">
            <v/>
          </cell>
          <cell r="AO1463"/>
          <cell r="AP1463"/>
          <cell r="AQ1463"/>
          <cell r="AR1463"/>
          <cell r="AS1463">
            <v>7</v>
          </cell>
          <cell r="AT1463"/>
          <cell r="AU1463" t="str">
            <v>FR</v>
          </cell>
          <cell r="AV1463"/>
        </row>
        <row r="1464">
          <cell r="Z1464">
            <v>8081146</v>
          </cell>
          <cell r="AA1464" t="str">
            <v xml:space="preserve">Saver Sub 3-1/2" OD for NMDC
2-7/8" PH Pin x Box
Set on : </v>
          </cell>
          <cell r="AB1464">
            <v>0</v>
          </cell>
          <cell r="AC1464">
            <v>3.5</v>
          </cell>
          <cell r="AD1464">
            <v>350</v>
          </cell>
          <cell r="AE1464" t="str">
            <v>2-7/8" PH Box</v>
          </cell>
          <cell r="AF1464" t="str">
            <v>2''7/8 PH Pin</v>
          </cell>
          <cell r="AG1464" t="str">
            <v>NMDC</v>
          </cell>
          <cell r="AH1464" t="str">
            <v xml:space="preserve"> en stock </v>
          </cell>
          <cell r="AI1464">
            <v>1</v>
          </cell>
          <cell r="AJ1464">
            <v>0</v>
          </cell>
          <cell r="AK1464">
            <v>0</v>
          </cell>
          <cell r="AL1464"/>
          <cell r="AM1464"/>
          <cell r="AN1464" t="str">
            <v/>
          </cell>
          <cell r="AO1464"/>
          <cell r="AP1464"/>
          <cell r="AQ1464"/>
          <cell r="AR1464"/>
          <cell r="AS1464">
            <v>8</v>
          </cell>
          <cell r="AT1464"/>
          <cell r="AU1464" t="str">
            <v>FR</v>
          </cell>
          <cell r="AV1464"/>
        </row>
        <row r="1465">
          <cell r="Z1465">
            <v>8081147</v>
          </cell>
          <cell r="AA1465" t="str">
            <v xml:space="preserve">Saver Sub 4-3/4" OD for NMDC
3-1/2" IF Pin x Box
Set on : </v>
          </cell>
          <cell r="AB1465">
            <v>30</v>
          </cell>
          <cell r="AC1465">
            <v>4.75</v>
          </cell>
          <cell r="AD1465">
            <v>500</v>
          </cell>
          <cell r="AE1465" t="str">
            <v>3-1/2" IF Box</v>
          </cell>
          <cell r="AF1465" t="str">
            <v>3-1/2" IF Pin</v>
          </cell>
          <cell r="AG1465" t="str">
            <v>NMDC</v>
          </cell>
          <cell r="AH1465" t="str">
            <v xml:space="preserve"> en stock </v>
          </cell>
          <cell r="AI1465">
            <v>1</v>
          </cell>
          <cell r="AJ1465">
            <v>0</v>
          </cell>
          <cell r="AK1465">
            <v>0</v>
          </cell>
          <cell r="AL1465"/>
          <cell r="AM1465"/>
          <cell r="AN1465" t="str">
            <v/>
          </cell>
          <cell r="AO1465"/>
          <cell r="AP1465"/>
          <cell r="AQ1465"/>
          <cell r="AR1465"/>
          <cell r="AS1465">
            <v>19</v>
          </cell>
          <cell r="AT1465"/>
          <cell r="AU1465" t="str">
            <v>FR</v>
          </cell>
          <cell r="AV1465"/>
        </row>
        <row r="1466">
          <cell r="Z1466">
            <v>8081149</v>
          </cell>
          <cell r="AA1466" t="str">
            <v xml:space="preserve">Saver Sub 4-3/4" OD for NMDC
3-1/2" IF Pin x Box
Set on : </v>
          </cell>
          <cell r="AB1466">
            <v>30</v>
          </cell>
          <cell r="AC1466">
            <v>4.75</v>
          </cell>
          <cell r="AD1466">
            <v>500</v>
          </cell>
          <cell r="AE1466" t="str">
            <v>3-1/2" IF Box</v>
          </cell>
          <cell r="AF1466" t="str">
            <v>3-1/2" IF Pin</v>
          </cell>
          <cell r="AG1466" t="str">
            <v>NMDC</v>
          </cell>
          <cell r="AH1466" t="str">
            <v xml:space="preserve"> en stock </v>
          </cell>
          <cell r="AI1466">
            <v>1</v>
          </cell>
          <cell r="AJ1466">
            <v>0</v>
          </cell>
          <cell r="AK1466">
            <v>0</v>
          </cell>
          <cell r="AL1466"/>
          <cell r="AM1466"/>
          <cell r="AN1466" t="str">
            <v/>
          </cell>
          <cell r="AO1466"/>
          <cell r="AP1466"/>
          <cell r="AQ1466"/>
          <cell r="AR1466"/>
          <cell r="AS1466">
            <v>20</v>
          </cell>
          <cell r="AT1466"/>
          <cell r="AU1466" t="str">
            <v>FR</v>
          </cell>
          <cell r="AV1466"/>
        </row>
        <row r="1467">
          <cell r="Z1467">
            <v>8081150</v>
          </cell>
          <cell r="AA1467" t="str">
            <v xml:space="preserve">Saver Sub 4-3/4" OD for NMDC
3-1/2" IF Pin x Box
Set on : </v>
          </cell>
          <cell r="AB1467">
            <v>30</v>
          </cell>
          <cell r="AC1467">
            <v>4.75</v>
          </cell>
          <cell r="AD1467">
            <v>500</v>
          </cell>
          <cell r="AE1467" t="str">
            <v>3-1/2" IF Box</v>
          </cell>
          <cell r="AF1467" t="str">
            <v>3-1/2" IF Pin</v>
          </cell>
          <cell r="AG1467" t="str">
            <v>NMDC</v>
          </cell>
          <cell r="AH1467" t="str">
            <v xml:space="preserve"> en stock </v>
          </cell>
          <cell r="AI1467">
            <v>1</v>
          </cell>
          <cell r="AJ1467">
            <v>0</v>
          </cell>
          <cell r="AK1467">
            <v>0</v>
          </cell>
          <cell r="AL1467"/>
          <cell r="AM1467"/>
          <cell r="AN1467" t="str">
            <v/>
          </cell>
          <cell r="AO1467"/>
          <cell r="AP1467"/>
          <cell r="AQ1467"/>
          <cell r="AR1467"/>
          <cell r="AS1467">
            <v>21</v>
          </cell>
          <cell r="AT1467"/>
          <cell r="AU1467" t="str">
            <v>FR</v>
          </cell>
          <cell r="AV1467"/>
        </row>
        <row r="1468">
          <cell r="Z1468">
            <v>8081151</v>
          </cell>
          <cell r="AA1468" t="str">
            <v xml:space="preserve">Saver Sub 4-3/4" OD for NMDC
3-1/2" IF Pin x Box
Set on : </v>
          </cell>
          <cell r="AB1468">
            <v>30</v>
          </cell>
          <cell r="AC1468">
            <v>4.75</v>
          </cell>
          <cell r="AD1468">
            <v>500</v>
          </cell>
          <cell r="AE1468" t="str">
            <v>3-1/2" IF Box</v>
          </cell>
          <cell r="AF1468" t="str">
            <v>3-1/2" IF Pin</v>
          </cell>
          <cell r="AG1468" t="str">
            <v>NMDC</v>
          </cell>
          <cell r="AH1468" t="str">
            <v xml:space="preserve"> en stock </v>
          </cell>
          <cell r="AI1468">
            <v>1</v>
          </cell>
          <cell r="AJ1468">
            <v>0</v>
          </cell>
          <cell r="AK1468">
            <v>0</v>
          </cell>
          <cell r="AL1468"/>
          <cell r="AM1468"/>
          <cell r="AN1468" t="str">
            <v/>
          </cell>
          <cell r="AO1468"/>
          <cell r="AP1468"/>
          <cell r="AQ1468"/>
          <cell r="AR1468"/>
          <cell r="AS1468">
            <v>22</v>
          </cell>
          <cell r="AT1468"/>
          <cell r="AU1468" t="str">
            <v>FR</v>
          </cell>
          <cell r="AV1468"/>
        </row>
        <row r="1469">
          <cell r="Z1469">
            <v>8081152</v>
          </cell>
          <cell r="AA1469" t="str">
            <v xml:space="preserve">Saver Sub 6-1/2" OD for NMDC
4-1/2" IF Pin x Box
Set on : </v>
          </cell>
          <cell r="AB1469">
            <v>75.105357853499996</v>
          </cell>
          <cell r="AC1469">
            <v>6.5</v>
          </cell>
          <cell r="AD1469">
            <v>600</v>
          </cell>
          <cell r="AE1469" t="str">
            <v>4-1/2" IF Box</v>
          </cell>
          <cell r="AF1469" t="str">
            <v>4-1/2" IF Pin</v>
          </cell>
          <cell r="AG1469" t="str">
            <v>NMDC</v>
          </cell>
          <cell r="AH1469" t="str">
            <v xml:space="preserve"> en stock </v>
          </cell>
          <cell r="AI1469">
            <v>1</v>
          </cell>
          <cell r="AJ1469">
            <v>0</v>
          </cell>
          <cell r="AK1469">
            <v>0</v>
          </cell>
          <cell r="AL1469"/>
          <cell r="AM1469"/>
          <cell r="AN1469" t="str">
            <v/>
          </cell>
          <cell r="AO1469"/>
          <cell r="AP1469"/>
          <cell r="AQ1469"/>
          <cell r="AR1469"/>
          <cell r="AS1469">
            <v>40</v>
          </cell>
          <cell r="AT1469"/>
          <cell r="AU1469" t="str">
            <v>FR</v>
          </cell>
          <cell r="AV1469"/>
        </row>
        <row r="1470">
          <cell r="Z1470">
            <v>8081153</v>
          </cell>
          <cell r="AA1470" t="str">
            <v xml:space="preserve">Saver Sub 6-1/2" OD for NMDC
4-1/2" IF Pin x Box
Set on : </v>
          </cell>
          <cell r="AB1470">
            <v>43.811458747874994</v>
          </cell>
          <cell r="AC1470">
            <v>6.5</v>
          </cell>
          <cell r="AD1470">
            <v>350</v>
          </cell>
          <cell r="AE1470" t="str">
            <v>4-1/2" IF Box</v>
          </cell>
          <cell r="AF1470" t="str">
            <v>4-1/2" IF Pin</v>
          </cell>
          <cell r="AG1470" t="str">
            <v>NMDC</v>
          </cell>
          <cell r="AH1470" t="str">
            <v xml:space="preserve"> en stock </v>
          </cell>
          <cell r="AI1470">
            <v>1</v>
          </cell>
          <cell r="AJ1470">
            <v>0</v>
          </cell>
          <cell r="AK1470">
            <v>0</v>
          </cell>
          <cell r="AL1470"/>
          <cell r="AM1470"/>
          <cell r="AN1470" t="str">
            <v/>
          </cell>
          <cell r="AO1470"/>
          <cell r="AP1470"/>
          <cell r="AQ1470"/>
          <cell r="AR1470"/>
          <cell r="AS1470">
            <v>41</v>
          </cell>
          <cell r="AT1470"/>
          <cell r="AU1470" t="str">
            <v>FR</v>
          </cell>
          <cell r="AV1470"/>
        </row>
        <row r="1471">
          <cell r="Z1471">
            <v>8081154</v>
          </cell>
          <cell r="AA1471" t="str">
            <v xml:space="preserve">Saver Sub 6-1/2" OD for NMDC
4-1/2" IF Pin x Box
Set on : </v>
          </cell>
          <cell r="AB1471">
            <v>43.811458747874994</v>
          </cell>
          <cell r="AC1471">
            <v>6.5</v>
          </cell>
          <cell r="AD1471">
            <v>350</v>
          </cell>
          <cell r="AE1471" t="str">
            <v>4-1/2" IF Box</v>
          </cell>
          <cell r="AF1471" t="str">
            <v>4-1/2" IF Pin</v>
          </cell>
          <cell r="AG1471" t="str">
            <v>NMDC</v>
          </cell>
          <cell r="AH1471" t="str">
            <v xml:space="preserve"> en stock </v>
          </cell>
          <cell r="AI1471">
            <v>1</v>
          </cell>
          <cell r="AJ1471">
            <v>0</v>
          </cell>
          <cell r="AK1471">
            <v>0</v>
          </cell>
          <cell r="AL1471"/>
          <cell r="AM1471"/>
          <cell r="AN1471" t="str">
            <v/>
          </cell>
          <cell r="AO1471"/>
          <cell r="AP1471"/>
          <cell r="AQ1471"/>
          <cell r="AR1471"/>
          <cell r="AS1471">
            <v>42</v>
          </cell>
          <cell r="AT1471"/>
          <cell r="AU1471" t="str">
            <v>FR</v>
          </cell>
          <cell r="AV1471"/>
        </row>
        <row r="1472">
          <cell r="Z1472">
            <v>8081155</v>
          </cell>
          <cell r="AA1472" t="str">
            <v xml:space="preserve">Saver Sub 6-1/2" OD for NMDC
4-1/2" IF Pin x Box
Set on : </v>
          </cell>
          <cell r="AB1472">
            <v>43.811458747874994</v>
          </cell>
          <cell r="AC1472">
            <v>6.5</v>
          </cell>
          <cell r="AD1472">
            <v>350</v>
          </cell>
          <cell r="AE1472" t="str">
            <v>4-1/2" IF Box</v>
          </cell>
          <cell r="AF1472" t="str">
            <v>4-1/2" IF Pin</v>
          </cell>
          <cell r="AG1472" t="str">
            <v>NMDC</v>
          </cell>
          <cell r="AH1472" t="str">
            <v xml:space="preserve"> en stock </v>
          </cell>
          <cell r="AI1472">
            <v>1</v>
          </cell>
          <cell r="AJ1472">
            <v>0</v>
          </cell>
          <cell r="AK1472">
            <v>0</v>
          </cell>
          <cell r="AL1472"/>
          <cell r="AM1472"/>
          <cell r="AN1472" t="str">
            <v/>
          </cell>
          <cell r="AO1472"/>
          <cell r="AP1472"/>
          <cell r="AQ1472"/>
          <cell r="AR1472"/>
          <cell r="AS1472">
            <v>43</v>
          </cell>
          <cell r="AT1472"/>
          <cell r="AU1472" t="str">
            <v>FR</v>
          </cell>
          <cell r="AV1472"/>
        </row>
        <row r="1473">
          <cell r="Z1473">
            <v>8081156</v>
          </cell>
          <cell r="AA1473" t="str">
            <v xml:space="preserve">Saver Sub 6-1/2" OD for NMDC
4-1/2" IF Pin x Box
Set on : </v>
          </cell>
          <cell r="AB1473">
            <v>43.811458747874994</v>
          </cell>
          <cell r="AC1473">
            <v>6.5</v>
          </cell>
          <cell r="AD1473">
            <v>350</v>
          </cell>
          <cell r="AE1473" t="str">
            <v>4-1/2" IF Box</v>
          </cell>
          <cell r="AF1473" t="str">
            <v>4-1/2" IF Pin</v>
          </cell>
          <cell r="AG1473" t="str">
            <v>NMDC</v>
          </cell>
          <cell r="AH1473" t="str">
            <v>maintenance</v>
          </cell>
          <cell r="AI1473" t="str">
            <v/>
          </cell>
          <cell r="AJ1473">
            <v>0</v>
          </cell>
          <cell r="AK1473">
            <v>1</v>
          </cell>
          <cell r="AL1473"/>
          <cell r="AM1473"/>
          <cell r="AN1473" t="str">
            <v/>
          </cell>
          <cell r="AO1473"/>
          <cell r="AP1473"/>
          <cell r="AQ1473"/>
          <cell r="AR1473"/>
          <cell r="AS1473">
            <v>44</v>
          </cell>
          <cell r="AT1473"/>
          <cell r="AU1473" t="str">
            <v>FR</v>
          </cell>
          <cell r="AV1473"/>
        </row>
        <row r="1474">
          <cell r="Z1474">
            <v>8081157</v>
          </cell>
          <cell r="AA1474" t="str">
            <v xml:space="preserve">Saver Sub 6-1/2" OD for NMDC
4-1/2" IF Pin x Box
Set on : </v>
          </cell>
          <cell r="AB1474">
            <v>43.811458747874994</v>
          </cell>
          <cell r="AC1474">
            <v>6.5</v>
          </cell>
          <cell r="AD1474">
            <v>350</v>
          </cell>
          <cell r="AE1474" t="str">
            <v>4-1/2" IF Box</v>
          </cell>
          <cell r="AF1474" t="str">
            <v>4-1/2" IF Pin</v>
          </cell>
          <cell r="AG1474" t="str">
            <v>NMDC</v>
          </cell>
          <cell r="AH1474" t="str">
            <v>maintenance</v>
          </cell>
          <cell r="AI1474" t="str">
            <v/>
          </cell>
          <cell r="AJ1474">
            <v>0</v>
          </cell>
          <cell r="AK1474">
            <v>1</v>
          </cell>
          <cell r="AL1474"/>
          <cell r="AM1474"/>
          <cell r="AN1474" t="str">
            <v/>
          </cell>
          <cell r="AO1474"/>
          <cell r="AP1474"/>
          <cell r="AQ1474"/>
          <cell r="AR1474"/>
          <cell r="AS1474">
            <v>45</v>
          </cell>
          <cell r="AT1474"/>
          <cell r="AU1474" t="str">
            <v>FR</v>
          </cell>
          <cell r="AV1474"/>
        </row>
        <row r="1475">
          <cell r="Z1475">
            <v>8081158</v>
          </cell>
          <cell r="AA1475" t="str">
            <v xml:space="preserve">Saver Sub 8" OD for NMDC
6-5/8" REG Pin x Box
Set on : </v>
          </cell>
          <cell r="AB1475">
            <v>138.08818753274997</v>
          </cell>
          <cell r="AC1475">
            <v>8</v>
          </cell>
          <cell r="AD1475">
            <v>700</v>
          </cell>
          <cell r="AE1475" t="str">
            <v>6-5/8" REG Box</v>
          </cell>
          <cell r="AF1475" t="str">
            <v>6-5/8" REG Pin</v>
          </cell>
          <cell r="AG1475" t="str">
            <v>NMDC</v>
          </cell>
          <cell r="AH1475" t="str">
            <v>sur chantier</v>
          </cell>
          <cell r="AI1475" t="str">
            <v/>
          </cell>
          <cell r="AJ1475">
            <v>1</v>
          </cell>
          <cell r="AK1475">
            <v>0</v>
          </cell>
          <cell r="AL1475"/>
          <cell r="AM1475"/>
          <cell r="AN1475" t="str">
            <v/>
          </cell>
          <cell r="AO1475"/>
          <cell r="AP1475"/>
          <cell r="AQ1475"/>
          <cell r="AR1475"/>
          <cell r="AS1475">
            <v>72</v>
          </cell>
          <cell r="AT1475"/>
          <cell r="AU1475" t="str">
            <v>FR</v>
          </cell>
          <cell r="AV1475"/>
        </row>
        <row r="1476">
          <cell r="Z1476">
            <v>8081159</v>
          </cell>
          <cell r="AA1476" t="str">
            <v xml:space="preserve">Saver Sub 8" OD for NMDC
6-5/8" REG Pin x Box
Set on : </v>
          </cell>
          <cell r="AB1476">
            <v>138.08818753274997</v>
          </cell>
          <cell r="AC1476">
            <v>8</v>
          </cell>
          <cell r="AD1476">
            <v>700</v>
          </cell>
          <cell r="AE1476" t="str">
            <v>6-5/8" REG Box</v>
          </cell>
          <cell r="AF1476" t="str">
            <v>6-5/8" REG Pin</v>
          </cell>
          <cell r="AG1476" t="str">
            <v>NMDC</v>
          </cell>
          <cell r="AH1476" t="str">
            <v>sur chantier</v>
          </cell>
          <cell r="AI1476" t="str">
            <v/>
          </cell>
          <cell r="AJ1476">
            <v>1</v>
          </cell>
          <cell r="AK1476">
            <v>0</v>
          </cell>
          <cell r="AL1476"/>
          <cell r="AM1476"/>
          <cell r="AN1476" t="str">
            <v/>
          </cell>
          <cell r="AO1476"/>
          <cell r="AP1476"/>
          <cell r="AQ1476"/>
          <cell r="AR1476"/>
          <cell r="AS1476">
            <v>73</v>
          </cell>
          <cell r="AT1476"/>
          <cell r="AU1476" t="str">
            <v>FR</v>
          </cell>
          <cell r="AV1476"/>
        </row>
        <row r="1477">
          <cell r="Z1477">
            <v>8081160</v>
          </cell>
          <cell r="AA1477" t="str">
            <v xml:space="preserve">Saver Sub 8" OD for NMDC
6-5/8" REG Pin x Box
Set on : </v>
          </cell>
          <cell r="AB1477">
            <v>138.08818753274997</v>
          </cell>
          <cell r="AC1477">
            <v>8</v>
          </cell>
          <cell r="AD1477">
            <v>700</v>
          </cell>
          <cell r="AE1477" t="str">
            <v>6-5/8" REG Box</v>
          </cell>
          <cell r="AF1477" t="str">
            <v>6-5/8" REG Pin</v>
          </cell>
          <cell r="AG1477" t="str">
            <v>NMDC</v>
          </cell>
          <cell r="AH1477" t="str">
            <v>sur chantier</v>
          </cell>
          <cell r="AI1477" t="str">
            <v/>
          </cell>
          <cell r="AJ1477">
            <v>1</v>
          </cell>
          <cell r="AK1477">
            <v>0</v>
          </cell>
          <cell r="AL1477"/>
          <cell r="AM1477"/>
          <cell r="AN1477" t="str">
            <v/>
          </cell>
          <cell r="AO1477"/>
          <cell r="AP1477"/>
          <cell r="AQ1477"/>
          <cell r="AR1477"/>
          <cell r="AS1477">
            <v>74</v>
          </cell>
          <cell r="AT1477"/>
          <cell r="AU1477" t="str">
            <v>FR</v>
          </cell>
          <cell r="AV1477"/>
        </row>
        <row r="1478">
          <cell r="Z1478">
            <v>8081161</v>
          </cell>
          <cell r="AA1478" t="str">
            <v xml:space="preserve">Saver Sub 8" OD for NMDC
6-5/8" REG Pin x Box
Set on : </v>
          </cell>
          <cell r="AB1478">
            <v>138.08818753274997</v>
          </cell>
          <cell r="AC1478">
            <v>8</v>
          </cell>
          <cell r="AD1478">
            <v>700</v>
          </cell>
          <cell r="AE1478" t="str">
            <v>6-5/8" REG Box</v>
          </cell>
          <cell r="AF1478" t="str">
            <v>6-5/8" REG Pin</v>
          </cell>
          <cell r="AG1478" t="str">
            <v>NMDC</v>
          </cell>
          <cell r="AH1478" t="str">
            <v>sur chantier</v>
          </cell>
          <cell r="AI1478" t="str">
            <v/>
          </cell>
          <cell r="AJ1478">
            <v>1</v>
          </cell>
          <cell r="AK1478">
            <v>0</v>
          </cell>
          <cell r="AL1478"/>
          <cell r="AM1478"/>
          <cell r="AN1478" t="str">
            <v/>
          </cell>
          <cell r="AO1478"/>
          <cell r="AP1478"/>
          <cell r="AQ1478"/>
          <cell r="AR1478"/>
          <cell r="AS1478">
            <v>75</v>
          </cell>
          <cell r="AT1478"/>
          <cell r="AU1478" t="str">
            <v>FR</v>
          </cell>
          <cell r="AV1478"/>
        </row>
        <row r="1479">
          <cell r="Z1479">
            <v>8081162</v>
          </cell>
          <cell r="AA1479" t="str">
            <v xml:space="preserve">Saver Sub 8" OD for NMDC
6-5/8" REG Pin x Box
Set on : </v>
          </cell>
          <cell r="AB1479">
            <v>139.37358289542183</v>
          </cell>
          <cell r="AC1479">
            <v>8</v>
          </cell>
          <cell r="AD1479">
            <v>700</v>
          </cell>
          <cell r="AE1479" t="str">
            <v>6-5/8" REG Box</v>
          </cell>
          <cell r="AF1479" t="str">
            <v>6-5/8" REG Pin</v>
          </cell>
          <cell r="AG1479" t="str">
            <v>NMDC</v>
          </cell>
          <cell r="AH1479" t="str">
            <v>sur chantier</v>
          </cell>
          <cell r="AI1479" t="str">
            <v/>
          </cell>
          <cell r="AJ1479">
            <v>1</v>
          </cell>
          <cell r="AK1479">
            <v>0</v>
          </cell>
          <cell r="AL1479"/>
          <cell r="AM1479"/>
          <cell r="AN1479" t="str">
            <v/>
          </cell>
          <cell r="AO1479"/>
          <cell r="AP1479"/>
          <cell r="AQ1479"/>
          <cell r="AR1479"/>
          <cell r="AS1479">
            <v>76</v>
          </cell>
          <cell r="AT1479"/>
          <cell r="AU1479" t="str">
            <v>FR</v>
          </cell>
          <cell r="AV1479"/>
        </row>
        <row r="1480">
          <cell r="Z1480">
            <v>8081163</v>
          </cell>
          <cell r="AA1480" t="str">
            <v xml:space="preserve">Saver Sub 8" OD for NMDC
6-5/8" REG Pin x Box
Set on : </v>
          </cell>
          <cell r="AB1480">
            <v>138.08818753274997</v>
          </cell>
          <cell r="AC1480">
            <v>8</v>
          </cell>
          <cell r="AD1480">
            <v>700</v>
          </cell>
          <cell r="AE1480" t="str">
            <v>6-5/8" REG Box</v>
          </cell>
          <cell r="AF1480" t="str">
            <v>6-5/8" REG Pin</v>
          </cell>
          <cell r="AG1480" t="str">
            <v>NMDC</v>
          </cell>
          <cell r="AH1480" t="str">
            <v>sur chantier</v>
          </cell>
          <cell r="AI1480" t="str">
            <v/>
          </cell>
          <cell r="AJ1480">
            <v>1</v>
          </cell>
          <cell r="AK1480">
            <v>0</v>
          </cell>
          <cell r="AL1480"/>
          <cell r="AM1480"/>
          <cell r="AN1480" t="str">
            <v/>
          </cell>
          <cell r="AO1480"/>
          <cell r="AP1480"/>
          <cell r="AQ1480"/>
          <cell r="AR1480"/>
          <cell r="AS1480">
            <v>77</v>
          </cell>
          <cell r="AT1480"/>
          <cell r="AU1480" t="str">
            <v>FR</v>
          </cell>
          <cell r="AV1480"/>
        </row>
        <row r="1481">
          <cell r="Z1481">
            <v>8081164</v>
          </cell>
          <cell r="AA1481" t="str">
            <v xml:space="preserve">Saver Sub 8" OD for NMDC
6-5/8" REG Pin x Box
Set on : </v>
          </cell>
          <cell r="AB1481">
            <v>62.519007184517818</v>
          </cell>
          <cell r="AC1481">
            <v>8</v>
          </cell>
          <cell r="AD1481">
            <v>314</v>
          </cell>
          <cell r="AE1481" t="str">
            <v>6-5/8" REG Box</v>
          </cell>
          <cell r="AF1481" t="str">
            <v>6-5/8" REG Pin</v>
          </cell>
          <cell r="AG1481" t="str">
            <v>NMDC</v>
          </cell>
          <cell r="AH1481" t="str">
            <v>sur chantier</v>
          </cell>
          <cell r="AI1481" t="str">
            <v/>
          </cell>
          <cell r="AJ1481">
            <v>1</v>
          </cell>
          <cell r="AK1481">
            <v>0</v>
          </cell>
          <cell r="AL1481"/>
          <cell r="AM1481"/>
          <cell r="AN1481" t="str">
            <v/>
          </cell>
          <cell r="AO1481"/>
          <cell r="AP1481"/>
          <cell r="AQ1481"/>
          <cell r="AR1481"/>
          <cell r="AS1481">
            <v>78</v>
          </cell>
          <cell r="AT1481"/>
          <cell r="AU1481" t="str">
            <v>FR</v>
          </cell>
          <cell r="AV1481"/>
        </row>
        <row r="1482">
          <cell r="Z1482">
            <v>8081148</v>
          </cell>
          <cell r="AA1482" t="str">
            <v xml:space="preserve">Saver Sub 8" OD for NMDC
6-5/8" REG Pin x Box
Set on : </v>
          </cell>
          <cell r="AB1482">
            <v>138.08818753274997</v>
          </cell>
          <cell r="AC1482">
            <v>8</v>
          </cell>
          <cell r="AD1482">
            <v>700</v>
          </cell>
          <cell r="AE1482" t="str">
            <v>6-5/8" REG Box</v>
          </cell>
          <cell r="AF1482" t="str">
            <v>6-5/8" REG Pin</v>
          </cell>
          <cell r="AG1482" t="str">
            <v>NMDC</v>
          </cell>
          <cell r="AH1482" t="str">
            <v>sur chantier</v>
          </cell>
          <cell r="AI1482" t="str">
            <v/>
          </cell>
          <cell r="AJ1482">
            <v>1</v>
          </cell>
          <cell r="AK1482">
            <v>0</v>
          </cell>
          <cell r="AL1482"/>
          <cell r="AM1482"/>
          <cell r="AN1482" t="str">
            <v/>
          </cell>
          <cell r="AO1482"/>
          <cell r="AP1482"/>
          <cell r="AQ1482"/>
          <cell r="AR1482"/>
          <cell r="AS1482">
            <v>79</v>
          </cell>
          <cell r="AT1482"/>
          <cell r="AU1482" t="str">
            <v>FR</v>
          </cell>
          <cell r="AV1482"/>
        </row>
        <row r="1483">
          <cell r="Z1483">
            <v>8081165</v>
          </cell>
          <cell r="AA1483" t="str">
            <v xml:space="preserve">Saver Sub 9-1/2" OD for NMDC
7-5/8" REG Pin x Box
Set on : </v>
          </cell>
          <cell r="AB1483">
            <v>99.807169336874992</v>
          </cell>
          <cell r="AC1483">
            <v>9.5</v>
          </cell>
          <cell r="AD1483">
            <v>350</v>
          </cell>
          <cell r="AE1483" t="str">
            <v>7-5/8" REG Box</v>
          </cell>
          <cell r="AF1483" t="str">
            <v>7-5/8" REG Pin</v>
          </cell>
          <cell r="AG1483" t="str">
            <v>NMDC</v>
          </cell>
          <cell r="AH1483" t="str">
            <v xml:space="preserve"> en stock </v>
          </cell>
          <cell r="AI1483">
            <v>1</v>
          </cell>
          <cell r="AJ1483">
            <v>0</v>
          </cell>
          <cell r="AK1483">
            <v>0</v>
          </cell>
          <cell r="AL1483"/>
          <cell r="AM1483"/>
          <cell r="AN1483" t="str">
            <v/>
          </cell>
          <cell r="AO1483"/>
          <cell r="AP1483"/>
          <cell r="AQ1483"/>
          <cell r="AR1483"/>
          <cell r="AS1483">
            <v>106</v>
          </cell>
          <cell r="AT1483"/>
          <cell r="AU1483" t="str">
            <v>FR</v>
          </cell>
          <cell r="AV1483"/>
        </row>
        <row r="1484">
          <cell r="Z1484">
            <v>8081166</v>
          </cell>
          <cell r="AA1484" t="str">
            <v xml:space="preserve">Saver Sub 9-1/2" OD for NMDC
7-5/8" REG Pin x Box
Set on : </v>
          </cell>
          <cell r="AB1484">
            <v>94.103902517624988</v>
          </cell>
          <cell r="AC1484">
            <v>9.5</v>
          </cell>
          <cell r="AD1484">
            <v>330</v>
          </cell>
          <cell r="AE1484" t="str">
            <v>7-5/8" REG Box</v>
          </cell>
          <cell r="AF1484" t="str">
            <v>7-5/8" REG Pin</v>
          </cell>
          <cell r="AG1484" t="str">
            <v>NMDC</v>
          </cell>
          <cell r="AH1484" t="str">
            <v>maintenance</v>
          </cell>
          <cell r="AI1484" t="str">
            <v/>
          </cell>
          <cell r="AJ1484">
            <v>0</v>
          </cell>
          <cell r="AK1484">
            <v>1</v>
          </cell>
          <cell r="AL1484"/>
          <cell r="AM1484"/>
          <cell r="AN1484" t="str">
            <v/>
          </cell>
          <cell r="AO1484"/>
          <cell r="AP1484"/>
          <cell r="AQ1484"/>
          <cell r="AR1484"/>
          <cell r="AS1484">
            <v>107</v>
          </cell>
          <cell r="AT1484"/>
          <cell r="AU1484" t="str">
            <v>FR</v>
          </cell>
          <cell r="AV1484"/>
        </row>
        <row r="1485">
          <cell r="Z1485">
            <v>8081167</v>
          </cell>
          <cell r="AA1485" t="str">
            <v xml:space="preserve">Saver Sub 9-1/2" OD for NMDC
7-5/8" REG Pin x Box
Set on : </v>
          </cell>
          <cell r="AB1485">
            <v>99.807169336874992</v>
          </cell>
          <cell r="AC1485">
            <v>9.5</v>
          </cell>
          <cell r="AD1485">
            <v>350</v>
          </cell>
          <cell r="AE1485" t="str">
            <v>7-5/8" REG Box</v>
          </cell>
          <cell r="AF1485" t="str">
            <v>7-5/8" REG Pin</v>
          </cell>
          <cell r="AG1485" t="str">
            <v>NMDC</v>
          </cell>
          <cell r="AH1485" t="str">
            <v>sur chantier</v>
          </cell>
          <cell r="AI1485" t="str">
            <v/>
          </cell>
          <cell r="AJ1485">
            <v>1</v>
          </cell>
          <cell r="AK1485">
            <v>0</v>
          </cell>
          <cell r="AL1485"/>
          <cell r="AM1485"/>
          <cell r="AN1485" t="str">
            <v/>
          </cell>
          <cell r="AO1485"/>
          <cell r="AP1485"/>
          <cell r="AQ1485"/>
          <cell r="AR1485"/>
          <cell r="AS1485">
            <v>108</v>
          </cell>
          <cell r="AT1485"/>
          <cell r="AU1485" t="str">
            <v>FR</v>
          </cell>
          <cell r="AV1485"/>
        </row>
        <row r="1486">
          <cell r="Z1486">
            <v>8081168</v>
          </cell>
          <cell r="AA1486" t="str">
            <v xml:space="preserve">Saver Sub 9-1/2" OD for NMDC
7-5/8" REG Pin x Box
Set on : </v>
          </cell>
          <cell r="AB1486">
            <v>99.807169336874992</v>
          </cell>
          <cell r="AC1486">
            <v>9.5</v>
          </cell>
          <cell r="AD1486">
            <v>350</v>
          </cell>
          <cell r="AE1486" t="str">
            <v>7-5/8" REG Box</v>
          </cell>
          <cell r="AF1486" t="str">
            <v>7-5/8" REG Pin</v>
          </cell>
          <cell r="AG1486" t="str">
            <v>NMDC</v>
          </cell>
          <cell r="AH1486" t="str">
            <v xml:space="preserve"> en stock </v>
          </cell>
          <cell r="AI1486">
            <v>1</v>
          </cell>
          <cell r="AJ1486">
            <v>0</v>
          </cell>
          <cell r="AK1486">
            <v>0</v>
          </cell>
          <cell r="AL1486"/>
          <cell r="AM1486"/>
          <cell r="AN1486" t="str">
            <v/>
          </cell>
          <cell r="AO1486"/>
          <cell r="AP1486"/>
          <cell r="AQ1486"/>
          <cell r="AR1486"/>
          <cell r="AS1486">
            <v>109</v>
          </cell>
          <cell r="AT1486"/>
          <cell r="AU1486" t="str">
            <v>FR</v>
          </cell>
          <cell r="AV1486"/>
        </row>
        <row r="1487">
          <cell r="Z1487">
            <v>8081169</v>
          </cell>
          <cell r="AA1487" t="str">
            <v xml:space="preserve">Saver Sub 9-1/2" OD for NMDC
7-5/8" REG Pin x Box
Set on : </v>
          </cell>
          <cell r="AB1487">
            <v>99.807169336874992</v>
          </cell>
          <cell r="AC1487">
            <v>9.5</v>
          </cell>
          <cell r="AD1487">
            <v>350</v>
          </cell>
          <cell r="AE1487" t="str">
            <v>7-5/8" REG Box</v>
          </cell>
          <cell r="AF1487" t="str">
            <v>7-5/8" REG Pin</v>
          </cell>
          <cell r="AG1487" t="str">
            <v>NMDC</v>
          </cell>
          <cell r="AH1487" t="str">
            <v>maintenance</v>
          </cell>
          <cell r="AI1487" t="str">
            <v/>
          </cell>
          <cell r="AJ1487">
            <v>0</v>
          </cell>
          <cell r="AK1487">
            <v>1</v>
          </cell>
          <cell r="AL1487"/>
          <cell r="AM1487"/>
          <cell r="AN1487" t="str">
            <v/>
          </cell>
          <cell r="AO1487"/>
          <cell r="AP1487"/>
          <cell r="AQ1487"/>
          <cell r="AR1487"/>
          <cell r="AS1487">
            <v>110</v>
          </cell>
          <cell r="AT1487"/>
          <cell r="AU1487" t="str">
            <v>FR</v>
          </cell>
          <cell r="AV1487"/>
        </row>
        <row r="1488">
          <cell r="Z1488">
            <v>8081170</v>
          </cell>
          <cell r="AA1488" t="str">
            <v xml:space="preserve">Saver Sub 9-1/2" OD for NMDC
7-5/8" REG Pin x Box
Set on : </v>
          </cell>
          <cell r="AB1488">
            <v>99.807169336874992</v>
          </cell>
          <cell r="AC1488">
            <v>9.5</v>
          </cell>
          <cell r="AD1488">
            <v>350</v>
          </cell>
          <cell r="AE1488" t="str">
            <v>7-5/8" REG Box</v>
          </cell>
          <cell r="AF1488" t="str">
            <v>7-5/8" REG Pin</v>
          </cell>
          <cell r="AG1488" t="str">
            <v>NMDC</v>
          </cell>
          <cell r="AH1488" t="str">
            <v>sur chantier</v>
          </cell>
          <cell r="AI1488" t="str">
            <v/>
          </cell>
          <cell r="AJ1488">
            <v>1</v>
          </cell>
          <cell r="AK1488">
            <v>0</v>
          </cell>
          <cell r="AL1488"/>
          <cell r="AM1488"/>
          <cell r="AN1488" t="str">
            <v/>
          </cell>
          <cell r="AO1488"/>
          <cell r="AP1488"/>
          <cell r="AQ1488"/>
          <cell r="AR1488"/>
          <cell r="AS1488">
            <v>111</v>
          </cell>
          <cell r="AT1488"/>
          <cell r="AU1488" t="str">
            <v>FR</v>
          </cell>
          <cell r="AV1488"/>
        </row>
        <row r="1489">
          <cell r="Z1489">
            <v>8081171</v>
          </cell>
          <cell r="AA1489" t="str">
            <v xml:space="preserve">Saver Sub 9-1/2" OD for NMDC
7-5/8" REG Pin x Box
Set on : </v>
          </cell>
          <cell r="AB1489">
            <v>99.807169336874992</v>
          </cell>
          <cell r="AC1489">
            <v>9.5</v>
          </cell>
          <cell r="AD1489">
            <v>350</v>
          </cell>
          <cell r="AE1489" t="str">
            <v>7-5/8" REG Box</v>
          </cell>
          <cell r="AF1489" t="str">
            <v>7-5/8" REG Pin</v>
          </cell>
          <cell r="AG1489" t="str">
            <v>NMDC</v>
          </cell>
          <cell r="AH1489" t="str">
            <v>sur chantier</v>
          </cell>
          <cell r="AI1489" t="str">
            <v/>
          </cell>
          <cell r="AJ1489">
            <v>1</v>
          </cell>
          <cell r="AK1489">
            <v>0</v>
          </cell>
          <cell r="AL1489"/>
          <cell r="AM1489"/>
          <cell r="AN1489" t="str">
            <v/>
          </cell>
          <cell r="AO1489"/>
          <cell r="AP1489"/>
          <cell r="AQ1489"/>
          <cell r="AR1489"/>
          <cell r="AS1489">
            <v>112</v>
          </cell>
          <cell r="AT1489"/>
          <cell r="AU1489" t="str">
            <v>FR</v>
          </cell>
          <cell r="AV1489"/>
        </row>
        <row r="1490">
          <cell r="Z1490">
            <v>8081172</v>
          </cell>
          <cell r="AA1490" t="str">
            <v xml:space="preserve">Saver Sub 9-1/2" OD for NMDC
7-5/8" REG Pin x Box
Set on : </v>
          </cell>
          <cell r="AB1490">
            <v>99.807169336874992</v>
          </cell>
          <cell r="AC1490">
            <v>9.5</v>
          </cell>
          <cell r="AD1490">
            <v>350</v>
          </cell>
          <cell r="AE1490" t="str">
            <v>7-5/8" REG Box</v>
          </cell>
          <cell r="AF1490" t="str">
            <v>7-5/8" REG Pin</v>
          </cell>
          <cell r="AG1490" t="str">
            <v>NMDC</v>
          </cell>
          <cell r="AH1490" t="str">
            <v>maintenance</v>
          </cell>
          <cell r="AI1490" t="str">
            <v/>
          </cell>
          <cell r="AJ1490">
            <v>0</v>
          </cell>
          <cell r="AK1490">
            <v>1</v>
          </cell>
          <cell r="AL1490"/>
          <cell r="AM1490"/>
          <cell r="AN1490" t="str">
            <v/>
          </cell>
          <cell r="AO1490"/>
          <cell r="AP1490"/>
          <cell r="AQ1490"/>
          <cell r="AR1490"/>
          <cell r="AS1490">
            <v>113</v>
          </cell>
          <cell r="AT1490"/>
          <cell r="AU1490" t="str">
            <v>FR</v>
          </cell>
          <cell r="AV1490"/>
        </row>
        <row r="1491">
          <cell r="Z1491">
            <v>8131173</v>
          </cell>
          <cell r="AA1491" t="str">
            <v>XO
6-5/8" REG Pin x 7-5/8" REG Box</v>
          </cell>
          <cell r="AB1491">
            <v>85</v>
          </cell>
          <cell r="AC1491">
            <v>9.5625</v>
          </cell>
          <cell r="AD1491">
            <v>300</v>
          </cell>
          <cell r="AE1491" t="str">
            <v>6-5/8" REG Pin</v>
          </cell>
          <cell r="AF1491" t="str">
            <v>7-5/8" REG Box</v>
          </cell>
          <cell r="AG1491"/>
          <cell r="AH1491" t="str">
            <v xml:space="preserve"> en stock </v>
          </cell>
          <cell r="AI1491">
            <v>1</v>
          </cell>
          <cell r="AJ1491">
            <v>0</v>
          </cell>
          <cell r="AK1491">
            <v>0</v>
          </cell>
          <cell r="AL1491"/>
          <cell r="AM1491"/>
          <cell r="AN1491">
            <v>8131173</v>
          </cell>
          <cell r="AO1491"/>
          <cell r="AP1491"/>
          <cell r="AQ1491"/>
          <cell r="AR1491"/>
          <cell r="AS1491">
            <v>217</v>
          </cell>
          <cell r="AT1491"/>
          <cell r="AU1491" t="str">
            <v>FR</v>
          </cell>
          <cell r="AV1491"/>
        </row>
        <row r="1492">
          <cell r="Z1492">
            <v>8131174</v>
          </cell>
          <cell r="AA1492" t="str">
            <v>XO
6-5/8" REG Pin x 7-5/8" REG Box</v>
          </cell>
          <cell r="AB1492">
            <v>85</v>
          </cell>
          <cell r="AC1492">
            <v>9.5625</v>
          </cell>
          <cell r="AD1492">
            <v>305</v>
          </cell>
          <cell r="AE1492" t="str">
            <v>6-5/8" REG Pin</v>
          </cell>
          <cell r="AF1492" t="str">
            <v>7-5/8" REG Box</v>
          </cell>
          <cell r="AG1492"/>
          <cell r="AH1492" t="str">
            <v xml:space="preserve"> en stock </v>
          </cell>
          <cell r="AI1492">
            <v>1</v>
          </cell>
          <cell r="AJ1492">
            <v>0</v>
          </cell>
          <cell r="AK1492">
            <v>0</v>
          </cell>
          <cell r="AL1492"/>
          <cell r="AM1492"/>
          <cell r="AN1492">
            <v>8131174</v>
          </cell>
          <cell r="AO1492"/>
          <cell r="AP1492"/>
          <cell r="AQ1492"/>
          <cell r="AR1492"/>
          <cell r="AS1492">
            <v>218</v>
          </cell>
          <cell r="AT1492"/>
          <cell r="AU1492" t="str">
            <v>FR</v>
          </cell>
          <cell r="AV1492"/>
        </row>
        <row r="1493">
          <cell r="Z1493">
            <v>5081175</v>
          </cell>
          <cell r="AA1493" t="str">
            <v>Taper Mill 
4-1/2" REG Pin</v>
          </cell>
          <cell r="AB1493">
            <v>0</v>
          </cell>
          <cell r="AC1493">
            <v>9.0625</v>
          </cell>
          <cell r="AD1493">
            <v>0</v>
          </cell>
          <cell r="AE1493" t="str">
            <v>4-1/2" REG Pin</v>
          </cell>
          <cell r="AF1493"/>
          <cell r="AG1493"/>
          <cell r="AH1493" t="str">
            <v xml:space="preserve"> en stock </v>
          </cell>
          <cell r="AI1493">
            <v>1</v>
          </cell>
          <cell r="AJ1493">
            <v>0</v>
          </cell>
          <cell r="AK1493">
            <v>0</v>
          </cell>
          <cell r="AL1493"/>
          <cell r="AM1493"/>
          <cell r="AN1493">
            <v>5081175</v>
          </cell>
          <cell r="AO1493"/>
          <cell r="AP1493"/>
          <cell r="AQ1493"/>
          <cell r="AR1493"/>
          <cell r="AS1493">
            <v>42</v>
          </cell>
          <cell r="AT1493" t="str">
            <v>508-</v>
          </cell>
          <cell r="AU1493" t="str">
            <v>FR</v>
          </cell>
          <cell r="AV1493"/>
        </row>
        <row r="1494">
          <cell r="Z1494">
            <v>5081176</v>
          </cell>
          <cell r="AA1494" t="str">
            <v>Taper Mill 
4-1/2" REG Pin</v>
          </cell>
          <cell r="AB1494">
            <v>0</v>
          </cell>
          <cell r="AC1494">
            <v>9.625</v>
          </cell>
          <cell r="AD1494">
            <v>0</v>
          </cell>
          <cell r="AE1494" t="str">
            <v>4-1/2" REG Pin</v>
          </cell>
          <cell r="AF1494"/>
          <cell r="AG1494"/>
          <cell r="AH1494" t="str">
            <v xml:space="preserve"> en stock </v>
          </cell>
          <cell r="AI1494">
            <v>1</v>
          </cell>
          <cell r="AJ1494">
            <v>0</v>
          </cell>
          <cell r="AK1494">
            <v>0</v>
          </cell>
          <cell r="AL1494"/>
          <cell r="AM1494"/>
          <cell r="AN1494">
            <v>5081176</v>
          </cell>
          <cell r="AO1494"/>
          <cell r="AP1494"/>
          <cell r="AQ1494"/>
          <cell r="AR1494"/>
          <cell r="AS1494">
            <v>43</v>
          </cell>
          <cell r="AT1494" t="str">
            <v>508-</v>
          </cell>
          <cell r="AU1494" t="str">
            <v>FR</v>
          </cell>
          <cell r="AV1494"/>
        </row>
        <row r="1495">
          <cell r="Z1495">
            <v>5081177</v>
          </cell>
          <cell r="AA1495" t="str">
            <v>Taper Mill 
6-5/8" REG Pin</v>
          </cell>
          <cell r="AB1495">
            <v>0</v>
          </cell>
          <cell r="AC1495">
            <v>12.25</v>
          </cell>
          <cell r="AD1495">
            <v>0</v>
          </cell>
          <cell r="AE1495" t="str">
            <v>6-5/8" REG Pin</v>
          </cell>
          <cell r="AF1495"/>
          <cell r="AG1495"/>
          <cell r="AH1495" t="str">
            <v>maintenance</v>
          </cell>
          <cell r="AI1495" t="str">
            <v/>
          </cell>
          <cell r="AJ1495">
            <v>0</v>
          </cell>
          <cell r="AK1495">
            <v>1</v>
          </cell>
          <cell r="AL1495"/>
          <cell r="AM1495"/>
          <cell r="AN1495">
            <v>5081177</v>
          </cell>
          <cell r="AO1495"/>
          <cell r="AP1495"/>
          <cell r="AQ1495"/>
          <cell r="AR1495"/>
          <cell r="AS1495">
            <v>46</v>
          </cell>
          <cell r="AT1495" t="str">
            <v>508-</v>
          </cell>
          <cell r="AU1495" t="str">
            <v>FR</v>
          </cell>
          <cell r="AV1495"/>
        </row>
        <row r="1496">
          <cell r="Z1496" t="str">
            <v/>
          </cell>
          <cell r="AA1496"/>
          <cell r="AB1496"/>
          <cell r="AC1496"/>
          <cell r="AD1496"/>
          <cell r="AE1496"/>
          <cell r="AF1496"/>
          <cell r="AG1496"/>
          <cell r="AH1496" t="str">
            <v>en stock</v>
          </cell>
          <cell r="AI1496"/>
          <cell r="AJ1496"/>
          <cell r="AK1496"/>
          <cell r="AL1496"/>
          <cell r="AM1496"/>
          <cell r="AN1496">
            <v>2023</v>
          </cell>
          <cell r="AO1496"/>
          <cell r="AP1496"/>
          <cell r="AQ1496"/>
          <cell r="AR1496"/>
          <cell r="AS1496"/>
          <cell r="AT1496"/>
          <cell r="AU1496" t="str">
            <v/>
          </cell>
          <cell r="AV1496"/>
        </row>
        <row r="1497">
          <cell r="Z1497">
            <v>8131178</v>
          </cell>
          <cell r="AA1497" t="str">
            <v>XO
2-3/8" REG Pin x 2-3/8" IF Box</v>
          </cell>
          <cell r="AB1497">
            <v>21.344044005375</v>
          </cell>
          <cell r="AC1497">
            <v>3.375</v>
          </cell>
          <cell r="AD1497">
            <v>520</v>
          </cell>
          <cell r="AE1497" t="str">
            <v>2-3/8" REG Pin</v>
          </cell>
          <cell r="AF1497" t="str">
            <v>2-3/8" IF Box</v>
          </cell>
          <cell r="AG1497"/>
          <cell r="AH1497" t="str">
            <v xml:space="preserve"> en stock </v>
          </cell>
          <cell r="AI1497">
            <v>1</v>
          </cell>
          <cell r="AJ1497">
            <v>0</v>
          </cell>
          <cell r="AK1497">
            <v>0</v>
          </cell>
          <cell r="AL1497"/>
          <cell r="AM1497"/>
          <cell r="AN1497">
            <v>8131178</v>
          </cell>
          <cell r="AO1497"/>
          <cell r="AP1497"/>
          <cell r="AQ1497"/>
          <cell r="AR1497"/>
          <cell r="AS1497">
            <v>44</v>
          </cell>
          <cell r="AT1497"/>
          <cell r="AU1497" t="str">
            <v>FR</v>
          </cell>
          <cell r="AV1497"/>
        </row>
        <row r="1498">
          <cell r="Z1498">
            <v>5101179</v>
          </cell>
          <cell r="AA1498" t="str">
            <v>WO Pipe
8-1/8" FJWP Pin x Box</v>
          </cell>
          <cell r="AB1498">
            <v>430.75218849390063</v>
          </cell>
          <cell r="AC1498">
            <v>8.125</v>
          </cell>
          <cell r="AD1498">
            <v>9380</v>
          </cell>
          <cell r="AE1498" t="str">
            <v>8-1/8" FJWP Box</v>
          </cell>
          <cell r="AF1498" t="str">
            <v>8-1/8" FJWP Pin</v>
          </cell>
          <cell r="AG1498"/>
          <cell r="AH1498" t="str">
            <v>en stock</v>
          </cell>
          <cell r="AI1498">
            <v>0</v>
          </cell>
          <cell r="AJ1498">
            <v>0</v>
          </cell>
          <cell r="AK1498">
            <v>1</v>
          </cell>
          <cell r="AL1498"/>
          <cell r="AM1498"/>
          <cell r="AN1498">
            <v>5101179</v>
          </cell>
          <cell r="AO1498"/>
          <cell r="AP1498"/>
          <cell r="AQ1498"/>
          <cell r="AR1498"/>
          <cell r="AS1498">
            <v>121</v>
          </cell>
          <cell r="AT1498"/>
          <cell r="AU1498" t="str">
            <v>FR</v>
          </cell>
          <cell r="AV1498"/>
        </row>
        <row r="1499">
          <cell r="Z1499">
            <v>5101180</v>
          </cell>
          <cell r="AA1499" t="str">
            <v>WO Pipe
8-1/8" FJWP Pin x Box</v>
          </cell>
          <cell r="AB1499">
            <v>430.75218849390063</v>
          </cell>
          <cell r="AC1499">
            <v>8.125</v>
          </cell>
          <cell r="AD1499">
            <v>9380</v>
          </cell>
          <cell r="AE1499" t="str">
            <v>8-1/8" FJWP Box</v>
          </cell>
          <cell r="AF1499" t="str">
            <v>8-1/8" FJWP Pin</v>
          </cell>
          <cell r="AG1499"/>
          <cell r="AH1499" t="str">
            <v>en stock</v>
          </cell>
          <cell r="AI1499">
            <v>0</v>
          </cell>
          <cell r="AJ1499">
            <v>0</v>
          </cell>
          <cell r="AK1499">
            <v>1</v>
          </cell>
          <cell r="AL1499"/>
          <cell r="AM1499"/>
          <cell r="AN1499">
            <v>5101180</v>
          </cell>
          <cell r="AO1499"/>
          <cell r="AP1499"/>
          <cell r="AQ1499"/>
          <cell r="AR1499"/>
          <cell r="AS1499">
            <v>122</v>
          </cell>
          <cell r="AT1499"/>
          <cell r="AU1499" t="str">
            <v>FR</v>
          </cell>
          <cell r="AV1499"/>
        </row>
        <row r="1500">
          <cell r="Z1500">
            <v>5101181</v>
          </cell>
          <cell r="AA1500" t="str">
            <v>WO Pipe
8-1/8" FJWP Pin x Box</v>
          </cell>
          <cell r="AB1500">
            <v>425.70072359685059</v>
          </cell>
          <cell r="AC1500">
            <v>8.125</v>
          </cell>
          <cell r="AD1500">
            <v>9270</v>
          </cell>
          <cell r="AE1500" t="str">
            <v>8-1/8" FJWP Box</v>
          </cell>
          <cell r="AF1500" t="str">
            <v>8-1/8" FJWP Pin</v>
          </cell>
          <cell r="AG1500"/>
          <cell r="AH1500" t="str">
            <v xml:space="preserve"> en stock </v>
          </cell>
          <cell r="AI1500">
            <v>1</v>
          </cell>
          <cell r="AJ1500">
            <v>0</v>
          </cell>
          <cell r="AK1500">
            <v>0</v>
          </cell>
          <cell r="AL1500"/>
          <cell r="AM1500"/>
          <cell r="AN1500">
            <v>5101181</v>
          </cell>
          <cell r="AO1500"/>
          <cell r="AP1500"/>
          <cell r="AQ1500"/>
          <cell r="AR1500"/>
          <cell r="AS1500">
            <v>123</v>
          </cell>
          <cell r="AT1500" t="str">
            <v>509-8,125FJWP</v>
          </cell>
          <cell r="AU1500" t="str">
            <v>FR</v>
          </cell>
          <cell r="AV1500"/>
        </row>
        <row r="1501">
          <cell r="Z1501">
            <v>5101182</v>
          </cell>
          <cell r="AA1501" t="str">
            <v>WO Pipe
8-1/8" FJWP Pin x Box</v>
          </cell>
          <cell r="AB1501">
            <v>430.75218849390063</v>
          </cell>
          <cell r="AC1501">
            <v>8.125</v>
          </cell>
          <cell r="AD1501">
            <v>9380</v>
          </cell>
          <cell r="AE1501" t="str">
            <v>8-1/8" FJWP Box</v>
          </cell>
          <cell r="AF1501" t="str">
            <v>8-1/8" FJWP Pin</v>
          </cell>
          <cell r="AG1501"/>
          <cell r="AH1501" t="str">
            <v>maintenance</v>
          </cell>
          <cell r="AI1501" t="str">
            <v/>
          </cell>
          <cell r="AJ1501">
            <v>0</v>
          </cell>
          <cell r="AK1501">
            <v>1</v>
          </cell>
          <cell r="AL1501"/>
          <cell r="AM1501"/>
          <cell r="AN1501" t="str">
            <v/>
          </cell>
          <cell r="AO1501"/>
          <cell r="AP1501"/>
          <cell r="AQ1501"/>
          <cell r="AR1501"/>
          <cell r="AS1501">
            <v>124</v>
          </cell>
          <cell r="AT1501" t="str">
            <v>509-8,125FJWP</v>
          </cell>
          <cell r="AU1501" t="str">
            <v>FR</v>
          </cell>
          <cell r="AV1501"/>
        </row>
        <row r="1502">
          <cell r="Z1502">
            <v>5101183</v>
          </cell>
          <cell r="AA1502" t="str">
            <v>WO Pipe
8-1/8" FJWP Pin x Box</v>
          </cell>
          <cell r="AB1502">
            <v>430.75218849390063</v>
          </cell>
          <cell r="AC1502">
            <v>8.125</v>
          </cell>
          <cell r="AD1502">
            <v>9380</v>
          </cell>
          <cell r="AE1502" t="str">
            <v>8-1/8" FJWP Box</v>
          </cell>
          <cell r="AF1502" t="str">
            <v>8-1/8" FJWP Pin</v>
          </cell>
          <cell r="AG1502"/>
          <cell r="AH1502" t="str">
            <v>maintenance</v>
          </cell>
          <cell r="AI1502" t="str">
            <v/>
          </cell>
          <cell r="AJ1502">
            <v>0</v>
          </cell>
          <cell r="AK1502">
            <v>1</v>
          </cell>
          <cell r="AL1502"/>
          <cell r="AM1502"/>
          <cell r="AN1502" t="str">
            <v/>
          </cell>
          <cell r="AO1502"/>
          <cell r="AP1502"/>
          <cell r="AQ1502"/>
          <cell r="AR1502"/>
          <cell r="AS1502">
            <v>125</v>
          </cell>
          <cell r="AT1502" t="str">
            <v>509-8,125FJWP</v>
          </cell>
          <cell r="AU1502" t="str">
            <v>FR</v>
          </cell>
          <cell r="AV1502"/>
        </row>
        <row r="1503">
          <cell r="Z1503">
            <v>5101184</v>
          </cell>
          <cell r="AA1503" t="str">
            <v>WO Pipe
8-1/8" FJWP Pin x Box</v>
          </cell>
          <cell r="AB1503">
            <v>430.75218849390063</v>
          </cell>
          <cell r="AC1503">
            <v>8.125</v>
          </cell>
          <cell r="AD1503">
            <v>9380</v>
          </cell>
          <cell r="AE1503" t="str">
            <v>8-1/8" FJWP Box</v>
          </cell>
          <cell r="AF1503" t="str">
            <v>8-1/8" FJWP Pin</v>
          </cell>
          <cell r="AG1503"/>
          <cell r="AH1503" t="str">
            <v>en stock</v>
          </cell>
          <cell r="AI1503">
            <v>0</v>
          </cell>
          <cell r="AJ1503">
            <v>0</v>
          </cell>
          <cell r="AK1503">
            <v>1</v>
          </cell>
          <cell r="AL1503"/>
          <cell r="AM1503"/>
          <cell r="AN1503" t="str">
            <v/>
          </cell>
          <cell r="AO1503"/>
          <cell r="AP1503"/>
          <cell r="AQ1503"/>
          <cell r="AR1503"/>
          <cell r="AS1503">
            <v>126</v>
          </cell>
          <cell r="AT1503"/>
          <cell r="AU1503" t="str">
            <v>FR</v>
          </cell>
          <cell r="AV1503"/>
        </row>
        <row r="1504">
          <cell r="Z1504">
            <v>5091185</v>
          </cell>
          <cell r="AA1504" t="str">
            <v>WO Extension Lg 4060 mm
8-1/8" FJWP Pin x Box</v>
          </cell>
          <cell r="AB1504">
            <v>186.44497710930023</v>
          </cell>
          <cell r="AC1504">
            <v>8.125</v>
          </cell>
          <cell r="AD1504">
            <v>4060</v>
          </cell>
          <cell r="AE1504" t="str">
            <v>8-1/8" FJWP Box</v>
          </cell>
          <cell r="AF1504" t="str">
            <v>8-1/8" FJWP Pin</v>
          </cell>
          <cell r="AG1504"/>
          <cell r="AH1504" t="str">
            <v xml:space="preserve"> en stock </v>
          </cell>
          <cell r="AI1504">
            <v>1</v>
          </cell>
          <cell r="AJ1504">
            <v>0</v>
          </cell>
          <cell r="AK1504">
            <v>0</v>
          </cell>
          <cell r="AL1504"/>
          <cell r="AM1504"/>
          <cell r="AN1504" t="str">
            <v/>
          </cell>
          <cell r="AO1504"/>
          <cell r="AP1504"/>
          <cell r="AQ1504"/>
          <cell r="AR1504"/>
          <cell r="AS1504">
            <v>98</v>
          </cell>
          <cell r="AT1504" t="str">
            <v>509-8,125FJWP</v>
          </cell>
          <cell r="AU1504" t="str">
            <v>FR</v>
          </cell>
          <cell r="AV1504"/>
        </row>
        <row r="1505">
          <cell r="Z1505">
            <v>5091186</v>
          </cell>
          <cell r="AA1505" t="str">
            <v>WO Extension Lg 2300 mm
8-1/8" FJWP Pin x Box</v>
          </cell>
          <cell r="AB1505">
            <v>105.62153875650013</v>
          </cell>
          <cell r="AC1505">
            <v>8.125</v>
          </cell>
          <cell r="AD1505">
            <v>2300</v>
          </cell>
          <cell r="AE1505" t="str">
            <v>8-1/8" FJWP Box</v>
          </cell>
          <cell r="AF1505" t="str">
            <v>8-1/8" FJWP Pin</v>
          </cell>
          <cell r="AG1505"/>
          <cell r="AH1505" t="str">
            <v xml:space="preserve"> en stock </v>
          </cell>
          <cell r="AI1505">
            <v>1</v>
          </cell>
          <cell r="AJ1505">
            <v>0</v>
          </cell>
          <cell r="AK1505">
            <v>0</v>
          </cell>
          <cell r="AL1505"/>
          <cell r="AM1505"/>
          <cell r="AN1505" t="str">
            <v/>
          </cell>
          <cell r="AO1505"/>
          <cell r="AP1505"/>
          <cell r="AQ1505"/>
          <cell r="AR1505"/>
          <cell r="AS1505">
            <v>166</v>
          </cell>
          <cell r="AT1505" t="str">
            <v>509-8,125FJWP</v>
          </cell>
          <cell r="AU1505" t="str">
            <v>FR</v>
          </cell>
          <cell r="AV1505"/>
        </row>
        <row r="1506">
          <cell r="Z1506">
            <v>5091187</v>
          </cell>
          <cell r="AA1506" t="str">
            <v>WO Extension Lg 2000 mm
8-1/8" FJWP Pin x Box</v>
          </cell>
          <cell r="AB1506">
            <v>91.844816310000112</v>
          </cell>
          <cell r="AC1506">
            <v>8.125</v>
          </cell>
          <cell r="AD1506">
            <v>2000</v>
          </cell>
          <cell r="AE1506" t="str">
            <v>8-1/8" FJWP Box</v>
          </cell>
          <cell r="AF1506" t="str">
            <v>8-1/8" FJWP Pin</v>
          </cell>
          <cell r="AG1506"/>
          <cell r="AH1506" t="str">
            <v xml:space="preserve"> en stock </v>
          </cell>
          <cell r="AI1506">
            <v>1</v>
          </cell>
          <cell r="AJ1506">
            <v>0</v>
          </cell>
          <cell r="AK1506">
            <v>0</v>
          </cell>
          <cell r="AL1506"/>
          <cell r="AM1506"/>
          <cell r="AN1506" t="str">
            <v/>
          </cell>
          <cell r="AO1506"/>
          <cell r="AP1506"/>
          <cell r="AQ1506"/>
          <cell r="AR1506"/>
          <cell r="AS1506">
            <v>96</v>
          </cell>
          <cell r="AT1506" t="str">
            <v>509-8,125FJWP</v>
          </cell>
          <cell r="AU1506" t="str">
            <v>FR</v>
          </cell>
          <cell r="AV1506"/>
        </row>
        <row r="1507">
          <cell r="Z1507">
            <v>5091188</v>
          </cell>
          <cell r="AA1507" t="str">
            <v>WO Extension Lg 1000 mm
8-1/8" FJWP Pin x Box</v>
          </cell>
          <cell r="AB1507">
            <v>45.922408155000056</v>
          </cell>
          <cell r="AC1507">
            <v>8.125</v>
          </cell>
          <cell r="AD1507">
            <v>1000</v>
          </cell>
          <cell r="AE1507" t="str">
            <v>8-1/8" FJWP Box</v>
          </cell>
          <cell r="AF1507" t="str">
            <v>8-1/8" FJWP Pin</v>
          </cell>
          <cell r="AG1507"/>
          <cell r="AH1507" t="str">
            <v xml:space="preserve"> en stock </v>
          </cell>
          <cell r="AI1507">
            <v>1</v>
          </cell>
          <cell r="AJ1507">
            <v>0</v>
          </cell>
          <cell r="AK1507">
            <v>0</v>
          </cell>
          <cell r="AL1507"/>
          <cell r="AM1507"/>
          <cell r="AN1507" t="str">
            <v/>
          </cell>
          <cell r="AO1507"/>
          <cell r="AP1507"/>
          <cell r="AQ1507"/>
          <cell r="AR1507"/>
          <cell r="AS1507">
            <v>93</v>
          </cell>
          <cell r="AT1507" t="str">
            <v>509-8,125FJWP</v>
          </cell>
          <cell r="AU1507" t="str">
            <v>FR</v>
          </cell>
          <cell r="AV1507"/>
        </row>
        <row r="1508">
          <cell r="Z1508">
            <v>5091189</v>
          </cell>
          <cell r="AA1508" t="str">
            <v>WO Extension Lg 1000 mm
8-1/8" FJWP Pin x Box</v>
          </cell>
          <cell r="AB1508">
            <v>45.922408155000056</v>
          </cell>
          <cell r="AC1508">
            <v>8.125</v>
          </cell>
          <cell r="AD1508">
            <v>1000</v>
          </cell>
          <cell r="AE1508" t="str">
            <v>8-1/8" FJWP Box</v>
          </cell>
          <cell r="AF1508" t="str">
            <v>8-1/8" FJWP Pin</v>
          </cell>
          <cell r="AG1508"/>
          <cell r="AH1508" t="str">
            <v xml:space="preserve"> en stock </v>
          </cell>
          <cell r="AI1508">
            <v>1</v>
          </cell>
          <cell r="AJ1508">
            <v>0</v>
          </cell>
          <cell r="AK1508">
            <v>0</v>
          </cell>
          <cell r="AL1508"/>
          <cell r="AM1508"/>
          <cell r="AN1508" t="str">
            <v/>
          </cell>
          <cell r="AO1508"/>
          <cell r="AP1508"/>
          <cell r="AQ1508"/>
          <cell r="AR1508"/>
          <cell r="AS1508">
            <v>94</v>
          </cell>
          <cell r="AT1508" t="str">
            <v>509-8,125FJWP</v>
          </cell>
          <cell r="AU1508" t="str">
            <v>FR</v>
          </cell>
          <cell r="AV1508"/>
        </row>
        <row r="1509">
          <cell r="Z1509">
            <v>5091190</v>
          </cell>
          <cell r="AA1509" t="str">
            <v>WO Extension Lg 1000 mm
8-1/8" FJWP Pin x Box</v>
          </cell>
          <cell r="AB1509">
            <v>45.922408155000056</v>
          </cell>
          <cell r="AC1509">
            <v>8.125</v>
          </cell>
          <cell r="AD1509">
            <v>1000</v>
          </cell>
          <cell r="AE1509" t="str">
            <v>8-1/8" FJWP Box</v>
          </cell>
          <cell r="AF1509" t="str">
            <v>8-1/8" FJWP Pin</v>
          </cell>
          <cell r="AG1509"/>
          <cell r="AH1509" t="str">
            <v>maintenance</v>
          </cell>
          <cell r="AI1509" t="str">
            <v/>
          </cell>
          <cell r="AJ1509">
            <v>0</v>
          </cell>
          <cell r="AK1509">
            <v>1</v>
          </cell>
          <cell r="AL1509"/>
          <cell r="AM1509"/>
          <cell r="AN1509" t="str">
            <v/>
          </cell>
          <cell r="AO1509"/>
          <cell r="AP1509"/>
          <cell r="AQ1509"/>
          <cell r="AR1509"/>
          <cell r="AS1509">
            <v>95</v>
          </cell>
          <cell r="AT1509" t="str">
            <v>509-8,125FJWP</v>
          </cell>
          <cell r="AU1509" t="str">
            <v>FR</v>
          </cell>
          <cell r="AV1509"/>
        </row>
        <row r="1510">
          <cell r="Z1510">
            <v>5111191</v>
          </cell>
          <cell r="AA1510" t="str">
            <v>WO Shoe
8-1/8" FJWP Box</v>
          </cell>
          <cell r="AB1510">
            <v>0</v>
          </cell>
          <cell r="AC1510">
            <v>8.5</v>
          </cell>
          <cell r="AD1510">
            <v>760</v>
          </cell>
          <cell r="AE1510" t="str">
            <v>8-1/8" FJWP Box</v>
          </cell>
          <cell r="AF1510"/>
          <cell r="AG1510" t="str">
            <v>inserts</v>
          </cell>
          <cell r="AH1510" t="str">
            <v xml:space="preserve"> en stock </v>
          </cell>
          <cell r="AI1510">
            <v>1</v>
          </cell>
          <cell r="AJ1510">
            <v>0</v>
          </cell>
          <cell r="AK1510">
            <v>0</v>
          </cell>
          <cell r="AL1510"/>
          <cell r="AM1510"/>
          <cell r="AN1510" t="str">
            <v/>
          </cell>
          <cell r="AO1510"/>
          <cell r="AP1510"/>
          <cell r="AQ1510"/>
          <cell r="AR1510"/>
          <cell r="AS1510">
            <v>175</v>
          </cell>
          <cell r="AT1510"/>
          <cell r="AU1510" t="str">
            <v>FR</v>
          </cell>
          <cell r="AV1510"/>
        </row>
        <row r="1511">
          <cell r="Z1511">
            <v>5111192</v>
          </cell>
          <cell r="AA1511" t="str">
            <v>WO Shoe
8-1/8" FJWP Box</v>
          </cell>
          <cell r="AB1511">
            <v>0</v>
          </cell>
          <cell r="AC1511">
            <v>8.5</v>
          </cell>
          <cell r="AD1511">
            <v>760</v>
          </cell>
          <cell r="AE1511" t="str">
            <v>8-1/8" FJWP Box</v>
          </cell>
          <cell r="AF1511"/>
          <cell r="AG1511" t="str">
            <v>inserts</v>
          </cell>
          <cell r="AH1511" t="str">
            <v xml:space="preserve"> en stock </v>
          </cell>
          <cell r="AI1511">
            <v>1</v>
          </cell>
          <cell r="AJ1511">
            <v>0</v>
          </cell>
          <cell r="AK1511">
            <v>0</v>
          </cell>
          <cell r="AL1511"/>
          <cell r="AM1511"/>
          <cell r="AN1511" t="str">
            <v/>
          </cell>
          <cell r="AO1511"/>
          <cell r="AP1511"/>
          <cell r="AQ1511"/>
          <cell r="AR1511"/>
          <cell r="AS1511">
            <v>176</v>
          </cell>
          <cell r="AT1511"/>
          <cell r="AU1511" t="str">
            <v>FR</v>
          </cell>
          <cell r="AV1511"/>
        </row>
        <row r="1512">
          <cell r="Z1512">
            <v>5111193</v>
          </cell>
          <cell r="AA1512" t="str">
            <v>WO Shoe
8-1/8" FJWP Box</v>
          </cell>
          <cell r="AB1512">
            <v>38</v>
          </cell>
          <cell r="AC1512">
            <v>8.5</v>
          </cell>
          <cell r="AD1512">
            <v>680</v>
          </cell>
          <cell r="AE1512" t="str">
            <v>8-1/8" FJWP Box</v>
          </cell>
          <cell r="AF1512"/>
          <cell r="AG1512" t="str">
            <v>CC</v>
          </cell>
          <cell r="AH1512" t="str">
            <v>maintenance</v>
          </cell>
          <cell r="AI1512" t="str">
            <v/>
          </cell>
          <cell r="AJ1512">
            <v>0</v>
          </cell>
          <cell r="AK1512">
            <v>1</v>
          </cell>
          <cell r="AL1512"/>
          <cell r="AM1512"/>
          <cell r="AN1512" t="str">
            <v/>
          </cell>
          <cell r="AO1512"/>
          <cell r="AP1512"/>
          <cell r="AQ1512"/>
          <cell r="AR1512"/>
          <cell r="AS1512">
            <v>177</v>
          </cell>
          <cell r="AT1512"/>
          <cell r="AU1512" t="str">
            <v>FR</v>
          </cell>
          <cell r="AV1512"/>
        </row>
        <row r="1513">
          <cell r="Z1513">
            <v>5111194</v>
          </cell>
          <cell r="AA1513" t="str">
            <v>WO Shoe
8-1/8" FJWP Box</v>
          </cell>
          <cell r="AB1513">
            <v>0</v>
          </cell>
          <cell r="AC1513">
            <v>8.5</v>
          </cell>
          <cell r="AD1513">
            <v>760</v>
          </cell>
          <cell r="AE1513" t="str">
            <v>8-1/8" FJWP Box</v>
          </cell>
          <cell r="AF1513"/>
          <cell r="AG1513" t="str">
            <v>inserts ronds</v>
          </cell>
          <cell r="AH1513" t="str">
            <v xml:space="preserve"> en stock </v>
          </cell>
          <cell r="AI1513">
            <v>1</v>
          </cell>
          <cell r="AJ1513">
            <v>0</v>
          </cell>
          <cell r="AK1513">
            <v>0</v>
          </cell>
          <cell r="AL1513"/>
          <cell r="AM1513"/>
          <cell r="AN1513" t="str">
            <v/>
          </cell>
          <cell r="AO1513"/>
          <cell r="AP1513"/>
          <cell r="AQ1513"/>
          <cell r="AR1513"/>
          <cell r="AS1513">
            <v>178</v>
          </cell>
          <cell r="AT1513"/>
          <cell r="AU1513" t="str">
            <v>FR</v>
          </cell>
          <cell r="AV1513"/>
        </row>
        <row r="1514">
          <cell r="Z1514">
            <v>5111195</v>
          </cell>
          <cell r="AA1514" t="str">
            <v>WO Shoe
8-1/8" FJWP Box</v>
          </cell>
          <cell r="AB1514">
            <v>0</v>
          </cell>
          <cell r="AC1514">
            <v>8.5</v>
          </cell>
          <cell r="AD1514">
            <v>750</v>
          </cell>
          <cell r="AE1514" t="str">
            <v>8-1/8" FJWP Box</v>
          </cell>
          <cell r="AF1514"/>
          <cell r="AG1514" t="str">
            <v>CC</v>
          </cell>
          <cell r="AH1514" t="str">
            <v xml:space="preserve"> en stock </v>
          </cell>
          <cell r="AI1514">
            <v>1</v>
          </cell>
          <cell r="AJ1514">
            <v>0</v>
          </cell>
          <cell r="AK1514">
            <v>0</v>
          </cell>
          <cell r="AL1514"/>
          <cell r="AM1514"/>
          <cell r="AN1514" t="str">
            <v/>
          </cell>
          <cell r="AO1514"/>
          <cell r="AP1514"/>
          <cell r="AQ1514"/>
          <cell r="AR1514"/>
          <cell r="AS1514">
            <v>179</v>
          </cell>
          <cell r="AT1514"/>
          <cell r="AU1514" t="str">
            <v>FR</v>
          </cell>
          <cell r="AV1514"/>
        </row>
        <row r="1515">
          <cell r="Z1515">
            <v>5111196</v>
          </cell>
          <cell r="AA1515" t="str">
            <v>WO Shoe
8-1/8" FJWP Box</v>
          </cell>
          <cell r="AB1515">
            <v>0</v>
          </cell>
          <cell r="AC1515">
            <v>8.5</v>
          </cell>
          <cell r="AD1515">
            <v>750</v>
          </cell>
          <cell r="AE1515" t="str">
            <v>8-1/8" FJWP Box</v>
          </cell>
          <cell r="AF1515"/>
          <cell r="AG1515" t="str">
            <v>inserts</v>
          </cell>
          <cell r="AH1515" t="str">
            <v>maintenance</v>
          </cell>
          <cell r="AI1515" t="str">
            <v/>
          </cell>
          <cell r="AJ1515">
            <v>0</v>
          </cell>
          <cell r="AK1515">
            <v>1</v>
          </cell>
          <cell r="AL1515"/>
          <cell r="AM1515"/>
          <cell r="AN1515" t="str">
            <v/>
          </cell>
          <cell r="AO1515"/>
          <cell r="AP1515"/>
          <cell r="AQ1515"/>
          <cell r="AR1515"/>
          <cell r="AS1515">
            <v>180</v>
          </cell>
          <cell r="AT1515"/>
          <cell r="AU1515" t="str">
            <v>FR</v>
          </cell>
          <cell r="AV1515"/>
        </row>
        <row r="1516">
          <cell r="Z1516">
            <v>5111197</v>
          </cell>
          <cell r="AA1516" t="str">
            <v>WO Shoe
8-1/8" FJWP Box</v>
          </cell>
          <cell r="AB1516">
            <v>0</v>
          </cell>
          <cell r="AC1516">
            <v>8.5</v>
          </cell>
          <cell r="AD1516">
            <v>750</v>
          </cell>
          <cell r="AE1516" t="str">
            <v>8-1/8" FJWP Box</v>
          </cell>
          <cell r="AF1516"/>
          <cell r="AG1516" t="str">
            <v>inserts</v>
          </cell>
          <cell r="AH1516" t="str">
            <v xml:space="preserve"> en stock </v>
          </cell>
          <cell r="AI1516">
            <v>1</v>
          </cell>
          <cell r="AJ1516">
            <v>0</v>
          </cell>
          <cell r="AK1516">
            <v>0</v>
          </cell>
          <cell r="AL1516"/>
          <cell r="AM1516"/>
          <cell r="AN1516" t="str">
            <v/>
          </cell>
          <cell r="AO1516"/>
          <cell r="AP1516"/>
          <cell r="AQ1516"/>
          <cell r="AR1516"/>
          <cell r="AS1516">
            <v>181</v>
          </cell>
          <cell r="AT1516"/>
          <cell r="AU1516" t="str">
            <v>FR</v>
          </cell>
          <cell r="AV1516"/>
        </row>
        <row r="1517">
          <cell r="Z1517">
            <v>5161198</v>
          </cell>
          <cell r="AA1517" t="str">
            <v>WO Lift Sub for 5" DP 18"
8-1/8" FJWP Pin</v>
          </cell>
          <cell r="AB1517">
            <v>114</v>
          </cell>
          <cell r="AC1517">
            <v>8.125</v>
          </cell>
          <cell r="AD1517">
            <v>1110</v>
          </cell>
          <cell r="AE1517" t="str">
            <v>8-1/8" FJWP Pin</v>
          </cell>
          <cell r="AF1517"/>
          <cell r="AG1517" t="str">
            <v>5" DP 18"</v>
          </cell>
          <cell r="AH1517" t="str">
            <v xml:space="preserve"> en stock </v>
          </cell>
          <cell r="AI1517">
            <v>1</v>
          </cell>
          <cell r="AJ1517">
            <v>0</v>
          </cell>
          <cell r="AK1517">
            <v>0</v>
          </cell>
          <cell r="AL1517"/>
          <cell r="AM1517"/>
          <cell r="AN1517" t="str">
            <v/>
          </cell>
          <cell r="AO1517"/>
          <cell r="AP1517"/>
          <cell r="AQ1517"/>
          <cell r="AR1517"/>
          <cell r="AS1517">
            <v>15</v>
          </cell>
          <cell r="AT1517" t="str">
            <v>516-8,125FJWP</v>
          </cell>
          <cell r="AU1517" t="str">
            <v>FR</v>
          </cell>
          <cell r="AV1517"/>
        </row>
        <row r="1518">
          <cell r="Z1518">
            <v>5161199</v>
          </cell>
          <cell r="AA1518" t="str">
            <v>WO Lift Sub for 5" DP 18"
8-1/8" FJWP Pin</v>
          </cell>
          <cell r="AB1518">
            <v>114</v>
          </cell>
          <cell r="AC1518">
            <v>8.125</v>
          </cell>
          <cell r="AD1518">
            <v>1110</v>
          </cell>
          <cell r="AE1518" t="str">
            <v>8-1/8" FJWP Pin</v>
          </cell>
          <cell r="AF1518"/>
          <cell r="AG1518" t="str">
            <v>5" DP 18"</v>
          </cell>
          <cell r="AH1518" t="str">
            <v xml:space="preserve"> en stock </v>
          </cell>
          <cell r="AI1518">
            <v>1</v>
          </cell>
          <cell r="AJ1518">
            <v>0</v>
          </cell>
          <cell r="AK1518">
            <v>0</v>
          </cell>
          <cell r="AL1518"/>
          <cell r="AM1518"/>
          <cell r="AN1518" t="str">
            <v/>
          </cell>
          <cell r="AO1518"/>
          <cell r="AP1518"/>
          <cell r="AQ1518"/>
          <cell r="AR1518"/>
          <cell r="AS1518">
            <v>16</v>
          </cell>
          <cell r="AT1518" t="str">
            <v>516-8,125FJWP</v>
          </cell>
          <cell r="AU1518" t="str">
            <v>FR</v>
          </cell>
          <cell r="AV1518"/>
        </row>
        <row r="1519">
          <cell r="Z1519">
            <v>5161200</v>
          </cell>
          <cell r="AA1519" t="str">
            <v>WO Lift Sub for 5" DP 18"
8-1/8" FJWP Pin</v>
          </cell>
          <cell r="AB1519">
            <v>114</v>
          </cell>
          <cell r="AC1519">
            <v>8.125</v>
          </cell>
          <cell r="AD1519">
            <v>1110</v>
          </cell>
          <cell r="AE1519" t="str">
            <v>8-1/8" FJWP Pin</v>
          </cell>
          <cell r="AF1519"/>
          <cell r="AG1519" t="str">
            <v>5" DP 18"</v>
          </cell>
          <cell r="AH1519" t="str">
            <v xml:space="preserve"> en stock </v>
          </cell>
          <cell r="AI1519">
            <v>1</v>
          </cell>
          <cell r="AJ1519">
            <v>0</v>
          </cell>
          <cell r="AK1519">
            <v>0</v>
          </cell>
          <cell r="AL1519"/>
          <cell r="AM1519"/>
          <cell r="AN1519" t="str">
            <v/>
          </cell>
          <cell r="AO1519"/>
          <cell r="AP1519"/>
          <cell r="AQ1519"/>
          <cell r="AR1519"/>
          <cell r="AS1519">
            <v>17</v>
          </cell>
          <cell r="AT1519" t="str">
            <v>516-8,125FJWP</v>
          </cell>
          <cell r="AU1519" t="str">
            <v>FR</v>
          </cell>
          <cell r="AV1519"/>
        </row>
        <row r="1520">
          <cell r="Z1520">
            <v>5151201</v>
          </cell>
          <cell r="AA1520" t="str">
            <v>WO Lift Plug 
8-1/8" FJWP Pin</v>
          </cell>
          <cell r="AB1520">
            <v>0</v>
          </cell>
          <cell r="AC1520">
            <v>0</v>
          </cell>
          <cell r="AD1520"/>
          <cell r="AE1520" t="str">
            <v>8-1/8" FJWP Pin</v>
          </cell>
          <cell r="AF1520"/>
          <cell r="AG1520"/>
          <cell r="AH1520" t="str">
            <v xml:space="preserve"> en stock </v>
          </cell>
          <cell r="AI1520">
            <v>1</v>
          </cell>
          <cell r="AJ1520">
            <v>0</v>
          </cell>
          <cell r="AK1520">
            <v>0</v>
          </cell>
          <cell r="AL1520"/>
          <cell r="AM1520"/>
          <cell r="AN1520">
            <v>5151201</v>
          </cell>
          <cell r="AO1520"/>
          <cell r="AP1520"/>
          <cell r="AQ1520"/>
          <cell r="AR1520"/>
          <cell r="AS1520">
            <v>27</v>
          </cell>
          <cell r="AT1520"/>
          <cell r="AU1520" t="str">
            <v>FR</v>
          </cell>
          <cell r="AV1520"/>
        </row>
        <row r="1521">
          <cell r="Z1521">
            <v>5151202</v>
          </cell>
          <cell r="AA1521" t="str">
            <v>WO Lift Plug 
8-1/8" FJWP Pin</v>
          </cell>
          <cell r="AB1521">
            <v>0</v>
          </cell>
          <cell r="AC1521">
            <v>0</v>
          </cell>
          <cell r="AD1521"/>
          <cell r="AE1521" t="str">
            <v>8-1/8" FJWP Pin</v>
          </cell>
          <cell r="AF1521"/>
          <cell r="AG1521"/>
          <cell r="AH1521" t="str">
            <v xml:space="preserve"> en stock </v>
          </cell>
          <cell r="AI1521">
            <v>1</v>
          </cell>
          <cell r="AJ1521">
            <v>0</v>
          </cell>
          <cell r="AK1521">
            <v>0</v>
          </cell>
          <cell r="AL1521"/>
          <cell r="AM1521"/>
          <cell r="AN1521">
            <v>5151202</v>
          </cell>
          <cell r="AO1521"/>
          <cell r="AP1521"/>
          <cell r="AQ1521"/>
          <cell r="AR1521"/>
          <cell r="AS1521">
            <v>28</v>
          </cell>
          <cell r="AT1521"/>
          <cell r="AU1521" t="str">
            <v>FR</v>
          </cell>
          <cell r="AV1521"/>
        </row>
        <row r="1522">
          <cell r="Z1522">
            <v>5151203</v>
          </cell>
          <cell r="AA1522" t="str">
            <v>WO Lift Plug 
8-1/8" FJWP Pin</v>
          </cell>
          <cell r="AB1522">
            <v>0</v>
          </cell>
          <cell r="AC1522">
            <v>0</v>
          </cell>
          <cell r="AD1522"/>
          <cell r="AE1522" t="str">
            <v>8-1/8" FJWP Pin</v>
          </cell>
          <cell r="AF1522"/>
          <cell r="AG1522"/>
          <cell r="AH1522" t="str">
            <v xml:space="preserve"> en stock </v>
          </cell>
          <cell r="AI1522">
            <v>1</v>
          </cell>
          <cell r="AJ1522">
            <v>0</v>
          </cell>
          <cell r="AK1522">
            <v>0</v>
          </cell>
          <cell r="AL1522"/>
          <cell r="AM1522"/>
          <cell r="AN1522">
            <v>5151203</v>
          </cell>
          <cell r="AO1522"/>
          <cell r="AP1522"/>
          <cell r="AQ1522"/>
          <cell r="AR1522"/>
          <cell r="AS1522">
            <v>29</v>
          </cell>
          <cell r="AT1522"/>
          <cell r="AU1522" t="str">
            <v>FR</v>
          </cell>
          <cell r="AV1522"/>
        </row>
        <row r="1523">
          <cell r="Z1523">
            <v>5121204</v>
          </cell>
          <cell r="AA1523" t="str">
            <v>WO Top Sub
4-1/2" IF Box x 8-1/8" FJWP Pin x 4-1/2" REG Box in</v>
          </cell>
          <cell r="AB1523">
            <v>0</v>
          </cell>
          <cell r="AC1523">
            <v>3.75</v>
          </cell>
          <cell r="AD1523">
            <v>652</v>
          </cell>
          <cell r="AE1523" t="str">
            <v>4-1/2" IF Box</v>
          </cell>
          <cell r="AF1523" t="str">
            <v>8-1/8" FJWP Pin</v>
          </cell>
          <cell r="AG1523" t="str">
            <v>4-1/2" REG Box</v>
          </cell>
          <cell r="AH1523" t="str">
            <v>maintenance</v>
          </cell>
          <cell r="AI1523" t="str">
            <v/>
          </cell>
          <cell r="AJ1523">
            <v>0</v>
          </cell>
          <cell r="AK1523">
            <v>1</v>
          </cell>
          <cell r="AL1523"/>
          <cell r="AM1523"/>
          <cell r="AN1523" t="str">
            <v/>
          </cell>
          <cell r="AO1523"/>
          <cell r="AP1523"/>
          <cell r="AQ1523"/>
          <cell r="AR1523"/>
          <cell r="AS1523">
            <v>38</v>
          </cell>
          <cell r="AT1523"/>
          <cell r="AU1523" t="str">
            <v>FR</v>
          </cell>
          <cell r="AV1523"/>
        </row>
        <row r="1524">
          <cell r="Z1524">
            <v>5121205</v>
          </cell>
          <cell r="AA1524" t="str">
            <v>WO Top Sub
4-1/2" IF Box x 8-1/8" FJWP Pin x 4-1/2" REG Box in</v>
          </cell>
          <cell r="AB1524">
            <v>90</v>
          </cell>
          <cell r="AC1524">
            <v>8.125</v>
          </cell>
          <cell r="AD1524">
            <v>600</v>
          </cell>
          <cell r="AE1524" t="str">
            <v>4-1/2" IF Box</v>
          </cell>
          <cell r="AF1524" t="str">
            <v>8-1/8" FJWP Pin</v>
          </cell>
          <cell r="AG1524" t="str">
            <v>4-1/2" REG Box</v>
          </cell>
          <cell r="AH1524" t="str">
            <v>maintenance</v>
          </cell>
          <cell r="AI1524" t="str">
            <v/>
          </cell>
          <cell r="AJ1524">
            <v>0</v>
          </cell>
          <cell r="AK1524">
            <v>1</v>
          </cell>
          <cell r="AL1524"/>
          <cell r="AM1524"/>
          <cell r="AN1524" t="str">
            <v/>
          </cell>
          <cell r="AO1524"/>
          <cell r="AP1524"/>
          <cell r="AQ1524"/>
          <cell r="AR1524"/>
          <cell r="AS1524">
            <v>39</v>
          </cell>
          <cell r="AT1524"/>
          <cell r="AU1524" t="str">
            <v>FR</v>
          </cell>
          <cell r="AV1524"/>
        </row>
        <row r="1525">
          <cell r="Z1525">
            <v>5121206</v>
          </cell>
          <cell r="AA1525" t="str">
            <v>WO Top Sub
4-1/2" IF Box x 8-1/8" FJWP Pin x 4-1/2" REG Box in</v>
          </cell>
          <cell r="AB1525">
            <v>90</v>
          </cell>
          <cell r="AC1525">
            <v>8.125</v>
          </cell>
          <cell r="AD1525">
            <v>600</v>
          </cell>
          <cell r="AE1525" t="str">
            <v>4-1/2" IF Box</v>
          </cell>
          <cell r="AF1525" t="str">
            <v>8-1/8" FJWP Pin</v>
          </cell>
          <cell r="AG1525" t="str">
            <v>4-1/2" REG Box</v>
          </cell>
          <cell r="AH1525" t="str">
            <v>maintenance</v>
          </cell>
          <cell r="AI1525" t="str">
            <v/>
          </cell>
          <cell r="AJ1525">
            <v>0</v>
          </cell>
          <cell r="AK1525">
            <v>1</v>
          </cell>
          <cell r="AL1525"/>
          <cell r="AM1525"/>
          <cell r="AN1525" t="str">
            <v/>
          </cell>
          <cell r="AO1525"/>
          <cell r="AP1525"/>
          <cell r="AQ1525"/>
          <cell r="AR1525"/>
          <cell r="AS1525">
            <v>40</v>
          </cell>
          <cell r="AT1525"/>
          <cell r="AU1525" t="str">
            <v>FR</v>
          </cell>
          <cell r="AV1525"/>
        </row>
        <row r="1526">
          <cell r="Z1526">
            <v>5081207</v>
          </cell>
          <cell r="AA1526" t="str">
            <v>Taper Mill 
7-5/8" REG Box</v>
          </cell>
          <cell r="AB1526">
            <v>0</v>
          </cell>
          <cell r="AC1526">
            <v>18.5</v>
          </cell>
          <cell r="AD1526">
            <v>0</v>
          </cell>
          <cell r="AE1526" t="str">
            <v>7-5/8" REG Box</v>
          </cell>
          <cell r="AF1526"/>
          <cell r="AG1526"/>
          <cell r="AH1526" t="str">
            <v xml:space="preserve"> en stock </v>
          </cell>
          <cell r="AI1526">
            <v>1</v>
          </cell>
          <cell r="AJ1526">
            <v>0</v>
          </cell>
          <cell r="AK1526">
            <v>0</v>
          </cell>
          <cell r="AL1526"/>
          <cell r="AM1526"/>
          <cell r="AN1526">
            <v>5081207</v>
          </cell>
          <cell r="AO1526"/>
          <cell r="AP1526"/>
          <cell r="AQ1526"/>
          <cell r="AR1526"/>
          <cell r="AS1526">
            <v>50</v>
          </cell>
          <cell r="AT1526" t="str">
            <v>508-</v>
          </cell>
          <cell r="AU1526" t="str">
            <v>FR</v>
          </cell>
          <cell r="AV1526"/>
        </row>
        <row r="1527">
          <cell r="Z1527">
            <v>5081208</v>
          </cell>
          <cell r="AA1527" t="str">
            <v>Taper Mill 
7-5/8" REG Pin</v>
          </cell>
          <cell r="AB1527">
            <v>400</v>
          </cell>
          <cell r="AC1527">
            <v>17.5</v>
          </cell>
          <cell r="AD1527">
            <v>400</v>
          </cell>
          <cell r="AE1527" t="str">
            <v>7-5/8" REG Pin</v>
          </cell>
          <cell r="AF1527"/>
          <cell r="AG1527"/>
          <cell r="AH1527" t="str">
            <v>maintenance</v>
          </cell>
          <cell r="AI1527" t="str">
            <v/>
          </cell>
          <cell r="AJ1527">
            <v>0</v>
          </cell>
          <cell r="AK1527">
            <v>1</v>
          </cell>
          <cell r="AL1527"/>
          <cell r="AM1527"/>
          <cell r="AN1527">
            <v>5081209</v>
          </cell>
          <cell r="AO1527"/>
          <cell r="AP1527"/>
          <cell r="AQ1527"/>
          <cell r="AR1527"/>
          <cell r="AS1527">
            <v>49</v>
          </cell>
          <cell r="AT1527" t="str">
            <v>508-</v>
          </cell>
          <cell r="AU1527" t="str">
            <v>FR</v>
          </cell>
          <cell r="AV1527"/>
        </row>
        <row r="1528">
          <cell r="Z1528">
            <v>5081209</v>
          </cell>
          <cell r="AA1528" t="str">
            <v>Taper Mill 
6-5/8" REG Pin</v>
          </cell>
          <cell r="AB1528">
            <v>380</v>
          </cell>
          <cell r="AC1528">
            <v>14.875</v>
          </cell>
          <cell r="AD1528">
            <v>380</v>
          </cell>
          <cell r="AE1528" t="str">
            <v>6-5/8" REG Pin</v>
          </cell>
          <cell r="AF1528"/>
          <cell r="AG1528"/>
          <cell r="AH1528" t="str">
            <v xml:space="preserve"> en stock </v>
          </cell>
          <cell r="AI1528">
            <v>1</v>
          </cell>
          <cell r="AJ1528">
            <v>0</v>
          </cell>
          <cell r="AK1528">
            <v>0</v>
          </cell>
          <cell r="AL1528"/>
          <cell r="AM1528"/>
          <cell r="AN1528">
            <v>5081209</v>
          </cell>
          <cell r="AO1528"/>
          <cell r="AP1528"/>
          <cell r="AQ1528"/>
          <cell r="AR1528"/>
          <cell r="AS1528">
            <v>47</v>
          </cell>
          <cell r="AT1528" t="str">
            <v>508-</v>
          </cell>
          <cell r="AU1528" t="str">
            <v>FR</v>
          </cell>
          <cell r="AV1528"/>
        </row>
        <row r="1529">
          <cell r="Z1529">
            <v>5121210</v>
          </cell>
          <cell r="AA1529" t="str">
            <v>WO Top Sub
6-5/8" REG Box x 11-3/4" FJWP Pin x 6-5/8" REG Box in</v>
          </cell>
          <cell r="AB1529">
            <v>0</v>
          </cell>
          <cell r="AC1529">
            <v>11.75</v>
          </cell>
          <cell r="AD1529">
            <v>825</v>
          </cell>
          <cell r="AE1529" t="str">
            <v>6-5/8" REG Box</v>
          </cell>
          <cell r="AF1529" t="str">
            <v>11-3/4" FJWP Pin</v>
          </cell>
          <cell r="AG1529" t="str">
            <v>6-5/8" REG Box</v>
          </cell>
          <cell r="AH1529" t="str">
            <v xml:space="preserve"> en stock </v>
          </cell>
          <cell r="AI1529">
            <v>1</v>
          </cell>
          <cell r="AJ1529">
            <v>0</v>
          </cell>
          <cell r="AK1529">
            <v>0</v>
          </cell>
          <cell r="AL1529"/>
          <cell r="AM1529"/>
          <cell r="AN1529">
            <v>5121210</v>
          </cell>
          <cell r="AO1529"/>
          <cell r="AP1529"/>
          <cell r="AQ1529"/>
          <cell r="AR1529"/>
          <cell r="AS1529">
            <v>47</v>
          </cell>
          <cell r="AT1529"/>
          <cell r="AU1529" t="str">
            <v>FR</v>
          </cell>
          <cell r="AV1529"/>
        </row>
        <row r="1530">
          <cell r="Z1530">
            <v>1061211</v>
          </cell>
          <cell r="AA1530" t="str">
            <v>Impression Block 11-3/4" OD 
6-5/8" REG Box</v>
          </cell>
          <cell r="AB1530">
            <v>254</v>
          </cell>
          <cell r="AC1530">
            <v>11.75</v>
          </cell>
          <cell r="AD1530">
            <v>0</v>
          </cell>
          <cell r="AE1530" t="str">
            <v>6-5/8" REG Box</v>
          </cell>
          <cell r="AF1530"/>
          <cell r="AG1530"/>
          <cell r="AH1530" t="str">
            <v>sur chantier</v>
          </cell>
          <cell r="AI1530" t="str">
            <v/>
          </cell>
          <cell r="AJ1530">
            <v>1</v>
          </cell>
          <cell r="AK1530">
            <v>0</v>
          </cell>
          <cell r="AL1530"/>
          <cell r="AM1530"/>
          <cell r="AN1530">
            <v>1061211</v>
          </cell>
          <cell r="AO1530"/>
          <cell r="AP1530"/>
          <cell r="AQ1530"/>
          <cell r="AR1530"/>
          <cell r="AS1530">
            <v>27</v>
          </cell>
          <cell r="AT1530"/>
          <cell r="AU1530" t="str">
            <v>FR</v>
          </cell>
          <cell r="AV1530"/>
        </row>
        <row r="1531">
          <cell r="Z1531">
            <v>8131212</v>
          </cell>
          <cell r="AA1531" t="str">
            <v>XO
7-5/8" REG Pin x 7-5/8" REG Pin</v>
          </cell>
          <cell r="AB1531">
            <v>214</v>
          </cell>
          <cell r="AC1531">
            <v>9.25</v>
          </cell>
          <cell r="AD1531">
            <v>615</v>
          </cell>
          <cell r="AE1531" t="str">
            <v>7-5/8" REG Pin</v>
          </cell>
          <cell r="AF1531" t="str">
            <v>7-5/8" REG Pin</v>
          </cell>
          <cell r="AG1531"/>
          <cell r="AH1531" t="str">
            <v xml:space="preserve"> en stock </v>
          </cell>
          <cell r="AI1531">
            <v>1</v>
          </cell>
          <cell r="AJ1531">
            <v>0</v>
          </cell>
          <cell r="AK1531">
            <v>0</v>
          </cell>
          <cell r="AL1531"/>
          <cell r="AM1531"/>
          <cell r="AN1531">
            <v>8131212</v>
          </cell>
          <cell r="AO1531"/>
          <cell r="AP1531"/>
          <cell r="AQ1531"/>
          <cell r="AR1531"/>
          <cell r="AS1531">
            <v>231</v>
          </cell>
          <cell r="AT1531"/>
          <cell r="AU1531" t="str">
            <v>FR</v>
          </cell>
          <cell r="AV1531"/>
        </row>
        <row r="1532">
          <cell r="Z1532">
            <v>7041213</v>
          </cell>
          <cell r="AA1532" t="str">
            <v>4-11/16" SFS Overshot - CA 9120
2-7/8" IF Box</v>
          </cell>
          <cell r="AB1532">
            <v>30</v>
          </cell>
          <cell r="AC1532" t="str">
            <v>4-11/16" SFS</v>
          </cell>
          <cell r="AD1532">
            <v>770</v>
          </cell>
          <cell r="AE1532" t="str">
            <v>2-7/8" IF Box</v>
          </cell>
          <cell r="AF1532"/>
          <cell r="AG1532"/>
          <cell r="AH1532" t="str">
            <v>sur chantier</v>
          </cell>
          <cell r="AI1532" t="str">
            <v/>
          </cell>
          <cell r="AJ1532">
            <v>1</v>
          </cell>
          <cell r="AK1532">
            <v>0</v>
          </cell>
          <cell r="AL1532"/>
          <cell r="AM1532"/>
          <cell r="AN1532" t="str">
            <v/>
          </cell>
          <cell r="AO1532"/>
          <cell r="AP1532"/>
          <cell r="AQ1532"/>
          <cell r="AR1532"/>
          <cell r="AS1532">
            <v>26</v>
          </cell>
          <cell r="AT1532" t="str">
            <v>704-9120</v>
          </cell>
          <cell r="AU1532" t="str">
            <v/>
          </cell>
          <cell r="AV1532"/>
        </row>
        <row r="1533">
          <cell r="Z1533">
            <v>8131214</v>
          </cell>
          <cell r="AA1533" t="str">
            <v>XO
2-3/8" IF Pin x 2-7/8" IF Box</v>
          </cell>
          <cell r="AB1533">
            <v>37.960055128124999</v>
          </cell>
          <cell r="AC1533">
            <v>4.125</v>
          </cell>
          <cell r="AD1533">
            <v>600</v>
          </cell>
          <cell r="AE1533" t="str">
            <v>2-3/8" IF Pin</v>
          </cell>
          <cell r="AF1533" t="str">
            <v>2-7/8" IF Box</v>
          </cell>
          <cell r="AG1533"/>
          <cell r="AH1533" t="str">
            <v>maintenance</v>
          </cell>
          <cell r="AI1533" t="str">
            <v/>
          </cell>
          <cell r="AJ1533">
            <v>0</v>
          </cell>
          <cell r="AK1533">
            <v>1</v>
          </cell>
          <cell r="AL1533"/>
          <cell r="AM1533"/>
          <cell r="AN1533">
            <v>8131214</v>
          </cell>
          <cell r="AO1533"/>
          <cell r="AP1533"/>
          <cell r="AQ1533"/>
          <cell r="AR1533"/>
          <cell r="AS1533">
            <v>29</v>
          </cell>
          <cell r="AT1533"/>
          <cell r="AU1533" t="str">
            <v>FR</v>
          </cell>
          <cell r="AV1533"/>
        </row>
        <row r="1534">
          <cell r="Z1534">
            <v>8131215</v>
          </cell>
          <cell r="AA1534" t="str">
            <v>XO
2-3/8" IF Pin x 2-7/8" IF Box</v>
          </cell>
          <cell r="AB1534">
            <v>37.960055128124999</v>
          </cell>
          <cell r="AC1534">
            <v>4.125</v>
          </cell>
          <cell r="AD1534">
            <v>600</v>
          </cell>
          <cell r="AE1534" t="str">
            <v>2-3/8" IF Pin</v>
          </cell>
          <cell r="AF1534" t="str">
            <v>2-7/8" IF Box</v>
          </cell>
          <cell r="AG1534"/>
          <cell r="AH1534" t="str">
            <v xml:space="preserve"> en stock </v>
          </cell>
          <cell r="AI1534">
            <v>1</v>
          </cell>
          <cell r="AJ1534">
            <v>0</v>
          </cell>
          <cell r="AK1534">
            <v>0</v>
          </cell>
          <cell r="AL1534"/>
          <cell r="AM1534"/>
          <cell r="AN1534">
            <v>8131215</v>
          </cell>
          <cell r="AO1534"/>
          <cell r="AP1534"/>
          <cell r="AQ1534"/>
          <cell r="AR1534"/>
          <cell r="AS1534">
            <v>30</v>
          </cell>
          <cell r="AT1534"/>
          <cell r="AU1534" t="str">
            <v>FR</v>
          </cell>
          <cell r="AV1534"/>
        </row>
        <row r="1535">
          <cell r="Z1535">
            <v>8131216</v>
          </cell>
          <cell r="AA1535" t="str">
            <v>XO
2-3/8" REG Pin x 2-7/8" IF Box</v>
          </cell>
          <cell r="AB1535">
            <v>37.960055128124999</v>
          </cell>
          <cell r="AC1535">
            <v>4.125</v>
          </cell>
          <cell r="AD1535">
            <v>600</v>
          </cell>
          <cell r="AE1535" t="str">
            <v>2-3/8" REG Pin</v>
          </cell>
          <cell r="AF1535" t="str">
            <v>2-7/8" IF Box</v>
          </cell>
          <cell r="AG1535"/>
          <cell r="AH1535" t="str">
            <v xml:space="preserve"> en stock </v>
          </cell>
          <cell r="AI1535">
            <v>1</v>
          </cell>
          <cell r="AJ1535">
            <v>0</v>
          </cell>
          <cell r="AK1535">
            <v>0</v>
          </cell>
          <cell r="AL1535"/>
          <cell r="AM1535"/>
          <cell r="AN1535">
            <v>8131216</v>
          </cell>
          <cell r="AO1535"/>
          <cell r="AP1535"/>
          <cell r="AQ1535"/>
          <cell r="AR1535"/>
          <cell r="AS1535">
            <v>57</v>
          </cell>
          <cell r="AT1535"/>
          <cell r="AU1535" t="str">
            <v>FR</v>
          </cell>
          <cell r="AV1535"/>
        </row>
        <row r="1536">
          <cell r="Z1536">
            <v>8131217</v>
          </cell>
          <cell r="AA1536" t="str">
            <v>XO
3-1/2" IF Pin x 2-3/8" IF Box</v>
          </cell>
          <cell r="AB1536">
            <v>55</v>
          </cell>
          <cell r="AC1536">
            <v>4.75</v>
          </cell>
          <cell r="AD1536">
            <v>600</v>
          </cell>
          <cell r="AE1536" t="str">
            <v>3-1/2" IF Pin</v>
          </cell>
          <cell r="AF1536" t="str">
            <v>2-3/8" IF Box</v>
          </cell>
          <cell r="AG1536"/>
          <cell r="AH1536" t="str">
            <v>maintenance</v>
          </cell>
          <cell r="AI1536" t="str">
            <v/>
          </cell>
          <cell r="AJ1536">
            <v>0</v>
          </cell>
          <cell r="AK1536">
            <v>1</v>
          </cell>
          <cell r="AL1536"/>
          <cell r="AM1536"/>
          <cell r="AN1536">
            <v>8131217</v>
          </cell>
          <cell r="AO1536"/>
          <cell r="AP1536"/>
          <cell r="AQ1536"/>
          <cell r="AR1536"/>
          <cell r="AS1536">
            <v>102</v>
          </cell>
          <cell r="AT1536"/>
          <cell r="AU1536" t="str">
            <v>FR</v>
          </cell>
          <cell r="AV1536"/>
        </row>
        <row r="1537">
          <cell r="Z1537">
            <v>306</v>
          </cell>
          <cell r="AA1537" t="str">
            <v>Shock Tool 9-5/8" OD
7-5/8" REG Pin down x Box up</v>
          </cell>
          <cell r="AB1537">
            <v>1300</v>
          </cell>
          <cell r="AC1537">
            <v>9.625</v>
          </cell>
          <cell r="AD1537">
            <v>3715</v>
          </cell>
          <cell r="AE1537" t="str">
            <v>7-5/8" REG Box</v>
          </cell>
          <cell r="AF1537" t="str">
            <v>7-5/8" REG Pin</v>
          </cell>
          <cell r="AG1537"/>
          <cell r="AH1537" t="str">
            <v>maintenance</v>
          </cell>
          <cell r="AI1537" t="str">
            <v/>
          </cell>
          <cell r="AJ1537">
            <v>0</v>
          </cell>
          <cell r="AK1537">
            <v>1</v>
          </cell>
          <cell r="AL1537"/>
          <cell r="AM1537"/>
          <cell r="AN1537">
            <v>4061218</v>
          </cell>
          <cell r="AO1537"/>
          <cell r="AP1537"/>
          <cell r="AQ1537"/>
          <cell r="AR1537"/>
          <cell r="AS1537">
            <v>6</v>
          </cell>
          <cell r="AT1537" t="str">
            <v>406-9,625</v>
          </cell>
          <cell r="AU1537" t="str">
            <v>UAE</v>
          </cell>
          <cell r="AV1537"/>
        </row>
        <row r="1538">
          <cell r="Z1538">
            <v>321</v>
          </cell>
          <cell r="AA1538" t="str">
            <v>Drilling Jar Full Hydro 4-3/4" OD
3-1/2" IF Pin down x Box up</v>
          </cell>
          <cell r="AB1538">
            <v>278</v>
          </cell>
          <cell r="AC1538">
            <v>4.75</v>
          </cell>
          <cell r="AD1538">
            <v>5367</v>
          </cell>
          <cell r="AE1538" t="str">
            <v>3-1/2" IF Box</v>
          </cell>
          <cell r="AF1538" t="str">
            <v>3-1/2" IF Pin</v>
          </cell>
          <cell r="AG1538"/>
          <cell r="AH1538" t="str">
            <v xml:space="preserve"> en stock </v>
          </cell>
          <cell r="AI1538">
            <v>1</v>
          </cell>
          <cell r="AJ1538">
            <v>0</v>
          </cell>
          <cell r="AK1538">
            <v>0</v>
          </cell>
          <cell r="AL1538"/>
          <cell r="AM1538"/>
          <cell r="AN1538">
            <v>4011219</v>
          </cell>
          <cell r="AO1538"/>
          <cell r="AP1538"/>
          <cell r="AQ1538"/>
          <cell r="AR1538"/>
          <cell r="AS1538">
            <v>9</v>
          </cell>
          <cell r="AT1538" t="str">
            <v>401-4,750FH</v>
          </cell>
          <cell r="AU1538" t="str">
            <v>UAE</v>
          </cell>
          <cell r="AV1538"/>
        </row>
        <row r="1539">
          <cell r="Z1539">
            <v>322</v>
          </cell>
          <cell r="AA1539" t="str">
            <v>Drilling Jar Full Hydro 4-3/4" OD
3-1/2" IF Pin down x Box up</v>
          </cell>
          <cell r="AB1539">
            <v>278</v>
          </cell>
          <cell r="AC1539">
            <v>4.75</v>
          </cell>
          <cell r="AD1539">
            <v>5367</v>
          </cell>
          <cell r="AE1539" t="str">
            <v>3-1/2" IF Box</v>
          </cell>
          <cell r="AF1539" t="str">
            <v>3-1/2" IF Pin</v>
          </cell>
          <cell r="AG1539"/>
          <cell r="AH1539" t="str">
            <v>maintenance</v>
          </cell>
          <cell r="AI1539" t="str">
            <v/>
          </cell>
          <cell r="AJ1539">
            <v>0</v>
          </cell>
          <cell r="AK1539">
            <v>1</v>
          </cell>
          <cell r="AL1539"/>
          <cell r="AM1539"/>
          <cell r="AN1539">
            <v>4011220</v>
          </cell>
          <cell r="AO1539"/>
          <cell r="AP1539"/>
          <cell r="AQ1539"/>
          <cell r="AR1539"/>
          <cell r="AS1539">
            <v>10</v>
          </cell>
          <cell r="AT1539" t="str">
            <v>401-4,750FH</v>
          </cell>
          <cell r="AU1539" t="str">
            <v>UAE</v>
          </cell>
          <cell r="AV1539"/>
        </row>
        <row r="1540">
          <cell r="Z1540">
            <v>323</v>
          </cell>
          <cell r="AA1540" t="str">
            <v>Drilling Jar Full Hydro 4-3/4" OD
3-1/2" IF Pin down x Box up</v>
          </cell>
          <cell r="AB1540">
            <v>278</v>
          </cell>
          <cell r="AC1540">
            <v>4.75</v>
          </cell>
          <cell r="AD1540">
            <v>5367</v>
          </cell>
          <cell r="AE1540" t="str">
            <v>3-1/2" IF Box</v>
          </cell>
          <cell r="AF1540" t="str">
            <v>3-1/2" IF Pin</v>
          </cell>
          <cell r="AG1540"/>
          <cell r="AH1540" t="str">
            <v>maintenance</v>
          </cell>
          <cell r="AI1540" t="str">
            <v/>
          </cell>
          <cell r="AJ1540">
            <v>0</v>
          </cell>
          <cell r="AK1540">
            <v>1</v>
          </cell>
          <cell r="AL1540"/>
          <cell r="AM1540"/>
          <cell r="AN1540">
            <v>4011221</v>
          </cell>
          <cell r="AO1540"/>
          <cell r="AP1540"/>
          <cell r="AQ1540"/>
          <cell r="AR1540"/>
          <cell r="AS1540">
            <v>11</v>
          </cell>
          <cell r="AT1540" t="str">
            <v>401-4,750FH</v>
          </cell>
          <cell r="AU1540" t="str">
            <v>UAE</v>
          </cell>
          <cell r="AV1540"/>
        </row>
        <row r="1541">
          <cell r="Z1541">
            <v>318</v>
          </cell>
          <cell r="AA1541" t="str">
            <v>Drilling JarFull Hydro 6-3/4" OD
4-1/2" IF Pin down x Box up</v>
          </cell>
          <cell r="AB1541">
            <v>538</v>
          </cell>
          <cell r="AC1541">
            <v>6.8125</v>
          </cell>
          <cell r="AD1541">
            <v>5380</v>
          </cell>
          <cell r="AE1541" t="str">
            <v>4-1/2" IF Box</v>
          </cell>
          <cell r="AF1541" t="str">
            <v>4-1/2" IF Pin</v>
          </cell>
          <cell r="AG1541"/>
          <cell r="AH1541" t="str">
            <v>sur chantier</v>
          </cell>
          <cell r="AI1541" t="str">
            <v/>
          </cell>
          <cell r="AJ1541">
            <v>1</v>
          </cell>
          <cell r="AK1541">
            <v>0</v>
          </cell>
          <cell r="AL1541"/>
          <cell r="AM1541"/>
          <cell r="AN1541">
            <v>4011222</v>
          </cell>
          <cell r="AO1541"/>
          <cell r="AP1541"/>
          <cell r="AQ1541"/>
          <cell r="AR1541"/>
          <cell r="AS1541">
            <v>18</v>
          </cell>
          <cell r="AT1541" t="str">
            <v>401-6,750FH</v>
          </cell>
          <cell r="AU1541" t="str">
            <v>UAE</v>
          </cell>
          <cell r="AV1541"/>
        </row>
        <row r="1542">
          <cell r="Z1542">
            <v>319</v>
          </cell>
          <cell r="AA1542" t="str">
            <v>Drilling Jar Full Hydro 6-3/4" OD
4-1/2" IF Pin down x Box up</v>
          </cell>
          <cell r="AB1542">
            <v>538</v>
          </cell>
          <cell r="AC1542">
            <v>6.8125</v>
          </cell>
          <cell r="AD1542">
            <v>5380</v>
          </cell>
          <cell r="AE1542" t="str">
            <v>4-1/2" IF Box</v>
          </cell>
          <cell r="AF1542" t="str">
            <v>4-1/2" IF Pin</v>
          </cell>
          <cell r="AG1542"/>
          <cell r="AH1542" t="str">
            <v>sur chantier</v>
          </cell>
          <cell r="AI1542" t="str">
            <v/>
          </cell>
          <cell r="AJ1542">
            <v>1</v>
          </cell>
          <cell r="AK1542">
            <v>0</v>
          </cell>
          <cell r="AL1542"/>
          <cell r="AM1542"/>
          <cell r="AN1542">
            <v>4011223</v>
          </cell>
          <cell r="AO1542"/>
          <cell r="AP1542"/>
          <cell r="AQ1542"/>
          <cell r="AR1542"/>
          <cell r="AS1542">
            <v>19</v>
          </cell>
          <cell r="AT1542" t="str">
            <v>401-6,750FH</v>
          </cell>
          <cell r="AU1542" t="str">
            <v>UAE</v>
          </cell>
          <cell r="AV1542"/>
        </row>
        <row r="1543">
          <cell r="Z1543">
            <v>324</v>
          </cell>
          <cell r="AA1543" t="str">
            <v>Drilling Jar Full Hydro 8-1/2" OD
6-5/8" REG Pin down x Box up</v>
          </cell>
          <cell r="AB1543">
            <v>1153</v>
          </cell>
          <cell r="AC1543">
            <v>8.9375</v>
          </cell>
          <cell r="AD1543">
            <v>6623</v>
          </cell>
          <cell r="AE1543" t="str">
            <v>6-5/8" REG Box</v>
          </cell>
          <cell r="AF1543" t="str">
            <v>6-5/8" REG Pin</v>
          </cell>
          <cell r="AG1543"/>
          <cell r="AH1543" t="str">
            <v>sur chantier</v>
          </cell>
          <cell r="AI1543" t="str">
            <v/>
          </cell>
          <cell r="AJ1543">
            <v>1</v>
          </cell>
          <cell r="AK1543">
            <v>0</v>
          </cell>
          <cell r="AL1543"/>
          <cell r="AM1543"/>
          <cell r="AN1543">
            <v>4011224</v>
          </cell>
          <cell r="AO1543"/>
          <cell r="AP1543"/>
          <cell r="AQ1543"/>
          <cell r="AR1543"/>
          <cell r="AS1543">
            <v>30</v>
          </cell>
          <cell r="AT1543" t="str">
            <v>401-8,000FH</v>
          </cell>
          <cell r="AU1543" t="str">
            <v>UAE</v>
          </cell>
          <cell r="AV1543"/>
        </row>
        <row r="1544">
          <cell r="Z1544">
            <v>325</v>
          </cell>
          <cell r="AA1544" t="str">
            <v>Drilling Jar Full Hydro 8-1/2" OD
6-5/8" REG Pin down x Box up</v>
          </cell>
          <cell r="AB1544">
            <v>1153</v>
          </cell>
          <cell r="AC1544">
            <v>8.9375</v>
          </cell>
          <cell r="AD1544">
            <v>6623</v>
          </cell>
          <cell r="AE1544" t="str">
            <v>6-5/8" REG Box</v>
          </cell>
          <cell r="AF1544" t="str">
            <v>6-5/8" REG Pin</v>
          </cell>
          <cell r="AG1544"/>
          <cell r="AH1544" t="str">
            <v>maintenance</v>
          </cell>
          <cell r="AI1544" t="str">
            <v/>
          </cell>
          <cell r="AJ1544">
            <v>0</v>
          </cell>
          <cell r="AK1544">
            <v>1</v>
          </cell>
          <cell r="AL1544"/>
          <cell r="AM1544"/>
          <cell r="AN1544">
            <v>4011225</v>
          </cell>
          <cell r="AO1544"/>
          <cell r="AP1544"/>
          <cell r="AQ1544"/>
          <cell r="AR1544"/>
          <cell r="AS1544">
            <v>31</v>
          </cell>
          <cell r="AT1544" t="str">
            <v>401-8,000FH</v>
          </cell>
          <cell r="AU1544" t="str">
            <v>UAE</v>
          </cell>
          <cell r="AV1544"/>
        </row>
        <row r="1545">
          <cell r="Z1545">
            <v>3925</v>
          </cell>
          <cell r="AA1545" t="str">
            <v xml:space="preserve">3-1/8" PDM - 5/6 lobes - 5 stages
2-3/8" REG Box x Box
Rotor : 
Stator : 
Bent : </v>
          </cell>
          <cell r="AB1545">
            <v>120</v>
          </cell>
          <cell r="AC1545">
            <v>3.125</v>
          </cell>
          <cell r="AD1545">
            <v>4370</v>
          </cell>
          <cell r="AE1545" t="str">
            <v>NBR</v>
          </cell>
          <cell r="AF1545">
            <v>0</v>
          </cell>
          <cell r="AG1545"/>
          <cell r="AH1545" t="str">
            <v>maintenance</v>
          </cell>
          <cell r="AI1545" t="str">
            <v/>
          </cell>
          <cell r="AJ1545">
            <v>0</v>
          </cell>
          <cell r="AK1545">
            <v>1</v>
          </cell>
          <cell r="AL1545"/>
          <cell r="AM1545"/>
          <cell r="AN1545">
            <v>601312016</v>
          </cell>
          <cell r="AO1545"/>
          <cell r="AP1545"/>
          <cell r="AQ1545"/>
          <cell r="AR1545"/>
          <cell r="AS1545">
            <v>38</v>
          </cell>
          <cell r="AT1545"/>
          <cell r="AU1545" t="str">
            <v>UAE</v>
          </cell>
          <cell r="AV1545"/>
        </row>
        <row r="1546">
          <cell r="Z1546">
            <v>3926</v>
          </cell>
          <cell r="AA1546" t="str">
            <v xml:space="preserve">3-1/8" PDM  - 5/6 lobes - 5 stages
2-3/8" REG Box x Box
Rotor : 
Stator : 
Bent : </v>
          </cell>
          <cell r="AB1546">
            <v>120</v>
          </cell>
          <cell r="AC1546">
            <v>3.125</v>
          </cell>
          <cell r="AD1546">
            <v>4370</v>
          </cell>
          <cell r="AE1546" t="str">
            <v>NBR</v>
          </cell>
          <cell r="AF1546">
            <v>0</v>
          </cell>
          <cell r="AG1546"/>
          <cell r="AH1546" t="str">
            <v>maintenance</v>
          </cell>
          <cell r="AI1546" t="str">
            <v/>
          </cell>
          <cell r="AJ1546">
            <v>0</v>
          </cell>
          <cell r="AK1546">
            <v>1</v>
          </cell>
          <cell r="AL1546"/>
          <cell r="AM1546"/>
          <cell r="AN1546">
            <v>601312017</v>
          </cell>
          <cell r="AO1546"/>
          <cell r="AP1546"/>
          <cell r="AQ1546"/>
          <cell r="AR1546"/>
          <cell r="AS1546">
            <v>39</v>
          </cell>
          <cell r="AT1546"/>
          <cell r="AU1546" t="str">
            <v>UAE</v>
          </cell>
          <cell r="AV1546"/>
        </row>
        <row r="1547">
          <cell r="Z1547">
            <v>3927</v>
          </cell>
          <cell r="AA1547" t="str">
            <v xml:space="preserve">4-3/4" PDM  - lobes - stages
3-1/2" IF Box x 3-1/2" REG Box
Rotor : 
Stator : 
Bent : </v>
          </cell>
          <cell r="AB1547">
            <v>470</v>
          </cell>
          <cell r="AC1547">
            <v>4.75</v>
          </cell>
          <cell r="AD1547">
            <v>6745</v>
          </cell>
          <cell r="AE1547" t="str">
            <v>NRB HT</v>
          </cell>
          <cell r="AF1547">
            <v>0</v>
          </cell>
          <cell r="AG1547"/>
          <cell r="AH1547" t="str">
            <v xml:space="preserve"> en stock </v>
          </cell>
          <cell r="AI1547">
            <v>1</v>
          </cell>
          <cell r="AJ1547">
            <v>0</v>
          </cell>
          <cell r="AK1547">
            <v>0</v>
          </cell>
          <cell r="AL1547"/>
          <cell r="AM1547"/>
          <cell r="AN1547">
            <v>601475018</v>
          </cell>
          <cell r="AO1547"/>
          <cell r="AP1547"/>
          <cell r="AQ1547"/>
          <cell r="AR1547"/>
          <cell r="AS1547">
            <v>32</v>
          </cell>
          <cell r="AT1547"/>
          <cell r="AU1547" t="str">
            <v>UAE</v>
          </cell>
          <cell r="AV1547"/>
        </row>
        <row r="1548">
          <cell r="Z1548" t="str">
            <v>605-475-SLK15</v>
          </cell>
          <cell r="AA1548" t="str">
            <v>Sleeve 0 for PDM 4-3/4"</v>
          </cell>
          <cell r="AB1548">
            <v>6</v>
          </cell>
          <cell r="AC1548">
            <v>0</v>
          </cell>
          <cell r="AD1548"/>
          <cell r="AE1548" t="str">
            <v xml:space="preserve">for PDM </v>
          </cell>
          <cell r="AF1548" t="str">
            <v xml:space="preserve">on </v>
          </cell>
          <cell r="AG1548"/>
          <cell r="AH1548" t="str">
            <v>maintenance</v>
          </cell>
          <cell r="AI1548" t="str">
            <v/>
          </cell>
          <cell r="AJ1548">
            <v>0</v>
          </cell>
          <cell r="AK1548">
            <v>1</v>
          </cell>
          <cell r="AL1548"/>
          <cell r="AM1548"/>
          <cell r="AN1548" t="str">
            <v/>
          </cell>
          <cell r="AO1548"/>
          <cell r="AP1548"/>
          <cell r="AQ1548"/>
          <cell r="AR1548"/>
          <cell r="AS1548">
            <v>107</v>
          </cell>
          <cell r="AT1548"/>
          <cell r="AU1548" t="str">
            <v/>
          </cell>
          <cell r="AV1548"/>
        </row>
        <row r="1549">
          <cell r="Z1549">
            <v>3950</v>
          </cell>
          <cell r="AA1549" t="str">
            <v xml:space="preserve">4-3/4" PDM  - lobes - stages
3-1/2" IF Box x 3-1/2" REG Box
Rotor : 
Stator : 
Bent : </v>
          </cell>
          <cell r="AB1549">
            <v>470</v>
          </cell>
          <cell r="AC1549">
            <v>4.75</v>
          </cell>
          <cell r="AD1549">
            <v>6745</v>
          </cell>
          <cell r="AE1549" t="str">
            <v>NBR</v>
          </cell>
          <cell r="AF1549">
            <v>0</v>
          </cell>
          <cell r="AG1549"/>
          <cell r="AH1549" t="str">
            <v>sur chantier</v>
          </cell>
          <cell r="AI1549" t="str">
            <v/>
          </cell>
          <cell r="AJ1549">
            <v>1</v>
          </cell>
          <cell r="AK1549">
            <v>0</v>
          </cell>
          <cell r="AL1549"/>
          <cell r="AM1549"/>
          <cell r="AN1549">
            <v>601475019</v>
          </cell>
          <cell r="AO1549"/>
          <cell r="AP1549"/>
          <cell r="AQ1549"/>
          <cell r="AR1549"/>
          <cell r="AS1549">
            <v>34</v>
          </cell>
          <cell r="AT1549"/>
          <cell r="AU1549" t="str">
            <v>UAE</v>
          </cell>
          <cell r="AV1549"/>
        </row>
        <row r="1550">
          <cell r="Z1550" t="str">
            <v>605-475-SLK16</v>
          </cell>
          <cell r="AA1550" t="str">
            <v>Sleeve 0 for PDM 4-3/4"</v>
          </cell>
          <cell r="AB1550">
            <v>6</v>
          </cell>
          <cell r="AC1550">
            <v>0</v>
          </cell>
          <cell r="AD1550"/>
          <cell r="AE1550" t="str">
            <v xml:space="preserve">for PDM </v>
          </cell>
          <cell r="AF1550" t="str">
            <v xml:space="preserve">on </v>
          </cell>
          <cell r="AG1550"/>
          <cell r="AH1550" t="str">
            <v>maintenance</v>
          </cell>
          <cell r="AI1550" t="str">
            <v/>
          </cell>
          <cell r="AJ1550">
            <v>0</v>
          </cell>
          <cell r="AK1550">
            <v>1</v>
          </cell>
          <cell r="AL1550"/>
          <cell r="AM1550"/>
          <cell r="AN1550" t="str">
            <v/>
          </cell>
          <cell r="AO1550"/>
          <cell r="AP1550"/>
          <cell r="AQ1550"/>
          <cell r="AR1550"/>
          <cell r="AS1550">
            <v>108</v>
          </cell>
          <cell r="AT1550"/>
          <cell r="AU1550" t="str">
            <v/>
          </cell>
          <cell r="AV1550"/>
        </row>
        <row r="1551">
          <cell r="Z1551">
            <v>3949</v>
          </cell>
          <cell r="AA1551" t="str">
            <v xml:space="preserve">4-3/4" PDM  - lobes - stages
3-1/2" IF Box x 3-1/2" REG Box
Rotor : 
Stator : 
Bent : </v>
          </cell>
          <cell r="AB1551">
            <v>470</v>
          </cell>
          <cell r="AC1551">
            <v>4.75</v>
          </cell>
          <cell r="AD1551">
            <v>6745</v>
          </cell>
          <cell r="AE1551" t="str">
            <v>NRB HPW</v>
          </cell>
          <cell r="AF1551">
            <v>0</v>
          </cell>
          <cell r="AG1551"/>
          <cell r="AH1551" t="str">
            <v>maintenance</v>
          </cell>
          <cell r="AI1551" t="str">
            <v/>
          </cell>
          <cell r="AJ1551">
            <v>0</v>
          </cell>
          <cell r="AK1551">
            <v>1</v>
          </cell>
          <cell r="AL1551"/>
          <cell r="AM1551"/>
          <cell r="AN1551">
            <v>601475020</v>
          </cell>
          <cell r="AO1551"/>
          <cell r="AP1551"/>
          <cell r="AQ1551"/>
          <cell r="AR1551"/>
          <cell r="AS1551">
            <v>33</v>
          </cell>
          <cell r="AT1551"/>
          <cell r="AU1551" t="str">
            <v>UAE</v>
          </cell>
          <cell r="AV1551"/>
        </row>
        <row r="1552">
          <cell r="Z1552" t="str">
            <v>605-475-SLK17</v>
          </cell>
          <cell r="AA1552" t="str">
            <v>Sleeve 0 for PDM 4-3/4"</v>
          </cell>
          <cell r="AB1552">
            <v>6</v>
          </cell>
          <cell r="AC1552">
            <v>0</v>
          </cell>
          <cell r="AD1552"/>
          <cell r="AE1552" t="str">
            <v xml:space="preserve">for PDM </v>
          </cell>
          <cell r="AF1552" t="str">
            <v xml:space="preserve">on </v>
          </cell>
          <cell r="AG1552"/>
          <cell r="AH1552" t="str">
            <v xml:space="preserve"> en stock </v>
          </cell>
          <cell r="AI1552">
            <v>1</v>
          </cell>
          <cell r="AJ1552">
            <v>0</v>
          </cell>
          <cell r="AK1552">
            <v>0</v>
          </cell>
          <cell r="AL1552"/>
          <cell r="AM1552"/>
          <cell r="AN1552" t="str">
            <v/>
          </cell>
          <cell r="AO1552"/>
          <cell r="AP1552"/>
          <cell r="AQ1552"/>
          <cell r="AR1552"/>
          <cell r="AS1552">
            <v>109</v>
          </cell>
          <cell r="AT1552"/>
          <cell r="AU1552" t="str">
            <v/>
          </cell>
          <cell r="AV1552"/>
        </row>
        <row r="1553">
          <cell r="Z1553">
            <v>3934</v>
          </cell>
          <cell r="AA1553" t="str">
            <v xml:space="preserve">6-3/4" PDM  - lobes - stages
4-1/2" IF Box x 4-1/2" REG Box
Rotor : 
Stator : 
Bent : </v>
          </cell>
          <cell r="AB1553">
            <v>1500</v>
          </cell>
          <cell r="AC1553">
            <v>6.75</v>
          </cell>
          <cell r="AD1553">
            <v>9840</v>
          </cell>
          <cell r="AE1553" t="str">
            <v>NRB</v>
          </cell>
          <cell r="AF1553">
            <v>0</v>
          </cell>
          <cell r="AG1553"/>
          <cell r="AH1553" t="str">
            <v>sur chantier</v>
          </cell>
          <cell r="AI1553" t="str">
            <v/>
          </cell>
          <cell r="AJ1553">
            <v>1</v>
          </cell>
          <cell r="AK1553">
            <v>0</v>
          </cell>
          <cell r="AL1553"/>
          <cell r="AM1553"/>
          <cell r="AN1553">
            <v>601675021</v>
          </cell>
          <cell r="AO1553"/>
          <cell r="AP1553"/>
          <cell r="AQ1553"/>
          <cell r="AR1553"/>
          <cell r="AS1553">
            <v>24</v>
          </cell>
          <cell r="AT1553"/>
          <cell r="AU1553" t="str">
            <v>UAE</v>
          </cell>
          <cell r="AV1553"/>
        </row>
        <row r="1554">
          <cell r="Z1554" t="str">
            <v>605-675-SLK22</v>
          </cell>
          <cell r="AA1554" t="str">
            <v>Sleeve 0 for PDM 6-3/4"</v>
          </cell>
          <cell r="AB1554">
            <v>0</v>
          </cell>
          <cell r="AC1554">
            <v>0</v>
          </cell>
          <cell r="AD1554"/>
          <cell r="AE1554" t="str">
            <v xml:space="preserve">for PDM </v>
          </cell>
          <cell r="AF1554" t="str">
            <v xml:space="preserve">on </v>
          </cell>
          <cell r="AG1554"/>
          <cell r="AH1554" t="str">
            <v>maintenance</v>
          </cell>
          <cell r="AI1554" t="str">
            <v/>
          </cell>
          <cell r="AJ1554">
            <v>0</v>
          </cell>
          <cell r="AK1554">
            <v>1</v>
          </cell>
          <cell r="AL1554"/>
          <cell r="AM1554"/>
          <cell r="AN1554" t="str">
            <v/>
          </cell>
          <cell r="AO1554"/>
          <cell r="AP1554"/>
          <cell r="AQ1554"/>
          <cell r="AR1554"/>
          <cell r="AS1554">
            <v>96</v>
          </cell>
          <cell r="AT1554"/>
          <cell r="AU1554" t="str">
            <v/>
          </cell>
          <cell r="AV1554"/>
        </row>
        <row r="1555">
          <cell r="Z1555">
            <v>3935</v>
          </cell>
          <cell r="AA1555" t="str">
            <v xml:space="preserve">6-3/4" PDM  - lobes - stages
4-1/2" IF Box x 4-1/2" REG Box
Rotor : 
Stator : 
Bent : </v>
          </cell>
          <cell r="AB1555">
            <v>1500</v>
          </cell>
          <cell r="AC1555">
            <v>6.75</v>
          </cell>
          <cell r="AD1555">
            <v>9840</v>
          </cell>
          <cell r="AE1555" t="str">
            <v>NRB HPW</v>
          </cell>
          <cell r="AF1555">
            <v>0</v>
          </cell>
          <cell r="AG1555"/>
          <cell r="AH1555" t="str">
            <v>sur chantier</v>
          </cell>
          <cell r="AI1555" t="str">
            <v/>
          </cell>
          <cell r="AJ1555">
            <v>1</v>
          </cell>
          <cell r="AK1555">
            <v>0</v>
          </cell>
          <cell r="AL1555"/>
          <cell r="AM1555"/>
          <cell r="AN1555">
            <v>601675022</v>
          </cell>
          <cell r="AO1555"/>
          <cell r="AP1555"/>
          <cell r="AQ1555"/>
          <cell r="AR1555"/>
          <cell r="AS1555">
            <v>25</v>
          </cell>
          <cell r="AT1555"/>
          <cell r="AU1555" t="str">
            <v>UAE</v>
          </cell>
          <cell r="AV1555"/>
        </row>
        <row r="1556">
          <cell r="Z1556" t="str">
            <v>605-675-SLK23</v>
          </cell>
          <cell r="AA1556" t="str">
            <v>Sleeve 0 for PDM 6-3/4"</v>
          </cell>
          <cell r="AB1556">
            <v>0</v>
          </cell>
          <cell r="AC1556">
            <v>0</v>
          </cell>
          <cell r="AD1556"/>
          <cell r="AE1556" t="str">
            <v xml:space="preserve">for PDM </v>
          </cell>
          <cell r="AF1556" t="str">
            <v xml:space="preserve">on </v>
          </cell>
          <cell r="AG1556"/>
          <cell r="AH1556" t="str">
            <v>maintenance</v>
          </cell>
          <cell r="AI1556" t="str">
            <v/>
          </cell>
          <cell r="AJ1556">
            <v>0</v>
          </cell>
          <cell r="AK1556">
            <v>1</v>
          </cell>
          <cell r="AL1556"/>
          <cell r="AM1556"/>
          <cell r="AN1556" t="str">
            <v/>
          </cell>
          <cell r="AO1556"/>
          <cell r="AP1556"/>
          <cell r="AQ1556"/>
          <cell r="AR1556"/>
          <cell r="AS1556">
            <v>97</v>
          </cell>
          <cell r="AT1556"/>
          <cell r="AU1556" t="str">
            <v/>
          </cell>
          <cell r="AV1556"/>
        </row>
        <row r="1557">
          <cell r="Z1557">
            <v>3938</v>
          </cell>
          <cell r="AA1557" t="str">
            <v xml:space="preserve">6-3/4" PDM  - lobes - stages
4-1/2" IF Box x 4-1/2" REG Box
Rotor : 
Stator : 
Bent : </v>
          </cell>
          <cell r="AB1557">
            <v>1500</v>
          </cell>
          <cell r="AC1557">
            <v>6.75</v>
          </cell>
          <cell r="AD1557">
            <v>9840</v>
          </cell>
          <cell r="AE1557" t="str">
            <v>NBR HT</v>
          </cell>
          <cell r="AF1557">
            <v>0</v>
          </cell>
          <cell r="AG1557"/>
          <cell r="AH1557" t="str">
            <v>maintenance</v>
          </cell>
          <cell r="AI1557" t="str">
            <v/>
          </cell>
          <cell r="AJ1557">
            <v>0</v>
          </cell>
          <cell r="AK1557">
            <v>1</v>
          </cell>
          <cell r="AL1557"/>
          <cell r="AM1557"/>
          <cell r="AN1557">
            <v>601675023</v>
          </cell>
          <cell r="AO1557"/>
          <cell r="AP1557"/>
          <cell r="AQ1557"/>
          <cell r="AR1557"/>
          <cell r="AS1557">
            <v>26</v>
          </cell>
          <cell r="AT1557"/>
          <cell r="AU1557" t="str">
            <v>UAE</v>
          </cell>
          <cell r="AV1557"/>
        </row>
        <row r="1558">
          <cell r="Z1558" t="str">
            <v>605-675-SLK24</v>
          </cell>
          <cell r="AA1558" t="str">
            <v>Sleeve 0 for PDM 6-3/4"</v>
          </cell>
          <cell r="AB1558">
            <v>0</v>
          </cell>
          <cell r="AC1558">
            <v>0</v>
          </cell>
          <cell r="AD1558"/>
          <cell r="AE1558" t="str">
            <v xml:space="preserve">for PDM </v>
          </cell>
          <cell r="AF1558" t="str">
            <v xml:space="preserve">on </v>
          </cell>
          <cell r="AG1558"/>
          <cell r="AH1558" t="str">
            <v>maintenance</v>
          </cell>
          <cell r="AI1558" t="str">
            <v/>
          </cell>
          <cell r="AJ1558">
            <v>0</v>
          </cell>
          <cell r="AK1558">
            <v>1</v>
          </cell>
          <cell r="AL1558"/>
          <cell r="AM1558"/>
          <cell r="AN1558" t="str">
            <v/>
          </cell>
          <cell r="AO1558"/>
          <cell r="AP1558"/>
          <cell r="AQ1558"/>
          <cell r="AR1558"/>
          <cell r="AS1558">
            <v>98</v>
          </cell>
          <cell r="AT1558"/>
          <cell r="AU1558" t="str">
            <v/>
          </cell>
          <cell r="AV1558"/>
        </row>
        <row r="1559">
          <cell r="Z1559">
            <v>3936</v>
          </cell>
          <cell r="AA1559" t="str">
            <v xml:space="preserve">8-1/2" PDM  - lobes - stages
6-5/8" REG Box x Box
Rotor : 
Stator : 
Bent : </v>
          </cell>
          <cell r="AB1559">
            <v>2200</v>
          </cell>
          <cell r="AC1559">
            <v>8.5</v>
          </cell>
          <cell r="AD1559">
            <v>9500</v>
          </cell>
          <cell r="AE1559" t="str">
            <v>NBR HP</v>
          </cell>
          <cell r="AF1559">
            <v>0</v>
          </cell>
          <cell r="AG1559"/>
          <cell r="AH1559" t="e">
            <v>#VALUE!</v>
          </cell>
          <cell r="AI1559" t="e">
            <v>#VALUE!</v>
          </cell>
          <cell r="AJ1559">
            <v>1</v>
          </cell>
          <cell r="AK1559" t="str">
            <v>new to build</v>
          </cell>
          <cell r="AL1559"/>
          <cell r="AM1559"/>
          <cell r="AN1559">
            <v>601850024</v>
          </cell>
          <cell r="AO1559"/>
          <cell r="AP1559"/>
          <cell r="AQ1559"/>
          <cell r="AR1559"/>
          <cell r="AS1559">
            <v>20</v>
          </cell>
          <cell r="AT1559"/>
          <cell r="AU1559" t="str">
            <v>UAE</v>
          </cell>
          <cell r="AV1559"/>
        </row>
        <row r="1560">
          <cell r="Z1560" t="str">
            <v>605-850-SLK20</v>
          </cell>
          <cell r="AA1560" t="str">
            <v>Sleeve 0 for PDM 8-1/2"</v>
          </cell>
          <cell r="AB1560">
            <v>28</v>
          </cell>
          <cell r="AC1560">
            <v>0</v>
          </cell>
          <cell r="AD1560"/>
          <cell r="AE1560" t="str">
            <v xml:space="preserve">for PDM </v>
          </cell>
          <cell r="AF1560" t="str">
            <v xml:space="preserve">on </v>
          </cell>
          <cell r="AG1560"/>
          <cell r="AH1560" t="str">
            <v xml:space="preserve"> en stock </v>
          </cell>
          <cell r="AI1560">
            <v>1</v>
          </cell>
          <cell r="AJ1560">
            <v>0</v>
          </cell>
          <cell r="AK1560">
            <v>0</v>
          </cell>
          <cell r="AL1560"/>
          <cell r="AM1560"/>
          <cell r="AN1560" t="str">
            <v/>
          </cell>
          <cell r="AO1560"/>
          <cell r="AP1560"/>
          <cell r="AQ1560"/>
          <cell r="AR1560"/>
          <cell r="AS1560">
            <v>81</v>
          </cell>
          <cell r="AT1560"/>
          <cell r="AU1560" t="str">
            <v/>
          </cell>
          <cell r="AV1560"/>
        </row>
        <row r="1561">
          <cell r="Z1561">
            <v>3937</v>
          </cell>
          <cell r="AA1561" t="str">
            <v xml:space="preserve">8-1/2" PDM  - lobes - stages
6-5/8" REG Box x Box
Rotor : 
Stator : 
Bent : </v>
          </cell>
          <cell r="AB1561">
            <v>2200</v>
          </cell>
          <cell r="AC1561">
            <v>8.5</v>
          </cell>
          <cell r="AD1561">
            <v>9500</v>
          </cell>
          <cell r="AE1561" t="str">
            <v>NBR HR</v>
          </cell>
          <cell r="AF1561">
            <v>0</v>
          </cell>
          <cell r="AG1561"/>
          <cell r="AH1561" t="e">
            <v>#VALUE!</v>
          </cell>
          <cell r="AI1561" t="e">
            <v>#VALUE!</v>
          </cell>
          <cell r="AJ1561">
            <v>0</v>
          </cell>
          <cell r="AK1561" t="str">
            <v>new to build</v>
          </cell>
          <cell r="AL1561"/>
          <cell r="AM1561"/>
          <cell r="AN1561">
            <v>601850025</v>
          </cell>
          <cell r="AO1561"/>
          <cell r="AP1561"/>
          <cell r="AQ1561"/>
          <cell r="AR1561"/>
          <cell r="AS1561">
            <v>21</v>
          </cell>
          <cell r="AT1561"/>
          <cell r="AU1561" t="str">
            <v>UAE</v>
          </cell>
          <cell r="AV1561"/>
        </row>
        <row r="1562">
          <cell r="Z1562" t="str">
            <v>605-850-SLK21</v>
          </cell>
          <cell r="AA1562" t="str">
            <v>Sleeve 0 for PDM 8-1/2"</v>
          </cell>
          <cell r="AB1562">
            <v>28</v>
          </cell>
          <cell r="AC1562">
            <v>0</v>
          </cell>
          <cell r="AD1562"/>
          <cell r="AE1562" t="str">
            <v xml:space="preserve">for PDM </v>
          </cell>
          <cell r="AF1562" t="str">
            <v xml:space="preserve">on </v>
          </cell>
          <cell r="AG1562"/>
          <cell r="AH1562" t="str">
            <v xml:space="preserve"> en stock </v>
          </cell>
          <cell r="AI1562">
            <v>1</v>
          </cell>
          <cell r="AJ1562">
            <v>0</v>
          </cell>
          <cell r="AK1562">
            <v>0</v>
          </cell>
          <cell r="AL1562"/>
          <cell r="AM1562"/>
          <cell r="AN1562" t="str">
            <v/>
          </cell>
          <cell r="AO1562"/>
          <cell r="AP1562"/>
          <cell r="AQ1562"/>
          <cell r="AR1562"/>
          <cell r="AS1562">
            <v>82</v>
          </cell>
          <cell r="AT1562"/>
          <cell r="AU1562" t="str">
            <v/>
          </cell>
          <cell r="AV1562"/>
        </row>
        <row r="1563">
          <cell r="Z1563">
            <v>3941</v>
          </cell>
          <cell r="AA1563" t="str">
            <v xml:space="preserve">9-5/8" PDM  - lobes - stages
7-5/8" REG Box x Box
Rotor : 
Stator : 
Bent :  </v>
          </cell>
          <cell r="AB1563">
            <v>2900</v>
          </cell>
          <cell r="AC1563">
            <v>9.625</v>
          </cell>
          <cell r="AD1563">
            <v>10662</v>
          </cell>
          <cell r="AE1563" t="str">
            <v>NBR</v>
          </cell>
          <cell r="AF1563">
            <v>0</v>
          </cell>
          <cell r="AG1563"/>
          <cell r="AH1563" t="str">
            <v>maintenance</v>
          </cell>
          <cell r="AI1563" t="str">
            <v/>
          </cell>
          <cell r="AJ1563">
            <v>0</v>
          </cell>
          <cell r="AK1563">
            <v>1</v>
          </cell>
          <cell r="AL1563"/>
          <cell r="AM1563"/>
          <cell r="AN1563">
            <v>601962026</v>
          </cell>
          <cell r="AO1563"/>
          <cell r="AP1563"/>
          <cell r="AQ1563"/>
          <cell r="AR1563"/>
          <cell r="AS1563">
            <v>8</v>
          </cell>
          <cell r="AT1563"/>
          <cell r="AU1563" t="str">
            <v>UAE</v>
          </cell>
          <cell r="AV1563"/>
        </row>
        <row r="1564">
          <cell r="Z1564" t="str">
            <v>605-962-SLK18</v>
          </cell>
          <cell r="AA1564" t="str">
            <v xml:space="preserve">Sleeve 0 for PDM 9-5/8"
Set on : </v>
          </cell>
          <cell r="AB1564">
            <v>38</v>
          </cell>
          <cell r="AC1564">
            <v>0</v>
          </cell>
          <cell r="AD1564"/>
          <cell r="AE1564" t="str">
            <v xml:space="preserve">for PDM </v>
          </cell>
          <cell r="AF1564" t="str">
            <v xml:space="preserve">on </v>
          </cell>
          <cell r="AG1564"/>
          <cell r="AH1564" t="str">
            <v xml:space="preserve"> en stock </v>
          </cell>
          <cell r="AI1564">
            <v>1</v>
          </cell>
          <cell r="AJ1564">
            <v>0</v>
          </cell>
          <cell r="AK1564">
            <v>0</v>
          </cell>
          <cell r="AL1564"/>
          <cell r="AM1564"/>
          <cell r="AN1564" t="str">
            <v/>
          </cell>
          <cell r="AO1564"/>
          <cell r="AP1564"/>
          <cell r="AQ1564"/>
          <cell r="AR1564"/>
          <cell r="AS1564">
            <v>64</v>
          </cell>
          <cell r="AT1564"/>
          <cell r="AU1564" t="str">
            <v/>
          </cell>
          <cell r="AV1564"/>
        </row>
        <row r="1565">
          <cell r="Z1565">
            <v>3942</v>
          </cell>
          <cell r="AA1565" t="str">
            <v xml:space="preserve">9-5/8" PDM  - lobes - stages
7-5/8" REG Box x Box
Rotor : 
Stator : 
Bent :  </v>
          </cell>
          <cell r="AB1565">
            <v>2900</v>
          </cell>
          <cell r="AC1565">
            <v>9.625</v>
          </cell>
          <cell r="AD1565">
            <v>10662</v>
          </cell>
          <cell r="AE1565" t="str">
            <v>NBR HPW</v>
          </cell>
          <cell r="AF1565" t="str">
            <v>NBR HPW</v>
          </cell>
          <cell r="AG1565"/>
          <cell r="AH1565" t="str">
            <v>maintenance</v>
          </cell>
          <cell r="AI1565" t="str">
            <v/>
          </cell>
          <cell r="AJ1565">
            <v>0</v>
          </cell>
          <cell r="AK1565">
            <v>1</v>
          </cell>
          <cell r="AL1565"/>
          <cell r="AM1565"/>
          <cell r="AN1565">
            <v>601962027</v>
          </cell>
          <cell r="AO1565"/>
          <cell r="AP1565"/>
          <cell r="AQ1565"/>
          <cell r="AR1565"/>
          <cell r="AS1565">
            <v>9</v>
          </cell>
          <cell r="AT1565"/>
          <cell r="AU1565" t="str">
            <v>UAE</v>
          </cell>
          <cell r="AV1565"/>
        </row>
        <row r="1566">
          <cell r="Z1566" t="str">
            <v>605-962-SLK19</v>
          </cell>
          <cell r="AA1566" t="str">
            <v xml:space="preserve">Sleeve 0 for PDM 9-5/8"
Set on : </v>
          </cell>
          <cell r="AB1566">
            <v>38</v>
          </cell>
          <cell r="AC1566">
            <v>0</v>
          </cell>
          <cell r="AD1566"/>
          <cell r="AE1566" t="str">
            <v xml:space="preserve">for PDM </v>
          </cell>
          <cell r="AF1566" t="str">
            <v xml:space="preserve">on </v>
          </cell>
          <cell r="AG1566"/>
          <cell r="AH1566" t="str">
            <v xml:space="preserve"> en stock </v>
          </cell>
          <cell r="AI1566">
            <v>1</v>
          </cell>
          <cell r="AJ1566">
            <v>0</v>
          </cell>
          <cell r="AK1566">
            <v>0</v>
          </cell>
          <cell r="AL1566"/>
          <cell r="AM1566"/>
          <cell r="AN1566" t="str">
            <v/>
          </cell>
          <cell r="AO1566"/>
          <cell r="AP1566"/>
          <cell r="AQ1566"/>
          <cell r="AR1566"/>
          <cell r="AS1566">
            <v>65</v>
          </cell>
          <cell r="AT1566"/>
          <cell r="AU1566" t="str">
            <v/>
          </cell>
          <cell r="AV1566"/>
        </row>
        <row r="1567">
          <cell r="Z1567">
            <v>7141226</v>
          </cell>
          <cell r="AA1567" t="str">
            <v>Spear Stop Sub 4-1/2" OD body
4-1/2" IF Box up x Pin down</v>
          </cell>
          <cell r="AB1567">
            <v>70</v>
          </cell>
          <cell r="AC1567">
            <v>4.5</v>
          </cell>
          <cell r="AD1567">
            <v>930</v>
          </cell>
          <cell r="AE1567" t="str">
            <v>3-1/2" REG Box</v>
          </cell>
          <cell r="AF1567" t="str">
            <v>3-1/2" REG Pin</v>
          </cell>
          <cell r="AG1567"/>
          <cell r="AH1567" t="str">
            <v xml:space="preserve"> en stock </v>
          </cell>
          <cell r="AI1567">
            <v>1</v>
          </cell>
          <cell r="AJ1567">
            <v>0</v>
          </cell>
          <cell r="AK1567">
            <v>0</v>
          </cell>
          <cell r="AL1567"/>
          <cell r="AM1567"/>
          <cell r="AN1567" t="str">
            <v/>
          </cell>
          <cell r="AO1567"/>
          <cell r="AP1567"/>
          <cell r="AQ1567"/>
          <cell r="AR1567"/>
          <cell r="AS1567">
            <v>5</v>
          </cell>
          <cell r="AT1567"/>
          <cell r="AU1567" t="str">
            <v/>
          </cell>
          <cell r="AV1567"/>
        </row>
        <row r="1568">
          <cell r="Z1568">
            <v>8081227</v>
          </cell>
          <cell r="AA1568" t="str">
            <v>Short DC 5-1/4" Lg 3000mm
3-1/2" IF Pin x Box</v>
          </cell>
          <cell r="AB1568">
            <v>168</v>
          </cell>
          <cell r="AC1568">
            <v>5.25</v>
          </cell>
          <cell r="AD1568">
            <v>3000</v>
          </cell>
          <cell r="AE1568" t="str">
            <v>3-1/2" IF Box</v>
          </cell>
          <cell r="AF1568" t="str">
            <v>3-1/2" IF Pin</v>
          </cell>
          <cell r="AG1568"/>
          <cell r="AH1568" t="str">
            <v xml:space="preserve"> en stock </v>
          </cell>
          <cell r="AI1568">
            <v>1</v>
          </cell>
          <cell r="AJ1568">
            <v>0</v>
          </cell>
          <cell r="AK1568">
            <v>0</v>
          </cell>
          <cell r="AL1568"/>
          <cell r="AM1568"/>
          <cell r="AN1568" t="str">
            <v/>
          </cell>
          <cell r="AO1568"/>
          <cell r="AP1568"/>
          <cell r="AQ1568"/>
          <cell r="AR1568"/>
          <cell r="AS1568">
            <v>17</v>
          </cell>
          <cell r="AT1568"/>
          <cell r="AU1568" t="str">
            <v/>
          </cell>
          <cell r="AV1568"/>
        </row>
        <row r="1569">
          <cell r="Z1569">
            <v>8081228</v>
          </cell>
          <cell r="AA1569" t="str">
            <v>Short DC 5-1/4" Lg 3000mm
3-1/2" IF Pin x Box</v>
          </cell>
          <cell r="AB1569">
            <v>168</v>
          </cell>
          <cell r="AC1569">
            <v>5.25</v>
          </cell>
          <cell r="AD1569">
            <v>3000</v>
          </cell>
          <cell r="AE1569" t="str">
            <v>3-1/2" IF Box</v>
          </cell>
          <cell r="AF1569" t="str">
            <v>3-1/2" IF Pin</v>
          </cell>
          <cell r="AG1569"/>
          <cell r="AH1569" t="str">
            <v xml:space="preserve"> en stock </v>
          </cell>
          <cell r="AI1569">
            <v>1</v>
          </cell>
          <cell r="AJ1569">
            <v>0</v>
          </cell>
          <cell r="AK1569">
            <v>0</v>
          </cell>
          <cell r="AL1569"/>
          <cell r="AM1569"/>
          <cell r="AN1569" t="str">
            <v/>
          </cell>
          <cell r="AO1569"/>
          <cell r="AP1569"/>
          <cell r="AQ1569"/>
          <cell r="AR1569"/>
          <cell r="AS1569">
            <v>18</v>
          </cell>
          <cell r="AT1569"/>
          <cell r="AU1569" t="str">
            <v/>
          </cell>
          <cell r="AV1569"/>
        </row>
        <row r="1570">
          <cell r="Z1570">
            <v>7141229</v>
          </cell>
          <cell r="AA1570" t="str">
            <v>Spear Stop Sub 4-5/8" OD body
4-1/2" IF Box up x Pin down</v>
          </cell>
          <cell r="AB1570">
            <v>44</v>
          </cell>
          <cell r="AC1570">
            <v>4.625</v>
          </cell>
          <cell r="AD1570">
            <v>625</v>
          </cell>
          <cell r="AE1570" t="str">
            <v>3-1/2" IF Box</v>
          </cell>
          <cell r="AF1570" t="str">
            <v>3-1/2" IF Pin</v>
          </cell>
          <cell r="AG1570"/>
          <cell r="AH1570" t="str">
            <v>en stock</v>
          </cell>
          <cell r="AI1570">
            <v>0</v>
          </cell>
          <cell r="AJ1570">
            <v>0</v>
          </cell>
          <cell r="AK1570">
            <v>1</v>
          </cell>
          <cell r="AL1570"/>
          <cell r="AM1570"/>
          <cell r="AN1570" t="str">
            <v/>
          </cell>
          <cell r="AO1570"/>
          <cell r="AP1570"/>
          <cell r="AQ1570"/>
          <cell r="AR1570"/>
          <cell r="AS1570">
            <v>6</v>
          </cell>
          <cell r="AT1570"/>
          <cell r="AU1570" t="str">
            <v/>
          </cell>
          <cell r="AV1570"/>
        </row>
        <row r="1571">
          <cell r="Z1571">
            <v>7141230</v>
          </cell>
          <cell r="AA1571" t="str">
            <v>Spear Stop Sub 6-1/2" OD body
4-1/2" IF Box up x Pin down</v>
          </cell>
          <cell r="AB1571">
            <v>200</v>
          </cell>
          <cell r="AC1571">
            <v>6.5</v>
          </cell>
          <cell r="AD1571">
            <v>1425</v>
          </cell>
          <cell r="AE1571" t="str">
            <v>4-1/2" IF Box</v>
          </cell>
          <cell r="AF1571" t="str">
            <v>4-1/2" IF Pin</v>
          </cell>
          <cell r="AG1571"/>
          <cell r="AH1571" t="str">
            <v xml:space="preserve"> en stock </v>
          </cell>
          <cell r="AI1571">
            <v>1</v>
          </cell>
          <cell r="AJ1571">
            <v>0</v>
          </cell>
          <cell r="AK1571">
            <v>0</v>
          </cell>
          <cell r="AL1571"/>
          <cell r="AM1571"/>
          <cell r="AN1571" t="str">
            <v/>
          </cell>
          <cell r="AO1571"/>
          <cell r="AP1571"/>
          <cell r="AQ1571"/>
          <cell r="AR1571" t="str">
            <v>avec 21030650050</v>
          </cell>
          <cell r="AS1571">
            <v>7</v>
          </cell>
          <cell r="AT1571"/>
          <cell r="AU1571" t="str">
            <v/>
          </cell>
          <cell r="AV1571"/>
        </row>
        <row r="1572">
          <cell r="Z1572">
            <v>8131231</v>
          </cell>
          <cell r="AA1572" t="str">
            <v>XO
3-1/2" IF Pin x 2-7/8" EU Box</v>
          </cell>
          <cell r="AB1572">
            <v>0</v>
          </cell>
          <cell r="AC1572">
            <v>4.75</v>
          </cell>
          <cell r="AD1572">
            <v>0</v>
          </cell>
          <cell r="AE1572" t="str">
            <v>3-1/2" IF Pin</v>
          </cell>
          <cell r="AF1572" t="str">
            <v>2-7/8" EU Box</v>
          </cell>
          <cell r="AG1572"/>
          <cell r="AH1572" t="str">
            <v>sur chantier</v>
          </cell>
          <cell r="AI1572" t="str">
            <v/>
          </cell>
          <cell r="AJ1572">
            <v>1</v>
          </cell>
          <cell r="AK1572">
            <v>0</v>
          </cell>
          <cell r="AL1572"/>
          <cell r="AM1572"/>
          <cell r="AN1572">
            <v>8131231</v>
          </cell>
          <cell r="AO1572"/>
          <cell r="AP1572"/>
          <cell r="AQ1572"/>
          <cell r="AR1572"/>
          <cell r="AS1572">
            <v>109</v>
          </cell>
          <cell r="AT1572"/>
          <cell r="AU1572" t="str">
            <v>FR</v>
          </cell>
          <cell r="AV1572"/>
        </row>
        <row r="1573">
          <cell r="Z1573">
            <v>8081232</v>
          </cell>
          <cell r="AA1573" t="str">
            <v>Short DC 2-5/16" Lg 2000mm
1-1/4" REG Pin x Box</v>
          </cell>
          <cell r="AB1573">
            <v>39.163666632187507</v>
          </cell>
          <cell r="AC1573">
            <v>2.3125</v>
          </cell>
          <cell r="AD1573">
            <v>2000</v>
          </cell>
          <cell r="AE1573" t="str">
            <v>1-1/4" REG Box</v>
          </cell>
          <cell r="AF1573" t="str">
            <v>1-1/4" REG Pin</v>
          </cell>
          <cell r="AG1573"/>
          <cell r="AH1573" t="str">
            <v xml:space="preserve"> en stock </v>
          </cell>
          <cell r="AI1573">
            <v>1</v>
          </cell>
          <cell r="AJ1573">
            <v>0</v>
          </cell>
          <cell r="AK1573">
            <v>0</v>
          </cell>
          <cell r="AL1573"/>
          <cell r="AM1573"/>
          <cell r="AN1573" t="str">
            <v/>
          </cell>
          <cell r="AO1573"/>
          <cell r="AP1573"/>
          <cell r="AQ1573"/>
          <cell r="AR1573"/>
          <cell r="AS1573">
            <v>6</v>
          </cell>
          <cell r="AT1573"/>
          <cell r="AU1573" t="str">
            <v>FR</v>
          </cell>
          <cell r="AV1573"/>
        </row>
        <row r="1574">
          <cell r="Z1574">
            <v>8131233</v>
          </cell>
          <cell r="AA1574" t="str">
            <v>XO
4-1/2" IF Pin x 6-5/8" REG Pin</v>
          </cell>
          <cell r="AB1574">
            <v>70</v>
          </cell>
          <cell r="AC1574">
            <v>7.625</v>
          </cell>
          <cell r="AD1574">
            <v>275</v>
          </cell>
          <cell r="AE1574" t="str">
            <v>4-1/2" IF Pin</v>
          </cell>
          <cell r="AF1574" t="str">
            <v>6-5/8" REG Pin</v>
          </cell>
          <cell r="AG1574"/>
          <cell r="AH1574" t="str">
            <v>maintenance</v>
          </cell>
          <cell r="AI1574" t="str">
            <v/>
          </cell>
          <cell r="AJ1574">
            <v>0</v>
          </cell>
          <cell r="AK1574">
            <v>1</v>
          </cell>
          <cell r="AL1574"/>
          <cell r="AM1574"/>
          <cell r="AN1574" t="str">
            <v/>
          </cell>
          <cell r="AO1574"/>
          <cell r="AP1574"/>
          <cell r="AQ1574"/>
          <cell r="AR1574"/>
          <cell r="AS1574">
            <v>175</v>
          </cell>
          <cell r="AT1574"/>
          <cell r="AU1574" t="str">
            <v/>
          </cell>
          <cell r="AV1574"/>
        </row>
        <row r="1575">
          <cell r="Z1575">
            <v>7121234</v>
          </cell>
          <cell r="AA1575" t="str">
            <v>Releasing Spear 5-11/16" OD Mandrel CA 9266
3-1/2" IF Box</v>
          </cell>
          <cell r="AB1575">
            <v>90</v>
          </cell>
          <cell r="AC1575">
            <v>5.6875</v>
          </cell>
          <cell r="AD1575" t="str">
            <v>CA 9266</v>
          </cell>
          <cell r="AE1575" t="str">
            <v>3-1/2" IF Box</v>
          </cell>
          <cell r="AF1575" t="str">
            <v>bull nose nut</v>
          </cell>
          <cell r="AG1575"/>
          <cell r="AH1575" t="str">
            <v xml:space="preserve"> en stock </v>
          </cell>
          <cell r="AI1575">
            <v>1</v>
          </cell>
          <cell r="AJ1575">
            <v>0</v>
          </cell>
          <cell r="AK1575">
            <v>0</v>
          </cell>
          <cell r="AL1575"/>
          <cell r="AM1575"/>
          <cell r="AN1575">
            <v>7121234</v>
          </cell>
          <cell r="AO1575"/>
          <cell r="AP1575"/>
          <cell r="AQ1575"/>
          <cell r="AR1575"/>
          <cell r="AS1575">
            <v>27</v>
          </cell>
          <cell r="AT1575"/>
          <cell r="AU1575" t="str">
            <v/>
          </cell>
          <cell r="AV1575"/>
        </row>
        <row r="1576">
          <cell r="Z1576">
            <v>7121235</v>
          </cell>
          <cell r="AA1576" t="str">
            <v>Releasing Spear 4-1/32" OD Mandrel CA 9680
2-7/8" IF Box</v>
          </cell>
          <cell r="AB1576">
            <v>0</v>
          </cell>
          <cell r="AC1576">
            <v>4.03125</v>
          </cell>
          <cell r="AD1576" t="str">
            <v>CA 9680</v>
          </cell>
          <cell r="AE1576" t="str">
            <v>2-7/8" IF Box</v>
          </cell>
          <cell r="AF1576" t="str">
            <v>bull nose nut</v>
          </cell>
          <cell r="AG1576"/>
          <cell r="AH1576" t="str">
            <v>maintenance</v>
          </cell>
          <cell r="AI1576" t="str">
            <v/>
          </cell>
          <cell r="AJ1576">
            <v>0</v>
          </cell>
          <cell r="AK1576">
            <v>1</v>
          </cell>
          <cell r="AL1576"/>
          <cell r="AM1576"/>
          <cell r="AN1576">
            <v>7121235</v>
          </cell>
          <cell r="AO1576"/>
          <cell r="AP1576"/>
          <cell r="AQ1576"/>
          <cell r="AR1576"/>
          <cell r="AS1576">
            <v>21</v>
          </cell>
          <cell r="AT1576"/>
          <cell r="AU1576" t="str">
            <v/>
          </cell>
          <cell r="AV1576"/>
        </row>
        <row r="1577">
          <cell r="Z1577">
            <v>7051236</v>
          </cell>
          <cell r="AA1577" t="str">
            <v>Extension 3-7/8" XSH Lg 500mm CA 21300
3-7/8" XSH Sellers Pin x Box</v>
          </cell>
          <cell r="AB1577">
            <v>6.3189603963281247</v>
          </cell>
          <cell r="AC1577" t="str">
            <v>3-7/8" XSH</v>
          </cell>
          <cell r="AD1577">
            <v>500</v>
          </cell>
          <cell r="AE1577" t="str">
            <v>3-7/8" XSH Sellers Box</v>
          </cell>
          <cell r="AF1577" t="str">
            <v>3-7/8" XSH Sellers Pin</v>
          </cell>
          <cell r="AG1577">
            <v>21300</v>
          </cell>
          <cell r="AH1577" t="str">
            <v xml:space="preserve"> en stock </v>
          </cell>
          <cell r="AI1577">
            <v>1</v>
          </cell>
          <cell r="AJ1577">
            <v>0</v>
          </cell>
          <cell r="AK1577">
            <v>0</v>
          </cell>
          <cell r="AL1577"/>
          <cell r="AM1577"/>
          <cell r="AN1577">
            <v>7051236</v>
          </cell>
          <cell r="AO1577"/>
          <cell r="AP1577"/>
          <cell r="AQ1577"/>
          <cell r="AR1577"/>
          <cell r="AS1577">
            <v>6</v>
          </cell>
          <cell r="AT1577" t="str">
            <v>705-21300</v>
          </cell>
          <cell r="AU1577" t="str">
            <v>FR</v>
          </cell>
          <cell r="AV1577"/>
        </row>
        <row r="1578">
          <cell r="Z1578">
            <v>7051237</v>
          </cell>
          <cell r="AA1578" t="str">
            <v>Extension 4-1/4" SH Lg 600mm CA C-5126
4-1/4" SH Sellers Pin x Box</v>
          </cell>
          <cell r="AB1578">
            <v>18.730046713218737</v>
          </cell>
          <cell r="AC1578" t="str">
            <v>4-1/4" SH</v>
          </cell>
          <cell r="AD1578">
            <v>600</v>
          </cell>
          <cell r="AE1578" t="str">
            <v>4-1/4" SH Sellers Box</v>
          </cell>
          <cell r="AF1578" t="str">
            <v>4-1/4" SH Sellers Pin</v>
          </cell>
          <cell r="AG1578" t="str">
            <v>C-5126</v>
          </cell>
          <cell r="AH1578" t="str">
            <v xml:space="preserve"> en stock </v>
          </cell>
          <cell r="AI1578">
            <v>1</v>
          </cell>
          <cell r="AJ1578">
            <v>0</v>
          </cell>
          <cell r="AK1578">
            <v>0</v>
          </cell>
          <cell r="AL1578"/>
          <cell r="AM1578"/>
          <cell r="AN1578">
            <v>7051237</v>
          </cell>
          <cell r="AO1578"/>
          <cell r="AP1578"/>
          <cell r="AQ1578"/>
          <cell r="AR1578"/>
          <cell r="AS1578">
            <v>15</v>
          </cell>
          <cell r="AT1578" t="str">
            <v>705-5126</v>
          </cell>
          <cell r="AU1578" t="str">
            <v>FR</v>
          </cell>
          <cell r="AV1578"/>
        </row>
        <row r="1579">
          <cell r="Z1579">
            <v>7051238</v>
          </cell>
          <cell r="AA1579" t="str">
            <v>Extension 4-1/8" FS Lg 600mm CA 9105
4-1/8" FS Sellers Pin x Box</v>
          </cell>
          <cell r="AB1579">
            <v>16.248755304843748</v>
          </cell>
          <cell r="AC1579" t="str">
            <v>4-1/8" FS</v>
          </cell>
          <cell r="AD1579">
            <v>600</v>
          </cell>
          <cell r="AE1579" t="str">
            <v>4-1/8" FS Sellers Box</v>
          </cell>
          <cell r="AF1579" t="str">
            <v>4-1/8" FS Sellers Pin</v>
          </cell>
          <cell r="AG1579">
            <v>9105</v>
          </cell>
          <cell r="AH1579" t="str">
            <v xml:space="preserve"> en stock </v>
          </cell>
          <cell r="AI1579">
            <v>1</v>
          </cell>
          <cell r="AJ1579">
            <v>0</v>
          </cell>
          <cell r="AK1579">
            <v>0</v>
          </cell>
          <cell r="AL1579"/>
          <cell r="AM1579"/>
          <cell r="AN1579">
            <v>7051238</v>
          </cell>
          <cell r="AO1579"/>
          <cell r="AP1579"/>
          <cell r="AQ1579"/>
          <cell r="AR1579"/>
          <cell r="AS1579">
            <v>10</v>
          </cell>
          <cell r="AT1579" t="str">
            <v>705-9105</v>
          </cell>
          <cell r="AU1579" t="str">
            <v>FR</v>
          </cell>
          <cell r="AV1579"/>
        </row>
        <row r="1580">
          <cell r="Z1580">
            <v>1061239</v>
          </cell>
          <cell r="AA1580" t="str">
            <v>Impression Block 8" OD 
4-1/2" IF Box</v>
          </cell>
          <cell r="AB1580">
            <v>85</v>
          </cell>
          <cell r="AC1580">
            <v>8</v>
          </cell>
          <cell r="AD1580">
            <v>610</v>
          </cell>
          <cell r="AE1580" t="str">
            <v>4-1/2" IF Box</v>
          </cell>
          <cell r="AF1580"/>
          <cell r="AG1580"/>
          <cell r="AH1580" t="str">
            <v xml:space="preserve"> en stock </v>
          </cell>
          <cell r="AI1580">
            <v>1</v>
          </cell>
          <cell r="AJ1580">
            <v>0</v>
          </cell>
          <cell r="AK1580">
            <v>0</v>
          </cell>
          <cell r="AL1580"/>
          <cell r="AM1580"/>
          <cell r="AN1580">
            <v>1061239</v>
          </cell>
          <cell r="AO1580"/>
          <cell r="AP1580"/>
          <cell r="AQ1580"/>
          <cell r="AR1580"/>
          <cell r="AS1580">
            <v>18</v>
          </cell>
          <cell r="AT1580"/>
          <cell r="AU1580" t="str">
            <v>FR</v>
          </cell>
          <cell r="AV1580"/>
        </row>
        <row r="1581">
          <cell r="Z1581">
            <v>1061240</v>
          </cell>
          <cell r="AA1581" t="str">
            <v>Impression Block 8" OD 
4-1/2" IF Box</v>
          </cell>
          <cell r="AB1581">
            <v>85</v>
          </cell>
          <cell r="AC1581">
            <v>8</v>
          </cell>
          <cell r="AD1581">
            <v>610</v>
          </cell>
          <cell r="AE1581" t="str">
            <v>4-1/2" IF Box</v>
          </cell>
          <cell r="AF1581"/>
          <cell r="AG1581"/>
          <cell r="AH1581" t="str">
            <v>maintenance</v>
          </cell>
          <cell r="AI1581" t="str">
            <v/>
          </cell>
          <cell r="AJ1581">
            <v>0</v>
          </cell>
          <cell r="AK1581">
            <v>1</v>
          </cell>
          <cell r="AL1581"/>
          <cell r="AM1581"/>
          <cell r="AN1581">
            <v>1061240</v>
          </cell>
          <cell r="AO1581"/>
          <cell r="AP1581"/>
          <cell r="AQ1581"/>
          <cell r="AR1581"/>
          <cell r="AS1581">
            <v>19</v>
          </cell>
          <cell r="AT1581"/>
          <cell r="AU1581" t="str">
            <v>FR</v>
          </cell>
          <cell r="AV1581"/>
        </row>
        <row r="1582">
          <cell r="Z1582">
            <v>7051241</v>
          </cell>
          <cell r="AA1582" t="str">
            <v>Extension 8-1/8" SH Lg 915mm CA 9217
8-1/8" SH Sellers Pin x Box</v>
          </cell>
          <cell r="AB1582">
            <v>58.326782023118056</v>
          </cell>
          <cell r="AC1582" t="str">
            <v>8-1/8" SH</v>
          </cell>
          <cell r="AD1582">
            <v>915</v>
          </cell>
          <cell r="AE1582" t="str">
            <v>8-1/8" SH Sellers Box</v>
          </cell>
          <cell r="AF1582" t="str">
            <v>8-1/8" SH Sellers Pin</v>
          </cell>
          <cell r="AG1582">
            <v>9217</v>
          </cell>
          <cell r="AH1582" t="str">
            <v>sur chantier</v>
          </cell>
          <cell r="AI1582" t="str">
            <v/>
          </cell>
          <cell r="AJ1582">
            <v>1</v>
          </cell>
          <cell r="AK1582">
            <v>0</v>
          </cell>
          <cell r="AL1582"/>
          <cell r="AM1582"/>
          <cell r="AN1582">
            <v>7051241</v>
          </cell>
          <cell r="AO1582"/>
          <cell r="AP1582"/>
          <cell r="AQ1582"/>
          <cell r="AR1582"/>
          <cell r="AS1582">
            <v>41</v>
          </cell>
          <cell r="AT1582" t="str">
            <v>705-9217</v>
          </cell>
          <cell r="AU1582" t="str">
            <v>FR</v>
          </cell>
          <cell r="AV1582"/>
        </row>
        <row r="1583">
          <cell r="Z1583">
            <v>7051242</v>
          </cell>
          <cell r="AA1583" t="str">
            <v>Extension 8-1/8" SH Lg 915mm CA 9217
8-1/8" SH Sellers Pin x Box</v>
          </cell>
          <cell r="AB1583">
            <v>58.326782023118056</v>
          </cell>
          <cell r="AC1583" t="str">
            <v>8-1/8" SH</v>
          </cell>
          <cell r="AD1583">
            <v>915</v>
          </cell>
          <cell r="AE1583" t="str">
            <v>8-1/8" SH Sellers Box</v>
          </cell>
          <cell r="AF1583" t="str">
            <v>8-1/8" SH Sellers Pin</v>
          </cell>
          <cell r="AG1583">
            <v>9217</v>
          </cell>
          <cell r="AH1583" t="str">
            <v xml:space="preserve"> en stock </v>
          </cell>
          <cell r="AI1583">
            <v>1</v>
          </cell>
          <cell r="AJ1583">
            <v>0</v>
          </cell>
          <cell r="AK1583">
            <v>0</v>
          </cell>
          <cell r="AL1583"/>
          <cell r="AM1583"/>
          <cell r="AN1583">
            <v>7051242</v>
          </cell>
          <cell r="AO1583"/>
          <cell r="AP1583"/>
          <cell r="AQ1583"/>
          <cell r="AR1583"/>
          <cell r="AS1583">
            <v>42</v>
          </cell>
          <cell r="AT1583" t="str">
            <v>705-9217</v>
          </cell>
          <cell r="AU1583" t="str">
            <v>FR</v>
          </cell>
          <cell r="AV1583"/>
        </row>
        <row r="1584">
          <cell r="Z1584">
            <v>7051243</v>
          </cell>
          <cell r="AA1584" t="str">
            <v>Extension 4-11/16" SFS Lg 600mm CA 9120
4-11/16" SFS Sellers Pin x Box</v>
          </cell>
          <cell r="AB1584">
            <v>52.079343925781252</v>
          </cell>
          <cell r="AC1584" t="str">
            <v>4-11/16" SFS</v>
          </cell>
          <cell r="AD1584">
            <v>600</v>
          </cell>
          <cell r="AE1584" t="str">
            <v>4-11/16" SFS Box</v>
          </cell>
          <cell r="AF1584" t="str">
            <v>4-11/16" SFS Pin</v>
          </cell>
          <cell r="AG1584">
            <v>9120</v>
          </cell>
          <cell r="AH1584" t="str">
            <v xml:space="preserve"> en stock </v>
          </cell>
          <cell r="AI1584">
            <v>1</v>
          </cell>
          <cell r="AJ1584">
            <v>0</v>
          </cell>
          <cell r="AK1584">
            <v>0</v>
          </cell>
          <cell r="AL1584"/>
          <cell r="AM1584"/>
          <cell r="AN1584">
            <v>7051243</v>
          </cell>
          <cell r="AO1584"/>
          <cell r="AP1584"/>
          <cell r="AQ1584"/>
          <cell r="AR1584"/>
          <cell r="AS1584">
            <v>17</v>
          </cell>
          <cell r="AT1584" t="str">
            <v>705-9120</v>
          </cell>
          <cell r="AU1584" t="str">
            <v>FR</v>
          </cell>
          <cell r="AV1584"/>
        </row>
        <row r="1585">
          <cell r="Z1585">
            <v>8021244</v>
          </cell>
          <cell r="AA1585" t="str">
            <v>Bit Sub
2-3/8" REG Box x 2-7/8" REG Box</v>
          </cell>
          <cell r="AB1585">
            <v>30.960591304500003</v>
          </cell>
          <cell r="AC1585">
            <v>3.75</v>
          </cell>
          <cell r="AD1585">
            <v>600</v>
          </cell>
          <cell r="AE1585" t="str">
            <v>2-3/8" REG Box</v>
          </cell>
          <cell r="AF1585" t="str">
            <v>2-7/8" REG Box</v>
          </cell>
          <cell r="AG1585"/>
          <cell r="AH1585" t="str">
            <v xml:space="preserve"> en stock </v>
          </cell>
          <cell r="AI1585">
            <v>1</v>
          </cell>
          <cell r="AJ1585">
            <v>0</v>
          </cell>
          <cell r="AK1585">
            <v>0</v>
          </cell>
          <cell r="AL1585"/>
          <cell r="AM1585"/>
          <cell r="AN1585">
            <v>8021244</v>
          </cell>
          <cell r="AO1585"/>
          <cell r="AP1585"/>
          <cell r="AQ1585"/>
          <cell r="AR1585"/>
          <cell r="AS1585">
            <v>18</v>
          </cell>
          <cell r="AT1585"/>
          <cell r="AU1585" t="str">
            <v>FR</v>
          </cell>
          <cell r="AV1585"/>
        </row>
        <row r="1586">
          <cell r="Z1586">
            <v>8131245</v>
          </cell>
          <cell r="AA1586" t="str">
            <v>XO
2-7/8" REG Pin x 3-1/2" IF Box</v>
          </cell>
          <cell r="AB1586">
            <v>0</v>
          </cell>
          <cell r="AC1586">
            <v>4.75</v>
          </cell>
          <cell r="AD1586">
            <v>600</v>
          </cell>
          <cell r="AE1586" t="str">
            <v>2-7/8" REG Pin</v>
          </cell>
          <cell r="AF1586" t="str">
            <v>3-1/2" IF Box</v>
          </cell>
          <cell r="AG1586"/>
          <cell r="AH1586" t="str">
            <v xml:space="preserve"> en stock </v>
          </cell>
          <cell r="AI1586">
            <v>1</v>
          </cell>
          <cell r="AJ1586">
            <v>0</v>
          </cell>
          <cell r="AK1586">
            <v>0</v>
          </cell>
          <cell r="AL1586"/>
          <cell r="AM1586"/>
          <cell r="AN1586">
            <v>8131245</v>
          </cell>
          <cell r="AO1586"/>
          <cell r="AP1586"/>
          <cell r="AQ1586"/>
          <cell r="AR1586"/>
          <cell r="AS1586">
            <v>94</v>
          </cell>
          <cell r="AT1586"/>
          <cell r="AU1586" t="str">
            <v>FR</v>
          </cell>
          <cell r="AV1586"/>
        </row>
        <row r="1587">
          <cell r="Z1587">
            <v>8131246</v>
          </cell>
          <cell r="AA1587" t="str">
            <v>XO
2-7/8" PH6 Pin x 2-3/8" REG Box</v>
          </cell>
          <cell r="AB1587">
            <v>0</v>
          </cell>
          <cell r="AC1587">
            <v>3.375</v>
          </cell>
          <cell r="AD1587" t="str">
            <v>&lt;600</v>
          </cell>
          <cell r="AE1587" t="str">
            <v>2-7/8" PH6 Pin</v>
          </cell>
          <cell r="AF1587" t="str">
            <v>2-3/8" REG Box</v>
          </cell>
          <cell r="AG1587"/>
          <cell r="AH1587" t="str">
            <v>sur chantier</v>
          </cell>
          <cell r="AI1587" t="str">
            <v/>
          </cell>
          <cell r="AJ1587">
            <v>1</v>
          </cell>
          <cell r="AK1587">
            <v>0</v>
          </cell>
          <cell r="AL1587"/>
          <cell r="AM1587"/>
          <cell r="AN1587">
            <v>8131246</v>
          </cell>
          <cell r="AO1587"/>
          <cell r="AP1587"/>
          <cell r="AQ1587"/>
          <cell r="AR1587"/>
          <cell r="AS1587">
            <v>69</v>
          </cell>
          <cell r="AT1587"/>
          <cell r="AU1587" t="str">
            <v>FR</v>
          </cell>
          <cell r="AV1587"/>
        </row>
        <row r="1588">
          <cell r="Z1588">
            <v>8131247</v>
          </cell>
          <cell r="AA1588" t="str">
            <v>XO
2-7/8" PH6 Pin x 2-3/8" REG Box</v>
          </cell>
          <cell r="AB1588">
            <v>0</v>
          </cell>
          <cell r="AC1588">
            <v>3.375</v>
          </cell>
          <cell r="AD1588" t="str">
            <v>&lt;600</v>
          </cell>
          <cell r="AE1588" t="str">
            <v>2-7/8" PH6 Pin</v>
          </cell>
          <cell r="AF1588" t="str">
            <v>2-3/8" REG Box</v>
          </cell>
          <cell r="AG1588"/>
          <cell r="AH1588" t="str">
            <v>maintenance</v>
          </cell>
          <cell r="AI1588" t="str">
            <v/>
          </cell>
          <cell r="AJ1588">
            <v>0</v>
          </cell>
          <cell r="AK1588">
            <v>1</v>
          </cell>
          <cell r="AL1588"/>
          <cell r="AM1588"/>
          <cell r="AN1588">
            <v>8131247</v>
          </cell>
          <cell r="AO1588"/>
          <cell r="AP1588"/>
          <cell r="AQ1588"/>
          <cell r="AR1588"/>
          <cell r="AS1588">
            <v>70</v>
          </cell>
          <cell r="AT1588"/>
          <cell r="AU1588" t="str">
            <v>FR</v>
          </cell>
          <cell r="AV1588"/>
        </row>
        <row r="1589">
          <cell r="Z1589">
            <v>8131248</v>
          </cell>
          <cell r="AA1589" t="str">
            <v>XO
2-7/8" PH6 Pin x 2-3/8" IF Box</v>
          </cell>
          <cell r="AB1589">
            <v>0</v>
          </cell>
          <cell r="AC1589">
            <v>3.375</v>
          </cell>
          <cell r="AD1589" t="str">
            <v>&lt;600</v>
          </cell>
          <cell r="AE1589" t="str">
            <v>2-7/8" PH6 Pin</v>
          </cell>
          <cell r="AF1589" t="str">
            <v>2-3/8" IF Box</v>
          </cell>
          <cell r="AG1589"/>
          <cell r="AH1589" t="str">
            <v xml:space="preserve"> en stock </v>
          </cell>
          <cell r="AI1589">
            <v>1</v>
          </cell>
          <cell r="AJ1589">
            <v>0</v>
          </cell>
          <cell r="AK1589">
            <v>0</v>
          </cell>
          <cell r="AL1589"/>
          <cell r="AM1589"/>
          <cell r="AN1589">
            <v>8131248</v>
          </cell>
          <cell r="AO1589"/>
          <cell r="AP1589"/>
          <cell r="AQ1589"/>
          <cell r="AR1589"/>
          <cell r="AS1589">
            <v>71</v>
          </cell>
          <cell r="AT1589"/>
          <cell r="AU1589" t="str">
            <v>FR</v>
          </cell>
          <cell r="AV1589"/>
        </row>
        <row r="1590">
          <cell r="Z1590">
            <v>8131249</v>
          </cell>
          <cell r="AA1590" t="str">
            <v>XO
2-7/8" PH6 Pin x 2-3/8" IF Box</v>
          </cell>
          <cell r="AB1590">
            <v>0</v>
          </cell>
          <cell r="AC1590">
            <v>3.375</v>
          </cell>
          <cell r="AD1590" t="str">
            <v>&lt;600</v>
          </cell>
          <cell r="AE1590" t="str">
            <v>2-7/8" PH6 Pin</v>
          </cell>
          <cell r="AF1590" t="str">
            <v>2-3/8" IF Box</v>
          </cell>
          <cell r="AG1590"/>
          <cell r="AH1590" t="str">
            <v>sur chantier</v>
          </cell>
          <cell r="AI1590" t="str">
            <v/>
          </cell>
          <cell r="AJ1590">
            <v>1</v>
          </cell>
          <cell r="AK1590">
            <v>0</v>
          </cell>
          <cell r="AL1590"/>
          <cell r="AM1590"/>
          <cell r="AN1590">
            <v>8131249</v>
          </cell>
          <cell r="AO1590"/>
          <cell r="AP1590"/>
          <cell r="AQ1590"/>
          <cell r="AR1590"/>
          <cell r="AS1590">
            <v>72</v>
          </cell>
          <cell r="AT1590"/>
          <cell r="AU1590" t="str">
            <v>FR</v>
          </cell>
          <cell r="AV1590"/>
        </row>
        <row r="1591">
          <cell r="Z1591">
            <v>8131250</v>
          </cell>
          <cell r="AA1591" t="str">
            <v>XO
2-3/8" REG Pin x 2-7/8" REG Box</v>
          </cell>
          <cell r="AB1591">
            <v>0</v>
          </cell>
          <cell r="AC1591">
            <v>3.375</v>
          </cell>
          <cell r="AD1591" t="str">
            <v>&lt;600</v>
          </cell>
          <cell r="AE1591" t="str">
            <v>2-3/8" REG Pin</v>
          </cell>
          <cell r="AF1591" t="str">
            <v>2-7/8" REG Box</v>
          </cell>
          <cell r="AG1591"/>
          <cell r="AH1591" t="str">
            <v>maintenance</v>
          </cell>
          <cell r="AI1591" t="str">
            <v/>
          </cell>
          <cell r="AJ1591">
            <v>0</v>
          </cell>
          <cell r="AK1591">
            <v>1</v>
          </cell>
          <cell r="AL1591"/>
          <cell r="AM1591"/>
          <cell r="AN1591">
            <v>8131250</v>
          </cell>
          <cell r="AO1591"/>
          <cell r="AP1591"/>
          <cell r="AQ1591"/>
          <cell r="AR1591"/>
          <cell r="AS1591">
            <v>54</v>
          </cell>
          <cell r="AT1591"/>
          <cell r="AU1591" t="str">
            <v>FR</v>
          </cell>
          <cell r="AV1591"/>
        </row>
        <row r="1592">
          <cell r="Z1592">
            <v>8131251</v>
          </cell>
          <cell r="AA1592" t="str">
            <v>XO
2-3/8" REG Pin x 2-7/8" REG Box</v>
          </cell>
          <cell r="AB1592">
            <v>0</v>
          </cell>
          <cell r="AC1592">
            <v>3.375</v>
          </cell>
          <cell r="AD1592" t="str">
            <v>&lt;600</v>
          </cell>
          <cell r="AE1592" t="str">
            <v>2-3/8" REG Pin</v>
          </cell>
          <cell r="AF1592" t="str">
            <v>2-7/8" REG Box</v>
          </cell>
          <cell r="AG1592"/>
          <cell r="AH1592" t="str">
            <v>maintenance</v>
          </cell>
          <cell r="AI1592" t="str">
            <v/>
          </cell>
          <cell r="AJ1592">
            <v>0</v>
          </cell>
          <cell r="AK1592">
            <v>1</v>
          </cell>
          <cell r="AL1592"/>
          <cell r="AM1592"/>
          <cell r="AN1592">
            <v>8131251</v>
          </cell>
          <cell r="AO1592"/>
          <cell r="AP1592"/>
          <cell r="AQ1592"/>
          <cell r="AR1592"/>
          <cell r="AS1592">
            <v>55</v>
          </cell>
          <cell r="AT1592"/>
          <cell r="AU1592" t="str">
            <v>FR</v>
          </cell>
          <cell r="AV1592"/>
        </row>
        <row r="1593">
          <cell r="Z1593">
            <v>8131252</v>
          </cell>
          <cell r="AA1593" t="str">
            <v>XO
2-7/8" REG Pin x 2-3/8" REG Box</v>
          </cell>
          <cell r="AB1593">
            <v>0</v>
          </cell>
          <cell r="AC1593">
            <v>3.375</v>
          </cell>
          <cell r="AD1593" t="str">
            <v>&lt;600</v>
          </cell>
          <cell r="AE1593" t="str">
            <v>2-7/8" REG Pin</v>
          </cell>
          <cell r="AF1593" t="str">
            <v>2-3/8" REG Box</v>
          </cell>
          <cell r="AG1593"/>
          <cell r="AH1593" t="str">
            <v>maintenance</v>
          </cell>
          <cell r="AI1593" t="str">
            <v/>
          </cell>
          <cell r="AJ1593">
            <v>0</v>
          </cell>
          <cell r="AK1593">
            <v>1</v>
          </cell>
          <cell r="AL1593"/>
          <cell r="AM1593"/>
          <cell r="AN1593">
            <v>8131252</v>
          </cell>
          <cell r="AO1593"/>
          <cell r="AP1593"/>
          <cell r="AQ1593"/>
          <cell r="AR1593"/>
          <cell r="AS1593">
            <v>91</v>
          </cell>
          <cell r="AT1593"/>
          <cell r="AU1593" t="str">
            <v>FR</v>
          </cell>
          <cell r="AV1593"/>
        </row>
        <row r="1594">
          <cell r="Z1594">
            <v>8131253</v>
          </cell>
          <cell r="AA1594" t="str">
            <v>XO
2-7/8" REG Pin x 2-3/8" REG Box</v>
          </cell>
          <cell r="AB1594">
            <v>0</v>
          </cell>
          <cell r="AC1594">
            <v>3.375</v>
          </cell>
          <cell r="AD1594" t="str">
            <v>&lt;600</v>
          </cell>
          <cell r="AE1594" t="str">
            <v>2-7/8" REG Pin</v>
          </cell>
          <cell r="AF1594" t="str">
            <v>2-3/8" REG Box</v>
          </cell>
          <cell r="AG1594"/>
          <cell r="AH1594" t="str">
            <v>maintenance</v>
          </cell>
          <cell r="AI1594" t="str">
            <v/>
          </cell>
          <cell r="AJ1594">
            <v>0</v>
          </cell>
          <cell r="AK1594">
            <v>1</v>
          </cell>
          <cell r="AL1594"/>
          <cell r="AM1594"/>
          <cell r="AN1594">
            <v>8131353</v>
          </cell>
          <cell r="AO1594"/>
          <cell r="AP1594"/>
          <cell r="AQ1594"/>
          <cell r="AR1594"/>
          <cell r="AS1594">
            <v>92</v>
          </cell>
          <cell r="AT1594"/>
          <cell r="AU1594" t="str">
            <v>FR</v>
          </cell>
          <cell r="AV1594"/>
        </row>
        <row r="1595">
          <cell r="Z1595">
            <v>7021254</v>
          </cell>
          <cell r="AA1595" t="str">
            <v>Fishing Magnet 4" OD
2-3/8" REG Pin</v>
          </cell>
          <cell r="AB1595">
            <v>0</v>
          </cell>
          <cell r="AC1595">
            <v>4</v>
          </cell>
          <cell r="AD1595">
            <v>0</v>
          </cell>
          <cell r="AE1595" t="str">
            <v>2-3/8" REG Pin</v>
          </cell>
          <cell r="AF1595"/>
          <cell r="AG1595"/>
          <cell r="AH1595" t="str">
            <v xml:space="preserve"> en stock </v>
          </cell>
          <cell r="AI1595">
            <v>1</v>
          </cell>
          <cell r="AJ1595">
            <v>0</v>
          </cell>
          <cell r="AK1595">
            <v>0</v>
          </cell>
          <cell r="AL1595"/>
          <cell r="AM1595"/>
          <cell r="AN1595">
            <v>7021254</v>
          </cell>
          <cell r="AO1595"/>
          <cell r="AP1595"/>
          <cell r="AQ1595"/>
          <cell r="AR1595"/>
          <cell r="AS1595">
            <v>6</v>
          </cell>
          <cell r="AT1595"/>
          <cell r="AU1595" t="str">
            <v>FR</v>
          </cell>
          <cell r="AV1595"/>
        </row>
        <row r="1596">
          <cell r="Z1596">
            <v>7021255</v>
          </cell>
          <cell r="AA1596" t="str">
            <v>String Magnet 3-3/8" OD
2-3/8" IF Pin x Box</v>
          </cell>
          <cell r="AB1596">
            <v>0</v>
          </cell>
          <cell r="AC1596">
            <v>3.375</v>
          </cell>
          <cell r="AD1596">
            <v>1235</v>
          </cell>
          <cell r="AE1596" t="str">
            <v>2-3/8" REG Box</v>
          </cell>
          <cell r="AF1596" t="str">
            <v>2-3/8" REG Pin</v>
          </cell>
          <cell r="AG1596"/>
          <cell r="AH1596" t="str">
            <v xml:space="preserve"> en stock </v>
          </cell>
          <cell r="AI1596">
            <v>1</v>
          </cell>
          <cell r="AJ1596">
            <v>0</v>
          </cell>
          <cell r="AK1596">
            <v>0</v>
          </cell>
          <cell r="AL1596"/>
          <cell r="AM1596"/>
          <cell r="AN1596">
            <v>7021255</v>
          </cell>
          <cell r="AO1596"/>
          <cell r="AP1596"/>
          <cell r="AQ1596"/>
          <cell r="AR1596"/>
          <cell r="AS1596">
            <v>4</v>
          </cell>
          <cell r="AT1596"/>
          <cell r="AU1596" t="str">
            <v>FR</v>
          </cell>
          <cell r="AV1596"/>
        </row>
        <row r="1597">
          <cell r="Z1597">
            <v>7021256</v>
          </cell>
          <cell r="AA1597" t="str">
            <v>String Magnet 3-3/8" OD
2-3/8" IF Pin x Box</v>
          </cell>
          <cell r="AB1597">
            <v>0</v>
          </cell>
          <cell r="AC1597">
            <v>3.375</v>
          </cell>
          <cell r="AD1597">
            <v>1235</v>
          </cell>
          <cell r="AE1597" t="str">
            <v>2-3/8" REG Box</v>
          </cell>
          <cell r="AF1597" t="str">
            <v>2-3/8" REG Pin</v>
          </cell>
          <cell r="AG1597"/>
          <cell r="AH1597" t="str">
            <v xml:space="preserve"> en stock </v>
          </cell>
          <cell r="AI1597">
            <v>1</v>
          </cell>
          <cell r="AJ1597">
            <v>0</v>
          </cell>
          <cell r="AK1597">
            <v>0</v>
          </cell>
          <cell r="AL1597"/>
          <cell r="AM1597"/>
          <cell r="AN1597">
            <v>7021256</v>
          </cell>
          <cell r="AO1597"/>
          <cell r="AP1597"/>
          <cell r="AQ1597"/>
          <cell r="AR1597"/>
          <cell r="AS1597">
            <v>5</v>
          </cell>
          <cell r="AT1597"/>
          <cell r="AU1597" t="str">
            <v>FR</v>
          </cell>
          <cell r="AV1597"/>
        </row>
        <row r="1598">
          <cell r="Z1598">
            <v>5061257</v>
          </cell>
          <cell r="AA1598" t="str">
            <v>String Mill 4,1875 OD 
2 3/8" REG Box x 2 3/8" REG Pin</v>
          </cell>
          <cell r="AB1598">
            <v>60</v>
          </cell>
          <cell r="AC1598">
            <v>4.1875</v>
          </cell>
          <cell r="AD1598">
            <v>1136</v>
          </cell>
          <cell r="AE1598" t="str">
            <v>2 3/8" REG Box</v>
          </cell>
          <cell r="AF1598" t="str">
            <v>2 3/8" REG Pin</v>
          </cell>
          <cell r="AG1598"/>
          <cell r="AH1598" t="str">
            <v xml:space="preserve"> en stock </v>
          </cell>
          <cell r="AI1598">
            <v>1</v>
          </cell>
          <cell r="AJ1598">
            <v>0</v>
          </cell>
          <cell r="AK1598">
            <v>0</v>
          </cell>
          <cell r="AL1598"/>
          <cell r="AM1598"/>
          <cell r="AN1598">
            <v>5061257</v>
          </cell>
          <cell r="AO1598"/>
          <cell r="AP1598"/>
          <cell r="AQ1598"/>
          <cell r="AR1598"/>
          <cell r="AS1598">
            <v>6</v>
          </cell>
          <cell r="AT1598"/>
          <cell r="AU1598" t="str">
            <v>FR</v>
          </cell>
          <cell r="AV1598"/>
        </row>
        <row r="1599">
          <cell r="Z1599">
            <v>5061258</v>
          </cell>
          <cell r="AA1599" t="str">
            <v>String Mill 4,75 OD 
2 3/8" REG Box x 2 3/8" REG Pin</v>
          </cell>
          <cell r="AB1599">
            <v>60</v>
          </cell>
          <cell r="AC1599">
            <v>4.75</v>
          </cell>
          <cell r="AD1599">
            <v>1250</v>
          </cell>
          <cell r="AE1599" t="str">
            <v>2 3/8" REG Box</v>
          </cell>
          <cell r="AF1599" t="str">
            <v>2 3/8" REG Pin</v>
          </cell>
          <cell r="AG1599"/>
          <cell r="AH1599" t="str">
            <v xml:space="preserve"> en stock </v>
          </cell>
          <cell r="AI1599">
            <v>1</v>
          </cell>
          <cell r="AJ1599">
            <v>0</v>
          </cell>
          <cell r="AK1599">
            <v>0</v>
          </cell>
          <cell r="AL1599"/>
          <cell r="AM1599"/>
          <cell r="AN1599">
            <v>5061258</v>
          </cell>
          <cell r="AO1599"/>
          <cell r="AP1599"/>
          <cell r="AQ1599"/>
          <cell r="AR1599"/>
          <cell r="AS1599">
            <v>7</v>
          </cell>
          <cell r="AT1599"/>
          <cell r="AU1599" t="str">
            <v>FR</v>
          </cell>
          <cell r="AV1599"/>
        </row>
        <row r="1600">
          <cell r="Z1600">
            <v>8021259</v>
          </cell>
          <cell r="AA1600" t="str">
            <v>Bit Sub
2-7/8" EU Box x 3-1/2" REG Box</v>
          </cell>
          <cell r="AB1600">
            <v>38.663704930499996</v>
          </cell>
          <cell r="AC1600">
            <v>4.75</v>
          </cell>
          <cell r="AD1600">
            <v>600</v>
          </cell>
          <cell r="AE1600" t="str">
            <v>2-7/8" EU Box</v>
          </cell>
          <cell r="AF1600" t="str">
            <v>3-1/2" REG Box</v>
          </cell>
          <cell r="AG1600"/>
          <cell r="AH1600" t="str">
            <v xml:space="preserve"> en stock </v>
          </cell>
          <cell r="AI1600">
            <v>1</v>
          </cell>
          <cell r="AJ1600">
            <v>0</v>
          </cell>
          <cell r="AK1600">
            <v>0</v>
          </cell>
          <cell r="AL1600"/>
          <cell r="AM1600"/>
          <cell r="AN1600">
            <v>8021259</v>
          </cell>
          <cell r="AO1600"/>
          <cell r="AP1600"/>
          <cell r="AQ1600"/>
          <cell r="AR1600"/>
          <cell r="AS1600">
            <v>27</v>
          </cell>
          <cell r="AT1600"/>
          <cell r="AU1600" t="str">
            <v>FR</v>
          </cell>
          <cell r="AV1600"/>
        </row>
        <row r="1601">
          <cell r="Z1601">
            <v>8021260</v>
          </cell>
          <cell r="AA1601" t="str">
            <v>Bit Sub
2-7/8" EU Box x 3-1/2" REG Box</v>
          </cell>
          <cell r="AB1601">
            <v>48.144460162499996</v>
          </cell>
          <cell r="AC1601">
            <v>4.75</v>
          </cell>
          <cell r="AD1601">
            <v>600</v>
          </cell>
          <cell r="AE1601" t="str">
            <v>2-7/8" EU Box</v>
          </cell>
          <cell r="AF1601" t="str">
            <v>3-1/2" REG Box</v>
          </cell>
          <cell r="AG1601"/>
          <cell r="AH1601" t="str">
            <v xml:space="preserve"> en stock </v>
          </cell>
          <cell r="AI1601">
            <v>1</v>
          </cell>
          <cell r="AJ1601">
            <v>0</v>
          </cell>
          <cell r="AK1601">
            <v>0</v>
          </cell>
          <cell r="AL1601"/>
          <cell r="AM1601"/>
          <cell r="AN1601">
            <v>8021260</v>
          </cell>
          <cell r="AO1601"/>
          <cell r="AP1601"/>
          <cell r="AQ1601"/>
          <cell r="AR1601"/>
          <cell r="AS1601">
            <v>28</v>
          </cell>
          <cell r="AT1601"/>
          <cell r="AU1601" t="str">
            <v>FR</v>
          </cell>
          <cell r="AV1601"/>
        </row>
        <row r="1602">
          <cell r="Z1602">
            <v>8131261</v>
          </cell>
          <cell r="AA1602" t="str">
            <v>XO
2-7/8" IF Pin x 3-1/2" REG Pin</v>
          </cell>
          <cell r="AB1602">
            <v>0</v>
          </cell>
          <cell r="AC1602">
            <v>0</v>
          </cell>
          <cell r="AD1602">
            <v>0</v>
          </cell>
          <cell r="AE1602" t="str">
            <v>2-7/8" IF Pin</v>
          </cell>
          <cell r="AF1602" t="str">
            <v>3-1/2" REG Pin</v>
          </cell>
          <cell r="AG1602"/>
          <cell r="AH1602" t="str">
            <v xml:space="preserve"> en stock </v>
          </cell>
          <cell r="AI1602">
            <v>1</v>
          </cell>
          <cell r="AJ1602">
            <v>0</v>
          </cell>
          <cell r="AK1602">
            <v>0</v>
          </cell>
          <cell r="AL1602"/>
          <cell r="AM1602"/>
          <cell r="AN1602">
            <v>8131261</v>
          </cell>
          <cell r="AO1602"/>
          <cell r="AP1602"/>
          <cell r="AQ1602"/>
          <cell r="AR1602"/>
          <cell r="AS1602">
            <v>83</v>
          </cell>
          <cell r="AT1602"/>
          <cell r="AU1602" t="str">
            <v>FR</v>
          </cell>
          <cell r="AV1602"/>
        </row>
        <row r="1603">
          <cell r="Z1603">
            <v>8041282</v>
          </cell>
          <cell r="AA1603" t="str">
            <v>Lift Sub 2-7/8" PH6 Pin
0 OD body for Elevator DP 18°</v>
          </cell>
          <cell r="AB1603">
            <v>0</v>
          </cell>
          <cell r="AC1603">
            <v>0</v>
          </cell>
          <cell r="AD1603">
            <v>0</v>
          </cell>
          <cell r="AE1603" t="str">
            <v>18°</v>
          </cell>
          <cell r="AF1603" t="str">
            <v>2-7/8" PH6 Pin</v>
          </cell>
          <cell r="AG1603"/>
          <cell r="AH1603" t="str">
            <v>sur chantier</v>
          </cell>
          <cell r="AI1603" t="str">
            <v/>
          </cell>
          <cell r="AJ1603">
            <v>1</v>
          </cell>
          <cell r="AK1603">
            <v>0</v>
          </cell>
          <cell r="AL1603"/>
          <cell r="AM1603"/>
          <cell r="AN1603">
            <v>8041282</v>
          </cell>
          <cell r="AO1603"/>
          <cell r="AP1603"/>
          <cell r="AQ1603"/>
          <cell r="AR1603"/>
          <cell r="AS1603">
            <v>35</v>
          </cell>
          <cell r="AT1603"/>
          <cell r="AU1603" t="str">
            <v>FR</v>
          </cell>
          <cell r="AV1603"/>
        </row>
        <row r="1604">
          <cell r="Z1604">
            <v>8041283</v>
          </cell>
          <cell r="AA1604" t="str">
            <v>Lift Sub 2-7/8" PH6 Pin
0 OD body for Elevator DP 18°</v>
          </cell>
          <cell r="AB1604">
            <v>0</v>
          </cell>
          <cell r="AC1604">
            <v>0</v>
          </cell>
          <cell r="AD1604">
            <v>0</v>
          </cell>
          <cell r="AE1604" t="str">
            <v>18°</v>
          </cell>
          <cell r="AF1604" t="str">
            <v>2-7/8" PH6 Pin</v>
          </cell>
          <cell r="AG1604"/>
          <cell r="AH1604" t="str">
            <v>sur chantier</v>
          </cell>
          <cell r="AI1604" t="str">
            <v/>
          </cell>
          <cell r="AJ1604">
            <v>1</v>
          </cell>
          <cell r="AK1604">
            <v>0</v>
          </cell>
          <cell r="AL1604"/>
          <cell r="AM1604"/>
          <cell r="AN1604">
            <v>8041283</v>
          </cell>
          <cell r="AO1604"/>
          <cell r="AP1604"/>
          <cell r="AQ1604"/>
          <cell r="AR1604"/>
          <cell r="AS1604">
            <v>36</v>
          </cell>
          <cell r="AT1604"/>
          <cell r="AU1604" t="str">
            <v>FR</v>
          </cell>
          <cell r="AV1604"/>
        </row>
        <row r="1605">
          <cell r="Z1605">
            <v>5081264</v>
          </cell>
          <cell r="AA1605" t="str">
            <v>Taper Mill 
3-1/2" REG Pin</v>
          </cell>
          <cell r="AB1605">
            <v>76</v>
          </cell>
          <cell r="AC1605">
            <v>6</v>
          </cell>
          <cell r="AD1605">
            <v>76</v>
          </cell>
          <cell r="AE1605" t="str">
            <v>3-1/2" REG Pin</v>
          </cell>
          <cell r="AF1605"/>
          <cell r="AG1605"/>
          <cell r="AH1605" t="str">
            <v xml:space="preserve"> en stock </v>
          </cell>
          <cell r="AI1605">
            <v>1</v>
          </cell>
          <cell r="AJ1605">
            <v>0</v>
          </cell>
          <cell r="AK1605">
            <v>0</v>
          </cell>
          <cell r="AL1605"/>
          <cell r="AM1605"/>
          <cell r="AN1605">
            <v>5081264</v>
          </cell>
          <cell r="AO1605"/>
          <cell r="AP1605"/>
          <cell r="AQ1605"/>
          <cell r="AR1605"/>
          <cell r="AS1605">
            <v>22</v>
          </cell>
          <cell r="AT1605" t="str">
            <v>508-</v>
          </cell>
          <cell r="AU1605" t="str">
            <v>FR</v>
          </cell>
          <cell r="AV1605"/>
        </row>
        <row r="1606">
          <cell r="Z1606">
            <v>8111265</v>
          </cell>
          <cell r="AA1606" t="str">
            <v>String Stab
4-1/2" IF Pin x 4-1/2" IF Box</v>
          </cell>
          <cell r="AB1606">
            <v>275</v>
          </cell>
          <cell r="AC1606">
            <v>8.5</v>
          </cell>
          <cell r="AD1606">
            <v>1880</v>
          </cell>
          <cell r="AE1606" t="str">
            <v>4-1/2" IF Box</v>
          </cell>
          <cell r="AF1606" t="str">
            <v>4-1/2" IF Pin</v>
          </cell>
          <cell r="AG1606" t="str">
            <v>PTA</v>
          </cell>
          <cell r="AH1606" t="str">
            <v>sur chantier</v>
          </cell>
          <cell r="AI1606" t="str">
            <v/>
          </cell>
          <cell r="AJ1606">
            <v>1</v>
          </cell>
          <cell r="AK1606">
            <v>0</v>
          </cell>
          <cell r="AL1606"/>
          <cell r="AM1606"/>
          <cell r="AN1606">
            <v>8111265</v>
          </cell>
          <cell r="AO1606"/>
          <cell r="AP1606"/>
          <cell r="AQ1606"/>
          <cell r="AR1606"/>
          <cell r="AS1606">
            <v>36</v>
          </cell>
          <cell r="AT1606"/>
          <cell r="AU1606" t="str">
            <v>CH</v>
          </cell>
          <cell r="AV1606"/>
        </row>
        <row r="1607">
          <cell r="Z1607">
            <v>8111266</v>
          </cell>
          <cell r="AA1607" t="str">
            <v>String Stab
4-1/2" IF Pin x 4-1/2" IF Box</v>
          </cell>
          <cell r="AB1607">
            <v>268</v>
          </cell>
          <cell r="AC1607">
            <v>8.25</v>
          </cell>
          <cell r="AD1607">
            <v>1880</v>
          </cell>
          <cell r="AE1607" t="str">
            <v>4-1/2" IF Box</v>
          </cell>
          <cell r="AF1607" t="str">
            <v>4-1/2" IF Pin</v>
          </cell>
          <cell r="AG1607" t="str">
            <v>TGG</v>
          </cell>
          <cell r="AH1607" t="str">
            <v xml:space="preserve"> en stock </v>
          </cell>
          <cell r="AI1607">
            <v>1</v>
          </cell>
          <cell r="AJ1607">
            <v>0</v>
          </cell>
          <cell r="AK1607">
            <v>0</v>
          </cell>
          <cell r="AL1607"/>
          <cell r="AM1607"/>
          <cell r="AN1607">
            <v>8111266</v>
          </cell>
          <cell r="AO1607"/>
          <cell r="AP1607"/>
          <cell r="AQ1607"/>
          <cell r="AR1607"/>
          <cell r="AS1607">
            <v>37</v>
          </cell>
          <cell r="AT1607"/>
          <cell r="AU1607" t="str">
            <v>CH</v>
          </cell>
          <cell r="AV1607"/>
        </row>
        <row r="1608">
          <cell r="Z1608">
            <v>8091267</v>
          </cell>
          <cell r="AA1608" t="str">
            <v>Near Bit Stab
4-1/2" IF Pin x 4-1/2" REG Box BF</v>
          </cell>
          <cell r="AB1608">
            <v>275</v>
          </cell>
          <cell r="AC1608">
            <v>8.4375</v>
          </cell>
          <cell r="AD1608">
            <v>1880</v>
          </cell>
          <cell r="AE1608" t="str">
            <v>4-1/2" IF Pin</v>
          </cell>
          <cell r="AF1608" t="str">
            <v>4-1/2" REG Box BF</v>
          </cell>
          <cell r="AG1608" t="str">
            <v>TGG</v>
          </cell>
          <cell r="AH1608" t="str">
            <v>maintenance</v>
          </cell>
          <cell r="AI1608" t="str">
            <v/>
          </cell>
          <cell r="AJ1608">
            <v>0</v>
          </cell>
          <cell r="AK1608">
            <v>1</v>
          </cell>
          <cell r="AL1608"/>
          <cell r="AM1608"/>
          <cell r="AN1608">
            <v>8091267</v>
          </cell>
          <cell r="AO1608"/>
          <cell r="AP1608"/>
          <cell r="AQ1608"/>
          <cell r="AR1608"/>
          <cell r="AS1608">
            <v>14</v>
          </cell>
          <cell r="AT1608"/>
          <cell r="AU1608" t="str">
            <v>CH</v>
          </cell>
          <cell r="AV1608"/>
        </row>
        <row r="1609">
          <cell r="Z1609">
            <v>8111268</v>
          </cell>
          <cell r="AA1609" t="str">
            <v>String Stab
4-1/2" IF Pin x 4-1/2" IF Box</v>
          </cell>
          <cell r="AB1609">
            <v>304</v>
          </cell>
          <cell r="AC1609">
            <v>9.4375</v>
          </cell>
          <cell r="AD1609">
            <v>1880</v>
          </cell>
          <cell r="AE1609" t="str">
            <v>4-1/2" IF Box</v>
          </cell>
          <cell r="AF1609" t="str">
            <v>4-1/2" IF Pin</v>
          </cell>
          <cell r="AG1609" t="str">
            <v>TGG</v>
          </cell>
          <cell r="AH1609" t="str">
            <v>maintenance</v>
          </cell>
          <cell r="AI1609" t="str">
            <v/>
          </cell>
          <cell r="AJ1609">
            <v>0</v>
          </cell>
          <cell r="AK1609">
            <v>1</v>
          </cell>
          <cell r="AL1609"/>
          <cell r="AM1609"/>
          <cell r="AN1609">
            <v>8111268</v>
          </cell>
          <cell r="AO1609"/>
          <cell r="AP1609"/>
          <cell r="AQ1609"/>
          <cell r="AR1609"/>
          <cell r="AS1609">
            <v>49</v>
          </cell>
          <cell r="AT1609"/>
          <cell r="AU1609" t="str">
            <v>CH</v>
          </cell>
          <cell r="AV1609"/>
        </row>
        <row r="1610">
          <cell r="Z1610">
            <v>8111269</v>
          </cell>
          <cell r="AA1610" t="str">
            <v>String Stab
4-1/2" IF Pin x 4-1/2" IF Box</v>
          </cell>
          <cell r="AB1610">
            <v>301</v>
          </cell>
          <cell r="AC1610">
            <v>9.375</v>
          </cell>
          <cell r="AD1610">
            <v>1930</v>
          </cell>
          <cell r="AE1610" t="str">
            <v>4-1/2" IF Box</v>
          </cell>
          <cell r="AF1610" t="str">
            <v>4-1/2" IF Pin</v>
          </cell>
          <cell r="AG1610" t="str">
            <v>PTA</v>
          </cell>
          <cell r="AH1610" t="str">
            <v xml:space="preserve"> en stock </v>
          </cell>
          <cell r="AI1610">
            <v>1</v>
          </cell>
          <cell r="AJ1610">
            <v>0</v>
          </cell>
          <cell r="AK1610">
            <v>0</v>
          </cell>
          <cell r="AL1610"/>
          <cell r="AM1610"/>
          <cell r="AN1610">
            <v>8111269</v>
          </cell>
          <cell r="AO1610"/>
          <cell r="AP1610"/>
          <cell r="AQ1610"/>
          <cell r="AR1610"/>
          <cell r="AS1610">
            <v>44</v>
          </cell>
          <cell r="AT1610"/>
          <cell r="AU1610" t="str">
            <v>CH</v>
          </cell>
          <cell r="AV1610"/>
        </row>
        <row r="1611">
          <cell r="Z1611">
            <v>8111270</v>
          </cell>
          <cell r="AA1611" t="str">
            <v>String Stab
4-1/2" IF Pin x 4-1/2" IF Box</v>
          </cell>
          <cell r="AB1611">
            <v>295</v>
          </cell>
          <cell r="AC1611">
            <v>9.125</v>
          </cell>
          <cell r="AD1611">
            <v>1930</v>
          </cell>
          <cell r="AE1611" t="str">
            <v>4-1/2" IF Box</v>
          </cell>
          <cell r="AF1611" t="str">
            <v>4-1/2" IF Pin</v>
          </cell>
          <cell r="AG1611" t="str">
            <v>PTA</v>
          </cell>
          <cell r="AH1611" t="str">
            <v>maintenance</v>
          </cell>
          <cell r="AI1611" t="str">
            <v/>
          </cell>
          <cell r="AJ1611">
            <v>0</v>
          </cell>
          <cell r="AK1611">
            <v>1</v>
          </cell>
          <cell r="AL1611"/>
          <cell r="AM1611"/>
          <cell r="AN1611">
            <v>8111270</v>
          </cell>
          <cell r="AO1611"/>
          <cell r="AP1611"/>
          <cell r="AQ1611"/>
          <cell r="AR1611"/>
          <cell r="AS1611">
            <v>45</v>
          </cell>
          <cell r="AT1611"/>
          <cell r="AU1611" t="str">
            <v>CH</v>
          </cell>
          <cell r="AV1611"/>
        </row>
        <row r="1612">
          <cell r="Z1612">
            <v>8111271</v>
          </cell>
          <cell r="AA1612" t="str">
            <v>String Stab
6-5/8" REG Pin x 6-5/8" REG Box</v>
          </cell>
          <cell r="AB1612">
            <v>545</v>
          </cell>
          <cell r="AC1612">
            <v>12.125</v>
          </cell>
          <cell r="AD1612">
            <v>2000</v>
          </cell>
          <cell r="AE1612" t="str">
            <v>6-5/8" REG Box</v>
          </cell>
          <cell r="AF1612" t="str">
            <v>6-5/8" REG Pin</v>
          </cell>
          <cell r="AG1612" t="str">
            <v>PTA</v>
          </cell>
          <cell r="AH1612" t="str">
            <v xml:space="preserve"> en stock </v>
          </cell>
          <cell r="AI1612">
            <v>1</v>
          </cell>
          <cell r="AJ1612">
            <v>0</v>
          </cell>
          <cell r="AK1612">
            <v>0</v>
          </cell>
          <cell r="AL1612"/>
          <cell r="AM1612"/>
          <cell r="AN1612">
            <v>8111271</v>
          </cell>
          <cell r="AO1612"/>
          <cell r="AP1612"/>
          <cell r="AQ1612"/>
          <cell r="AR1612"/>
          <cell r="AS1612">
            <v>69</v>
          </cell>
          <cell r="AT1612"/>
          <cell r="AU1612" t="str">
            <v>CH</v>
          </cell>
          <cell r="AV1612"/>
        </row>
        <row r="1613">
          <cell r="Z1613">
            <v>8111272</v>
          </cell>
          <cell r="AA1613" t="str">
            <v>String Stab
6-5/8" REG Pin x 6-5/8" REG Box</v>
          </cell>
          <cell r="AB1613">
            <v>540</v>
          </cell>
          <cell r="AC1613">
            <v>12.125</v>
          </cell>
          <cell r="AD1613">
            <v>2184</v>
          </cell>
          <cell r="AE1613" t="str">
            <v>6-5/8" REG Box</v>
          </cell>
          <cell r="AF1613" t="str">
            <v>6-5/8" REG Pin</v>
          </cell>
          <cell r="AG1613" t="str">
            <v>PTA</v>
          </cell>
          <cell r="AH1613" t="str">
            <v>sur chantier</v>
          </cell>
          <cell r="AI1613" t="str">
            <v/>
          </cell>
          <cell r="AJ1613">
            <v>1</v>
          </cell>
          <cell r="AK1613">
            <v>0</v>
          </cell>
          <cell r="AL1613"/>
          <cell r="AM1613"/>
          <cell r="AN1613">
            <v>8111272</v>
          </cell>
          <cell r="AO1613"/>
          <cell r="AP1613"/>
          <cell r="AQ1613"/>
          <cell r="AR1613"/>
          <cell r="AS1613">
            <v>66</v>
          </cell>
          <cell r="AT1613"/>
          <cell r="AU1613" t="str">
            <v>CH</v>
          </cell>
          <cell r="AV1613"/>
        </row>
        <row r="1614">
          <cell r="Z1614">
            <v>8111273</v>
          </cell>
          <cell r="AA1614" t="str">
            <v>String Stab
6-5/8" REG Pin x 6-5/8" REG Box</v>
          </cell>
          <cell r="AB1614">
            <v>474</v>
          </cell>
          <cell r="AC1614">
            <v>12</v>
          </cell>
          <cell r="AD1614">
            <v>2050</v>
          </cell>
          <cell r="AE1614" t="str">
            <v>6-5/8" REG Box</v>
          </cell>
          <cell r="AF1614" t="str">
            <v>6-5/8" REG Pin</v>
          </cell>
          <cell r="AG1614" t="str">
            <v>TGG</v>
          </cell>
          <cell r="AH1614" t="str">
            <v>sur chantier</v>
          </cell>
          <cell r="AI1614" t="str">
            <v/>
          </cell>
          <cell r="AJ1614">
            <v>1</v>
          </cell>
          <cell r="AK1614">
            <v>0</v>
          </cell>
          <cell r="AL1614"/>
          <cell r="AM1614"/>
          <cell r="AN1614">
            <v>8111273</v>
          </cell>
          <cell r="AO1614"/>
          <cell r="AP1614"/>
          <cell r="AQ1614"/>
          <cell r="AR1614"/>
          <cell r="AS1614">
            <v>58</v>
          </cell>
          <cell r="AT1614"/>
          <cell r="AU1614" t="str">
            <v>CH</v>
          </cell>
          <cell r="AV1614"/>
        </row>
        <row r="1615">
          <cell r="Z1615">
            <v>8111274</v>
          </cell>
          <cell r="AA1615" t="str">
            <v>String Stab
6-5/8" REG Pin x 6-5/8" REG Box</v>
          </cell>
          <cell r="AB1615">
            <v>665</v>
          </cell>
          <cell r="AC1615">
            <v>14.75</v>
          </cell>
          <cell r="AD1615">
            <v>2184</v>
          </cell>
          <cell r="AE1615" t="str">
            <v>6-5/8" REG Box</v>
          </cell>
          <cell r="AF1615" t="str">
            <v>6-5/8" REG Pin</v>
          </cell>
          <cell r="AG1615" t="str">
            <v>TGG</v>
          </cell>
          <cell r="AH1615" t="str">
            <v xml:space="preserve"> en stock </v>
          </cell>
          <cell r="AI1615">
            <v>1</v>
          </cell>
          <cell r="AJ1615">
            <v>0</v>
          </cell>
          <cell r="AK1615">
            <v>0</v>
          </cell>
          <cell r="AL1615"/>
          <cell r="AM1615"/>
          <cell r="AN1615">
            <v>8111274</v>
          </cell>
          <cell r="AO1615"/>
          <cell r="AP1615"/>
          <cell r="AQ1615"/>
          <cell r="AR1615"/>
          <cell r="AS1615">
            <v>80</v>
          </cell>
          <cell r="AT1615"/>
          <cell r="AU1615" t="str">
            <v>CH</v>
          </cell>
          <cell r="AV1615"/>
        </row>
        <row r="1616">
          <cell r="Z1616">
            <v>8111275</v>
          </cell>
          <cell r="AA1616" t="str">
            <v>String Stab
6-5/8" REG Pin x 6-5/8" REG Box</v>
          </cell>
          <cell r="AB1616">
            <v>638</v>
          </cell>
          <cell r="AC1616">
            <v>14.125</v>
          </cell>
          <cell r="AD1616">
            <v>2184</v>
          </cell>
          <cell r="AE1616" t="str">
            <v>6-5/8" REG Box</v>
          </cell>
          <cell r="AF1616" t="str">
            <v>6-5/8" REG Pin</v>
          </cell>
          <cell r="AG1616" t="str">
            <v>PTA</v>
          </cell>
          <cell r="AH1616" t="str">
            <v xml:space="preserve"> en stock </v>
          </cell>
          <cell r="AI1616">
            <v>1</v>
          </cell>
          <cell r="AJ1616">
            <v>0</v>
          </cell>
          <cell r="AK1616">
            <v>0</v>
          </cell>
          <cell r="AL1616"/>
          <cell r="AM1616"/>
          <cell r="AN1616">
            <v>8111275</v>
          </cell>
          <cell r="AO1616"/>
          <cell r="AP1616"/>
          <cell r="AQ1616"/>
          <cell r="AR1616"/>
          <cell r="AS1616">
            <v>79</v>
          </cell>
          <cell r="AT1616"/>
          <cell r="AU1616" t="str">
            <v>CH</v>
          </cell>
          <cell r="AV1616"/>
        </row>
        <row r="1617">
          <cell r="Z1617">
            <v>8111276</v>
          </cell>
          <cell r="AA1617" t="str">
            <v>String Stab
7-5/8" REG Pin x 7-5/8" REG Box</v>
          </cell>
          <cell r="AB1617">
            <v>554</v>
          </cell>
          <cell r="AC1617">
            <v>14.125</v>
          </cell>
          <cell r="AD1617">
            <v>2184</v>
          </cell>
          <cell r="AE1617" t="str">
            <v>7-5/8" REG Box</v>
          </cell>
          <cell r="AF1617" t="str">
            <v>7-5/8" REG Pin</v>
          </cell>
          <cell r="AG1617" t="str">
            <v>PTA</v>
          </cell>
          <cell r="AH1617" t="str">
            <v xml:space="preserve"> en stock </v>
          </cell>
          <cell r="AI1617">
            <v>1</v>
          </cell>
          <cell r="AJ1617">
            <v>0</v>
          </cell>
          <cell r="AK1617">
            <v>0</v>
          </cell>
          <cell r="AL1617"/>
          <cell r="AM1617"/>
          <cell r="AN1617">
            <v>8111276</v>
          </cell>
          <cell r="AO1617"/>
          <cell r="AP1617"/>
          <cell r="AQ1617"/>
          <cell r="AR1617"/>
          <cell r="AS1617">
            <v>78</v>
          </cell>
          <cell r="AT1617"/>
          <cell r="AU1617" t="str">
            <v>CH</v>
          </cell>
          <cell r="AV1617"/>
        </row>
        <row r="1618">
          <cell r="Z1618">
            <v>8111277</v>
          </cell>
          <cell r="AA1618" t="str">
            <v>String Stab
7-5/8" REG Pin x 7-5/8" REG Box</v>
          </cell>
          <cell r="AB1618">
            <v>773</v>
          </cell>
          <cell r="AC1618">
            <v>14.875</v>
          </cell>
          <cell r="AD1618">
            <v>2184</v>
          </cell>
          <cell r="AE1618" t="str">
            <v>7-5/8" REG Box</v>
          </cell>
          <cell r="AF1618" t="str">
            <v>7-5/8" REG Pin</v>
          </cell>
          <cell r="AG1618" t="str">
            <v>PTA</v>
          </cell>
          <cell r="AH1618" t="str">
            <v xml:space="preserve"> en stock </v>
          </cell>
          <cell r="AI1618">
            <v>1</v>
          </cell>
          <cell r="AJ1618">
            <v>0</v>
          </cell>
          <cell r="AK1618">
            <v>0</v>
          </cell>
          <cell r="AL1618"/>
          <cell r="AM1618"/>
          <cell r="AN1618">
            <v>8111277</v>
          </cell>
          <cell r="AO1618"/>
          <cell r="AP1618"/>
          <cell r="AQ1618"/>
          <cell r="AR1618"/>
          <cell r="AS1618">
            <v>81</v>
          </cell>
          <cell r="AT1618"/>
          <cell r="AU1618" t="str">
            <v>CH</v>
          </cell>
          <cell r="AV1618"/>
        </row>
        <row r="1619">
          <cell r="Z1619">
            <v>8091278</v>
          </cell>
          <cell r="AA1619" t="str">
            <v>Near Bit Stab
7-5/8" REG Box x 7-5/8" REG Box BF</v>
          </cell>
          <cell r="AB1619">
            <v>773</v>
          </cell>
          <cell r="AC1619">
            <v>14.75</v>
          </cell>
          <cell r="AD1619">
            <v>2184</v>
          </cell>
          <cell r="AE1619" t="str">
            <v>7-5/8" REG Box</v>
          </cell>
          <cell r="AF1619" t="str">
            <v>7-5/8" REG Box BF</v>
          </cell>
          <cell r="AG1619" t="str">
            <v>TGG</v>
          </cell>
          <cell r="AH1619" t="str">
            <v xml:space="preserve"> en stock </v>
          </cell>
          <cell r="AI1619">
            <v>1</v>
          </cell>
          <cell r="AJ1619">
            <v>0</v>
          </cell>
          <cell r="AK1619">
            <v>0</v>
          </cell>
          <cell r="AL1619"/>
          <cell r="AM1619"/>
          <cell r="AN1619">
            <v>8091278</v>
          </cell>
          <cell r="AO1619"/>
          <cell r="AP1619"/>
          <cell r="AQ1619"/>
          <cell r="AR1619"/>
          <cell r="AS1619">
            <v>35</v>
          </cell>
          <cell r="AT1619"/>
          <cell r="AU1619" t="str">
            <v>CH</v>
          </cell>
          <cell r="AV1619"/>
        </row>
        <row r="1620">
          <cell r="Z1620">
            <v>8111279</v>
          </cell>
          <cell r="AA1620" t="str">
            <v>String Stab
7-5/8" REG Pin x 7-5/8" REG Box</v>
          </cell>
          <cell r="AB1620">
            <v>1035</v>
          </cell>
          <cell r="AC1620">
            <v>17.5</v>
          </cell>
          <cell r="AD1620">
            <v>2160</v>
          </cell>
          <cell r="AE1620" t="str">
            <v>7-5/8" REG Box</v>
          </cell>
          <cell r="AF1620" t="str">
            <v>7-5/8" REG Pin</v>
          </cell>
          <cell r="AG1620" t="str">
            <v>TGG</v>
          </cell>
          <cell r="AH1620" t="str">
            <v>maintenance</v>
          </cell>
          <cell r="AI1620" t="str">
            <v/>
          </cell>
          <cell r="AJ1620">
            <v>0</v>
          </cell>
          <cell r="AK1620">
            <v>1</v>
          </cell>
          <cell r="AL1620"/>
          <cell r="AM1620"/>
          <cell r="AN1620">
            <v>8111279</v>
          </cell>
          <cell r="AO1620"/>
          <cell r="AP1620"/>
          <cell r="AQ1620"/>
          <cell r="AR1620"/>
          <cell r="AS1620">
            <v>98</v>
          </cell>
          <cell r="AT1620"/>
          <cell r="AU1620" t="str">
            <v>CH</v>
          </cell>
          <cell r="AV1620"/>
        </row>
        <row r="1621">
          <cell r="Z1621">
            <v>8111280</v>
          </cell>
          <cell r="AA1621" t="str">
            <v>String Stab
7-5/8" REG Pin x 7-5/8" REG Box</v>
          </cell>
          <cell r="AB1621">
            <v>1016</v>
          </cell>
          <cell r="AC1621">
            <v>17.125</v>
          </cell>
          <cell r="AD1621">
            <v>2286</v>
          </cell>
          <cell r="AE1621" t="str">
            <v>7-5/8" REG Box</v>
          </cell>
          <cell r="AF1621" t="str">
            <v>7-5/8" REG Pin</v>
          </cell>
          <cell r="AG1621" t="str">
            <v>PTA</v>
          </cell>
          <cell r="AH1621" t="str">
            <v>sur chantier</v>
          </cell>
          <cell r="AI1621" t="str">
            <v/>
          </cell>
          <cell r="AJ1621">
            <v>1</v>
          </cell>
          <cell r="AK1621">
            <v>0</v>
          </cell>
          <cell r="AL1621"/>
          <cell r="AM1621"/>
          <cell r="AN1621">
            <v>8111280</v>
          </cell>
          <cell r="AO1621"/>
          <cell r="AP1621"/>
          <cell r="AQ1621"/>
          <cell r="AR1621"/>
          <cell r="AS1621">
            <v>99</v>
          </cell>
          <cell r="AT1621"/>
          <cell r="AU1621" t="str">
            <v>CH</v>
          </cell>
          <cell r="AV1621"/>
        </row>
        <row r="1622">
          <cell r="Z1622">
            <v>8111281</v>
          </cell>
          <cell r="AA1622" t="str">
            <v>String Stab
7-5/8" REG Pin x 7-5/8" REG Box</v>
          </cell>
          <cell r="AB1622">
            <v>1006</v>
          </cell>
          <cell r="AC1622">
            <v>17.0625</v>
          </cell>
          <cell r="AD1622">
            <v>2286</v>
          </cell>
          <cell r="AE1622" t="str">
            <v>7-5/8" REG Box</v>
          </cell>
          <cell r="AF1622" t="str">
            <v>7-5/8" REG Pin</v>
          </cell>
          <cell r="AG1622" t="str">
            <v>Carbure</v>
          </cell>
          <cell r="AH1622" t="str">
            <v>sur chantier</v>
          </cell>
          <cell r="AI1622" t="str">
            <v/>
          </cell>
          <cell r="AJ1622">
            <v>1</v>
          </cell>
          <cell r="AK1622">
            <v>0</v>
          </cell>
          <cell r="AL1622"/>
          <cell r="AM1622"/>
          <cell r="AN1622">
            <v>8111281</v>
          </cell>
          <cell r="AO1622"/>
          <cell r="AP1622"/>
          <cell r="AQ1622"/>
          <cell r="AR1622"/>
          <cell r="AS1622">
            <v>90</v>
          </cell>
          <cell r="AT1622"/>
          <cell r="AU1622" t="str">
            <v>CH</v>
          </cell>
          <cell r="AV1622"/>
        </row>
        <row r="1623">
          <cell r="Z1623">
            <v>8091282</v>
          </cell>
          <cell r="AA1623" t="str">
            <v>Near Bit Stab
7-5/8" REG Box x 7-5/8" REG Box BF</v>
          </cell>
          <cell r="AB1623">
            <v>962</v>
          </cell>
          <cell r="AC1623">
            <v>17.5</v>
          </cell>
          <cell r="AD1623">
            <v>2286</v>
          </cell>
          <cell r="AE1623" t="str">
            <v>7-5/8" REG Box</v>
          </cell>
          <cell r="AF1623" t="str">
            <v>7-5/8" REG Box BF</v>
          </cell>
          <cell r="AG1623" t="str">
            <v>TGG</v>
          </cell>
          <cell r="AH1623" t="str">
            <v xml:space="preserve"> en stock </v>
          </cell>
          <cell r="AI1623">
            <v>1</v>
          </cell>
          <cell r="AJ1623">
            <v>0</v>
          </cell>
          <cell r="AK1623">
            <v>0</v>
          </cell>
          <cell r="AL1623"/>
          <cell r="AM1623"/>
          <cell r="AN1623">
            <v>8091282</v>
          </cell>
          <cell r="AO1623"/>
          <cell r="AP1623"/>
          <cell r="AQ1623"/>
          <cell r="AR1623"/>
          <cell r="AS1623">
            <v>42</v>
          </cell>
          <cell r="AT1623"/>
          <cell r="AU1623" t="str">
            <v>CH</v>
          </cell>
          <cell r="AV1623"/>
        </row>
        <row r="1624">
          <cell r="Z1624">
            <v>8111283</v>
          </cell>
          <cell r="AA1624" t="str">
            <v>String Stab
7-5/8" REG Pin x 7-5/8" REG Box</v>
          </cell>
          <cell r="AB1624">
            <v>1117</v>
          </cell>
          <cell r="AC1624">
            <v>18.5625</v>
          </cell>
          <cell r="AD1624">
            <v>2286</v>
          </cell>
          <cell r="AE1624" t="str">
            <v>7-5/8" REG Box</v>
          </cell>
          <cell r="AF1624" t="str">
            <v>7-5/8" REG Pin</v>
          </cell>
          <cell r="AG1624" t="str">
            <v>TGG</v>
          </cell>
          <cell r="AH1624" t="str">
            <v xml:space="preserve"> en stock </v>
          </cell>
          <cell r="AI1624">
            <v>1</v>
          </cell>
          <cell r="AJ1624">
            <v>0</v>
          </cell>
          <cell r="AK1624">
            <v>0</v>
          </cell>
          <cell r="AL1624"/>
          <cell r="AM1624"/>
          <cell r="AN1624">
            <v>8111283</v>
          </cell>
          <cell r="AO1624"/>
          <cell r="AP1624"/>
          <cell r="AQ1624"/>
          <cell r="AR1624"/>
          <cell r="AS1624">
            <v>103</v>
          </cell>
          <cell r="AT1624"/>
          <cell r="AU1624" t="str">
            <v>CH</v>
          </cell>
          <cell r="AV1624"/>
        </row>
        <row r="1625">
          <cell r="Z1625">
            <v>8111284</v>
          </cell>
          <cell r="AA1625" t="str">
            <v>String Stab
7-5/8" REG Pin x 7-5/8" REG Box</v>
          </cell>
          <cell r="AB1625">
            <v>1075</v>
          </cell>
          <cell r="AC1625">
            <v>18.1875</v>
          </cell>
          <cell r="AD1625">
            <v>2286</v>
          </cell>
          <cell r="AE1625" t="str">
            <v>7-5/8" REG Box</v>
          </cell>
          <cell r="AF1625" t="str">
            <v>7-5/8" REG Pin</v>
          </cell>
          <cell r="AG1625" t="str">
            <v>TGG</v>
          </cell>
          <cell r="AH1625" t="str">
            <v xml:space="preserve"> en stock </v>
          </cell>
          <cell r="AI1625">
            <v>1</v>
          </cell>
          <cell r="AJ1625">
            <v>0</v>
          </cell>
          <cell r="AK1625">
            <v>0</v>
          </cell>
          <cell r="AL1625"/>
          <cell r="AM1625"/>
          <cell r="AN1625">
            <v>8111284</v>
          </cell>
          <cell r="AO1625"/>
          <cell r="AP1625"/>
          <cell r="AQ1625"/>
          <cell r="AR1625"/>
          <cell r="AS1625">
            <v>104</v>
          </cell>
          <cell r="AT1625"/>
          <cell r="AU1625" t="str">
            <v>CH</v>
          </cell>
          <cell r="AV1625"/>
        </row>
        <row r="1626">
          <cell r="Z1626">
            <v>8111285</v>
          </cell>
          <cell r="AA1626" t="str">
            <v>String Stab
7-5/8" REG Pin x 7-5/8" REG Box</v>
          </cell>
          <cell r="AB1626">
            <v>1086</v>
          </cell>
          <cell r="AC1626">
            <v>18</v>
          </cell>
          <cell r="AD1626">
            <v>2286</v>
          </cell>
          <cell r="AE1626" t="str">
            <v>7-5/8" REG Box</v>
          </cell>
          <cell r="AF1626" t="str">
            <v>7-5/8" REG Pin</v>
          </cell>
          <cell r="AG1626" t="str">
            <v>PTA</v>
          </cell>
          <cell r="AH1626" t="str">
            <v xml:space="preserve"> en stock </v>
          </cell>
          <cell r="AI1626">
            <v>1</v>
          </cell>
          <cell r="AJ1626">
            <v>0</v>
          </cell>
          <cell r="AK1626">
            <v>0</v>
          </cell>
          <cell r="AL1626"/>
          <cell r="AM1626"/>
          <cell r="AN1626">
            <v>8111285</v>
          </cell>
          <cell r="AO1626"/>
          <cell r="AP1626"/>
          <cell r="AQ1626"/>
          <cell r="AR1626"/>
          <cell r="AS1626">
            <v>105</v>
          </cell>
          <cell r="AT1626"/>
          <cell r="AU1626" t="str">
            <v>CH</v>
          </cell>
          <cell r="AV1626"/>
        </row>
        <row r="1627">
          <cell r="Z1627">
            <v>8091286</v>
          </cell>
          <cell r="AA1627" t="str">
            <v>Near Bit Stab
7-5/8" REG Box x 7-5/8" REG Box BF</v>
          </cell>
          <cell r="AB1627">
            <v>1044</v>
          </cell>
          <cell r="AC1627">
            <v>18.5</v>
          </cell>
          <cell r="AD1627">
            <v>2286</v>
          </cell>
          <cell r="AE1627" t="str">
            <v>7-5/8" REG Box</v>
          </cell>
          <cell r="AF1627" t="str">
            <v>7-5/8" REG Box BF</v>
          </cell>
          <cell r="AG1627" t="str">
            <v>TGG</v>
          </cell>
          <cell r="AH1627" t="str">
            <v xml:space="preserve"> en stock </v>
          </cell>
          <cell r="AI1627">
            <v>1</v>
          </cell>
          <cell r="AJ1627">
            <v>0</v>
          </cell>
          <cell r="AK1627">
            <v>0</v>
          </cell>
          <cell r="AL1627"/>
          <cell r="AM1627"/>
          <cell r="AN1627">
            <v>8091286</v>
          </cell>
          <cell r="AO1627"/>
          <cell r="AP1627"/>
          <cell r="AQ1627"/>
          <cell r="AR1627"/>
          <cell r="AS1627">
            <v>43</v>
          </cell>
          <cell r="AT1627"/>
          <cell r="AU1627" t="str">
            <v>CH</v>
          </cell>
          <cell r="AV1627"/>
        </row>
        <row r="1628">
          <cell r="Z1628">
            <v>8111287</v>
          </cell>
          <cell r="AA1628" t="str">
            <v>String Stab
7-5/8" REG Pin x 7-5/8" REG Box</v>
          </cell>
          <cell r="AB1628">
            <v>1900</v>
          </cell>
          <cell r="AC1628">
            <v>23.875</v>
          </cell>
          <cell r="AD1628">
            <v>2591</v>
          </cell>
          <cell r="AE1628" t="str">
            <v>7-5/8" REG Box</v>
          </cell>
          <cell r="AF1628" t="str">
            <v>7-5/8" REG Pin</v>
          </cell>
          <cell r="AG1628" t="str">
            <v>BLANK
(TGG)</v>
          </cell>
          <cell r="AH1628" t="str">
            <v>maintenance</v>
          </cell>
          <cell r="AI1628" t="str">
            <v/>
          </cell>
          <cell r="AJ1628">
            <v>0</v>
          </cell>
          <cell r="AK1628">
            <v>1</v>
          </cell>
          <cell r="AL1628"/>
          <cell r="AM1628"/>
          <cell r="AN1628">
            <v>8111287</v>
          </cell>
          <cell r="AO1628"/>
          <cell r="AP1628"/>
          <cell r="AQ1628"/>
          <cell r="AR1628"/>
          <cell r="AS1628">
            <v>110</v>
          </cell>
          <cell r="AT1628"/>
          <cell r="AU1628" t="str">
            <v>CH</v>
          </cell>
          <cell r="AV1628"/>
        </row>
        <row r="1629">
          <cell r="Z1629">
            <v>8091288</v>
          </cell>
          <cell r="AA1629" t="str">
            <v>Near Bit Stab
7-5/8" REG Box x 7-5/8" REG Box BF</v>
          </cell>
          <cell r="AB1629">
            <v>1900</v>
          </cell>
          <cell r="AC1629">
            <v>23.875</v>
          </cell>
          <cell r="AD1629">
            <v>2591</v>
          </cell>
          <cell r="AE1629" t="str">
            <v>7-5/8" REG Box</v>
          </cell>
          <cell r="AF1629" t="str">
            <v>7-5/8" REG Box BF</v>
          </cell>
          <cell r="AG1629" t="str">
            <v>PTA</v>
          </cell>
          <cell r="AH1629" t="str">
            <v xml:space="preserve"> en stock </v>
          </cell>
          <cell r="AI1629">
            <v>1</v>
          </cell>
          <cell r="AJ1629">
            <v>0</v>
          </cell>
          <cell r="AK1629">
            <v>0</v>
          </cell>
          <cell r="AL1629"/>
          <cell r="AM1629"/>
          <cell r="AN1629">
            <v>8091288</v>
          </cell>
          <cell r="AO1629"/>
          <cell r="AP1629"/>
          <cell r="AQ1629"/>
          <cell r="AR1629"/>
          <cell r="AS1629">
            <v>47</v>
          </cell>
          <cell r="AT1629"/>
          <cell r="AU1629" t="str">
            <v>CH</v>
          </cell>
          <cell r="AV1629"/>
        </row>
        <row r="1630">
          <cell r="Z1630">
            <v>8111289</v>
          </cell>
          <cell r="AA1630" t="str">
            <v>String Stab
7-5/8" REG Pin x 7-5/8" REG Box</v>
          </cell>
          <cell r="AB1630">
            <v>2185</v>
          </cell>
          <cell r="AC1630">
            <v>25.9375</v>
          </cell>
          <cell r="AD1630">
            <v>2591</v>
          </cell>
          <cell r="AE1630" t="str">
            <v>7-5/8" REG Box</v>
          </cell>
          <cell r="AF1630" t="str">
            <v>7-5/8" REG Pin</v>
          </cell>
          <cell r="AG1630" t="str">
            <v>TGG</v>
          </cell>
          <cell r="AH1630" t="str">
            <v>maintenance</v>
          </cell>
          <cell r="AI1630" t="str">
            <v/>
          </cell>
          <cell r="AJ1630">
            <v>0</v>
          </cell>
          <cell r="AK1630">
            <v>1</v>
          </cell>
          <cell r="AL1630"/>
          <cell r="AM1630"/>
          <cell r="AN1630">
            <v>8111289</v>
          </cell>
          <cell r="AO1630"/>
          <cell r="AP1630"/>
          <cell r="AQ1630"/>
          <cell r="AR1630"/>
          <cell r="AS1630">
            <v>114</v>
          </cell>
          <cell r="AT1630"/>
          <cell r="AU1630" t="str">
            <v>CH</v>
          </cell>
          <cell r="AV1630"/>
        </row>
        <row r="1631">
          <cell r="Z1631">
            <v>8091290</v>
          </cell>
          <cell r="AA1631" t="str">
            <v>Near Bit Stab
7-5/8" REG Box x 7-5/8" REG Box BF</v>
          </cell>
          <cell r="AB1631">
            <v>2132</v>
          </cell>
          <cell r="AC1631">
            <v>25.6875</v>
          </cell>
          <cell r="AD1631">
            <v>2591</v>
          </cell>
          <cell r="AE1631" t="str">
            <v>7-5/8" REG Box</v>
          </cell>
          <cell r="AF1631" t="str">
            <v>7-5/8" REG Box BF</v>
          </cell>
          <cell r="AG1631" t="str">
            <v>TGG</v>
          </cell>
          <cell r="AH1631" t="str">
            <v xml:space="preserve"> en stock </v>
          </cell>
          <cell r="AI1631">
            <v>1</v>
          </cell>
          <cell r="AJ1631">
            <v>0</v>
          </cell>
          <cell r="AK1631">
            <v>0</v>
          </cell>
          <cell r="AL1631"/>
          <cell r="AM1631"/>
          <cell r="AN1631">
            <v>8091290</v>
          </cell>
          <cell r="AO1631"/>
          <cell r="AP1631"/>
          <cell r="AQ1631"/>
          <cell r="AR1631"/>
          <cell r="AS1631">
            <v>50</v>
          </cell>
          <cell r="AT1631"/>
          <cell r="AU1631" t="str">
            <v>CH</v>
          </cell>
          <cell r="AV1631"/>
        </row>
        <row r="1632">
          <cell r="Z1632">
            <v>6081291</v>
          </cell>
          <cell r="AA1632" t="str">
            <v>Top NMDC 4-3/4" OD x 2-1/2" ID
3-1/2" IF Pin x Box</v>
          </cell>
          <cell r="AB1632">
            <v>579.95557395749995</v>
          </cell>
          <cell r="AC1632">
            <v>4.75</v>
          </cell>
          <cell r="AD1632">
            <v>9000</v>
          </cell>
          <cell r="AE1632" t="str">
            <v>3-1/2" IF Box</v>
          </cell>
          <cell r="AF1632" t="str">
            <v>3-1/2" IF Pin</v>
          </cell>
          <cell r="AG1632"/>
          <cell r="AH1632" t="str">
            <v xml:space="preserve"> en stock </v>
          </cell>
          <cell r="AI1632">
            <v>1</v>
          </cell>
          <cell r="AJ1632">
            <v>0</v>
          </cell>
          <cell r="AK1632">
            <v>0</v>
          </cell>
          <cell r="AL1632"/>
          <cell r="AM1632"/>
          <cell r="AN1632">
            <v>6081291</v>
          </cell>
          <cell r="AO1632"/>
          <cell r="AP1632"/>
          <cell r="AQ1632"/>
          <cell r="AR1632"/>
          <cell r="AS1632">
            <v>15</v>
          </cell>
          <cell r="AT1632"/>
          <cell r="AU1632" t="str">
            <v/>
          </cell>
          <cell r="AV1632"/>
        </row>
        <row r="1633">
          <cell r="Z1633">
            <v>6081292</v>
          </cell>
          <cell r="AA1633" t="str">
            <v>Top NMDC 4-3/4" OD x 2-1/2" ID
3-1/2" IF Pin x Box</v>
          </cell>
          <cell r="AB1633">
            <v>579.95557395749995</v>
          </cell>
          <cell r="AC1633">
            <v>4.75</v>
          </cell>
          <cell r="AD1633">
            <v>9000</v>
          </cell>
          <cell r="AE1633" t="str">
            <v>3-1/2" IF Box</v>
          </cell>
          <cell r="AF1633" t="str">
            <v>3-1/2" IF Pin</v>
          </cell>
          <cell r="AG1633"/>
          <cell r="AH1633" t="str">
            <v xml:space="preserve"> en stock </v>
          </cell>
          <cell r="AI1633">
            <v>1</v>
          </cell>
          <cell r="AJ1633">
            <v>0</v>
          </cell>
          <cell r="AK1633">
            <v>0</v>
          </cell>
          <cell r="AL1633"/>
          <cell r="AM1633"/>
          <cell r="AN1633">
            <v>6081292</v>
          </cell>
          <cell r="AO1633"/>
          <cell r="AP1633"/>
          <cell r="AQ1633"/>
          <cell r="AR1633"/>
          <cell r="AS1633">
            <v>16</v>
          </cell>
          <cell r="AT1633"/>
          <cell r="AU1633" t="str">
            <v/>
          </cell>
          <cell r="AV1633"/>
        </row>
        <row r="1634">
          <cell r="Z1634">
            <v>6081293</v>
          </cell>
          <cell r="AA1634" t="str">
            <v>NMDC 4-3/4" OD x 2-1/2" ID
3-1/2" IF Pin x Box</v>
          </cell>
          <cell r="AB1634">
            <v>579.95557395749995</v>
          </cell>
          <cell r="AC1634">
            <v>4.75</v>
          </cell>
          <cell r="AD1634">
            <v>9000</v>
          </cell>
          <cell r="AE1634" t="str">
            <v>3-1/2" IF Box</v>
          </cell>
          <cell r="AF1634" t="str">
            <v>3-1/2" IF Pin</v>
          </cell>
          <cell r="AG1634"/>
          <cell r="AH1634" t="str">
            <v xml:space="preserve"> en stock </v>
          </cell>
          <cell r="AI1634">
            <v>1</v>
          </cell>
          <cell r="AJ1634">
            <v>0</v>
          </cell>
          <cell r="AK1634">
            <v>0</v>
          </cell>
          <cell r="AL1634"/>
          <cell r="AM1634"/>
          <cell r="AN1634">
            <v>6081293</v>
          </cell>
          <cell r="AO1634"/>
          <cell r="AP1634"/>
          <cell r="AQ1634"/>
          <cell r="AR1634"/>
          <cell r="AS1634">
            <v>17</v>
          </cell>
          <cell r="AT1634"/>
          <cell r="AU1634" t="str">
            <v/>
          </cell>
          <cell r="AV1634"/>
        </row>
        <row r="1635">
          <cell r="Z1635">
            <v>7041293</v>
          </cell>
          <cell r="AA1635" t="str">
            <v>3-7/8" XSH Overshot - CA 21300
bowl</v>
          </cell>
          <cell r="AB1635">
            <v>0</v>
          </cell>
          <cell r="AC1635" t="str">
            <v>3-7/8" XSH</v>
          </cell>
          <cell r="AD1635">
            <v>0</v>
          </cell>
          <cell r="AE1635" t="str">
            <v>bowl</v>
          </cell>
          <cell r="AF1635"/>
          <cell r="AG1635"/>
          <cell r="AH1635" t="str">
            <v xml:space="preserve"> en stock </v>
          </cell>
          <cell r="AI1635">
            <v>1</v>
          </cell>
          <cell r="AJ1635">
            <v>0</v>
          </cell>
          <cell r="AK1635">
            <v>0</v>
          </cell>
          <cell r="AL1635"/>
          <cell r="AM1635"/>
          <cell r="AN1635" t="str">
            <v/>
          </cell>
          <cell r="AO1635"/>
          <cell r="AP1635"/>
          <cell r="AQ1635"/>
          <cell r="AR1635"/>
          <cell r="AS1635">
            <v>15</v>
          </cell>
          <cell r="AT1635" t="str">
            <v>704-21300</v>
          </cell>
          <cell r="AU1635" t="str">
            <v/>
          </cell>
          <cell r="AV1635"/>
        </row>
        <row r="1636">
          <cell r="Z1636">
            <v>7041294</v>
          </cell>
          <cell r="AA1636" t="str">
            <v>3-7/8" SH Overshot - CA C-1835
bowl</v>
          </cell>
          <cell r="AB1636">
            <v>0</v>
          </cell>
          <cell r="AC1636" t="str">
            <v>3-7/8" SH</v>
          </cell>
          <cell r="AD1636">
            <v>0</v>
          </cell>
          <cell r="AE1636" t="str">
            <v>bowl</v>
          </cell>
          <cell r="AF1636"/>
          <cell r="AG1636"/>
          <cell r="AH1636" t="str">
            <v xml:space="preserve"> en stock </v>
          </cell>
          <cell r="AI1636">
            <v>1</v>
          </cell>
          <cell r="AJ1636">
            <v>0</v>
          </cell>
          <cell r="AK1636">
            <v>0</v>
          </cell>
          <cell r="AL1636"/>
          <cell r="AM1636"/>
          <cell r="AN1636" t="str">
            <v/>
          </cell>
          <cell r="AO1636"/>
          <cell r="AP1636"/>
          <cell r="AQ1636"/>
          <cell r="AR1636"/>
          <cell r="AS1636">
            <v>11</v>
          </cell>
          <cell r="AT1636" t="str">
            <v>704-1835</v>
          </cell>
          <cell r="AU1636" t="str">
            <v/>
          </cell>
          <cell r="AV1636"/>
        </row>
        <row r="1637">
          <cell r="Z1637">
            <v>7041295</v>
          </cell>
          <cell r="AA1637" t="str">
            <v>8-1/8" FS Overshot - CA C-5342
bowl</v>
          </cell>
          <cell r="AB1637">
            <v>0</v>
          </cell>
          <cell r="AC1637" t="str">
            <v>8-1/8" FS</v>
          </cell>
          <cell r="AD1637">
            <v>0</v>
          </cell>
          <cell r="AE1637" t="str">
            <v>bowl</v>
          </cell>
          <cell r="AF1637"/>
          <cell r="AG1637" t="str">
            <v>C-5342</v>
          </cell>
          <cell r="AH1637" t="str">
            <v xml:space="preserve"> en stock </v>
          </cell>
          <cell r="AI1637">
            <v>1</v>
          </cell>
          <cell r="AJ1637">
            <v>0</v>
          </cell>
          <cell r="AK1637">
            <v>0</v>
          </cell>
          <cell r="AL1637"/>
          <cell r="AM1637"/>
          <cell r="AN1637" t="str">
            <v/>
          </cell>
          <cell r="AO1637"/>
          <cell r="AP1637"/>
          <cell r="AQ1637"/>
          <cell r="AR1637"/>
          <cell r="AS1637">
            <v>62</v>
          </cell>
          <cell r="AT1637" t="str">
            <v>704-5342</v>
          </cell>
          <cell r="AU1637" t="str">
            <v/>
          </cell>
          <cell r="AV1637"/>
        </row>
        <row r="1638">
          <cell r="Z1638">
            <v>7041296</v>
          </cell>
          <cell r="AA1638" t="str">
            <v>11-3/4" FS Overshot - CA C-5329
bowl</v>
          </cell>
          <cell r="AB1638">
            <v>0</v>
          </cell>
          <cell r="AC1638" t="str">
            <v>11-3/4" FS</v>
          </cell>
          <cell r="AD1638">
            <v>0</v>
          </cell>
          <cell r="AE1638" t="str">
            <v>bowl + Top sub</v>
          </cell>
          <cell r="AF1638"/>
          <cell r="AG1638" t="str">
            <v>C-5329</v>
          </cell>
          <cell r="AH1638" t="str">
            <v xml:space="preserve"> en stock </v>
          </cell>
          <cell r="AI1638">
            <v>1</v>
          </cell>
          <cell r="AJ1638">
            <v>0</v>
          </cell>
          <cell r="AK1638">
            <v>0</v>
          </cell>
          <cell r="AL1638"/>
          <cell r="AM1638"/>
          <cell r="AN1638" t="str">
            <v/>
          </cell>
          <cell r="AO1638"/>
          <cell r="AP1638"/>
          <cell r="AQ1638"/>
          <cell r="AR1638"/>
          <cell r="AS1638">
            <v>94</v>
          </cell>
          <cell r="AT1638" t="str">
            <v>704-5329</v>
          </cell>
          <cell r="AU1638" t="str">
            <v/>
          </cell>
          <cell r="AV1638"/>
        </row>
        <row r="1639">
          <cell r="Z1639">
            <v>7041297</v>
          </cell>
          <cell r="AA1639" t="str">
            <v>5-3/4" FS Overshot - CA 8975
bowl uniquement</v>
          </cell>
          <cell r="AB1639">
            <v>0</v>
          </cell>
          <cell r="AC1639" t="str">
            <v>5-3/4" FS</v>
          </cell>
          <cell r="AD1639">
            <v>0</v>
          </cell>
          <cell r="AE1639" t="str">
            <v>bowl + Top Sub</v>
          </cell>
          <cell r="AF1639"/>
          <cell r="AG1639">
            <v>8975</v>
          </cell>
          <cell r="AH1639" t="str">
            <v xml:space="preserve"> en stock </v>
          </cell>
          <cell r="AI1639">
            <v>1</v>
          </cell>
          <cell r="AJ1639">
            <v>0</v>
          </cell>
          <cell r="AK1639">
            <v>0</v>
          </cell>
          <cell r="AL1639"/>
          <cell r="AM1639"/>
          <cell r="AN1639" t="str">
            <v/>
          </cell>
          <cell r="AO1639"/>
          <cell r="AP1639"/>
          <cell r="AQ1639"/>
          <cell r="AR1639"/>
          <cell r="AS1639">
            <v>36</v>
          </cell>
          <cell r="AT1639" t="str">
            <v>704-8975</v>
          </cell>
          <cell r="AU1639" t="str">
            <v/>
          </cell>
          <cell r="AV1639"/>
        </row>
        <row r="1640">
          <cell r="Z1640">
            <v>7041298</v>
          </cell>
          <cell r="AA1640" t="str">
            <v>5-3/4" FS Overshot - CA 8975
3-1/2" IF Box</v>
          </cell>
          <cell r="AB1640">
            <v>70</v>
          </cell>
          <cell r="AC1640" t="str">
            <v>5-3/4" FS</v>
          </cell>
          <cell r="AD1640">
            <v>0</v>
          </cell>
          <cell r="AE1640" t="str">
            <v>3-1/2" IF Box</v>
          </cell>
          <cell r="AF1640"/>
          <cell r="AG1640">
            <v>8975</v>
          </cell>
          <cell r="AH1640" t="str">
            <v xml:space="preserve"> en stock </v>
          </cell>
          <cell r="AI1640">
            <v>1</v>
          </cell>
          <cell r="AJ1640">
            <v>0</v>
          </cell>
          <cell r="AK1640">
            <v>0</v>
          </cell>
          <cell r="AL1640"/>
          <cell r="AM1640"/>
          <cell r="AN1640" t="str">
            <v/>
          </cell>
          <cell r="AO1640"/>
          <cell r="AP1640"/>
          <cell r="AQ1640"/>
          <cell r="AR1640"/>
          <cell r="AS1640">
            <v>35</v>
          </cell>
          <cell r="AT1640" t="str">
            <v>704-8975</v>
          </cell>
          <cell r="AU1640" t="str">
            <v/>
          </cell>
          <cell r="AV1640"/>
        </row>
        <row r="1641">
          <cell r="Z1641">
            <v>7041299</v>
          </cell>
          <cell r="AA1641" t="str">
            <v>5-7/8" SH Overshot - CA C-5171
bowl + lip guide</v>
          </cell>
          <cell r="AB1641">
            <v>0</v>
          </cell>
          <cell r="AC1641" t="str">
            <v>5-7/8" SH</v>
          </cell>
          <cell r="AD1641">
            <v>0</v>
          </cell>
          <cell r="AE1641" t="str">
            <v>3-1/2" IF Box</v>
          </cell>
          <cell r="AF1641"/>
          <cell r="AG1641" t="str">
            <v>C-5171</v>
          </cell>
          <cell r="AH1641" t="str">
            <v xml:space="preserve"> en stock </v>
          </cell>
          <cell r="AI1641">
            <v>1</v>
          </cell>
          <cell r="AJ1641">
            <v>0</v>
          </cell>
          <cell r="AK1641">
            <v>0</v>
          </cell>
          <cell r="AL1641"/>
          <cell r="AM1641"/>
          <cell r="AN1641" t="str">
            <v/>
          </cell>
          <cell r="AO1641"/>
          <cell r="AP1641"/>
          <cell r="AQ1641"/>
          <cell r="AR1641"/>
          <cell r="AS1641">
            <v>41</v>
          </cell>
          <cell r="AT1641" t="str">
            <v>704-5171</v>
          </cell>
          <cell r="AU1641" t="str">
            <v/>
          </cell>
          <cell r="AV1641"/>
        </row>
        <row r="1642">
          <cell r="Z1642">
            <v>7041300</v>
          </cell>
          <cell r="AA1642" t="str">
            <v>8-1/8" SH Overshot - CA 9217
4-1/2" IF Box</v>
          </cell>
          <cell r="AB1642">
            <v>89</v>
          </cell>
          <cell r="AC1642" t="str">
            <v>8-1/8" SH</v>
          </cell>
          <cell r="AD1642">
            <v>600</v>
          </cell>
          <cell r="AE1642" t="str">
            <v>4-1/2" IF Box</v>
          </cell>
          <cell r="AF1642"/>
          <cell r="AG1642">
            <v>9217</v>
          </cell>
          <cell r="AH1642" t="str">
            <v>sur chantier</v>
          </cell>
          <cell r="AI1642" t="str">
            <v/>
          </cell>
          <cell r="AJ1642">
            <v>1</v>
          </cell>
          <cell r="AK1642">
            <v>0</v>
          </cell>
          <cell r="AL1642"/>
          <cell r="AM1642"/>
          <cell r="AN1642" t="str">
            <v/>
          </cell>
          <cell r="AO1642"/>
          <cell r="AP1642"/>
          <cell r="AQ1642"/>
          <cell r="AR1642"/>
          <cell r="AS1642">
            <v>66</v>
          </cell>
          <cell r="AT1642" t="str">
            <v>704-9217</v>
          </cell>
          <cell r="AU1642" t="str">
            <v/>
          </cell>
          <cell r="AV1642"/>
        </row>
        <row r="1643">
          <cell r="Z1643">
            <v>7041301</v>
          </cell>
          <cell r="AA1643" t="str">
            <v>8-3/8" FS Overshot - CA 209
4-1/2" IF Box</v>
          </cell>
          <cell r="AB1643">
            <v>0</v>
          </cell>
          <cell r="AC1643" t="str">
            <v>8-3/8" FS</v>
          </cell>
          <cell r="AD1643">
            <v>1320</v>
          </cell>
          <cell r="AE1643" t="str">
            <v>4-1/2" IF Box</v>
          </cell>
          <cell r="AF1643"/>
          <cell r="AG1643">
            <v>275</v>
          </cell>
          <cell r="AH1643" t="str">
            <v xml:space="preserve"> en stock </v>
          </cell>
          <cell r="AI1643">
            <v>1</v>
          </cell>
          <cell r="AJ1643">
            <v>0</v>
          </cell>
          <cell r="AK1643">
            <v>0</v>
          </cell>
          <cell r="AL1643"/>
          <cell r="AM1643"/>
          <cell r="AN1643" t="str">
            <v/>
          </cell>
          <cell r="AO1643"/>
          <cell r="AP1643"/>
          <cell r="AQ1643"/>
          <cell r="AR1643"/>
          <cell r="AS1643">
            <v>69</v>
          </cell>
          <cell r="AT1643" t="str">
            <v>704-209</v>
          </cell>
          <cell r="AU1643" t="str">
            <v/>
          </cell>
          <cell r="AV1643"/>
        </row>
        <row r="1644">
          <cell r="Z1644">
            <v>4031302</v>
          </cell>
          <cell r="AA1644" t="str">
            <v>Jar Z 4-3/4" 
3-1/2" IF Pin down x Box up</v>
          </cell>
          <cell r="AB1644">
            <v>180</v>
          </cell>
          <cell r="AC1644">
            <v>4.75</v>
          </cell>
          <cell r="AD1644">
            <v>2140</v>
          </cell>
          <cell r="AE1644" t="str">
            <v>3-1/2" IF Box</v>
          </cell>
          <cell r="AF1644" t="str">
            <v>3-1/2" IF Pin</v>
          </cell>
          <cell r="AG1644"/>
          <cell r="AH1644" t="str">
            <v xml:space="preserve"> en stock </v>
          </cell>
          <cell r="AI1644">
            <v>1</v>
          </cell>
          <cell r="AJ1644">
            <v>0</v>
          </cell>
          <cell r="AK1644">
            <v>0</v>
          </cell>
          <cell r="AL1644"/>
          <cell r="AM1644"/>
          <cell r="AN1644">
            <v>4031302</v>
          </cell>
          <cell r="AO1644"/>
          <cell r="AP1644"/>
          <cell r="AQ1644"/>
          <cell r="AR1644"/>
          <cell r="AS1644">
            <v>11</v>
          </cell>
          <cell r="AT1644" t="str">
            <v>403-4,750</v>
          </cell>
          <cell r="AU1644" t="str">
            <v/>
          </cell>
          <cell r="AV1644"/>
        </row>
        <row r="1645">
          <cell r="Z1645">
            <v>7041303</v>
          </cell>
          <cell r="AA1645" t="str">
            <v>8-1/8" SH Overshot - CA 9217
4-1/2" IF Box</v>
          </cell>
          <cell r="AB1645">
            <v>89</v>
          </cell>
          <cell r="AC1645" t="str">
            <v>8-1/8" SH</v>
          </cell>
          <cell r="AD1645">
            <v>600</v>
          </cell>
          <cell r="AE1645" t="str">
            <v>4-1/2" IF Box</v>
          </cell>
          <cell r="AF1645"/>
          <cell r="AG1645">
            <v>9217</v>
          </cell>
          <cell r="AH1645" t="str">
            <v xml:space="preserve"> en stock </v>
          </cell>
          <cell r="AI1645">
            <v>1</v>
          </cell>
          <cell r="AJ1645">
            <v>0</v>
          </cell>
          <cell r="AK1645">
            <v>0</v>
          </cell>
          <cell r="AL1645"/>
          <cell r="AM1645"/>
          <cell r="AN1645">
            <v>7041303</v>
          </cell>
          <cell r="AO1645"/>
          <cell r="AP1645"/>
          <cell r="AQ1645"/>
          <cell r="AR1645"/>
          <cell r="AS1645">
            <v>67</v>
          </cell>
          <cell r="AT1645" t="str">
            <v>704-9217</v>
          </cell>
          <cell r="AU1645" t="str">
            <v/>
          </cell>
          <cell r="AV1645"/>
        </row>
        <row r="1646">
          <cell r="Z1646">
            <v>5101304</v>
          </cell>
          <cell r="AA1646" t="str">
            <v>WO Pipe
3-1/2" FJWP Pin x Box</v>
          </cell>
          <cell r="AB1646">
            <v>115.54670439000003</v>
          </cell>
          <cell r="AC1646">
            <v>3.5</v>
          </cell>
          <cell r="AD1646">
            <v>9000</v>
          </cell>
          <cell r="AE1646" t="str">
            <v>3-1/2" FJWP Box</v>
          </cell>
          <cell r="AF1646" t="str">
            <v xml:space="preserve">3-1/2" FJWP Pin </v>
          </cell>
          <cell r="AG1646"/>
          <cell r="AH1646" t="str">
            <v xml:space="preserve"> en stock </v>
          </cell>
          <cell r="AI1646">
            <v>1</v>
          </cell>
          <cell r="AJ1646">
            <v>0</v>
          </cell>
          <cell r="AK1646">
            <v>0</v>
          </cell>
          <cell r="AL1646"/>
          <cell r="AM1646"/>
          <cell r="AN1646">
            <v>5101304</v>
          </cell>
          <cell r="AO1646"/>
          <cell r="AP1646"/>
          <cell r="AQ1646"/>
          <cell r="AR1646"/>
          <cell r="AS1646">
            <v>6</v>
          </cell>
          <cell r="AT1646" t="str">
            <v>509-3,500FJWP</v>
          </cell>
          <cell r="AU1646" t="str">
            <v>FR</v>
          </cell>
          <cell r="AV1646"/>
        </row>
        <row r="1647">
          <cell r="Z1647">
            <v>5101305</v>
          </cell>
          <cell r="AA1647" t="str">
            <v>WO Pipe
3-1/2" FJWP Pin x Box</v>
          </cell>
          <cell r="AB1647">
            <v>115.54670439000003</v>
          </cell>
          <cell r="AC1647">
            <v>3.5</v>
          </cell>
          <cell r="AD1647">
            <v>9000</v>
          </cell>
          <cell r="AE1647" t="str">
            <v>3-1/2" FJWP Box</v>
          </cell>
          <cell r="AF1647" t="str">
            <v xml:space="preserve">3-1/2" FJWP Pin </v>
          </cell>
          <cell r="AG1647"/>
          <cell r="AH1647" t="str">
            <v xml:space="preserve"> en stock </v>
          </cell>
          <cell r="AI1647">
            <v>1</v>
          </cell>
          <cell r="AJ1647">
            <v>0</v>
          </cell>
          <cell r="AK1647">
            <v>0</v>
          </cell>
          <cell r="AL1647"/>
          <cell r="AM1647"/>
          <cell r="AN1647">
            <v>5101305</v>
          </cell>
          <cell r="AO1647"/>
          <cell r="AP1647"/>
          <cell r="AQ1647"/>
          <cell r="AR1647"/>
          <cell r="AS1647">
            <v>7</v>
          </cell>
          <cell r="AT1647" t="str">
            <v>509-3,500FJWP</v>
          </cell>
          <cell r="AU1647" t="str">
            <v>FR</v>
          </cell>
          <cell r="AV1647"/>
        </row>
        <row r="1648">
          <cell r="Z1648">
            <v>5101306</v>
          </cell>
          <cell r="AA1648" t="str">
            <v>WO Pipe
3-1/2" FJWP Pin x Box</v>
          </cell>
          <cell r="AB1648">
            <v>115.54670439000003</v>
          </cell>
          <cell r="AC1648">
            <v>3.5</v>
          </cell>
          <cell r="AD1648">
            <v>9000</v>
          </cell>
          <cell r="AE1648" t="str">
            <v>3-1/2" FJWP Box</v>
          </cell>
          <cell r="AF1648" t="str">
            <v xml:space="preserve">3-1/2" FJWP Pin </v>
          </cell>
          <cell r="AG1648"/>
          <cell r="AH1648" t="str">
            <v xml:space="preserve"> en stock </v>
          </cell>
          <cell r="AI1648">
            <v>1</v>
          </cell>
          <cell r="AJ1648">
            <v>0</v>
          </cell>
          <cell r="AK1648">
            <v>0</v>
          </cell>
          <cell r="AL1648"/>
          <cell r="AM1648"/>
          <cell r="AN1648">
            <v>5101306</v>
          </cell>
          <cell r="AO1648"/>
          <cell r="AP1648"/>
          <cell r="AQ1648"/>
          <cell r="AR1648"/>
          <cell r="AS1648">
            <v>8</v>
          </cell>
          <cell r="AT1648" t="str">
            <v>509-3,500FJWP</v>
          </cell>
          <cell r="AU1648" t="str">
            <v>FR</v>
          </cell>
          <cell r="AV1648"/>
        </row>
        <row r="1649">
          <cell r="Z1649">
            <v>5101307</v>
          </cell>
          <cell r="AA1649" t="str">
            <v>WO Pipe
3-1/2" FJWP Pin x Box</v>
          </cell>
          <cell r="AB1649">
            <v>115.54670439000003</v>
          </cell>
          <cell r="AC1649">
            <v>3.5</v>
          </cell>
          <cell r="AD1649">
            <v>9000</v>
          </cell>
          <cell r="AE1649" t="str">
            <v>3-1/2" FJWP Box</v>
          </cell>
          <cell r="AF1649" t="str">
            <v xml:space="preserve">3-1/2" FJWP Pin </v>
          </cell>
          <cell r="AG1649"/>
          <cell r="AH1649" t="str">
            <v xml:space="preserve"> en stock </v>
          </cell>
          <cell r="AI1649">
            <v>1</v>
          </cell>
          <cell r="AJ1649">
            <v>0</v>
          </cell>
          <cell r="AK1649">
            <v>0</v>
          </cell>
          <cell r="AL1649"/>
          <cell r="AM1649"/>
          <cell r="AN1649">
            <v>5101307</v>
          </cell>
          <cell r="AO1649"/>
          <cell r="AP1649"/>
          <cell r="AQ1649"/>
          <cell r="AR1649"/>
          <cell r="AS1649">
            <v>9</v>
          </cell>
          <cell r="AT1649" t="str">
            <v>509-3,500FJWP</v>
          </cell>
          <cell r="AU1649" t="str">
            <v>FR</v>
          </cell>
          <cell r="AV1649"/>
        </row>
        <row r="1650">
          <cell r="Z1650">
            <v>5101308</v>
          </cell>
          <cell r="AA1650" t="str">
            <v>WO Pipe
3-1/2" FJWP Pin x Box</v>
          </cell>
          <cell r="AB1650">
            <v>115.54670439000003</v>
          </cell>
          <cell r="AC1650">
            <v>3.5</v>
          </cell>
          <cell r="AD1650">
            <v>9000</v>
          </cell>
          <cell r="AE1650" t="str">
            <v>3-1/2" FJWP Box</v>
          </cell>
          <cell r="AF1650" t="str">
            <v xml:space="preserve">3-1/2" FJWP Pin </v>
          </cell>
          <cell r="AG1650"/>
          <cell r="AH1650" t="str">
            <v xml:space="preserve"> en stock </v>
          </cell>
          <cell r="AI1650">
            <v>1</v>
          </cell>
          <cell r="AJ1650">
            <v>0</v>
          </cell>
          <cell r="AK1650">
            <v>0</v>
          </cell>
          <cell r="AL1650"/>
          <cell r="AM1650"/>
          <cell r="AN1650">
            <v>5101308</v>
          </cell>
          <cell r="AO1650"/>
          <cell r="AP1650"/>
          <cell r="AQ1650"/>
          <cell r="AR1650"/>
          <cell r="AS1650">
            <v>10</v>
          </cell>
          <cell r="AT1650" t="str">
            <v>509-3,500FJWP</v>
          </cell>
          <cell r="AU1650" t="str">
            <v>FR</v>
          </cell>
          <cell r="AV1650"/>
        </row>
        <row r="1651">
          <cell r="Z1651">
            <v>5091309</v>
          </cell>
          <cell r="AA1651" t="str">
            <v>WO Extension Lg 3000 mm
3-1/2" FJWP Pin  x Box</v>
          </cell>
          <cell r="AB1651">
            <v>38.515568130000013</v>
          </cell>
          <cell r="AC1651">
            <v>3.5</v>
          </cell>
          <cell r="AD1651">
            <v>3000</v>
          </cell>
          <cell r="AE1651" t="str">
            <v>3-1/2" FJWP Box</v>
          </cell>
          <cell r="AF1651" t="str">
            <v xml:space="preserve">3-1/2" FJWP Pin </v>
          </cell>
          <cell r="AG1651"/>
          <cell r="AH1651" t="str">
            <v xml:space="preserve"> en stock </v>
          </cell>
          <cell r="AI1651">
            <v>1</v>
          </cell>
          <cell r="AJ1651">
            <v>0</v>
          </cell>
          <cell r="AK1651">
            <v>0</v>
          </cell>
          <cell r="AL1651"/>
          <cell r="AM1651"/>
          <cell r="AN1651">
            <v>5091309</v>
          </cell>
          <cell r="AO1651"/>
          <cell r="AP1651"/>
          <cell r="AQ1651"/>
          <cell r="AR1651"/>
          <cell r="AS1651">
            <v>11</v>
          </cell>
          <cell r="AT1651" t="str">
            <v>509-3,500FJWP</v>
          </cell>
          <cell r="AU1651" t="str">
            <v>FR</v>
          </cell>
          <cell r="AV1651"/>
        </row>
        <row r="1652">
          <cell r="Z1652">
            <v>5091310</v>
          </cell>
          <cell r="AA1652" t="str">
            <v>WO Extension Lg 2000 mm
3-1/2" FJWP Pin  x Box</v>
          </cell>
          <cell r="AB1652">
            <v>25.67704542000001</v>
          </cell>
          <cell r="AC1652">
            <v>3.5</v>
          </cell>
          <cell r="AD1652">
            <v>2000</v>
          </cell>
          <cell r="AE1652" t="str">
            <v>3-1/2" FJWP Box</v>
          </cell>
          <cell r="AF1652" t="str">
            <v xml:space="preserve">3-1/2" FJWP Pin </v>
          </cell>
          <cell r="AG1652"/>
          <cell r="AH1652" t="str">
            <v xml:space="preserve"> en stock </v>
          </cell>
          <cell r="AI1652">
            <v>1</v>
          </cell>
          <cell r="AJ1652">
            <v>0</v>
          </cell>
          <cell r="AK1652">
            <v>0</v>
          </cell>
          <cell r="AL1652"/>
          <cell r="AM1652"/>
          <cell r="AN1652">
            <v>5091310</v>
          </cell>
          <cell r="AO1652"/>
          <cell r="AP1652"/>
          <cell r="AQ1652"/>
          <cell r="AR1652"/>
          <cell r="AS1652">
            <v>9</v>
          </cell>
          <cell r="AT1652" t="str">
            <v>509-3,500FJWP</v>
          </cell>
          <cell r="AU1652" t="str">
            <v>FR</v>
          </cell>
          <cell r="AV1652"/>
        </row>
        <row r="1653">
          <cell r="Z1653">
            <v>5091311</v>
          </cell>
          <cell r="AA1653" t="str">
            <v>WO Extension Lg 2000 mm
3-1/2" FJWP Pin  x Box</v>
          </cell>
          <cell r="AB1653">
            <v>25.67704542000001</v>
          </cell>
          <cell r="AC1653">
            <v>3.5</v>
          </cell>
          <cell r="AD1653">
            <v>2000</v>
          </cell>
          <cell r="AE1653" t="str">
            <v>3-1/2" FJWP Box</v>
          </cell>
          <cell r="AF1653" t="str">
            <v xml:space="preserve">3-1/2" FJWP Pin </v>
          </cell>
          <cell r="AG1653"/>
          <cell r="AH1653" t="str">
            <v xml:space="preserve"> en stock </v>
          </cell>
          <cell r="AI1653">
            <v>1</v>
          </cell>
          <cell r="AJ1653">
            <v>0</v>
          </cell>
          <cell r="AK1653">
            <v>0</v>
          </cell>
          <cell r="AL1653"/>
          <cell r="AM1653"/>
          <cell r="AN1653">
            <v>5091311</v>
          </cell>
          <cell r="AO1653"/>
          <cell r="AP1653"/>
          <cell r="AQ1653"/>
          <cell r="AR1653"/>
          <cell r="AS1653">
            <v>10</v>
          </cell>
          <cell r="AT1653" t="str">
            <v>509-3,500FJWP</v>
          </cell>
          <cell r="AU1653" t="str">
            <v>FR</v>
          </cell>
          <cell r="AV1653"/>
        </row>
        <row r="1654">
          <cell r="Z1654">
            <v>5091312</v>
          </cell>
          <cell r="AA1654"/>
          <cell r="AB1654"/>
          <cell r="AC1654"/>
          <cell r="AD1654"/>
          <cell r="AE1654"/>
          <cell r="AF1654"/>
          <cell r="AG1654"/>
          <cell r="AH1654" t="str">
            <v>en stock</v>
          </cell>
          <cell r="AI1654"/>
          <cell r="AJ1654"/>
          <cell r="AK1654"/>
          <cell r="AL1654"/>
          <cell r="AM1654"/>
          <cell r="AN1654" t="str">
            <v/>
          </cell>
          <cell r="AO1654"/>
          <cell r="AP1654"/>
          <cell r="AQ1654"/>
          <cell r="AR1654"/>
          <cell r="AS1654" t="e">
            <v>#N/A</v>
          </cell>
          <cell r="AT1654"/>
          <cell r="AU1654" t="str">
            <v>FR</v>
          </cell>
          <cell r="AV1654"/>
        </row>
        <row r="1655">
          <cell r="Z1655">
            <v>5091313</v>
          </cell>
          <cell r="AA1655" t="str">
            <v>WO Extension Lg 1000 mm
3-1/2" FJWP Pin  x Box</v>
          </cell>
          <cell r="AB1655">
            <v>12.838522710000005</v>
          </cell>
          <cell r="AC1655">
            <v>3.5</v>
          </cell>
          <cell r="AD1655">
            <v>1000</v>
          </cell>
          <cell r="AE1655" t="str">
            <v>3-1/2" FJWP Box</v>
          </cell>
          <cell r="AF1655" t="str">
            <v xml:space="preserve">3-1/2" FJWP Pin </v>
          </cell>
          <cell r="AG1655"/>
          <cell r="AH1655" t="str">
            <v xml:space="preserve"> en stock </v>
          </cell>
          <cell r="AI1655">
            <v>1</v>
          </cell>
          <cell r="AJ1655">
            <v>0</v>
          </cell>
          <cell r="AK1655">
            <v>0</v>
          </cell>
          <cell r="AL1655"/>
          <cell r="AM1655"/>
          <cell r="AN1655">
            <v>5091313</v>
          </cell>
          <cell r="AO1655"/>
          <cell r="AP1655"/>
          <cell r="AQ1655"/>
          <cell r="AR1655"/>
          <cell r="AS1655">
            <v>7</v>
          </cell>
          <cell r="AT1655" t="str">
            <v>509-3,500FJWP</v>
          </cell>
          <cell r="AU1655" t="str">
            <v>FR</v>
          </cell>
          <cell r="AV1655"/>
        </row>
        <row r="1656">
          <cell r="Z1656">
            <v>5091314</v>
          </cell>
          <cell r="AA1656" t="str">
            <v>WO Extension Lg 1000 mm
3-1/2" FJWP Pin  x Box</v>
          </cell>
          <cell r="AB1656">
            <v>13</v>
          </cell>
          <cell r="AC1656">
            <v>3.5</v>
          </cell>
          <cell r="AD1656">
            <v>1000</v>
          </cell>
          <cell r="AE1656" t="str">
            <v>3-1/2" FJWP Box</v>
          </cell>
          <cell r="AF1656" t="str">
            <v xml:space="preserve">3-1/2" FJWP Pin </v>
          </cell>
          <cell r="AG1656"/>
          <cell r="AH1656" t="str">
            <v xml:space="preserve"> en stock </v>
          </cell>
          <cell r="AI1656">
            <v>1</v>
          </cell>
          <cell r="AJ1656">
            <v>0</v>
          </cell>
          <cell r="AK1656">
            <v>0</v>
          </cell>
          <cell r="AL1656"/>
          <cell r="AM1656"/>
          <cell r="AN1656">
            <v>5091314</v>
          </cell>
          <cell r="AO1656"/>
          <cell r="AP1656"/>
          <cell r="AQ1656"/>
          <cell r="AR1656"/>
          <cell r="AS1656">
            <v>8</v>
          </cell>
          <cell r="AT1656" t="str">
            <v>509-3,500FJWP</v>
          </cell>
          <cell r="AU1656" t="str">
            <v>FR</v>
          </cell>
          <cell r="AV1656"/>
        </row>
        <row r="1657">
          <cell r="Z1657">
            <v>5111315</v>
          </cell>
          <cell r="AA1657" t="str">
            <v>WO Shoe
3-1/2" FJWP</v>
          </cell>
          <cell r="AB1657">
            <v>10</v>
          </cell>
          <cell r="AC1657">
            <v>0</v>
          </cell>
          <cell r="AD1657">
            <v>750</v>
          </cell>
          <cell r="AE1657" t="str">
            <v>3-1/2" FJWP</v>
          </cell>
          <cell r="AF1657"/>
          <cell r="AG1657" t="str">
            <v>BLANK</v>
          </cell>
          <cell r="AH1657" t="str">
            <v xml:space="preserve"> en stock </v>
          </cell>
          <cell r="AI1657" t="str">
            <v>blank</v>
          </cell>
          <cell r="AJ1657">
            <v>0</v>
          </cell>
          <cell r="AK1657">
            <v>0</v>
          </cell>
          <cell r="AL1657"/>
          <cell r="AM1657"/>
          <cell r="AN1657" t="str">
            <v/>
          </cell>
          <cell r="AO1657"/>
          <cell r="AP1657"/>
          <cell r="AQ1657"/>
          <cell r="AR1657"/>
          <cell r="AS1657">
            <v>9</v>
          </cell>
          <cell r="AT1657"/>
          <cell r="AU1657" t="str">
            <v>FR</v>
          </cell>
          <cell r="AV1657"/>
        </row>
        <row r="1658">
          <cell r="Z1658">
            <v>5111316</v>
          </cell>
          <cell r="AA1658" t="str">
            <v>WO Shoe
3-1/2" FJWP</v>
          </cell>
          <cell r="AB1658">
            <v>10</v>
          </cell>
          <cell r="AC1658">
            <v>0</v>
          </cell>
          <cell r="AD1658">
            <v>750</v>
          </cell>
          <cell r="AE1658" t="str">
            <v>3-1/2" FJWP</v>
          </cell>
          <cell r="AF1658"/>
          <cell r="AG1658" t="str">
            <v>BLANK</v>
          </cell>
          <cell r="AH1658" t="str">
            <v xml:space="preserve"> en stock </v>
          </cell>
          <cell r="AI1658" t="str">
            <v>blank</v>
          </cell>
          <cell r="AJ1658">
            <v>0</v>
          </cell>
          <cell r="AK1658">
            <v>0</v>
          </cell>
          <cell r="AL1658"/>
          <cell r="AM1658"/>
          <cell r="AN1658" t="str">
            <v/>
          </cell>
          <cell r="AO1658"/>
          <cell r="AP1658"/>
          <cell r="AQ1658"/>
          <cell r="AR1658"/>
          <cell r="AS1658">
            <v>10</v>
          </cell>
          <cell r="AT1658"/>
          <cell r="AU1658" t="str">
            <v>FR</v>
          </cell>
          <cell r="AV1658"/>
        </row>
        <row r="1659">
          <cell r="Z1659">
            <v>5111317</v>
          </cell>
          <cell r="AA1659" t="str">
            <v>WO Shoe
3-1/2" FJWP</v>
          </cell>
          <cell r="AB1659">
            <v>10</v>
          </cell>
          <cell r="AC1659">
            <v>0</v>
          </cell>
          <cell r="AD1659">
            <v>750</v>
          </cell>
          <cell r="AE1659" t="str">
            <v>3-1/2" FJWP</v>
          </cell>
          <cell r="AF1659"/>
          <cell r="AG1659" t="str">
            <v>BLANK</v>
          </cell>
          <cell r="AH1659" t="str">
            <v xml:space="preserve"> en stock </v>
          </cell>
          <cell r="AI1659" t="str">
            <v>blank</v>
          </cell>
          <cell r="AJ1659">
            <v>0</v>
          </cell>
          <cell r="AK1659">
            <v>0</v>
          </cell>
          <cell r="AL1659"/>
          <cell r="AM1659"/>
          <cell r="AN1659" t="str">
            <v/>
          </cell>
          <cell r="AO1659"/>
          <cell r="AP1659"/>
          <cell r="AQ1659"/>
          <cell r="AR1659"/>
          <cell r="AS1659">
            <v>11</v>
          </cell>
          <cell r="AT1659"/>
          <cell r="AU1659" t="str">
            <v>FR</v>
          </cell>
          <cell r="AV1659"/>
        </row>
        <row r="1660">
          <cell r="Z1660">
            <v>5111318</v>
          </cell>
          <cell r="AA1660" t="str">
            <v>WO Shoe
3-1/2" FJWP</v>
          </cell>
          <cell r="AB1660">
            <v>10</v>
          </cell>
          <cell r="AC1660">
            <v>0</v>
          </cell>
          <cell r="AD1660">
            <v>750</v>
          </cell>
          <cell r="AE1660" t="str">
            <v>3-1/2" FJWP</v>
          </cell>
          <cell r="AF1660"/>
          <cell r="AG1660" t="str">
            <v>BLANK</v>
          </cell>
          <cell r="AH1660" t="str">
            <v xml:space="preserve"> en stock </v>
          </cell>
          <cell r="AI1660" t="str">
            <v>blank</v>
          </cell>
          <cell r="AJ1660">
            <v>0</v>
          </cell>
          <cell r="AK1660">
            <v>0</v>
          </cell>
          <cell r="AL1660"/>
          <cell r="AM1660"/>
          <cell r="AN1660" t="str">
            <v/>
          </cell>
          <cell r="AO1660"/>
          <cell r="AP1660"/>
          <cell r="AQ1660"/>
          <cell r="AR1660"/>
          <cell r="AS1660">
            <v>12</v>
          </cell>
          <cell r="AT1660"/>
          <cell r="AU1660" t="str">
            <v>FR</v>
          </cell>
          <cell r="AV1660"/>
        </row>
        <row r="1661">
          <cell r="Z1661">
            <v>5111319</v>
          </cell>
          <cell r="AA1661" t="str">
            <v>WO Shoe
3-1/2" FJWP</v>
          </cell>
          <cell r="AB1661">
            <v>10</v>
          </cell>
          <cell r="AC1661">
            <v>0</v>
          </cell>
          <cell r="AD1661">
            <v>750</v>
          </cell>
          <cell r="AE1661" t="str">
            <v>3-1/2" FJWP</v>
          </cell>
          <cell r="AF1661"/>
          <cell r="AG1661" t="str">
            <v>BLANK</v>
          </cell>
          <cell r="AH1661" t="str">
            <v xml:space="preserve"> en stock </v>
          </cell>
          <cell r="AI1661" t="str">
            <v>blank</v>
          </cell>
          <cell r="AJ1661">
            <v>0</v>
          </cell>
          <cell r="AK1661">
            <v>0</v>
          </cell>
          <cell r="AL1661"/>
          <cell r="AM1661"/>
          <cell r="AN1661" t="str">
            <v/>
          </cell>
          <cell r="AO1661"/>
          <cell r="AP1661"/>
          <cell r="AQ1661"/>
          <cell r="AR1661"/>
          <cell r="AS1661">
            <v>13</v>
          </cell>
          <cell r="AT1661"/>
          <cell r="AU1661" t="str">
            <v>FR</v>
          </cell>
          <cell r="AV1661"/>
        </row>
        <row r="1662">
          <cell r="Z1662">
            <v>5111320</v>
          </cell>
          <cell r="AA1662" t="str">
            <v>WO Shoe
3-1/2" FJWP</v>
          </cell>
          <cell r="AB1662">
            <v>10</v>
          </cell>
          <cell r="AC1662">
            <v>0</v>
          </cell>
          <cell r="AD1662">
            <v>750</v>
          </cell>
          <cell r="AE1662" t="str">
            <v>3-1/2" FJWP</v>
          </cell>
          <cell r="AF1662"/>
          <cell r="AG1662" t="str">
            <v>BLANK</v>
          </cell>
          <cell r="AH1662" t="str">
            <v xml:space="preserve"> en stock </v>
          </cell>
          <cell r="AI1662" t="str">
            <v>blank</v>
          </cell>
          <cell r="AJ1662">
            <v>0</v>
          </cell>
          <cell r="AK1662">
            <v>0</v>
          </cell>
          <cell r="AL1662"/>
          <cell r="AM1662"/>
          <cell r="AN1662" t="str">
            <v/>
          </cell>
          <cell r="AO1662"/>
          <cell r="AP1662"/>
          <cell r="AQ1662"/>
          <cell r="AR1662"/>
          <cell r="AS1662">
            <v>14</v>
          </cell>
          <cell r="AT1662"/>
          <cell r="AU1662" t="str">
            <v>FR</v>
          </cell>
          <cell r="AV1662"/>
        </row>
        <row r="1663">
          <cell r="Z1663">
            <v>5111321</v>
          </cell>
          <cell r="AA1663" t="str">
            <v>WO Shoe
3-1/2" FJWP</v>
          </cell>
          <cell r="AB1663">
            <v>10</v>
          </cell>
          <cell r="AC1663">
            <v>0</v>
          </cell>
          <cell r="AD1663">
            <v>750</v>
          </cell>
          <cell r="AE1663" t="str">
            <v>3-1/2" FJWP</v>
          </cell>
          <cell r="AF1663"/>
          <cell r="AG1663" t="str">
            <v>BLANK</v>
          </cell>
          <cell r="AH1663" t="str">
            <v xml:space="preserve"> en stock </v>
          </cell>
          <cell r="AI1663" t="str">
            <v>blank</v>
          </cell>
          <cell r="AJ1663">
            <v>0</v>
          </cell>
          <cell r="AK1663">
            <v>0</v>
          </cell>
          <cell r="AL1663"/>
          <cell r="AM1663"/>
          <cell r="AN1663" t="str">
            <v/>
          </cell>
          <cell r="AO1663"/>
          <cell r="AP1663"/>
          <cell r="AQ1663"/>
          <cell r="AR1663"/>
          <cell r="AS1663">
            <v>15</v>
          </cell>
          <cell r="AT1663"/>
          <cell r="AU1663" t="str">
            <v>FR</v>
          </cell>
          <cell r="AV1663"/>
        </row>
        <row r="1664">
          <cell r="Z1664">
            <v>5111322</v>
          </cell>
          <cell r="AA1664" t="str">
            <v>WO Shoe
3-1/2" FJWP</v>
          </cell>
          <cell r="AB1664">
            <v>10</v>
          </cell>
          <cell r="AC1664">
            <v>3.875</v>
          </cell>
          <cell r="AD1664">
            <v>750</v>
          </cell>
          <cell r="AE1664" t="str">
            <v>3-1/2" FJWP</v>
          </cell>
          <cell r="AF1664"/>
          <cell r="AG1664" t="str">
            <v>CC</v>
          </cell>
          <cell r="AH1664" t="str">
            <v xml:space="preserve"> en stock </v>
          </cell>
          <cell r="AI1664">
            <v>1</v>
          </cell>
          <cell r="AJ1664">
            <v>0</v>
          </cell>
          <cell r="AK1664">
            <v>0</v>
          </cell>
          <cell r="AL1664"/>
          <cell r="AM1664"/>
          <cell r="AN1664" t="str">
            <v/>
          </cell>
          <cell r="AO1664"/>
          <cell r="AP1664"/>
          <cell r="AQ1664"/>
          <cell r="AR1664"/>
          <cell r="AS1664">
            <v>16</v>
          </cell>
          <cell r="AT1664"/>
          <cell r="AU1664" t="str">
            <v>FR</v>
          </cell>
          <cell r="AV1664"/>
        </row>
        <row r="1665">
          <cell r="Z1665">
            <v>5111323</v>
          </cell>
          <cell r="AA1665" t="str">
            <v>WO Shoe
3-1/2" FJWP</v>
          </cell>
          <cell r="AB1665">
            <v>10</v>
          </cell>
          <cell r="AC1665">
            <v>3.875</v>
          </cell>
          <cell r="AD1665">
            <v>760</v>
          </cell>
          <cell r="AE1665" t="str">
            <v>3-1/2" FJWP</v>
          </cell>
          <cell r="AF1665"/>
          <cell r="AG1665" t="str">
            <v>carbide</v>
          </cell>
          <cell r="AH1665" t="str">
            <v xml:space="preserve"> en stock </v>
          </cell>
          <cell r="AI1665">
            <v>1</v>
          </cell>
          <cell r="AJ1665">
            <v>0</v>
          </cell>
          <cell r="AK1665">
            <v>0</v>
          </cell>
          <cell r="AL1665"/>
          <cell r="AM1665"/>
          <cell r="AN1665" t="str">
            <v/>
          </cell>
          <cell r="AO1665"/>
          <cell r="AP1665"/>
          <cell r="AQ1665"/>
          <cell r="AR1665"/>
          <cell r="AS1665">
            <v>17</v>
          </cell>
          <cell r="AT1665"/>
          <cell r="AU1665" t="str">
            <v>FR</v>
          </cell>
          <cell r="AV1665"/>
        </row>
        <row r="1666">
          <cell r="Z1666">
            <v>5111324</v>
          </cell>
          <cell r="AA1666" t="str">
            <v>WO Shoe
3-1/2" FJWP</v>
          </cell>
          <cell r="AB1666">
            <v>10</v>
          </cell>
          <cell r="AC1666">
            <v>3.875</v>
          </cell>
          <cell r="AD1666">
            <v>760</v>
          </cell>
          <cell r="AE1666" t="str">
            <v>3-1/2" FJWP</v>
          </cell>
          <cell r="AF1666"/>
          <cell r="AG1666" t="str">
            <v>carbide</v>
          </cell>
          <cell r="AH1666" t="str">
            <v xml:space="preserve"> en stock </v>
          </cell>
          <cell r="AI1666">
            <v>1</v>
          </cell>
          <cell r="AJ1666">
            <v>0</v>
          </cell>
          <cell r="AK1666">
            <v>0</v>
          </cell>
          <cell r="AL1666"/>
          <cell r="AM1666"/>
          <cell r="AN1666" t="str">
            <v/>
          </cell>
          <cell r="AO1666"/>
          <cell r="AP1666"/>
          <cell r="AQ1666"/>
          <cell r="AR1666"/>
          <cell r="AS1666">
            <v>18</v>
          </cell>
          <cell r="AT1666"/>
          <cell r="AU1666" t="str">
            <v>FR</v>
          </cell>
          <cell r="AV1666"/>
        </row>
        <row r="1667">
          <cell r="Z1667">
            <v>5111325</v>
          </cell>
          <cell r="AA1667" t="str">
            <v>WO Shoe
3-1/2" FJWP</v>
          </cell>
          <cell r="AB1667">
            <v>10</v>
          </cell>
          <cell r="AC1667">
            <v>3.875</v>
          </cell>
          <cell r="AD1667">
            <v>760</v>
          </cell>
          <cell r="AE1667" t="str">
            <v>3-1/2" FJWP</v>
          </cell>
          <cell r="AF1667"/>
          <cell r="AG1667" t="str">
            <v>carbide</v>
          </cell>
          <cell r="AH1667" t="str">
            <v xml:space="preserve"> en stock </v>
          </cell>
          <cell r="AI1667">
            <v>1</v>
          </cell>
          <cell r="AJ1667">
            <v>0</v>
          </cell>
          <cell r="AK1667">
            <v>0</v>
          </cell>
          <cell r="AL1667"/>
          <cell r="AM1667"/>
          <cell r="AN1667" t="str">
            <v/>
          </cell>
          <cell r="AO1667"/>
          <cell r="AP1667"/>
          <cell r="AQ1667"/>
          <cell r="AR1667"/>
          <cell r="AS1667">
            <v>19</v>
          </cell>
          <cell r="AT1667"/>
          <cell r="AU1667" t="str">
            <v>FR</v>
          </cell>
          <cell r="AV1667"/>
        </row>
        <row r="1668">
          <cell r="Z1668">
            <v>5111326</v>
          </cell>
          <cell r="AA1668" t="str">
            <v>WO Shoe
3-1/2" FJWP</v>
          </cell>
          <cell r="AB1668">
            <v>10</v>
          </cell>
          <cell r="AC1668">
            <v>0</v>
          </cell>
          <cell r="AD1668">
            <v>750</v>
          </cell>
          <cell r="AE1668" t="str">
            <v>3-1/2" FJWP</v>
          </cell>
          <cell r="AF1668"/>
          <cell r="AG1668" t="str">
            <v>BLANK</v>
          </cell>
          <cell r="AH1668" t="str">
            <v xml:space="preserve"> en stock </v>
          </cell>
          <cell r="AI1668" t="str">
            <v>blank</v>
          </cell>
          <cell r="AJ1668">
            <v>0</v>
          </cell>
          <cell r="AK1668">
            <v>0</v>
          </cell>
          <cell r="AL1668"/>
          <cell r="AM1668"/>
          <cell r="AN1668" t="str">
            <v/>
          </cell>
          <cell r="AO1668"/>
          <cell r="AP1668"/>
          <cell r="AQ1668"/>
          <cell r="AR1668"/>
          <cell r="AS1668">
            <v>20</v>
          </cell>
          <cell r="AT1668"/>
          <cell r="AU1668" t="str">
            <v>FR</v>
          </cell>
          <cell r="AV1668"/>
        </row>
        <row r="1669">
          <cell r="Z1669">
            <v>5161327</v>
          </cell>
          <cell r="AA1669" t="str">
            <v>WO Lift Sub for 2-3/8" DP 18°
3-1/2" FJWP Pin</v>
          </cell>
          <cell r="AB1669">
            <v>0</v>
          </cell>
          <cell r="AC1669">
            <v>3.5</v>
          </cell>
          <cell r="AD1669">
            <v>0</v>
          </cell>
          <cell r="AE1669" t="str">
            <v>3-1/2" FJWP Pin</v>
          </cell>
          <cell r="AF1669"/>
          <cell r="AG1669" t="str">
            <v>2-3/8" DP 18°</v>
          </cell>
          <cell r="AH1669" t="str">
            <v xml:space="preserve"> en stock </v>
          </cell>
          <cell r="AI1669">
            <v>1</v>
          </cell>
          <cell r="AJ1669">
            <v>0</v>
          </cell>
          <cell r="AK1669">
            <v>0</v>
          </cell>
          <cell r="AL1669"/>
          <cell r="AM1669"/>
          <cell r="AN1669">
            <v>5161327</v>
          </cell>
          <cell r="AO1669"/>
          <cell r="AP1669"/>
          <cell r="AQ1669"/>
          <cell r="AR1669"/>
          <cell r="AS1669">
            <v>5</v>
          </cell>
          <cell r="AT1669" t="str">
            <v>516-3,500FJWP</v>
          </cell>
          <cell r="AU1669" t="str">
            <v>FR</v>
          </cell>
          <cell r="AV1669"/>
        </row>
        <row r="1670">
          <cell r="Z1670">
            <v>5161328</v>
          </cell>
          <cell r="AA1670" t="str">
            <v>WO Lift Sub for 2-3/8" DP 18°
3-1/2" FJWP Pin</v>
          </cell>
          <cell r="AB1670">
            <v>0</v>
          </cell>
          <cell r="AC1670">
            <v>3.5</v>
          </cell>
          <cell r="AD1670">
            <v>0</v>
          </cell>
          <cell r="AE1670" t="str">
            <v>3-1/2" FJWP Pin</v>
          </cell>
          <cell r="AF1670"/>
          <cell r="AG1670" t="str">
            <v>2-3/8" DP 18°</v>
          </cell>
          <cell r="AH1670" t="str">
            <v xml:space="preserve"> en stock </v>
          </cell>
          <cell r="AI1670">
            <v>1</v>
          </cell>
          <cell r="AJ1670">
            <v>0</v>
          </cell>
          <cell r="AK1670">
            <v>0</v>
          </cell>
          <cell r="AL1670"/>
          <cell r="AM1670"/>
          <cell r="AN1670">
            <v>5161328</v>
          </cell>
          <cell r="AO1670"/>
          <cell r="AP1670"/>
          <cell r="AQ1670"/>
          <cell r="AR1670"/>
          <cell r="AS1670">
            <v>6</v>
          </cell>
          <cell r="AT1670" t="str">
            <v>516-3,500FJWP</v>
          </cell>
          <cell r="AU1670" t="str">
            <v>FR</v>
          </cell>
          <cell r="AV1670"/>
        </row>
        <row r="1671">
          <cell r="Z1671">
            <v>5121329</v>
          </cell>
          <cell r="AA1671" t="str">
            <v>WO Top Sub
2-3/8" REG Box x 3-1/2" FJWP Pin x 1-1/4" REG Box in</v>
          </cell>
          <cell r="AB1671">
            <v>0</v>
          </cell>
          <cell r="AC1671">
            <v>3.5</v>
          </cell>
          <cell r="AD1671">
            <v>0</v>
          </cell>
          <cell r="AE1671" t="str">
            <v>2-3/8" REG Box</v>
          </cell>
          <cell r="AF1671" t="str">
            <v>3-1/2" FJWP Pin</v>
          </cell>
          <cell r="AG1671" t="str">
            <v>1-1/4" REG Box</v>
          </cell>
          <cell r="AH1671" t="str">
            <v xml:space="preserve"> en stock </v>
          </cell>
          <cell r="AI1671">
            <v>1</v>
          </cell>
          <cell r="AJ1671">
            <v>0</v>
          </cell>
          <cell r="AK1671">
            <v>0</v>
          </cell>
          <cell r="AL1671"/>
          <cell r="AM1671"/>
          <cell r="AN1671">
            <v>5121329</v>
          </cell>
          <cell r="AO1671"/>
          <cell r="AP1671"/>
          <cell r="AQ1671"/>
          <cell r="AR1671"/>
          <cell r="AS1671">
            <v>6</v>
          </cell>
          <cell r="AT1671"/>
          <cell r="AU1671" t="str">
            <v>FR</v>
          </cell>
          <cell r="AV1671"/>
        </row>
        <row r="1672">
          <cell r="Z1672">
            <v>5121330</v>
          </cell>
          <cell r="AA1672" t="str">
            <v>WO Top Sub
2-3/8" REG Box x 3-1/2" FJWP Pin x 1-1/4" REG Box in</v>
          </cell>
          <cell r="AB1672">
            <v>0</v>
          </cell>
          <cell r="AC1672">
            <v>3.5</v>
          </cell>
          <cell r="AD1672">
            <v>0</v>
          </cell>
          <cell r="AE1672" t="str">
            <v>2-3/8" REG Box</v>
          </cell>
          <cell r="AF1672" t="str">
            <v>3-1/2" FJWP Pin</v>
          </cell>
          <cell r="AG1672" t="str">
            <v>1-1/4" REG Box</v>
          </cell>
          <cell r="AH1672" t="str">
            <v xml:space="preserve"> en stock </v>
          </cell>
          <cell r="AI1672">
            <v>1</v>
          </cell>
          <cell r="AJ1672">
            <v>0</v>
          </cell>
          <cell r="AK1672">
            <v>0</v>
          </cell>
          <cell r="AL1672"/>
          <cell r="AM1672"/>
          <cell r="AN1672">
            <v>5121330</v>
          </cell>
          <cell r="AO1672"/>
          <cell r="AP1672"/>
          <cell r="AQ1672"/>
          <cell r="AR1672"/>
          <cell r="AS1672">
            <v>7</v>
          </cell>
          <cell r="AT1672"/>
          <cell r="AU1672" t="str">
            <v>FR</v>
          </cell>
          <cell r="AV1672"/>
        </row>
        <row r="1673">
          <cell r="Z1673">
            <v>8111331</v>
          </cell>
          <cell r="AA1673" t="str">
            <v>String Stab
6-5/8" REG Pin SRG x 6-5/8" REG Box BB</v>
          </cell>
          <cell r="AB1673">
            <v>592</v>
          </cell>
          <cell r="AC1673">
            <v>11.5</v>
          </cell>
          <cell r="AD1673">
            <v>2310</v>
          </cell>
          <cell r="AE1673" t="str">
            <v>6-5/8" REG Box BB</v>
          </cell>
          <cell r="AF1673" t="str">
            <v>6-5/8" REG Pin SRG</v>
          </cell>
          <cell r="AG1673" t="str">
            <v>Mixed I/C</v>
          </cell>
          <cell r="AH1673" t="str">
            <v xml:space="preserve"> en stock </v>
          </cell>
          <cell r="AI1673">
            <v>1</v>
          </cell>
          <cell r="AJ1673">
            <v>0</v>
          </cell>
          <cell r="AK1673">
            <v>0</v>
          </cell>
          <cell r="AL1673"/>
          <cell r="AM1673"/>
          <cell r="AN1673">
            <v>8111331</v>
          </cell>
          <cell r="AO1673"/>
          <cell r="AP1673"/>
          <cell r="AQ1673"/>
          <cell r="AR1673" t="str">
            <v>DOTR 17475</v>
          </cell>
          <cell r="AS1673">
            <v>52</v>
          </cell>
          <cell r="AT1673"/>
          <cell r="AU1673" t="str">
            <v/>
          </cell>
          <cell r="AV1673"/>
        </row>
        <row r="1674">
          <cell r="Z1674">
            <v>8711493</v>
          </cell>
          <cell r="AA1674" t="str">
            <v>NON MAG String Stab
6-5/8" REG Pin x 6-5/8" REG Box</v>
          </cell>
          <cell r="AB1674">
            <v>450</v>
          </cell>
          <cell r="AC1674">
            <v>11.75</v>
          </cell>
          <cell r="AD1674">
            <v>1710</v>
          </cell>
          <cell r="AE1674" t="str">
            <v>6-5/8" REG Box</v>
          </cell>
          <cell r="AF1674" t="str">
            <v>6-5/8" REG Pin</v>
          </cell>
          <cell r="AG1674" t="str">
            <v>Carbure</v>
          </cell>
          <cell r="AH1674" t="str">
            <v xml:space="preserve"> en stock </v>
          </cell>
          <cell r="AI1674">
            <v>1</v>
          </cell>
          <cell r="AJ1674">
            <v>0</v>
          </cell>
          <cell r="AK1674">
            <v>0</v>
          </cell>
          <cell r="AL1674"/>
          <cell r="AM1674"/>
          <cell r="AN1674">
            <v>8111332</v>
          </cell>
          <cell r="AO1674"/>
          <cell r="AP1674"/>
          <cell r="AQ1674"/>
          <cell r="AR1674">
            <v>41611</v>
          </cell>
          <cell r="AS1674">
            <v>56</v>
          </cell>
          <cell r="AT1674"/>
          <cell r="AU1674" t="str">
            <v/>
          </cell>
          <cell r="AV1674"/>
        </row>
        <row r="1675">
          <cell r="Z1675">
            <v>8711494</v>
          </cell>
          <cell r="AA1675" t="str">
            <v>NON MAG String Stab
6-5/8" REG Pin x 6-5/8" REG Box</v>
          </cell>
          <cell r="AB1675">
            <v>622</v>
          </cell>
          <cell r="AC1675">
            <v>11.75</v>
          </cell>
          <cell r="AD1675">
            <v>2305</v>
          </cell>
          <cell r="AE1675" t="str">
            <v>6-5/8" REG Box</v>
          </cell>
          <cell r="AF1675" t="str">
            <v>6-5/8" REG Pin</v>
          </cell>
          <cell r="AG1675" t="str">
            <v>Carbure</v>
          </cell>
          <cell r="AH1675" t="str">
            <v>sur chantier</v>
          </cell>
          <cell r="AI1675" t="str">
            <v/>
          </cell>
          <cell r="AJ1675">
            <v>1</v>
          </cell>
          <cell r="AK1675">
            <v>0</v>
          </cell>
          <cell r="AL1675"/>
          <cell r="AM1675"/>
          <cell r="AN1675">
            <v>8111333</v>
          </cell>
          <cell r="AO1675"/>
          <cell r="AP1675"/>
          <cell r="AQ1675"/>
          <cell r="AR1675" t="str">
            <v>100767-9</v>
          </cell>
          <cell r="AS1675">
            <v>57</v>
          </cell>
          <cell r="AT1675"/>
          <cell r="AU1675" t="str">
            <v/>
          </cell>
          <cell r="AV1675"/>
        </row>
        <row r="1676">
          <cell r="Z1676">
            <v>8711495</v>
          </cell>
          <cell r="AA1676" t="str">
            <v>NON MAG String Stab
6-5/8" REG Pin x 6-5/8" REG Box</v>
          </cell>
          <cell r="AB1676">
            <v>450</v>
          </cell>
          <cell r="AC1676">
            <v>12</v>
          </cell>
          <cell r="AD1676">
            <v>1500</v>
          </cell>
          <cell r="AE1676" t="str">
            <v>6-5/8" REG Box</v>
          </cell>
          <cell r="AF1676" t="str">
            <v>6-5/8" REG Pin</v>
          </cell>
          <cell r="AG1676" t="str">
            <v>Insert</v>
          </cell>
          <cell r="AH1676" t="str">
            <v>sur chantier</v>
          </cell>
          <cell r="AI1676" t="str">
            <v/>
          </cell>
          <cell r="AJ1676">
            <v>1</v>
          </cell>
          <cell r="AK1676">
            <v>0</v>
          </cell>
          <cell r="AL1676"/>
          <cell r="AM1676"/>
          <cell r="AN1676">
            <v>8111334</v>
          </cell>
          <cell r="AO1676"/>
          <cell r="AP1676"/>
          <cell r="AQ1676"/>
          <cell r="AR1676" t="str">
            <v>DOT 1127</v>
          </cell>
          <cell r="AS1676">
            <v>61</v>
          </cell>
          <cell r="AT1676"/>
          <cell r="AU1676" t="str">
            <v/>
          </cell>
          <cell r="AV1676"/>
        </row>
        <row r="1677">
          <cell r="Z1677">
            <v>8111335</v>
          </cell>
          <cell r="AA1677" t="str">
            <v>String Stab
6-5/8" REG Pin SRG x 6-5/8" REG Box BB</v>
          </cell>
          <cell r="AB1677">
            <v>450</v>
          </cell>
          <cell r="AC1677">
            <v>12.0625</v>
          </cell>
          <cell r="AD1677">
            <v>1590</v>
          </cell>
          <cell r="AE1677" t="str">
            <v>6-5/8" REG Box BB</v>
          </cell>
          <cell r="AF1677" t="str">
            <v>6-5/8" REG Pin SRG</v>
          </cell>
          <cell r="AG1677" t="str">
            <v>Mixed I/C</v>
          </cell>
          <cell r="AH1677" t="str">
            <v>maintenance</v>
          </cell>
          <cell r="AI1677" t="str">
            <v/>
          </cell>
          <cell r="AJ1677">
            <v>0</v>
          </cell>
          <cell r="AK1677">
            <v>1</v>
          </cell>
          <cell r="AL1677"/>
          <cell r="AM1677"/>
          <cell r="AN1677">
            <v>8111335</v>
          </cell>
          <cell r="AO1677"/>
          <cell r="AP1677"/>
          <cell r="AQ1677"/>
          <cell r="AR1677">
            <v>568608</v>
          </cell>
          <cell r="AS1677">
            <v>68</v>
          </cell>
          <cell r="AT1677"/>
          <cell r="AU1677" t="str">
            <v/>
          </cell>
          <cell r="AV1677"/>
        </row>
        <row r="1678">
          <cell r="Z1678">
            <v>8711499</v>
          </cell>
          <cell r="AA1678" t="str">
            <v>NON MAG String Stab
6-5/8" REG Pin SRG x 6-5/8" REG Box BB</v>
          </cell>
          <cell r="AB1678">
            <v>460</v>
          </cell>
          <cell r="AC1678">
            <v>13.75</v>
          </cell>
          <cell r="AD1678">
            <v>1700</v>
          </cell>
          <cell r="AE1678" t="str">
            <v>6-5/8" REG Box BB</v>
          </cell>
          <cell r="AF1678" t="str">
            <v>6-5/8" REG Pin SRG</v>
          </cell>
          <cell r="AG1678" t="str">
            <v>Insert</v>
          </cell>
          <cell r="AH1678" t="str">
            <v xml:space="preserve"> en stock </v>
          </cell>
          <cell r="AI1678">
            <v>1</v>
          </cell>
          <cell r="AJ1678">
            <v>0</v>
          </cell>
          <cell r="AK1678">
            <v>0</v>
          </cell>
          <cell r="AL1678"/>
          <cell r="AM1678"/>
          <cell r="AN1678">
            <v>8111336</v>
          </cell>
          <cell r="AO1678"/>
          <cell r="AP1678"/>
          <cell r="AQ1678"/>
          <cell r="AR1678">
            <v>41606</v>
          </cell>
          <cell r="AS1678">
            <v>77</v>
          </cell>
          <cell r="AT1678"/>
          <cell r="AU1678" t="str">
            <v/>
          </cell>
          <cell r="AV1678"/>
        </row>
        <row r="1679">
          <cell r="Z1679">
            <v>8111337</v>
          </cell>
          <cell r="AA1679" t="str">
            <v>String Stab
7-5/8" REG Pin x 7-5/8" REG Box</v>
          </cell>
          <cell r="AB1679">
            <v>738</v>
          </cell>
          <cell r="AC1679">
            <v>15.6875</v>
          </cell>
          <cell r="AD1679">
            <v>2180</v>
          </cell>
          <cell r="AE1679" t="str">
            <v>7-5/8" REG Box</v>
          </cell>
          <cell r="AF1679" t="str">
            <v>7-5/8" REG Pin</v>
          </cell>
          <cell r="AG1679" t="str">
            <v>Mixed I/C</v>
          </cell>
          <cell r="AH1679" t="str">
            <v xml:space="preserve"> en stock </v>
          </cell>
          <cell r="AI1679">
            <v>1</v>
          </cell>
          <cell r="AJ1679">
            <v>0</v>
          </cell>
          <cell r="AK1679">
            <v>0</v>
          </cell>
          <cell r="AL1679"/>
          <cell r="AM1679"/>
          <cell r="AN1679">
            <v>8111337</v>
          </cell>
          <cell r="AO1679"/>
          <cell r="AP1679"/>
          <cell r="AQ1679"/>
          <cell r="AR1679" t="str">
            <v>DOTR 12381</v>
          </cell>
          <cell r="AS1679">
            <v>85</v>
          </cell>
          <cell r="AT1679"/>
          <cell r="AU1679" t="str">
            <v/>
          </cell>
          <cell r="AV1679"/>
        </row>
        <row r="1680">
          <cell r="Z1680">
            <v>8711501</v>
          </cell>
          <cell r="AA1680" t="str">
            <v>NON MAG String Stab
7-5/8" REG Pin x 7-5/8" REG Box</v>
          </cell>
          <cell r="AB1680">
            <v>800</v>
          </cell>
          <cell r="AC1680">
            <v>15.75</v>
          </cell>
          <cell r="AD1680">
            <v>1730</v>
          </cell>
          <cell r="AE1680" t="str">
            <v>7-5/8" REG Box</v>
          </cell>
          <cell r="AF1680" t="str">
            <v>7-5/8" REG Pin</v>
          </cell>
          <cell r="AG1680" t="str">
            <v>Carbure</v>
          </cell>
          <cell r="AH1680" t="str">
            <v>maintenance</v>
          </cell>
          <cell r="AI1680" t="str">
            <v/>
          </cell>
          <cell r="AJ1680">
            <v>0</v>
          </cell>
          <cell r="AK1680">
            <v>1</v>
          </cell>
          <cell r="AL1680"/>
          <cell r="AM1680"/>
          <cell r="AN1680">
            <v>8111338</v>
          </cell>
          <cell r="AO1680"/>
          <cell r="AP1680"/>
          <cell r="AQ1680"/>
          <cell r="AR1680" t="str">
            <v>329-1016</v>
          </cell>
          <cell r="AS1680">
            <v>86</v>
          </cell>
          <cell r="AT1680"/>
          <cell r="AU1680" t="str">
            <v/>
          </cell>
          <cell r="AV1680"/>
        </row>
        <row r="1681">
          <cell r="Z1681">
            <v>8111339</v>
          </cell>
          <cell r="AA1681" t="str">
            <v>String Stab
? x ?</v>
          </cell>
          <cell r="AB1681">
            <v>766</v>
          </cell>
          <cell r="AC1681">
            <v>20.75</v>
          </cell>
          <cell r="AD1681">
            <v>0</v>
          </cell>
          <cell r="AE1681" t="str">
            <v>?</v>
          </cell>
          <cell r="AF1681" t="str">
            <v>?</v>
          </cell>
          <cell r="AG1681" t="str">
            <v>Insert</v>
          </cell>
          <cell r="AH1681" t="str">
            <v xml:space="preserve"> en stock </v>
          </cell>
          <cell r="AI1681">
            <v>1</v>
          </cell>
          <cell r="AJ1681">
            <v>0</v>
          </cell>
          <cell r="AK1681">
            <v>0</v>
          </cell>
          <cell r="AL1681"/>
          <cell r="AM1681"/>
          <cell r="AN1681">
            <v>8111339</v>
          </cell>
          <cell r="AO1681"/>
          <cell r="AP1681"/>
          <cell r="AQ1681"/>
          <cell r="AR1681" t="str">
            <v>TDS207SL 9503</v>
          </cell>
          <cell r="AS1681">
            <v>107</v>
          </cell>
          <cell r="AT1681"/>
          <cell r="AU1681" t="str">
            <v/>
          </cell>
          <cell r="AV1681"/>
        </row>
        <row r="1682">
          <cell r="Z1682">
            <v>8091340</v>
          </cell>
          <cell r="AA1682" t="str">
            <v>Near Bit Stab
4-1/2" IF Box x 4-1/2" REG Box BF</v>
          </cell>
          <cell r="AB1682">
            <v>268</v>
          </cell>
          <cell r="AC1682">
            <v>8.5</v>
          </cell>
          <cell r="AD1682">
            <v>1980</v>
          </cell>
          <cell r="AE1682" t="str">
            <v>4-1/2" IF Box</v>
          </cell>
          <cell r="AF1682" t="str">
            <v>4-1/2" REG Box BF</v>
          </cell>
          <cell r="AG1682" t="str">
            <v>Insert</v>
          </cell>
          <cell r="AH1682" t="str">
            <v>maintenance</v>
          </cell>
          <cell r="AI1682" t="str">
            <v/>
          </cell>
          <cell r="AJ1682">
            <v>0</v>
          </cell>
          <cell r="AK1682">
            <v>1</v>
          </cell>
          <cell r="AL1682"/>
          <cell r="AM1682"/>
          <cell r="AN1682">
            <v>8091340</v>
          </cell>
          <cell r="AO1682"/>
          <cell r="AP1682"/>
          <cell r="AQ1682"/>
          <cell r="AR1682"/>
          <cell r="AS1682">
            <v>17</v>
          </cell>
          <cell r="AT1682"/>
          <cell r="AU1682" t="str">
            <v/>
          </cell>
          <cell r="AV1682"/>
        </row>
        <row r="1683">
          <cell r="Z1683">
            <v>8091341</v>
          </cell>
          <cell r="AA1683" t="str">
            <v>Near Bit Stab
4-1/2" IF Box x 4-1/2'' REG Box BF</v>
          </cell>
          <cell r="AB1683">
            <v>280</v>
          </cell>
          <cell r="AC1683">
            <v>9.5</v>
          </cell>
          <cell r="AD1683">
            <v>1770</v>
          </cell>
          <cell r="AE1683" t="str">
            <v>4-1/2" IF Box</v>
          </cell>
          <cell r="AF1683" t="str">
            <v>4-1/2'' REG Box BF</v>
          </cell>
          <cell r="AG1683" t="str">
            <v>Carbure</v>
          </cell>
          <cell r="AH1683" t="str">
            <v xml:space="preserve"> en stock </v>
          </cell>
          <cell r="AI1683">
            <v>1</v>
          </cell>
          <cell r="AJ1683">
            <v>0</v>
          </cell>
          <cell r="AK1683">
            <v>0</v>
          </cell>
          <cell r="AL1683"/>
          <cell r="AM1683"/>
          <cell r="AN1683">
            <v>8091341</v>
          </cell>
          <cell r="AO1683"/>
          <cell r="AP1683"/>
          <cell r="AQ1683"/>
          <cell r="AR1683"/>
          <cell r="AS1683">
            <v>20</v>
          </cell>
          <cell r="AT1683"/>
          <cell r="AU1683" t="str">
            <v/>
          </cell>
          <cell r="AV1683"/>
        </row>
        <row r="1684">
          <cell r="Z1684">
            <v>8091342</v>
          </cell>
          <cell r="AA1684" t="str">
            <v>Near Bit Stab
6-5/8" REG Box x 6-5/8" REG Box BF</v>
          </cell>
          <cell r="AB1684">
            <v>462</v>
          </cell>
          <cell r="AC1684">
            <v>11.875</v>
          </cell>
          <cell r="AD1684">
            <v>1850</v>
          </cell>
          <cell r="AE1684" t="str">
            <v>6-5/8" REG Box</v>
          </cell>
          <cell r="AF1684" t="str">
            <v>6-5/8" REG Box BF</v>
          </cell>
          <cell r="AG1684" t="str">
            <v>Carbure</v>
          </cell>
          <cell r="AH1684" t="str">
            <v xml:space="preserve"> en stock </v>
          </cell>
          <cell r="AI1684">
            <v>1</v>
          </cell>
          <cell r="AJ1684">
            <v>0</v>
          </cell>
          <cell r="AK1684">
            <v>0</v>
          </cell>
          <cell r="AL1684"/>
          <cell r="AM1684"/>
          <cell r="AN1684">
            <v>8091342</v>
          </cell>
          <cell r="AO1684"/>
          <cell r="AP1684"/>
          <cell r="AQ1684"/>
          <cell r="AR1684"/>
          <cell r="AS1684">
            <v>23</v>
          </cell>
          <cell r="AT1684"/>
          <cell r="AU1684" t="str">
            <v/>
          </cell>
          <cell r="AV1684"/>
        </row>
        <row r="1685">
          <cell r="Z1685">
            <v>8091343</v>
          </cell>
          <cell r="AA1685" t="str">
            <v>Near Bit Stab
6-5/8" REG Box x 6-5/8" REG Box BF</v>
          </cell>
          <cell r="AB1685">
            <v>490</v>
          </cell>
          <cell r="AC1685">
            <v>12.25</v>
          </cell>
          <cell r="AD1685">
            <v>2070</v>
          </cell>
          <cell r="AE1685" t="str">
            <v>6-5/8" REG Box</v>
          </cell>
          <cell r="AF1685" t="str">
            <v>6-5/8" REG Box BF</v>
          </cell>
          <cell r="AG1685" t="str">
            <v>Carbure</v>
          </cell>
          <cell r="AH1685" t="str">
            <v xml:space="preserve"> en stock </v>
          </cell>
          <cell r="AI1685">
            <v>1</v>
          </cell>
          <cell r="AJ1685">
            <v>0</v>
          </cell>
          <cell r="AK1685">
            <v>0</v>
          </cell>
          <cell r="AL1685"/>
          <cell r="AM1685"/>
          <cell r="AN1685">
            <v>8091343</v>
          </cell>
          <cell r="AO1685"/>
          <cell r="AP1685"/>
          <cell r="AQ1685"/>
          <cell r="AR1685"/>
          <cell r="AS1685">
            <v>28</v>
          </cell>
          <cell r="AT1685"/>
          <cell r="AU1685" t="str">
            <v/>
          </cell>
          <cell r="AV1685"/>
        </row>
        <row r="1686">
          <cell r="Z1686">
            <v>8091344</v>
          </cell>
          <cell r="AA1686" t="str">
            <v>Near Bit Stab
6-5/8" REG Box x 6-5/8" REG Box BF</v>
          </cell>
          <cell r="AB1686">
            <v>444</v>
          </cell>
          <cell r="AC1686">
            <v>12.1875</v>
          </cell>
          <cell r="AD1686">
            <v>1715</v>
          </cell>
          <cell r="AE1686" t="str">
            <v>6-5/8" REG Box</v>
          </cell>
          <cell r="AF1686" t="str">
            <v>6-5/8" REG Box BF</v>
          </cell>
          <cell r="AG1686" t="str">
            <v>Carbure</v>
          </cell>
          <cell r="AH1686" t="str">
            <v>maintenance</v>
          </cell>
          <cell r="AI1686" t="str">
            <v/>
          </cell>
          <cell r="AJ1686">
            <v>0</v>
          </cell>
          <cell r="AK1686">
            <v>1</v>
          </cell>
          <cell r="AL1686"/>
          <cell r="AM1686"/>
          <cell r="AN1686">
            <v>8091344</v>
          </cell>
          <cell r="AO1686"/>
          <cell r="AP1686"/>
          <cell r="AQ1686"/>
          <cell r="AR1686"/>
          <cell r="AS1686">
            <v>27</v>
          </cell>
          <cell r="AT1686"/>
          <cell r="AU1686" t="str">
            <v/>
          </cell>
          <cell r="AV1686"/>
        </row>
        <row r="1687">
          <cell r="Z1687">
            <v>8091345</v>
          </cell>
          <cell r="AA1687" t="str">
            <v>Near Bit Stab
6-5/8" REG Box x 6-5/8" REG Box BF</v>
          </cell>
          <cell r="AB1687">
            <v>450</v>
          </cell>
          <cell r="AC1687">
            <v>12.25</v>
          </cell>
          <cell r="AD1687">
            <v>1885</v>
          </cell>
          <cell r="AE1687" t="str">
            <v>6-5/8" REG Box</v>
          </cell>
          <cell r="AF1687" t="str">
            <v>6-5/8" REG Box BF</v>
          </cell>
          <cell r="AG1687" t="str">
            <v>Insert</v>
          </cell>
          <cell r="AH1687" t="str">
            <v>sur chantier</v>
          </cell>
          <cell r="AI1687" t="str">
            <v/>
          </cell>
          <cell r="AJ1687">
            <v>1</v>
          </cell>
          <cell r="AK1687">
            <v>0</v>
          </cell>
          <cell r="AL1687"/>
          <cell r="AM1687"/>
          <cell r="AN1687">
            <v>8091345</v>
          </cell>
          <cell r="AO1687"/>
          <cell r="AP1687"/>
          <cell r="AQ1687"/>
          <cell r="AR1687"/>
          <cell r="AS1687">
            <v>32</v>
          </cell>
          <cell r="AT1687"/>
          <cell r="AU1687" t="str">
            <v/>
          </cell>
          <cell r="AV1687"/>
        </row>
        <row r="1688">
          <cell r="Z1688">
            <v>8091346</v>
          </cell>
          <cell r="AA1688" t="str">
            <v>Near Bit Stab
6-5/8" REG Box x 6-5/8" REG Box BF</v>
          </cell>
          <cell r="AB1688">
            <v>444</v>
          </cell>
          <cell r="AC1688">
            <v>12.25</v>
          </cell>
          <cell r="AD1688">
            <v>1710</v>
          </cell>
          <cell r="AE1688" t="str">
            <v>6-5/8" REG Box</v>
          </cell>
          <cell r="AF1688" t="str">
            <v>6-5/8" REG Box BF</v>
          </cell>
          <cell r="AG1688" t="str">
            <v>Carbure</v>
          </cell>
          <cell r="AH1688" t="str">
            <v>sur chantier</v>
          </cell>
          <cell r="AI1688" t="str">
            <v/>
          </cell>
          <cell r="AJ1688">
            <v>1</v>
          </cell>
          <cell r="AK1688">
            <v>0</v>
          </cell>
          <cell r="AL1688"/>
          <cell r="AM1688"/>
          <cell r="AN1688">
            <v>8091346</v>
          </cell>
          <cell r="AO1688"/>
          <cell r="AP1688"/>
          <cell r="AQ1688"/>
          <cell r="AR1688"/>
          <cell r="AS1688">
            <v>34</v>
          </cell>
          <cell r="AT1688"/>
          <cell r="AU1688" t="str">
            <v/>
          </cell>
          <cell r="AV1688"/>
        </row>
        <row r="1689">
          <cell r="Z1689">
            <v>8091347</v>
          </cell>
          <cell r="AA1689" t="str">
            <v>Near Bit Stab
7-5/8" REG Box x 7-5/8" REG Box BF</v>
          </cell>
          <cell r="AB1689">
            <v>872</v>
          </cell>
          <cell r="AC1689">
            <v>16.75</v>
          </cell>
          <cell r="AD1689">
            <v>2205</v>
          </cell>
          <cell r="AE1689" t="str">
            <v>7-5/8" REG Box</v>
          </cell>
          <cell r="AF1689" t="str">
            <v>7-5/8" REG Box BF</v>
          </cell>
          <cell r="AG1689" t="str">
            <v>Carbure</v>
          </cell>
          <cell r="AH1689" t="str">
            <v xml:space="preserve"> en stock </v>
          </cell>
          <cell r="AI1689">
            <v>1</v>
          </cell>
          <cell r="AJ1689">
            <v>0</v>
          </cell>
          <cell r="AK1689">
            <v>0</v>
          </cell>
          <cell r="AL1689"/>
          <cell r="AM1689"/>
          <cell r="AN1689">
            <v>8091347</v>
          </cell>
          <cell r="AO1689"/>
          <cell r="AP1689"/>
          <cell r="AQ1689"/>
          <cell r="AR1689"/>
          <cell r="AS1689">
            <v>37</v>
          </cell>
          <cell r="AT1689"/>
          <cell r="AU1689" t="str">
            <v/>
          </cell>
          <cell r="AV1689"/>
        </row>
        <row r="1690">
          <cell r="Z1690">
            <v>8091348</v>
          </cell>
          <cell r="AA1690" t="str">
            <v>Near Bit Stab
7-5/8" REG Box x 7-5/8" REG Box BF</v>
          </cell>
          <cell r="AB1690">
            <v>846</v>
          </cell>
          <cell r="AC1690">
            <v>17.5</v>
          </cell>
          <cell r="AD1690">
            <v>2550</v>
          </cell>
          <cell r="AE1690" t="str">
            <v>7-5/8" REG Box</v>
          </cell>
          <cell r="AF1690" t="str">
            <v>7-5/8" REG Box BF</v>
          </cell>
          <cell r="AG1690" t="str">
            <v>Inserts</v>
          </cell>
          <cell r="AH1690" t="str">
            <v>maintenance</v>
          </cell>
          <cell r="AI1690" t="str">
            <v/>
          </cell>
          <cell r="AJ1690">
            <v>0</v>
          </cell>
          <cell r="AK1690">
            <v>1</v>
          </cell>
          <cell r="AL1690"/>
          <cell r="AM1690"/>
          <cell r="AN1690">
            <v>8091348</v>
          </cell>
          <cell r="AO1690"/>
          <cell r="AP1690"/>
          <cell r="AQ1690"/>
          <cell r="AR1690"/>
          <cell r="AS1690">
            <v>41</v>
          </cell>
          <cell r="AT1690"/>
          <cell r="AU1690" t="str">
            <v/>
          </cell>
          <cell r="AV1690"/>
        </row>
        <row r="1691">
          <cell r="Z1691">
            <v>8091349</v>
          </cell>
          <cell r="AA1691" t="str">
            <v>Near Bit Stab
7-5/8" REG Box x 7-5/8" REG Box BF</v>
          </cell>
          <cell r="AB1691">
            <v>1500</v>
          </cell>
          <cell r="AC1691">
            <v>22.9375</v>
          </cell>
          <cell r="AD1691">
            <v>2210</v>
          </cell>
          <cell r="AE1691" t="str">
            <v>7-5/8" REG Box</v>
          </cell>
          <cell r="AF1691" t="str">
            <v>7-5/8" REG Box BF</v>
          </cell>
          <cell r="AG1691" t="str">
            <v>grains Carbure</v>
          </cell>
          <cell r="AH1691" t="str">
            <v xml:space="preserve"> en stock </v>
          </cell>
          <cell r="AI1691">
            <v>1</v>
          </cell>
          <cell r="AJ1691">
            <v>0</v>
          </cell>
          <cell r="AK1691">
            <v>0</v>
          </cell>
          <cell r="AL1691"/>
          <cell r="AM1691"/>
          <cell r="AN1691">
            <v>8091349</v>
          </cell>
          <cell r="AO1691"/>
          <cell r="AP1691"/>
          <cell r="AQ1691"/>
          <cell r="AR1691"/>
          <cell r="AS1691">
            <v>46</v>
          </cell>
          <cell r="AT1691"/>
          <cell r="AU1691" t="str">
            <v/>
          </cell>
          <cell r="AV1691"/>
        </row>
        <row r="1692">
          <cell r="Z1692">
            <v>5011350</v>
          </cell>
          <cell r="AA1692" t="str">
            <v>Ditch Magnet 36"</v>
          </cell>
          <cell r="AB1692">
            <v>46</v>
          </cell>
          <cell r="AC1692">
            <v>36</v>
          </cell>
          <cell r="AD1692">
            <v>36</v>
          </cell>
          <cell r="AE1692"/>
          <cell r="AF1692"/>
          <cell r="AG1692"/>
          <cell r="AH1692" t="str">
            <v xml:space="preserve"> en stock </v>
          </cell>
          <cell r="AI1692">
            <v>1</v>
          </cell>
          <cell r="AJ1692">
            <v>0</v>
          </cell>
          <cell r="AK1692">
            <v>0</v>
          </cell>
          <cell r="AL1692"/>
          <cell r="AM1692"/>
          <cell r="AN1692" t="str">
            <v/>
          </cell>
          <cell r="AO1692"/>
          <cell r="AP1692"/>
          <cell r="AQ1692"/>
          <cell r="AR1692"/>
          <cell r="AS1692">
            <v>8</v>
          </cell>
          <cell r="AT1692"/>
          <cell r="AU1692" t="str">
            <v/>
          </cell>
          <cell r="AV1692"/>
        </row>
        <row r="1693">
          <cell r="Z1693">
            <v>5011351</v>
          </cell>
          <cell r="AA1693" t="str">
            <v>Ditch Magnet 36"</v>
          </cell>
          <cell r="AB1693">
            <v>46</v>
          </cell>
          <cell r="AC1693">
            <v>36</v>
          </cell>
          <cell r="AD1693">
            <v>36</v>
          </cell>
          <cell r="AE1693"/>
          <cell r="AF1693"/>
          <cell r="AG1693"/>
          <cell r="AH1693" t="str">
            <v xml:space="preserve"> en stock </v>
          </cell>
          <cell r="AI1693">
            <v>1</v>
          </cell>
          <cell r="AJ1693">
            <v>0</v>
          </cell>
          <cell r="AK1693">
            <v>0</v>
          </cell>
          <cell r="AL1693"/>
          <cell r="AM1693"/>
          <cell r="AN1693" t="str">
            <v/>
          </cell>
          <cell r="AO1693"/>
          <cell r="AP1693"/>
          <cell r="AQ1693"/>
          <cell r="AR1693"/>
          <cell r="AS1693">
            <v>9</v>
          </cell>
          <cell r="AT1693"/>
          <cell r="AU1693" t="str">
            <v/>
          </cell>
          <cell r="AV1693"/>
        </row>
        <row r="1694">
          <cell r="Z1694">
            <v>5081352</v>
          </cell>
          <cell r="AA1694" t="str">
            <v>Taper Mill 
2-3/8" REG Pin</v>
          </cell>
          <cell r="AB1694">
            <v>0</v>
          </cell>
          <cell r="AC1694">
            <v>4.8125</v>
          </cell>
          <cell r="AD1694">
            <v>0</v>
          </cell>
          <cell r="AE1694" t="str">
            <v>2-3/8" REG Pin</v>
          </cell>
          <cell r="AF1694"/>
          <cell r="AG1694"/>
          <cell r="AH1694" t="str">
            <v>maintenance</v>
          </cell>
          <cell r="AI1694" t="str">
            <v/>
          </cell>
          <cell r="AJ1694">
            <v>0</v>
          </cell>
          <cell r="AK1694">
            <v>1</v>
          </cell>
          <cell r="AL1694"/>
          <cell r="AM1694"/>
          <cell r="AN1694">
            <v>5081352</v>
          </cell>
          <cell r="AO1694"/>
          <cell r="AP1694"/>
          <cell r="AQ1694"/>
          <cell r="AR1694"/>
          <cell r="AS1694">
            <v>17</v>
          </cell>
          <cell r="AT1694" t="str">
            <v>508-</v>
          </cell>
          <cell r="AU1694" t="str">
            <v>FR</v>
          </cell>
          <cell r="AV1694"/>
        </row>
        <row r="1695">
          <cell r="Z1695">
            <v>8081353</v>
          </cell>
          <cell r="AA1695" t="str">
            <v>Float Sub 9-3/8" Lg 1160 mm
7-5/8" REG Pin x 6-5/8" REG Box BF (5F-6R)</v>
          </cell>
          <cell r="AB1695">
            <v>359.7693543509813</v>
          </cell>
          <cell r="AC1695">
            <v>9.375</v>
          </cell>
          <cell r="AD1695">
            <v>1160</v>
          </cell>
          <cell r="AE1695" t="str">
            <v>6-5/8" REG Box BF</v>
          </cell>
          <cell r="AF1695" t="str">
            <v>7-5/8" REG Pin</v>
          </cell>
          <cell r="AG1695" t="str">
            <v>5F-6R</v>
          </cell>
          <cell r="AH1695" t="str">
            <v xml:space="preserve"> en stock </v>
          </cell>
          <cell r="AI1695">
            <v>1</v>
          </cell>
          <cell r="AJ1695">
            <v>0</v>
          </cell>
          <cell r="AK1695">
            <v>0</v>
          </cell>
          <cell r="AL1695"/>
          <cell r="AM1695"/>
          <cell r="AN1695">
            <v>8081353</v>
          </cell>
          <cell r="AO1695"/>
          <cell r="AP1695"/>
          <cell r="AQ1695"/>
          <cell r="AR1695"/>
          <cell r="AS1695">
            <v>41</v>
          </cell>
          <cell r="AT1695"/>
          <cell r="AU1695" t="str">
            <v>FR</v>
          </cell>
          <cell r="AV1695"/>
        </row>
        <row r="1696">
          <cell r="Z1696">
            <v>7021354</v>
          </cell>
          <cell r="AA1696" t="str">
            <v>String Magnet 4-3/4" OD
3-1/2" IF Pin x Box</v>
          </cell>
          <cell r="AB1696">
            <v>82</v>
          </cell>
          <cell r="AC1696">
            <v>4.75</v>
          </cell>
          <cell r="AD1696">
            <v>1240</v>
          </cell>
          <cell r="AE1696" t="str">
            <v>3-1/2" IF Box</v>
          </cell>
          <cell r="AF1696" t="str">
            <v>3-1/2" IF Pin</v>
          </cell>
          <cell r="AG1696"/>
          <cell r="AH1696" t="str">
            <v xml:space="preserve"> en stock </v>
          </cell>
          <cell r="AI1696">
            <v>1</v>
          </cell>
          <cell r="AJ1696">
            <v>0</v>
          </cell>
          <cell r="AK1696">
            <v>0</v>
          </cell>
          <cell r="AL1696"/>
          <cell r="AM1696"/>
          <cell r="AN1696">
            <v>7021354</v>
          </cell>
          <cell r="AO1696"/>
          <cell r="AP1696"/>
          <cell r="AQ1696"/>
          <cell r="AR1696"/>
          <cell r="AS1696">
            <v>8</v>
          </cell>
          <cell r="AT1696"/>
          <cell r="AU1696" t="str">
            <v>FR</v>
          </cell>
          <cell r="AV1696"/>
        </row>
        <row r="1697">
          <cell r="Z1697">
            <v>7021355</v>
          </cell>
          <cell r="AA1697" t="str">
            <v>String Magnet 4-3/4" OD
3-1/2" IF Pin x Box</v>
          </cell>
          <cell r="AB1697">
            <v>82</v>
          </cell>
          <cell r="AC1697">
            <v>4.75</v>
          </cell>
          <cell r="AD1697">
            <v>1240</v>
          </cell>
          <cell r="AE1697" t="str">
            <v>3-1/2" IF Box</v>
          </cell>
          <cell r="AF1697" t="str">
            <v>3-1/2" IF Pin</v>
          </cell>
          <cell r="AG1697"/>
          <cell r="AH1697" t="str">
            <v xml:space="preserve"> en stock </v>
          </cell>
          <cell r="AI1697">
            <v>1</v>
          </cell>
          <cell r="AJ1697">
            <v>0</v>
          </cell>
          <cell r="AK1697">
            <v>0</v>
          </cell>
          <cell r="AL1697"/>
          <cell r="AM1697"/>
          <cell r="AN1697">
            <v>7021355</v>
          </cell>
          <cell r="AO1697"/>
          <cell r="AP1697"/>
          <cell r="AQ1697"/>
          <cell r="AR1697"/>
          <cell r="AS1697">
            <v>9</v>
          </cell>
          <cell r="AT1697"/>
          <cell r="AU1697" t="str">
            <v>FR</v>
          </cell>
          <cell r="AV1697"/>
        </row>
        <row r="1698">
          <cell r="Z1698">
            <v>7021356</v>
          </cell>
          <cell r="AA1698" t="str">
            <v>String Magnet 6-1/2" OD
4-1/2" IF Pin x Box</v>
          </cell>
          <cell r="AB1698">
            <v>0</v>
          </cell>
          <cell r="AC1698">
            <v>6.5</v>
          </cell>
          <cell r="AD1698">
            <v>0</v>
          </cell>
          <cell r="AE1698" t="str">
            <v>4-1/2" IF Box</v>
          </cell>
          <cell r="AF1698" t="str">
            <v>4-1/2" IF Pin</v>
          </cell>
          <cell r="AG1698"/>
          <cell r="AH1698" t="str">
            <v xml:space="preserve"> en stock </v>
          </cell>
          <cell r="AI1698">
            <v>1</v>
          </cell>
          <cell r="AJ1698">
            <v>0</v>
          </cell>
          <cell r="AK1698">
            <v>0</v>
          </cell>
          <cell r="AL1698"/>
          <cell r="AM1698"/>
          <cell r="AN1698">
            <v>7021356</v>
          </cell>
          <cell r="AO1698"/>
          <cell r="AP1698"/>
          <cell r="AQ1698"/>
          <cell r="AR1698"/>
          <cell r="AS1698">
            <v>12</v>
          </cell>
          <cell r="AT1698"/>
          <cell r="AU1698" t="str">
            <v>FR</v>
          </cell>
          <cell r="AV1698"/>
        </row>
        <row r="1699">
          <cell r="Z1699">
            <v>7021357</v>
          </cell>
          <cell r="AA1699" t="str">
            <v>String Magnet 6-1/2" OD
4-1/2" IF Pin x Box</v>
          </cell>
          <cell r="AB1699">
            <v>0</v>
          </cell>
          <cell r="AC1699">
            <v>6.5</v>
          </cell>
          <cell r="AD1699">
            <v>0</v>
          </cell>
          <cell r="AE1699" t="str">
            <v>4-1/2" IF Box</v>
          </cell>
          <cell r="AF1699" t="str">
            <v>4-1/2" IF Pin</v>
          </cell>
          <cell r="AG1699"/>
          <cell r="AH1699" t="str">
            <v>maintenance</v>
          </cell>
          <cell r="AI1699" t="str">
            <v/>
          </cell>
          <cell r="AJ1699">
            <v>0</v>
          </cell>
          <cell r="AK1699">
            <v>1</v>
          </cell>
          <cell r="AL1699"/>
          <cell r="AM1699"/>
          <cell r="AN1699">
            <v>7021357</v>
          </cell>
          <cell r="AO1699"/>
          <cell r="AP1699"/>
          <cell r="AQ1699"/>
          <cell r="AR1699"/>
          <cell r="AS1699">
            <v>13</v>
          </cell>
          <cell r="AT1699"/>
          <cell r="AU1699" t="str">
            <v>FR</v>
          </cell>
          <cell r="AV1699"/>
        </row>
        <row r="1700">
          <cell r="Z1700">
            <v>7041358</v>
          </cell>
          <cell r="AA1700" t="str">
            <v>11-1/4" FS Overshot - CA C12822
bowl</v>
          </cell>
          <cell r="AB1700">
            <v>0</v>
          </cell>
          <cell r="AC1700" t="str">
            <v>11-1/4" FS</v>
          </cell>
          <cell r="AD1700">
            <v>0</v>
          </cell>
          <cell r="AE1700" t="str">
            <v>bowl</v>
          </cell>
          <cell r="AF1700"/>
          <cell r="AG1700" t="str">
            <v>C12822</v>
          </cell>
          <cell r="AH1700" t="str">
            <v>sur chantier</v>
          </cell>
          <cell r="AI1700" t="str">
            <v/>
          </cell>
          <cell r="AJ1700">
            <v>1</v>
          </cell>
          <cell r="AK1700">
            <v>0</v>
          </cell>
          <cell r="AL1700"/>
          <cell r="AM1700"/>
          <cell r="AN1700" t="str">
            <v/>
          </cell>
          <cell r="AO1700"/>
          <cell r="AP1700"/>
          <cell r="AQ1700"/>
          <cell r="AR1700"/>
          <cell r="AS1700">
            <v>90</v>
          </cell>
          <cell r="AT1700" t="str">
            <v>704-12822</v>
          </cell>
          <cell r="AU1700" t="str">
            <v/>
          </cell>
          <cell r="AV1700"/>
        </row>
        <row r="1701">
          <cell r="Z1701">
            <v>1061359</v>
          </cell>
          <cell r="AA1701" t="str">
            <v>Impression Block 4" 
2-3/8" IF Box</v>
          </cell>
          <cell r="AB1701">
            <v>30</v>
          </cell>
          <cell r="AC1701">
            <v>4</v>
          </cell>
          <cell r="AD1701">
            <v>600</v>
          </cell>
          <cell r="AE1701" t="str">
            <v>2-3/8" REG Box</v>
          </cell>
          <cell r="AF1701"/>
          <cell r="AG1701"/>
          <cell r="AH1701" t="str">
            <v xml:space="preserve"> en stock </v>
          </cell>
          <cell r="AI1701">
            <v>1</v>
          </cell>
          <cell r="AJ1701">
            <v>0</v>
          </cell>
          <cell r="AK1701">
            <v>0</v>
          </cell>
          <cell r="AL1701"/>
          <cell r="AM1701"/>
          <cell r="AN1701">
            <v>1061359</v>
          </cell>
          <cell r="AO1701"/>
          <cell r="AP1701"/>
          <cell r="AQ1701"/>
          <cell r="AR1701"/>
          <cell r="AS1701">
            <v>7</v>
          </cell>
          <cell r="AT1701"/>
          <cell r="AU1701" t="str">
            <v>FR</v>
          </cell>
          <cell r="AV1701"/>
        </row>
        <row r="1702">
          <cell r="Z1702">
            <v>8131360</v>
          </cell>
          <cell r="AA1702" t="str">
            <v>XO
4-1/2" REG Pin x 6-5/8" REG Box</v>
          </cell>
          <cell r="AB1702">
            <v>58</v>
          </cell>
          <cell r="AC1702">
            <v>7.5</v>
          </cell>
          <cell r="AD1702">
            <v>380</v>
          </cell>
          <cell r="AE1702" t="str">
            <v>4-1/2" REG Pin</v>
          </cell>
          <cell r="AF1702" t="str">
            <v>6-5/8" REG Box</v>
          </cell>
          <cell r="AG1702"/>
          <cell r="AH1702" t="str">
            <v xml:space="preserve"> en stock </v>
          </cell>
          <cell r="AI1702">
            <v>1</v>
          </cell>
          <cell r="AJ1702">
            <v>0</v>
          </cell>
          <cell r="AK1702">
            <v>0</v>
          </cell>
          <cell r="AL1702"/>
          <cell r="AM1702"/>
          <cell r="AN1702">
            <v>8131360</v>
          </cell>
          <cell r="AO1702"/>
          <cell r="AP1702"/>
          <cell r="AQ1702"/>
          <cell r="AR1702"/>
          <cell r="AS1702">
            <v>185</v>
          </cell>
          <cell r="AT1702"/>
          <cell r="AU1702" t="str">
            <v>FR</v>
          </cell>
          <cell r="AV1702"/>
        </row>
        <row r="1703">
          <cell r="Z1703">
            <v>4031361</v>
          </cell>
          <cell r="AA1703" t="str">
            <v>Jar Z 4-3/4" 
3-1/2" IF Pin down x Box up</v>
          </cell>
          <cell r="AB1703">
            <v>180</v>
          </cell>
          <cell r="AC1703">
            <v>4.75</v>
          </cell>
          <cell r="AD1703">
            <v>2140</v>
          </cell>
          <cell r="AE1703" t="str">
            <v>3-1/2" IF Box</v>
          </cell>
          <cell r="AF1703" t="str">
            <v>3-1/2" IF Pin</v>
          </cell>
          <cell r="AG1703"/>
          <cell r="AH1703" t="str">
            <v>maintenance</v>
          </cell>
          <cell r="AI1703" t="str">
            <v/>
          </cell>
          <cell r="AJ1703">
            <v>0</v>
          </cell>
          <cell r="AK1703">
            <v>1</v>
          </cell>
          <cell r="AL1703"/>
          <cell r="AM1703"/>
          <cell r="AN1703">
            <v>4031361</v>
          </cell>
          <cell r="AO1703"/>
          <cell r="AP1703"/>
          <cell r="AQ1703"/>
          <cell r="AR1703"/>
          <cell r="AS1703">
            <v>12</v>
          </cell>
          <cell r="AT1703" t="str">
            <v>403-4,750</v>
          </cell>
          <cell r="AU1703" t="str">
            <v/>
          </cell>
          <cell r="AV1703"/>
        </row>
        <row r="1704">
          <cell r="Z1704">
            <v>1091362</v>
          </cell>
          <cell r="AA1704" t="str">
            <v>Junk Sub 13-3/8" OD cup 
7-5/8" REG Pin up x 7-5/8" REG Box down</v>
          </cell>
          <cell r="AB1704">
            <v>480</v>
          </cell>
          <cell r="AC1704">
            <v>13.375</v>
          </cell>
          <cell r="AD1704">
            <v>1850</v>
          </cell>
          <cell r="AE1704" t="str">
            <v>7-5/8" REG Pin</v>
          </cell>
          <cell r="AF1704" t="str">
            <v>7-5/8" REG Box</v>
          </cell>
          <cell r="AG1704"/>
          <cell r="AH1704" t="str">
            <v xml:space="preserve"> en stock </v>
          </cell>
          <cell r="AI1704">
            <v>1</v>
          </cell>
          <cell r="AJ1704">
            <v>0</v>
          </cell>
          <cell r="AK1704">
            <v>0</v>
          </cell>
          <cell r="AL1704"/>
          <cell r="AM1704"/>
          <cell r="AN1704">
            <v>1091362</v>
          </cell>
          <cell r="AO1704"/>
          <cell r="AP1704"/>
          <cell r="AQ1704"/>
          <cell r="AR1704"/>
          <cell r="AS1704">
            <v>43</v>
          </cell>
          <cell r="AT1704" t="str">
            <v>109-13,375</v>
          </cell>
          <cell r="AU1704" t="str">
            <v>FR</v>
          </cell>
          <cell r="AV1704"/>
        </row>
        <row r="1705">
          <cell r="Z1705">
            <v>1091363</v>
          </cell>
          <cell r="AA1705" t="str">
            <v>Junk Sub 13-3/8" OD cup 
7-5/8" REG Pin up x 7-5/8" REG Box down</v>
          </cell>
          <cell r="AB1705">
            <v>466</v>
          </cell>
          <cell r="AC1705">
            <v>13.375</v>
          </cell>
          <cell r="AD1705">
            <v>1850</v>
          </cell>
          <cell r="AE1705" t="str">
            <v>7-5/8" REG Pin</v>
          </cell>
          <cell r="AF1705" t="str">
            <v>7-5/8" REG Box</v>
          </cell>
          <cell r="AG1705"/>
          <cell r="AH1705" t="str">
            <v>sur chantier</v>
          </cell>
          <cell r="AI1705" t="str">
            <v/>
          </cell>
          <cell r="AJ1705">
            <v>1</v>
          </cell>
          <cell r="AK1705">
            <v>0</v>
          </cell>
          <cell r="AL1705"/>
          <cell r="AM1705"/>
          <cell r="AN1705">
            <v>1091363</v>
          </cell>
          <cell r="AO1705"/>
          <cell r="AP1705"/>
          <cell r="AQ1705"/>
          <cell r="AR1705"/>
          <cell r="AS1705">
            <v>44</v>
          </cell>
          <cell r="AT1705" t="str">
            <v>109-10,750</v>
          </cell>
          <cell r="AU1705" t="str">
            <v>FR</v>
          </cell>
          <cell r="AV1705"/>
        </row>
        <row r="1706">
          <cell r="Z1706">
            <v>1091364</v>
          </cell>
          <cell r="AA1706" t="str">
            <v>Junk Sub 10-3/4" OD cup 
6-5/8" REG Pin up x 6-5/8" REG Box down</v>
          </cell>
          <cell r="AB1706">
            <v>330</v>
          </cell>
          <cell r="AC1706">
            <v>10.75</v>
          </cell>
          <cell r="AD1706">
            <v>1790</v>
          </cell>
          <cell r="AE1706" t="str">
            <v>6-5/8" REG Pin</v>
          </cell>
          <cell r="AF1706" t="str">
            <v>6-5/8" REG Box</v>
          </cell>
          <cell r="AG1706"/>
          <cell r="AH1706" t="str">
            <v xml:space="preserve"> en stock </v>
          </cell>
          <cell r="AI1706">
            <v>1</v>
          </cell>
          <cell r="AJ1706">
            <v>0</v>
          </cell>
          <cell r="AK1706">
            <v>0</v>
          </cell>
          <cell r="AL1706"/>
          <cell r="AM1706"/>
          <cell r="AN1706">
            <v>1091364</v>
          </cell>
          <cell r="AO1706"/>
          <cell r="AP1706"/>
          <cell r="AQ1706"/>
          <cell r="AR1706"/>
          <cell r="AS1706">
            <v>39</v>
          </cell>
          <cell r="AT1706" t="str">
            <v>109-10,750</v>
          </cell>
          <cell r="AU1706" t="str">
            <v>FR</v>
          </cell>
          <cell r="AV1706"/>
        </row>
        <row r="1707">
          <cell r="Z1707">
            <v>1091365</v>
          </cell>
          <cell r="AA1707" t="str">
            <v>Junk Sub 10-3/4" OD cup 
6-5/8" REG Pin up x 6-5/8" REG Box down</v>
          </cell>
          <cell r="AB1707">
            <v>330</v>
          </cell>
          <cell r="AC1707">
            <v>10.75</v>
          </cell>
          <cell r="AD1707">
            <v>1790</v>
          </cell>
          <cell r="AE1707" t="str">
            <v>6-5/8" REG Pin</v>
          </cell>
          <cell r="AF1707" t="str">
            <v>6-5/8" REG Box</v>
          </cell>
          <cell r="AG1707"/>
          <cell r="AH1707" t="str">
            <v xml:space="preserve"> en stock </v>
          </cell>
          <cell r="AI1707">
            <v>1</v>
          </cell>
          <cell r="AJ1707">
            <v>0</v>
          </cell>
          <cell r="AK1707">
            <v>0</v>
          </cell>
          <cell r="AL1707"/>
          <cell r="AM1707"/>
          <cell r="AN1707">
            <v>1091365</v>
          </cell>
          <cell r="AO1707"/>
          <cell r="AP1707"/>
          <cell r="AQ1707"/>
          <cell r="AR1707"/>
          <cell r="AS1707">
            <v>40</v>
          </cell>
          <cell r="AT1707" t="str">
            <v>109-10,750</v>
          </cell>
          <cell r="AU1707" t="str">
            <v>FR</v>
          </cell>
          <cell r="AV1707"/>
        </row>
        <row r="1708">
          <cell r="Z1708">
            <v>1091366</v>
          </cell>
          <cell r="AA1708" t="str">
            <v>Junk Sub 9-5/8" OD cup 
4-1/2" REG Pin up x 4-1/2" REG Box down</v>
          </cell>
          <cell r="AB1708">
            <v>0</v>
          </cell>
          <cell r="AC1708">
            <v>9.625</v>
          </cell>
          <cell r="AD1708">
            <v>1700</v>
          </cell>
          <cell r="AE1708" t="str">
            <v>4-1/2" REG Pin</v>
          </cell>
          <cell r="AF1708" t="str">
            <v xml:space="preserve"> 4-1/2" REG Box</v>
          </cell>
          <cell r="AG1708"/>
          <cell r="AH1708" t="str">
            <v>Fabrication en cours</v>
          </cell>
          <cell r="AI1708" t="e">
            <v>#VALUE!</v>
          </cell>
          <cell r="AJ1708">
            <v>0</v>
          </cell>
          <cell r="AK1708" t="str">
            <v>F</v>
          </cell>
          <cell r="AL1708"/>
          <cell r="AM1708"/>
          <cell r="AN1708" t="str">
            <v/>
          </cell>
          <cell r="AO1708"/>
          <cell r="AP1708"/>
          <cell r="AQ1708"/>
          <cell r="AR1708"/>
          <cell r="AS1708">
            <v>33</v>
          </cell>
          <cell r="AT1708" t="str">
            <v>109-9,625</v>
          </cell>
          <cell r="AU1708" t="str">
            <v>FR</v>
          </cell>
          <cell r="AV1708"/>
        </row>
        <row r="1709">
          <cell r="Z1709">
            <v>1091367</v>
          </cell>
          <cell r="AA1709" t="str">
            <v>Junk Sub 9-5/8" OD cup 
4-1/2" REG Pin up x 4-1/2" REG Box down</v>
          </cell>
          <cell r="AB1709">
            <v>0</v>
          </cell>
          <cell r="AC1709">
            <v>9.625</v>
          </cell>
          <cell r="AD1709">
            <v>1700</v>
          </cell>
          <cell r="AE1709" t="str">
            <v>4-1/2" REG Pin</v>
          </cell>
          <cell r="AF1709" t="str">
            <v xml:space="preserve"> 4-1/2" REG Box</v>
          </cell>
          <cell r="AG1709"/>
          <cell r="AH1709" t="str">
            <v>Fabrication en cours</v>
          </cell>
          <cell r="AI1709" t="e">
            <v>#VALUE!</v>
          </cell>
          <cell r="AJ1709">
            <v>0</v>
          </cell>
          <cell r="AK1709" t="str">
            <v>F</v>
          </cell>
          <cell r="AL1709"/>
          <cell r="AM1709"/>
          <cell r="AN1709" t="str">
            <v/>
          </cell>
          <cell r="AO1709"/>
          <cell r="AP1709"/>
          <cell r="AQ1709"/>
          <cell r="AR1709"/>
          <cell r="AS1709">
            <v>34</v>
          </cell>
          <cell r="AT1709" t="str">
            <v>109-9,625</v>
          </cell>
          <cell r="AU1709" t="str">
            <v>FR</v>
          </cell>
          <cell r="AV1709"/>
        </row>
        <row r="1710">
          <cell r="Z1710">
            <v>1091368</v>
          </cell>
          <cell r="AA1710" t="str">
            <v>Junk Sub 7-5/8" OD cup 
4-1/2" REG Pin up x 4-1/2" REG Box down</v>
          </cell>
          <cell r="AB1710">
            <v>0</v>
          </cell>
          <cell r="AC1710">
            <v>7.625</v>
          </cell>
          <cell r="AD1710">
            <v>1480</v>
          </cell>
          <cell r="AE1710" t="str">
            <v>4-1/2" REG Pin</v>
          </cell>
          <cell r="AF1710" t="str">
            <v>4-1/2" REG Box</v>
          </cell>
          <cell r="AG1710"/>
          <cell r="AH1710" t="str">
            <v>Fabrication en cours</v>
          </cell>
          <cell r="AI1710" t="e">
            <v>#VALUE!</v>
          </cell>
          <cell r="AJ1710">
            <v>0</v>
          </cell>
          <cell r="AK1710" t="str">
            <v>F</v>
          </cell>
          <cell r="AL1710"/>
          <cell r="AM1710"/>
          <cell r="AN1710" t="str">
            <v/>
          </cell>
          <cell r="AO1710"/>
          <cell r="AP1710"/>
          <cell r="AQ1710"/>
          <cell r="AR1710"/>
          <cell r="AS1710">
            <v>30</v>
          </cell>
          <cell r="AT1710" t="str">
            <v>109-7,625</v>
          </cell>
          <cell r="AU1710" t="str">
            <v>FR</v>
          </cell>
          <cell r="AV1710"/>
        </row>
        <row r="1711">
          <cell r="Z1711">
            <v>1091369</v>
          </cell>
          <cell r="AA1711" t="str">
            <v>Junk Sub 7-5/8" OD cup 
4-1/2" REG Pin up x 4-1/2" REG Box down</v>
          </cell>
          <cell r="AB1711">
            <v>0</v>
          </cell>
          <cell r="AC1711">
            <v>7.625</v>
          </cell>
          <cell r="AD1711">
            <v>1480</v>
          </cell>
          <cell r="AE1711" t="str">
            <v>4-1/2" REG Pin</v>
          </cell>
          <cell r="AF1711" t="str">
            <v>4-1/2" REG Box</v>
          </cell>
          <cell r="AG1711"/>
          <cell r="AH1711" t="str">
            <v>Fabrication en cours</v>
          </cell>
          <cell r="AI1711" t="e">
            <v>#VALUE!</v>
          </cell>
          <cell r="AJ1711">
            <v>0</v>
          </cell>
          <cell r="AK1711" t="str">
            <v>F</v>
          </cell>
          <cell r="AL1711"/>
          <cell r="AM1711"/>
          <cell r="AN1711" t="str">
            <v/>
          </cell>
          <cell r="AO1711"/>
          <cell r="AP1711"/>
          <cell r="AQ1711"/>
          <cell r="AR1711"/>
          <cell r="AS1711">
            <v>31</v>
          </cell>
          <cell r="AT1711" t="str">
            <v>109-7,625</v>
          </cell>
          <cell r="AU1711" t="str">
            <v>FR</v>
          </cell>
          <cell r="AV1711"/>
        </row>
        <row r="1712">
          <cell r="Z1712">
            <v>1091370</v>
          </cell>
          <cell r="AA1712" t="str">
            <v>Junk Sub 5" OD cup 
3-1/2" REG Pin up x 3-1/2" REG Box down</v>
          </cell>
          <cell r="AB1712">
            <v>64</v>
          </cell>
          <cell r="AC1712">
            <v>5</v>
          </cell>
          <cell r="AD1712">
            <v>1200</v>
          </cell>
          <cell r="AE1712" t="str">
            <v>3-1/2" REG Pin</v>
          </cell>
          <cell r="AF1712" t="str">
            <v>3-1/2" REG Box</v>
          </cell>
          <cell r="AG1712"/>
          <cell r="AH1712" t="str">
            <v>maintenance</v>
          </cell>
          <cell r="AI1712" t="str">
            <v/>
          </cell>
          <cell r="AJ1712">
            <v>0</v>
          </cell>
          <cell r="AK1712">
            <v>1</v>
          </cell>
          <cell r="AL1712"/>
          <cell r="AM1712"/>
          <cell r="AN1712">
            <v>1091370</v>
          </cell>
          <cell r="AO1712"/>
          <cell r="AP1712"/>
          <cell r="AQ1712"/>
          <cell r="AR1712"/>
          <cell r="AS1712">
            <v>15</v>
          </cell>
          <cell r="AT1712" t="str">
            <v>109-5,000</v>
          </cell>
          <cell r="AU1712" t="str">
            <v>FR</v>
          </cell>
          <cell r="AV1712"/>
        </row>
        <row r="1713">
          <cell r="Z1713">
            <v>1091371</v>
          </cell>
          <cell r="AA1713" t="str">
            <v>Junk Sub 5" OD cup 
3-1/2" REG Pin up x 3-1/2" REG Box down</v>
          </cell>
          <cell r="AB1713">
            <v>64</v>
          </cell>
          <cell r="AC1713">
            <v>5</v>
          </cell>
          <cell r="AD1713">
            <v>1200</v>
          </cell>
          <cell r="AE1713" t="str">
            <v>3-1/2" REG Pin</v>
          </cell>
          <cell r="AF1713" t="str">
            <v>3-1/2" REG Box</v>
          </cell>
          <cell r="AG1713"/>
          <cell r="AH1713" t="str">
            <v>maintenance</v>
          </cell>
          <cell r="AI1713" t="str">
            <v/>
          </cell>
          <cell r="AJ1713">
            <v>0</v>
          </cell>
          <cell r="AK1713">
            <v>1</v>
          </cell>
          <cell r="AL1713"/>
          <cell r="AM1713"/>
          <cell r="AN1713">
            <v>1091371</v>
          </cell>
          <cell r="AO1713"/>
          <cell r="AP1713"/>
          <cell r="AQ1713"/>
          <cell r="AR1713"/>
          <cell r="AS1713">
            <v>16</v>
          </cell>
          <cell r="AT1713" t="str">
            <v>109-5,000</v>
          </cell>
          <cell r="AU1713" t="str">
            <v>FR</v>
          </cell>
          <cell r="AV1713"/>
        </row>
        <row r="1714">
          <cell r="Z1714">
            <v>1091372</v>
          </cell>
          <cell r="AA1714" t="str">
            <v>Junk Sub 3-1/2" OD cup 
2-3/8" REG Pin up x 2-3/8" REG Box down</v>
          </cell>
          <cell r="AB1714">
            <v>0</v>
          </cell>
          <cell r="AC1714">
            <v>3.5</v>
          </cell>
          <cell r="AD1714">
            <v>0</v>
          </cell>
          <cell r="AE1714" t="str">
            <v>2-3/8" REG Pin</v>
          </cell>
          <cell r="AF1714" t="str">
            <v>2-3/8" REG Box</v>
          </cell>
          <cell r="AG1714"/>
          <cell r="AH1714" t="str">
            <v xml:space="preserve"> en stock </v>
          </cell>
          <cell r="AI1714">
            <v>1</v>
          </cell>
          <cell r="AJ1714">
            <v>0</v>
          </cell>
          <cell r="AK1714">
            <v>0</v>
          </cell>
          <cell r="AL1714"/>
          <cell r="AM1714"/>
          <cell r="AN1714">
            <v>1091372</v>
          </cell>
          <cell r="AO1714"/>
          <cell r="AP1714"/>
          <cell r="AQ1714"/>
          <cell r="AR1714"/>
          <cell r="AS1714">
            <v>7</v>
          </cell>
          <cell r="AT1714" t="str">
            <v>109-3,500</v>
          </cell>
          <cell r="AU1714" t="str">
            <v>FR</v>
          </cell>
          <cell r="AV1714"/>
        </row>
        <row r="1715">
          <cell r="Z1715">
            <v>1091373</v>
          </cell>
          <cell r="AA1715" t="str">
            <v>Junk Sub 3-1/2" OD cup 
2-3/8" REG Pin up x 2-3/8" REG Box down</v>
          </cell>
          <cell r="AB1715">
            <v>0</v>
          </cell>
          <cell r="AC1715">
            <v>3.5</v>
          </cell>
          <cell r="AD1715">
            <v>0</v>
          </cell>
          <cell r="AE1715" t="str">
            <v>2-3/8" REG Pin</v>
          </cell>
          <cell r="AF1715" t="str">
            <v>2-3/8" REG Box</v>
          </cell>
          <cell r="AG1715"/>
          <cell r="AH1715" t="str">
            <v xml:space="preserve"> en stock </v>
          </cell>
          <cell r="AI1715">
            <v>1</v>
          </cell>
          <cell r="AJ1715">
            <v>0</v>
          </cell>
          <cell r="AK1715">
            <v>0</v>
          </cell>
          <cell r="AL1715"/>
          <cell r="AM1715"/>
          <cell r="AN1715">
            <v>1091373</v>
          </cell>
          <cell r="AO1715"/>
          <cell r="AP1715"/>
          <cell r="AQ1715"/>
          <cell r="AR1715"/>
          <cell r="AS1715">
            <v>8</v>
          </cell>
          <cell r="AT1715" t="str">
            <v>109-3,500</v>
          </cell>
          <cell r="AU1715" t="str">
            <v>FR</v>
          </cell>
          <cell r="AV1715"/>
        </row>
        <row r="1716">
          <cell r="Z1716">
            <v>5081374</v>
          </cell>
          <cell r="AA1716" t="str">
            <v>Taper Mill 
2-3/8" REG Pin</v>
          </cell>
          <cell r="AB1716">
            <v>0</v>
          </cell>
          <cell r="AC1716">
            <v>4.125</v>
          </cell>
          <cell r="AD1716">
            <v>0</v>
          </cell>
          <cell r="AE1716" t="str">
            <v>2-3/8" REG Pin</v>
          </cell>
          <cell r="AF1716"/>
          <cell r="AG1716"/>
          <cell r="AH1716" t="str">
            <v xml:space="preserve"> en stock </v>
          </cell>
          <cell r="AI1716" t="str">
            <v>blank</v>
          </cell>
          <cell r="AJ1716">
            <v>0</v>
          </cell>
          <cell r="AK1716">
            <v>0</v>
          </cell>
          <cell r="AL1716"/>
          <cell r="AM1716"/>
          <cell r="AN1716">
            <v>1091390</v>
          </cell>
          <cell r="AO1716"/>
          <cell r="AP1716"/>
          <cell r="AQ1716"/>
          <cell r="AR1716"/>
          <cell r="AS1716">
            <v>11</v>
          </cell>
          <cell r="AT1716" t="str">
            <v>508-</v>
          </cell>
          <cell r="AU1716" t="str">
            <v>FR</v>
          </cell>
          <cell r="AV1716"/>
        </row>
        <row r="1717">
          <cell r="Z1717">
            <v>5081375</v>
          </cell>
          <cell r="AA1717" t="str">
            <v>Taper Mill 
2-3/8" REG Pin</v>
          </cell>
          <cell r="AB1717">
            <v>0</v>
          </cell>
          <cell r="AC1717">
            <v>4.125</v>
          </cell>
          <cell r="AD1717">
            <v>0</v>
          </cell>
          <cell r="AE1717" t="str">
            <v>2-3/8" REG Pin</v>
          </cell>
          <cell r="AF1717"/>
          <cell r="AG1717"/>
          <cell r="AH1717" t="str">
            <v xml:space="preserve"> en stock </v>
          </cell>
          <cell r="AI1717" t="str">
            <v>blank</v>
          </cell>
          <cell r="AJ1717">
            <v>0</v>
          </cell>
          <cell r="AK1717">
            <v>0</v>
          </cell>
          <cell r="AL1717"/>
          <cell r="AM1717"/>
          <cell r="AN1717">
            <v>1091391</v>
          </cell>
          <cell r="AO1717"/>
          <cell r="AP1717"/>
          <cell r="AQ1717"/>
          <cell r="AR1717"/>
          <cell r="AS1717">
            <v>12</v>
          </cell>
          <cell r="AT1717" t="str">
            <v>508-</v>
          </cell>
          <cell r="AU1717" t="str">
            <v>FR</v>
          </cell>
          <cell r="AV1717"/>
        </row>
        <row r="1718">
          <cell r="Z1718">
            <v>5041376</v>
          </cell>
          <cell r="AA1718" t="str">
            <v>Viper Pilot Mill
7-5/8" REG Pin x 6-5/8" REG Box</v>
          </cell>
          <cell r="AB1718">
            <v>0</v>
          </cell>
          <cell r="AC1718">
            <v>15.5</v>
          </cell>
          <cell r="AD1718" t="str">
            <v>&lt;1380</v>
          </cell>
          <cell r="AE1718" t="str">
            <v>7-5/8" REG Pin</v>
          </cell>
          <cell r="AF1718" t="str">
            <v>6-5/8" REG Box</v>
          </cell>
          <cell r="AG1718" t="str">
            <v>Insert</v>
          </cell>
          <cell r="AH1718" t="str">
            <v xml:space="preserve"> en stock </v>
          </cell>
          <cell r="AI1718">
            <v>1</v>
          </cell>
          <cell r="AJ1718">
            <v>0</v>
          </cell>
          <cell r="AK1718">
            <v>0</v>
          </cell>
          <cell r="AL1718"/>
          <cell r="AM1718"/>
          <cell r="AN1718">
            <v>5041376</v>
          </cell>
          <cell r="AO1718"/>
          <cell r="AP1718"/>
          <cell r="AQ1718"/>
          <cell r="AR1718"/>
          <cell r="AS1718">
            <v>34</v>
          </cell>
          <cell r="AT1718"/>
          <cell r="AU1718" t="str">
            <v>FR</v>
          </cell>
          <cell r="AV1718"/>
        </row>
        <row r="1719">
          <cell r="Z1719">
            <v>5041377</v>
          </cell>
          <cell r="AA1719" t="str">
            <v>Viper Pilot Mill
7-5/8" REG Pin x 6-5/8" REG Box</v>
          </cell>
          <cell r="AB1719">
            <v>0</v>
          </cell>
          <cell r="AC1719">
            <v>15</v>
          </cell>
          <cell r="AD1719" t="str">
            <v>&lt;1380</v>
          </cell>
          <cell r="AE1719" t="str">
            <v>7-5/8" REG Pin</v>
          </cell>
          <cell r="AF1719" t="str">
            <v>6-5/8" REG Box</v>
          </cell>
          <cell r="AG1719" t="str">
            <v>Insert</v>
          </cell>
          <cell r="AH1719" t="str">
            <v>maintenance</v>
          </cell>
          <cell r="AI1719" t="str">
            <v/>
          </cell>
          <cell r="AJ1719">
            <v>0</v>
          </cell>
          <cell r="AK1719">
            <v>1</v>
          </cell>
          <cell r="AL1719"/>
          <cell r="AM1719"/>
          <cell r="AN1719">
            <v>5041377</v>
          </cell>
          <cell r="AO1719"/>
          <cell r="AP1719"/>
          <cell r="AQ1719"/>
          <cell r="AR1719"/>
          <cell r="AS1719">
            <v>35</v>
          </cell>
          <cell r="AT1719"/>
          <cell r="AU1719" t="str">
            <v>FR</v>
          </cell>
          <cell r="AV1719"/>
        </row>
        <row r="1720">
          <cell r="Z1720">
            <v>4021378</v>
          </cell>
          <cell r="AA1720" t="str">
            <v>Bumper Sub 4-3/4" OD
3-1/2" IF Pin down x Box up</v>
          </cell>
          <cell r="AB1720">
            <v>94</v>
          </cell>
          <cell r="AC1720">
            <v>4.75</v>
          </cell>
          <cell r="AD1720">
            <v>1460</v>
          </cell>
          <cell r="AE1720" t="str">
            <v>3-1/2" IF Box</v>
          </cell>
          <cell r="AF1720" t="str">
            <v>3-1/2" IF Pin</v>
          </cell>
          <cell r="AG1720"/>
          <cell r="AH1720" t="str">
            <v>maintenance</v>
          </cell>
          <cell r="AI1720" t="str">
            <v/>
          </cell>
          <cell r="AJ1720">
            <v>0</v>
          </cell>
          <cell r="AK1720">
            <v>1</v>
          </cell>
          <cell r="AL1720"/>
          <cell r="AM1720"/>
          <cell r="AN1720">
            <v>1091539</v>
          </cell>
          <cell r="AO1720"/>
          <cell r="AP1720"/>
          <cell r="AQ1720"/>
          <cell r="AR1720"/>
          <cell r="AS1720">
            <v>12</v>
          </cell>
          <cell r="AT1720" t="str">
            <v>402-4,750</v>
          </cell>
          <cell r="AU1720" t="str">
            <v/>
          </cell>
          <cell r="AV1720"/>
        </row>
        <row r="1721">
          <cell r="Z1721">
            <v>4021379</v>
          </cell>
          <cell r="AA1721" t="str">
            <v>Bumper Sub 4-3/4" OD
3-1/2" IF Pin down x Box up</v>
          </cell>
          <cell r="AB1721">
            <v>94</v>
          </cell>
          <cell r="AC1721">
            <v>4.75</v>
          </cell>
          <cell r="AD1721">
            <v>1440</v>
          </cell>
          <cell r="AE1721" t="str">
            <v>3-1/2" IF Box</v>
          </cell>
          <cell r="AF1721" t="str">
            <v>3-1/2" IF Pin</v>
          </cell>
          <cell r="AG1721"/>
          <cell r="AH1721" t="str">
            <v xml:space="preserve"> en stock </v>
          </cell>
          <cell r="AI1721">
            <v>1</v>
          </cell>
          <cell r="AJ1721">
            <v>0</v>
          </cell>
          <cell r="AK1721">
            <v>0</v>
          </cell>
          <cell r="AL1721"/>
          <cell r="AM1721"/>
          <cell r="AN1721">
            <v>1091540</v>
          </cell>
          <cell r="AO1721"/>
          <cell r="AP1721"/>
          <cell r="AQ1721"/>
          <cell r="AR1721"/>
          <cell r="AS1721">
            <v>13</v>
          </cell>
          <cell r="AT1721" t="str">
            <v>402-4,750</v>
          </cell>
          <cell r="AU1721" t="str">
            <v/>
          </cell>
          <cell r="AV1721"/>
        </row>
        <row r="1722">
          <cell r="Z1722">
            <v>4021380</v>
          </cell>
          <cell r="AA1722" t="str">
            <v>Bumper Sub 3-5/32" OD 
2-3/8" REG Pin down x Box up</v>
          </cell>
          <cell r="AB1722">
            <v>42</v>
          </cell>
          <cell r="AC1722">
            <v>3.15625</v>
          </cell>
          <cell r="AD1722">
            <v>1385</v>
          </cell>
          <cell r="AE1722" t="str">
            <v>2-3/8" REG Box</v>
          </cell>
          <cell r="AF1722" t="str">
            <v>2-3/8" REG Pin</v>
          </cell>
          <cell r="AG1722"/>
          <cell r="AH1722" t="str">
            <v>maintenance</v>
          </cell>
          <cell r="AI1722" t="str">
            <v/>
          </cell>
          <cell r="AJ1722">
            <v>0</v>
          </cell>
          <cell r="AK1722">
            <v>1</v>
          </cell>
          <cell r="AL1722"/>
          <cell r="AM1722"/>
          <cell r="AN1722">
            <v>4021380</v>
          </cell>
          <cell r="AO1722"/>
          <cell r="AP1722"/>
          <cell r="AQ1722"/>
          <cell r="AR1722"/>
          <cell r="AS1722">
            <v>8</v>
          </cell>
          <cell r="AT1722" t="str">
            <v>402-3,156</v>
          </cell>
          <cell r="AU1722" t="str">
            <v/>
          </cell>
          <cell r="AV1722"/>
        </row>
        <row r="1723">
          <cell r="Z1723">
            <v>4031381</v>
          </cell>
          <cell r="AA1723" t="str">
            <v>Jar Z 6-1/4" OD 
4-1/2" IF Pin down x Box up</v>
          </cell>
          <cell r="AB1723">
            <v>300</v>
          </cell>
          <cell r="AC1723">
            <v>6.25</v>
          </cell>
          <cell r="AD1723">
            <v>2385</v>
          </cell>
          <cell r="AE1723" t="str">
            <v>4-1/2" IF Box</v>
          </cell>
          <cell r="AF1723" t="str">
            <v>4-1/2" IF Pin</v>
          </cell>
          <cell r="AG1723"/>
          <cell r="AH1723" t="str">
            <v xml:space="preserve"> en stock </v>
          </cell>
          <cell r="AI1723">
            <v>1</v>
          </cell>
          <cell r="AJ1723">
            <v>0</v>
          </cell>
          <cell r="AK1723">
            <v>0</v>
          </cell>
          <cell r="AL1723"/>
          <cell r="AM1723"/>
          <cell r="AN1723">
            <v>4031381</v>
          </cell>
          <cell r="AO1723"/>
          <cell r="AP1723"/>
          <cell r="AQ1723"/>
          <cell r="AR1723"/>
          <cell r="AS1723">
            <v>19</v>
          </cell>
          <cell r="AT1723" t="str">
            <v>403-6,250</v>
          </cell>
          <cell r="AU1723" t="str">
            <v/>
          </cell>
          <cell r="AV1723"/>
        </row>
        <row r="1724">
          <cell r="Z1724">
            <v>4031382</v>
          </cell>
          <cell r="AA1724" t="str">
            <v>Jar Z 6-1/4" OD 
4-1/2" IF Pin down x Box up</v>
          </cell>
          <cell r="AB1724">
            <v>300</v>
          </cell>
          <cell r="AC1724">
            <v>6.25</v>
          </cell>
          <cell r="AD1724">
            <v>2385</v>
          </cell>
          <cell r="AE1724" t="str">
            <v>4-1/2" IF Box</v>
          </cell>
          <cell r="AF1724" t="str">
            <v>4-1/2" IF Pin</v>
          </cell>
          <cell r="AG1724"/>
          <cell r="AH1724" t="str">
            <v xml:space="preserve"> en stock </v>
          </cell>
          <cell r="AI1724">
            <v>1</v>
          </cell>
          <cell r="AJ1724">
            <v>0</v>
          </cell>
          <cell r="AK1724">
            <v>0</v>
          </cell>
          <cell r="AL1724"/>
          <cell r="AM1724"/>
          <cell r="AN1724">
            <v>4031382</v>
          </cell>
          <cell r="AO1724"/>
          <cell r="AP1724"/>
          <cell r="AQ1724"/>
          <cell r="AR1724"/>
          <cell r="AS1724">
            <v>20</v>
          </cell>
          <cell r="AT1724" t="str">
            <v>403-6,250</v>
          </cell>
          <cell r="AU1724" t="str">
            <v/>
          </cell>
          <cell r="AV1724"/>
        </row>
        <row r="1725">
          <cell r="Z1725">
            <v>4031383</v>
          </cell>
          <cell r="AA1725" t="str">
            <v>Jar Z 8" 
6-5/8" REG Pin down  x Box up</v>
          </cell>
          <cell r="AB1725">
            <v>448</v>
          </cell>
          <cell r="AC1725">
            <v>8</v>
          </cell>
          <cell r="AD1725">
            <v>2300</v>
          </cell>
          <cell r="AE1725" t="str">
            <v>6-5/8" REG Box</v>
          </cell>
          <cell r="AF1725" t="str">
            <v>6-5/8" REG Pin</v>
          </cell>
          <cell r="AG1725"/>
          <cell r="AH1725" t="str">
            <v>sur chantier</v>
          </cell>
          <cell r="AI1725" t="str">
            <v/>
          </cell>
          <cell r="AJ1725">
            <v>1</v>
          </cell>
          <cell r="AK1725">
            <v>0</v>
          </cell>
          <cell r="AL1725"/>
          <cell r="AM1725"/>
          <cell r="AN1725">
            <v>4031383</v>
          </cell>
          <cell r="AO1725"/>
          <cell r="AP1725"/>
          <cell r="AQ1725"/>
          <cell r="AR1725"/>
          <cell r="AS1725">
            <v>27</v>
          </cell>
          <cell r="AT1725" t="str">
            <v>403-8,000</v>
          </cell>
          <cell r="AU1725" t="str">
            <v/>
          </cell>
          <cell r="AV1725"/>
        </row>
        <row r="1726">
          <cell r="Z1726">
            <v>4041384</v>
          </cell>
          <cell r="AA1726" t="str">
            <v>Intensifier 4-3/4" OD 
3-1/2" IF Pin x Box</v>
          </cell>
          <cell r="AB1726">
            <v>200</v>
          </cell>
          <cell r="AC1726">
            <v>4.75</v>
          </cell>
          <cell r="AD1726">
            <v>3300</v>
          </cell>
          <cell r="AE1726" t="str">
            <v>3-1/2" IF Box</v>
          </cell>
          <cell r="AF1726" t="str">
            <v>3-1/2" IF Pin</v>
          </cell>
          <cell r="AG1726"/>
          <cell r="AH1726" t="str">
            <v>maintenance</v>
          </cell>
          <cell r="AI1726" t="str">
            <v/>
          </cell>
          <cell r="AJ1726">
            <v>0</v>
          </cell>
          <cell r="AK1726">
            <v>1</v>
          </cell>
          <cell r="AL1726"/>
          <cell r="AM1726"/>
          <cell r="AN1726">
            <v>4041384</v>
          </cell>
          <cell r="AO1726"/>
          <cell r="AP1726"/>
          <cell r="AQ1726"/>
          <cell r="AR1726"/>
          <cell r="AS1726">
            <v>9</v>
          </cell>
          <cell r="AT1726" t="str">
            <v>404-4,750</v>
          </cell>
          <cell r="AU1726" t="str">
            <v/>
          </cell>
          <cell r="AV1726"/>
        </row>
        <row r="1727">
          <cell r="Z1727">
            <v>4041385</v>
          </cell>
          <cell r="AA1727" t="str">
            <v>Intensifier 6-1/2" OD 
4-1/2" IF Pin x Box</v>
          </cell>
          <cell r="AB1727">
            <v>460</v>
          </cell>
          <cell r="AC1727">
            <v>6.5</v>
          </cell>
          <cell r="AD1727">
            <v>3980</v>
          </cell>
          <cell r="AE1727" t="str">
            <v>4-1/2" IF Box</v>
          </cell>
          <cell r="AF1727" t="str">
            <v>4-1/2" IF Pin</v>
          </cell>
          <cell r="AG1727"/>
          <cell r="AH1727" t="str">
            <v xml:space="preserve"> en stock </v>
          </cell>
          <cell r="AI1727">
            <v>1</v>
          </cell>
          <cell r="AJ1727">
            <v>0</v>
          </cell>
          <cell r="AK1727">
            <v>0</v>
          </cell>
          <cell r="AL1727"/>
          <cell r="AM1727"/>
          <cell r="AN1727">
            <v>4041385</v>
          </cell>
          <cell r="AO1727"/>
          <cell r="AP1727"/>
          <cell r="AQ1727"/>
          <cell r="AR1727"/>
          <cell r="AS1727">
            <v>13</v>
          </cell>
          <cell r="AT1727" t="str">
            <v>404-6,500</v>
          </cell>
          <cell r="AU1727" t="str">
            <v/>
          </cell>
          <cell r="AV1727"/>
        </row>
        <row r="1728">
          <cell r="Z1728">
            <v>5121386</v>
          </cell>
          <cell r="AA1728" t="str">
            <v>WO Top Sub 5-1/2" FJWP
3-1/2" IF Box up x 5-1/2" FJWP Pin x 3-1/2" REG Box in</v>
          </cell>
          <cell r="AB1728">
            <v>44</v>
          </cell>
          <cell r="AC1728">
            <v>5.5</v>
          </cell>
          <cell r="AD1728">
            <v>600</v>
          </cell>
          <cell r="AE1728" t="str">
            <v>3-1/2" IF Box</v>
          </cell>
          <cell r="AF1728" t="str">
            <v>5-1/2" FJWP Pin</v>
          </cell>
          <cell r="AG1728" t="str">
            <v>3-1/2" REG Box</v>
          </cell>
          <cell r="AH1728" t="str">
            <v xml:space="preserve"> en stock </v>
          </cell>
          <cell r="AI1728">
            <v>1</v>
          </cell>
          <cell r="AJ1728">
            <v>0</v>
          </cell>
          <cell r="AK1728">
            <v>0</v>
          </cell>
          <cell r="AL1728"/>
          <cell r="AM1728"/>
          <cell r="AN1728">
            <v>5121386</v>
          </cell>
          <cell r="AO1728"/>
          <cell r="AP1728"/>
          <cell r="AQ1728"/>
          <cell r="AR1728"/>
          <cell r="AS1728">
            <v>23</v>
          </cell>
          <cell r="AT1728"/>
          <cell r="AU1728" t="str">
            <v>FR</v>
          </cell>
          <cell r="AV1728"/>
        </row>
        <row r="1729">
          <cell r="Z1729">
            <v>5121387</v>
          </cell>
          <cell r="AA1729" t="str">
            <v>WO Top Sub 5-1/2" FJWP
3-1/2" IF Box up x 5-1/2" FJWP Pin x 3-1/2" REG Box in</v>
          </cell>
          <cell r="AB1729">
            <v>44</v>
          </cell>
          <cell r="AC1729">
            <v>5.5</v>
          </cell>
          <cell r="AD1729">
            <v>600</v>
          </cell>
          <cell r="AE1729" t="str">
            <v>3-1/2" IF Box</v>
          </cell>
          <cell r="AF1729" t="str">
            <v>5-1/2" FJWP Pin</v>
          </cell>
          <cell r="AG1729" t="str">
            <v>3-1/2" REG Box</v>
          </cell>
          <cell r="AH1729" t="str">
            <v>maintenance</v>
          </cell>
          <cell r="AI1729" t="str">
            <v/>
          </cell>
          <cell r="AJ1729">
            <v>0</v>
          </cell>
          <cell r="AK1729">
            <v>1</v>
          </cell>
          <cell r="AL1729"/>
          <cell r="AM1729"/>
          <cell r="AN1729">
            <v>5121387</v>
          </cell>
          <cell r="AO1729"/>
          <cell r="AP1729"/>
          <cell r="AQ1729"/>
          <cell r="AR1729"/>
          <cell r="AS1729">
            <v>24</v>
          </cell>
          <cell r="AT1729"/>
          <cell r="AU1729" t="str">
            <v>FR</v>
          </cell>
          <cell r="AV1729"/>
        </row>
        <row r="1730">
          <cell r="Z1730">
            <v>5021388</v>
          </cell>
          <cell r="AA1730" t="str">
            <v>Economill 
2-7/8" REG Pin</v>
          </cell>
          <cell r="AB1730">
            <v>17</v>
          </cell>
          <cell r="AC1730">
            <v>4.875</v>
          </cell>
          <cell r="AD1730">
            <v>215</v>
          </cell>
          <cell r="AE1730" t="str">
            <v>2-7/8" REG Pin</v>
          </cell>
          <cell r="AF1730"/>
          <cell r="AG1730" t="str">
            <v>C</v>
          </cell>
          <cell r="AH1730" t="str">
            <v xml:space="preserve"> en stock </v>
          </cell>
          <cell r="AI1730">
            <v>1</v>
          </cell>
          <cell r="AJ1730">
            <v>0</v>
          </cell>
          <cell r="AK1730">
            <v>0</v>
          </cell>
          <cell r="AL1730"/>
          <cell r="AM1730"/>
          <cell r="AN1730">
            <v>5021388</v>
          </cell>
          <cell r="AO1730"/>
          <cell r="AP1730"/>
          <cell r="AQ1730"/>
          <cell r="AR1730"/>
          <cell r="AS1730">
            <v>20</v>
          </cell>
          <cell r="AT1730"/>
          <cell r="AU1730" t="str">
            <v>FR</v>
          </cell>
          <cell r="AV1730"/>
        </row>
        <row r="1731">
          <cell r="Z1731">
            <v>5021389</v>
          </cell>
          <cell r="AA1731" t="str">
            <v>Economill 
3-1/2" REG Pin</v>
          </cell>
          <cell r="AB1731">
            <v>17</v>
          </cell>
          <cell r="AC1731">
            <v>4.875</v>
          </cell>
          <cell r="AD1731">
            <v>210</v>
          </cell>
          <cell r="AE1731" t="str">
            <v>3-1/2" REG Pin</v>
          </cell>
          <cell r="AF1731"/>
          <cell r="AG1731" t="str">
            <v>C</v>
          </cell>
          <cell r="AH1731" t="str">
            <v xml:space="preserve"> en stock </v>
          </cell>
          <cell r="AI1731">
            <v>1</v>
          </cell>
          <cell r="AJ1731">
            <v>0</v>
          </cell>
          <cell r="AK1731">
            <v>0</v>
          </cell>
          <cell r="AL1731"/>
          <cell r="AM1731"/>
          <cell r="AN1731">
            <v>5021389</v>
          </cell>
          <cell r="AO1731"/>
          <cell r="AP1731"/>
          <cell r="AQ1731"/>
          <cell r="AR1731"/>
          <cell r="AS1731">
            <v>21</v>
          </cell>
          <cell r="AT1731"/>
          <cell r="AU1731" t="str">
            <v>FR</v>
          </cell>
          <cell r="AV1731"/>
        </row>
        <row r="1732">
          <cell r="Z1732">
            <v>1091380</v>
          </cell>
          <cell r="AA1732" t="str">
            <v>Junk Sub 3-1/2" OD cup 
2-3/8" REG Pin up x 2-3/8" REG Box down</v>
          </cell>
          <cell r="AB1732">
            <v>0</v>
          </cell>
          <cell r="AC1732">
            <v>3.5</v>
          </cell>
          <cell r="AD1732">
            <v>905</v>
          </cell>
          <cell r="AE1732" t="str">
            <v>2-3/8" REG Pin</v>
          </cell>
          <cell r="AF1732" t="str">
            <v>2-3/8" REG Box</v>
          </cell>
          <cell r="AG1732"/>
          <cell r="AH1732" t="str">
            <v xml:space="preserve"> en stock </v>
          </cell>
          <cell r="AI1732">
            <v>1</v>
          </cell>
          <cell r="AJ1732">
            <v>0</v>
          </cell>
          <cell r="AK1732">
            <v>0</v>
          </cell>
          <cell r="AL1732"/>
          <cell r="AM1732"/>
          <cell r="AN1732">
            <v>1091390</v>
          </cell>
          <cell r="AO1732"/>
          <cell r="AP1732"/>
          <cell r="AQ1732"/>
          <cell r="AR1732"/>
          <cell r="AS1732">
            <v>9</v>
          </cell>
          <cell r="AT1732" t="str">
            <v>109-3,500</v>
          </cell>
          <cell r="AU1732" t="str">
            <v>FR</v>
          </cell>
          <cell r="AV1732"/>
        </row>
        <row r="1733">
          <cell r="Z1733">
            <v>1091381</v>
          </cell>
          <cell r="AA1733" t="str">
            <v>Junk Sub 3-1/2" OD cup 
2-3/8" REG Pin up x 2-3/8" REG Box down</v>
          </cell>
          <cell r="AB1733">
            <v>0</v>
          </cell>
          <cell r="AC1733">
            <v>3.5</v>
          </cell>
          <cell r="AD1733">
            <v>905</v>
          </cell>
          <cell r="AE1733" t="str">
            <v>2-3/8" REG Pin</v>
          </cell>
          <cell r="AF1733" t="str">
            <v>2-3/8" REG Box</v>
          </cell>
          <cell r="AG1733"/>
          <cell r="AH1733" t="str">
            <v xml:space="preserve"> en stock </v>
          </cell>
          <cell r="AI1733">
            <v>1</v>
          </cell>
          <cell r="AJ1733">
            <v>0</v>
          </cell>
          <cell r="AK1733">
            <v>0</v>
          </cell>
          <cell r="AL1733"/>
          <cell r="AM1733"/>
          <cell r="AN1733">
            <v>1091391</v>
          </cell>
          <cell r="AO1733"/>
          <cell r="AP1733"/>
          <cell r="AQ1733"/>
          <cell r="AR1733"/>
          <cell r="AS1733">
            <v>10</v>
          </cell>
          <cell r="AT1733" t="str">
            <v>109-3,500</v>
          </cell>
          <cell r="AU1733" t="str">
            <v>FR</v>
          </cell>
          <cell r="AV1733"/>
        </row>
        <row r="1734">
          <cell r="Z1734">
            <v>7121392</v>
          </cell>
          <cell r="AA1734" t="str">
            <v>Releasing Spear 5-11/16" OD Mandrel CA 9266
3-1/2" IF Box</v>
          </cell>
          <cell r="AB1734">
            <v>90</v>
          </cell>
          <cell r="AC1734">
            <v>5.6875</v>
          </cell>
          <cell r="AD1734" t="str">
            <v>CA 9266</v>
          </cell>
          <cell r="AE1734" t="str">
            <v>3-1/2" IF Box</v>
          </cell>
          <cell r="AF1734" t="str">
            <v>bull nose nut</v>
          </cell>
          <cell r="AG1734"/>
          <cell r="AH1734" t="str">
            <v xml:space="preserve"> en stock </v>
          </cell>
          <cell r="AI1734">
            <v>1</v>
          </cell>
          <cell r="AJ1734">
            <v>0</v>
          </cell>
          <cell r="AK1734">
            <v>0</v>
          </cell>
          <cell r="AL1734"/>
          <cell r="AM1734"/>
          <cell r="AN1734">
            <v>1091406</v>
          </cell>
          <cell r="AO1734"/>
          <cell r="AP1734"/>
          <cell r="AQ1734"/>
          <cell r="AR1734"/>
          <cell r="AS1734">
            <v>28</v>
          </cell>
          <cell r="AT1734"/>
          <cell r="AU1734" t="str">
            <v/>
          </cell>
          <cell r="AV1734"/>
        </row>
        <row r="1735">
          <cell r="Z1735">
            <v>7121393</v>
          </cell>
          <cell r="AA1735" t="str">
            <v>Releasing Spear 4-1/32" OD Mandrel CA 9680
2-7/8" IF Box</v>
          </cell>
          <cell r="AB1735">
            <v>42</v>
          </cell>
          <cell r="AC1735">
            <v>4.03125</v>
          </cell>
          <cell r="AD1735" t="str">
            <v>CA 9680</v>
          </cell>
          <cell r="AE1735" t="str">
            <v>2-7/8" IF Box</v>
          </cell>
          <cell r="AF1735" t="str">
            <v>bull nose nut</v>
          </cell>
          <cell r="AG1735"/>
          <cell r="AH1735" t="str">
            <v xml:space="preserve"> en stock </v>
          </cell>
          <cell r="AI1735">
            <v>1</v>
          </cell>
          <cell r="AJ1735">
            <v>0</v>
          </cell>
          <cell r="AK1735">
            <v>0</v>
          </cell>
          <cell r="AL1735"/>
          <cell r="AM1735"/>
          <cell r="AN1735">
            <v>1091407</v>
          </cell>
          <cell r="AO1735"/>
          <cell r="AP1735"/>
          <cell r="AQ1735"/>
          <cell r="AR1735"/>
          <cell r="AS1735">
            <v>22</v>
          </cell>
          <cell r="AT1735"/>
          <cell r="AU1735" t="str">
            <v/>
          </cell>
          <cell r="AV1735"/>
        </row>
        <row r="1736">
          <cell r="Z1736">
            <v>5151394</v>
          </cell>
          <cell r="AA1736" t="str">
            <v>WO Lift Plug 
5-1/2" FJWP Pin</v>
          </cell>
          <cell r="AB1736">
            <v>0</v>
          </cell>
          <cell r="AC1736" t="str">
            <v>Flush w/ Handle</v>
          </cell>
          <cell r="AD1736"/>
          <cell r="AE1736" t="str">
            <v>5-1/2" FJWP Pin</v>
          </cell>
          <cell r="AF1736"/>
          <cell r="AG1736"/>
          <cell r="AH1736" t="str">
            <v>maintenance</v>
          </cell>
          <cell r="AI1736" t="str">
            <v/>
          </cell>
          <cell r="AJ1736">
            <v>0</v>
          </cell>
          <cell r="AK1736">
            <v>1</v>
          </cell>
          <cell r="AL1736"/>
          <cell r="AM1736"/>
          <cell r="AN1736">
            <v>1091539</v>
          </cell>
          <cell r="AO1736"/>
          <cell r="AP1736"/>
          <cell r="AQ1736"/>
          <cell r="AR1736"/>
          <cell r="AS1736">
            <v>16</v>
          </cell>
          <cell r="AT1736"/>
          <cell r="AU1736" t="str">
            <v/>
          </cell>
          <cell r="AV1736"/>
        </row>
        <row r="1737">
          <cell r="Z1737">
            <v>5091395</v>
          </cell>
          <cell r="AA1737" t="str">
            <v>WO Internal Hook Lg 3000 mm
7-5/8" FJWP Pin x Box</v>
          </cell>
          <cell r="AB1737">
            <v>130</v>
          </cell>
          <cell r="AC1737">
            <v>7.625</v>
          </cell>
          <cell r="AD1737">
            <v>3000</v>
          </cell>
          <cell r="AE1737" t="str">
            <v>7-5/8" FJWP Box</v>
          </cell>
          <cell r="AF1737" t="str">
            <v>7-5/8" FJWP Pin</v>
          </cell>
          <cell r="AG1737"/>
          <cell r="AH1737" t="str">
            <v xml:space="preserve"> en stock </v>
          </cell>
          <cell r="AI1737">
            <v>1</v>
          </cell>
          <cell r="AJ1737">
            <v>0</v>
          </cell>
          <cell r="AK1737">
            <v>0</v>
          </cell>
          <cell r="AL1737"/>
          <cell r="AM1737"/>
          <cell r="AN1737">
            <v>1091540</v>
          </cell>
          <cell r="AO1737"/>
          <cell r="AP1737"/>
          <cell r="AQ1737"/>
          <cell r="AR1737"/>
          <cell r="AS1737">
            <v>14</v>
          </cell>
          <cell r="AT1737" t="str">
            <v>509-7,625FJWP</v>
          </cell>
          <cell r="AU1737" t="str">
            <v/>
          </cell>
          <cell r="AV1737"/>
        </row>
        <row r="1738">
          <cell r="Z1738">
            <v>5091396</v>
          </cell>
          <cell r="AA1738" t="str">
            <v>WO Extension Lg 3000 mm
7-5/8" FJWP Pin x Box</v>
          </cell>
          <cell r="AB1738">
            <v>689.02129332562492</v>
          </cell>
          <cell r="AC1738">
            <v>7.625</v>
          </cell>
          <cell r="AD1738">
            <v>3000</v>
          </cell>
          <cell r="AE1738" t="str">
            <v>7-5/8" FJWP Box</v>
          </cell>
          <cell r="AF1738" t="str">
            <v>7-5/8" FJWP Pin</v>
          </cell>
          <cell r="AG1738"/>
          <cell r="AH1738" t="str">
            <v>sur chantier</v>
          </cell>
          <cell r="AI1738" t="str">
            <v/>
          </cell>
          <cell r="AJ1738">
            <v>1</v>
          </cell>
          <cell r="AK1738">
            <v>0</v>
          </cell>
          <cell r="AL1738"/>
          <cell r="AM1738"/>
          <cell r="AN1738" t="str">
            <v/>
          </cell>
          <cell r="AO1738"/>
          <cell r="AP1738"/>
          <cell r="AQ1738"/>
          <cell r="AR1738"/>
          <cell r="AS1738">
            <v>165</v>
          </cell>
          <cell r="AT1738" t="str">
            <v>509-7,625FJWP</v>
          </cell>
          <cell r="AU1738" t="str">
            <v/>
          </cell>
          <cell r="AV1738"/>
        </row>
        <row r="1739">
          <cell r="Z1739">
            <v>5111397</v>
          </cell>
          <cell r="AA1739" t="str">
            <v>WO Shoe
7-5/8" FJWP Box</v>
          </cell>
          <cell r="AB1739">
            <v>0</v>
          </cell>
          <cell r="AC1739">
            <v>0</v>
          </cell>
          <cell r="AD1739">
            <v>100</v>
          </cell>
          <cell r="AE1739" t="str">
            <v>7-5/8" FJWP Box</v>
          </cell>
          <cell r="AF1739"/>
          <cell r="AG1739">
            <v>0</v>
          </cell>
          <cell r="AH1739" t="str">
            <v>maintenance</v>
          </cell>
          <cell r="AI1739" t="str">
            <v/>
          </cell>
          <cell r="AJ1739">
            <v>0</v>
          </cell>
          <cell r="AK1739">
            <v>1</v>
          </cell>
          <cell r="AL1739"/>
          <cell r="AM1739"/>
          <cell r="AN1739" t="str">
            <v/>
          </cell>
          <cell r="AO1739"/>
          <cell r="AP1739"/>
          <cell r="AQ1739"/>
          <cell r="AR1739"/>
          <cell r="AS1739">
            <v>154</v>
          </cell>
          <cell r="AT1739"/>
          <cell r="AU1739" t="str">
            <v/>
          </cell>
          <cell r="AV1739"/>
        </row>
        <row r="1740">
          <cell r="Z1740">
            <v>8131398</v>
          </cell>
          <cell r="AA1740" t="str">
            <v>XO
2-7/8" REG Pin x 3-1/2" REG Pin</v>
          </cell>
          <cell r="AB1740">
            <v>31</v>
          </cell>
          <cell r="AC1740">
            <v>4.5</v>
          </cell>
          <cell r="AD1740">
            <v>360</v>
          </cell>
          <cell r="AE1740" t="str">
            <v>2-7/8" REG Pin</v>
          </cell>
          <cell r="AF1740" t="str">
            <v>3-1/2" REG Pin</v>
          </cell>
          <cell r="AG1740"/>
          <cell r="AH1740" t="str">
            <v xml:space="preserve"> en stock </v>
          </cell>
          <cell r="AI1740">
            <v>1</v>
          </cell>
          <cell r="AJ1740">
            <v>0</v>
          </cell>
          <cell r="AK1740">
            <v>0</v>
          </cell>
          <cell r="AL1740"/>
          <cell r="AM1740"/>
          <cell r="AN1740">
            <v>8131398</v>
          </cell>
          <cell r="AO1740"/>
          <cell r="AP1740"/>
          <cell r="AQ1740"/>
          <cell r="AR1740"/>
          <cell r="AS1740">
            <v>96</v>
          </cell>
          <cell r="AT1740"/>
          <cell r="AU1740" t="str">
            <v>FR</v>
          </cell>
          <cell r="AV1740"/>
        </row>
        <row r="1741">
          <cell r="Z1741">
            <v>7091399</v>
          </cell>
          <cell r="AA1741" t="str">
            <v>Taper Tap 4-3/4" OD to catch from Ø 1-5/8" to 3" 
Lg catch 550mm
3-1/2" IF Box</v>
          </cell>
          <cell r="AB1741">
            <v>20</v>
          </cell>
          <cell r="AC1741">
            <v>4.75</v>
          </cell>
          <cell r="AD1741">
            <v>550</v>
          </cell>
          <cell r="AE1741" t="str">
            <v>3-1/2" IF Box</v>
          </cell>
          <cell r="AF1741"/>
          <cell r="AG1741"/>
          <cell r="AH1741" t="str">
            <v>maintenance</v>
          </cell>
          <cell r="AI1741" t="str">
            <v/>
          </cell>
          <cell r="AJ1741">
            <v>0</v>
          </cell>
          <cell r="AK1741">
            <v>1</v>
          </cell>
          <cell r="AL1741"/>
          <cell r="AM1741"/>
          <cell r="AN1741">
            <v>7091399</v>
          </cell>
          <cell r="AO1741"/>
          <cell r="AP1741"/>
          <cell r="AQ1741"/>
          <cell r="AR1741"/>
          <cell r="AS1741">
            <v>18</v>
          </cell>
          <cell r="AT1741" t="str">
            <v>709-</v>
          </cell>
          <cell r="AU1741" t="str">
            <v>FR</v>
          </cell>
          <cell r="AV1741"/>
        </row>
        <row r="1742">
          <cell r="Z1742">
            <v>7091400</v>
          </cell>
          <cell r="AA1742" t="str">
            <v>Taper Tap 4-3/4" OD to catch from Ø 1-5/8" to 3" 
Lg catch 550mm
3-1/2" IF Box</v>
          </cell>
          <cell r="AB1742">
            <v>20</v>
          </cell>
          <cell r="AC1742">
            <v>4.75</v>
          </cell>
          <cell r="AD1742">
            <v>550</v>
          </cell>
          <cell r="AE1742" t="str">
            <v>3-1/2" IF Box</v>
          </cell>
          <cell r="AF1742"/>
          <cell r="AG1742"/>
          <cell r="AH1742" t="str">
            <v xml:space="preserve"> en stock </v>
          </cell>
          <cell r="AI1742">
            <v>1</v>
          </cell>
          <cell r="AJ1742">
            <v>0</v>
          </cell>
          <cell r="AK1742">
            <v>0</v>
          </cell>
          <cell r="AL1742"/>
          <cell r="AM1742"/>
          <cell r="AN1742">
            <v>7091400</v>
          </cell>
          <cell r="AO1742"/>
          <cell r="AP1742"/>
          <cell r="AQ1742"/>
          <cell r="AR1742"/>
          <cell r="AS1742">
            <v>19</v>
          </cell>
          <cell r="AT1742" t="str">
            <v>709-</v>
          </cell>
          <cell r="AU1742" t="str">
            <v>FR</v>
          </cell>
          <cell r="AV1742"/>
        </row>
        <row r="1743">
          <cell r="Z1743">
            <v>7091401</v>
          </cell>
          <cell r="AA1743" t="str">
            <v>Taper Tap 3-3/8" OD to catch from Ø 1-1/4" to 2-1/4"
Lg catch 550mm
2-3/8" REG Box</v>
          </cell>
          <cell r="AB1743">
            <v>10</v>
          </cell>
          <cell r="AC1743">
            <v>3.375</v>
          </cell>
          <cell r="AD1743">
            <v>550</v>
          </cell>
          <cell r="AE1743" t="str">
            <v>2-3/8" REG Box</v>
          </cell>
          <cell r="AF1743"/>
          <cell r="AG1743"/>
          <cell r="AH1743" t="str">
            <v xml:space="preserve"> en stock </v>
          </cell>
          <cell r="AI1743">
            <v>1</v>
          </cell>
          <cell r="AJ1743">
            <v>0</v>
          </cell>
          <cell r="AK1743">
            <v>0</v>
          </cell>
          <cell r="AL1743"/>
          <cell r="AM1743"/>
          <cell r="AN1743">
            <v>7091401</v>
          </cell>
          <cell r="AO1743"/>
          <cell r="AP1743"/>
          <cell r="AQ1743"/>
          <cell r="AR1743"/>
          <cell r="AS1743">
            <v>8</v>
          </cell>
          <cell r="AT1743" t="str">
            <v>709-</v>
          </cell>
          <cell r="AU1743" t="str">
            <v>FR</v>
          </cell>
          <cell r="AV1743"/>
        </row>
        <row r="1744">
          <cell r="Z1744">
            <v>7091402</v>
          </cell>
          <cell r="AA1744" t="str">
            <v>Taper Tap 3-3/8" OD to catch from Ø 1-1/4" to 2-1/4" 
Lg catch 550mm
2-3/8" REG Box</v>
          </cell>
          <cell r="AB1744">
            <v>10</v>
          </cell>
          <cell r="AC1744">
            <v>3.375</v>
          </cell>
          <cell r="AD1744">
            <v>550</v>
          </cell>
          <cell r="AE1744" t="str">
            <v>2-3/8" REG Box</v>
          </cell>
          <cell r="AF1744"/>
          <cell r="AG1744"/>
          <cell r="AH1744" t="str">
            <v xml:space="preserve"> en stock </v>
          </cell>
          <cell r="AI1744">
            <v>1</v>
          </cell>
          <cell r="AJ1744">
            <v>0</v>
          </cell>
          <cell r="AK1744">
            <v>0</v>
          </cell>
          <cell r="AL1744"/>
          <cell r="AM1744"/>
          <cell r="AN1744">
            <v>7091402</v>
          </cell>
          <cell r="AO1744"/>
          <cell r="AP1744"/>
          <cell r="AQ1744"/>
          <cell r="AR1744"/>
          <cell r="AS1744">
            <v>9</v>
          </cell>
          <cell r="AT1744" t="str">
            <v>709-</v>
          </cell>
          <cell r="AU1744" t="str">
            <v>FR</v>
          </cell>
          <cell r="AV1744"/>
        </row>
        <row r="1745">
          <cell r="Z1745">
            <v>5061403</v>
          </cell>
          <cell r="AA1745" t="str">
            <v>String Mill 9,6 OD 
4-1/2" IF Box x 4-1/2" IF Pin</v>
          </cell>
          <cell r="AB1745">
            <v>0</v>
          </cell>
          <cell r="AC1745">
            <v>9.6</v>
          </cell>
          <cell r="AD1745">
            <v>1464</v>
          </cell>
          <cell r="AE1745" t="str">
            <v>4-1/2" IF Box</v>
          </cell>
          <cell r="AF1745" t="str">
            <v>4-1/2" IF Pin</v>
          </cell>
          <cell r="AG1745"/>
          <cell r="AH1745" t="str">
            <v xml:space="preserve"> en stock </v>
          </cell>
          <cell r="AI1745">
            <v>1</v>
          </cell>
          <cell r="AJ1745">
            <v>0</v>
          </cell>
          <cell r="AK1745">
            <v>0</v>
          </cell>
          <cell r="AL1745"/>
          <cell r="AM1745"/>
          <cell r="AN1745">
            <v>5061403</v>
          </cell>
          <cell r="AO1745"/>
          <cell r="AP1745"/>
          <cell r="AQ1745"/>
          <cell r="AR1745"/>
          <cell r="AS1745">
            <v>23</v>
          </cell>
          <cell r="AT1745"/>
          <cell r="AU1745" t="str">
            <v>FR</v>
          </cell>
          <cell r="AV1745"/>
        </row>
        <row r="1746">
          <cell r="Z1746">
            <v>1091404</v>
          </cell>
          <cell r="AA1746" t="str">
            <v>Junk Sub 6-5/8" OD Cup removable
4-1/2" REG Pin up x Box down</v>
          </cell>
          <cell r="AB1746">
            <v>0</v>
          </cell>
          <cell r="AC1746">
            <v>6.625</v>
          </cell>
          <cell r="AD1746">
            <v>1490</v>
          </cell>
          <cell r="AE1746" t="str">
            <v>4-1/2" REG Pin</v>
          </cell>
          <cell r="AF1746" t="str">
            <v>4-1/2" REG Box</v>
          </cell>
          <cell r="AG1746"/>
          <cell r="AH1746" t="str">
            <v xml:space="preserve"> en stock </v>
          </cell>
          <cell r="AI1746">
            <v>1</v>
          </cell>
          <cell r="AJ1746">
            <v>0</v>
          </cell>
          <cell r="AK1746">
            <v>0</v>
          </cell>
          <cell r="AL1746"/>
          <cell r="AM1746"/>
          <cell r="AN1746">
            <v>1091404</v>
          </cell>
          <cell r="AO1746"/>
          <cell r="AP1746"/>
          <cell r="AQ1746"/>
          <cell r="AR1746"/>
          <cell r="AS1746">
            <v>25</v>
          </cell>
          <cell r="AT1746" t="str">
            <v>109-6,625</v>
          </cell>
          <cell r="AU1746" t="str">
            <v>FR</v>
          </cell>
          <cell r="AV1746"/>
        </row>
        <row r="1747">
          <cell r="Z1747">
            <v>1091405</v>
          </cell>
          <cell r="AA1747" t="str">
            <v>Junk Sub 6-5/8" OD Cup removable
4-1/2" REG Pin up x Box down</v>
          </cell>
          <cell r="AB1747">
            <v>0</v>
          </cell>
          <cell r="AC1747">
            <v>6.625</v>
          </cell>
          <cell r="AD1747">
            <v>1500</v>
          </cell>
          <cell r="AE1747" t="str">
            <v>4-1/2" REG Pin</v>
          </cell>
          <cell r="AF1747" t="str">
            <v>4-1/2" REG Box</v>
          </cell>
          <cell r="AG1747"/>
          <cell r="AH1747" t="str">
            <v>sur chantier</v>
          </cell>
          <cell r="AI1747" t="str">
            <v/>
          </cell>
          <cell r="AJ1747">
            <v>1</v>
          </cell>
          <cell r="AK1747">
            <v>0</v>
          </cell>
          <cell r="AL1747"/>
          <cell r="AM1747"/>
          <cell r="AN1747">
            <v>1091405</v>
          </cell>
          <cell r="AO1747"/>
          <cell r="AP1747"/>
          <cell r="AQ1747"/>
          <cell r="AR1747"/>
          <cell r="AS1747">
            <v>26</v>
          </cell>
          <cell r="AT1747" t="str">
            <v>109-6,625</v>
          </cell>
          <cell r="AU1747" t="str">
            <v>FR</v>
          </cell>
          <cell r="AV1747"/>
        </row>
        <row r="1748">
          <cell r="Z1748">
            <v>1091406</v>
          </cell>
          <cell r="AA1748" t="str">
            <v>Junk Sub 5" OD cup 
3-1/2" REG Pin up x 3-1/2" REG Box down</v>
          </cell>
          <cell r="AB1748">
            <v>64</v>
          </cell>
          <cell r="AC1748">
            <v>5.0625</v>
          </cell>
          <cell r="AD1748">
            <v>1200</v>
          </cell>
          <cell r="AE1748" t="str">
            <v>3-1/2" REG Pin</v>
          </cell>
          <cell r="AF1748" t="str">
            <v>3-1/2" REG Box</v>
          </cell>
          <cell r="AG1748"/>
          <cell r="AH1748" t="str">
            <v>maintenance</v>
          </cell>
          <cell r="AI1748" t="str">
            <v/>
          </cell>
          <cell r="AJ1748">
            <v>0</v>
          </cell>
          <cell r="AK1748">
            <v>1</v>
          </cell>
          <cell r="AL1748"/>
          <cell r="AM1748"/>
          <cell r="AN1748">
            <v>1091406</v>
          </cell>
          <cell r="AO1748"/>
          <cell r="AP1748"/>
          <cell r="AQ1748"/>
          <cell r="AR1748"/>
          <cell r="AS1748">
            <v>17</v>
          </cell>
          <cell r="AT1748" t="str">
            <v>109-5,000</v>
          </cell>
          <cell r="AU1748" t="str">
            <v>FR</v>
          </cell>
          <cell r="AV1748"/>
        </row>
        <row r="1749">
          <cell r="Z1749">
            <v>1091407</v>
          </cell>
          <cell r="AA1749" t="str">
            <v>Junk Sub 5" OD cup 
3-1/2" REG Pin up x 3-1/2" REG Box down</v>
          </cell>
          <cell r="AB1749">
            <v>64</v>
          </cell>
          <cell r="AC1749">
            <v>5.0625</v>
          </cell>
          <cell r="AD1749">
            <v>1200</v>
          </cell>
          <cell r="AE1749" t="str">
            <v>3-1/2" REG Pin</v>
          </cell>
          <cell r="AF1749" t="str">
            <v>3-1/2" REG Box</v>
          </cell>
          <cell r="AG1749"/>
          <cell r="AH1749" t="str">
            <v>sur chantier</v>
          </cell>
          <cell r="AI1749" t="str">
            <v/>
          </cell>
          <cell r="AJ1749">
            <v>1</v>
          </cell>
          <cell r="AK1749">
            <v>0</v>
          </cell>
          <cell r="AL1749"/>
          <cell r="AM1749"/>
          <cell r="AN1749">
            <v>1091407</v>
          </cell>
          <cell r="AO1749"/>
          <cell r="AP1749"/>
          <cell r="AQ1749"/>
          <cell r="AR1749"/>
          <cell r="AS1749">
            <v>18</v>
          </cell>
          <cell r="AT1749" t="str">
            <v>109-5,000</v>
          </cell>
          <cell r="AU1749" t="str">
            <v>FR</v>
          </cell>
          <cell r="AV1749"/>
        </row>
        <row r="1750">
          <cell r="Z1750">
            <v>7011408</v>
          </cell>
          <cell r="AA1750" t="str">
            <v>Die Collar 5-7/16" OD to catch from Ø 3-3/8" to 4-3/8" 
Lg catch 500mm
3-1/2" IF Box</v>
          </cell>
          <cell r="AB1750">
            <v>78</v>
          </cell>
          <cell r="AC1750">
            <v>5.4375</v>
          </cell>
          <cell r="AD1750">
            <v>1195</v>
          </cell>
          <cell r="AE1750" t="str">
            <v>3-1/2" IF Box</v>
          </cell>
          <cell r="AF1750" t="str">
            <v xml:space="preserve"> - </v>
          </cell>
          <cell r="AG1750" t="str">
            <v>3,375 to 4,375</v>
          </cell>
          <cell r="AH1750" t="str">
            <v xml:space="preserve"> en stock </v>
          </cell>
          <cell r="AI1750">
            <v>1</v>
          </cell>
          <cell r="AJ1750">
            <v>0</v>
          </cell>
          <cell r="AK1750">
            <v>0</v>
          </cell>
          <cell r="AL1750"/>
          <cell r="AM1750"/>
          <cell r="AN1750" t="str">
            <v/>
          </cell>
          <cell r="AO1750"/>
          <cell r="AP1750"/>
          <cell r="AQ1750"/>
          <cell r="AR1750"/>
          <cell r="AS1750">
            <v>6</v>
          </cell>
          <cell r="AT1750"/>
          <cell r="AU1750" t="str">
            <v/>
          </cell>
          <cell r="AV1750"/>
        </row>
        <row r="1751">
          <cell r="Z1751">
            <v>7011409</v>
          </cell>
          <cell r="AA1751" t="str">
            <v>Die Collar 7-15/16" OD to catch from Ø 3-3/4" to 4-1/2"
Lg catch600mm
3-1/2" REG Box</v>
          </cell>
          <cell r="AB1751">
            <v>74</v>
          </cell>
          <cell r="AC1751">
            <v>7.9375</v>
          </cell>
          <cell r="AD1751">
            <v>685</v>
          </cell>
          <cell r="AE1751" t="str">
            <v>3-1/2" REG Box</v>
          </cell>
          <cell r="AF1751" t="str">
            <v xml:space="preserve"> - </v>
          </cell>
          <cell r="AG1751" t="str">
            <v>3,75 to 4,5</v>
          </cell>
          <cell r="AH1751" t="str">
            <v xml:space="preserve"> en stock </v>
          </cell>
          <cell r="AI1751">
            <v>1</v>
          </cell>
          <cell r="AJ1751">
            <v>0</v>
          </cell>
          <cell r="AK1751">
            <v>0</v>
          </cell>
          <cell r="AL1751"/>
          <cell r="AM1751"/>
          <cell r="AN1751" t="str">
            <v/>
          </cell>
          <cell r="AO1751"/>
          <cell r="AP1751"/>
          <cell r="AQ1751"/>
          <cell r="AR1751"/>
          <cell r="AS1751">
            <v>7</v>
          </cell>
          <cell r="AT1751"/>
          <cell r="AU1751" t="str">
            <v/>
          </cell>
          <cell r="AV1751"/>
        </row>
        <row r="1752">
          <cell r="Z1752">
            <v>7011410</v>
          </cell>
          <cell r="AA1752" t="str">
            <v>Die Collar 5-3/4" OD to catch from Ø 3-3/8" to 4-1/2" 
Lg catch 280mm
5-3/8" BRS Box</v>
          </cell>
          <cell r="AB1752">
            <v>40</v>
          </cell>
          <cell r="AC1752">
            <v>5.75</v>
          </cell>
          <cell r="AD1752">
            <v>480</v>
          </cell>
          <cell r="AE1752" t="str">
            <v>5-3/8" BRS Box</v>
          </cell>
          <cell r="AF1752" t="str">
            <v>avec guide</v>
          </cell>
          <cell r="AG1752" t="str">
            <v>3,375 to 4,5</v>
          </cell>
          <cell r="AH1752" t="str">
            <v xml:space="preserve"> en stock </v>
          </cell>
          <cell r="AI1752">
            <v>1</v>
          </cell>
          <cell r="AJ1752">
            <v>0</v>
          </cell>
          <cell r="AK1752">
            <v>0</v>
          </cell>
          <cell r="AL1752"/>
          <cell r="AM1752"/>
          <cell r="AN1752" t="str">
            <v/>
          </cell>
          <cell r="AO1752"/>
          <cell r="AP1752"/>
          <cell r="AQ1752"/>
          <cell r="AR1752"/>
          <cell r="AS1752">
            <v>8</v>
          </cell>
          <cell r="AT1752"/>
          <cell r="AU1752" t="str">
            <v/>
          </cell>
          <cell r="AV1752"/>
        </row>
        <row r="1753">
          <cell r="Z1753">
            <v>7011411</v>
          </cell>
          <cell r="AA1753" t="str">
            <v>Die Collar 6-1/4" OD to catch from Ø 4-1/4" to 5-1/4" 
Lg catch 390mm
3-1/2" IF Box</v>
          </cell>
          <cell r="AB1753">
            <v>52</v>
          </cell>
          <cell r="AC1753">
            <v>6.25</v>
          </cell>
          <cell r="AD1753">
            <v>935</v>
          </cell>
          <cell r="AE1753" t="str">
            <v>3-1/2" IF Box</v>
          </cell>
          <cell r="AF1753" t="str">
            <v xml:space="preserve"> - </v>
          </cell>
          <cell r="AG1753" t="str">
            <v>4,25 to 5,25</v>
          </cell>
          <cell r="AH1753" t="str">
            <v xml:space="preserve"> en stock </v>
          </cell>
          <cell r="AI1753">
            <v>1</v>
          </cell>
          <cell r="AJ1753">
            <v>0</v>
          </cell>
          <cell r="AK1753">
            <v>0</v>
          </cell>
          <cell r="AL1753"/>
          <cell r="AM1753"/>
          <cell r="AN1753" t="str">
            <v/>
          </cell>
          <cell r="AO1753"/>
          <cell r="AP1753"/>
          <cell r="AQ1753"/>
          <cell r="AR1753"/>
          <cell r="AS1753">
            <v>9</v>
          </cell>
          <cell r="AT1753"/>
          <cell r="AU1753" t="str">
            <v/>
          </cell>
          <cell r="AV1753"/>
        </row>
        <row r="1754">
          <cell r="Z1754">
            <v>7011412</v>
          </cell>
          <cell r="AA1754" t="str">
            <v>Die Collar 6-1/4" OD to catch from Ø 4-1/4" to 5-1/4" 
Lg catch 390mm
3-1/2" IF Box</v>
          </cell>
          <cell r="AB1754">
            <v>52</v>
          </cell>
          <cell r="AC1754">
            <v>6.25</v>
          </cell>
          <cell r="AD1754">
            <v>940</v>
          </cell>
          <cell r="AE1754" t="str">
            <v>3-1/2" IF Box</v>
          </cell>
          <cell r="AF1754" t="str">
            <v xml:space="preserve"> - </v>
          </cell>
          <cell r="AG1754" t="str">
            <v>4,25 to 5,25</v>
          </cell>
          <cell r="AH1754" t="str">
            <v>maintenance</v>
          </cell>
          <cell r="AI1754" t="str">
            <v/>
          </cell>
          <cell r="AJ1754">
            <v>0</v>
          </cell>
          <cell r="AK1754">
            <v>1</v>
          </cell>
          <cell r="AL1754"/>
          <cell r="AM1754"/>
          <cell r="AN1754" t="str">
            <v/>
          </cell>
          <cell r="AO1754"/>
          <cell r="AP1754"/>
          <cell r="AQ1754"/>
          <cell r="AR1754"/>
          <cell r="AS1754">
            <v>10</v>
          </cell>
          <cell r="AT1754"/>
          <cell r="AU1754" t="str">
            <v/>
          </cell>
          <cell r="AV1754"/>
        </row>
        <row r="1755">
          <cell r="Z1755">
            <v>7011413</v>
          </cell>
          <cell r="AA1755" t="str">
            <v>Die Collar 9-5/8" OD to catch from Ø 4-1/4" to 6-1/4" 
Lg catch 860mm
4-1/2" IF Box</v>
          </cell>
          <cell r="AB1755">
            <v>126</v>
          </cell>
          <cell r="AC1755">
            <v>9.625</v>
          </cell>
          <cell r="AD1755">
            <v>1020</v>
          </cell>
          <cell r="AE1755" t="str">
            <v>4-1/2" IF Box</v>
          </cell>
          <cell r="AF1755" t="str">
            <v xml:space="preserve"> - </v>
          </cell>
          <cell r="AG1755" t="str">
            <v>4,5 to 6,25</v>
          </cell>
          <cell r="AH1755" t="str">
            <v xml:space="preserve"> en stock </v>
          </cell>
          <cell r="AI1755">
            <v>1</v>
          </cell>
          <cell r="AJ1755">
            <v>0</v>
          </cell>
          <cell r="AK1755">
            <v>0</v>
          </cell>
          <cell r="AL1755"/>
          <cell r="AM1755"/>
          <cell r="AN1755" t="str">
            <v/>
          </cell>
          <cell r="AO1755"/>
          <cell r="AP1755"/>
          <cell r="AQ1755"/>
          <cell r="AR1755"/>
          <cell r="AS1755">
            <v>16</v>
          </cell>
          <cell r="AT1755"/>
          <cell r="AU1755" t="str">
            <v/>
          </cell>
          <cell r="AV1755"/>
        </row>
        <row r="1756">
          <cell r="Z1756">
            <v>1061414</v>
          </cell>
          <cell r="AA1756" t="str">
            <v>Impression Block 6" 
3-1/2" IF Box</v>
          </cell>
          <cell r="AB1756">
            <v>58</v>
          </cell>
          <cell r="AC1756">
            <v>6</v>
          </cell>
          <cell r="AD1756">
            <v>650</v>
          </cell>
          <cell r="AE1756" t="str">
            <v>3-1/2" IF Box</v>
          </cell>
          <cell r="AF1756"/>
          <cell r="AG1756"/>
          <cell r="AH1756" t="str">
            <v>maintenance</v>
          </cell>
          <cell r="AI1756" t="str">
            <v/>
          </cell>
          <cell r="AJ1756">
            <v>0</v>
          </cell>
          <cell r="AK1756">
            <v>1</v>
          </cell>
          <cell r="AL1756" t="str">
            <v>2-3</v>
          </cell>
          <cell r="AM1756"/>
          <cell r="AN1756">
            <v>1061414</v>
          </cell>
          <cell r="AO1756"/>
          <cell r="AP1756"/>
          <cell r="AQ1756"/>
          <cell r="AR1756"/>
          <cell r="AS1756">
            <v>13</v>
          </cell>
          <cell r="AT1756"/>
          <cell r="AU1756" t="str">
            <v>FR</v>
          </cell>
          <cell r="AV1756"/>
        </row>
        <row r="1757">
          <cell r="Z1757">
            <v>1061415</v>
          </cell>
          <cell r="AA1757" t="str">
            <v>Impression Block 6" 
3-1/2" IF Box</v>
          </cell>
          <cell r="AB1757">
            <v>58</v>
          </cell>
          <cell r="AC1757">
            <v>6</v>
          </cell>
          <cell r="AD1757">
            <v>650</v>
          </cell>
          <cell r="AE1757" t="str">
            <v>3-1/2" IF Box</v>
          </cell>
          <cell r="AF1757"/>
          <cell r="AG1757"/>
          <cell r="AH1757" t="str">
            <v>sur chantier</v>
          </cell>
          <cell r="AI1757" t="str">
            <v/>
          </cell>
          <cell r="AJ1757">
            <v>1</v>
          </cell>
          <cell r="AK1757">
            <v>0</v>
          </cell>
          <cell r="AL1757" t="str">
            <v>2-3</v>
          </cell>
          <cell r="AM1757"/>
          <cell r="AN1757">
            <v>1061415</v>
          </cell>
          <cell r="AO1757"/>
          <cell r="AP1757"/>
          <cell r="AQ1757"/>
          <cell r="AR1757"/>
          <cell r="AS1757">
            <v>14</v>
          </cell>
          <cell r="AT1757"/>
          <cell r="AU1757" t="str">
            <v>FR</v>
          </cell>
          <cell r="AV1757"/>
        </row>
        <row r="1758">
          <cell r="Z1758">
            <v>8131416</v>
          </cell>
          <cell r="AA1758" t="str">
            <v>XO
2-3/8" REG Pin x 2-7/8" IF Box</v>
          </cell>
          <cell r="AB1758">
            <v>0</v>
          </cell>
          <cell r="AC1758">
            <v>4.125</v>
          </cell>
          <cell r="AD1758">
            <v>0</v>
          </cell>
          <cell r="AE1758" t="str">
            <v>2-3/8" REG Pin</v>
          </cell>
          <cell r="AF1758" t="str">
            <v>2-7/8" IF Box</v>
          </cell>
          <cell r="AG1758"/>
          <cell r="AH1758" t="str">
            <v xml:space="preserve"> en stock </v>
          </cell>
          <cell r="AI1758">
            <v>1</v>
          </cell>
          <cell r="AJ1758">
            <v>0</v>
          </cell>
          <cell r="AK1758">
            <v>0</v>
          </cell>
          <cell r="AL1758"/>
          <cell r="AM1758"/>
          <cell r="AN1758">
            <v>8131416</v>
          </cell>
          <cell r="AO1758"/>
          <cell r="AP1758"/>
          <cell r="AQ1758"/>
          <cell r="AR1758"/>
          <cell r="AS1758">
            <v>58</v>
          </cell>
          <cell r="AT1758"/>
          <cell r="AU1758" t="str">
            <v>FR</v>
          </cell>
          <cell r="AV1758"/>
        </row>
        <row r="1759">
          <cell r="Z1759">
            <v>8131417</v>
          </cell>
          <cell r="AA1759" t="str">
            <v>XO
2-3/8" REG Pin x 2-7/8" IF Box</v>
          </cell>
          <cell r="AB1759">
            <v>0</v>
          </cell>
          <cell r="AC1759">
            <v>4.125</v>
          </cell>
          <cell r="AD1759">
            <v>0</v>
          </cell>
          <cell r="AE1759" t="str">
            <v>2-3/8" REG Pin</v>
          </cell>
          <cell r="AF1759" t="str">
            <v>2-7/8" IF Box</v>
          </cell>
          <cell r="AG1759"/>
          <cell r="AH1759" t="str">
            <v xml:space="preserve"> en stock </v>
          </cell>
          <cell r="AI1759">
            <v>1</v>
          </cell>
          <cell r="AJ1759">
            <v>0</v>
          </cell>
          <cell r="AK1759">
            <v>0</v>
          </cell>
          <cell r="AL1759"/>
          <cell r="AM1759"/>
          <cell r="AN1759">
            <v>8131417</v>
          </cell>
          <cell r="AO1759"/>
          <cell r="AP1759"/>
          <cell r="AQ1759"/>
          <cell r="AR1759"/>
          <cell r="AS1759">
            <v>59</v>
          </cell>
          <cell r="AT1759"/>
          <cell r="AU1759" t="str">
            <v>FR</v>
          </cell>
          <cell r="AV1759"/>
        </row>
        <row r="1760">
          <cell r="Z1760">
            <v>8131418</v>
          </cell>
          <cell r="AA1760" t="str">
            <v>XO
2-7/8" IF Pin x 2-3/8" IF Box</v>
          </cell>
          <cell r="AB1760">
            <v>29.102708931562496</v>
          </cell>
          <cell r="AC1760">
            <v>4.125</v>
          </cell>
          <cell r="AD1760">
            <v>460</v>
          </cell>
          <cell r="AE1760" t="str">
            <v>2-7/8" IF Pin</v>
          </cell>
          <cell r="AF1760" t="str">
            <v>2-3/8" IF Box</v>
          </cell>
          <cell r="AG1760"/>
          <cell r="AH1760" t="str">
            <v xml:space="preserve"> en stock </v>
          </cell>
          <cell r="AI1760">
            <v>1</v>
          </cell>
          <cell r="AJ1760">
            <v>0</v>
          </cell>
          <cell r="AK1760">
            <v>0</v>
          </cell>
          <cell r="AL1760"/>
          <cell r="AM1760"/>
          <cell r="AN1760">
            <v>8131418</v>
          </cell>
          <cell r="AO1760"/>
          <cell r="AP1760"/>
          <cell r="AQ1760"/>
          <cell r="AR1760"/>
          <cell r="AS1760">
            <v>80</v>
          </cell>
          <cell r="AT1760"/>
          <cell r="AU1760" t="str">
            <v>FR</v>
          </cell>
          <cell r="AV1760"/>
        </row>
        <row r="1761">
          <cell r="Z1761">
            <v>8131419</v>
          </cell>
          <cell r="AA1761" t="str">
            <v>XO
3-1/2" IF Pin x 3-1/2" REG Pin</v>
          </cell>
          <cell r="AB1761">
            <v>24.072230081249998</v>
          </cell>
          <cell r="AC1761">
            <v>4.75</v>
          </cell>
          <cell r="AD1761">
            <v>300</v>
          </cell>
          <cell r="AE1761" t="str">
            <v>3-1/2" IF Pin</v>
          </cell>
          <cell r="AF1761" t="str">
            <v>3-1/2" REG Pin</v>
          </cell>
          <cell r="AG1761"/>
          <cell r="AH1761" t="str">
            <v>maintenance</v>
          </cell>
          <cell r="AI1761" t="str">
            <v/>
          </cell>
          <cell r="AJ1761">
            <v>0</v>
          </cell>
          <cell r="AK1761">
            <v>1</v>
          </cell>
          <cell r="AL1761"/>
          <cell r="AM1761"/>
          <cell r="AN1761">
            <v>8131419</v>
          </cell>
          <cell r="AO1761"/>
          <cell r="AP1761"/>
          <cell r="AQ1761"/>
          <cell r="AR1761"/>
          <cell r="AS1761">
            <v>121</v>
          </cell>
          <cell r="AT1761"/>
          <cell r="AU1761" t="str">
            <v>FR</v>
          </cell>
          <cell r="AV1761"/>
        </row>
        <row r="1762">
          <cell r="Z1762">
            <v>8131420</v>
          </cell>
          <cell r="AA1762" t="str">
            <v>XO
3-1/2" IF Pin x 3-1/2" REG Pin</v>
          </cell>
          <cell r="AB1762">
            <v>36.509548956562497</v>
          </cell>
          <cell r="AC1762">
            <v>4.75</v>
          </cell>
          <cell r="AD1762">
            <v>455</v>
          </cell>
          <cell r="AE1762" t="str">
            <v>3-1/2" IF Pin</v>
          </cell>
          <cell r="AF1762" t="str">
            <v>3-1/2" REG Pin</v>
          </cell>
          <cell r="AG1762"/>
          <cell r="AH1762" t="str">
            <v>maintenance</v>
          </cell>
          <cell r="AI1762" t="str">
            <v/>
          </cell>
          <cell r="AJ1762">
            <v>0</v>
          </cell>
          <cell r="AK1762">
            <v>1</v>
          </cell>
          <cell r="AL1762"/>
          <cell r="AM1762"/>
          <cell r="AN1762">
            <v>8131420</v>
          </cell>
          <cell r="AO1762"/>
          <cell r="AP1762"/>
          <cell r="AQ1762"/>
          <cell r="AR1762"/>
          <cell r="AS1762">
            <v>122</v>
          </cell>
          <cell r="AT1762"/>
          <cell r="AU1762" t="str">
            <v>FR</v>
          </cell>
          <cell r="AV1762"/>
        </row>
        <row r="1763">
          <cell r="Z1763">
            <v>8131421</v>
          </cell>
          <cell r="AA1763" t="str">
            <v>XO
2-3/8" IF Pin x 3-1/2" IF Box</v>
          </cell>
          <cell r="AB1763">
            <v>30.812454503999998</v>
          </cell>
          <cell r="AC1763">
            <v>4.75</v>
          </cell>
          <cell r="AD1763">
            <v>400</v>
          </cell>
          <cell r="AE1763" t="str">
            <v>2-3/8" IF Pin</v>
          </cell>
          <cell r="AF1763" t="str">
            <v>3-1/2" IF Box</v>
          </cell>
          <cell r="AG1763"/>
          <cell r="AH1763" t="str">
            <v xml:space="preserve"> en stock </v>
          </cell>
          <cell r="AI1763">
            <v>1</v>
          </cell>
          <cell r="AJ1763">
            <v>0</v>
          </cell>
          <cell r="AK1763">
            <v>0</v>
          </cell>
          <cell r="AL1763"/>
          <cell r="AM1763"/>
          <cell r="AN1763">
            <v>8131421</v>
          </cell>
          <cell r="AO1763"/>
          <cell r="AP1763"/>
          <cell r="AQ1763"/>
          <cell r="AR1763"/>
          <cell r="AS1763">
            <v>37</v>
          </cell>
          <cell r="AT1763"/>
          <cell r="AU1763" t="str">
            <v>FR</v>
          </cell>
          <cell r="AV1763"/>
        </row>
        <row r="1764">
          <cell r="Z1764">
            <v>4021422</v>
          </cell>
          <cell r="AA1764" t="str">
            <v>Bumper Sub 4-3/4" OD
3-1/2" IF Pin down x Box up</v>
          </cell>
          <cell r="AB1764">
            <v>94</v>
          </cell>
          <cell r="AC1764">
            <v>4.75</v>
          </cell>
          <cell r="AD1764">
            <v>1460</v>
          </cell>
          <cell r="AE1764" t="str">
            <v>3-1/2" IF Box</v>
          </cell>
          <cell r="AF1764" t="str">
            <v>3-1/2" IF Pin</v>
          </cell>
          <cell r="AG1764"/>
          <cell r="AH1764" t="str">
            <v>maintenance</v>
          </cell>
          <cell r="AI1764" t="str">
            <v/>
          </cell>
          <cell r="AJ1764">
            <v>0</v>
          </cell>
          <cell r="AK1764">
            <v>1</v>
          </cell>
          <cell r="AL1764"/>
          <cell r="AM1764"/>
          <cell r="AN1764" t="str">
            <v/>
          </cell>
          <cell r="AO1764"/>
          <cell r="AP1764"/>
          <cell r="AQ1764"/>
          <cell r="AR1764"/>
          <cell r="AS1764">
            <v>14</v>
          </cell>
          <cell r="AT1764" t="str">
            <v>402-4,750</v>
          </cell>
          <cell r="AU1764" t="str">
            <v/>
          </cell>
          <cell r="AV1764"/>
        </row>
        <row r="1765">
          <cell r="Z1765">
            <v>4021423</v>
          </cell>
          <cell r="AA1765" t="str">
            <v>Bumper Sub 6-1/4" OD
4-1/2" IF Pin down x Box up</v>
          </cell>
          <cell r="AB1765">
            <v>157</v>
          </cell>
          <cell r="AC1765">
            <v>6.25</v>
          </cell>
          <cell r="AD1765">
            <v>1515</v>
          </cell>
          <cell r="AE1765" t="str">
            <v>4-1/2" IF Box</v>
          </cell>
          <cell r="AF1765" t="str">
            <v>4-1/2" IF Pin</v>
          </cell>
          <cell r="AG1765"/>
          <cell r="AH1765" t="str">
            <v>sur chantier</v>
          </cell>
          <cell r="AI1765" t="str">
            <v/>
          </cell>
          <cell r="AJ1765">
            <v>1</v>
          </cell>
          <cell r="AK1765">
            <v>0</v>
          </cell>
          <cell r="AL1765"/>
          <cell r="AM1765"/>
          <cell r="AN1765">
            <v>4021423</v>
          </cell>
          <cell r="AO1765"/>
          <cell r="AP1765"/>
          <cell r="AQ1765"/>
          <cell r="AR1765"/>
          <cell r="AS1765">
            <v>18</v>
          </cell>
          <cell r="AT1765" t="str">
            <v>402-6,250</v>
          </cell>
          <cell r="AU1765" t="str">
            <v/>
          </cell>
          <cell r="AV1765"/>
        </row>
        <row r="1766">
          <cell r="Z1766">
            <v>7051424</v>
          </cell>
          <cell r="AA1766" t="str">
            <v>Extension 5-7/8" SH Lg 855mm CA C-5171
5-7/8" SH Sellers Pin x Box</v>
          </cell>
          <cell r="AB1766">
            <v>20</v>
          </cell>
          <cell r="AC1766" t="str">
            <v>5-7/8" SH</v>
          </cell>
          <cell r="AD1766">
            <v>855</v>
          </cell>
          <cell r="AE1766" t="str">
            <v>5-7/8" SH Sellers Box</v>
          </cell>
          <cell r="AF1766" t="str">
            <v>5-7/8" SH Sellers Box</v>
          </cell>
          <cell r="AG1766" t="str">
            <v>C-5171</v>
          </cell>
          <cell r="AH1766" t="str">
            <v xml:space="preserve"> en stock </v>
          </cell>
          <cell r="AI1766">
            <v>1</v>
          </cell>
          <cell r="AJ1766">
            <v>0</v>
          </cell>
          <cell r="AK1766">
            <v>0</v>
          </cell>
          <cell r="AL1766"/>
          <cell r="AM1766"/>
          <cell r="AN1766">
            <v>7051424</v>
          </cell>
          <cell r="AO1766"/>
          <cell r="AP1766"/>
          <cell r="AQ1766"/>
          <cell r="AR1766"/>
          <cell r="AS1766">
            <v>30</v>
          </cell>
          <cell r="AT1766" t="str">
            <v>705-5171</v>
          </cell>
          <cell r="AU1766" t="str">
            <v>FR</v>
          </cell>
          <cell r="AV1766"/>
        </row>
        <row r="1767">
          <cell r="Z1767">
            <v>8131425</v>
          </cell>
          <cell r="AA1767" t="str">
            <v>XO
4" IF Pin x 4-1/2" REG Box</v>
          </cell>
          <cell r="AB1767">
            <v>102</v>
          </cell>
          <cell r="AC1767">
            <v>6.75</v>
          </cell>
          <cell r="AD1767">
            <v>630</v>
          </cell>
          <cell r="AE1767" t="str">
            <v>4" IF Pin</v>
          </cell>
          <cell r="AF1767" t="str">
            <v>4-1/2" REG Box</v>
          </cell>
          <cell r="AG1767"/>
          <cell r="AH1767" t="str">
            <v>sur chantier</v>
          </cell>
          <cell r="AI1767" t="str">
            <v/>
          </cell>
          <cell r="AJ1767">
            <v>1</v>
          </cell>
          <cell r="AK1767">
            <v>0</v>
          </cell>
          <cell r="AL1767"/>
          <cell r="AM1767"/>
          <cell r="AN1767">
            <v>8131425</v>
          </cell>
          <cell r="AO1767"/>
          <cell r="AP1767"/>
          <cell r="AQ1767"/>
          <cell r="AR1767"/>
          <cell r="AS1767">
            <v>146</v>
          </cell>
          <cell r="AT1767"/>
          <cell r="AU1767" t="str">
            <v>FR</v>
          </cell>
          <cell r="AV1767"/>
        </row>
        <row r="1768">
          <cell r="Z1768">
            <v>8131426</v>
          </cell>
          <cell r="AA1768" t="str">
            <v>XO
4" IF Pin x 4-1/2" REG Box</v>
          </cell>
          <cell r="AB1768">
            <v>102</v>
          </cell>
          <cell r="AC1768">
            <v>6.75</v>
          </cell>
          <cell r="AD1768">
            <v>630</v>
          </cell>
          <cell r="AE1768" t="str">
            <v>4" IF Pin</v>
          </cell>
          <cell r="AF1768" t="str">
            <v>4-1/2" REG Box</v>
          </cell>
          <cell r="AG1768"/>
          <cell r="AH1768" t="str">
            <v>maintenance</v>
          </cell>
          <cell r="AI1768" t="str">
            <v/>
          </cell>
          <cell r="AJ1768">
            <v>0</v>
          </cell>
          <cell r="AK1768">
            <v>1</v>
          </cell>
          <cell r="AL1768"/>
          <cell r="AM1768"/>
          <cell r="AN1768">
            <v>8131426</v>
          </cell>
          <cell r="AO1768"/>
          <cell r="AP1768"/>
          <cell r="AQ1768"/>
          <cell r="AR1768"/>
          <cell r="AS1768">
            <v>147</v>
          </cell>
          <cell r="AT1768"/>
          <cell r="AU1768" t="str">
            <v>FR</v>
          </cell>
          <cell r="AV1768"/>
        </row>
        <row r="1769">
          <cell r="Z1769">
            <v>8131427</v>
          </cell>
          <cell r="AA1769" t="str">
            <v>XO
3-1/2" IF Pin x 3-1/2" REG Box</v>
          </cell>
          <cell r="AB1769">
            <v>34.56525345</v>
          </cell>
          <cell r="AC1769">
            <v>4.75</v>
          </cell>
          <cell r="AD1769">
            <v>500</v>
          </cell>
          <cell r="AE1769" t="str">
            <v>3-1/2" IF Pin</v>
          </cell>
          <cell r="AF1769" t="str">
            <v>3-1/2" REG Box</v>
          </cell>
          <cell r="AG1769"/>
          <cell r="AH1769" t="str">
            <v>sur chantier</v>
          </cell>
          <cell r="AI1769" t="str">
            <v/>
          </cell>
          <cell r="AJ1769">
            <v>1</v>
          </cell>
          <cell r="AK1769">
            <v>0</v>
          </cell>
          <cell r="AL1769"/>
          <cell r="AM1769"/>
          <cell r="AN1769">
            <v>8131427</v>
          </cell>
          <cell r="AO1769"/>
          <cell r="AP1769"/>
          <cell r="AQ1769"/>
          <cell r="AR1769"/>
          <cell r="AS1769">
            <v>116</v>
          </cell>
          <cell r="AT1769"/>
          <cell r="AU1769" t="str">
            <v>FR</v>
          </cell>
          <cell r="AV1769"/>
        </row>
        <row r="1770">
          <cell r="Z1770">
            <v>8131428</v>
          </cell>
          <cell r="AA1770" t="str">
            <v>XO
3-1/2" IF Pin x 3-1/2" REG Box</v>
          </cell>
          <cell r="AB1770">
            <v>34.56525345</v>
          </cell>
          <cell r="AC1770">
            <v>4.75</v>
          </cell>
          <cell r="AD1770">
            <v>500</v>
          </cell>
          <cell r="AE1770" t="str">
            <v>3-1/2" IF Pin</v>
          </cell>
          <cell r="AF1770" t="str">
            <v>3-1/2" REG Box</v>
          </cell>
          <cell r="AG1770"/>
          <cell r="AH1770" t="str">
            <v xml:space="preserve"> en stock </v>
          </cell>
          <cell r="AI1770">
            <v>1</v>
          </cell>
          <cell r="AJ1770">
            <v>0</v>
          </cell>
          <cell r="AK1770">
            <v>0</v>
          </cell>
          <cell r="AL1770"/>
          <cell r="AM1770"/>
          <cell r="AN1770">
            <v>8131428</v>
          </cell>
          <cell r="AO1770"/>
          <cell r="AP1770"/>
          <cell r="AQ1770"/>
          <cell r="AR1770"/>
          <cell r="AS1770">
            <v>117</v>
          </cell>
          <cell r="AT1770"/>
          <cell r="AU1770" t="str">
            <v>FR</v>
          </cell>
          <cell r="AV1770"/>
        </row>
        <row r="1771">
          <cell r="Z1771">
            <v>5081429</v>
          </cell>
          <cell r="AA1771" t="str">
            <v>Taper Mill 
2-7/8" REG Pin</v>
          </cell>
          <cell r="AB1771">
            <v>35</v>
          </cell>
          <cell r="AC1771">
            <v>4.625</v>
          </cell>
          <cell r="AD1771">
            <v>35</v>
          </cell>
          <cell r="AE1771" t="str">
            <v>2-7/8" REG Pin</v>
          </cell>
          <cell r="AF1771"/>
          <cell r="AG1771"/>
          <cell r="AH1771" t="str">
            <v xml:space="preserve"> en stock </v>
          </cell>
          <cell r="AI1771">
            <v>1</v>
          </cell>
          <cell r="AJ1771">
            <v>0</v>
          </cell>
          <cell r="AK1771">
            <v>0</v>
          </cell>
          <cell r="AL1771"/>
          <cell r="AM1771"/>
          <cell r="AN1771">
            <v>5081429</v>
          </cell>
          <cell r="AO1771"/>
          <cell r="AP1771"/>
          <cell r="AQ1771"/>
          <cell r="AR1771"/>
          <cell r="AS1771">
            <v>14</v>
          </cell>
          <cell r="AT1771" t="str">
            <v>508-</v>
          </cell>
          <cell r="AU1771" t="str">
            <v>FR</v>
          </cell>
          <cell r="AV1771"/>
        </row>
        <row r="1772">
          <cell r="Z1772">
            <v>5081430</v>
          </cell>
          <cell r="AA1772" t="str">
            <v>Taper Mill 
2-7/8" REG Pin</v>
          </cell>
          <cell r="AB1772">
            <v>0</v>
          </cell>
          <cell r="AC1772">
            <v>4.75</v>
          </cell>
          <cell r="AD1772">
            <v>0</v>
          </cell>
          <cell r="AE1772" t="str">
            <v>2-7/8" REG Pin</v>
          </cell>
          <cell r="AF1772"/>
          <cell r="AG1772"/>
          <cell r="AH1772" t="str">
            <v xml:space="preserve"> en stock </v>
          </cell>
          <cell r="AI1772">
            <v>1</v>
          </cell>
          <cell r="AJ1772">
            <v>0</v>
          </cell>
          <cell r="AK1772">
            <v>0</v>
          </cell>
          <cell r="AL1772"/>
          <cell r="AM1772"/>
          <cell r="AN1772">
            <v>5081430</v>
          </cell>
          <cell r="AO1772"/>
          <cell r="AP1772"/>
          <cell r="AQ1772"/>
          <cell r="AR1772"/>
          <cell r="AS1772">
            <v>16</v>
          </cell>
          <cell r="AT1772" t="str">
            <v>508-</v>
          </cell>
          <cell r="AU1772" t="str">
            <v>FR</v>
          </cell>
          <cell r="AV1772"/>
        </row>
        <row r="1773">
          <cell r="Z1773">
            <v>5081431</v>
          </cell>
          <cell r="AA1773" t="str">
            <v>Taper Mill 
4-1/2" REG Pin</v>
          </cell>
          <cell r="AB1773">
            <v>0</v>
          </cell>
          <cell r="AC1773">
            <v>8.5625</v>
          </cell>
          <cell r="AD1773">
            <v>0</v>
          </cell>
          <cell r="AE1773" t="str">
            <v>4-1/2" REG Pin</v>
          </cell>
          <cell r="AF1773"/>
          <cell r="AG1773"/>
          <cell r="AH1773" t="str">
            <v>en stock</v>
          </cell>
          <cell r="AI1773">
            <v>0</v>
          </cell>
          <cell r="AJ1773">
            <v>0</v>
          </cell>
          <cell r="AK1773">
            <v>0</v>
          </cell>
          <cell r="AL1773"/>
          <cell r="AM1773"/>
          <cell r="AN1773">
            <v>5081431</v>
          </cell>
          <cell r="AO1773"/>
          <cell r="AP1773"/>
          <cell r="AQ1773"/>
          <cell r="AR1773"/>
          <cell r="AS1773">
            <v>40</v>
          </cell>
          <cell r="AT1773" t="str">
            <v>508-</v>
          </cell>
          <cell r="AU1773" t="str">
            <v>FR</v>
          </cell>
          <cell r="AV1773"/>
        </row>
        <row r="1774">
          <cell r="Z1774">
            <v>5041432</v>
          </cell>
          <cell r="AA1774" t="str">
            <v>Viper Pilot Mill
3-1/2" REG Pin x Pilot</v>
          </cell>
          <cell r="AB1774">
            <v>0</v>
          </cell>
          <cell r="AC1774">
            <v>6.75</v>
          </cell>
          <cell r="AD1774">
            <v>0</v>
          </cell>
          <cell r="AE1774" t="str">
            <v>3-1/2" REG Pin</v>
          </cell>
          <cell r="AF1774" t="str">
            <v>Pilot</v>
          </cell>
          <cell r="AG1774" t="str">
            <v>Insert</v>
          </cell>
          <cell r="AH1774" t="str">
            <v xml:space="preserve"> en stock </v>
          </cell>
          <cell r="AI1774">
            <v>1</v>
          </cell>
          <cell r="AJ1774">
            <v>0</v>
          </cell>
          <cell r="AK1774">
            <v>0</v>
          </cell>
          <cell r="AL1774"/>
          <cell r="AM1774"/>
          <cell r="AN1774">
            <v>5041432</v>
          </cell>
          <cell r="AO1774"/>
          <cell r="AP1774"/>
          <cell r="AQ1774"/>
          <cell r="AR1774"/>
          <cell r="AS1774">
            <v>17</v>
          </cell>
          <cell r="AT1774"/>
          <cell r="AU1774" t="str">
            <v>FR</v>
          </cell>
          <cell r="AV1774"/>
        </row>
        <row r="1775">
          <cell r="Z1775">
            <v>5041433</v>
          </cell>
          <cell r="AA1775" t="str">
            <v>Viper Pilot Mill
3-1/2" REG Pin x Pilot</v>
          </cell>
          <cell r="AB1775">
            <v>0</v>
          </cell>
          <cell r="AC1775">
            <v>6.75</v>
          </cell>
          <cell r="AD1775">
            <v>0</v>
          </cell>
          <cell r="AE1775" t="str">
            <v>3-1/2" REG Pin</v>
          </cell>
          <cell r="AF1775" t="str">
            <v>Pilot</v>
          </cell>
          <cell r="AG1775" t="str">
            <v>Insert</v>
          </cell>
          <cell r="AH1775" t="str">
            <v xml:space="preserve"> en stock </v>
          </cell>
          <cell r="AI1775">
            <v>1</v>
          </cell>
          <cell r="AJ1775">
            <v>0</v>
          </cell>
          <cell r="AK1775">
            <v>0</v>
          </cell>
          <cell r="AL1775"/>
          <cell r="AM1775"/>
          <cell r="AN1775">
            <v>5041433</v>
          </cell>
          <cell r="AO1775"/>
          <cell r="AP1775"/>
          <cell r="AQ1775"/>
          <cell r="AR1775"/>
          <cell r="AS1775">
            <v>18</v>
          </cell>
          <cell r="AT1775"/>
          <cell r="AU1775" t="str">
            <v>FR</v>
          </cell>
          <cell r="AV1775"/>
        </row>
        <row r="1776">
          <cell r="Z1776">
            <v>8111434</v>
          </cell>
          <cell r="AA1776" t="str">
            <v>String Stab
7-5/8" REG Pin x 7-5/8" REG Box</v>
          </cell>
          <cell r="AB1776">
            <v>773</v>
          </cell>
          <cell r="AC1776">
            <v>14.75</v>
          </cell>
          <cell r="AD1776">
            <v>2184</v>
          </cell>
          <cell r="AE1776" t="str">
            <v>7-5/8" REG Box</v>
          </cell>
          <cell r="AF1776" t="str">
            <v>7-5/8" REG Pin</v>
          </cell>
          <cell r="AG1776" t="str">
            <v>TGG</v>
          </cell>
          <cell r="AH1776" t="str">
            <v xml:space="preserve"> en stock </v>
          </cell>
          <cell r="AI1776">
            <v>1</v>
          </cell>
          <cell r="AJ1776">
            <v>0</v>
          </cell>
          <cell r="AK1776">
            <v>0</v>
          </cell>
          <cell r="AL1776"/>
          <cell r="AM1776"/>
          <cell r="AN1776">
            <v>8111434</v>
          </cell>
          <cell r="AO1776"/>
          <cell r="AP1776"/>
          <cell r="AQ1776"/>
          <cell r="AR1776"/>
          <cell r="AS1776">
            <v>82</v>
          </cell>
          <cell r="AT1776"/>
          <cell r="AU1776" t="str">
            <v>CH</v>
          </cell>
          <cell r="AV1776"/>
        </row>
        <row r="1777">
          <cell r="Z1777">
            <v>8091435</v>
          </cell>
          <cell r="AA1777" t="str">
            <v>Near Bit Stab
7-5/8" REG Box BB x 7-5/8" REG Box</v>
          </cell>
          <cell r="AB1777">
            <v>773</v>
          </cell>
          <cell r="AC1777">
            <v>14.75</v>
          </cell>
          <cell r="AD1777">
            <v>2184</v>
          </cell>
          <cell r="AE1777" t="str">
            <v>7-5/8" REG Box BB</v>
          </cell>
          <cell r="AF1777" t="str">
            <v>7-5/8" REG Box</v>
          </cell>
          <cell r="AG1777" t="str">
            <v>BLANK
(PTA)</v>
          </cell>
          <cell r="AH1777" t="str">
            <v>maintenance</v>
          </cell>
          <cell r="AI1777" t="str">
            <v/>
          </cell>
          <cell r="AJ1777">
            <v>0</v>
          </cell>
          <cell r="AK1777">
            <v>1</v>
          </cell>
          <cell r="AL1777"/>
          <cell r="AM1777"/>
          <cell r="AN1777">
            <v>8091435</v>
          </cell>
          <cell r="AO1777"/>
          <cell r="AP1777"/>
          <cell r="AQ1777"/>
          <cell r="AR1777"/>
          <cell r="AS1777">
            <v>36</v>
          </cell>
          <cell r="AT1777"/>
          <cell r="AU1777" t="str">
            <v>CH</v>
          </cell>
          <cell r="AV1777"/>
        </row>
        <row r="1778">
          <cell r="Z1778">
            <v>8091436</v>
          </cell>
          <cell r="AA1778" t="str">
            <v>Near Bit Stab
7-5/8" REG Box x 7-5/8" REG Box BF</v>
          </cell>
          <cell r="AB1778">
            <v>1044</v>
          </cell>
          <cell r="AC1778">
            <v>18.5625</v>
          </cell>
          <cell r="AD1778">
            <v>2286</v>
          </cell>
          <cell r="AE1778" t="str">
            <v>7-5/8" REG Box</v>
          </cell>
          <cell r="AF1778" t="str">
            <v>7-5/8" REG Box BF</v>
          </cell>
          <cell r="AG1778" t="str">
            <v>PTA</v>
          </cell>
          <cell r="AH1778" t="str">
            <v xml:space="preserve"> en stock </v>
          </cell>
          <cell r="AI1778">
            <v>1</v>
          </cell>
          <cell r="AJ1778">
            <v>0</v>
          </cell>
          <cell r="AK1778">
            <v>0</v>
          </cell>
          <cell r="AL1778"/>
          <cell r="AM1778"/>
          <cell r="AN1778">
            <v>8091436</v>
          </cell>
          <cell r="AO1778"/>
          <cell r="AP1778"/>
          <cell r="AQ1778"/>
          <cell r="AR1778"/>
          <cell r="AS1778">
            <v>44</v>
          </cell>
          <cell r="AT1778"/>
          <cell r="AU1778" t="str">
            <v>CH</v>
          </cell>
          <cell r="AV1778"/>
        </row>
        <row r="1779">
          <cell r="Z1779">
            <v>4041437</v>
          </cell>
          <cell r="AA1779" t="str">
            <v>Intensifier 3-1/8" OD 
2-3/8" REG Pin x Box</v>
          </cell>
          <cell r="AB1779">
            <v>53</v>
          </cell>
          <cell r="AC1779">
            <v>3.125</v>
          </cell>
          <cell r="AD1779">
            <v>2630</v>
          </cell>
          <cell r="AE1779" t="str">
            <v>2-3/8" REG Box</v>
          </cell>
          <cell r="AF1779" t="str">
            <v>2-3/8" REG Pin</v>
          </cell>
          <cell r="AG1779"/>
          <cell r="AH1779" t="str">
            <v>sur chantier</v>
          </cell>
          <cell r="AI1779" t="str">
            <v/>
          </cell>
          <cell r="AJ1779">
            <v>1</v>
          </cell>
          <cell r="AK1779">
            <v>0</v>
          </cell>
          <cell r="AL1779"/>
          <cell r="AM1779"/>
          <cell r="AN1779">
            <v>4041437</v>
          </cell>
          <cell r="AO1779"/>
          <cell r="AP1779"/>
          <cell r="AQ1779"/>
          <cell r="AR1779"/>
          <cell r="AS1779">
            <v>5</v>
          </cell>
          <cell r="AT1779" t="str">
            <v>404-3,125</v>
          </cell>
          <cell r="AU1779" t="str">
            <v/>
          </cell>
          <cell r="AV1779"/>
        </row>
        <row r="1780">
          <cell r="Z1780">
            <v>7121438</v>
          </cell>
          <cell r="AA1780" t="str">
            <v>Releasing Spear 3-1/4" OD Mandrel CA 9485
2-3/8" REG Box</v>
          </cell>
          <cell r="AB1780">
            <v>33</v>
          </cell>
          <cell r="AC1780">
            <v>3.25</v>
          </cell>
          <cell r="AD1780" t="str">
            <v>CA 9485</v>
          </cell>
          <cell r="AE1780" t="str">
            <v>2-3/8" REG Box</v>
          </cell>
          <cell r="AF1780" t="str">
            <v>bull nose nut</v>
          </cell>
          <cell r="AG1780"/>
          <cell r="AH1780" t="str">
            <v xml:space="preserve"> en stock </v>
          </cell>
          <cell r="AI1780">
            <v>1</v>
          </cell>
          <cell r="AJ1780">
            <v>0</v>
          </cell>
          <cell r="AK1780">
            <v>0</v>
          </cell>
          <cell r="AL1780"/>
          <cell r="AM1780"/>
          <cell r="AN1780" t="str">
            <v/>
          </cell>
          <cell r="AO1780"/>
          <cell r="AP1780"/>
          <cell r="AQ1780"/>
          <cell r="AR1780"/>
          <cell r="AS1780">
            <v>16</v>
          </cell>
          <cell r="AT1780"/>
          <cell r="AU1780" t="str">
            <v/>
          </cell>
          <cell r="AV1780"/>
        </row>
        <row r="1781">
          <cell r="Z1781">
            <v>7121439</v>
          </cell>
          <cell r="AA1781" t="str">
            <v>Releasing Spear 3-1/4" OD Mandrel CA 9485
2-3/8" REG Box</v>
          </cell>
          <cell r="AB1781">
            <v>33</v>
          </cell>
          <cell r="AC1781">
            <v>3.25</v>
          </cell>
          <cell r="AD1781" t="str">
            <v>CA 9485</v>
          </cell>
          <cell r="AE1781" t="str">
            <v>2-3/8" REG Box</v>
          </cell>
          <cell r="AF1781" t="str">
            <v>bull nose nut</v>
          </cell>
          <cell r="AG1781"/>
          <cell r="AH1781" t="str">
            <v xml:space="preserve"> en stock </v>
          </cell>
          <cell r="AI1781">
            <v>1</v>
          </cell>
          <cell r="AJ1781">
            <v>0</v>
          </cell>
          <cell r="AK1781">
            <v>0</v>
          </cell>
          <cell r="AL1781"/>
          <cell r="AM1781"/>
          <cell r="AN1781" t="str">
            <v/>
          </cell>
          <cell r="AO1781"/>
          <cell r="AP1781"/>
          <cell r="AQ1781"/>
          <cell r="AR1781"/>
          <cell r="AS1781">
            <v>17</v>
          </cell>
          <cell r="AT1781"/>
          <cell r="AU1781" t="str">
            <v/>
          </cell>
          <cell r="AV1781"/>
        </row>
        <row r="1782">
          <cell r="Z1782">
            <v>7021440</v>
          </cell>
          <cell r="AA1782" t="str">
            <v>String Magnet 6-1/2" OD
4-1/2" REG Pin down x Box up</v>
          </cell>
          <cell r="AB1782">
            <v>206</v>
          </cell>
          <cell r="AC1782">
            <v>6.3125</v>
          </cell>
          <cell r="AD1782">
            <v>1700</v>
          </cell>
          <cell r="AE1782" t="str">
            <v>4-1/2" REG Box</v>
          </cell>
          <cell r="AF1782" t="str">
            <v>4-1/2" REG Pin</v>
          </cell>
          <cell r="AG1782"/>
          <cell r="AH1782" t="str">
            <v xml:space="preserve"> en stock </v>
          </cell>
          <cell r="AI1782">
            <v>1</v>
          </cell>
          <cell r="AJ1782">
            <v>0</v>
          </cell>
          <cell r="AK1782">
            <v>0</v>
          </cell>
          <cell r="AL1782"/>
          <cell r="AM1782"/>
          <cell r="AN1782">
            <v>7021440</v>
          </cell>
          <cell r="AO1782"/>
          <cell r="AP1782"/>
          <cell r="AQ1782"/>
          <cell r="AR1782"/>
          <cell r="AS1782">
            <v>14</v>
          </cell>
          <cell r="AT1782"/>
          <cell r="AU1782" t="str">
            <v>FR</v>
          </cell>
          <cell r="AV1782"/>
        </row>
        <row r="1783">
          <cell r="Z1783">
            <v>8131441</v>
          </cell>
          <cell r="AA1783" t="str">
            <v>XO
3-1/2" REG Pin x 3-1/2" IF Box</v>
          </cell>
          <cell r="AB1783">
            <v>80</v>
          </cell>
          <cell r="AC1783">
            <v>4.75</v>
          </cell>
          <cell r="AD1783">
            <v>500</v>
          </cell>
          <cell r="AE1783" t="str">
            <v>3-1/2" REG Pin</v>
          </cell>
          <cell r="AF1783" t="str">
            <v>3-1/2" IF Box</v>
          </cell>
          <cell r="AG1783"/>
          <cell r="AH1783" t="str">
            <v>maintenance</v>
          </cell>
          <cell r="AI1783" t="str">
            <v/>
          </cell>
          <cell r="AJ1783">
            <v>0</v>
          </cell>
          <cell r="AK1783">
            <v>1</v>
          </cell>
          <cell r="AL1783"/>
          <cell r="AM1783"/>
          <cell r="AN1783">
            <v>8131441</v>
          </cell>
          <cell r="AO1783"/>
          <cell r="AP1783"/>
          <cell r="AQ1783"/>
          <cell r="AR1783"/>
          <cell r="AS1783">
            <v>134</v>
          </cell>
          <cell r="AT1783"/>
          <cell r="AU1783" t="str">
            <v>FR</v>
          </cell>
          <cell r="AV1783"/>
        </row>
        <row r="1784">
          <cell r="Z1784">
            <v>8131442</v>
          </cell>
          <cell r="AA1784" t="str">
            <v>XO
4-1/2" IF Pin x 3-1/2" IF Box</v>
          </cell>
          <cell r="AB1784">
            <v>48.218528562749995</v>
          </cell>
          <cell r="AC1784">
            <v>6.5</v>
          </cell>
          <cell r="AD1784">
            <v>620</v>
          </cell>
          <cell r="AE1784" t="str">
            <v>4-1/2" IF Pin</v>
          </cell>
          <cell r="AF1784" t="str">
            <v>3-1/2" IF Box</v>
          </cell>
          <cell r="AG1784"/>
          <cell r="AH1784" t="str">
            <v>maintenance</v>
          </cell>
          <cell r="AI1784" t="str">
            <v/>
          </cell>
          <cell r="AJ1784">
            <v>0</v>
          </cell>
          <cell r="AK1784">
            <v>1</v>
          </cell>
          <cell r="AL1784"/>
          <cell r="AM1784"/>
          <cell r="AN1784">
            <v>8131442</v>
          </cell>
          <cell r="AO1784"/>
          <cell r="AP1784"/>
          <cell r="AQ1784"/>
          <cell r="AR1784"/>
          <cell r="AS1784">
            <v>161</v>
          </cell>
          <cell r="AT1784"/>
          <cell r="AU1784" t="str">
            <v>FR</v>
          </cell>
          <cell r="AV1784"/>
        </row>
        <row r="1785">
          <cell r="Z1785">
            <v>8131443</v>
          </cell>
          <cell r="AA1785" t="str">
            <v>XO
4-1/2" IF Pin x 4-1/2" REG Pin</v>
          </cell>
          <cell r="AB1785">
            <v>85.326797087999978</v>
          </cell>
          <cell r="AC1785">
            <v>6.5</v>
          </cell>
          <cell r="AD1785">
            <v>600</v>
          </cell>
          <cell r="AE1785" t="str">
            <v>4-1/2" IF Pin</v>
          </cell>
          <cell r="AF1785" t="str">
            <v>4-1/2" REG Pin</v>
          </cell>
          <cell r="AG1785"/>
          <cell r="AH1785" t="str">
            <v>maintenance</v>
          </cell>
          <cell r="AI1785" t="str">
            <v/>
          </cell>
          <cell r="AJ1785">
            <v>0</v>
          </cell>
          <cell r="AK1785">
            <v>1</v>
          </cell>
          <cell r="AL1785"/>
          <cell r="AM1785"/>
          <cell r="AN1785">
            <v>8131443</v>
          </cell>
          <cell r="AO1785"/>
          <cell r="AP1785"/>
          <cell r="AQ1785"/>
          <cell r="AR1785"/>
          <cell r="AS1785">
            <v>171</v>
          </cell>
          <cell r="AT1785"/>
          <cell r="AU1785" t="str">
            <v>FR</v>
          </cell>
          <cell r="AV1785"/>
        </row>
        <row r="1786">
          <cell r="Z1786">
            <v>7051444</v>
          </cell>
          <cell r="AA1786" t="str">
            <v>Extension 11-1/4" FS Lg 914mm CA C12822
11-1/4" FS Sellers Pin x Box</v>
          </cell>
          <cell r="AB1786">
            <v>100</v>
          </cell>
          <cell r="AC1786" t="str">
            <v>11-1/4" FS</v>
          </cell>
          <cell r="AD1786">
            <v>914</v>
          </cell>
          <cell r="AE1786" t="str">
            <v>11-1/4" FS Sellers Box</v>
          </cell>
          <cell r="AF1786" t="str">
            <v>11-1/4" FS Sellers Pin</v>
          </cell>
          <cell r="AG1786" t="str">
            <v>C12822</v>
          </cell>
          <cell r="AH1786" t="str">
            <v xml:space="preserve"> en stock </v>
          </cell>
          <cell r="AI1786">
            <v>1</v>
          </cell>
          <cell r="AJ1786">
            <v>0</v>
          </cell>
          <cell r="AK1786">
            <v>0</v>
          </cell>
          <cell r="AL1786"/>
          <cell r="AM1786"/>
          <cell r="AN1786">
            <v>7051444</v>
          </cell>
          <cell r="AO1786"/>
          <cell r="AP1786"/>
          <cell r="AQ1786"/>
          <cell r="AR1786"/>
          <cell r="AS1786">
            <v>69</v>
          </cell>
          <cell r="AT1786" t="str">
            <v>705-12822</v>
          </cell>
          <cell r="AU1786" t="str">
            <v/>
          </cell>
          <cell r="AV1786"/>
        </row>
        <row r="1787">
          <cell r="Z1787">
            <v>8131445</v>
          </cell>
          <cell r="AA1787" t="str">
            <v>XO
4-1/2" IF Pin x 4-1/2" REG Pin</v>
          </cell>
          <cell r="AB1787">
            <v>92.43736351199999</v>
          </cell>
          <cell r="AC1787">
            <v>6.5</v>
          </cell>
          <cell r="AD1787">
            <v>650</v>
          </cell>
          <cell r="AE1787" t="str">
            <v>4-1/2" IF Pin</v>
          </cell>
          <cell r="AF1787" t="str">
            <v>4-1/2" REG Pin</v>
          </cell>
          <cell r="AG1787"/>
          <cell r="AH1787" t="str">
            <v xml:space="preserve"> en stock </v>
          </cell>
          <cell r="AI1787">
            <v>1</v>
          </cell>
          <cell r="AJ1787">
            <v>0</v>
          </cell>
          <cell r="AK1787">
            <v>0</v>
          </cell>
          <cell r="AL1787"/>
          <cell r="AM1787"/>
          <cell r="AN1787">
            <v>8131445</v>
          </cell>
          <cell r="AO1787"/>
          <cell r="AP1787"/>
          <cell r="AQ1787"/>
          <cell r="AR1787"/>
          <cell r="AS1787">
            <v>172</v>
          </cell>
          <cell r="AT1787"/>
          <cell r="AU1787" t="str">
            <v>FR</v>
          </cell>
          <cell r="AV1787"/>
        </row>
        <row r="1788">
          <cell r="Z1788">
            <v>8131446</v>
          </cell>
          <cell r="AA1788" t="str">
            <v>XO
4-1/2" IF Pin x 4-1/2" REG Pin</v>
          </cell>
          <cell r="AB1788">
            <v>92.43736351199999</v>
          </cell>
          <cell r="AC1788">
            <v>6.5</v>
          </cell>
          <cell r="AD1788">
            <v>650</v>
          </cell>
          <cell r="AE1788" t="str">
            <v>4-1/2" IF Pin</v>
          </cell>
          <cell r="AF1788" t="str">
            <v>4-1/2" REG Pin</v>
          </cell>
          <cell r="AG1788"/>
          <cell r="AH1788" t="str">
            <v xml:space="preserve"> en stock </v>
          </cell>
          <cell r="AI1788">
            <v>1</v>
          </cell>
          <cell r="AJ1788">
            <v>0</v>
          </cell>
          <cell r="AK1788">
            <v>0</v>
          </cell>
          <cell r="AL1788"/>
          <cell r="AM1788"/>
          <cell r="AN1788">
            <v>8131446</v>
          </cell>
          <cell r="AO1788"/>
          <cell r="AP1788"/>
          <cell r="AQ1788"/>
          <cell r="AR1788"/>
          <cell r="AS1788">
            <v>173</v>
          </cell>
          <cell r="AT1788"/>
          <cell r="AU1788" t="str">
            <v>FR</v>
          </cell>
          <cell r="AV1788"/>
        </row>
        <row r="1789">
          <cell r="Z1789">
            <v>8131447</v>
          </cell>
          <cell r="AA1789" t="str">
            <v>XO
3-1/2" IF Pin x 3-1/2" REG Pin</v>
          </cell>
          <cell r="AB1789">
            <v>44.132421815625001</v>
          </cell>
          <cell r="AC1789">
            <v>4.75</v>
          </cell>
          <cell r="AD1789">
            <v>550</v>
          </cell>
          <cell r="AE1789" t="str">
            <v>3-1/2" IF Pin</v>
          </cell>
          <cell r="AF1789" t="str">
            <v>3-1/2" REG Pin</v>
          </cell>
          <cell r="AG1789"/>
          <cell r="AH1789" t="str">
            <v>maintenance</v>
          </cell>
          <cell r="AI1789" t="str">
            <v/>
          </cell>
          <cell r="AJ1789">
            <v>0</v>
          </cell>
          <cell r="AK1789">
            <v>1</v>
          </cell>
          <cell r="AL1789"/>
          <cell r="AM1789"/>
          <cell r="AN1789">
            <v>8131447</v>
          </cell>
          <cell r="AO1789"/>
          <cell r="AP1789"/>
          <cell r="AQ1789"/>
          <cell r="AR1789"/>
          <cell r="AS1789">
            <v>124</v>
          </cell>
          <cell r="AT1789"/>
          <cell r="AU1789" t="str">
            <v>FR</v>
          </cell>
          <cell r="AV1789"/>
        </row>
        <row r="1790">
          <cell r="Z1790">
            <v>8131448</v>
          </cell>
          <cell r="AA1790" t="str">
            <v>XO
3-1/2" IF Pin x 3-1/2" REG Pin</v>
          </cell>
          <cell r="AB1790">
            <v>44.132421815625001</v>
          </cell>
          <cell r="AC1790">
            <v>4.75</v>
          </cell>
          <cell r="AD1790">
            <v>550</v>
          </cell>
          <cell r="AE1790" t="str">
            <v>3-1/2" IF Pin</v>
          </cell>
          <cell r="AF1790" t="str">
            <v>3-1/2" REG Pin</v>
          </cell>
          <cell r="AG1790"/>
          <cell r="AH1790" t="str">
            <v>maintenance</v>
          </cell>
          <cell r="AI1790" t="str">
            <v/>
          </cell>
          <cell r="AJ1790">
            <v>0</v>
          </cell>
          <cell r="AK1790">
            <v>1</v>
          </cell>
          <cell r="AL1790"/>
          <cell r="AM1790"/>
          <cell r="AN1790">
            <v>8131448</v>
          </cell>
          <cell r="AO1790"/>
          <cell r="AP1790"/>
          <cell r="AQ1790"/>
          <cell r="AR1790"/>
          <cell r="AS1790">
            <v>125</v>
          </cell>
          <cell r="AT1790"/>
          <cell r="AU1790" t="str">
            <v>FR</v>
          </cell>
          <cell r="AV1790"/>
        </row>
        <row r="1791">
          <cell r="Z1791">
            <v>7121449</v>
          </cell>
          <cell r="AA1791" t="str">
            <v>Releasing Spear 5-11/16" OD Mandrel CA 9266
3-1/2" IF Box</v>
          </cell>
          <cell r="AB1791">
            <v>0</v>
          </cell>
          <cell r="AC1791">
            <v>5.6875</v>
          </cell>
          <cell r="AD1791" t="str">
            <v>CA 9266</v>
          </cell>
          <cell r="AE1791" t="str">
            <v>3-1/2" IF Box</v>
          </cell>
          <cell r="AF1791" t="str">
            <v>3-1/2" IF Pin</v>
          </cell>
          <cell r="AG1791"/>
          <cell r="AH1791" t="str">
            <v>sur chantier</v>
          </cell>
          <cell r="AI1791" t="str">
            <v/>
          </cell>
          <cell r="AJ1791">
            <v>1</v>
          </cell>
          <cell r="AK1791">
            <v>0</v>
          </cell>
          <cell r="AL1791"/>
          <cell r="AM1791"/>
          <cell r="AN1791">
            <v>7121449</v>
          </cell>
          <cell r="AO1791"/>
          <cell r="AP1791"/>
          <cell r="AQ1791"/>
          <cell r="AR1791"/>
          <cell r="AS1791">
            <v>24</v>
          </cell>
          <cell r="AT1791"/>
          <cell r="AU1791" t="str">
            <v/>
          </cell>
          <cell r="AV1791"/>
        </row>
        <row r="1792">
          <cell r="Z1792">
            <v>8131450</v>
          </cell>
          <cell r="AA1792" t="str">
            <v>XO
6-5/8" REG Pin x 7-5/8" FJWP Box</v>
          </cell>
          <cell r="AB1792">
            <v>0</v>
          </cell>
          <cell r="AC1792">
            <v>7.375</v>
          </cell>
          <cell r="AD1792">
            <v>420</v>
          </cell>
          <cell r="AE1792" t="str">
            <v>6-5/8" REG Pin</v>
          </cell>
          <cell r="AF1792" t="str">
            <v>7-5/8" FJWP Box</v>
          </cell>
          <cell r="AG1792"/>
          <cell r="AH1792" t="str">
            <v>maintenance</v>
          </cell>
          <cell r="AI1792" t="str">
            <v/>
          </cell>
          <cell r="AJ1792">
            <v>0</v>
          </cell>
          <cell r="AK1792">
            <v>1</v>
          </cell>
          <cell r="AL1792"/>
          <cell r="AM1792"/>
          <cell r="AN1792" t="str">
            <v/>
          </cell>
          <cell r="AO1792"/>
          <cell r="AP1792"/>
          <cell r="AQ1792"/>
          <cell r="AR1792"/>
          <cell r="AS1792">
            <v>219</v>
          </cell>
          <cell r="AT1792"/>
          <cell r="AU1792" t="str">
            <v>FR</v>
          </cell>
          <cell r="AV1792"/>
        </row>
        <row r="1793">
          <cell r="Z1793">
            <v>6041451</v>
          </cell>
          <cell r="AA1793" t="str">
            <v>UBHO 8" OD
6-5/8" REG Pin x Box</v>
          </cell>
          <cell r="AB1793">
            <v>182</v>
          </cell>
          <cell r="AC1793">
            <v>7.875</v>
          </cell>
          <cell r="AD1793">
            <v>885</v>
          </cell>
          <cell r="AE1793" t="str">
            <v>6-5/8" REG Box</v>
          </cell>
          <cell r="AF1793" t="str">
            <v>6-5/8" REG Pin</v>
          </cell>
          <cell r="AG1793"/>
          <cell r="AH1793" t="str">
            <v>maintenance</v>
          </cell>
          <cell r="AI1793" t="str">
            <v/>
          </cell>
          <cell r="AJ1793">
            <v>0</v>
          </cell>
          <cell r="AK1793">
            <v>1</v>
          </cell>
          <cell r="AL1793"/>
          <cell r="AM1793"/>
          <cell r="AN1793">
            <v>6041451</v>
          </cell>
          <cell r="AO1793"/>
          <cell r="AP1793"/>
          <cell r="AQ1793"/>
          <cell r="AR1793"/>
          <cell r="AS1793">
            <v>25</v>
          </cell>
          <cell r="AT1793"/>
          <cell r="AU1793" t="str">
            <v>FR</v>
          </cell>
          <cell r="AV1793"/>
        </row>
        <row r="1794">
          <cell r="Z1794">
            <v>1031452</v>
          </cell>
          <cell r="AA1794" t="str">
            <v xml:space="preserve">Casing Scraper 3-5/8" OD Body
2-3/8" REG Pin  x 2-3/8" REG Box </v>
          </cell>
          <cell r="AB1794">
            <v>34</v>
          </cell>
          <cell r="AC1794">
            <v>3.625</v>
          </cell>
          <cell r="AD1794">
            <v>890</v>
          </cell>
          <cell r="AE1794" t="str">
            <v xml:space="preserve">2-3/8" REG Pin </v>
          </cell>
          <cell r="AF1794" t="str">
            <v xml:space="preserve">2-3/8" REG Box </v>
          </cell>
          <cell r="AG1794"/>
          <cell r="AH1794" t="str">
            <v xml:space="preserve"> en stock </v>
          </cell>
          <cell r="AI1794">
            <v>1</v>
          </cell>
          <cell r="AJ1794">
            <v>0</v>
          </cell>
          <cell r="AK1794">
            <v>0</v>
          </cell>
          <cell r="AL1794"/>
          <cell r="AM1794"/>
          <cell r="AN1794">
            <v>1031452</v>
          </cell>
          <cell r="AO1794"/>
          <cell r="AP1794"/>
          <cell r="AQ1794"/>
          <cell r="AR1794"/>
          <cell r="AS1794">
            <v>8</v>
          </cell>
          <cell r="AT1794"/>
          <cell r="AU1794" t="str">
            <v>AE</v>
          </cell>
          <cell r="AV1794"/>
        </row>
        <row r="1795">
          <cell r="Z1795">
            <v>8711453</v>
          </cell>
          <cell r="AA1795" t="str">
            <v>NON MAG String Stab
6-5/8" REG Pin x 6-5/8" REG Box BF</v>
          </cell>
          <cell r="AB1795">
            <v>0</v>
          </cell>
          <cell r="AC1795">
            <v>11.75</v>
          </cell>
          <cell r="AD1795">
            <v>1400</v>
          </cell>
          <cell r="AE1795" t="str">
            <v>6-5/8" REG Box BF</v>
          </cell>
          <cell r="AF1795" t="str">
            <v>6-5/8" REG Pin</v>
          </cell>
          <cell r="AG1795" t="str">
            <v>Insert</v>
          </cell>
          <cell r="AH1795" t="str">
            <v>sur chantier</v>
          </cell>
          <cell r="AI1795" t="str">
            <v/>
          </cell>
          <cell r="AJ1795">
            <v>1</v>
          </cell>
          <cell r="AK1795">
            <v>0</v>
          </cell>
          <cell r="AL1795"/>
          <cell r="AM1795"/>
          <cell r="AN1795">
            <v>8711453</v>
          </cell>
          <cell r="AO1795"/>
          <cell r="AP1795"/>
          <cell r="AQ1795"/>
          <cell r="AR1795" t="str">
            <v>SSRT4741</v>
          </cell>
          <cell r="AS1795">
            <v>55</v>
          </cell>
          <cell r="AT1795"/>
          <cell r="AU1795" t="str">
            <v/>
          </cell>
          <cell r="AV1795"/>
        </row>
        <row r="1796">
          <cell r="Z1796">
            <v>8711454</v>
          </cell>
          <cell r="AA1796" t="str">
            <v>NON MAG String Stab
4-1/2" IF Pin SRG x 4-1/2" IF Box BB</v>
          </cell>
          <cell r="AB1796">
            <v>250</v>
          </cell>
          <cell r="AC1796">
            <v>8.3125</v>
          </cell>
          <cell r="AD1796">
            <v>1595</v>
          </cell>
          <cell r="AE1796" t="str">
            <v>4-1/2" IF Box BB</v>
          </cell>
          <cell r="AF1796" t="str">
            <v>4-1/2" IF Pin SRG</v>
          </cell>
          <cell r="AG1796" t="str">
            <v>Insert</v>
          </cell>
          <cell r="AH1796" t="str">
            <v xml:space="preserve"> en stock </v>
          </cell>
          <cell r="AI1796">
            <v>1</v>
          </cell>
          <cell r="AJ1796">
            <v>0</v>
          </cell>
          <cell r="AK1796">
            <v>0</v>
          </cell>
          <cell r="AL1796"/>
          <cell r="AM1796"/>
          <cell r="AN1796">
            <v>8711454</v>
          </cell>
          <cell r="AO1796"/>
          <cell r="AP1796"/>
          <cell r="AQ1796"/>
          <cell r="AR1796" t="str">
            <v>RSNM825</v>
          </cell>
          <cell r="AS1796">
            <v>34</v>
          </cell>
          <cell r="AT1796"/>
          <cell r="AU1796" t="str">
            <v/>
          </cell>
          <cell r="AV1796"/>
        </row>
        <row r="1797">
          <cell r="Z1797">
            <v>8711455</v>
          </cell>
          <cell r="AA1797" t="str">
            <v>NON MAG String Stab
6-5/8" REG Pin x 6-5/8" REG Box</v>
          </cell>
          <cell r="AB1797">
            <v>0</v>
          </cell>
          <cell r="AC1797">
            <v>12.125</v>
          </cell>
          <cell r="AD1797">
            <v>2120</v>
          </cell>
          <cell r="AE1797" t="str">
            <v>6-5/8" REG Box</v>
          </cell>
          <cell r="AF1797" t="str">
            <v>6-5/8" REG Pin</v>
          </cell>
          <cell r="AG1797" t="str">
            <v>Insert</v>
          </cell>
          <cell r="AH1797" t="str">
            <v xml:space="preserve"> en stock </v>
          </cell>
          <cell r="AI1797">
            <v>1</v>
          </cell>
          <cell r="AJ1797">
            <v>0</v>
          </cell>
          <cell r="AK1797">
            <v>0</v>
          </cell>
          <cell r="AL1797"/>
          <cell r="AM1797"/>
          <cell r="AN1797">
            <v>8711455</v>
          </cell>
          <cell r="AO1797"/>
          <cell r="AP1797"/>
          <cell r="AQ1797"/>
          <cell r="AR1797" t="str">
            <v>SSRT7978</v>
          </cell>
          <cell r="AS1797">
            <v>75</v>
          </cell>
          <cell r="AT1797"/>
          <cell r="AU1797" t="str">
            <v/>
          </cell>
          <cell r="AV1797"/>
        </row>
        <row r="1798">
          <cell r="Z1798">
            <v>8711456</v>
          </cell>
          <cell r="AA1798" t="str">
            <v>NON MAG String Stab
4" IF Pin SRG x 4" IF Box BB</v>
          </cell>
          <cell r="AB1798">
            <v>0</v>
          </cell>
          <cell r="AC1798">
            <v>8</v>
          </cell>
          <cell r="AD1798">
            <v>1450</v>
          </cell>
          <cell r="AE1798" t="str">
            <v>4" IF Box BB</v>
          </cell>
          <cell r="AF1798" t="str">
            <v>4" IF Pin SRG</v>
          </cell>
          <cell r="AG1798" t="str">
            <v>Insert</v>
          </cell>
          <cell r="AH1798" t="str">
            <v>maintenance</v>
          </cell>
          <cell r="AI1798" t="str">
            <v/>
          </cell>
          <cell r="AJ1798">
            <v>0</v>
          </cell>
          <cell r="AK1798">
            <v>1</v>
          </cell>
          <cell r="AL1798"/>
          <cell r="AM1798"/>
          <cell r="AN1798">
            <v>8711456</v>
          </cell>
          <cell r="AO1798"/>
          <cell r="AP1798"/>
          <cell r="AQ1798"/>
          <cell r="AR1798" t="str">
            <v>368714C</v>
          </cell>
          <cell r="AS1798">
            <v>25</v>
          </cell>
          <cell r="AT1798"/>
          <cell r="AU1798" t="str">
            <v/>
          </cell>
          <cell r="AV1798"/>
        </row>
        <row r="1799">
          <cell r="Z1799">
            <v>8711457</v>
          </cell>
          <cell r="AA1799" t="str">
            <v>NON MAG String Stab
4-1/2" IF Pin x 4-1/2" IF Box</v>
          </cell>
          <cell r="AB1799">
            <v>0</v>
          </cell>
          <cell r="AC1799">
            <v>8</v>
          </cell>
          <cell r="AD1799">
            <v>1560</v>
          </cell>
          <cell r="AE1799" t="str">
            <v>4-1/2" IF Box</v>
          </cell>
          <cell r="AF1799" t="str">
            <v>4-1/2" IF Pin</v>
          </cell>
          <cell r="AG1799" t="str">
            <v>Insert</v>
          </cell>
          <cell r="AH1799" t="str">
            <v xml:space="preserve"> en stock </v>
          </cell>
          <cell r="AI1799">
            <v>1</v>
          </cell>
          <cell r="AJ1799">
            <v>0</v>
          </cell>
          <cell r="AK1799">
            <v>0</v>
          </cell>
          <cell r="AL1799"/>
          <cell r="AM1799"/>
          <cell r="AN1799">
            <v>8711457</v>
          </cell>
          <cell r="AO1799"/>
          <cell r="AP1799"/>
          <cell r="AQ1799"/>
          <cell r="AR1799" t="str">
            <v>RSNM872</v>
          </cell>
          <cell r="AS1799">
            <v>24</v>
          </cell>
          <cell r="AT1799"/>
          <cell r="AU1799" t="str">
            <v/>
          </cell>
          <cell r="AV1799"/>
        </row>
        <row r="1800">
          <cell r="Z1800">
            <v>8711458</v>
          </cell>
          <cell r="AA1800" t="str">
            <v>NON MAG String Stab
6-5/8" REG Pin x 6-5/8" REG Box</v>
          </cell>
          <cell r="AB1800">
            <v>0</v>
          </cell>
          <cell r="AC1800">
            <v>11.625</v>
          </cell>
          <cell r="AD1800">
            <v>2070</v>
          </cell>
          <cell r="AE1800" t="str">
            <v>6-5/8" REG Box</v>
          </cell>
          <cell r="AF1800" t="str">
            <v>6-5/8" REG Pin</v>
          </cell>
          <cell r="AG1800" t="str">
            <v>Insert</v>
          </cell>
          <cell r="AH1800" t="str">
            <v xml:space="preserve"> en stock </v>
          </cell>
          <cell r="AI1800">
            <v>1</v>
          </cell>
          <cell r="AJ1800">
            <v>0</v>
          </cell>
          <cell r="AK1800">
            <v>0</v>
          </cell>
          <cell r="AL1800"/>
          <cell r="AM1800"/>
          <cell r="AN1800">
            <v>8711458</v>
          </cell>
          <cell r="AO1800"/>
          <cell r="AP1800"/>
          <cell r="AQ1800"/>
          <cell r="AR1800">
            <v>3241189</v>
          </cell>
          <cell r="AS1800">
            <v>50</v>
          </cell>
          <cell r="AT1800"/>
          <cell r="AU1800" t="str">
            <v/>
          </cell>
          <cell r="AV1800"/>
        </row>
        <row r="1801">
          <cell r="Z1801">
            <v>8791459</v>
          </cell>
          <cell r="AA1801" t="str">
            <v>Near Bit Stab
4-1/2" IF Box x 4-1/2" REG Box</v>
          </cell>
          <cell r="AB1801">
            <v>0</v>
          </cell>
          <cell r="AC1801">
            <v>8.5</v>
          </cell>
          <cell r="AD1801">
            <v>1285</v>
          </cell>
          <cell r="AE1801" t="str">
            <v>4-1/2" IF Box</v>
          </cell>
          <cell r="AF1801" t="str">
            <v>4-1/2" REG Box</v>
          </cell>
          <cell r="AG1801" t="str">
            <v>Insert</v>
          </cell>
          <cell r="AH1801" t="str">
            <v xml:space="preserve"> en stock </v>
          </cell>
          <cell r="AI1801">
            <v>1</v>
          </cell>
          <cell r="AJ1801">
            <v>0</v>
          </cell>
          <cell r="AK1801">
            <v>0</v>
          </cell>
          <cell r="AL1801"/>
          <cell r="AM1801"/>
          <cell r="AN1801">
            <v>8791459</v>
          </cell>
          <cell r="AO1801"/>
          <cell r="AP1801"/>
          <cell r="AQ1801"/>
          <cell r="AR1801"/>
          <cell r="AS1801">
            <v>16</v>
          </cell>
          <cell r="AT1801"/>
          <cell r="AU1801" t="str">
            <v/>
          </cell>
          <cell r="AV1801"/>
        </row>
        <row r="1802">
          <cell r="Z1802">
            <v>8091460</v>
          </cell>
          <cell r="AA1802" t="str">
            <v>Near Bit Stab
6-5/8" REG Box x 6-5/8" REG Box</v>
          </cell>
          <cell r="AB1802">
            <v>400</v>
          </cell>
          <cell r="AC1802">
            <v>11.75</v>
          </cell>
          <cell r="AD1802">
            <v>1580</v>
          </cell>
          <cell r="AE1802" t="str">
            <v>6-5/8" REG Box</v>
          </cell>
          <cell r="AF1802" t="str">
            <v>6-5/8" REG Box</v>
          </cell>
          <cell r="AG1802" t="str">
            <v>Insert</v>
          </cell>
          <cell r="AH1802" t="str">
            <v xml:space="preserve"> en stock </v>
          </cell>
          <cell r="AI1802">
            <v>1</v>
          </cell>
          <cell r="AJ1802">
            <v>0</v>
          </cell>
          <cell r="AK1802">
            <v>0</v>
          </cell>
          <cell r="AL1802"/>
          <cell r="AM1802"/>
          <cell r="AN1802">
            <v>8091460</v>
          </cell>
          <cell r="AO1802"/>
          <cell r="AP1802"/>
          <cell r="AQ1802"/>
          <cell r="AR1802"/>
          <cell r="AS1802">
            <v>22</v>
          </cell>
          <cell r="AT1802"/>
          <cell r="AU1802" t="str">
            <v/>
          </cell>
          <cell r="AV1802"/>
        </row>
        <row r="1803">
          <cell r="Z1803">
            <v>8111461</v>
          </cell>
          <cell r="AA1803" t="str">
            <v>String Stab
6-5/8" REG Pin SRG x 6-5/8" REG Box BB</v>
          </cell>
          <cell r="AB1803">
            <v>0</v>
          </cell>
          <cell r="AC1803">
            <v>12.5</v>
          </cell>
          <cell r="AD1803">
            <v>2200</v>
          </cell>
          <cell r="AE1803" t="str">
            <v>6-5/8" REG Box BB</v>
          </cell>
          <cell r="AF1803" t="str">
            <v>6-5/8" REG Pin SRG</v>
          </cell>
          <cell r="AG1803" t="str">
            <v>Insert</v>
          </cell>
          <cell r="AH1803" t="str">
            <v>maintenance</v>
          </cell>
          <cell r="AI1803" t="str">
            <v/>
          </cell>
          <cell r="AJ1803">
            <v>0</v>
          </cell>
          <cell r="AK1803">
            <v>1</v>
          </cell>
          <cell r="AL1803"/>
          <cell r="AM1803"/>
          <cell r="AN1803">
            <v>8111461</v>
          </cell>
          <cell r="AO1803"/>
          <cell r="AP1803"/>
          <cell r="AQ1803"/>
          <cell r="AR1803" t="str">
            <v>929-1058</v>
          </cell>
          <cell r="AS1803">
            <v>116</v>
          </cell>
          <cell r="AT1803"/>
          <cell r="AU1803" t="str">
            <v/>
          </cell>
          <cell r="AV1803"/>
        </row>
        <row r="1804">
          <cell r="Z1804">
            <v>8111462</v>
          </cell>
          <cell r="AA1804" t="str">
            <v>String Stab
4" IF Pin SRG x 4" IF Box BB</v>
          </cell>
          <cell r="AB1804">
            <v>0</v>
          </cell>
          <cell r="AC1804">
            <v>8.375</v>
          </cell>
          <cell r="AD1804">
            <v>1380</v>
          </cell>
          <cell r="AE1804" t="str">
            <v>4" IF Box BB</v>
          </cell>
          <cell r="AF1804" t="str">
            <v>4" IF Pin SRG</v>
          </cell>
          <cell r="AG1804" t="str">
            <v>Insert</v>
          </cell>
          <cell r="AH1804" t="str">
            <v>maintenance</v>
          </cell>
          <cell r="AI1804" t="str">
            <v/>
          </cell>
          <cell r="AJ1804">
            <v>0</v>
          </cell>
          <cell r="AK1804">
            <v>1</v>
          </cell>
          <cell r="AL1804"/>
          <cell r="AM1804"/>
          <cell r="AN1804">
            <v>8111462</v>
          </cell>
          <cell r="AO1804"/>
          <cell r="AP1804"/>
          <cell r="AQ1804"/>
          <cell r="AR1804" t="str">
            <v>RSIBS053</v>
          </cell>
          <cell r="AS1804">
            <v>117</v>
          </cell>
          <cell r="AT1804"/>
          <cell r="AU1804" t="str">
            <v/>
          </cell>
          <cell r="AV1804"/>
        </row>
        <row r="1805">
          <cell r="Z1805">
            <v>8111463</v>
          </cell>
          <cell r="AA1805" t="str">
            <v>String Stab
7-5/8" REG Pin SRG x 7-5/8" REG Box BB</v>
          </cell>
          <cell r="AB1805">
            <v>0</v>
          </cell>
          <cell r="AC1805">
            <v>11.75</v>
          </cell>
          <cell r="AD1805">
            <v>1890</v>
          </cell>
          <cell r="AE1805" t="str">
            <v>7-5/8" REG Box BB</v>
          </cell>
          <cell r="AF1805" t="str">
            <v>7-5/8" REG Pin SRG</v>
          </cell>
          <cell r="AG1805" t="str">
            <v>Insert</v>
          </cell>
          <cell r="AH1805" t="str">
            <v>maintenance</v>
          </cell>
          <cell r="AI1805" t="str">
            <v/>
          </cell>
          <cell r="AJ1805">
            <v>0</v>
          </cell>
          <cell r="AK1805">
            <v>1</v>
          </cell>
          <cell r="AL1805"/>
          <cell r="AM1805"/>
          <cell r="AN1805">
            <v>8111463</v>
          </cell>
          <cell r="AO1805"/>
          <cell r="AP1805"/>
          <cell r="AQ1805"/>
          <cell r="AR1805">
            <v>4190236</v>
          </cell>
          <cell r="AS1805">
            <v>118</v>
          </cell>
          <cell r="AT1805"/>
          <cell r="AU1805" t="str">
            <v/>
          </cell>
          <cell r="AV1805"/>
        </row>
        <row r="1806">
          <cell r="Z1806">
            <v>8111464</v>
          </cell>
          <cell r="AA1806" t="str">
            <v>String Stab
6-5/8" REG Pin SRG x 6-5/8" REG Box BB</v>
          </cell>
          <cell r="AB1806">
            <v>0</v>
          </cell>
          <cell r="AC1806">
            <v>11.875</v>
          </cell>
          <cell r="AD1806">
            <v>1750</v>
          </cell>
          <cell r="AE1806" t="str">
            <v>6-5/8" REG Box BB</v>
          </cell>
          <cell r="AF1806" t="str">
            <v>6-5/8" REG Pin SRG</v>
          </cell>
          <cell r="AG1806" t="str">
            <v>Insert</v>
          </cell>
          <cell r="AH1806" t="str">
            <v>maintenance</v>
          </cell>
          <cell r="AI1806" t="str">
            <v/>
          </cell>
          <cell r="AJ1806">
            <v>0</v>
          </cell>
          <cell r="AK1806">
            <v>1</v>
          </cell>
          <cell r="AL1806"/>
          <cell r="AM1806"/>
          <cell r="AN1806">
            <v>8111464</v>
          </cell>
          <cell r="AO1806"/>
          <cell r="AP1806"/>
          <cell r="AQ1806"/>
          <cell r="AR1806" t="str">
            <v>SN1</v>
          </cell>
          <cell r="AS1806">
            <v>119</v>
          </cell>
          <cell r="AT1806"/>
          <cell r="AU1806" t="str">
            <v/>
          </cell>
          <cell r="AV1806"/>
        </row>
        <row r="1807">
          <cell r="Z1807">
            <v>8111465</v>
          </cell>
          <cell r="AA1807" t="str">
            <v>String Stab
7-5/8" REG Pin SRG x 7-5/8" REG Box BB</v>
          </cell>
          <cell r="AB1807">
            <v>0</v>
          </cell>
          <cell r="AC1807" t="str">
            <v>?</v>
          </cell>
          <cell r="AD1807">
            <v>1470</v>
          </cell>
          <cell r="AE1807" t="str">
            <v>7-5/8" REG Box BB</v>
          </cell>
          <cell r="AF1807" t="str">
            <v>7-5/8" REG Pin SRG</v>
          </cell>
          <cell r="AG1807">
            <v>0</v>
          </cell>
          <cell r="AH1807" t="str">
            <v>maintenance</v>
          </cell>
          <cell r="AI1807" t="str">
            <v/>
          </cell>
          <cell r="AJ1807">
            <v>0</v>
          </cell>
          <cell r="AK1807">
            <v>1</v>
          </cell>
          <cell r="AL1807"/>
          <cell r="AM1807"/>
          <cell r="AN1807">
            <v>8111465</v>
          </cell>
          <cell r="AO1807"/>
          <cell r="AP1807"/>
          <cell r="AQ1807"/>
          <cell r="AR1807">
            <v>7188</v>
          </cell>
          <cell r="AS1807">
            <v>120</v>
          </cell>
          <cell r="AT1807"/>
          <cell r="AU1807" t="str">
            <v/>
          </cell>
          <cell r="AV1807"/>
        </row>
        <row r="1808">
          <cell r="Z1808">
            <v>8091466</v>
          </cell>
          <cell r="AA1808" t="str">
            <v>Near Bit Stab
4-1/2" IF Box x 4-1/2" REG Box</v>
          </cell>
          <cell r="AB1808">
            <v>0</v>
          </cell>
          <cell r="AC1808">
            <v>8.375</v>
          </cell>
          <cell r="AD1808">
            <v>1930</v>
          </cell>
          <cell r="AE1808" t="str">
            <v>4-1/2" IF Box</v>
          </cell>
          <cell r="AF1808" t="str">
            <v>4-1/2" REG Box</v>
          </cell>
          <cell r="AG1808">
            <v>0</v>
          </cell>
          <cell r="AH1808" t="str">
            <v>sur chantier</v>
          </cell>
          <cell r="AI1808" t="str">
            <v/>
          </cell>
          <cell r="AJ1808">
            <v>1</v>
          </cell>
          <cell r="AK1808">
            <v>0</v>
          </cell>
          <cell r="AL1808"/>
          <cell r="AM1808"/>
          <cell r="AN1808">
            <v>8091466</v>
          </cell>
          <cell r="AO1808"/>
          <cell r="AP1808"/>
          <cell r="AQ1808"/>
          <cell r="AR1808"/>
          <cell r="AS1808">
            <v>13</v>
          </cell>
          <cell r="AT1808"/>
          <cell r="AU1808" t="str">
            <v/>
          </cell>
          <cell r="AV1808"/>
        </row>
        <row r="1809">
          <cell r="Z1809">
            <v>8711467</v>
          </cell>
          <cell r="AA1809" t="str">
            <v>NON MAG String Stab
6-5/8" REG Pin SRG x 6-5/8" REG Box BB</v>
          </cell>
          <cell r="AB1809">
            <v>0</v>
          </cell>
          <cell r="AC1809">
            <v>12.0625</v>
          </cell>
          <cell r="AD1809">
            <v>1960</v>
          </cell>
          <cell r="AE1809" t="str">
            <v>6-5/8" REG Box BB</v>
          </cell>
          <cell r="AF1809" t="str">
            <v>6-5/8" REG Pin SRG</v>
          </cell>
          <cell r="AG1809" t="str">
            <v>Insert</v>
          </cell>
          <cell r="AH1809" t="str">
            <v>maintenance</v>
          </cell>
          <cell r="AI1809" t="str">
            <v/>
          </cell>
          <cell r="AJ1809">
            <v>0</v>
          </cell>
          <cell r="AK1809">
            <v>1</v>
          </cell>
          <cell r="AL1809"/>
          <cell r="AM1809"/>
          <cell r="AN1809">
            <v>8711467</v>
          </cell>
          <cell r="AO1809"/>
          <cell r="AP1809"/>
          <cell r="AQ1809"/>
          <cell r="AR1809" t="str">
            <v>SSRT4734</v>
          </cell>
          <cell r="AS1809">
            <v>71</v>
          </cell>
          <cell r="AT1809"/>
          <cell r="AU1809" t="str">
            <v/>
          </cell>
          <cell r="AV1809"/>
        </row>
        <row r="1810">
          <cell r="Z1810">
            <v>8711468</v>
          </cell>
          <cell r="AA1810" t="str">
            <v>NON MAG String Stab
6-5/8" REG Pin x 6-5/8" REG Box</v>
          </cell>
          <cell r="AB1810">
            <v>0</v>
          </cell>
          <cell r="AC1810">
            <v>12.25</v>
          </cell>
          <cell r="AD1810">
            <v>2170</v>
          </cell>
          <cell r="AE1810" t="str">
            <v>6-5/8" REG Box</v>
          </cell>
          <cell r="AF1810" t="str">
            <v>6-5/8" REG Pin</v>
          </cell>
          <cell r="AG1810" t="str">
            <v>Insert</v>
          </cell>
          <cell r="AH1810" t="str">
            <v>maintenance</v>
          </cell>
          <cell r="AI1810" t="str">
            <v/>
          </cell>
          <cell r="AJ1810">
            <v>0</v>
          </cell>
          <cell r="AK1810">
            <v>1</v>
          </cell>
          <cell r="AL1810"/>
          <cell r="AM1810"/>
          <cell r="AN1810">
            <v>8711468</v>
          </cell>
          <cell r="AO1810"/>
          <cell r="AP1810"/>
          <cell r="AQ1810"/>
          <cell r="AR1810" t="str">
            <v>SSR7578</v>
          </cell>
          <cell r="AS1810">
            <v>72</v>
          </cell>
          <cell r="AT1810"/>
          <cell r="AU1810" t="str">
            <v/>
          </cell>
          <cell r="AV1810"/>
        </row>
        <row r="1811">
          <cell r="Z1811">
            <v>8711469</v>
          </cell>
          <cell r="AA1811" t="str">
            <v>NON MAG String Stab
4-1/2" IF Pin SRG x 4-1/2" IF Box BB</v>
          </cell>
          <cell r="AB1811">
            <v>300</v>
          </cell>
          <cell r="AC1811">
            <v>8.3125</v>
          </cell>
          <cell r="AD1811">
            <v>2135</v>
          </cell>
          <cell r="AE1811" t="str">
            <v>4-1/2" IF Box BB</v>
          </cell>
          <cell r="AF1811" t="str">
            <v>4-1/2" IF Pin SRG</v>
          </cell>
          <cell r="AG1811" t="str">
            <v>Insert</v>
          </cell>
          <cell r="AH1811" t="str">
            <v>maintenance</v>
          </cell>
          <cell r="AI1811" t="str">
            <v/>
          </cell>
          <cell r="AJ1811">
            <v>0</v>
          </cell>
          <cell r="AK1811">
            <v>1</v>
          </cell>
          <cell r="AL1811"/>
          <cell r="AM1811"/>
          <cell r="AN1811">
            <v>8711469</v>
          </cell>
          <cell r="AO1811"/>
          <cell r="AP1811"/>
          <cell r="AQ1811"/>
          <cell r="AR1811">
            <v>568804</v>
          </cell>
          <cell r="AS1811">
            <v>33</v>
          </cell>
          <cell r="AT1811"/>
          <cell r="AU1811" t="str">
            <v/>
          </cell>
          <cell r="AV1811"/>
        </row>
        <row r="1812">
          <cell r="Z1812">
            <v>7041470</v>
          </cell>
          <cell r="AA1812" t="str">
            <v>4-1/8" FS Overshot - CA 9105
2-3/8" REG Box</v>
          </cell>
          <cell r="AB1812">
            <v>0</v>
          </cell>
          <cell r="AC1812" t="str">
            <v>4-1/8" FS</v>
          </cell>
          <cell r="AD1812">
            <v>0</v>
          </cell>
          <cell r="AE1812" t="str">
            <v>2-3/8" REG Box</v>
          </cell>
          <cell r="AF1812"/>
          <cell r="AG1812">
            <v>9105</v>
          </cell>
          <cell r="AH1812" t="str">
            <v xml:space="preserve"> en stock </v>
          </cell>
          <cell r="AI1812">
            <v>1</v>
          </cell>
          <cell r="AJ1812">
            <v>0</v>
          </cell>
          <cell r="AK1812">
            <v>0</v>
          </cell>
          <cell r="AL1812"/>
          <cell r="AM1812"/>
          <cell r="AN1812">
            <v>7041470</v>
          </cell>
          <cell r="AO1812"/>
          <cell r="AP1812"/>
          <cell r="AQ1812"/>
          <cell r="AR1812"/>
          <cell r="AS1812">
            <v>20</v>
          </cell>
          <cell r="AT1812" t="str">
            <v>704-9105</v>
          </cell>
          <cell r="AU1812" t="str">
            <v/>
          </cell>
          <cell r="AV1812"/>
        </row>
        <row r="1813">
          <cell r="Z1813">
            <v>7051471</v>
          </cell>
          <cell r="AA1813" t="str">
            <v>Extension 4-1/8" FS Lg 914mm CA 9105
4-1/8" FS Sellers Pin x Box</v>
          </cell>
          <cell r="AB1813">
            <v>24.752270581045305</v>
          </cell>
          <cell r="AC1813" t="str">
            <v>4-1/8" FS</v>
          </cell>
          <cell r="AD1813">
            <v>914</v>
          </cell>
          <cell r="AE1813" t="str">
            <v>4-1/8" FS Sellers Box</v>
          </cell>
          <cell r="AF1813" t="str">
            <v>4-1/8" FS Sellers Pin</v>
          </cell>
          <cell r="AG1813">
            <v>9105</v>
          </cell>
          <cell r="AH1813" t="str">
            <v xml:space="preserve"> en stock </v>
          </cell>
          <cell r="AI1813">
            <v>1</v>
          </cell>
          <cell r="AJ1813">
            <v>0</v>
          </cell>
          <cell r="AK1813">
            <v>0</v>
          </cell>
          <cell r="AL1813"/>
          <cell r="AM1813"/>
          <cell r="AN1813">
            <v>7051471</v>
          </cell>
          <cell r="AO1813"/>
          <cell r="AP1813"/>
          <cell r="AQ1813"/>
          <cell r="AR1813"/>
          <cell r="AS1813">
            <v>11</v>
          </cell>
          <cell r="AT1813" t="str">
            <v>705-9105</v>
          </cell>
          <cell r="AU1813" t="str">
            <v/>
          </cell>
          <cell r="AV1813"/>
        </row>
        <row r="1814">
          <cell r="Z1814">
            <v>7041472</v>
          </cell>
          <cell r="AA1814" t="str">
            <v>11-3/4" FS Overshot - CA C-5329
bowl</v>
          </cell>
          <cell r="AB1814">
            <v>0</v>
          </cell>
          <cell r="AC1814" t="str">
            <v>11-3/4" FS</v>
          </cell>
          <cell r="AD1814">
            <v>0</v>
          </cell>
          <cell r="AE1814" t="str">
            <v>bowl (top sub PO 251031)</v>
          </cell>
          <cell r="AF1814"/>
          <cell r="AG1814" t="str">
            <v>C-5329</v>
          </cell>
          <cell r="AH1814" t="str">
            <v xml:space="preserve"> en stock </v>
          </cell>
          <cell r="AI1814">
            <v>1</v>
          </cell>
          <cell r="AJ1814">
            <v>0</v>
          </cell>
          <cell r="AK1814">
            <v>0</v>
          </cell>
          <cell r="AL1814"/>
          <cell r="AM1814"/>
          <cell r="AN1814" t="str">
            <v/>
          </cell>
          <cell r="AO1814"/>
          <cell r="AP1814"/>
          <cell r="AQ1814"/>
          <cell r="AR1814"/>
          <cell r="AS1814">
            <v>95</v>
          </cell>
          <cell r="AT1814" t="str">
            <v>704-5329</v>
          </cell>
          <cell r="AU1814" t="str">
            <v/>
          </cell>
          <cell r="AV1814"/>
        </row>
        <row r="1815">
          <cell r="Z1815">
            <v>8081473</v>
          </cell>
          <cell r="AA1815" t="str">
            <v xml:space="preserve">Flex Collar 4-3/4" OD
3-1/2" IF Pin x Box
Set on : </v>
          </cell>
          <cell r="AB1815">
            <v>0</v>
          </cell>
          <cell r="AC1815">
            <v>4.625</v>
          </cell>
          <cell r="AD1815">
            <v>3400</v>
          </cell>
          <cell r="AE1815" t="str">
            <v>3-1/2" IF Box</v>
          </cell>
          <cell r="AF1815" t="str">
            <v>3-1/2" IF Pin</v>
          </cell>
          <cell r="AG1815" t="str">
            <v>DJ</v>
          </cell>
          <cell r="AH1815" t="str">
            <v>maintenance</v>
          </cell>
          <cell r="AI1815" t="str">
            <v/>
          </cell>
          <cell r="AJ1815">
            <v>0</v>
          </cell>
          <cell r="AK1815">
            <v>1</v>
          </cell>
          <cell r="AL1815"/>
          <cell r="AM1815"/>
          <cell r="AN1815">
            <v>8081473</v>
          </cell>
          <cell r="AO1815"/>
          <cell r="AP1815"/>
          <cell r="AQ1815"/>
          <cell r="AR1815"/>
          <cell r="AS1815">
            <v>25</v>
          </cell>
          <cell r="AT1815"/>
          <cell r="AU1815" t="str">
            <v>FR</v>
          </cell>
          <cell r="AV1815"/>
        </row>
        <row r="1816">
          <cell r="Z1816">
            <v>8081474</v>
          </cell>
          <cell r="AA1816" t="str">
            <v xml:space="preserve">Flex Collar 4-3/4" OD
3-1/2" IF Pin x Box
Set on : </v>
          </cell>
          <cell r="AB1816">
            <v>0</v>
          </cell>
          <cell r="AC1816">
            <v>4.625</v>
          </cell>
          <cell r="AD1816">
            <v>3400</v>
          </cell>
          <cell r="AE1816" t="str">
            <v>3-1/2" IF Box</v>
          </cell>
          <cell r="AF1816" t="str">
            <v>3-1/2" IF Pin</v>
          </cell>
          <cell r="AG1816" t="str">
            <v>DJ</v>
          </cell>
          <cell r="AH1816" t="str">
            <v>maintenance</v>
          </cell>
          <cell r="AI1816" t="str">
            <v/>
          </cell>
          <cell r="AJ1816">
            <v>0</v>
          </cell>
          <cell r="AK1816">
            <v>1</v>
          </cell>
          <cell r="AL1816"/>
          <cell r="AM1816"/>
          <cell r="AN1816">
            <v>8081474</v>
          </cell>
          <cell r="AO1816"/>
          <cell r="AP1816"/>
          <cell r="AQ1816"/>
          <cell r="AR1816"/>
          <cell r="AS1816">
            <v>26</v>
          </cell>
          <cell r="AT1816"/>
          <cell r="AU1816" t="str">
            <v>FR</v>
          </cell>
          <cell r="AV1816"/>
        </row>
        <row r="1817">
          <cell r="Z1817">
            <v>8081475</v>
          </cell>
          <cell r="AA1817" t="str">
            <v>Flex Collar 4-3/4" OD
3-1/2" IF Pin x Box</v>
          </cell>
          <cell r="AB1817">
            <v>0</v>
          </cell>
          <cell r="AC1817">
            <v>4.625</v>
          </cell>
          <cell r="AD1817">
            <v>3400</v>
          </cell>
          <cell r="AE1817" t="str">
            <v>3-1/2" IF Box</v>
          </cell>
          <cell r="AF1817" t="str">
            <v>3-1/2" IF Pin</v>
          </cell>
          <cell r="AG1817"/>
          <cell r="AH1817" t="str">
            <v xml:space="preserve"> en stock </v>
          </cell>
          <cell r="AI1817">
            <v>1</v>
          </cell>
          <cell r="AJ1817">
            <v>0</v>
          </cell>
          <cell r="AK1817">
            <v>0</v>
          </cell>
          <cell r="AL1817"/>
          <cell r="AM1817"/>
          <cell r="AN1817" t="str">
            <v/>
          </cell>
          <cell r="AO1817"/>
          <cell r="AP1817"/>
          <cell r="AQ1817"/>
          <cell r="AR1817"/>
          <cell r="AS1817">
            <v>31</v>
          </cell>
          <cell r="AT1817"/>
          <cell r="AU1817" t="str">
            <v>FR</v>
          </cell>
          <cell r="AV1817"/>
        </row>
        <row r="1818">
          <cell r="Z1818">
            <v>8081476</v>
          </cell>
          <cell r="AA1818" t="str">
            <v xml:space="preserve">Flex Collar 6-5/8" OD
4-1/2" IF Pin x Box
Set on : </v>
          </cell>
          <cell r="AB1818">
            <v>380</v>
          </cell>
          <cell r="AC1818">
            <v>6.625</v>
          </cell>
          <cell r="AD1818">
            <v>3885</v>
          </cell>
          <cell r="AE1818" t="str">
            <v>4-1/2" IF Box</v>
          </cell>
          <cell r="AF1818" t="str">
            <v>4-1/2" IF Pin</v>
          </cell>
          <cell r="AG1818" t="str">
            <v>DJ</v>
          </cell>
          <cell r="AH1818" t="str">
            <v>sur chantier</v>
          </cell>
          <cell r="AI1818" t="str">
            <v/>
          </cell>
          <cell r="AJ1818">
            <v>1</v>
          </cell>
          <cell r="AK1818">
            <v>0</v>
          </cell>
          <cell r="AL1818"/>
          <cell r="AM1818"/>
          <cell r="AN1818">
            <v>8081476</v>
          </cell>
          <cell r="AO1818"/>
          <cell r="AP1818"/>
          <cell r="AQ1818"/>
          <cell r="AR1818"/>
          <cell r="AS1818">
            <v>50</v>
          </cell>
          <cell r="AT1818"/>
          <cell r="AU1818" t="str">
            <v>FR</v>
          </cell>
          <cell r="AV1818"/>
        </row>
        <row r="1819">
          <cell r="Z1819">
            <v>8081477</v>
          </cell>
          <cell r="AA1819" t="str">
            <v xml:space="preserve">Flex Collar 6-5/8" OD
4-1/2" IF Pin x Box
Set on : </v>
          </cell>
          <cell r="AB1819">
            <v>380</v>
          </cell>
          <cell r="AC1819">
            <v>6.625</v>
          </cell>
          <cell r="AD1819">
            <v>3940</v>
          </cell>
          <cell r="AE1819" t="str">
            <v>4-1/2" IF Box</v>
          </cell>
          <cell r="AF1819" t="str">
            <v>4-1/2" IF Pin</v>
          </cell>
          <cell r="AG1819" t="str">
            <v>DJ</v>
          </cell>
          <cell r="AH1819" t="str">
            <v>sur chantier</v>
          </cell>
          <cell r="AI1819" t="str">
            <v/>
          </cell>
          <cell r="AJ1819">
            <v>1</v>
          </cell>
          <cell r="AK1819">
            <v>0</v>
          </cell>
          <cell r="AL1819"/>
          <cell r="AM1819"/>
          <cell r="AN1819">
            <v>8081477</v>
          </cell>
          <cell r="AO1819"/>
          <cell r="AP1819"/>
          <cell r="AQ1819"/>
          <cell r="AR1819"/>
          <cell r="AS1819">
            <v>51</v>
          </cell>
          <cell r="AT1819"/>
          <cell r="AU1819" t="str">
            <v>FR</v>
          </cell>
          <cell r="AV1819"/>
        </row>
        <row r="1820">
          <cell r="Z1820">
            <v>8081478</v>
          </cell>
          <cell r="AA1820" t="str">
            <v xml:space="preserve">Flex Collar 8" OD
6-5/8" REG Pin x Box
Set on : </v>
          </cell>
          <cell r="AB1820">
            <v>550</v>
          </cell>
          <cell r="AC1820">
            <v>8</v>
          </cell>
          <cell r="AD1820">
            <v>2490</v>
          </cell>
          <cell r="AE1820" t="str">
            <v>6-5/8" REG Box</v>
          </cell>
          <cell r="AF1820" t="str">
            <v>6-5/8" REG Pin</v>
          </cell>
          <cell r="AG1820" t="str">
            <v>DJ</v>
          </cell>
          <cell r="AH1820" t="str">
            <v>maintenance</v>
          </cell>
          <cell r="AI1820" t="str">
            <v/>
          </cell>
          <cell r="AJ1820">
            <v>0</v>
          </cell>
          <cell r="AK1820">
            <v>1</v>
          </cell>
          <cell r="AL1820"/>
          <cell r="AM1820"/>
          <cell r="AN1820">
            <v>8081478</v>
          </cell>
          <cell r="AO1820"/>
          <cell r="AP1820"/>
          <cell r="AQ1820"/>
          <cell r="AR1820"/>
          <cell r="AS1820">
            <v>86</v>
          </cell>
          <cell r="AT1820"/>
          <cell r="AU1820" t="str">
            <v>FR</v>
          </cell>
          <cell r="AV1820"/>
        </row>
        <row r="1821">
          <cell r="Z1821">
            <v>8081479</v>
          </cell>
          <cell r="AA1821" t="str">
            <v xml:space="preserve">Flex Collar 8" OD
6-5/8" REG Pin x Box
Set on : </v>
          </cell>
          <cell r="AB1821">
            <v>550</v>
          </cell>
          <cell r="AC1821">
            <v>8</v>
          </cell>
          <cell r="AD1821">
            <v>2490</v>
          </cell>
          <cell r="AE1821" t="str">
            <v>6-5/8" REG Box</v>
          </cell>
          <cell r="AF1821" t="str">
            <v>6-5/8" REG Pin</v>
          </cell>
          <cell r="AG1821" t="str">
            <v>DJ</v>
          </cell>
          <cell r="AH1821" t="str">
            <v xml:space="preserve"> en stock </v>
          </cell>
          <cell r="AI1821">
            <v>1</v>
          </cell>
          <cell r="AJ1821">
            <v>0</v>
          </cell>
          <cell r="AK1821">
            <v>0</v>
          </cell>
          <cell r="AL1821"/>
          <cell r="AM1821"/>
          <cell r="AN1821">
            <v>8081479</v>
          </cell>
          <cell r="AO1821"/>
          <cell r="AP1821"/>
          <cell r="AQ1821"/>
          <cell r="AR1821"/>
          <cell r="AS1821">
            <v>87</v>
          </cell>
          <cell r="AT1821"/>
          <cell r="AU1821" t="str">
            <v>FR</v>
          </cell>
          <cell r="AV1821"/>
        </row>
        <row r="1822">
          <cell r="Z1822">
            <v>8081480</v>
          </cell>
          <cell r="AA1822" t="str">
            <v xml:space="preserve">4-3/4" OD Saver Sub for DJ
3-1/2" IF Pin x Box
Set on : </v>
          </cell>
          <cell r="AB1822">
            <v>29.627360100000001</v>
          </cell>
          <cell r="AC1822">
            <v>4.75</v>
          </cell>
          <cell r="AD1822">
            <v>500</v>
          </cell>
          <cell r="AE1822" t="str">
            <v>3-1/2" IF Box</v>
          </cell>
          <cell r="AF1822" t="str">
            <v>3-1/2" IF Pin</v>
          </cell>
          <cell r="AG1822" t="str">
            <v>DJ</v>
          </cell>
          <cell r="AH1822" t="str">
            <v xml:space="preserve"> en stock </v>
          </cell>
          <cell r="AI1822">
            <v>1</v>
          </cell>
          <cell r="AJ1822">
            <v>0</v>
          </cell>
          <cell r="AK1822">
            <v>0</v>
          </cell>
          <cell r="AL1822"/>
          <cell r="AM1822"/>
          <cell r="AN1822">
            <v>8081480</v>
          </cell>
          <cell r="AO1822"/>
          <cell r="AP1822"/>
          <cell r="AQ1822"/>
          <cell r="AR1822"/>
          <cell r="AS1822">
            <v>32</v>
          </cell>
          <cell r="AT1822"/>
          <cell r="AU1822" t="str">
            <v>FR</v>
          </cell>
          <cell r="AV1822"/>
        </row>
        <row r="1823">
          <cell r="Z1823">
            <v>8081481</v>
          </cell>
          <cell r="AA1823" t="str">
            <v xml:space="preserve">4-3/4" OD Saver Sub for DJ
3-1/2" IF Pin x Box
Set on : </v>
          </cell>
          <cell r="AB1823">
            <v>29.627360100000001</v>
          </cell>
          <cell r="AC1823">
            <v>4.75</v>
          </cell>
          <cell r="AD1823">
            <v>500</v>
          </cell>
          <cell r="AE1823" t="str">
            <v>3-1/2" IF Box</v>
          </cell>
          <cell r="AF1823" t="str">
            <v>3-1/2" IF Pin</v>
          </cell>
          <cell r="AG1823" t="str">
            <v>DJ</v>
          </cell>
          <cell r="AH1823" t="str">
            <v>maintenance</v>
          </cell>
          <cell r="AI1823" t="str">
            <v/>
          </cell>
          <cell r="AJ1823">
            <v>0</v>
          </cell>
          <cell r="AK1823">
            <v>1</v>
          </cell>
          <cell r="AL1823"/>
          <cell r="AM1823"/>
          <cell r="AN1823">
            <v>8081481</v>
          </cell>
          <cell r="AO1823"/>
          <cell r="AP1823"/>
          <cell r="AQ1823"/>
          <cell r="AR1823"/>
          <cell r="AS1823">
            <v>33</v>
          </cell>
          <cell r="AT1823"/>
          <cell r="AU1823" t="str">
            <v>FR</v>
          </cell>
          <cell r="AV1823"/>
        </row>
        <row r="1824">
          <cell r="Z1824">
            <v>8081482</v>
          </cell>
          <cell r="AA1824" t="str">
            <v xml:space="preserve">4-3/4" OD Saver Sub for DJ
3-1/2" IF Pin x Box
Set on : </v>
          </cell>
          <cell r="AB1824">
            <v>29.627360100000001</v>
          </cell>
          <cell r="AC1824">
            <v>4.75</v>
          </cell>
          <cell r="AD1824">
            <v>500</v>
          </cell>
          <cell r="AE1824" t="str">
            <v>3-1/2" IF Box</v>
          </cell>
          <cell r="AF1824" t="str">
            <v>3-1/2" IF Pin</v>
          </cell>
          <cell r="AG1824" t="str">
            <v>DJ</v>
          </cell>
          <cell r="AH1824" t="str">
            <v>maintenance</v>
          </cell>
          <cell r="AI1824" t="str">
            <v/>
          </cell>
          <cell r="AJ1824">
            <v>0</v>
          </cell>
          <cell r="AK1824">
            <v>1</v>
          </cell>
          <cell r="AL1824"/>
          <cell r="AM1824"/>
          <cell r="AN1824">
            <v>8081482</v>
          </cell>
          <cell r="AO1824"/>
          <cell r="AP1824"/>
          <cell r="AQ1824"/>
          <cell r="AR1824"/>
          <cell r="AS1824">
            <v>34</v>
          </cell>
          <cell r="AT1824"/>
          <cell r="AU1824" t="str">
            <v>FR</v>
          </cell>
          <cell r="AV1824"/>
        </row>
        <row r="1825">
          <cell r="Z1825">
            <v>8081483</v>
          </cell>
          <cell r="AA1825" t="str">
            <v xml:space="preserve">6-3/4" OD Saver Sub for DJ
4-1/2" IF Pin x Box
Set on : </v>
          </cell>
          <cell r="AB1825">
            <v>72.804299552399982</v>
          </cell>
          <cell r="AC1825">
            <v>6.75</v>
          </cell>
          <cell r="AD1825">
            <v>485</v>
          </cell>
          <cell r="AE1825" t="str">
            <v>4-1/2" IF Box</v>
          </cell>
          <cell r="AF1825" t="str">
            <v>4-1/2" IF Pin</v>
          </cell>
          <cell r="AG1825" t="str">
            <v>DJ</v>
          </cell>
          <cell r="AH1825" t="str">
            <v>sur chantier</v>
          </cell>
          <cell r="AI1825" t="str">
            <v/>
          </cell>
          <cell r="AJ1825">
            <v>1</v>
          </cell>
          <cell r="AK1825">
            <v>0</v>
          </cell>
          <cell r="AL1825"/>
          <cell r="AM1825"/>
          <cell r="AN1825" t="str">
            <v/>
          </cell>
          <cell r="AO1825"/>
          <cell r="AP1825"/>
          <cell r="AQ1825"/>
          <cell r="AR1825"/>
          <cell r="AS1825">
            <v>66</v>
          </cell>
          <cell r="AT1825"/>
          <cell r="AU1825" t="str">
            <v>FR</v>
          </cell>
          <cell r="AV1825"/>
        </row>
        <row r="1826">
          <cell r="Z1826">
            <v>8081484</v>
          </cell>
          <cell r="AA1826" t="str">
            <v xml:space="preserve">6-3/4" OD Saver Sub for DJ
4-1/2" IF Pin x Box
Set on : </v>
          </cell>
          <cell r="AB1826">
            <v>72.804299552399982</v>
          </cell>
          <cell r="AC1826">
            <v>6.75</v>
          </cell>
          <cell r="AD1826">
            <v>485</v>
          </cell>
          <cell r="AE1826" t="str">
            <v>4-1/2" IF Box</v>
          </cell>
          <cell r="AF1826" t="str">
            <v>4-1/2" IF Pin</v>
          </cell>
          <cell r="AG1826" t="str">
            <v>DJ</v>
          </cell>
          <cell r="AH1826" t="str">
            <v xml:space="preserve"> en stock </v>
          </cell>
          <cell r="AI1826">
            <v>1</v>
          </cell>
          <cell r="AJ1826">
            <v>0</v>
          </cell>
          <cell r="AK1826">
            <v>0</v>
          </cell>
          <cell r="AL1826"/>
          <cell r="AM1826"/>
          <cell r="AN1826" t="str">
            <v/>
          </cell>
          <cell r="AO1826"/>
          <cell r="AP1826"/>
          <cell r="AQ1826"/>
          <cell r="AR1826"/>
          <cell r="AS1826">
            <v>67</v>
          </cell>
          <cell r="AT1826"/>
          <cell r="AU1826" t="str">
            <v>FR</v>
          </cell>
          <cell r="AV1826"/>
        </row>
        <row r="1827">
          <cell r="Z1827">
            <v>8081485</v>
          </cell>
          <cell r="AA1827" t="str">
            <v>Saver Sub 8" OD for DJ
6-5/8" REG Pin x Box</v>
          </cell>
          <cell r="AB1827">
            <v>96.683951793000006</v>
          </cell>
          <cell r="AC1827">
            <v>8</v>
          </cell>
          <cell r="AD1827">
            <v>445</v>
          </cell>
          <cell r="AE1827" t="str">
            <v>6-5/8" REG Box</v>
          </cell>
          <cell r="AF1827" t="str">
            <v>6-5/8" REG Pin</v>
          </cell>
          <cell r="AG1827" t="str">
            <v>DJ</v>
          </cell>
          <cell r="AH1827" t="str">
            <v>maintenance</v>
          </cell>
          <cell r="AI1827" t="str">
            <v/>
          </cell>
          <cell r="AJ1827">
            <v>0</v>
          </cell>
          <cell r="AK1827">
            <v>1</v>
          </cell>
          <cell r="AL1827"/>
          <cell r="AM1827"/>
          <cell r="AN1827">
            <v>8081485</v>
          </cell>
          <cell r="AO1827"/>
          <cell r="AP1827"/>
          <cell r="AQ1827"/>
          <cell r="AR1827"/>
          <cell r="AS1827">
            <v>99</v>
          </cell>
          <cell r="AT1827"/>
          <cell r="AU1827" t="str">
            <v>FR</v>
          </cell>
          <cell r="AV1827"/>
        </row>
        <row r="1828">
          <cell r="Z1828">
            <v>8081486</v>
          </cell>
          <cell r="AA1828" t="str">
            <v xml:space="preserve">Saver Sub 8" OD for DJ
6-5/8" REG Pin x Box
Set on : </v>
          </cell>
          <cell r="AB1828">
            <v>130.36038443999999</v>
          </cell>
          <cell r="AC1828">
            <v>8</v>
          </cell>
          <cell r="AD1828">
            <v>600</v>
          </cell>
          <cell r="AE1828" t="str">
            <v>6-5/8" REG Box</v>
          </cell>
          <cell r="AF1828" t="str">
            <v>6-5/8" REG Pin</v>
          </cell>
          <cell r="AG1828" t="str">
            <v>DJ</v>
          </cell>
          <cell r="AH1828" t="str">
            <v>maintenance</v>
          </cell>
          <cell r="AI1828" t="str">
            <v/>
          </cell>
          <cell r="AJ1828">
            <v>0</v>
          </cell>
          <cell r="AK1828">
            <v>1</v>
          </cell>
          <cell r="AL1828"/>
          <cell r="AM1828"/>
          <cell r="AN1828">
            <v>8081486</v>
          </cell>
          <cell r="AO1828"/>
          <cell r="AP1828"/>
          <cell r="AQ1828"/>
          <cell r="AR1828"/>
          <cell r="AS1828">
            <v>100</v>
          </cell>
          <cell r="AT1828"/>
          <cell r="AU1828" t="str">
            <v>FR</v>
          </cell>
          <cell r="AV1828"/>
        </row>
        <row r="1829">
          <cell r="Z1829">
            <v>8131487</v>
          </cell>
          <cell r="AA1829" t="str">
            <v>XO
2-3/8" REG Pin x 2-7/8" EU Box</v>
          </cell>
          <cell r="AB1829">
            <v>0</v>
          </cell>
          <cell r="AC1829">
            <v>3.625</v>
          </cell>
          <cell r="AD1829">
            <v>400</v>
          </cell>
          <cell r="AE1829" t="str">
            <v>2-3/8" REG Pin</v>
          </cell>
          <cell r="AF1829" t="str">
            <v>2-7/8" EU Box</v>
          </cell>
          <cell r="AG1829"/>
          <cell r="AH1829" t="str">
            <v xml:space="preserve"> en stock </v>
          </cell>
          <cell r="AI1829">
            <v>1</v>
          </cell>
          <cell r="AJ1829">
            <v>0</v>
          </cell>
          <cell r="AK1829">
            <v>0</v>
          </cell>
          <cell r="AL1829"/>
          <cell r="AM1829"/>
          <cell r="AN1829">
            <v>8131487</v>
          </cell>
          <cell r="AO1829"/>
          <cell r="AP1829"/>
          <cell r="AQ1829"/>
          <cell r="AR1829"/>
          <cell r="AS1829">
            <v>52</v>
          </cell>
          <cell r="AT1829"/>
          <cell r="AU1829" t="str">
            <v>FR</v>
          </cell>
          <cell r="AV1829"/>
        </row>
        <row r="1830">
          <cell r="Z1830">
            <v>8131488</v>
          </cell>
          <cell r="AA1830" t="str">
            <v>XO
2-3/8" IF Pin x 2-7/8" EU Box</v>
          </cell>
          <cell r="AB1830">
            <v>0</v>
          </cell>
          <cell r="AC1830">
            <v>3.625</v>
          </cell>
          <cell r="AD1830">
            <v>400</v>
          </cell>
          <cell r="AE1830" t="str">
            <v>2-3/8" IF Pin</v>
          </cell>
          <cell r="AF1830" t="str">
            <v>2-7/8" EU Box</v>
          </cell>
          <cell r="AG1830"/>
          <cell r="AH1830" t="str">
            <v xml:space="preserve"> en stock </v>
          </cell>
          <cell r="AI1830">
            <v>1</v>
          </cell>
          <cell r="AJ1830">
            <v>0</v>
          </cell>
          <cell r="AK1830">
            <v>0</v>
          </cell>
          <cell r="AL1830"/>
          <cell r="AM1830"/>
          <cell r="AN1830">
            <v>8131488</v>
          </cell>
          <cell r="AO1830"/>
          <cell r="AP1830"/>
          <cell r="AQ1830"/>
          <cell r="AR1830"/>
          <cell r="AS1830">
            <v>32</v>
          </cell>
          <cell r="AT1830"/>
          <cell r="AU1830" t="str">
            <v>FR</v>
          </cell>
          <cell r="AV1830"/>
        </row>
        <row r="1831">
          <cell r="Z1831">
            <v>5121489</v>
          </cell>
          <cell r="AA1831" t="str">
            <v>WO Top Sub 
2-3/8" IF Box x 4-1/2" FJWP Pin x 2-3/8" REG Box in</v>
          </cell>
          <cell r="AB1831">
            <v>0</v>
          </cell>
          <cell r="AC1831">
            <v>4.5</v>
          </cell>
          <cell r="AD1831">
            <v>910</v>
          </cell>
          <cell r="AE1831" t="str">
            <v>2-3/8" IF Box</v>
          </cell>
          <cell r="AF1831" t="str">
            <v>4-1/2" FJWP Pin</v>
          </cell>
          <cell r="AG1831" t="str">
            <v>2-3/8" REG Box</v>
          </cell>
          <cell r="AH1831" t="str">
            <v>sur chantier</v>
          </cell>
          <cell r="AI1831" t="str">
            <v/>
          </cell>
          <cell r="AJ1831">
            <v>1</v>
          </cell>
          <cell r="AK1831">
            <v>0</v>
          </cell>
          <cell r="AL1831"/>
          <cell r="AM1831"/>
          <cell r="AN1831">
            <v>5121489</v>
          </cell>
          <cell r="AO1831"/>
          <cell r="AP1831"/>
          <cell r="AQ1831"/>
          <cell r="AR1831"/>
          <cell r="AS1831">
            <v>16</v>
          </cell>
          <cell r="AT1831"/>
          <cell r="AU1831" t="str">
            <v>FR</v>
          </cell>
          <cell r="AV1831"/>
        </row>
        <row r="1832">
          <cell r="Z1832">
            <v>5121490</v>
          </cell>
          <cell r="AA1832" t="str">
            <v>WO Top Sub 
2-3/8" IF Box x 4-1/2" FJWP Pin x 2-3/8" REG Box in</v>
          </cell>
          <cell r="AB1832">
            <v>0</v>
          </cell>
          <cell r="AC1832">
            <v>4.5</v>
          </cell>
          <cell r="AD1832">
            <v>910</v>
          </cell>
          <cell r="AE1832" t="str">
            <v>2-3/8" IF Box</v>
          </cell>
          <cell r="AF1832" t="str">
            <v>4-1/2" FJWP Pin</v>
          </cell>
          <cell r="AG1832" t="str">
            <v>2-3/8" REG Box</v>
          </cell>
          <cell r="AH1832" t="str">
            <v xml:space="preserve"> en stock </v>
          </cell>
          <cell r="AI1832">
            <v>1</v>
          </cell>
          <cell r="AJ1832">
            <v>0</v>
          </cell>
          <cell r="AK1832">
            <v>0</v>
          </cell>
          <cell r="AL1832"/>
          <cell r="AM1832"/>
          <cell r="AN1832">
            <v>5121490</v>
          </cell>
          <cell r="AO1832"/>
          <cell r="AP1832"/>
          <cell r="AQ1832"/>
          <cell r="AR1832"/>
          <cell r="AS1832">
            <v>17</v>
          </cell>
          <cell r="AT1832"/>
          <cell r="AU1832" t="str">
            <v>FR</v>
          </cell>
          <cell r="AV1832"/>
        </row>
        <row r="1833">
          <cell r="Z1833">
            <v>5021491</v>
          </cell>
          <cell r="AA1833" t="str">
            <v>Economill 
2-3/8" REG Pin</v>
          </cell>
          <cell r="AB1833">
            <v>0</v>
          </cell>
          <cell r="AC1833">
            <v>3.75</v>
          </cell>
          <cell r="AD1833">
            <v>350</v>
          </cell>
          <cell r="AE1833" t="str">
            <v>2-3/8" REG Pin</v>
          </cell>
          <cell r="AF1833"/>
          <cell r="AG1833" t="str">
            <v>C</v>
          </cell>
          <cell r="AH1833" t="str">
            <v>sur chantier</v>
          </cell>
          <cell r="AI1833" t="str">
            <v/>
          </cell>
          <cell r="AJ1833">
            <v>1</v>
          </cell>
          <cell r="AK1833">
            <v>0</v>
          </cell>
          <cell r="AL1833"/>
          <cell r="AM1833"/>
          <cell r="AN1833">
            <v>5021491</v>
          </cell>
          <cell r="AO1833"/>
          <cell r="AP1833"/>
          <cell r="AQ1833"/>
          <cell r="AR1833"/>
          <cell r="AS1833">
            <v>8</v>
          </cell>
          <cell r="AT1833"/>
          <cell r="AU1833" t="str">
            <v>FR</v>
          </cell>
          <cell r="AV1833"/>
        </row>
        <row r="1834">
          <cell r="Z1834">
            <v>5021492</v>
          </cell>
          <cell r="AA1834" t="str">
            <v>Economill 
2-3/8" REG Pin</v>
          </cell>
          <cell r="AB1834">
            <v>0</v>
          </cell>
          <cell r="AC1834">
            <v>3.75</v>
          </cell>
          <cell r="AD1834">
            <v>350</v>
          </cell>
          <cell r="AE1834" t="str">
            <v>2-3/8" REG Pin</v>
          </cell>
          <cell r="AF1834"/>
          <cell r="AG1834" t="str">
            <v>C</v>
          </cell>
          <cell r="AH1834" t="str">
            <v>maintenance</v>
          </cell>
          <cell r="AI1834" t="str">
            <v/>
          </cell>
          <cell r="AJ1834">
            <v>0</v>
          </cell>
          <cell r="AK1834">
            <v>1</v>
          </cell>
          <cell r="AL1834"/>
          <cell r="AM1834"/>
          <cell r="AN1834">
            <v>5021492</v>
          </cell>
          <cell r="AO1834"/>
          <cell r="AP1834"/>
          <cell r="AQ1834"/>
          <cell r="AR1834"/>
          <cell r="AS1834">
            <v>9</v>
          </cell>
          <cell r="AT1834"/>
          <cell r="AU1834" t="str">
            <v>FR</v>
          </cell>
          <cell r="AV1834"/>
        </row>
        <row r="1835">
          <cell r="Z1835">
            <v>1493</v>
          </cell>
          <cell r="AA1835"/>
          <cell r="AB1835"/>
          <cell r="AC1835"/>
          <cell r="AD1835"/>
          <cell r="AE1835"/>
          <cell r="AF1835"/>
          <cell r="AG1835"/>
          <cell r="AH1835" t="str">
            <v>en stock</v>
          </cell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 t="str">
            <v/>
          </cell>
          <cell r="AV1835"/>
        </row>
        <row r="1836">
          <cell r="Z1836">
            <v>1494</v>
          </cell>
          <cell r="AA1836"/>
          <cell r="AB1836"/>
          <cell r="AC1836"/>
          <cell r="AD1836"/>
          <cell r="AE1836"/>
          <cell r="AF1836"/>
          <cell r="AG1836"/>
          <cell r="AH1836" t="str">
            <v>en stock</v>
          </cell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 t="str">
            <v/>
          </cell>
          <cell r="AV1836"/>
        </row>
        <row r="1837">
          <cell r="Z1837">
            <v>1495</v>
          </cell>
          <cell r="AA1837"/>
          <cell r="AB1837"/>
          <cell r="AC1837"/>
          <cell r="AD1837"/>
          <cell r="AE1837"/>
          <cell r="AF1837"/>
          <cell r="AG1837"/>
          <cell r="AH1837" t="str">
            <v>en stock</v>
          </cell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 t="str">
            <v/>
          </cell>
          <cell r="AV1837"/>
        </row>
        <row r="1838">
          <cell r="Z1838">
            <v>1496</v>
          </cell>
          <cell r="AA1838"/>
          <cell r="AB1838"/>
          <cell r="AC1838"/>
          <cell r="AD1838"/>
          <cell r="AE1838"/>
          <cell r="AF1838"/>
          <cell r="AG1838"/>
          <cell r="AH1838" t="str">
            <v>en stock</v>
          </cell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 t="str">
            <v/>
          </cell>
          <cell r="AV1838"/>
        </row>
        <row r="1839">
          <cell r="Z1839">
            <v>8711497</v>
          </cell>
          <cell r="AA1839" t="str">
            <v>NON MAG String Stab
0 x 0</v>
          </cell>
          <cell r="AB1839">
            <v>0</v>
          </cell>
          <cell r="AC1839">
            <v>12.125</v>
          </cell>
          <cell r="AD1839">
            <v>0</v>
          </cell>
          <cell r="AE1839">
            <v>0</v>
          </cell>
          <cell r="AF1839">
            <v>0</v>
          </cell>
          <cell r="AG1839" t="str">
            <v>Insert</v>
          </cell>
          <cell r="AH1839" t="str">
            <v>maintenance</v>
          </cell>
          <cell r="AI1839" t="str">
            <v/>
          </cell>
          <cell r="AJ1839">
            <v>0</v>
          </cell>
          <cell r="AK1839">
            <v>1</v>
          </cell>
          <cell r="AL1839"/>
          <cell r="AM1839"/>
          <cell r="AN1839" t="str">
            <v/>
          </cell>
          <cell r="AO1839"/>
          <cell r="AP1839"/>
          <cell r="AQ1839"/>
          <cell r="AR1839" t="str">
            <v>SBD 24028</v>
          </cell>
          <cell r="AS1839">
            <v>73</v>
          </cell>
          <cell r="AT1839"/>
          <cell r="AU1839" t="str">
            <v/>
          </cell>
          <cell r="AV1839"/>
        </row>
        <row r="1840">
          <cell r="Z1840">
            <v>1498</v>
          </cell>
          <cell r="AA1840"/>
          <cell r="AB1840"/>
          <cell r="AC1840"/>
          <cell r="AD1840"/>
          <cell r="AE1840"/>
          <cell r="AF1840"/>
          <cell r="AG1840"/>
          <cell r="AH1840" t="str">
            <v>en stock</v>
          </cell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 t="str">
            <v/>
          </cell>
          <cell r="AV1840"/>
        </row>
        <row r="1841">
          <cell r="Z1841">
            <v>1499</v>
          </cell>
          <cell r="AA1841"/>
          <cell r="AB1841"/>
          <cell r="AC1841"/>
          <cell r="AD1841"/>
          <cell r="AE1841"/>
          <cell r="AF1841"/>
          <cell r="AG1841"/>
          <cell r="AH1841" t="str">
            <v>en stock</v>
          </cell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 t="str">
            <v/>
          </cell>
          <cell r="AV1841"/>
        </row>
        <row r="1842">
          <cell r="Z1842">
            <v>1500</v>
          </cell>
          <cell r="AA1842"/>
          <cell r="AB1842"/>
          <cell r="AC1842"/>
          <cell r="AD1842"/>
          <cell r="AE1842"/>
          <cell r="AF1842"/>
          <cell r="AG1842"/>
          <cell r="AH1842" t="str">
            <v>en stock</v>
          </cell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 t="str">
            <v/>
          </cell>
          <cell r="AV1842"/>
        </row>
        <row r="1843">
          <cell r="Z1843">
            <v>1501</v>
          </cell>
          <cell r="AA1843"/>
          <cell r="AB1843"/>
          <cell r="AC1843"/>
          <cell r="AD1843"/>
          <cell r="AE1843"/>
          <cell r="AF1843"/>
          <cell r="AG1843"/>
          <cell r="AH1843" t="str">
            <v>en stock</v>
          </cell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 t="str">
            <v/>
          </cell>
          <cell r="AV1843"/>
        </row>
        <row r="1844">
          <cell r="Z1844">
            <v>8711502</v>
          </cell>
          <cell r="AA1844" t="str">
            <v>NON MAG String Stab
marqué tordu et pin HS x 0</v>
          </cell>
          <cell r="AB1844">
            <v>0</v>
          </cell>
          <cell r="AC1844">
            <v>17.5</v>
          </cell>
          <cell r="AD1844">
            <v>0</v>
          </cell>
          <cell r="AE1844">
            <v>0</v>
          </cell>
          <cell r="AF1844" t="str">
            <v>marqué tordu et pin HS</v>
          </cell>
          <cell r="AG1844">
            <v>0</v>
          </cell>
          <cell r="AH1844" t="str">
            <v>sur chantier</v>
          </cell>
          <cell r="AI1844" t="str">
            <v/>
          </cell>
          <cell r="AJ1844">
            <v>1</v>
          </cell>
          <cell r="AK1844">
            <v>0</v>
          </cell>
          <cell r="AL1844"/>
          <cell r="AM1844"/>
          <cell r="AN1844" t="str">
            <v/>
          </cell>
          <cell r="AO1844" t="str">
            <v>x</v>
          </cell>
          <cell r="AP1844"/>
          <cell r="AQ1844"/>
          <cell r="AR1844"/>
          <cell r="AS1844">
            <v>97</v>
          </cell>
          <cell r="AT1844"/>
          <cell r="AU1844" t="str">
            <v/>
          </cell>
          <cell r="AV1844"/>
        </row>
        <row r="1845">
          <cell r="Z1845">
            <v>8131503</v>
          </cell>
          <cell r="AA1845" t="str">
            <v>XO
2-3/8" IF Pin x 2-7/8" HT PAC Box</v>
          </cell>
          <cell r="AB1845">
            <v>42.696729324112511</v>
          </cell>
          <cell r="AC1845">
            <v>3.75</v>
          </cell>
          <cell r="AD1845">
            <v>915</v>
          </cell>
          <cell r="AE1845" t="str">
            <v>2-3/8" IF Pin</v>
          </cell>
          <cell r="AF1845" t="str">
            <v>2-7/8" HT PAC Box</v>
          </cell>
          <cell r="AG1845"/>
          <cell r="AH1845" t="str">
            <v xml:space="preserve"> en stock </v>
          </cell>
          <cell r="AI1845">
            <v>1</v>
          </cell>
          <cell r="AJ1845">
            <v>0</v>
          </cell>
          <cell r="AK1845">
            <v>0</v>
          </cell>
          <cell r="AL1845"/>
          <cell r="AM1845"/>
          <cell r="AN1845" t="str">
            <v/>
          </cell>
          <cell r="AO1845"/>
          <cell r="AP1845"/>
          <cell r="AQ1845"/>
          <cell r="AR1845"/>
          <cell r="AS1845">
            <v>33</v>
          </cell>
          <cell r="AT1845"/>
          <cell r="AU1845" t="str">
            <v/>
          </cell>
          <cell r="AV1845"/>
        </row>
        <row r="1846">
          <cell r="Z1846">
            <v>8131504</v>
          </cell>
          <cell r="AA1846" t="str">
            <v>XO
2-3/8" IF Pin x 2-7/8" HT PAC Box</v>
          </cell>
          <cell r="AB1846">
            <v>42.696729324112511</v>
          </cell>
          <cell r="AC1846">
            <v>3.75</v>
          </cell>
          <cell r="AD1846">
            <v>915</v>
          </cell>
          <cell r="AE1846" t="str">
            <v>2-3/8" IF Pin</v>
          </cell>
          <cell r="AF1846" t="str">
            <v>2-7/8" HT PAC Box</v>
          </cell>
          <cell r="AG1846"/>
          <cell r="AH1846" t="str">
            <v>maintenance</v>
          </cell>
          <cell r="AI1846" t="str">
            <v/>
          </cell>
          <cell r="AJ1846">
            <v>0</v>
          </cell>
          <cell r="AK1846">
            <v>1</v>
          </cell>
          <cell r="AL1846"/>
          <cell r="AM1846"/>
          <cell r="AN1846" t="str">
            <v/>
          </cell>
          <cell r="AO1846"/>
          <cell r="AP1846"/>
          <cell r="AQ1846"/>
          <cell r="AR1846"/>
          <cell r="AS1846">
            <v>34</v>
          </cell>
          <cell r="AT1846"/>
          <cell r="AU1846" t="str">
            <v/>
          </cell>
          <cell r="AV1846"/>
        </row>
        <row r="1847">
          <cell r="Z1847">
            <v>8131505</v>
          </cell>
          <cell r="AA1847" t="str">
            <v>XO
7-5/8" REG Pin x 7-5/8" REG Pin</v>
          </cell>
          <cell r="AB1847">
            <v>350</v>
          </cell>
          <cell r="AC1847">
            <v>9.5</v>
          </cell>
          <cell r="AD1847">
            <v>875</v>
          </cell>
          <cell r="AE1847" t="str">
            <v>7-5/8" REG Pin</v>
          </cell>
          <cell r="AF1847" t="str">
            <v>7-5/8" REG Pin</v>
          </cell>
          <cell r="AG1847"/>
          <cell r="AH1847" t="str">
            <v>maintenance</v>
          </cell>
          <cell r="AI1847" t="str">
            <v/>
          </cell>
          <cell r="AJ1847">
            <v>0</v>
          </cell>
          <cell r="AK1847">
            <v>1</v>
          </cell>
          <cell r="AL1847"/>
          <cell r="AM1847"/>
          <cell r="AN1847">
            <v>8131505</v>
          </cell>
          <cell r="AO1847"/>
          <cell r="AP1847"/>
          <cell r="AQ1847"/>
          <cell r="AR1847"/>
          <cell r="AS1847">
            <v>232</v>
          </cell>
          <cell r="AT1847"/>
          <cell r="AU1847" t="str">
            <v>FR</v>
          </cell>
          <cell r="AV1847"/>
        </row>
        <row r="1848">
          <cell r="Z1848">
            <v>6081506</v>
          </cell>
          <cell r="AA1848" t="str">
            <v>Top NMDC Spiralé 6-1/2" OD x 2-13/16" ID
4-1/2" IF Pin x Box</v>
          </cell>
          <cell r="AB1848">
            <v>1192.3915302071296</v>
          </cell>
          <cell r="AC1848">
            <v>6.5</v>
          </cell>
          <cell r="AD1848">
            <v>8790</v>
          </cell>
          <cell r="AE1848" t="str">
            <v>4-1/2" IF Box</v>
          </cell>
          <cell r="AF1848" t="str">
            <v>4-1/2" IF Pin</v>
          </cell>
          <cell r="AG1848"/>
          <cell r="AH1848" t="str">
            <v xml:space="preserve"> en stock </v>
          </cell>
          <cell r="AI1848">
            <v>1</v>
          </cell>
          <cell r="AJ1848">
            <v>0</v>
          </cell>
          <cell r="AK1848">
            <v>0</v>
          </cell>
          <cell r="AL1848"/>
          <cell r="AM1848"/>
          <cell r="AN1848">
            <v>6081506</v>
          </cell>
          <cell r="AO1848"/>
          <cell r="AP1848"/>
          <cell r="AQ1848"/>
          <cell r="AR1848"/>
          <cell r="AS1848">
            <v>25</v>
          </cell>
          <cell r="AT1848"/>
          <cell r="AU1848" t="str">
            <v/>
          </cell>
          <cell r="AV1848"/>
        </row>
        <row r="1849">
          <cell r="Z1849">
            <v>8081507</v>
          </cell>
          <cell r="AA1849" t="str">
            <v xml:space="preserve">Saver Sub 8" OD for DJ
6-5/8" REG Pin x Box
Set on : </v>
          </cell>
          <cell r="AB1849">
            <v>212.91331993863747</v>
          </cell>
          <cell r="AC1849">
            <v>8</v>
          </cell>
          <cell r="AD1849">
            <v>955</v>
          </cell>
          <cell r="AE1849" t="str">
            <v>6-5/8" REG Box</v>
          </cell>
          <cell r="AF1849" t="str">
            <v>6-5/8" REG Pin</v>
          </cell>
          <cell r="AG1849" t="str">
            <v>DJ</v>
          </cell>
          <cell r="AH1849" t="str">
            <v xml:space="preserve"> en stock </v>
          </cell>
          <cell r="AI1849">
            <v>1</v>
          </cell>
          <cell r="AJ1849">
            <v>0</v>
          </cell>
          <cell r="AK1849">
            <v>0</v>
          </cell>
          <cell r="AL1849"/>
          <cell r="AM1849"/>
          <cell r="AN1849" t="str">
            <v/>
          </cell>
          <cell r="AO1849"/>
          <cell r="AP1849"/>
          <cell r="AQ1849"/>
          <cell r="AR1849"/>
          <cell r="AS1849">
            <v>98</v>
          </cell>
          <cell r="AT1849"/>
          <cell r="AU1849" t="str">
            <v>FR</v>
          </cell>
          <cell r="AV1849"/>
        </row>
        <row r="1850">
          <cell r="Z1850">
            <v>5041508</v>
          </cell>
          <cell r="AA1850" t="str">
            <v>Viper Pilot Mill
6-5/8" REG Pin x 4-1/2" REG Box</v>
          </cell>
          <cell r="AB1850">
            <v>0</v>
          </cell>
          <cell r="AC1850">
            <v>11.25</v>
          </cell>
          <cell r="AD1850">
            <v>1740</v>
          </cell>
          <cell r="AE1850" t="str">
            <v>6-5/8" REG Pin</v>
          </cell>
          <cell r="AF1850" t="str">
            <v>4-1/2" REG Box</v>
          </cell>
          <cell r="AG1850" t="str">
            <v>BLANK</v>
          </cell>
          <cell r="AH1850" t="str">
            <v xml:space="preserve"> en stock </v>
          </cell>
          <cell r="AI1850">
            <v>1</v>
          </cell>
          <cell r="AJ1850">
            <v>0</v>
          </cell>
          <cell r="AK1850">
            <v>0</v>
          </cell>
          <cell r="AL1850"/>
          <cell r="AM1850"/>
          <cell r="AN1850"/>
          <cell r="AO1850"/>
          <cell r="AP1850"/>
          <cell r="AQ1850"/>
          <cell r="AR1850"/>
          <cell r="AS1850">
            <v>32</v>
          </cell>
          <cell r="AT1850"/>
          <cell r="AU1850" t="str">
            <v>FR</v>
          </cell>
          <cell r="AV1850"/>
        </row>
        <row r="1851">
          <cell r="Z1851">
            <v>5041509</v>
          </cell>
          <cell r="AA1851" t="str">
            <v>Viper Pilot Mill
6-5/8" REG Pin x 4-1/2" REG Box</v>
          </cell>
          <cell r="AB1851">
            <v>0</v>
          </cell>
          <cell r="AC1851">
            <v>11.25</v>
          </cell>
          <cell r="AD1851">
            <v>1740</v>
          </cell>
          <cell r="AE1851" t="str">
            <v>6-5/8" REG Pin</v>
          </cell>
          <cell r="AF1851" t="str">
            <v>4-1/2" REG Box</v>
          </cell>
          <cell r="AG1851" t="str">
            <v>BLANK</v>
          </cell>
          <cell r="AH1851" t="str">
            <v xml:space="preserve"> en stock </v>
          </cell>
          <cell r="AI1851">
            <v>1</v>
          </cell>
          <cell r="AJ1851">
            <v>0</v>
          </cell>
          <cell r="AK1851">
            <v>0</v>
          </cell>
          <cell r="AL1851"/>
          <cell r="AM1851"/>
          <cell r="AN1851"/>
          <cell r="AO1851"/>
          <cell r="AP1851"/>
          <cell r="AQ1851"/>
          <cell r="AR1851"/>
          <cell r="AS1851">
            <v>33</v>
          </cell>
          <cell r="AT1851"/>
          <cell r="AU1851" t="str">
            <v>FR</v>
          </cell>
          <cell r="AV1851"/>
        </row>
        <row r="1852">
          <cell r="Z1852">
            <v>8061510</v>
          </cell>
          <cell r="AA1852" t="str">
            <v>Drill Collar 3-1/8" OD
2-3/8" REG Pin x Box</v>
          </cell>
          <cell r="AB1852">
            <v>297.34759280362499</v>
          </cell>
          <cell r="AC1852">
            <v>3.1875</v>
          </cell>
          <cell r="AD1852">
            <v>9300</v>
          </cell>
          <cell r="AE1852" t="str">
            <v>2-3/8" REG Box</v>
          </cell>
          <cell r="AF1852" t="str">
            <v>2-3/8" REG Pin</v>
          </cell>
          <cell r="AG1852"/>
          <cell r="AH1852" t="str">
            <v>sur chantier</v>
          </cell>
          <cell r="AI1852" t="str">
            <v/>
          </cell>
          <cell r="AJ1852">
            <v>1</v>
          </cell>
          <cell r="AK1852">
            <v>0</v>
          </cell>
          <cell r="AL1852"/>
          <cell r="AM1852"/>
          <cell r="AN1852">
            <v>8061510</v>
          </cell>
          <cell r="AO1852"/>
          <cell r="AP1852"/>
          <cell r="AQ1852"/>
          <cell r="AR1852"/>
          <cell r="AS1852">
            <v>5</v>
          </cell>
          <cell r="AT1852"/>
          <cell r="AU1852" t="str">
            <v>FR</v>
          </cell>
          <cell r="AV1852"/>
        </row>
        <row r="1853">
          <cell r="Z1853">
            <v>8061511</v>
          </cell>
          <cell r="AA1853" t="str">
            <v>Drill Collar 3-1/8" OD
2-3/8" REG Pin x Box</v>
          </cell>
          <cell r="AB1853">
            <v>297.34759280362499</v>
          </cell>
          <cell r="AC1853">
            <v>3.1875</v>
          </cell>
          <cell r="AD1853">
            <v>9300</v>
          </cell>
          <cell r="AE1853" t="str">
            <v>2-3/8" REG Box</v>
          </cell>
          <cell r="AF1853" t="str">
            <v>2-3/8" REG Pin</v>
          </cell>
          <cell r="AG1853"/>
          <cell r="AH1853" t="str">
            <v>sur chantier</v>
          </cell>
          <cell r="AI1853" t="str">
            <v/>
          </cell>
          <cell r="AJ1853">
            <v>1</v>
          </cell>
          <cell r="AK1853">
            <v>0</v>
          </cell>
          <cell r="AL1853"/>
          <cell r="AM1853"/>
          <cell r="AN1853">
            <v>8061511</v>
          </cell>
          <cell r="AO1853"/>
          <cell r="AP1853"/>
          <cell r="AQ1853"/>
          <cell r="AR1853"/>
          <cell r="AS1853">
            <v>6</v>
          </cell>
          <cell r="AT1853"/>
          <cell r="AU1853" t="str">
            <v>FR</v>
          </cell>
          <cell r="AV1853"/>
        </row>
        <row r="1854">
          <cell r="Z1854">
            <v>8061512</v>
          </cell>
          <cell r="AA1854" t="str">
            <v>Drill Collar 3-1/8" OD
2-3/8" REG Pin x Box</v>
          </cell>
          <cell r="AB1854">
            <v>297.34759280362499</v>
          </cell>
          <cell r="AC1854">
            <v>3.1875</v>
          </cell>
          <cell r="AD1854">
            <v>9300</v>
          </cell>
          <cell r="AE1854" t="str">
            <v>2-3/8" REG Box</v>
          </cell>
          <cell r="AF1854" t="str">
            <v>2-3/8" REG Pin</v>
          </cell>
          <cell r="AG1854"/>
          <cell r="AH1854" t="str">
            <v>sur chantier</v>
          </cell>
          <cell r="AI1854" t="str">
            <v/>
          </cell>
          <cell r="AJ1854">
            <v>1</v>
          </cell>
          <cell r="AK1854">
            <v>0</v>
          </cell>
          <cell r="AL1854"/>
          <cell r="AM1854"/>
          <cell r="AN1854">
            <v>8061512</v>
          </cell>
          <cell r="AO1854"/>
          <cell r="AP1854"/>
          <cell r="AQ1854"/>
          <cell r="AR1854"/>
          <cell r="AS1854">
            <v>7</v>
          </cell>
          <cell r="AT1854"/>
          <cell r="AU1854" t="str">
            <v>FR</v>
          </cell>
          <cell r="AV1854"/>
        </row>
        <row r="1855">
          <cell r="Z1855">
            <v>8061513</v>
          </cell>
          <cell r="AA1855" t="str">
            <v>Drill Collar 3-1/8" OD
2-3/8" REG Pin x Box</v>
          </cell>
          <cell r="AB1855">
            <v>297.34759280362499</v>
          </cell>
          <cell r="AC1855">
            <v>3.1875</v>
          </cell>
          <cell r="AD1855">
            <v>9300</v>
          </cell>
          <cell r="AE1855" t="str">
            <v>2-3/8" REG Box</v>
          </cell>
          <cell r="AF1855" t="str">
            <v>2-3/8" REG Pin</v>
          </cell>
          <cell r="AG1855"/>
          <cell r="AH1855" t="str">
            <v>maintenance</v>
          </cell>
          <cell r="AI1855" t="str">
            <v/>
          </cell>
          <cell r="AJ1855">
            <v>0</v>
          </cell>
          <cell r="AK1855">
            <v>1</v>
          </cell>
          <cell r="AL1855"/>
          <cell r="AM1855"/>
          <cell r="AN1855">
            <v>8061513</v>
          </cell>
          <cell r="AO1855"/>
          <cell r="AP1855"/>
          <cell r="AQ1855"/>
          <cell r="AR1855"/>
          <cell r="AS1855">
            <v>8</v>
          </cell>
          <cell r="AT1855"/>
          <cell r="AU1855" t="str">
            <v>FR</v>
          </cell>
          <cell r="AV1855"/>
        </row>
        <row r="1856">
          <cell r="Z1856">
            <v>8061514</v>
          </cell>
          <cell r="AA1856" t="str">
            <v>Drill Collar 3-1/8" OD
2-3/8" REG Pin x Box</v>
          </cell>
          <cell r="AB1856">
            <v>297.34759280362499</v>
          </cell>
          <cell r="AC1856">
            <v>3.1875</v>
          </cell>
          <cell r="AD1856">
            <v>9300</v>
          </cell>
          <cell r="AE1856" t="str">
            <v>2-3/8" REG Box</v>
          </cell>
          <cell r="AF1856" t="str">
            <v>2-3/8" REG Pin</v>
          </cell>
          <cell r="AG1856"/>
          <cell r="AH1856" t="str">
            <v>sur chantier</v>
          </cell>
          <cell r="AI1856" t="str">
            <v/>
          </cell>
          <cell r="AJ1856">
            <v>1</v>
          </cell>
          <cell r="AK1856">
            <v>0</v>
          </cell>
          <cell r="AL1856"/>
          <cell r="AM1856"/>
          <cell r="AN1856">
            <v>8061514</v>
          </cell>
          <cell r="AO1856"/>
          <cell r="AP1856"/>
          <cell r="AQ1856"/>
          <cell r="AR1856"/>
          <cell r="AS1856">
            <v>9</v>
          </cell>
          <cell r="AT1856"/>
          <cell r="AU1856" t="str">
            <v>FR</v>
          </cell>
          <cell r="AV1856"/>
        </row>
        <row r="1857">
          <cell r="Z1857">
            <v>8061515</v>
          </cell>
          <cell r="AA1857" t="str">
            <v>Drill Collar 3-1/8" OD
2-3/8" REG Pin x Box</v>
          </cell>
          <cell r="AB1857">
            <v>297.34759280362499</v>
          </cell>
          <cell r="AC1857">
            <v>3.1875</v>
          </cell>
          <cell r="AD1857">
            <v>9300</v>
          </cell>
          <cell r="AE1857" t="str">
            <v>2-3/8" REG Box</v>
          </cell>
          <cell r="AF1857" t="str">
            <v>2-3/8" REG Pin</v>
          </cell>
          <cell r="AG1857"/>
          <cell r="AH1857" t="str">
            <v>sur chantier</v>
          </cell>
          <cell r="AI1857" t="str">
            <v/>
          </cell>
          <cell r="AJ1857">
            <v>1</v>
          </cell>
          <cell r="AK1857">
            <v>0</v>
          </cell>
          <cell r="AL1857"/>
          <cell r="AM1857"/>
          <cell r="AN1857">
            <v>8061515</v>
          </cell>
          <cell r="AO1857"/>
          <cell r="AP1857"/>
          <cell r="AQ1857"/>
          <cell r="AR1857"/>
          <cell r="AS1857">
            <v>10</v>
          </cell>
          <cell r="AT1857"/>
          <cell r="AU1857" t="str">
            <v>FR</v>
          </cell>
          <cell r="AV1857"/>
        </row>
        <row r="1858">
          <cell r="Z1858">
            <v>8061516</v>
          </cell>
          <cell r="AA1858" t="str">
            <v>Drill Collar 3-1/8" OD Lg U + D
2-3/8" REG Pin x Box</v>
          </cell>
          <cell r="AB1858">
            <v>313.33402252425003</v>
          </cell>
          <cell r="AC1858">
            <v>3.1875</v>
          </cell>
          <cell r="AD1858">
            <v>9800</v>
          </cell>
          <cell r="AE1858" t="str">
            <v>2-3/8" REG Box</v>
          </cell>
          <cell r="AF1858" t="str">
            <v>2-3/8" REG Pin</v>
          </cell>
          <cell r="AG1858"/>
          <cell r="AH1858" t="str">
            <v xml:space="preserve"> en stock </v>
          </cell>
          <cell r="AI1858">
            <v>1</v>
          </cell>
          <cell r="AJ1858">
            <v>0</v>
          </cell>
          <cell r="AK1858">
            <v>0</v>
          </cell>
          <cell r="AL1858"/>
          <cell r="AM1858"/>
          <cell r="AN1858">
            <v>8061516</v>
          </cell>
          <cell r="AO1858"/>
          <cell r="AP1858"/>
          <cell r="AQ1858"/>
          <cell r="AR1858"/>
          <cell r="AS1858">
            <v>11</v>
          </cell>
          <cell r="AT1858"/>
          <cell r="AU1858" t="str">
            <v>FR</v>
          </cell>
          <cell r="AV1858"/>
        </row>
        <row r="1859">
          <cell r="Z1859">
            <v>8061517</v>
          </cell>
          <cell r="AA1859" t="str">
            <v>Drill Collar 3-1/8" OD Lg U + D
2-3/8" REG Pin x Box</v>
          </cell>
          <cell r="AB1859">
            <v>313.33402252425003</v>
          </cell>
          <cell r="AC1859">
            <v>3.1875</v>
          </cell>
          <cell r="AD1859">
            <v>9800</v>
          </cell>
          <cell r="AE1859" t="str">
            <v>2-3/8" REG Box</v>
          </cell>
          <cell r="AF1859" t="str">
            <v>2-3/8" REG Pin</v>
          </cell>
          <cell r="AG1859"/>
          <cell r="AH1859" t="str">
            <v>sur chantier</v>
          </cell>
          <cell r="AI1859" t="str">
            <v/>
          </cell>
          <cell r="AJ1859">
            <v>1</v>
          </cell>
          <cell r="AK1859">
            <v>0</v>
          </cell>
          <cell r="AL1859"/>
          <cell r="AM1859"/>
          <cell r="AN1859">
            <v>8061517</v>
          </cell>
          <cell r="AO1859"/>
          <cell r="AP1859"/>
          <cell r="AQ1859"/>
          <cell r="AR1859"/>
          <cell r="AS1859">
            <v>12</v>
          </cell>
          <cell r="AT1859"/>
          <cell r="AU1859" t="str">
            <v>FR</v>
          </cell>
          <cell r="AV1859"/>
        </row>
        <row r="1860">
          <cell r="Z1860">
            <v>8061518</v>
          </cell>
          <cell r="AA1860" t="str">
            <v>Drill Collar 3-1/8" OD Lg U + D
2-3/8" REG Pin x Box</v>
          </cell>
          <cell r="AB1860">
            <v>313.33402252425003</v>
          </cell>
          <cell r="AC1860">
            <v>3.1875</v>
          </cell>
          <cell r="AD1860">
            <v>9800</v>
          </cell>
          <cell r="AE1860" t="str">
            <v>2-3/8" REG Box</v>
          </cell>
          <cell r="AF1860" t="str">
            <v>2-3/8" REG Pin</v>
          </cell>
          <cell r="AG1860"/>
          <cell r="AH1860" t="str">
            <v>maintenance</v>
          </cell>
          <cell r="AI1860" t="str">
            <v/>
          </cell>
          <cell r="AJ1860">
            <v>0</v>
          </cell>
          <cell r="AK1860">
            <v>1</v>
          </cell>
          <cell r="AL1860"/>
          <cell r="AM1860"/>
          <cell r="AN1860">
            <v>8061518</v>
          </cell>
          <cell r="AO1860"/>
          <cell r="AP1860"/>
          <cell r="AQ1860"/>
          <cell r="AR1860"/>
          <cell r="AS1860">
            <v>13</v>
          </cell>
          <cell r="AT1860"/>
          <cell r="AU1860" t="str">
            <v>FR</v>
          </cell>
          <cell r="AV1860"/>
        </row>
        <row r="1861">
          <cell r="Z1861">
            <v>8061519</v>
          </cell>
          <cell r="AA1861" t="str">
            <v>Drill Collar 3-1/8" OD Lg U + D
2-3/8" REG Pin x Box</v>
          </cell>
          <cell r="AB1861">
            <v>313.33402252425003</v>
          </cell>
          <cell r="AC1861">
            <v>3.1875</v>
          </cell>
          <cell r="AD1861">
            <v>9800</v>
          </cell>
          <cell r="AE1861" t="str">
            <v>2-3/8" REG Box</v>
          </cell>
          <cell r="AF1861" t="str">
            <v>2-3/8" REG Pin</v>
          </cell>
          <cell r="AG1861"/>
          <cell r="AH1861" t="str">
            <v xml:space="preserve"> en stock </v>
          </cell>
          <cell r="AI1861">
            <v>1</v>
          </cell>
          <cell r="AJ1861">
            <v>0</v>
          </cell>
          <cell r="AK1861">
            <v>0</v>
          </cell>
          <cell r="AL1861"/>
          <cell r="AM1861"/>
          <cell r="AN1861">
            <v>8061519</v>
          </cell>
          <cell r="AO1861"/>
          <cell r="AP1861"/>
          <cell r="AQ1861"/>
          <cell r="AR1861"/>
          <cell r="AS1861">
            <v>14</v>
          </cell>
          <cell r="AT1861"/>
          <cell r="AU1861" t="str">
            <v>FR</v>
          </cell>
          <cell r="AV1861"/>
        </row>
        <row r="1862">
          <cell r="Z1862">
            <v>8041520</v>
          </cell>
          <cell r="AA1862" t="str">
            <v>Lift Sub 2-3/8" REG Pin
2-3/8" OD body for Elevator DP 18°</v>
          </cell>
          <cell r="AB1862">
            <v>0</v>
          </cell>
          <cell r="AC1862" t="str">
            <v>2-3/8"</v>
          </cell>
          <cell r="AD1862">
            <v>0</v>
          </cell>
          <cell r="AE1862" t="str">
            <v>18°</v>
          </cell>
          <cell r="AF1862" t="str">
            <v>2-3/8" REG Pin</v>
          </cell>
          <cell r="AG1862"/>
          <cell r="AH1862" t="str">
            <v xml:space="preserve"> en stock </v>
          </cell>
          <cell r="AI1862">
            <v>1</v>
          </cell>
          <cell r="AJ1862">
            <v>0</v>
          </cell>
          <cell r="AK1862">
            <v>0</v>
          </cell>
          <cell r="AL1862"/>
          <cell r="AM1862"/>
          <cell r="AN1862">
            <v>8041520</v>
          </cell>
          <cell r="AO1862"/>
          <cell r="AP1862"/>
          <cell r="AQ1862"/>
          <cell r="AR1862"/>
          <cell r="AS1862">
            <v>22</v>
          </cell>
          <cell r="AT1862"/>
          <cell r="AU1862" t="str">
            <v>FR</v>
          </cell>
          <cell r="AV1862"/>
        </row>
        <row r="1863">
          <cell r="Z1863">
            <v>8041521</v>
          </cell>
          <cell r="AA1863" t="str">
            <v>Lift Sub 2-3/8" REG Pin
2-3/8" OD body for Elevator DP 18°</v>
          </cell>
          <cell r="AB1863">
            <v>0</v>
          </cell>
          <cell r="AC1863" t="str">
            <v>2-3/8"</v>
          </cell>
          <cell r="AD1863">
            <v>0</v>
          </cell>
          <cell r="AE1863" t="str">
            <v>18°</v>
          </cell>
          <cell r="AF1863" t="str">
            <v>2-3/8" REG Pin</v>
          </cell>
          <cell r="AG1863"/>
          <cell r="AH1863" t="str">
            <v xml:space="preserve"> en stock </v>
          </cell>
          <cell r="AI1863">
            <v>1</v>
          </cell>
          <cell r="AJ1863">
            <v>0</v>
          </cell>
          <cell r="AK1863">
            <v>0</v>
          </cell>
          <cell r="AL1863"/>
          <cell r="AM1863"/>
          <cell r="AN1863">
            <v>8041521</v>
          </cell>
          <cell r="AO1863"/>
          <cell r="AP1863"/>
          <cell r="AQ1863"/>
          <cell r="AR1863"/>
          <cell r="AS1863">
            <v>23</v>
          </cell>
          <cell r="AT1863"/>
          <cell r="AU1863" t="str">
            <v>FR</v>
          </cell>
          <cell r="AV1863"/>
        </row>
        <row r="1864">
          <cell r="Z1864">
            <v>8131522</v>
          </cell>
          <cell r="AA1864" t="str">
            <v>XO
3-1/2" IF Pin x 4-3/4" FJWP Box</v>
          </cell>
          <cell r="AB1864">
            <v>0</v>
          </cell>
          <cell r="AC1864">
            <v>4.75</v>
          </cell>
          <cell r="AD1864">
            <v>0</v>
          </cell>
          <cell r="AE1864" t="str">
            <v>3-1/2" IF Pin</v>
          </cell>
          <cell r="AF1864" t="str">
            <v>4-3/4" FJWP Box</v>
          </cell>
          <cell r="AG1864"/>
          <cell r="AH1864" t="str">
            <v xml:space="preserve"> en stock </v>
          </cell>
          <cell r="AI1864">
            <v>1</v>
          </cell>
          <cell r="AJ1864">
            <v>0</v>
          </cell>
          <cell r="AK1864">
            <v>0</v>
          </cell>
          <cell r="AL1864"/>
          <cell r="AM1864"/>
          <cell r="AN1864">
            <v>8131522</v>
          </cell>
          <cell r="AO1864"/>
          <cell r="AP1864"/>
          <cell r="AQ1864"/>
          <cell r="AR1864"/>
          <cell r="AS1864">
            <v>131</v>
          </cell>
          <cell r="AT1864"/>
          <cell r="AU1864" t="str">
            <v>FR</v>
          </cell>
          <cell r="AV1864"/>
        </row>
        <row r="1865">
          <cell r="Z1865">
            <v>8131523</v>
          </cell>
          <cell r="AA1865" t="str">
            <v>XO
4-3/4" FJWP Pin x 3-1/2" IF Box</v>
          </cell>
          <cell r="AB1865">
            <v>0</v>
          </cell>
          <cell r="AC1865">
            <v>4.75</v>
          </cell>
          <cell r="AD1865">
            <v>0</v>
          </cell>
          <cell r="AE1865" t="str">
            <v>4-3/4" FJWP Pin</v>
          </cell>
          <cell r="AF1865" t="str">
            <v>3-1/2" IF Box</v>
          </cell>
          <cell r="AG1865"/>
          <cell r="AH1865" t="str">
            <v xml:space="preserve"> en stock </v>
          </cell>
          <cell r="AI1865">
            <v>1</v>
          </cell>
          <cell r="AJ1865">
            <v>0</v>
          </cell>
          <cell r="AK1865">
            <v>0</v>
          </cell>
          <cell r="AL1865"/>
          <cell r="AM1865"/>
          <cell r="AN1865">
            <v>8131523</v>
          </cell>
          <cell r="AO1865"/>
          <cell r="AP1865"/>
          <cell r="AQ1865"/>
          <cell r="AR1865"/>
          <cell r="AS1865">
            <v>189</v>
          </cell>
          <cell r="AT1865"/>
          <cell r="AU1865" t="str">
            <v>FR</v>
          </cell>
          <cell r="AV1865"/>
        </row>
        <row r="1866">
          <cell r="Z1866">
            <v>2011524</v>
          </cell>
          <cell r="AA1866" t="str">
            <v>HEC 4-11/16" OD
4-1/2" FJWP Box</v>
          </cell>
          <cell r="AB1866">
            <v>0</v>
          </cell>
          <cell r="AC1866">
            <v>4.6875</v>
          </cell>
          <cell r="AD1866">
            <v>0</v>
          </cell>
          <cell r="AE1866" t="str">
            <v>4-1/2" FJWP Box</v>
          </cell>
          <cell r="AF1866"/>
          <cell r="AG1866"/>
          <cell r="AH1866" t="str">
            <v>maintenance</v>
          </cell>
          <cell r="AI1866" t="str">
            <v/>
          </cell>
          <cell r="AJ1866">
            <v>0</v>
          </cell>
          <cell r="AK1866">
            <v>1</v>
          </cell>
          <cell r="AL1866"/>
          <cell r="AM1866"/>
          <cell r="AN1866">
            <v>2011524</v>
          </cell>
          <cell r="AO1866"/>
          <cell r="AP1866"/>
          <cell r="AQ1866"/>
          <cell r="AR1866"/>
          <cell r="AS1866">
            <v>5</v>
          </cell>
          <cell r="AT1866" t="str">
            <v>201-41727</v>
          </cell>
          <cell r="AU1866" t="str">
            <v/>
          </cell>
          <cell r="AV1866"/>
        </row>
        <row r="1867">
          <cell r="Z1867">
            <v>6041525</v>
          </cell>
          <cell r="AA1867" t="str">
            <v>4-3/4" OD UBHO
3-1/2" IF Pin x Box</v>
          </cell>
          <cell r="AB1867">
            <v>45</v>
          </cell>
          <cell r="AC1867">
            <v>4.75</v>
          </cell>
          <cell r="AD1867">
            <v>765</v>
          </cell>
          <cell r="AE1867" t="str">
            <v>3-1/2" IF Box</v>
          </cell>
          <cell r="AF1867" t="str">
            <v>3-1/2" IF Pin</v>
          </cell>
          <cell r="AG1867"/>
          <cell r="AH1867" t="str">
            <v xml:space="preserve"> en stock </v>
          </cell>
          <cell r="AI1867">
            <v>1</v>
          </cell>
          <cell r="AJ1867">
            <v>0</v>
          </cell>
          <cell r="AK1867">
            <v>0</v>
          </cell>
          <cell r="AL1867"/>
          <cell r="AM1867"/>
          <cell r="AN1867">
            <v>6041525</v>
          </cell>
          <cell r="AO1867"/>
          <cell r="AP1867"/>
          <cell r="AQ1867"/>
          <cell r="AR1867"/>
          <cell r="AS1867">
            <v>13</v>
          </cell>
          <cell r="AT1867"/>
          <cell r="AU1867" t="str">
            <v>FR</v>
          </cell>
          <cell r="AV1867"/>
        </row>
        <row r="1868">
          <cell r="Z1868">
            <v>6041526</v>
          </cell>
          <cell r="AA1868" t="str">
            <v>4-3/4" OD UBHO
3-1/2" IF Pin x Box</v>
          </cell>
          <cell r="AB1868">
            <v>45</v>
          </cell>
          <cell r="AC1868">
            <v>4.75</v>
          </cell>
          <cell r="AD1868">
            <v>765</v>
          </cell>
          <cell r="AE1868" t="str">
            <v>3-1/2" IF Box</v>
          </cell>
          <cell r="AF1868" t="str">
            <v>3-1/2" IF Pin</v>
          </cell>
          <cell r="AG1868"/>
          <cell r="AH1868" t="str">
            <v xml:space="preserve"> en stock </v>
          </cell>
          <cell r="AI1868">
            <v>1</v>
          </cell>
          <cell r="AJ1868">
            <v>0</v>
          </cell>
          <cell r="AK1868">
            <v>0</v>
          </cell>
          <cell r="AL1868"/>
          <cell r="AM1868"/>
          <cell r="AN1868">
            <v>6041526</v>
          </cell>
          <cell r="AO1868"/>
          <cell r="AP1868"/>
          <cell r="AQ1868"/>
          <cell r="AR1868"/>
          <cell r="AS1868">
            <v>14</v>
          </cell>
          <cell r="AT1868"/>
          <cell r="AU1868" t="str">
            <v>FR</v>
          </cell>
          <cell r="AV1868"/>
        </row>
        <row r="1869">
          <cell r="Z1869">
            <v>6041527</v>
          </cell>
          <cell r="AA1869" t="str">
            <v>4-3/4" OD UBHO
3-1/2" IF Pin x Box</v>
          </cell>
          <cell r="AB1869">
            <v>45</v>
          </cell>
          <cell r="AC1869">
            <v>4.75</v>
          </cell>
          <cell r="AD1869">
            <v>765</v>
          </cell>
          <cell r="AE1869" t="str">
            <v>3-1/2" IF Box</v>
          </cell>
          <cell r="AF1869" t="str">
            <v>3-1/2" IF Pin</v>
          </cell>
          <cell r="AG1869"/>
          <cell r="AH1869" t="str">
            <v xml:space="preserve"> en stock </v>
          </cell>
          <cell r="AI1869">
            <v>1</v>
          </cell>
          <cell r="AJ1869">
            <v>0</v>
          </cell>
          <cell r="AK1869">
            <v>0</v>
          </cell>
          <cell r="AL1869"/>
          <cell r="AM1869"/>
          <cell r="AN1869">
            <v>6041527</v>
          </cell>
          <cell r="AO1869"/>
          <cell r="AP1869"/>
          <cell r="AQ1869"/>
          <cell r="AR1869"/>
          <cell r="AS1869">
            <v>15</v>
          </cell>
          <cell r="AT1869"/>
          <cell r="AU1869" t="str">
            <v>FR</v>
          </cell>
          <cell r="AV1869"/>
        </row>
        <row r="1870">
          <cell r="Z1870">
            <v>6041528</v>
          </cell>
          <cell r="AA1870" t="str">
            <v>4-3/4" OD UBHO
3-1/2" IF Pin x Box</v>
          </cell>
          <cell r="AB1870">
            <v>45</v>
          </cell>
          <cell r="AC1870">
            <v>4.75</v>
          </cell>
          <cell r="AD1870">
            <v>764</v>
          </cell>
          <cell r="AE1870" t="str">
            <v>3-1/2" IF Box</v>
          </cell>
          <cell r="AF1870" t="str">
            <v>3-1/2" IF Pin</v>
          </cell>
          <cell r="AG1870"/>
          <cell r="AH1870" t="str">
            <v xml:space="preserve"> en stock </v>
          </cell>
          <cell r="AI1870">
            <v>1</v>
          </cell>
          <cell r="AJ1870">
            <v>0</v>
          </cell>
          <cell r="AK1870">
            <v>0</v>
          </cell>
          <cell r="AL1870"/>
          <cell r="AM1870"/>
          <cell r="AN1870">
            <v>6041528</v>
          </cell>
          <cell r="AO1870"/>
          <cell r="AP1870"/>
          <cell r="AQ1870"/>
          <cell r="AR1870"/>
          <cell r="AS1870">
            <v>16</v>
          </cell>
          <cell r="AT1870"/>
          <cell r="AU1870" t="str">
            <v>FR</v>
          </cell>
          <cell r="AV1870"/>
        </row>
        <row r="1871">
          <cell r="Z1871">
            <v>6041529</v>
          </cell>
          <cell r="AA1871" t="str">
            <v>4-3/4" OD UBHO
3-1/2" IF Pin x Box</v>
          </cell>
          <cell r="AB1871">
            <v>45</v>
          </cell>
          <cell r="AC1871">
            <v>4.75</v>
          </cell>
          <cell r="AD1871">
            <v>764</v>
          </cell>
          <cell r="AE1871" t="str">
            <v>3-1/2" IF Box</v>
          </cell>
          <cell r="AF1871" t="str">
            <v>3-1/2" IF Pin</v>
          </cell>
          <cell r="AG1871"/>
          <cell r="AH1871" t="str">
            <v xml:space="preserve"> en stock </v>
          </cell>
          <cell r="AI1871">
            <v>1</v>
          </cell>
          <cell r="AJ1871">
            <v>0</v>
          </cell>
          <cell r="AK1871">
            <v>0</v>
          </cell>
          <cell r="AL1871"/>
          <cell r="AM1871"/>
          <cell r="AN1871">
            <v>6041529</v>
          </cell>
          <cell r="AO1871"/>
          <cell r="AP1871"/>
          <cell r="AQ1871"/>
          <cell r="AR1871"/>
          <cell r="AS1871">
            <v>17</v>
          </cell>
          <cell r="AT1871"/>
          <cell r="AU1871" t="str">
            <v>FR</v>
          </cell>
          <cell r="AV1871"/>
        </row>
        <row r="1872">
          <cell r="Z1872">
            <v>6041530</v>
          </cell>
          <cell r="AA1872" t="str">
            <v>4-3/4" OD UBHO
3-1/2" IF Pin x Box</v>
          </cell>
          <cell r="AB1872">
            <v>45</v>
          </cell>
          <cell r="AC1872">
            <v>4.75</v>
          </cell>
          <cell r="AD1872">
            <v>764</v>
          </cell>
          <cell r="AE1872" t="str">
            <v>3-1/2" IF Box</v>
          </cell>
          <cell r="AF1872" t="str">
            <v>3-1/2" IF Pin</v>
          </cell>
          <cell r="AG1872"/>
          <cell r="AH1872" t="str">
            <v xml:space="preserve"> en stock </v>
          </cell>
          <cell r="AI1872">
            <v>1</v>
          </cell>
          <cell r="AJ1872">
            <v>0</v>
          </cell>
          <cell r="AK1872">
            <v>0</v>
          </cell>
          <cell r="AL1872"/>
          <cell r="AM1872"/>
          <cell r="AN1872">
            <v>6041530</v>
          </cell>
          <cell r="AO1872"/>
          <cell r="AP1872"/>
          <cell r="AQ1872"/>
          <cell r="AR1872"/>
          <cell r="AS1872">
            <v>18</v>
          </cell>
          <cell r="AT1872"/>
          <cell r="AU1872" t="str">
            <v>FR</v>
          </cell>
          <cell r="AV1872"/>
        </row>
        <row r="1873">
          <cell r="Z1873" t="str">
            <v xml:space="preserve"> - </v>
          </cell>
          <cell r="AA1873" t="str">
            <v>Pony Collar 9-1/2"
7-5/8" REG Pin x Box</v>
          </cell>
          <cell r="AB1873" t="e">
            <v>#N/A</v>
          </cell>
          <cell r="AC1873" t="e">
            <v>#N/A</v>
          </cell>
          <cell r="AD1873" t="e">
            <v>#N/A</v>
          </cell>
          <cell r="AE1873" t="e">
            <v>#N/A</v>
          </cell>
          <cell r="AF1873" t="e">
            <v>#N/A</v>
          </cell>
          <cell r="AG1873"/>
          <cell r="AH1873" t="e">
            <v>#N/A</v>
          </cell>
          <cell r="AI1873" t="e">
            <v>#N/A</v>
          </cell>
          <cell r="AJ1873" t="e">
            <v>#N/A</v>
          </cell>
          <cell r="AK1873" t="e">
            <v>#N/A</v>
          </cell>
          <cell r="AL1873"/>
          <cell r="AM1873"/>
          <cell r="AN1873" t="str">
            <v/>
          </cell>
          <cell r="AO1873"/>
          <cell r="AP1873"/>
          <cell r="AQ1873"/>
          <cell r="AR1873"/>
          <cell r="AS1873" t="e">
            <v>#N/A</v>
          </cell>
          <cell r="AT1873"/>
          <cell r="AU1873" t="str">
            <v/>
          </cell>
          <cell r="AV1873"/>
        </row>
        <row r="1874">
          <cell r="Z1874" t="str">
            <v xml:space="preserve"> - </v>
          </cell>
          <cell r="AA1874" t="str">
            <v>Pony Collar 8"
6-5/8" REG Pin x Box</v>
          </cell>
          <cell r="AB1874" t="e">
            <v>#N/A</v>
          </cell>
          <cell r="AC1874" t="e">
            <v>#N/A</v>
          </cell>
          <cell r="AD1874" t="e">
            <v>#N/A</v>
          </cell>
          <cell r="AE1874" t="e">
            <v>#N/A</v>
          </cell>
          <cell r="AF1874" t="e">
            <v>#N/A</v>
          </cell>
          <cell r="AG1874"/>
          <cell r="AH1874" t="e">
            <v>#N/A</v>
          </cell>
          <cell r="AI1874" t="e">
            <v>#N/A</v>
          </cell>
          <cell r="AJ1874" t="e">
            <v>#N/A</v>
          </cell>
          <cell r="AK1874" t="e">
            <v>#N/A</v>
          </cell>
          <cell r="AL1874"/>
          <cell r="AM1874"/>
          <cell r="AN1874" t="str">
            <v/>
          </cell>
          <cell r="AO1874"/>
          <cell r="AP1874"/>
          <cell r="AQ1874"/>
          <cell r="AR1874"/>
          <cell r="AS1874" t="e">
            <v>#N/A</v>
          </cell>
          <cell r="AT1874"/>
          <cell r="AU1874" t="str">
            <v/>
          </cell>
          <cell r="AV1874"/>
        </row>
        <row r="1875">
          <cell r="Z1875" t="str">
            <v xml:space="preserve"> - </v>
          </cell>
          <cell r="AA1875" t="str">
            <v>Pony Collar 8"
6-5/8" REG Pin x Box</v>
          </cell>
          <cell r="AB1875" t="e">
            <v>#N/A</v>
          </cell>
          <cell r="AC1875" t="e">
            <v>#N/A</v>
          </cell>
          <cell r="AD1875" t="e">
            <v>#N/A</v>
          </cell>
          <cell r="AE1875" t="e">
            <v>#N/A</v>
          </cell>
          <cell r="AF1875" t="e">
            <v>#N/A</v>
          </cell>
          <cell r="AG1875"/>
          <cell r="AH1875" t="e">
            <v>#N/A</v>
          </cell>
          <cell r="AI1875" t="e">
            <v>#N/A</v>
          </cell>
          <cell r="AJ1875" t="e">
            <v>#N/A</v>
          </cell>
          <cell r="AK1875" t="e">
            <v>#N/A</v>
          </cell>
          <cell r="AL1875"/>
          <cell r="AM1875"/>
          <cell r="AN1875" t="str">
            <v/>
          </cell>
          <cell r="AO1875"/>
          <cell r="AP1875"/>
          <cell r="AQ1875"/>
          <cell r="AR1875"/>
          <cell r="AS1875" t="e">
            <v>#N/A</v>
          </cell>
          <cell r="AT1875"/>
          <cell r="AU1875" t="str">
            <v/>
          </cell>
          <cell r="AV1875"/>
        </row>
        <row r="1876">
          <cell r="Z1876" t="str">
            <v xml:space="preserve"> - </v>
          </cell>
          <cell r="AA1876" t="str">
            <v>Pony Collar 6-3/4"
4-1/2 IF Pin x Box</v>
          </cell>
          <cell r="AB1876" t="e">
            <v>#N/A</v>
          </cell>
          <cell r="AC1876" t="e">
            <v>#N/A</v>
          </cell>
          <cell r="AD1876" t="e">
            <v>#N/A</v>
          </cell>
          <cell r="AE1876" t="e">
            <v>#N/A</v>
          </cell>
          <cell r="AF1876" t="e">
            <v>#N/A</v>
          </cell>
          <cell r="AG1876"/>
          <cell r="AH1876" t="e">
            <v>#N/A</v>
          </cell>
          <cell r="AI1876" t="e">
            <v>#N/A</v>
          </cell>
          <cell r="AJ1876" t="e">
            <v>#N/A</v>
          </cell>
          <cell r="AK1876" t="e">
            <v>#N/A</v>
          </cell>
          <cell r="AL1876"/>
          <cell r="AM1876"/>
          <cell r="AN1876" t="str">
            <v/>
          </cell>
          <cell r="AO1876"/>
          <cell r="AP1876"/>
          <cell r="AQ1876"/>
          <cell r="AR1876"/>
          <cell r="AS1876" t="e">
            <v>#N/A</v>
          </cell>
          <cell r="AT1876"/>
          <cell r="AU1876" t="str">
            <v/>
          </cell>
          <cell r="AV1876"/>
        </row>
        <row r="1877">
          <cell r="Z1877" t="str">
            <v xml:space="preserve"> - </v>
          </cell>
          <cell r="AA1877" t="str">
            <v>Pony Collar 4-3/4"
3-1/2" IF Pin x Box</v>
          </cell>
          <cell r="AB1877" t="e">
            <v>#N/A</v>
          </cell>
          <cell r="AC1877" t="e">
            <v>#N/A</v>
          </cell>
          <cell r="AD1877" t="e">
            <v>#N/A</v>
          </cell>
          <cell r="AE1877" t="e">
            <v>#N/A</v>
          </cell>
          <cell r="AF1877" t="e">
            <v>#N/A</v>
          </cell>
          <cell r="AG1877"/>
          <cell r="AH1877" t="e">
            <v>#N/A</v>
          </cell>
          <cell r="AI1877" t="e">
            <v>#N/A</v>
          </cell>
          <cell r="AJ1877" t="e">
            <v>#N/A</v>
          </cell>
          <cell r="AK1877" t="e">
            <v>#N/A</v>
          </cell>
          <cell r="AL1877"/>
          <cell r="AM1877"/>
          <cell r="AN1877" t="str">
            <v/>
          </cell>
          <cell r="AO1877"/>
          <cell r="AP1877"/>
          <cell r="AQ1877"/>
          <cell r="AR1877"/>
          <cell r="AS1877" t="e">
            <v>#N/A</v>
          </cell>
          <cell r="AT1877"/>
          <cell r="AU1877" t="str">
            <v/>
          </cell>
          <cell r="AV1877"/>
        </row>
        <row r="1878">
          <cell r="Z1878" t="str">
            <v xml:space="preserve"> - </v>
          </cell>
          <cell r="AA1878" t="str">
            <v>Pony Collar 4-3/4"
3-1/2" IF Pin x Box</v>
          </cell>
          <cell r="AB1878" t="e">
            <v>#N/A</v>
          </cell>
          <cell r="AC1878" t="e">
            <v>#N/A</v>
          </cell>
          <cell r="AD1878" t="e">
            <v>#N/A</v>
          </cell>
          <cell r="AE1878" t="e">
            <v>#N/A</v>
          </cell>
          <cell r="AF1878" t="e">
            <v>#N/A</v>
          </cell>
          <cell r="AG1878"/>
          <cell r="AH1878" t="e">
            <v>#N/A</v>
          </cell>
          <cell r="AI1878" t="e">
            <v>#N/A</v>
          </cell>
          <cell r="AJ1878" t="e">
            <v>#N/A</v>
          </cell>
          <cell r="AK1878" t="e">
            <v>#N/A</v>
          </cell>
          <cell r="AL1878"/>
          <cell r="AM1878"/>
          <cell r="AN1878" t="str">
            <v/>
          </cell>
          <cell r="AO1878"/>
          <cell r="AP1878"/>
          <cell r="AQ1878"/>
          <cell r="AR1878"/>
          <cell r="AS1878" t="e">
            <v>#N/A</v>
          </cell>
          <cell r="AT1878"/>
          <cell r="AU1878" t="str">
            <v/>
          </cell>
          <cell r="AV1878"/>
        </row>
        <row r="1879">
          <cell r="Z1879">
            <v>8131537</v>
          </cell>
          <cell r="AA1879" t="str">
            <v>XO
4-1/2" REG Pin x 2-7/8" EU Box</v>
          </cell>
          <cell r="AB1879">
            <v>0</v>
          </cell>
          <cell r="AC1879">
            <v>5.75</v>
          </cell>
          <cell r="AD1879">
            <v>650</v>
          </cell>
          <cell r="AE1879" t="str">
            <v>4-1/2" REG Pin</v>
          </cell>
          <cell r="AF1879" t="str">
            <v>2-7/8" EU Box</v>
          </cell>
          <cell r="AG1879"/>
          <cell r="AH1879" t="str">
            <v xml:space="preserve"> en stock </v>
          </cell>
          <cell r="AI1879">
            <v>1</v>
          </cell>
          <cell r="AJ1879">
            <v>0</v>
          </cell>
          <cell r="AK1879">
            <v>0</v>
          </cell>
          <cell r="AL1879"/>
          <cell r="AM1879"/>
          <cell r="AN1879">
            <v>8131537</v>
          </cell>
          <cell r="AO1879"/>
          <cell r="AP1879"/>
          <cell r="AQ1879"/>
          <cell r="AR1879"/>
          <cell r="AS1879">
            <v>181</v>
          </cell>
          <cell r="AT1879"/>
          <cell r="AU1879" t="str">
            <v>FR</v>
          </cell>
          <cell r="AV1879"/>
        </row>
        <row r="1880">
          <cell r="Z1880">
            <v>8131538</v>
          </cell>
          <cell r="AA1880" t="str">
            <v>XO
4-1/2" IF Pin x 2-7/8" EU Box</v>
          </cell>
          <cell r="AB1880">
            <v>0</v>
          </cell>
          <cell r="AC1880">
            <v>6.5</v>
          </cell>
          <cell r="AD1880">
            <v>650</v>
          </cell>
          <cell r="AE1880" t="str">
            <v>4-1/2" IF Pin</v>
          </cell>
          <cell r="AF1880" t="str">
            <v>2-7/8" EU Box</v>
          </cell>
          <cell r="AG1880"/>
          <cell r="AH1880" t="str">
            <v xml:space="preserve"> en stock </v>
          </cell>
          <cell r="AI1880">
            <v>1</v>
          </cell>
          <cell r="AJ1880">
            <v>0</v>
          </cell>
          <cell r="AK1880">
            <v>0</v>
          </cell>
          <cell r="AL1880"/>
          <cell r="AM1880"/>
          <cell r="AN1880">
            <v>8131538</v>
          </cell>
          <cell r="AO1880"/>
          <cell r="AP1880"/>
          <cell r="AQ1880"/>
          <cell r="AR1880"/>
          <cell r="AS1880">
            <v>158</v>
          </cell>
          <cell r="AT1880"/>
          <cell r="AU1880" t="str">
            <v>FR</v>
          </cell>
          <cell r="AV1880"/>
        </row>
        <row r="1881">
          <cell r="Z1881">
            <v>1091539</v>
          </cell>
          <cell r="AA1881" t="str">
            <v>Junk Sub 5" OD cup 
3-1/2" REG Pin up x 3-1/2" REG Box down</v>
          </cell>
          <cell r="AB1881">
            <v>64</v>
          </cell>
          <cell r="AC1881">
            <v>5</v>
          </cell>
          <cell r="AD1881">
            <v>1200</v>
          </cell>
          <cell r="AE1881" t="str">
            <v>3-1/2" REG Pin</v>
          </cell>
          <cell r="AF1881" t="str">
            <v>3-1/2" REG Box</v>
          </cell>
          <cell r="AG1881"/>
          <cell r="AH1881" t="str">
            <v xml:space="preserve"> en stock </v>
          </cell>
          <cell r="AI1881">
            <v>1</v>
          </cell>
          <cell r="AJ1881">
            <v>0</v>
          </cell>
          <cell r="AK1881">
            <v>0</v>
          </cell>
          <cell r="AL1881"/>
          <cell r="AM1881"/>
          <cell r="AN1881">
            <v>1091539</v>
          </cell>
          <cell r="AO1881"/>
          <cell r="AP1881"/>
          <cell r="AQ1881"/>
          <cell r="AR1881"/>
          <cell r="AS1881">
            <v>52</v>
          </cell>
          <cell r="AT1881" t="str">
            <v>109-5,000</v>
          </cell>
          <cell r="AU1881" t="str">
            <v>FR</v>
          </cell>
          <cell r="AV1881"/>
        </row>
        <row r="1882">
          <cell r="Z1882">
            <v>1091540</v>
          </cell>
          <cell r="AA1882" t="str">
            <v>Junk Sub 5" OD cup 
3-1/2" REG Pin up x 3-1/2" REG Box down</v>
          </cell>
          <cell r="AB1882">
            <v>64</v>
          </cell>
          <cell r="AC1882">
            <v>5</v>
          </cell>
          <cell r="AD1882">
            <v>1200</v>
          </cell>
          <cell r="AE1882" t="str">
            <v>3-1/2" REG Pin</v>
          </cell>
          <cell r="AF1882" t="str">
            <v>3-1/2" REG Box</v>
          </cell>
          <cell r="AG1882"/>
          <cell r="AH1882" t="str">
            <v xml:space="preserve"> en stock </v>
          </cell>
          <cell r="AI1882">
            <v>1</v>
          </cell>
          <cell r="AJ1882">
            <v>0</v>
          </cell>
          <cell r="AK1882">
            <v>0</v>
          </cell>
          <cell r="AL1882"/>
          <cell r="AM1882"/>
          <cell r="AN1882">
            <v>1091540</v>
          </cell>
          <cell r="AO1882"/>
          <cell r="AP1882"/>
          <cell r="AQ1882"/>
          <cell r="AR1882"/>
          <cell r="AS1882">
            <v>53</v>
          </cell>
          <cell r="AT1882" t="str">
            <v>109-5,000</v>
          </cell>
          <cell r="AU1882" t="str">
            <v>FR</v>
          </cell>
          <cell r="AV1882"/>
        </row>
        <row r="1883">
          <cell r="Z1883">
            <v>8021541</v>
          </cell>
          <cell r="AA1883" t="str">
            <v>Bit Sub
4" IF Box x 4-1/2" IF Box</v>
          </cell>
          <cell r="AB1883">
            <v>95.486512655624992</v>
          </cell>
          <cell r="AC1883">
            <v>6.5</v>
          </cell>
          <cell r="AD1883">
            <v>650</v>
          </cell>
          <cell r="AE1883" t="str">
            <v>4" IF Box</v>
          </cell>
          <cell r="AF1883" t="str">
            <v>4-1/2" IF Box</v>
          </cell>
          <cell r="AG1883"/>
          <cell r="AH1883" t="str">
            <v xml:space="preserve"> en stock </v>
          </cell>
          <cell r="AI1883">
            <v>1</v>
          </cell>
          <cell r="AJ1883">
            <v>0</v>
          </cell>
          <cell r="AK1883">
            <v>0</v>
          </cell>
          <cell r="AL1883"/>
          <cell r="AM1883"/>
          <cell r="AN1883">
            <v>8021541</v>
          </cell>
          <cell r="AO1883"/>
          <cell r="AP1883"/>
          <cell r="AQ1883"/>
          <cell r="AR1883"/>
          <cell r="AS1883">
            <v>42</v>
          </cell>
          <cell r="AT1883"/>
          <cell r="AU1883" t="str">
            <v>FR</v>
          </cell>
          <cell r="AV1883"/>
        </row>
        <row r="1884">
          <cell r="Z1884">
            <v>5091542</v>
          </cell>
          <cell r="AA1884" t="str">
            <v>WO Extension Lg 415 mm
7-5/8" FJWP Pin x Box</v>
          </cell>
          <cell r="AB1884">
            <v>17.828263940174981</v>
          </cell>
          <cell r="AC1884">
            <v>7.625</v>
          </cell>
          <cell r="AD1884">
            <v>415</v>
          </cell>
          <cell r="AE1884" t="str">
            <v>7-5/8" FJWP Box</v>
          </cell>
          <cell r="AF1884" t="str">
            <v>7-5/8" FJWP Pin</v>
          </cell>
          <cell r="AG1884"/>
          <cell r="AH1884" t="str">
            <v xml:space="preserve"> en stock </v>
          </cell>
          <cell r="AI1884">
            <v>1</v>
          </cell>
          <cell r="AJ1884">
            <v>0</v>
          </cell>
          <cell r="AK1884">
            <v>0</v>
          </cell>
          <cell r="AL1884"/>
          <cell r="AM1884"/>
          <cell r="AN1884" t="str">
            <v/>
          </cell>
          <cell r="AO1884"/>
          <cell r="AP1884"/>
          <cell r="AQ1884"/>
          <cell r="AR1884"/>
          <cell r="AS1884">
            <v>75</v>
          </cell>
          <cell r="AT1884" t="str">
            <v>509-7,625FJWP</v>
          </cell>
          <cell r="AU1884" t="str">
            <v/>
          </cell>
          <cell r="AV1884"/>
        </row>
        <row r="1885">
          <cell r="Z1885">
            <v>5111543</v>
          </cell>
          <cell r="AA1885" t="str">
            <v>WO Shoe
5-3/4" FJWP Box</v>
          </cell>
          <cell r="AB1885">
            <v>26</v>
          </cell>
          <cell r="AC1885">
            <v>6</v>
          </cell>
          <cell r="AD1885">
            <v>780</v>
          </cell>
          <cell r="AE1885" t="str">
            <v>5-3/4" FJWP Box</v>
          </cell>
          <cell r="AF1885"/>
          <cell r="AG1885" t="str">
            <v>CC</v>
          </cell>
          <cell r="AH1885" t="str">
            <v xml:space="preserve"> en stock </v>
          </cell>
          <cell r="AI1885">
            <v>1</v>
          </cell>
          <cell r="AJ1885">
            <v>0</v>
          </cell>
          <cell r="AK1885">
            <v>0</v>
          </cell>
          <cell r="AL1885"/>
          <cell r="AM1885"/>
          <cell r="AN1885" t="str">
            <v/>
          </cell>
          <cell r="AO1885"/>
          <cell r="AP1885"/>
          <cell r="AQ1885"/>
          <cell r="AR1885"/>
          <cell r="AS1885">
            <v>129</v>
          </cell>
          <cell r="AT1885"/>
          <cell r="AU1885" t="str">
            <v/>
          </cell>
          <cell r="AV1885"/>
        </row>
        <row r="1886">
          <cell r="Z1886">
            <v>8021544</v>
          </cell>
          <cell r="AA1886" t="str">
            <v>Bit Sub
4-1/2" IF Box x 4-1/2" IF Box</v>
          </cell>
          <cell r="AB1886">
            <v>89.067251300625003</v>
          </cell>
          <cell r="AC1886">
            <v>6.5</v>
          </cell>
          <cell r="AD1886">
            <v>650</v>
          </cell>
          <cell r="AE1886" t="str">
            <v>4-1/2" IF Box</v>
          </cell>
          <cell r="AF1886" t="str">
            <v>4-1/2" IF Box</v>
          </cell>
          <cell r="AG1886"/>
          <cell r="AH1886" t="str">
            <v>sur chantier</v>
          </cell>
          <cell r="AI1886" t="str">
            <v/>
          </cell>
          <cell r="AJ1886">
            <v>1</v>
          </cell>
          <cell r="AK1886">
            <v>0</v>
          </cell>
          <cell r="AL1886"/>
          <cell r="AM1886"/>
          <cell r="AN1886">
            <v>8021544</v>
          </cell>
          <cell r="AO1886"/>
          <cell r="AP1886"/>
          <cell r="AQ1886"/>
          <cell r="AR1886"/>
          <cell r="AS1886">
            <v>46</v>
          </cell>
          <cell r="AT1886"/>
          <cell r="AU1886" t="str">
            <v>FR</v>
          </cell>
          <cell r="AV1886"/>
        </row>
        <row r="1887">
          <cell r="Z1887">
            <v>8081545</v>
          </cell>
          <cell r="AA1887" t="str">
            <v>Capteur Sub 8" Lg 500mm
6-5/8" REG Pin x Box</v>
          </cell>
          <cell r="AB1887">
            <v>126.41006976</v>
          </cell>
          <cell r="AC1887">
            <v>8</v>
          </cell>
          <cell r="AD1887">
            <v>500</v>
          </cell>
          <cell r="AE1887" t="str">
            <v>6-5/8" REG Box</v>
          </cell>
          <cell r="AF1887" t="str">
            <v>6-5/8" REG Pin</v>
          </cell>
          <cell r="AG1887"/>
          <cell r="AH1887" t="str">
            <v>maintenance</v>
          </cell>
          <cell r="AI1887" t="str">
            <v/>
          </cell>
          <cell r="AJ1887">
            <v>0</v>
          </cell>
          <cell r="AK1887">
            <v>1</v>
          </cell>
          <cell r="AL1887"/>
          <cell r="AM1887"/>
          <cell r="AN1887" t="str">
            <v/>
          </cell>
          <cell r="AO1887"/>
          <cell r="AP1887"/>
          <cell r="AQ1887"/>
          <cell r="AR1887"/>
          <cell r="AS1887">
            <v>28</v>
          </cell>
          <cell r="AT1887"/>
          <cell r="AU1887" t="str">
            <v>FR</v>
          </cell>
          <cell r="AV1887"/>
        </row>
        <row r="1888">
          <cell r="Z1888">
            <v>7041546</v>
          </cell>
          <cell r="AA1888" t="str">
            <v>3-3/4" SH Overshot - CA C1827
2-3/8" IF Box</v>
          </cell>
          <cell r="AB1888">
            <v>16</v>
          </cell>
          <cell r="AC1888" t="str">
            <v>3-3/4" SH</v>
          </cell>
          <cell r="AD1888">
            <v>775</v>
          </cell>
          <cell r="AE1888" t="str">
            <v>2-3/8" IF Box</v>
          </cell>
          <cell r="AF1888">
            <v>72375000051</v>
          </cell>
          <cell r="AG1888" t="str">
            <v>C1827</v>
          </cell>
          <cell r="AH1888" t="str">
            <v xml:space="preserve"> en stock </v>
          </cell>
          <cell r="AI1888">
            <v>1</v>
          </cell>
          <cell r="AJ1888">
            <v>0</v>
          </cell>
          <cell r="AK1888">
            <v>0</v>
          </cell>
          <cell r="AL1888"/>
          <cell r="AM1888"/>
          <cell r="AN1888" t="str">
            <v/>
          </cell>
          <cell r="AO1888"/>
          <cell r="AP1888"/>
          <cell r="AQ1888"/>
          <cell r="AR1888"/>
          <cell r="AS1888">
            <v>8</v>
          </cell>
          <cell r="AT1888" t="str">
            <v>704-1827</v>
          </cell>
          <cell r="AU1888" t="str">
            <v/>
          </cell>
          <cell r="AV1888"/>
        </row>
        <row r="1889">
          <cell r="Z1889">
            <v>7041547</v>
          </cell>
          <cell r="AA1889" t="str">
            <v>4-1/4" FS Overshot - CA C-4822
2-7/8" REG Box</v>
          </cell>
          <cell r="AB1889">
            <v>29</v>
          </cell>
          <cell r="AC1889" t="str">
            <v>4-1/4" FS</v>
          </cell>
          <cell r="AD1889">
            <v>890</v>
          </cell>
          <cell r="AE1889" t="str">
            <v>2-7/8" REG Box</v>
          </cell>
          <cell r="AF1889">
            <v>72412500009</v>
          </cell>
          <cell r="AG1889" t="str">
            <v>C-4822</v>
          </cell>
          <cell r="AH1889" t="str">
            <v>sur chantier</v>
          </cell>
          <cell r="AI1889" t="str">
            <v/>
          </cell>
          <cell r="AJ1889">
            <v>1</v>
          </cell>
          <cell r="AK1889">
            <v>0</v>
          </cell>
          <cell r="AL1889"/>
          <cell r="AM1889"/>
          <cell r="AN1889" t="str">
            <v/>
          </cell>
          <cell r="AO1889"/>
          <cell r="AP1889"/>
          <cell r="AQ1889"/>
          <cell r="AR1889"/>
          <cell r="AS1889">
            <v>22</v>
          </cell>
          <cell r="AT1889" t="str">
            <v>704-4822</v>
          </cell>
          <cell r="AU1889" t="str">
            <v/>
          </cell>
          <cell r="AV1889"/>
        </row>
        <row r="1890">
          <cell r="Z1890">
            <v>7041548</v>
          </cell>
          <cell r="AA1890" t="str">
            <v>5" SH Overshot - CA C-5428
2-7/8" IF Box</v>
          </cell>
          <cell r="AB1890">
            <v>36</v>
          </cell>
          <cell r="AC1890" t="str">
            <v>5" SH</v>
          </cell>
          <cell r="AD1890">
            <v>1025</v>
          </cell>
          <cell r="AE1890" t="str">
            <v>2-7/8" IF Box</v>
          </cell>
          <cell r="AF1890">
            <v>7200500050</v>
          </cell>
          <cell r="AG1890" t="str">
            <v>C-5428</v>
          </cell>
          <cell r="AH1890" t="str">
            <v xml:space="preserve"> en stock </v>
          </cell>
          <cell r="AI1890">
            <v>1</v>
          </cell>
          <cell r="AJ1890">
            <v>0</v>
          </cell>
          <cell r="AK1890">
            <v>0</v>
          </cell>
          <cell r="AL1890"/>
          <cell r="AM1890"/>
          <cell r="AN1890" t="str">
            <v/>
          </cell>
          <cell r="AO1890"/>
          <cell r="AP1890"/>
          <cell r="AQ1890"/>
          <cell r="AR1890"/>
          <cell r="AS1890">
            <v>28</v>
          </cell>
          <cell r="AT1890" t="str">
            <v>704-5428</v>
          </cell>
          <cell r="AU1890" t="str">
            <v/>
          </cell>
          <cell r="AV1890"/>
        </row>
        <row r="1891">
          <cell r="Z1891">
            <v>7041549</v>
          </cell>
          <cell r="AA1891" t="str">
            <v>5" SH Overshot - CA C-5428
3-1/2" IF Box</v>
          </cell>
          <cell r="AB1891">
            <v>44</v>
          </cell>
          <cell r="AC1891" t="str">
            <v>5" SH</v>
          </cell>
          <cell r="AD1891">
            <v>1080</v>
          </cell>
          <cell r="AE1891" t="str">
            <v>3-1/2" IF Box</v>
          </cell>
          <cell r="AF1891">
            <v>72500000045</v>
          </cell>
          <cell r="AG1891" t="str">
            <v>C-5428</v>
          </cell>
          <cell r="AH1891" t="str">
            <v>maintenance</v>
          </cell>
          <cell r="AI1891" t="str">
            <v/>
          </cell>
          <cell r="AJ1891">
            <v>0</v>
          </cell>
          <cell r="AK1891">
            <v>1</v>
          </cell>
          <cell r="AL1891"/>
          <cell r="AM1891"/>
          <cell r="AN1891" t="str">
            <v/>
          </cell>
          <cell r="AO1891"/>
          <cell r="AP1891"/>
          <cell r="AQ1891"/>
          <cell r="AR1891"/>
          <cell r="AS1891">
            <v>29</v>
          </cell>
          <cell r="AT1891" t="str">
            <v>704-5428</v>
          </cell>
          <cell r="AU1891" t="str">
            <v/>
          </cell>
          <cell r="AV1891"/>
        </row>
        <row r="1892">
          <cell r="Z1892">
            <v>7041550</v>
          </cell>
          <cell r="AA1892" t="str">
            <v>5-9/16" FS Overshot - CA 5896
2-7/8" IF Box</v>
          </cell>
          <cell r="AB1892">
            <v>38</v>
          </cell>
          <cell r="AC1892" t="str">
            <v>5-9/16" FS</v>
          </cell>
          <cell r="AD1892">
            <v>910</v>
          </cell>
          <cell r="AE1892" t="str">
            <v>2-7/8" IF Box</v>
          </cell>
          <cell r="AF1892">
            <v>7200556001</v>
          </cell>
          <cell r="AG1892">
            <v>5896</v>
          </cell>
          <cell r="AH1892" t="str">
            <v xml:space="preserve"> en stock </v>
          </cell>
          <cell r="AI1892">
            <v>1</v>
          </cell>
          <cell r="AJ1892">
            <v>0</v>
          </cell>
          <cell r="AK1892">
            <v>0</v>
          </cell>
          <cell r="AL1892"/>
          <cell r="AM1892"/>
          <cell r="AN1892" t="str">
            <v/>
          </cell>
          <cell r="AO1892"/>
          <cell r="AP1892"/>
          <cell r="AQ1892"/>
          <cell r="AR1892"/>
          <cell r="AS1892">
            <v>31</v>
          </cell>
          <cell r="AT1892" t="str">
            <v>704-5896</v>
          </cell>
          <cell r="AU1892" t="str">
            <v/>
          </cell>
          <cell r="AV1892"/>
        </row>
        <row r="1893">
          <cell r="Z1893">
            <v>7041551</v>
          </cell>
          <cell r="AA1893" t="str">
            <v>6-1/16" FS Overshot - CA C-4829
3-1/2" IF Box</v>
          </cell>
          <cell r="AB1893">
            <v>46</v>
          </cell>
          <cell r="AC1893" t="str">
            <v>6-1/16" FS</v>
          </cell>
          <cell r="AD1893">
            <v>1000</v>
          </cell>
          <cell r="AE1893" t="str">
            <v>3-1/2" IF Box</v>
          </cell>
          <cell r="AF1893">
            <v>72606250046</v>
          </cell>
          <cell r="AG1893" t="str">
            <v>C-4829</v>
          </cell>
          <cell r="AH1893" t="str">
            <v xml:space="preserve"> en stock </v>
          </cell>
          <cell r="AI1893">
            <v>1</v>
          </cell>
          <cell r="AJ1893">
            <v>0</v>
          </cell>
          <cell r="AK1893">
            <v>0</v>
          </cell>
          <cell r="AL1893"/>
          <cell r="AM1893"/>
          <cell r="AN1893" t="str">
            <v/>
          </cell>
          <cell r="AO1893"/>
          <cell r="AP1893"/>
          <cell r="AQ1893"/>
          <cell r="AR1893"/>
          <cell r="AS1893">
            <v>44</v>
          </cell>
          <cell r="AT1893" t="str">
            <v>704-4829</v>
          </cell>
          <cell r="AU1893" t="str">
            <v/>
          </cell>
          <cell r="AV1893"/>
        </row>
        <row r="1894">
          <cell r="Z1894">
            <v>7041552</v>
          </cell>
          <cell r="AA1894" t="str">
            <v>7-5/8" SH Overshot - CA 9860
4-1/2" IF Box</v>
          </cell>
          <cell r="AB1894">
            <v>98</v>
          </cell>
          <cell r="AC1894" t="str">
            <v>7-5/8" SH</v>
          </cell>
          <cell r="AD1894">
            <v>1210</v>
          </cell>
          <cell r="AE1894" t="str">
            <v>4-1/2" IF Box</v>
          </cell>
          <cell r="AF1894">
            <v>7200762050</v>
          </cell>
          <cell r="AG1894">
            <v>9860</v>
          </cell>
          <cell r="AH1894" t="str">
            <v xml:space="preserve"> en stock </v>
          </cell>
          <cell r="AI1894">
            <v>1</v>
          </cell>
          <cell r="AJ1894">
            <v>0</v>
          </cell>
          <cell r="AK1894">
            <v>0</v>
          </cell>
          <cell r="AL1894"/>
          <cell r="AM1894"/>
          <cell r="AN1894" t="str">
            <v/>
          </cell>
          <cell r="AO1894"/>
          <cell r="AP1894"/>
          <cell r="AQ1894"/>
          <cell r="AR1894"/>
          <cell r="AS1894">
            <v>47</v>
          </cell>
          <cell r="AT1894" t="str">
            <v>704-9860</v>
          </cell>
          <cell r="AU1894" t="str">
            <v/>
          </cell>
          <cell r="AV1894"/>
        </row>
        <row r="1895">
          <cell r="Z1895">
            <v>7041553</v>
          </cell>
          <cell r="AA1895" t="str">
            <v>7-5/8" SH Overshot - CA 9860
4-1/2" IF Box</v>
          </cell>
          <cell r="AB1895">
            <v>0</v>
          </cell>
          <cell r="AC1895" t="str">
            <v>7-5/8" SH</v>
          </cell>
          <cell r="AD1895">
            <v>1120</v>
          </cell>
          <cell r="AE1895" t="str">
            <v>4-1/2" IF Box</v>
          </cell>
          <cell r="AF1895">
            <v>72787500035</v>
          </cell>
          <cell r="AG1895">
            <v>9860</v>
          </cell>
          <cell r="AH1895" t="str">
            <v xml:space="preserve"> en stock </v>
          </cell>
          <cell r="AI1895">
            <v>1</v>
          </cell>
          <cell r="AJ1895">
            <v>0</v>
          </cell>
          <cell r="AK1895">
            <v>0</v>
          </cell>
          <cell r="AL1895"/>
          <cell r="AM1895"/>
          <cell r="AN1895" t="str">
            <v/>
          </cell>
          <cell r="AO1895"/>
          <cell r="AP1895"/>
          <cell r="AQ1895"/>
          <cell r="AR1895"/>
          <cell r="AS1895">
            <v>49</v>
          </cell>
          <cell r="AT1895" t="str">
            <v>704-9860</v>
          </cell>
          <cell r="AU1895" t="str">
            <v/>
          </cell>
          <cell r="AV1895"/>
        </row>
        <row r="1896">
          <cell r="Z1896">
            <v>7041554</v>
          </cell>
          <cell r="AA1896" t="str">
            <v>8-7/8" FS Overshot - CA C-5352
4-1/2" IF Box</v>
          </cell>
          <cell r="AB1896">
            <v>124</v>
          </cell>
          <cell r="AC1896" t="str">
            <v>8-7/8" FS</v>
          </cell>
          <cell r="AD1896">
            <v>1180</v>
          </cell>
          <cell r="AE1896" t="str">
            <v>4-1/2" IF Box</v>
          </cell>
          <cell r="AF1896">
            <v>72887500043</v>
          </cell>
          <cell r="AG1896" t="str">
            <v>C-5352</v>
          </cell>
          <cell r="AH1896" t="str">
            <v xml:space="preserve"> en stock </v>
          </cell>
          <cell r="AI1896">
            <v>1</v>
          </cell>
          <cell r="AJ1896">
            <v>0</v>
          </cell>
          <cell r="AK1896">
            <v>0</v>
          </cell>
          <cell r="AL1896"/>
          <cell r="AM1896"/>
          <cell r="AN1896" t="str">
            <v/>
          </cell>
          <cell r="AO1896"/>
          <cell r="AP1896"/>
          <cell r="AQ1896"/>
          <cell r="AR1896"/>
          <cell r="AS1896">
            <v>75</v>
          </cell>
          <cell r="AT1896" t="str">
            <v>704-5352</v>
          </cell>
          <cell r="AU1896" t="str">
            <v/>
          </cell>
          <cell r="AV1896"/>
        </row>
        <row r="1897">
          <cell r="Z1897">
            <v>7041555</v>
          </cell>
          <cell r="AA1897" t="str">
            <v>9-1/8" SH Overshot - CA C-5265
6-5/8" REG Box</v>
          </cell>
          <cell r="AB1897">
            <v>158</v>
          </cell>
          <cell r="AC1897" t="str">
            <v>9-1/8" SH</v>
          </cell>
          <cell r="AD1897">
            <v>1270</v>
          </cell>
          <cell r="AE1897" t="str">
            <v>6-5/8" REG Box</v>
          </cell>
          <cell r="AF1897">
            <v>72912500037</v>
          </cell>
          <cell r="AG1897" t="str">
            <v>C-5265</v>
          </cell>
          <cell r="AH1897" t="str">
            <v xml:space="preserve"> en stock </v>
          </cell>
          <cell r="AI1897">
            <v>1</v>
          </cell>
          <cell r="AJ1897">
            <v>0</v>
          </cell>
          <cell r="AK1897">
            <v>0</v>
          </cell>
          <cell r="AL1897"/>
          <cell r="AM1897"/>
          <cell r="AN1897" t="str">
            <v/>
          </cell>
          <cell r="AO1897"/>
          <cell r="AP1897"/>
          <cell r="AQ1897"/>
          <cell r="AR1897"/>
          <cell r="AS1897">
            <v>77</v>
          </cell>
          <cell r="AT1897" t="str">
            <v>704-5265</v>
          </cell>
          <cell r="AU1897" t="str">
            <v/>
          </cell>
          <cell r="AV1897"/>
        </row>
        <row r="1898">
          <cell r="Z1898">
            <v>7041556</v>
          </cell>
          <cell r="AA1898" t="str">
            <v>9-3/8" FS Overshot - CA 1665
4-1/2" IF Box</v>
          </cell>
          <cell r="AB1898">
            <v>124</v>
          </cell>
          <cell r="AC1898" t="str">
            <v>9-3/8" FS</v>
          </cell>
          <cell r="AD1898">
            <v>1210</v>
          </cell>
          <cell r="AE1898" t="str">
            <v>4-1/2" IF Box</v>
          </cell>
          <cell r="AF1898">
            <v>72937500002</v>
          </cell>
          <cell r="AG1898">
            <v>1665</v>
          </cell>
          <cell r="AH1898" t="str">
            <v>maintenance</v>
          </cell>
          <cell r="AI1898" t="str">
            <v/>
          </cell>
          <cell r="AJ1898">
            <v>0</v>
          </cell>
          <cell r="AK1898">
            <v>1</v>
          </cell>
          <cell r="AL1898"/>
          <cell r="AM1898"/>
          <cell r="AN1898" t="str">
            <v/>
          </cell>
          <cell r="AO1898"/>
          <cell r="AP1898"/>
          <cell r="AQ1898"/>
          <cell r="AR1898"/>
          <cell r="AS1898">
            <v>79</v>
          </cell>
          <cell r="AT1898" t="str">
            <v>704-1665</v>
          </cell>
          <cell r="AU1898" t="str">
            <v/>
          </cell>
          <cell r="AV1898"/>
        </row>
        <row r="1899">
          <cell r="Z1899">
            <v>7041557</v>
          </cell>
          <cell r="AA1899" t="str">
            <v>10-5/8" FS Overshot - CA C-5321
6-5/8" REG Box</v>
          </cell>
          <cell r="AB1899">
            <v>186</v>
          </cell>
          <cell r="AC1899" t="str">
            <v>10-5/8" FS</v>
          </cell>
          <cell r="AD1899">
            <v>1260</v>
          </cell>
          <cell r="AE1899" t="str">
            <v>6-5/8" REG Box</v>
          </cell>
          <cell r="AF1899">
            <v>72106250013</v>
          </cell>
          <cell r="AG1899" t="str">
            <v>C-5321</v>
          </cell>
          <cell r="AH1899" t="str">
            <v xml:space="preserve"> en stock </v>
          </cell>
          <cell r="AI1899">
            <v>1</v>
          </cell>
          <cell r="AJ1899">
            <v>0</v>
          </cell>
          <cell r="AK1899">
            <v>0</v>
          </cell>
          <cell r="AL1899"/>
          <cell r="AM1899"/>
          <cell r="AN1899" t="str">
            <v/>
          </cell>
          <cell r="AO1899"/>
          <cell r="AP1899"/>
          <cell r="AQ1899"/>
          <cell r="AR1899"/>
          <cell r="AS1899">
            <v>85</v>
          </cell>
          <cell r="AT1899" t="str">
            <v>704-5321</v>
          </cell>
          <cell r="AU1899" t="str">
            <v/>
          </cell>
          <cell r="AV1899"/>
        </row>
        <row r="1900">
          <cell r="Z1900">
            <v>7051558</v>
          </cell>
          <cell r="AA1900" t="str">
            <v>Extension 5" SH Lg 840mm CA C-5428
5" SH Sellers Pin x Box</v>
          </cell>
          <cell r="AB1900">
            <v>34.997319118125013</v>
          </cell>
          <cell r="AC1900" t="str">
            <v>5" SH</v>
          </cell>
          <cell r="AD1900">
            <v>840</v>
          </cell>
          <cell r="AE1900" t="str">
            <v>5" SH Sellers Box</v>
          </cell>
          <cell r="AF1900" t="str">
            <v>5" SH Sellers Pin</v>
          </cell>
          <cell r="AG1900" t="str">
            <v>C-5428</v>
          </cell>
          <cell r="AH1900" t="str">
            <v xml:space="preserve"> en stock </v>
          </cell>
          <cell r="AI1900">
            <v>1</v>
          </cell>
          <cell r="AJ1900">
            <v>0</v>
          </cell>
          <cell r="AK1900">
            <v>0</v>
          </cell>
          <cell r="AL1900"/>
          <cell r="AM1900"/>
          <cell r="AN1900" t="str">
            <v/>
          </cell>
          <cell r="AO1900"/>
          <cell r="AP1900"/>
          <cell r="AQ1900"/>
          <cell r="AR1900">
            <v>73500000013</v>
          </cell>
          <cell r="AS1900">
            <v>19</v>
          </cell>
          <cell r="AT1900" t="str">
            <v>705-5428</v>
          </cell>
          <cell r="AU1900" t="str">
            <v/>
          </cell>
          <cell r="AV1900"/>
        </row>
        <row r="1901">
          <cell r="Z1901">
            <v>7051559</v>
          </cell>
          <cell r="AA1901" t="str">
            <v>Extension 7-3/4" SFS Lg 830mm CA 9163
7-3/4" SFS Sellers Pin x Box</v>
          </cell>
          <cell r="AB1901">
            <v>73.925818579518776</v>
          </cell>
          <cell r="AC1901" t="str">
            <v>7-3/4" SFS</v>
          </cell>
          <cell r="AD1901">
            <v>830</v>
          </cell>
          <cell r="AE1901" t="str">
            <v>7-3/4" SFS Sellers Box</v>
          </cell>
          <cell r="AF1901" t="str">
            <v>7-3/4" SFS Sellers Pin</v>
          </cell>
          <cell r="AG1901">
            <v>9163</v>
          </cell>
          <cell r="AH1901" t="str">
            <v xml:space="preserve"> en stock </v>
          </cell>
          <cell r="AI1901">
            <v>1</v>
          </cell>
          <cell r="AJ1901">
            <v>0</v>
          </cell>
          <cell r="AK1901">
            <v>0</v>
          </cell>
          <cell r="AL1901"/>
          <cell r="AM1901"/>
          <cell r="AN1901" t="str">
            <v/>
          </cell>
          <cell r="AO1901"/>
          <cell r="AP1901"/>
          <cell r="AQ1901"/>
          <cell r="AR1901">
            <v>73775000014</v>
          </cell>
          <cell r="AS1901">
            <v>36</v>
          </cell>
          <cell r="AT1901" t="str">
            <v>705-9163</v>
          </cell>
          <cell r="AU1901" t="str">
            <v/>
          </cell>
          <cell r="AV1901"/>
        </row>
        <row r="1902">
          <cell r="Z1902">
            <v>7051560</v>
          </cell>
          <cell r="AA1902" t="str">
            <v>Extension 7-3/4" SFS Lg 650mm CA 9163
7-3/4" SFS Sellers Pin x Box</v>
          </cell>
          <cell r="AB1902">
            <v>66.800438475468724</v>
          </cell>
          <cell r="AC1902" t="str">
            <v>7-3/4" SFS</v>
          </cell>
          <cell r="AD1902">
            <v>650</v>
          </cell>
          <cell r="AE1902" t="str">
            <v>7-3/4" SFS Sellers Box</v>
          </cell>
          <cell r="AF1902" t="str">
            <v>7-3/4" SFS Sellers Pin</v>
          </cell>
          <cell r="AG1902">
            <v>9163</v>
          </cell>
          <cell r="AH1902" t="str">
            <v xml:space="preserve"> en stock </v>
          </cell>
          <cell r="AI1902">
            <v>1</v>
          </cell>
          <cell r="AJ1902">
            <v>0</v>
          </cell>
          <cell r="AK1902">
            <v>0</v>
          </cell>
          <cell r="AL1902"/>
          <cell r="AM1902"/>
          <cell r="AN1902" t="str">
            <v/>
          </cell>
          <cell r="AO1902"/>
          <cell r="AP1902"/>
          <cell r="AQ1902"/>
          <cell r="AR1902">
            <v>7030787050</v>
          </cell>
          <cell r="AS1902">
            <v>37</v>
          </cell>
          <cell r="AT1902" t="str">
            <v>705-9163</v>
          </cell>
          <cell r="AU1902" t="str">
            <v/>
          </cell>
          <cell r="AV1902"/>
        </row>
        <row r="1903">
          <cell r="Z1903">
            <v>7051561</v>
          </cell>
          <cell r="AA1903" t="str">
            <v>Extension 7-5/8" SH Lg 835mm CA 9860
7-5/8" SH Sellers Pin x Box</v>
          </cell>
          <cell r="AB1903">
            <v>75.711175643878065</v>
          </cell>
          <cell r="AC1903" t="str">
            <v>7-5/8" SH</v>
          </cell>
          <cell r="AD1903">
            <v>835</v>
          </cell>
          <cell r="AE1903" t="str">
            <v>7-5/8" SH Sellers Box</v>
          </cell>
          <cell r="AF1903" t="str">
            <v>7-5/8" SH Sellers Pin</v>
          </cell>
          <cell r="AG1903">
            <v>9860</v>
          </cell>
          <cell r="AH1903" t="str">
            <v xml:space="preserve"> en stock </v>
          </cell>
          <cell r="AI1903">
            <v>1</v>
          </cell>
          <cell r="AJ1903">
            <v>0</v>
          </cell>
          <cell r="AK1903">
            <v>0</v>
          </cell>
          <cell r="AL1903"/>
          <cell r="AM1903"/>
          <cell r="AN1903" t="str">
            <v/>
          </cell>
          <cell r="AO1903"/>
          <cell r="AP1903"/>
          <cell r="AQ1903"/>
          <cell r="AR1903">
            <v>73775000018</v>
          </cell>
          <cell r="AS1903">
            <v>32</v>
          </cell>
          <cell r="AT1903" t="str">
            <v>705-9860</v>
          </cell>
          <cell r="AU1903" t="str">
            <v/>
          </cell>
          <cell r="AV1903"/>
        </row>
        <row r="1904">
          <cell r="Z1904">
            <v>7051562</v>
          </cell>
          <cell r="AA1904" t="str">
            <v>Extension 8-7/8" FS Lg 825mm CA 0
8-7/8" FS Sellers Pin x Box</v>
          </cell>
          <cell r="AB1904">
            <v>110.94636234322266</v>
          </cell>
          <cell r="AC1904" t="str">
            <v>8-7/8" FS</v>
          </cell>
          <cell r="AD1904">
            <v>825</v>
          </cell>
          <cell r="AE1904" t="str">
            <v>8-7/8" FS Sellers Box</v>
          </cell>
          <cell r="AF1904" t="str">
            <v>8-7/8" FS Sellers Pin</v>
          </cell>
          <cell r="AG1904">
            <v>0</v>
          </cell>
          <cell r="AH1904" t="str">
            <v xml:space="preserve"> en stock </v>
          </cell>
          <cell r="AI1904">
            <v>1</v>
          </cell>
          <cell r="AJ1904">
            <v>0</v>
          </cell>
          <cell r="AK1904">
            <v>0</v>
          </cell>
          <cell r="AL1904"/>
          <cell r="AM1904"/>
          <cell r="AN1904" t="str">
            <v/>
          </cell>
          <cell r="AO1904"/>
          <cell r="AP1904"/>
          <cell r="AQ1904"/>
          <cell r="AR1904">
            <v>73878750017</v>
          </cell>
          <cell r="AS1904">
            <v>54</v>
          </cell>
          <cell r="AT1904" t="str">
            <v>705-</v>
          </cell>
          <cell r="AU1904" t="str">
            <v/>
          </cell>
          <cell r="AV1904"/>
        </row>
        <row r="1905">
          <cell r="Z1905">
            <v>7051563</v>
          </cell>
          <cell r="AA1905" t="str">
            <v>Extension 9-1/8" SH Lg 915mm CA C-5265
9-1/8" SH Sellers Pin x Box</v>
          </cell>
          <cell r="AB1905">
            <v>79.068017266874961</v>
          </cell>
          <cell r="AC1905" t="str">
            <v>9-1/8" SH</v>
          </cell>
          <cell r="AD1905">
            <v>915</v>
          </cell>
          <cell r="AE1905" t="str">
            <v>9-1/8" SH Sellers Box</v>
          </cell>
          <cell r="AF1905" t="str">
            <v>9-1/8" SH Sellers Pin</v>
          </cell>
          <cell r="AG1905" t="str">
            <v>C-5265</v>
          </cell>
          <cell r="AH1905" t="str">
            <v xml:space="preserve"> en stock </v>
          </cell>
          <cell r="AI1905">
            <v>1</v>
          </cell>
          <cell r="AJ1905">
            <v>0</v>
          </cell>
          <cell r="AK1905">
            <v>0</v>
          </cell>
          <cell r="AL1905"/>
          <cell r="AM1905"/>
          <cell r="AN1905" t="str">
            <v/>
          </cell>
          <cell r="AO1905"/>
          <cell r="AP1905"/>
          <cell r="AQ1905"/>
          <cell r="AR1905">
            <v>73912500015</v>
          </cell>
          <cell r="AS1905">
            <v>56</v>
          </cell>
          <cell r="AT1905" t="str">
            <v>705-5265</v>
          </cell>
          <cell r="AU1905" t="str">
            <v/>
          </cell>
          <cell r="AV1905"/>
        </row>
        <row r="1906">
          <cell r="Z1906">
            <v>7051564</v>
          </cell>
          <cell r="AA1906" t="str">
            <v>Extension 9-3/8" FS Lg 795mm CA C-1500
9-3/8" FS Sellers Pin x Box</v>
          </cell>
          <cell r="AB1906">
            <v>93.429880075350013</v>
          </cell>
          <cell r="AC1906" t="str">
            <v>9-3/8" FS</v>
          </cell>
          <cell r="AD1906">
            <v>795</v>
          </cell>
          <cell r="AE1906" t="str">
            <v>9-3/8" FS Sellers Box</v>
          </cell>
          <cell r="AF1906" t="str">
            <v>9-3/8" FS Sellers Pin</v>
          </cell>
          <cell r="AG1906" t="str">
            <v>C-1500</v>
          </cell>
          <cell r="AH1906" t="str">
            <v xml:space="preserve"> en stock </v>
          </cell>
          <cell r="AI1906">
            <v>1</v>
          </cell>
          <cell r="AJ1906">
            <v>0</v>
          </cell>
          <cell r="AK1906">
            <v>0</v>
          </cell>
          <cell r="AL1906"/>
          <cell r="AM1906"/>
          <cell r="AN1906" t="str">
            <v/>
          </cell>
          <cell r="AO1906"/>
          <cell r="AP1906"/>
          <cell r="AQ1906"/>
          <cell r="AR1906">
            <v>73937500009</v>
          </cell>
          <cell r="AS1906">
            <v>58</v>
          </cell>
          <cell r="AT1906" t="str">
            <v>705-1500</v>
          </cell>
          <cell r="AU1906" t="str">
            <v/>
          </cell>
          <cell r="AV1906"/>
        </row>
        <row r="1907">
          <cell r="Z1907">
            <v>7051565</v>
          </cell>
          <cell r="AA1907" t="str">
            <v>Extension 9-3/8" FS Lg 795mm CA C-1500
9-3/8" FS Sellers Pin x Box</v>
          </cell>
          <cell r="AB1907">
            <v>93.429880075350013</v>
          </cell>
          <cell r="AC1907" t="str">
            <v>9-3/8" FS</v>
          </cell>
          <cell r="AD1907">
            <v>795</v>
          </cell>
          <cell r="AE1907" t="str">
            <v>9-3/8" FS Sellers Box</v>
          </cell>
          <cell r="AF1907" t="str">
            <v>9-3/8" FS Sellers Pin</v>
          </cell>
          <cell r="AG1907" t="str">
            <v>C-1500</v>
          </cell>
          <cell r="AH1907" t="str">
            <v xml:space="preserve"> en stock </v>
          </cell>
          <cell r="AI1907">
            <v>1</v>
          </cell>
          <cell r="AJ1907">
            <v>0</v>
          </cell>
          <cell r="AK1907">
            <v>0</v>
          </cell>
          <cell r="AL1907"/>
          <cell r="AM1907"/>
          <cell r="AN1907" t="str">
            <v/>
          </cell>
          <cell r="AO1907"/>
          <cell r="AP1907"/>
          <cell r="AQ1907"/>
          <cell r="AR1907">
            <v>73937500032</v>
          </cell>
          <cell r="AS1907">
            <v>59</v>
          </cell>
          <cell r="AT1907" t="str">
            <v>705-1500</v>
          </cell>
          <cell r="AU1907" t="str">
            <v/>
          </cell>
          <cell r="AV1907"/>
        </row>
        <row r="1908">
          <cell r="Z1908">
            <v>7091566</v>
          </cell>
          <cell r="AA1908" t="str">
            <v>Taper Tap 8" OD to catch from 1-1/2" to 2-1/4" 
Lg catch 460mm
2-3/8" IF Box</v>
          </cell>
          <cell r="AB1908">
            <v>8</v>
          </cell>
          <cell r="AC1908">
            <v>3.375</v>
          </cell>
          <cell r="AD1908">
            <v>570</v>
          </cell>
          <cell r="AE1908" t="str">
            <v>2-3/8" IF Box</v>
          </cell>
          <cell r="AF1908">
            <v>11532500037</v>
          </cell>
          <cell r="AG1908"/>
          <cell r="AH1908" t="str">
            <v xml:space="preserve"> en stock </v>
          </cell>
          <cell r="AI1908">
            <v>1</v>
          </cell>
          <cell r="AJ1908">
            <v>0</v>
          </cell>
          <cell r="AK1908">
            <v>0</v>
          </cell>
          <cell r="AL1908"/>
          <cell r="AM1908"/>
          <cell r="AN1908" t="str">
            <v/>
          </cell>
          <cell r="AO1908"/>
          <cell r="AP1908"/>
          <cell r="AQ1908"/>
          <cell r="AR1908"/>
          <cell r="AS1908">
            <v>7</v>
          </cell>
          <cell r="AT1908" t="str">
            <v>709-</v>
          </cell>
          <cell r="AU1908" t="str">
            <v/>
          </cell>
          <cell r="AV1908"/>
        </row>
        <row r="1909">
          <cell r="Z1909">
            <v>7091567</v>
          </cell>
          <cell r="AA1909" t="str">
            <v>Taper Tap 4-1/4" OD to catch from 1-1/4" to 3-3/8"
Lg catch 415mm
2-7/8" IF Box</v>
          </cell>
          <cell r="AB1909">
            <v>20</v>
          </cell>
          <cell r="AC1909">
            <v>4.25</v>
          </cell>
          <cell r="AD1909">
            <v>620</v>
          </cell>
          <cell r="AE1909" t="str">
            <v>2-7/8" IF Box</v>
          </cell>
          <cell r="AF1909">
            <v>11542500008</v>
          </cell>
          <cell r="AG1909"/>
          <cell r="AH1909" t="str">
            <v xml:space="preserve"> en stock </v>
          </cell>
          <cell r="AI1909">
            <v>1</v>
          </cell>
          <cell r="AJ1909">
            <v>0</v>
          </cell>
          <cell r="AK1909">
            <v>0</v>
          </cell>
          <cell r="AL1909"/>
          <cell r="AM1909"/>
          <cell r="AN1909" t="str">
            <v/>
          </cell>
          <cell r="AO1909"/>
          <cell r="AP1909"/>
          <cell r="AQ1909"/>
          <cell r="AR1909"/>
          <cell r="AS1909">
            <v>13</v>
          </cell>
          <cell r="AT1909" t="str">
            <v>709-</v>
          </cell>
          <cell r="AU1909" t="str">
            <v/>
          </cell>
          <cell r="AV1909"/>
        </row>
        <row r="1910">
          <cell r="Z1910">
            <v>7091568</v>
          </cell>
          <cell r="AA1910" t="str">
            <v>Taper Tap 5-1/2" OD to catch from 1-3/4"  to 3-1/8"
Lg catch 525mm
4-1/2" REG Box</v>
          </cell>
          <cell r="AB1910">
            <v>36</v>
          </cell>
          <cell r="AC1910">
            <v>5.5</v>
          </cell>
          <cell r="AD1910">
            <v>815</v>
          </cell>
          <cell r="AE1910" t="str">
            <v>4-1/2" REG Box</v>
          </cell>
          <cell r="AF1910">
            <v>11555000024</v>
          </cell>
          <cell r="AG1910"/>
          <cell r="AH1910" t="str">
            <v xml:space="preserve"> en stock </v>
          </cell>
          <cell r="AI1910">
            <v>1</v>
          </cell>
          <cell r="AJ1910">
            <v>0</v>
          </cell>
          <cell r="AK1910">
            <v>0</v>
          </cell>
          <cell r="AL1910"/>
          <cell r="AM1910"/>
          <cell r="AN1910" t="str">
            <v/>
          </cell>
          <cell r="AO1910"/>
          <cell r="AP1910"/>
          <cell r="AQ1910"/>
          <cell r="AR1910"/>
          <cell r="AS1910">
            <v>20</v>
          </cell>
          <cell r="AT1910" t="str">
            <v>709-</v>
          </cell>
          <cell r="AU1910" t="str">
            <v/>
          </cell>
          <cell r="AV1910"/>
        </row>
        <row r="1911">
          <cell r="Z1911">
            <v>7091569</v>
          </cell>
          <cell r="AA1911" t="str">
            <v>Taper Tap 6" OD to catch from 1-1/2" to 3-3/4"
Lg catch 540mm
4" IF Box</v>
          </cell>
          <cell r="AB1911">
            <v>34</v>
          </cell>
          <cell r="AC1911">
            <v>6</v>
          </cell>
          <cell r="AD1911">
            <v>710</v>
          </cell>
          <cell r="AE1911" t="str">
            <v>4" IF Box</v>
          </cell>
          <cell r="AF1911">
            <v>11560000004</v>
          </cell>
          <cell r="AG1911"/>
          <cell r="AH1911" t="str">
            <v xml:space="preserve"> en stock </v>
          </cell>
          <cell r="AI1911">
            <v>1</v>
          </cell>
          <cell r="AJ1911">
            <v>0</v>
          </cell>
          <cell r="AK1911">
            <v>0</v>
          </cell>
          <cell r="AL1911"/>
          <cell r="AM1911"/>
          <cell r="AN1911" t="str">
            <v/>
          </cell>
          <cell r="AO1911"/>
          <cell r="AP1911"/>
          <cell r="AQ1911"/>
          <cell r="AR1911"/>
          <cell r="AS1911">
            <v>23</v>
          </cell>
          <cell r="AT1911" t="str">
            <v>709-</v>
          </cell>
          <cell r="AU1911" t="str">
            <v/>
          </cell>
          <cell r="AV1911"/>
        </row>
        <row r="1912">
          <cell r="Z1912">
            <v>7091570</v>
          </cell>
          <cell r="AA1912" t="str">
            <v>Taper Tap 6" OD to catch from 2-3/4" to 4-5/8"
Lg catch 580mm
4-1/2" IF Box</v>
          </cell>
          <cell r="AB1912">
            <v>40</v>
          </cell>
          <cell r="AC1912">
            <v>6</v>
          </cell>
          <cell r="AD1912">
            <v>730</v>
          </cell>
          <cell r="AE1912" t="str">
            <v>4-1/2" IF Box</v>
          </cell>
          <cell r="AF1912">
            <v>1156000031</v>
          </cell>
          <cell r="AG1912"/>
          <cell r="AH1912" t="str">
            <v xml:space="preserve"> en stock </v>
          </cell>
          <cell r="AI1912">
            <v>1</v>
          </cell>
          <cell r="AJ1912">
            <v>0</v>
          </cell>
          <cell r="AK1912">
            <v>0</v>
          </cell>
          <cell r="AL1912"/>
          <cell r="AM1912"/>
          <cell r="AN1912" t="str">
            <v/>
          </cell>
          <cell r="AO1912"/>
          <cell r="AP1912"/>
          <cell r="AQ1912"/>
          <cell r="AR1912"/>
          <cell r="AS1912">
            <v>24</v>
          </cell>
          <cell r="AT1912" t="str">
            <v>709-</v>
          </cell>
          <cell r="AU1912" t="str">
            <v/>
          </cell>
          <cell r="AV1912"/>
        </row>
        <row r="1913">
          <cell r="Z1913">
            <v>7091571</v>
          </cell>
          <cell r="AA1913" t="str">
            <v>Taper Tap 6-1/8" OD to catch from 2" to 3-7/8"
Lg catch 495mm
4-1/2" IF Box</v>
          </cell>
          <cell r="AB1913">
            <v>64</v>
          </cell>
          <cell r="AC1913">
            <v>6.125</v>
          </cell>
          <cell r="AD1913">
            <v>895</v>
          </cell>
          <cell r="AE1913" t="str">
            <v>4-1/2" IF Box</v>
          </cell>
          <cell r="AF1913">
            <v>11561250033</v>
          </cell>
          <cell r="AG1913"/>
          <cell r="AH1913" t="str">
            <v>maintenance</v>
          </cell>
          <cell r="AI1913" t="str">
            <v/>
          </cell>
          <cell r="AJ1913">
            <v>0</v>
          </cell>
          <cell r="AK1913">
            <v>1</v>
          </cell>
          <cell r="AL1913"/>
          <cell r="AM1913"/>
          <cell r="AN1913" t="str">
            <v/>
          </cell>
          <cell r="AO1913"/>
          <cell r="AP1913"/>
          <cell r="AQ1913"/>
          <cell r="AR1913"/>
          <cell r="AS1913">
            <v>25</v>
          </cell>
          <cell r="AT1913" t="str">
            <v>709-</v>
          </cell>
          <cell r="AU1913" t="str">
            <v/>
          </cell>
          <cell r="AV1913"/>
        </row>
        <row r="1914">
          <cell r="Z1914">
            <v>7091572</v>
          </cell>
          <cell r="AA1914" t="str">
            <v>Taper Tap 6-3/16" OD to catch from 2-3/8" to 4"
Lg catch 810mm
4-1/2" IF Box</v>
          </cell>
          <cell r="AB1914">
            <v>48</v>
          </cell>
          <cell r="AC1914">
            <v>6.1875</v>
          </cell>
          <cell r="AD1914">
            <v>1000</v>
          </cell>
          <cell r="AE1914" t="str">
            <v>4-1/2" IF Box</v>
          </cell>
          <cell r="AF1914">
            <v>11560625032</v>
          </cell>
          <cell r="AG1914"/>
          <cell r="AH1914" t="str">
            <v xml:space="preserve"> en stock </v>
          </cell>
          <cell r="AI1914">
            <v>1</v>
          </cell>
          <cell r="AJ1914">
            <v>0</v>
          </cell>
          <cell r="AK1914">
            <v>0</v>
          </cell>
          <cell r="AL1914"/>
          <cell r="AM1914"/>
          <cell r="AN1914" t="str">
            <v/>
          </cell>
          <cell r="AO1914"/>
          <cell r="AP1914"/>
          <cell r="AQ1914"/>
          <cell r="AR1914"/>
          <cell r="AS1914">
            <v>27</v>
          </cell>
          <cell r="AT1914" t="str">
            <v>709-</v>
          </cell>
          <cell r="AU1914" t="str">
            <v/>
          </cell>
          <cell r="AV1914"/>
        </row>
        <row r="1915">
          <cell r="Z1915">
            <v>7091573</v>
          </cell>
          <cell r="AA1915" t="str">
            <v>Taper Tap 6-3/16" OD to catch from 2" to 3-7/8"
Lg catch 390mm
4-1/2" IF Box</v>
          </cell>
          <cell r="AB1915">
            <v>38</v>
          </cell>
          <cell r="AC1915">
            <v>6.1875</v>
          </cell>
          <cell r="AD1915">
            <v>610</v>
          </cell>
          <cell r="AE1915" t="str">
            <v>4-1/2" IF Box</v>
          </cell>
          <cell r="AF1915">
            <v>11561250003</v>
          </cell>
          <cell r="AG1915"/>
          <cell r="AH1915" t="str">
            <v xml:space="preserve"> en stock </v>
          </cell>
          <cell r="AI1915">
            <v>1</v>
          </cell>
          <cell r="AJ1915">
            <v>0</v>
          </cell>
          <cell r="AK1915">
            <v>0</v>
          </cell>
          <cell r="AL1915"/>
          <cell r="AM1915"/>
          <cell r="AN1915" t="str">
            <v/>
          </cell>
          <cell r="AO1915"/>
          <cell r="AP1915"/>
          <cell r="AQ1915"/>
          <cell r="AR1915"/>
          <cell r="AS1915">
            <v>28</v>
          </cell>
          <cell r="AT1915" t="str">
            <v>709-</v>
          </cell>
          <cell r="AU1915" t="str">
            <v/>
          </cell>
          <cell r="AV1915"/>
        </row>
        <row r="1916">
          <cell r="Z1916">
            <v>7091574</v>
          </cell>
          <cell r="AA1916" t="str">
            <v>Taper Tap 6-3/8" OD to catch from 1-3/4" to 3-1/4""
Lg catch 660mm
4-1/2" IF Box</v>
          </cell>
          <cell r="AB1916">
            <v>32</v>
          </cell>
          <cell r="AC1916">
            <v>6.375</v>
          </cell>
          <cell r="AD1916">
            <v>820</v>
          </cell>
          <cell r="AE1916" t="str">
            <v>4-1/2" IF Box</v>
          </cell>
          <cell r="AF1916">
            <v>11563750023</v>
          </cell>
          <cell r="AG1916"/>
          <cell r="AH1916" t="str">
            <v xml:space="preserve"> en stock </v>
          </cell>
          <cell r="AI1916">
            <v>1</v>
          </cell>
          <cell r="AJ1916">
            <v>0</v>
          </cell>
          <cell r="AK1916">
            <v>0</v>
          </cell>
          <cell r="AL1916"/>
          <cell r="AM1916"/>
          <cell r="AN1916" t="str">
            <v/>
          </cell>
          <cell r="AO1916"/>
          <cell r="AP1916"/>
          <cell r="AQ1916"/>
          <cell r="AR1916"/>
          <cell r="AS1916">
            <v>31</v>
          </cell>
          <cell r="AT1916" t="str">
            <v>709-</v>
          </cell>
          <cell r="AU1916" t="str">
            <v/>
          </cell>
          <cell r="AV1916"/>
        </row>
        <row r="1917">
          <cell r="Z1917">
            <v>7091575</v>
          </cell>
          <cell r="AA1917" t="str">
            <v>Taper Tap 6-1/2" OD to catch form 2-5/8" to 4"
Lg catch 600mm
4" IF Box</v>
          </cell>
          <cell r="AB1917">
            <v>66</v>
          </cell>
          <cell r="AC1917">
            <v>6.5</v>
          </cell>
          <cell r="AD1917">
            <v>890</v>
          </cell>
          <cell r="AE1917" t="str">
            <v>4" IF Box</v>
          </cell>
          <cell r="AF1917">
            <v>11565000026</v>
          </cell>
          <cell r="AG1917"/>
          <cell r="AH1917" t="str">
            <v xml:space="preserve"> en stock </v>
          </cell>
          <cell r="AI1917">
            <v>1</v>
          </cell>
          <cell r="AJ1917">
            <v>0</v>
          </cell>
          <cell r="AK1917">
            <v>0</v>
          </cell>
          <cell r="AL1917"/>
          <cell r="AM1917"/>
          <cell r="AN1917" t="str">
            <v/>
          </cell>
          <cell r="AO1917"/>
          <cell r="AP1917"/>
          <cell r="AQ1917"/>
          <cell r="AR1917"/>
          <cell r="AS1917">
            <v>32</v>
          </cell>
          <cell r="AT1917" t="str">
            <v>709-</v>
          </cell>
          <cell r="AU1917" t="str">
            <v/>
          </cell>
          <cell r="AV1917"/>
        </row>
        <row r="1918">
          <cell r="Z1918">
            <v>7091576</v>
          </cell>
          <cell r="AA1918" t="str">
            <v>Taper Tap 6-3/4" OD to catch form 2-1/4" to 4"
Lg catch 640mm
4" IF Box</v>
          </cell>
          <cell r="AB1918">
            <v>50</v>
          </cell>
          <cell r="AC1918">
            <v>6.75</v>
          </cell>
          <cell r="AD1918">
            <v>860</v>
          </cell>
          <cell r="AE1918" t="str">
            <v>4" IF Box</v>
          </cell>
          <cell r="AF1918">
            <v>11567500034</v>
          </cell>
          <cell r="AG1918"/>
          <cell r="AH1918" t="str">
            <v xml:space="preserve"> en stock </v>
          </cell>
          <cell r="AI1918">
            <v>1</v>
          </cell>
          <cell r="AJ1918">
            <v>0</v>
          </cell>
          <cell r="AK1918">
            <v>0</v>
          </cell>
          <cell r="AL1918"/>
          <cell r="AM1918"/>
          <cell r="AN1918" t="str">
            <v/>
          </cell>
          <cell r="AO1918"/>
          <cell r="AP1918"/>
          <cell r="AQ1918"/>
          <cell r="AR1918"/>
          <cell r="AS1918">
            <v>33</v>
          </cell>
          <cell r="AT1918" t="str">
            <v>709-</v>
          </cell>
          <cell r="AU1918" t="str">
            <v/>
          </cell>
          <cell r="AV1918"/>
        </row>
        <row r="1919">
          <cell r="Z1919">
            <v>7091577</v>
          </cell>
          <cell r="AA1919" t="str">
            <v>Taper Tap 7-3/4" OD to catch from 2-7/8" to 4-1/2"
Lg catch 760mm
6-5/8" REG Box</v>
          </cell>
          <cell r="AB1919">
            <v>76</v>
          </cell>
          <cell r="AC1919">
            <v>7.75</v>
          </cell>
          <cell r="AD1919">
            <v>1020</v>
          </cell>
          <cell r="AE1919" t="str">
            <v>6-5/8" REG Box</v>
          </cell>
          <cell r="AF1919">
            <v>11577500017</v>
          </cell>
          <cell r="AG1919"/>
          <cell r="AH1919" t="str">
            <v xml:space="preserve"> en stock </v>
          </cell>
          <cell r="AI1919">
            <v>1</v>
          </cell>
          <cell r="AJ1919">
            <v>0</v>
          </cell>
          <cell r="AK1919">
            <v>0</v>
          </cell>
          <cell r="AL1919"/>
          <cell r="AM1919"/>
          <cell r="AN1919" t="str">
            <v/>
          </cell>
          <cell r="AO1919"/>
          <cell r="AP1919"/>
          <cell r="AQ1919"/>
          <cell r="AR1919"/>
          <cell r="AS1919">
            <v>34</v>
          </cell>
          <cell r="AT1919" t="str">
            <v>709-</v>
          </cell>
          <cell r="AU1919" t="str">
            <v/>
          </cell>
          <cell r="AV1919"/>
        </row>
        <row r="1920">
          <cell r="Z1920">
            <v>7091578</v>
          </cell>
          <cell r="AA1920" t="str">
            <v>Taper Tap 4-3/4" OD to catch from 1-5/8" to 2-7/8"" 
Lg catch 420mm
3-1/2" REG Pin</v>
          </cell>
          <cell r="AB1920">
            <v>20</v>
          </cell>
          <cell r="AC1920">
            <v>4.75</v>
          </cell>
          <cell r="AD1920">
            <v>550</v>
          </cell>
          <cell r="AE1920" t="str">
            <v>3-1/2" REG Pin</v>
          </cell>
          <cell r="AF1920">
            <v>11546875006</v>
          </cell>
          <cell r="AG1920"/>
          <cell r="AH1920" t="str">
            <v>maintenance</v>
          </cell>
          <cell r="AI1920" t="str">
            <v/>
          </cell>
          <cell r="AJ1920">
            <v>0</v>
          </cell>
          <cell r="AK1920">
            <v>1</v>
          </cell>
          <cell r="AL1920"/>
          <cell r="AM1920"/>
          <cell r="AN1920" t="str">
            <v/>
          </cell>
          <cell r="AO1920"/>
          <cell r="AP1920"/>
          <cell r="AQ1920"/>
          <cell r="AR1920"/>
          <cell r="AS1920">
            <v>16</v>
          </cell>
          <cell r="AT1920" t="str">
            <v>709-</v>
          </cell>
          <cell r="AU1920" t="str">
            <v/>
          </cell>
          <cell r="AV1920"/>
        </row>
        <row r="1921">
          <cell r="Z1921">
            <v>7091579</v>
          </cell>
          <cell r="AA1921" t="str">
            <v>Taper Tap 4-3/4" to catch from 3" to 4-1/2"
Lg catch 680mm
3-1/2" IF Box</v>
          </cell>
          <cell r="AB1921">
            <v>50</v>
          </cell>
          <cell r="AC1921">
            <v>4.75</v>
          </cell>
          <cell r="AD1921">
            <v>840</v>
          </cell>
          <cell r="AE1921" t="str">
            <v>3-1/2" IF Box</v>
          </cell>
          <cell r="AF1921">
            <v>11550000002</v>
          </cell>
          <cell r="AG1921"/>
          <cell r="AH1921" t="str">
            <v xml:space="preserve"> en stock </v>
          </cell>
          <cell r="AI1921">
            <v>1</v>
          </cell>
          <cell r="AJ1921">
            <v>0</v>
          </cell>
          <cell r="AK1921">
            <v>0</v>
          </cell>
          <cell r="AL1921"/>
          <cell r="AM1921"/>
          <cell r="AN1921" t="str">
            <v/>
          </cell>
          <cell r="AO1921"/>
          <cell r="AP1921"/>
          <cell r="AQ1921"/>
          <cell r="AR1921"/>
          <cell r="AS1921">
            <v>17</v>
          </cell>
          <cell r="AT1921" t="str">
            <v>709-</v>
          </cell>
          <cell r="AU1921" t="str">
            <v/>
          </cell>
          <cell r="AV1921"/>
        </row>
        <row r="1922">
          <cell r="Z1922">
            <v>7101580</v>
          </cell>
          <cell r="AA1922" t="str">
            <v>Packer Retriever Tool PR 325 388 - SN 5455
3-1/8" PRT Box</v>
          </cell>
          <cell r="AB1922">
            <v>34</v>
          </cell>
          <cell r="AC1922" t="str">
            <v>PR325388</v>
          </cell>
          <cell r="AD1922">
            <v>930</v>
          </cell>
          <cell r="AE1922" t="str">
            <v>3-1/8" PRT Box</v>
          </cell>
          <cell r="AF1922" t="str">
            <v>SN 5456</v>
          </cell>
          <cell r="AG1922"/>
          <cell r="AH1922" t="str">
            <v xml:space="preserve"> en stock </v>
          </cell>
          <cell r="AI1922">
            <v>1</v>
          </cell>
          <cell r="AJ1922">
            <v>0</v>
          </cell>
          <cell r="AK1922">
            <v>0</v>
          </cell>
          <cell r="AL1922"/>
          <cell r="AM1922"/>
          <cell r="AN1922" t="str">
            <v/>
          </cell>
          <cell r="AO1922"/>
          <cell r="AP1922"/>
          <cell r="AQ1922"/>
          <cell r="AR1922"/>
          <cell r="AS1922">
            <v>6</v>
          </cell>
          <cell r="AT1922"/>
          <cell r="AU1922" t="str">
            <v/>
          </cell>
          <cell r="AV1922"/>
        </row>
        <row r="1923">
          <cell r="Z1923">
            <v>7101581</v>
          </cell>
          <cell r="AA1923" t="str">
            <v>Packer Retriever Tool PR 325 388 - SN 5457
3-1/8" PRT Box</v>
          </cell>
          <cell r="AB1923">
            <v>50</v>
          </cell>
          <cell r="AC1923" t="str">
            <v>PR400488</v>
          </cell>
          <cell r="AD1923">
            <v>1040</v>
          </cell>
          <cell r="AE1923" t="str">
            <v>3-1/8" PRT Box</v>
          </cell>
          <cell r="AF1923" t="str">
            <v>SN 5457</v>
          </cell>
          <cell r="AG1923"/>
          <cell r="AH1923" t="str">
            <v xml:space="preserve"> en stock </v>
          </cell>
          <cell r="AI1923">
            <v>1</v>
          </cell>
          <cell r="AJ1923">
            <v>0</v>
          </cell>
          <cell r="AK1923">
            <v>0</v>
          </cell>
          <cell r="AL1923"/>
          <cell r="AM1923"/>
          <cell r="AN1923" t="str">
            <v/>
          </cell>
          <cell r="AO1923"/>
          <cell r="AP1923"/>
          <cell r="AQ1923"/>
          <cell r="AR1923"/>
          <cell r="AS1923">
            <v>7</v>
          </cell>
          <cell r="AT1923"/>
          <cell r="AU1923" t="str">
            <v/>
          </cell>
          <cell r="AV1923"/>
        </row>
        <row r="1924">
          <cell r="Z1924">
            <v>7101582</v>
          </cell>
          <cell r="AA1924" t="str">
            <v>Packer Retriever Tool PR 475 600 - SN 5458
4-1/4" PRT Box</v>
          </cell>
          <cell r="AB1924">
            <v>88</v>
          </cell>
          <cell r="AC1924" t="str">
            <v>PR475600</v>
          </cell>
          <cell r="AD1924">
            <v>1260</v>
          </cell>
          <cell r="AE1924" t="str">
            <v>4-1/4" PRT Box</v>
          </cell>
          <cell r="AF1924" t="str">
            <v>SN 5458</v>
          </cell>
          <cell r="AG1924"/>
          <cell r="AH1924" t="str">
            <v xml:space="preserve"> en stock </v>
          </cell>
          <cell r="AI1924">
            <v>1</v>
          </cell>
          <cell r="AJ1924">
            <v>0</v>
          </cell>
          <cell r="AK1924">
            <v>0</v>
          </cell>
          <cell r="AL1924"/>
          <cell r="AM1924"/>
          <cell r="AN1924" t="str">
            <v/>
          </cell>
          <cell r="AO1924"/>
          <cell r="AP1924"/>
          <cell r="AQ1924"/>
          <cell r="AR1924"/>
          <cell r="AS1924">
            <v>8</v>
          </cell>
          <cell r="AT1924"/>
          <cell r="AU1924" t="str">
            <v/>
          </cell>
          <cell r="AV1924"/>
        </row>
        <row r="1925">
          <cell r="Z1925">
            <v>7101583</v>
          </cell>
          <cell r="AA1925" t="str">
            <v>Slick Bore Packer Retriever Tool PR 475 600 - SN 5461
4-1/4" PRT Box</v>
          </cell>
          <cell r="AB1925">
            <v>530</v>
          </cell>
          <cell r="AC1925" t="str">
            <v>PRS475600</v>
          </cell>
          <cell r="AD1925">
            <v>1920</v>
          </cell>
          <cell r="AE1925" t="str">
            <v>4-1/4" PRT Box</v>
          </cell>
          <cell r="AF1925" t="str">
            <v>SN 5461</v>
          </cell>
          <cell r="AG1925"/>
          <cell r="AH1925" t="str">
            <v xml:space="preserve"> en stock </v>
          </cell>
          <cell r="AI1925">
            <v>1</v>
          </cell>
          <cell r="AJ1925">
            <v>0</v>
          </cell>
          <cell r="AK1925">
            <v>0</v>
          </cell>
          <cell r="AL1925"/>
          <cell r="AM1925"/>
          <cell r="AN1925" t="str">
            <v/>
          </cell>
          <cell r="AO1925"/>
          <cell r="AP1925"/>
          <cell r="AQ1925"/>
          <cell r="AR1925"/>
          <cell r="AS1925">
            <v>11</v>
          </cell>
          <cell r="AT1925"/>
          <cell r="AU1925" t="str">
            <v/>
          </cell>
          <cell r="AV1925"/>
        </row>
        <row r="1926">
          <cell r="Z1926">
            <v>8011584</v>
          </cell>
          <cell r="AA1926" t="str">
            <v>Bull Nose 3-3/4" OD
2-7/8" REG Box</v>
          </cell>
          <cell r="AB1926">
            <v>10</v>
          </cell>
          <cell r="AC1926">
            <v>3.75</v>
          </cell>
          <cell r="AD1926">
            <v>200</v>
          </cell>
          <cell r="AE1926" t="str">
            <v>2-7/8" REG Box</v>
          </cell>
          <cell r="AF1926"/>
          <cell r="AG1926"/>
          <cell r="AH1926" t="str">
            <v>maintenance</v>
          </cell>
          <cell r="AI1926" t="str">
            <v/>
          </cell>
          <cell r="AJ1926">
            <v>0</v>
          </cell>
          <cell r="AK1926">
            <v>1</v>
          </cell>
          <cell r="AL1926"/>
          <cell r="AM1926"/>
          <cell r="AN1926" t="str">
            <v/>
          </cell>
          <cell r="AO1926"/>
          <cell r="AP1926"/>
          <cell r="AQ1926"/>
          <cell r="AR1926">
            <v>91475000012</v>
          </cell>
          <cell r="AS1926">
            <v>8</v>
          </cell>
          <cell r="AT1926" t="str">
            <v>801-2,875REG</v>
          </cell>
          <cell r="AU1926" t="str">
            <v/>
          </cell>
          <cell r="AV1926"/>
        </row>
        <row r="1927">
          <cell r="Z1927">
            <v>8011585</v>
          </cell>
          <cell r="AA1927" t="str">
            <v>Bull Nose 4-3/4" OD
3-1/2" IF Box</v>
          </cell>
          <cell r="AB1927">
            <v>10</v>
          </cell>
          <cell r="AC1927">
            <v>4.75</v>
          </cell>
          <cell r="AD1927">
            <v>230</v>
          </cell>
          <cell r="AE1927" t="str">
            <v>3-1/2" IF Box</v>
          </cell>
          <cell r="AF1927"/>
          <cell r="AG1927"/>
          <cell r="AH1927" t="str">
            <v>maintenance</v>
          </cell>
          <cell r="AI1927" t="str">
            <v/>
          </cell>
          <cell r="AJ1927">
            <v>0</v>
          </cell>
          <cell r="AK1927">
            <v>1</v>
          </cell>
          <cell r="AL1927"/>
          <cell r="AM1927"/>
          <cell r="AN1927" t="str">
            <v/>
          </cell>
          <cell r="AO1927"/>
          <cell r="AP1927"/>
          <cell r="AQ1927"/>
          <cell r="AR1927">
            <v>91475000011</v>
          </cell>
          <cell r="AS1927">
            <v>9</v>
          </cell>
          <cell r="AT1927" t="str">
            <v>801-3,500IF</v>
          </cell>
          <cell r="AU1927" t="str">
            <v/>
          </cell>
          <cell r="AV1927"/>
        </row>
        <row r="1928">
          <cell r="Z1928">
            <v>8011586</v>
          </cell>
          <cell r="AA1928" t="str">
            <v>Bull Nose 5" OD
3-1/2" IF Box</v>
          </cell>
          <cell r="AB1928">
            <v>32</v>
          </cell>
          <cell r="AC1928">
            <v>5</v>
          </cell>
          <cell r="AD1928">
            <v>430</v>
          </cell>
          <cell r="AE1928" t="str">
            <v>3-1/2" IF Box</v>
          </cell>
          <cell r="AF1928"/>
          <cell r="AG1928"/>
          <cell r="AH1928" t="str">
            <v xml:space="preserve"> en stock </v>
          </cell>
          <cell r="AI1928">
            <v>1</v>
          </cell>
          <cell r="AJ1928">
            <v>0</v>
          </cell>
          <cell r="AK1928">
            <v>0</v>
          </cell>
          <cell r="AL1928"/>
          <cell r="AM1928"/>
          <cell r="AN1928" t="str">
            <v/>
          </cell>
          <cell r="AO1928"/>
          <cell r="AP1928"/>
          <cell r="AQ1928"/>
          <cell r="AR1928">
            <v>91475000009</v>
          </cell>
          <cell r="AS1928">
            <v>10</v>
          </cell>
          <cell r="AT1928" t="str">
            <v>801-3,500IF</v>
          </cell>
          <cell r="AU1928" t="str">
            <v/>
          </cell>
          <cell r="AV1928"/>
        </row>
        <row r="1929">
          <cell r="Z1929">
            <v>8011587</v>
          </cell>
          <cell r="AA1929" t="str">
            <v>Bull Nose 5" OD
3-1/2" IF Box</v>
          </cell>
          <cell r="AB1929">
            <v>36</v>
          </cell>
          <cell r="AC1929">
            <v>5</v>
          </cell>
          <cell r="AD1929">
            <v>470</v>
          </cell>
          <cell r="AE1929" t="str">
            <v>3-1/2" IF Box</v>
          </cell>
          <cell r="AF1929"/>
          <cell r="AG1929"/>
          <cell r="AH1929" t="str">
            <v>maintenance</v>
          </cell>
          <cell r="AI1929" t="str">
            <v/>
          </cell>
          <cell r="AJ1929">
            <v>0</v>
          </cell>
          <cell r="AK1929">
            <v>1</v>
          </cell>
          <cell r="AL1929"/>
          <cell r="AM1929"/>
          <cell r="AN1929" t="str">
            <v/>
          </cell>
          <cell r="AO1929"/>
          <cell r="AP1929"/>
          <cell r="AQ1929"/>
          <cell r="AR1929">
            <v>91475000010</v>
          </cell>
          <cell r="AS1929">
            <v>11</v>
          </cell>
          <cell r="AT1929" t="str">
            <v>801-3,500IF</v>
          </cell>
          <cell r="AU1929" t="str">
            <v/>
          </cell>
          <cell r="AV1929"/>
        </row>
        <row r="1930">
          <cell r="Z1930">
            <v>8011588</v>
          </cell>
          <cell r="AA1930" t="str">
            <v>Bull Nose 8-5/8" OD
4-1/2" IF Box</v>
          </cell>
          <cell r="AB1930">
            <v>92</v>
          </cell>
          <cell r="AC1930">
            <v>8.625</v>
          </cell>
          <cell r="AD1930">
            <v>600</v>
          </cell>
          <cell r="AE1930" t="str">
            <v>4-1/2" IF Box</v>
          </cell>
          <cell r="AF1930"/>
          <cell r="AG1930"/>
          <cell r="AH1930" t="str">
            <v xml:space="preserve"> en stock </v>
          </cell>
          <cell r="AI1930">
            <v>1</v>
          </cell>
          <cell r="AJ1930">
            <v>0</v>
          </cell>
          <cell r="AK1930">
            <v>0</v>
          </cell>
          <cell r="AL1930"/>
          <cell r="AM1930"/>
          <cell r="AN1930" t="str">
            <v/>
          </cell>
          <cell r="AO1930"/>
          <cell r="AP1930"/>
          <cell r="AQ1930"/>
          <cell r="AR1930">
            <v>9010862050</v>
          </cell>
          <cell r="AS1930">
            <v>19</v>
          </cell>
          <cell r="AT1930" t="str">
            <v>801-4,500IF</v>
          </cell>
          <cell r="AU1930" t="str">
            <v/>
          </cell>
          <cell r="AV1930"/>
        </row>
        <row r="1931">
          <cell r="Z1931">
            <v>8011589</v>
          </cell>
          <cell r="AA1931" t="str">
            <v>Bull Nose 8-1/8" OD
4-1/2" REG Pin</v>
          </cell>
          <cell r="AB1931">
            <v>104</v>
          </cell>
          <cell r="AC1931">
            <v>8.125</v>
          </cell>
          <cell r="AD1931">
            <v>660</v>
          </cell>
          <cell r="AE1931" t="str">
            <v>4-1/2" REG Pin</v>
          </cell>
          <cell r="AF1931"/>
          <cell r="AG1931"/>
          <cell r="AH1931" t="str">
            <v>sur chantier</v>
          </cell>
          <cell r="AI1931" t="str">
            <v/>
          </cell>
          <cell r="AJ1931">
            <v>1</v>
          </cell>
          <cell r="AK1931">
            <v>0</v>
          </cell>
          <cell r="AL1931"/>
          <cell r="AM1931"/>
          <cell r="AN1931" t="str">
            <v/>
          </cell>
          <cell r="AO1931"/>
          <cell r="AP1931"/>
          <cell r="AQ1931"/>
          <cell r="AR1931">
            <v>9177500004</v>
          </cell>
          <cell r="AS1931">
            <v>20</v>
          </cell>
          <cell r="AT1931" t="str">
            <v>801-4,500REG</v>
          </cell>
          <cell r="AU1931" t="str">
            <v/>
          </cell>
          <cell r="AV1931"/>
        </row>
        <row r="1932">
          <cell r="Z1932">
            <v>8011590</v>
          </cell>
          <cell r="AA1932" t="str">
            <v>Bull Nose 8-1/4" OD
6-5/8" REG Pin</v>
          </cell>
          <cell r="AB1932">
            <v>84</v>
          </cell>
          <cell r="AC1932">
            <v>8.125</v>
          </cell>
          <cell r="AD1932">
            <v>350</v>
          </cell>
          <cell r="AE1932" t="str">
            <v>6-5/8" REG Pin</v>
          </cell>
          <cell r="AF1932"/>
          <cell r="AG1932"/>
          <cell r="AH1932" t="str">
            <v>en stock</v>
          </cell>
          <cell r="AI1932">
            <v>0</v>
          </cell>
          <cell r="AJ1932">
            <v>1</v>
          </cell>
          <cell r="AK1932">
            <v>0</v>
          </cell>
          <cell r="AL1932"/>
          <cell r="AM1932"/>
          <cell r="AN1932" t="str">
            <v/>
          </cell>
          <cell r="AO1932"/>
          <cell r="AP1932"/>
          <cell r="AQ1932"/>
          <cell r="AR1932">
            <v>91825000001</v>
          </cell>
          <cell r="AS1932">
            <v>24</v>
          </cell>
          <cell r="AT1932" t="str">
            <v>801-6,625REG</v>
          </cell>
          <cell r="AU1932" t="str">
            <v/>
          </cell>
          <cell r="AV1932"/>
        </row>
        <row r="1933">
          <cell r="Z1933">
            <v>8011591</v>
          </cell>
          <cell r="AA1933" t="str">
            <v>Bull Nose 10-1/4" OD
6-5/8" REG Pin</v>
          </cell>
          <cell r="AB1933">
            <v>192</v>
          </cell>
          <cell r="AC1933">
            <v>10.25</v>
          </cell>
          <cell r="AD1933">
            <v>640</v>
          </cell>
          <cell r="AE1933" t="str">
            <v>6-5/8" REG Pin</v>
          </cell>
          <cell r="AF1933"/>
          <cell r="AG1933"/>
          <cell r="AH1933" t="str">
            <v>maintenance</v>
          </cell>
          <cell r="AI1933" t="str">
            <v/>
          </cell>
          <cell r="AJ1933">
            <v>0</v>
          </cell>
          <cell r="AK1933">
            <v>1</v>
          </cell>
          <cell r="AL1933"/>
          <cell r="AM1933"/>
          <cell r="AN1933" t="str">
            <v/>
          </cell>
          <cell r="AO1933"/>
          <cell r="AP1933"/>
          <cell r="AQ1933"/>
          <cell r="AR1933">
            <v>91102500006</v>
          </cell>
          <cell r="AS1933">
            <v>25</v>
          </cell>
          <cell r="AT1933" t="str">
            <v>801-6,625REG</v>
          </cell>
          <cell r="AU1933" t="str">
            <v/>
          </cell>
          <cell r="AV1933"/>
        </row>
        <row r="1934">
          <cell r="Z1934">
            <v>8011592</v>
          </cell>
          <cell r="AA1934" t="str">
            <v>Bull Nose 9-5/8" OD
7-5/8" REG Pin</v>
          </cell>
          <cell r="AB1934">
            <v>260</v>
          </cell>
          <cell r="AC1934">
            <v>9.625</v>
          </cell>
          <cell r="AD1934">
            <v>800</v>
          </cell>
          <cell r="AE1934" t="str">
            <v>7-5/8" REG Pin</v>
          </cell>
          <cell r="AF1934"/>
          <cell r="AG1934"/>
          <cell r="AH1934" t="str">
            <v>maintenance</v>
          </cell>
          <cell r="AI1934" t="str">
            <v/>
          </cell>
          <cell r="AJ1934">
            <v>0</v>
          </cell>
          <cell r="AK1934">
            <v>1</v>
          </cell>
          <cell r="AL1934"/>
          <cell r="AM1934"/>
          <cell r="AN1934" t="str">
            <v/>
          </cell>
          <cell r="AO1934"/>
          <cell r="AP1934"/>
          <cell r="AQ1934"/>
          <cell r="AR1934">
            <v>91962500007</v>
          </cell>
          <cell r="AS1934">
            <v>26</v>
          </cell>
          <cell r="AT1934" t="str">
            <v>801-7,625REG</v>
          </cell>
          <cell r="AU1934" t="str">
            <v/>
          </cell>
          <cell r="AV1934"/>
        </row>
        <row r="1935">
          <cell r="Z1935">
            <v>8081593</v>
          </cell>
          <cell r="AA1935" t="str">
            <v>Short DC 6-3/4" Lg 3840mm
4-1/2" IF Pin x Box</v>
          </cell>
          <cell r="AB1935">
            <v>565.76406846959992</v>
          </cell>
          <cell r="AC1935">
            <v>6.75</v>
          </cell>
          <cell r="AD1935">
            <v>3840</v>
          </cell>
          <cell r="AE1935" t="str">
            <v>4-1/2" IF Box</v>
          </cell>
          <cell r="AF1935" t="str">
            <v>4-1/2" IF Pin</v>
          </cell>
          <cell r="AG1935"/>
          <cell r="AH1935" t="str">
            <v>maintenance</v>
          </cell>
          <cell r="AI1935" t="str">
            <v/>
          </cell>
          <cell r="AJ1935">
            <v>0</v>
          </cell>
          <cell r="AK1935">
            <v>1</v>
          </cell>
          <cell r="AL1935"/>
          <cell r="AM1935"/>
          <cell r="AN1935" t="str">
            <v/>
          </cell>
          <cell r="AO1935"/>
          <cell r="AP1935"/>
          <cell r="AQ1935"/>
          <cell r="AR1935"/>
          <cell r="AS1935">
            <v>21</v>
          </cell>
          <cell r="AT1935"/>
          <cell r="AU1935" t="str">
            <v/>
          </cell>
          <cell r="AV1935"/>
        </row>
        <row r="1936">
          <cell r="Z1936">
            <v>8081594</v>
          </cell>
          <cell r="AA1936" t="str">
            <v>Short DC 7-7/8" Lg 2000mm
6-5/8" REG Pin x Box</v>
          </cell>
          <cell r="AB1936">
            <v>449.96553151874986</v>
          </cell>
          <cell r="AC1936">
            <v>7.875</v>
          </cell>
          <cell r="AD1936">
            <v>2000</v>
          </cell>
          <cell r="AE1936" t="str">
            <v>6-5/8" REG Box</v>
          </cell>
          <cell r="AF1936" t="str">
            <v>6-5/8" REG Pin</v>
          </cell>
          <cell r="AG1936"/>
          <cell r="AH1936" t="str">
            <v>maintenance</v>
          </cell>
          <cell r="AI1936" t="str">
            <v/>
          </cell>
          <cell r="AJ1936">
            <v>0</v>
          </cell>
          <cell r="AK1936">
            <v>1</v>
          </cell>
          <cell r="AL1936"/>
          <cell r="AM1936"/>
          <cell r="AN1936" t="str">
            <v/>
          </cell>
          <cell r="AO1936"/>
          <cell r="AP1936"/>
          <cell r="AQ1936"/>
          <cell r="AR1936"/>
          <cell r="AS1936">
            <v>25</v>
          </cell>
          <cell r="AT1936"/>
          <cell r="AU1936" t="str">
            <v/>
          </cell>
          <cell r="AV1936"/>
        </row>
        <row r="1937">
          <cell r="Z1937">
            <v>8131595</v>
          </cell>
          <cell r="AA1937" t="str">
            <v>XO
1-1/2" ? Pin x 2-3/8" REG Box</v>
          </cell>
          <cell r="AB1937">
            <v>13.117513684275</v>
          </cell>
          <cell r="AC1937">
            <v>3.125</v>
          </cell>
          <cell r="AD1937">
            <v>345</v>
          </cell>
          <cell r="AE1937" t="str">
            <v>1-1/2" ? Pin</v>
          </cell>
          <cell r="AF1937" t="str">
            <v>2-3/8" REG Box</v>
          </cell>
          <cell r="AG1937"/>
          <cell r="AH1937" t="str">
            <v xml:space="preserve"> en stock </v>
          </cell>
          <cell r="AI1937">
            <v>1</v>
          </cell>
          <cell r="AJ1937">
            <v>0</v>
          </cell>
          <cell r="AK1937">
            <v>0</v>
          </cell>
          <cell r="AL1937"/>
          <cell r="AM1937"/>
          <cell r="AN1937" t="str">
            <v/>
          </cell>
          <cell r="AO1937" t="str">
            <v>x</v>
          </cell>
          <cell r="AP1937"/>
          <cell r="AQ1937"/>
          <cell r="AR1937"/>
          <cell r="AS1937">
            <v>7</v>
          </cell>
          <cell r="AT1937"/>
          <cell r="AU1937" t="str">
            <v/>
          </cell>
          <cell r="AV1937"/>
        </row>
        <row r="1938">
          <cell r="Z1938">
            <v>8131596</v>
          </cell>
          <cell r="AA1938" t="str">
            <v>XO
1-1/4" REG Pin x 1,660" CS FJWP Box</v>
          </cell>
          <cell r="AB1938">
            <v>0</v>
          </cell>
          <cell r="AC1938">
            <v>0</v>
          </cell>
          <cell r="AD1938">
            <v>200</v>
          </cell>
          <cell r="AE1938" t="str">
            <v>1-1/4" REG Pin</v>
          </cell>
          <cell r="AF1938" t="str">
            <v>1,660" CS FJWP Box</v>
          </cell>
          <cell r="AG1938"/>
          <cell r="AH1938" t="str">
            <v xml:space="preserve"> en stock </v>
          </cell>
          <cell r="AI1938">
            <v>1</v>
          </cell>
          <cell r="AJ1938">
            <v>0</v>
          </cell>
          <cell r="AK1938">
            <v>0</v>
          </cell>
          <cell r="AL1938"/>
          <cell r="AM1938"/>
          <cell r="AN1938" t="str">
            <v/>
          </cell>
          <cell r="AO1938"/>
          <cell r="AP1938"/>
          <cell r="AQ1938"/>
          <cell r="AR1938"/>
          <cell r="AS1938">
            <v>8</v>
          </cell>
          <cell r="AT1938"/>
          <cell r="AU1938" t="str">
            <v/>
          </cell>
          <cell r="AV1938"/>
        </row>
        <row r="1939">
          <cell r="Z1939">
            <v>8021597</v>
          </cell>
          <cell r="AA1939" t="str">
            <v>Bit Sub
1-1/4" REG Box x 2-3/8" IF Box</v>
          </cell>
          <cell r="AB1939">
            <v>9.1381888808437512</v>
          </cell>
          <cell r="AC1939">
            <v>3.4375</v>
          </cell>
          <cell r="AD1939">
            <v>200</v>
          </cell>
          <cell r="AE1939" t="str">
            <v>1-1/4" REG Box</v>
          </cell>
          <cell r="AF1939" t="str">
            <v>2-3/8" IF Box</v>
          </cell>
          <cell r="AG1939"/>
          <cell r="AH1939" t="str">
            <v xml:space="preserve"> en stock </v>
          </cell>
          <cell r="AI1939">
            <v>1</v>
          </cell>
          <cell r="AJ1939">
            <v>0</v>
          </cell>
          <cell r="AK1939">
            <v>0</v>
          </cell>
          <cell r="AL1939"/>
          <cell r="AM1939"/>
          <cell r="AN1939" t="str">
            <v/>
          </cell>
          <cell r="AO1939"/>
          <cell r="AP1939"/>
          <cell r="AQ1939"/>
          <cell r="AR1939"/>
          <cell r="AS1939">
            <v>7</v>
          </cell>
          <cell r="AT1939"/>
          <cell r="AU1939" t="str">
            <v/>
          </cell>
          <cell r="AV1939"/>
        </row>
        <row r="1940">
          <cell r="Z1940">
            <v>8021598</v>
          </cell>
          <cell r="AA1940" t="str">
            <v>Bit Sub
2-7/8" EU Box x 3-1/2" EU Box</v>
          </cell>
          <cell r="AB1940">
            <v>18.919075443023438</v>
          </cell>
          <cell r="AC1940">
            <v>4.5</v>
          </cell>
          <cell r="AD1940">
            <v>350</v>
          </cell>
          <cell r="AE1940" t="str">
            <v>2-7/8" EU Box</v>
          </cell>
          <cell r="AF1940" t="str">
            <v>3-1/2" EU Box</v>
          </cell>
          <cell r="AG1940"/>
          <cell r="AH1940" t="str">
            <v xml:space="preserve"> en stock </v>
          </cell>
          <cell r="AI1940">
            <v>1</v>
          </cell>
          <cell r="AJ1940">
            <v>0</v>
          </cell>
          <cell r="AK1940">
            <v>0</v>
          </cell>
          <cell r="AL1940"/>
          <cell r="AM1940"/>
          <cell r="AN1940" t="str">
            <v/>
          </cell>
          <cell r="AO1940"/>
          <cell r="AP1940"/>
          <cell r="AQ1940"/>
          <cell r="AR1940"/>
          <cell r="AS1940">
            <v>29</v>
          </cell>
          <cell r="AT1940"/>
          <cell r="AU1940" t="str">
            <v/>
          </cell>
          <cell r="AV1940"/>
        </row>
        <row r="1941">
          <cell r="Z1941">
            <v>8111599</v>
          </cell>
          <cell r="AA1941" t="str">
            <v>String Stab
7-5/8" REG Pin SRG x 7-5/8" REG Box BB</v>
          </cell>
          <cell r="AB1941">
            <v>758</v>
          </cell>
          <cell r="AC1941">
            <v>12.25</v>
          </cell>
          <cell r="AD1941">
            <v>2180</v>
          </cell>
          <cell r="AE1941" t="str">
            <v>7-5/8" REG Box BB</v>
          </cell>
          <cell r="AF1941" t="str">
            <v>7-5/8" REG Pin SRG</v>
          </cell>
          <cell r="AG1941" t="str">
            <v>Carbure</v>
          </cell>
          <cell r="AH1941" t="str">
            <v xml:space="preserve"> en stock </v>
          </cell>
          <cell r="AI1941">
            <v>1</v>
          </cell>
          <cell r="AJ1941">
            <v>0</v>
          </cell>
          <cell r="AK1941">
            <v>0</v>
          </cell>
          <cell r="AL1941"/>
          <cell r="AM1941"/>
          <cell r="AN1941" t="str">
            <v/>
          </cell>
          <cell r="AO1941"/>
          <cell r="AP1941"/>
          <cell r="AQ1941"/>
          <cell r="AR1941" t="str">
            <v>41366=DOTR 25461</v>
          </cell>
          <cell r="AS1941">
            <v>70</v>
          </cell>
          <cell r="AT1941"/>
          <cell r="AU1941" t="str">
            <v/>
          </cell>
          <cell r="AV1941"/>
        </row>
        <row r="1942">
          <cell r="Z1942">
            <v>8111600</v>
          </cell>
          <cell r="AA1942" t="str">
            <v>String Stab
0 x 0</v>
          </cell>
          <cell r="AB1942">
            <v>0</v>
          </cell>
          <cell r="AC1942">
            <v>6.5</v>
          </cell>
          <cell r="AD1942">
            <v>0</v>
          </cell>
          <cell r="AE1942">
            <v>0</v>
          </cell>
          <cell r="AF1942">
            <v>0</v>
          </cell>
          <cell r="AG1942">
            <v>0</v>
          </cell>
          <cell r="AH1942" t="str">
            <v>maintenance</v>
          </cell>
          <cell r="AI1942" t="str">
            <v/>
          </cell>
          <cell r="AJ1942">
            <v>0</v>
          </cell>
          <cell r="AK1942">
            <v>1</v>
          </cell>
          <cell r="AL1942"/>
          <cell r="AM1942"/>
          <cell r="AN1942" t="str">
            <v/>
          </cell>
          <cell r="AO1942"/>
          <cell r="AP1942"/>
          <cell r="AQ1942"/>
          <cell r="AR1942">
            <v>8593</v>
          </cell>
          <cell r="AS1942">
            <v>21</v>
          </cell>
          <cell r="AT1942"/>
          <cell r="AU1942" t="str">
            <v/>
          </cell>
          <cell r="AV1942"/>
        </row>
        <row r="1943">
          <cell r="Z1943">
            <v>8111601</v>
          </cell>
          <cell r="AA1943" t="str">
            <v>String Stab
7-5/8" REG Pin x 7-5/8" REG Box</v>
          </cell>
          <cell r="AB1943">
            <v>676</v>
          </cell>
          <cell r="AC1943">
            <v>12.125</v>
          </cell>
          <cell r="AD1943">
            <v>2000</v>
          </cell>
          <cell r="AE1943" t="str">
            <v>7-5/8" REG Box</v>
          </cell>
          <cell r="AF1943" t="str">
            <v>7-5/8" REG Pin</v>
          </cell>
          <cell r="AG1943" t="str">
            <v>Insert</v>
          </cell>
          <cell r="AH1943" t="str">
            <v xml:space="preserve"> en stock </v>
          </cell>
          <cell r="AI1943">
            <v>1</v>
          </cell>
          <cell r="AJ1943">
            <v>0</v>
          </cell>
          <cell r="AK1943">
            <v>0</v>
          </cell>
          <cell r="AL1943"/>
          <cell r="AM1943"/>
          <cell r="AN1943" t="str">
            <v/>
          </cell>
          <cell r="AO1943"/>
          <cell r="AP1943"/>
          <cell r="AQ1943"/>
          <cell r="AR1943" t="str">
            <v xml:space="preserve">  SA1641368 = 41368</v>
          </cell>
          <cell r="AS1943">
            <v>67</v>
          </cell>
          <cell r="AT1943"/>
          <cell r="AU1943" t="str">
            <v/>
          </cell>
          <cell r="AV1943"/>
        </row>
        <row r="1944">
          <cell r="Z1944">
            <v>8131602</v>
          </cell>
          <cell r="AA1944" t="str">
            <v>XO w/ Slot Capteur
7-5/8" REG Pin x 7-5/8" REG Box</v>
          </cell>
          <cell r="AB1944">
            <v>178.257949935</v>
          </cell>
          <cell r="AC1944">
            <v>9.5</v>
          </cell>
          <cell r="AD1944">
            <v>500</v>
          </cell>
          <cell r="AE1944" t="str">
            <v>7-5/8" REG Pin</v>
          </cell>
          <cell r="AF1944" t="str">
            <v>7-5/8" REG Box</v>
          </cell>
          <cell r="AG1944"/>
          <cell r="AH1944" t="str">
            <v>Fabrication en cours</v>
          </cell>
          <cell r="AI1944" t="e">
            <v>#VALUE!</v>
          </cell>
          <cell r="AJ1944">
            <v>0</v>
          </cell>
          <cell r="AK1944" t="str">
            <v>F</v>
          </cell>
          <cell r="AL1944"/>
          <cell r="AM1944"/>
          <cell r="AN1944" t="str">
            <v/>
          </cell>
          <cell r="AO1944"/>
          <cell r="AP1944"/>
          <cell r="AQ1944"/>
          <cell r="AR1944"/>
          <cell r="AS1944">
            <v>225</v>
          </cell>
          <cell r="AT1944"/>
          <cell r="AU1944" t="str">
            <v>FR</v>
          </cell>
          <cell r="AV1944"/>
        </row>
        <row r="1945">
          <cell r="Z1945" t="str">
            <v>Cabine n°3</v>
          </cell>
          <cell r="AA1945" t="str">
            <v>Cabine de chantier n°3 (Container RJMU 013370-5)</v>
          </cell>
          <cell r="AB1945">
            <v>2500</v>
          </cell>
          <cell r="AC1945"/>
          <cell r="AD1945" t="str">
            <v>20ft</v>
          </cell>
          <cell r="AE1945"/>
          <cell r="AF1945"/>
          <cell r="AG1945"/>
          <cell r="AH1945" t="str">
            <v>sur chantier</v>
          </cell>
          <cell r="AI1945" t="str">
            <v/>
          </cell>
          <cell r="AJ1945">
            <v>1</v>
          </cell>
          <cell r="AK1945">
            <v>0</v>
          </cell>
          <cell r="AL1945"/>
          <cell r="AM1945"/>
          <cell r="AN1945">
            <v>2001603</v>
          </cell>
          <cell r="AO1945"/>
          <cell r="AP1945"/>
          <cell r="AQ1945"/>
          <cell r="AR1945"/>
          <cell r="AS1945">
            <v>7</v>
          </cell>
          <cell r="AT1945"/>
          <cell r="AU1945" t="str">
            <v/>
          </cell>
          <cell r="AV1945"/>
        </row>
        <row r="1946">
          <cell r="Z1946">
            <v>5111604</v>
          </cell>
          <cell r="AA1946" t="str">
            <v>WO Shoe
4-1/2" FJWP Box</v>
          </cell>
          <cell r="AB1946">
            <v>11.752186173</v>
          </cell>
          <cell r="AC1946">
            <v>4.75</v>
          </cell>
          <cell r="AD1946">
            <v>700</v>
          </cell>
          <cell r="AE1946" t="str">
            <v>4-1/2" FJWP Box</v>
          </cell>
          <cell r="AF1946"/>
          <cell r="AG1946" t="str">
            <v>CC</v>
          </cell>
          <cell r="AH1946" t="str">
            <v xml:space="preserve"> en stock </v>
          </cell>
          <cell r="AI1946">
            <v>1</v>
          </cell>
          <cell r="AJ1946">
            <v>0</v>
          </cell>
          <cell r="AK1946">
            <v>0</v>
          </cell>
          <cell r="AL1946"/>
          <cell r="AM1946"/>
          <cell r="AN1946" t="str">
            <v/>
          </cell>
          <cell r="AO1946"/>
          <cell r="AP1946"/>
          <cell r="AQ1946"/>
          <cell r="AR1946"/>
          <cell r="AS1946">
            <v>58</v>
          </cell>
          <cell r="AT1946"/>
          <cell r="AU1946" t="str">
            <v>FR</v>
          </cell>
          <cell r="AV1946"/>
        </row>
        <row r="1947">
          <cell r="Z1947">
            <v>5111605</v>
          </cell>
          <cell r="AA1947" t="str">
            <v>WO Shoe
4-1/2" FJWP Box</v>
          </cell>
          <cell r="AB1947">
            <v>11.752186173</v>
          </cell>
          <cell r="AC1947">
            <v>4.75</v>
          </cell>
          <cell r="AD1947">
            <v>700</v>
          </cell>
          <cell r="AE1947" t="str">
            <v>4-1/2" FJWP Box</v>
          </cell>
          <cell r="AF1947"/>
          <cell r="AG1947" t="str">
            <v>CC</v>
          </cell>
          <cell r="AH1947" t="str">
            <v xml:space="preserve"> en stock </v>
          </cell>
          <cell r="AI1947">
            <v>1</v>
          </cell>
          <cell r="AJ1947">
            <v>0</v>
          </cell>
          <cell r="AK1947">
            <v>0</v>
          </cell>
          <cell r="AL1947"/>
          <cell r="AM1947"/>
          <cell r="AN1947" t="str">
            <v/>
          </cell>
          <cell r="AO1947"/>
          <cell r="AP1947"/>
          <cell r="AQ1947"/>
          <cell r="AR1947"/>
          <cell r="AS1947">
            <v>59</v>
          </cell>
          <cell r="AT1947"/>
          <cell r="AU1947" t="str">
            <v>FR</v>
          </cell>
          <cell r="AV1947"/>
        </row>
        <row r="1948">
          <cell r="Z1948">
            <v>5111606</v>
          </cell>
          <cell r="AA1948" t="str">
            <v>WO Shoe
4-1/2" FJWP Box</v>
          </cell>
          <cell r="AB1948">
            <v>11.752186173</v>
          </cell>
          <cell r="AC1948" t="str">
            <v xml:space="preserve">flush </v>
          </cell>
          <cell r="AD1948">
            <v>700</v>
          </cell>
          <cell r="AE1948" t="str">
            <v>4-1/2" FJWP Box</v>
          </cell>
          <cell r="AF1948"/>
          <cell r="AG1948" t="str">
            <v>CC</v>
          </cell>
          <cell r="AH1948" t="str">
            <v xml:space="preserve"> en stock </v>
          </cell>
          <cell r="AI1948">
            <v>1</v>
          </cell>
          <cell r="AJ1948">
            <v>0</v>
          </cell>
          <cell r="AK1948">
            <v>0</v>
          </cell>
          <cell r="AL1948"/>
          <cell r="AM1948"/>
          <cell r="AN1948" t="str">
            <v/>
          </cell>
          <cell r="AO1948"/>
          <cell r="AP1948"/>
          <cell r="AQ1948"/>
          <cell r="AR1948"/>
          <cell r="AS1948">
            <v>60</v>
          </cell>
          <cell r="AT1948"/>
          <cell r="AU1948" t="str">
            <v>FR</v>
          </cell>
          <cell r="AV1948"/>
        </row>
        <row r="1949">
          <cell r="Z1949">
            <v>5111607</v>
          </cell>
          <cell r="AA1949" t="str">
            <v>WO Shoe
4-1/2" FJWP Box</v>
          </cell>
          <cell r="AB1949">
            <v>11.752186173</v>
          </cell>
          <cell r="AC1949" t="str">
            <v xml:space="preserve">flush </v>
          </cell>
          <cell r="AD1949">
            <v>700</v>
          </cell>
          <cell r="AE1949" t="str">
            <v>4-1/2" FJWP Box</v>
          </cell>
          <cell r="AF1949"/>
          <cell r="AG1949" t="str">
            <v>CC</v>
          </cell>
          <cell r="AH1949" t="str">
            <v xml:space="preserve"> en stock </v>
          </cell>
          <cell r="AI1949">
            <v>1</v>
          </cell>
          <cell r="AJ1949">
            <v>0</v>
          </cell>
          <cell r="AK1949">
            <v>0</v>
          </cell>
          <cell r="AL1949"/>
          <cell r="AM1949"/>
          <cell r="AN1949" t="str">
            <v/>
          </cell>
          <cell r="AO1949"/>
          <cell r="AP1949"/>
          <cell r="AQ1949"/>
          <cell r="AR1949"/>
          <cell r="AS1949">
            <v>61</v>
          </cell>
          <cell r="AT1949"/>
          <cell r="AU1949" t="str">
            <v>FR</v>
          </cell>
          <cell r="AV1949"/>
        </row>
        <row r="1950">
          <cell r="Z1950">
            <v>5111608</v>
          </cell>
          <cell r="AA1950" t="str">
            <v>WO Shoe
4-1/2" FJWP Box</v>
          </cell>
          <cell r="AB1950">
            <v>11.752186173</v>
          </cell>
          <cell r="AC1950" t="str">
            <v xml:space="preserve">flush </v>
          </cell>
          <cell r="AD1950">
            <v>700</v>
          </cell>
          <cell r="AE1950" t="str">
            <v>4-1/2" FJWP Box</v>
          </cell>
          <cell r="AF1950"/>
          <cell r="AG1950" t="str">
            <v>CC</v>
          </cell>
          <cell r="AH1950" t="str">
            <v xml:space="preserve"> en stock </v>
          </cell>
          <cell r="AI1950">
            <v>1</v>
          </cell>
          <cell r="AJ1950">
            <v>0</v>
          </cell>
          <cell r="AK1950">
            <v>0</v>
          </cell>
          <cell r="AL1950"/>
          <cell r="AM1950"/>
          <cell r="AN1950" t="str">
            <v/>
          </cell>
          <cell r="AO1950"/>
          <cell r="AP1950"/>
          <cell r="AQ1950"/>
          <cell r="AR1950"/>
          <cell r="AS1950">
            <v>62</v>
          </cell>
          <cell r="AT1950"/>
          <cell r="AU1950" t="str">
            <v>FR</v>
          </cell>
          <cell r="AV1950"/>
        </row>
        <row r="1951">
          <cell r="Z1951">
            <v>5111609</v>
          </cell>
          <cell r="AA1951" t="str">
            <v>WO Shoe
4-1/2" FJWP Box</v>
          </cell>
          <cell r="AB1951">
            <v>11.752186173</v>
          </cell>
          <cell r="AC1951" t="str">
            <v xml:space="preserve">flush </v>
          </cell>
          <cell r="AD1951">
            <v>700</v>
          </cell>
          <cell r="AE1951" t="str">
            <v>4-1/2" FJWP Box</v>
          </cell>
          <cell r="AF1951"/>
          <cell r="AG1951" t="str">
            <v>CC</v>
          </cell>
          <cell r="AH1951" t="str">
            <v xml:space="preserve"> en stock </v>
          </cell>
          <cell r="AI1951">
            <v>1</v>
          </cell>
          <cell r="AJ1951">
            <v>0</v>
          </cell>
          <cell r="AK1951">
            <v>0</v>
          </cell>
          <cell r="AL1951"/>
          <cell r="AM1951"/>
          <cell r="AN1951" t="str">
            <v/>
          </cell>
          <cell r="AO1951"/>
          <cell r="AP1951"/>
          <cell r="AQ1951"/>
          <cell r="AR1951"/>
          <cell r="AS1951">
            <v>63</v>
          </cell>
          <cell r="AT1951"/>
          <cell r="AU1951" t="str">
            <v>FR</v>
          </cell>
          <cell r="AV1951"/>
        </row>
        <row r="1952">
          <cell r="Z1952">
            <v>5111610</v>
          </cell>
          <cell r="AA1952" t="str">
            <v>WO Shoe
4-1/2" FJWP Box</v>
          </cell>
          <cell r="AB1952">
            <v>11.752186173</v>
          </cell>
          <cell r="AC1952" t="str">
            <v xml:space="preserve">flush </v>
          </cell>
          <cell r="AD1952">
            <v>700</v>
          </cell>
          <cell r="AE1952" t="str">
            <v>4-1/2" FJWP Box</v>
          </cell>
          <cell r="AF1952"/>
          <cell r="AG1952" t="str">
            <v>CC</v>
          </cell>
          <cell r="AH1952" t="str">
            <v>sur chantier</v>
          </cell>
          <cell r="AI1952" t="str">
            <v/>
          </cell>
          <cell r="AJ1952">
            <v>1</v>
          </cell>
          <cell r="AK1952">
            <v>0</v>
          </cell>
          <cell r="AL1952"/>
          <cell r="AM1952"/>
          <cell r="AN1952" t="str">
            <v/>
          </cell>
          <cell r="AO1952"/>
          <cell r="AP1952"/>
          <cell r="AQ1952"/>
          <cell r="AR1952"/>
          <cell r="AS1952">
            <v>64</v>
          </cell>
          <cell r="AT1952"/>
          <cell r="AU1952" t="str">
            <v>FR</v>
          </cell>
          <cell r="AV1952"/>
        </row>
        <row r="1953">
          <cell r="Z1953">
            <v>5111611</v>
          </cell>
          <cell r="AA1953" t="str">
            <v>WO Shoe
4-1/2" FJWP Box</v>
          </cell>
          <cell r="AB1953">
            <v>11.752186173</v>
          </cell>
          <cell r="AC1953">
            <v>4.75</v>
          </cell>
          <cell r="AD1953">
            <v>700</v>
          </cell>
          <cell r="AE1953" t="str">
            <v>4-1/2" FJWP Box</v>
          </cell>
          <cell r="AF1953"/>
          <cell r="AG1953" t="str">
            <v>plaquette</v>
          </cell>
          <cell r="AH1953" t="str">
            <v xml:space="preserve"> en stock </v>
          </cell>
          <cell r="AI1953">
            <v>1</v>
          </cell>
          <cell r="AJ1953">
            <v>0</v>
          </cell>
          <cell r="AK1953">
            <v>0</v>
          </cell>
          <cell r="AL1953"/>
          <cell r="AM1953"/>
          <cell r="AN1953" t="str">
            <v/>
          </cell>
          <cell r="AO1953"/>
          <cell r="AP1953"/>
          <cell r="AQ1953"/>
          <cell r="AR1953"/>
          <cell r="AS1953">
            <v>65</v>
          </cell>
          <cell r="AT1953"/>
          <cell r="AU1953" t="str">
            <v>FR</v>
          </cell>
          <cell r="AV1953"/>
        </row>
        <row r="1954">
          <cell r="Z1954">
            <v>5111612</v>
          </cell>
          <cell r="AA1954" t="str">
            <v>WO Shoe
4-1/2" FJWP Box</v>
          </cell>
          <cell r="AB1954">
            <v>11.752186173</v>
          </cell>
          <cell r="AC1954">
            <v>4.75</v>
          </cell>
          <cell r="AD1954">
            <v>700</v>
          </cell>
          <cell r="AE1954" t="str">
            <v>4-1/2" FJWP Box</v>
          </cell>
          <cell r="AF1954"/>
          <cell r="AG1954" t="str">
            <v>plaquette</v>
          </cell>
          <cell r="AH1954" t="str">
            <v xml:space="preserve"> en stock </v>
          </cell>
          <cell r="AI1954">
            <v>1</v>
          </cell>
          <cell r="AJ1954">
            <v>0</v>
          </cell>
          <cell r="AK1954">
            <v>0</v>
          </cell>
          <cell r="AL1954"/>
          <cell r="AM1954"/>
          <cell r="AN1954" t="str">
            <v/>
          </cell>
          <cell r="AO1954"/>
          <cell r="AP1954"/>
          <cell r="AQ1954"/>
          <cell r="AR1954"/>
          <cell r="AS1954">
            <v>66</v>
          </cell>
          <cell r="AT1954"/>
          <cell r="AU1954" t="str">
            <v>FR</v>
          </cell>
          <cell r="AV1954"/>
        </row>
        <row r="1955">
          <cell r="Z1955">
            <v>5111613</v>
          </cell>
          <cell r="AA1955" t="str">
            <v>WO Shoe
4-1/2" FJWP Box</v>
          </cell>
          <cell r="AB1955">
            <v>11.752186173</v>
          </cell>
          <cell r="AC1955">
            <v>4.75</v>
          </cell>
          <cell r="AD1955">
            <v>700</v>
          </cell>
          <cell r="AE1955" t="str">
            <v>4-1/2" FJWP Box</v>
          </cell>
          <cell r="AF1955"/>
          <cell r="AG1955" t="str">
            <v>plaquette</v>
          </cell>
          <cell r="AH1955" t="str">
            <v xml:space="preserve"> en stock </v>
          </cell>
          <cell r="AI1955">
            <v>1</v>
          </cell>
          <cell r="AJ1955">
            <v>0</v>
          </cell>
          <cell r="AK1955">
            <v>0</v>
          </cell>
          <cell r="AL1955"/>
          <cell r="AM1955"/>
          <cell r="AN1955" t="str">
            <v/>
          </cell>
          <cell r="AO1955"/>
          <cell r="AP1955"/>
          <cell r="AQ1955"/>
          <cell r="AR1955"/>
          <cell r="AS1955">
            <v>67</v>
          </cell>
          <cell r="AT1955"/>
          <cell r="AU1955" t="str">
            <v>FR</v>
          </cell>
          <cell r="AV1955"/>
        </row>
        <row r="1956">
          <cell r="Z1956">
            <v>5111614</v>
          </cell>
          <cell r="AA1956" t="str">
            <v>WO Shoe
4-1/2" FJWP Box</v>
          </cell>
          <cell r="AB1956">
            <v>9.2338605645000023</v>
          </cell>
          <cell r="AC1956">
            <v>4.75</v>
          </cell>
          <cell r="AD1956">
            <v>550</v>
          </cell>
          <cell r="AE1956" t="str">
            <v>4-1/2" FJWP Box</v>
          </cell>
          <cell r="AF1956"/>
          <cell r="AG1956" t="str">
            <v>plaquette</v>
          </cell>
          <cell r="AH1956" t="str">
            <v xml:space="preserve"> en stock </v>
          </cell>
          <cell r="AI1956">
            <v>1</v>
          </cell>
          <cell r="AJ1956">
            <v>0</v>
          </cell>
          <cell r="AK1956">
            <v>0</v>
          </cell>
          <cell r="AL1956"/>
          <cell r="AM1956"/>
          <cell r="AN1956" t="str">
            <v/>
          </cell>
          <cell r="AO1956"/>
          <cell r="AP1956"/>
          <cell r="AQ1956"/>
          <cell r="AR1956"/>
          <cell r="AS1956">
            <v>68</v>
          </cell>
          <cell r="AT1956"/>
          <cell r="AU1956" t="str">
            <v>FR</v>
          </cell>
          <cell r="AV1956"/>
        </row>
        <row r="1957">
          <cell r="Z1957">
            <v>5111615</v>
          </cell>
          <cell r="AA1957" t="str">
            <v>WO Shoe
4-1/2" FJWP Box</v>
          </cell>
          <cell r="AB1957">
            <v>11.752186173</v>
          </cell>
          <cell r="AC1957" t="str">
            <v xml:space="preserve">flush </v>
          </cell>
          <cell r="AD1957">
            <v>700</v>
          </cell>
          <cell r="AE1957" t="str">
            <v>4-1/2" FJWP Box</v>
          </cell>
          <cell r="AF1957"/>
          <cell r="AG1957" t="str">
            <v>plaquette</v>
          </cell>
          <cell r="AH1957" t="str">
            <v xml:space="preserve"> en stock </v>
          </cell>
          <cell r="AI1957">
            <v>1</v>
          </cell>
          <cell r="AJ1957">
            <v>0</v>
          </cell>
          <cell r="AK1957">
            <v>0</v>
          </cell>
          <cell r="AL1957"/>
          <cell r="AM1957"/>
          <cell r="AN1957" t="str">
            <v/>
          </cell>
          <cell r="AO1957"/>
          <cell r="AP1957"/>
          <cell r="AQ1957"/>
          <cell r="AR1957"/>
          <cell r="AS1957">
            <v>69</v>
          </cell>
          <cell r="AT1957"/>
          <cell r="AU1957" t="str">
            <v>FR</v>
          </cell>
          <cell r="AV1957"/>
        </row>
        <row r="1958">
          <cell r="Z1958">
            <v>5111616</v>
          </cell>
          <cell r="AA1958" t="str">
            <v>WO Shoe
4-1/2" FJWP Box</v>
          </cell>
          <cell r="AB1958">
            <v>11.752186173</v>
          </cell>
          <cell r="AC1958" t="str">
            <v xml:space="preserve">flush </v>
          </cell>
          <cell r="AD1958">
            <v>700</v>
          </cell>
          <cell r="AE1958" t="str">
            <v>4-1/2" FJWP Box</v>
          </cell>
          <cell r="AF1958"/>
          <cell r="AG1958" t="str">
            <v>plaquette</v>
          </cell>
          <cell r="AH1958" t="str">
            <v xml:space="preserve"> en stock </v>
          </cell>
          <cell r="AI1958">
            <v>1</v>
          </cell>
          <cell r="AJ1958">
            <v>0</v>
          </cell>
          <cell r="AK1958">
            <v>0</v>
          </cell>
          <cell r="AL1958"/>
          <cell r="AM1958"/>
          <cell r="AN1958" t="str">
            <v/>
          </cell>
          <cell r="AO1958"/>
          <cell r="AP1958"/>
          <cell r="AQ1958"/>
          <cell r="AR1958"/>
          <cell r="AS1958">
            <v>70</v>
          </cell>
          <cell r="AT1958"/>
          <cell r="AU1958" t="str">
            <v>FR</v>
          </cell>
          <cell r="AV1958"/>
        </row>
        <row r="1959">
          <cell r="Z1959">
            <v>5111617</v>
          </cell>
          <cell r="AA1959" t="str">
            <v>WO Shoe
4-1/2" FJWP Box</v>
          </cell>
          <cell r="AB1959">
            <v>11.752186173</v>
          </cell>
          <cell r="AC1959" t="str">
            <v xml:space="preserve">flush </v>
          </cell>
          <cell r="AD1959">
            <v>700</v>
          </cell>
          <cell r="AE1959" t="str">
            <v>4-1/2" FJWP Box</v>
          </cell>
          <cell r="AF1959"/>
          <cell r="AG1959" t="str">
            <v>plaquette</v>
          </cell>
          <cell r="AH1959" t="str">
            <v xml:space="preserve"> en stock </v>
          </cell>
          <cell r="AI1959">
            <v>1</v>
          </cell>
          <cell r="AJ1959">
            <v>0</v>
          </cell>
          <cell r="AK1959">
            <v>0</v>
          </cell>
          <cell r="AL1959"/>
          <cell r="AM1959"/>
          <cell r="AN1959" t="str">
            <v/>
          </cell>
          <cell r="AO1959"/>
          <cell r="AP1959"/>
          <cell r="AQ1959"/>
          <cell r="AR1959"/>
          <cell r="AS1959">
            <v>71</v>
          </cell>
          <cell r="AT1959"/>
          <cell r="AU1959" t="str">
            <v>FR</v>
          </cell>
          <cell r="AV1959"/>
        </row>
        <row r="1960">
          <cell r="Z1960">
            <v>5111618</v>
          </cell>
          <cell r="AA1960" t="str">
            <v>WO Shoe
4-1/2" FJWP Box</v>
          </cell>
          <cell r="AB1960">
            <v>11.752186173</v>
          </cell>
          <cell r="AC1960" t="str">
            <v xml:space="preserve">flush </v>
          </cell>
          <cell r="AD1960">
            <v>700</v>
          </cell>
          <cell r="AE1960" t="str">
            <v>4-1/2" FJWP Box</v>
          </cell>
          <cell r="AF1960"/>
          <cell r="AG1960" t="str">
            <v>plaquette</v>
          </cell>
          <cell r="AH1960" t="str">
            <v xml:space="preserve"> en stock </v>
          </cell>
          <cell r="AI1960">
            <v>1</v>
          </cell>
          <cell r="AJ1960">
            <v>0</v>
          </cell>
          <cell r="AK1960">
            <v>0</v>
          </cell>
          <cell r="AL1960"/>
          <cell r="AM1960"/>
          <cell r="AN1960" t="str">
            <v/>
          </cell>
          <cell r="AO1960"/>
          <cell r="AP1960"/>
          <cell r="AQ1960"/>
          <cell r="AR1960"/>
          <cell r="AS1960">
            <v>72</v>
          </cell>
          <cell r="AT1960"/>
          <cell r="AU1960" t="str">
            <v>FR</v>
          </cell>
          <cell r="AV1960"/>
        </row>
        <row r="1961">
          <cell r="Z1961">
            <v>5111619</v>
          </cell>
          <cell r="AA1961" t="str">
            <v>WO Shoe
4-1/2" FJWP Box</v>
          </cell>
          <cell r="AB1961">
            <v>11.752186173</v>
          </cell>
          <cell r="AC1961">
            <v>0</v>
          </cell>
          <cell r="AD1961">
            <v>700</v>
          </cell>
          <cell r="AE1961" t="str">
            <v>4-1/2" FJWP Box</v>
          </cell>
          <cell r="AF1961"/>
          <cell r="AG1961" t="str">
            <v>plaquette</v>
          </cell>
          <cell r="AH1961" t="str">
            <v xml:space="preserve"> en stock </v>
          </cell>
          <cell r="AI1961">
            <v>1</v>
          </cell>
          <cell r="AJ1961">
            <v>0</v>
          </cell>
          <cell r="AK1961">
            <v>0</v>
          </cell>
          <cell r="AL1961"/>
          <cell r="AM1961"/>
          <cell r="AN1961" t="str">
            <v/>
          </cell>
          <cell r="AO1961"/>
          <cell r="AP1961"/>
          <cell r="AQ1961"/>
          <cell r="AR1961"/>
          <cell r="AS1961">
            <v>73</v>
          </cell>
          <cell r="AT1961"/>
          <cell r="AU1961" t="str">
            <v>FR</v>
          </cell>
          <cell r="AV1961"/>
        </row>
        <row r="1962">
          <cell r="Z1962">
            <v>5111620</v>
          </cell>
          <cell r="AA1962" t="str">
            <v>WO Shoe
4-1/2" FJWP Box</v>
          </cell>
          <cell r="AB1962">
            <v>11.752186173</v>
          </cell>
          <cell r="AC1962" t="str">
            <v xml:space="preserve">flush </v>
          </cell>
          <cell r="AD1962">
            <v>700</v>
          </cell>
          <cell r="AE1962" t="str">
            <v>4-1/2" FJWP Box</v>
          </cell>
          <cell r="AF1962"/>
          <cell r="AG1962" t="str">
            <v>plaquette</v>
          </cell>
          <cell r="AH1962" t="str">
            <v xml:space="preserve"> en stock </v>
          </cell>
          <cell r="AI1962">
            <v>1</v>
          </cell>
          <cell r="AJ1962">
            <v>0</v>
          </cell>
          <cell r="AK1962">
            <v>0</v>
          </cell>
          <cell r="AL1962"/>
          <cell r="AM1962"/>
          <cell r="AN1962" t="str">
            <v/>
          </cell>
          <cell r="AO1962"/>
          <cell r="AP1962"/>
          <cell r="AQ1962"/>
          <cell r="AR1962"/>
          <cell r="AS1962">
            <v>74</v>
          </cell>
          <cell r="AT1962"/>
          <cell r="AU1962" t="str">
            <v>FR</v>
          </cell>
          <cell r="AV1962"/>
        </row>
        <row r="1963">
          <cell r="Z1963">
            <v>5141621</v>
          </cell>
          <cell r="AA1963" t="str">
            <v>Elevator for 8-1/8" OD 90° 
WW Side Door 100T</v>
          </cell>
          <cell r="AB1963">
            <v>0</v>
          </cell>
          <cell r="AC1963" t="str">
            <v>for 8-1/8" OD</v>
          </cell>
          <cell r="AD1963" t="str">
            <v>90°</v>
          </cell>
          <cell r="AE1963" t="str">
            <v>Side Door</v>
          </cell>
          <cell r="AF1963" t="str">
            <v>100T</v>
          </cell>
          <cell r="AG1963"/>
          <cell r="AH1963" t="str">
            <v xml:space="preserve"> en stock </v>
          </cell>
          <cell r="AI1963">
            <v>1</v>
          </cell>
          <cell r="AJ1963">
            <v>0</v>
          </cell>
          <cell r="AK1963">
            <v>0</v>
          </cell>
          <cell r="AL1963"/>
          <cell r="AM1963"/>
          <cell r="AN1963" t="str">
            <v/>
          </cell>
          <cell r="AO1963"/>
          <cell r="AP1963"/>
          <cell r="AQ1963"/>
          <cell r="AR1963"/>
          <cell r="AS1963">
            <v>10</v>
          </cell>
          <cell r="AT1963"/>
          <cell r="AU1963" t="str">
            <v/>
          </cell>
          <cell r="AV1963"/>
        </row>
        <row r="1964">
          <cell r="Z1964">
            <v>8041622</v>
          </cell>
          <cell r="AA1964" t="str">
            <v>Lift Sub 2-3/8" IF Pin
2-3/8" OD body for Elevator DP 18°</v>
          </cell>
          <cell r="AB1964">
            <v>0</v>
          </cell>
          <cell r="AC1964" t="str">
            <v>2-3/8"</v>
          </cell>
          <cell r="AD1964">
            <v>0</v>
          </cell>
          <cell r="AE1964" t="str">
            <v>18°</v>
          </cell>
          <cell r="AF1964" t="str">
            <v>2-3/8" IF Pin</v>
          </cell>
          <cell r="AG1964"/>
          <cell r="AH1964" t="str">
            <v xml:space="preserve"> en stock </v>
          </cell>
          <cell r="AI1964">
            <v>1</v>
          </cell>
          <cell r="AJ1964">
            <v>0</v>
          </cell>
          <cell r="AK1964">
            <v>0</v>
          </cell>
          <cell r="AL1964"/>
          <cell r="AM1964"/>
          <cell r="AN1964">
            <v>8041622</v>
          </cell>
          <cell r="AO1964"/>
          <cell r="AP1964"/>
          <cell r="AQ1964"/>
          <cell r="AR1964"/>
          <cell r="AS1964">
            <v>18</v>
          </cell>
          <cell r="AT1964"/>
          <cell r="AU1964" t="str">
            <v>FR</v>
          </cell>
          <cell r="AV1964"/>
        </row>
        <row r="1965">
          <cell r="Z1965">
            <v>8041623</v>
          </cell>
          <cell r="AA1965" t="str">
            <v>Lift Sub 2-3/8" IF Pin
2-3/8" OD body for Elevator DP 18°</v>
          </cell>
          <cell r="AB1965">
            <v>0</v>
          </cell>
          <cell r="AC1965" t="str">
            <v>2-3/8"</v>
          </cell>
          <cell r="AD1965">
            <v>0</v>
          </cell>
          <cell r="AE1965" t="str">
            <v>18°</v>
          </cell>
          <cell r="AF1965" t="str">
            <v>2-3/8" IF Pin</v>
          </cell>
          <cell r="AG1965"/>
          <cell r="AH1965" t="str">
            <v xml:space="preserve"> en stock </v>
          </cell>
          <cell r="AI1965">
            <v>1</v>
          </cell>
          <cell r="AJ1965">
            <v>0</v>
          </cell>
          <cell r="AK1965">
            <v>0</v>
          </cell>
          <cell r="AL1965"/>
          <cell r="AM1965"/>
          <cell r="AN1965">
            <v>8041623</v>
          </cell>
          <cell r="AO1965"/>
          <cell r="AP1965"/>
          <cell r="AQ1965"/>
          <cell r="AR1965"/>
          <cell r="AS1965">
            <v>19</v>
          </cell>
          <cell r="AT1965"/>
          <cell r="AU1965" t="str">
            <v>FR</v>
          </cell>
          <cell r="AV1965"/>
        </row>
        <row r="1966">
          <cell r="Z1966">
            <v>8041624</v>
          </cell>
          <cell r="AA1966" t="str">
            <v>Lift Sub 2-3/8" IF Pin
2-3/8" OD body for Elevator DP 18°</v>
          </cell>
          <cell r="AB1966">
            <v>0</v>
          </cell>
          <cell r="AC1966" t="str">
            <v>2-3/8"</v>
          </cell>
          <cell r="AD1966">
            <v>0</v>
          </cell>
          <cell r="AE1966" t="str">
            <v>18°</v>
          </cell>
          <cell r="AF1966" t="str">
            <v>2-3/8" IF Pin</v>
          </cell>
          <cell r="AG1966"/>
          <cell r="AH1966" t="str">
            <v>maintenance</v>
          </cell>
          <cell r="AI1966" t="str">
            <v/>
          </cell>
          <cell r="AJ1966">
            <v>0</v>
          </cell>
          <cell r="AK1966">
            <v>1</v>
          </cell>
          <cell r="AL1966"/>
          <cell r="AM1966"/>
          <cell r="AN1966">
            <v>8041624</v>
          </cell>
          <cell r="AO1966"/>
          <cell r="AP1966"/>
          <cell r="AQ1966"/>
          <cell r="AR1966"/>
          <cell r="AS1966">
            <v>20</v>
          </cell>
          <cell r="AT1966"/>
          <cell r="AU1966" t="str">
            <v>FR</v>
          </cell>
          <cell r="AV1966"/>
        </row>
        <row r="1967">
          <cell r="Z1967">
            <v>8041625</v>
          </cell>
          <cell r="AA1967" t="str">
            <v>Lift Sub 2-3/8" IF Pin
2-3/8" OD body for Elevator DP 18°</v>
          </cell>
          <cell r="AB1967">
            <v>0</v>
          </cell>
          <cell r="AC1967" t="str">
            <v>2-3/8"</v>
          </cell>
          <cell r="AD1967">
            <v>0</v>
          </cell>
          <cell r="AE1967" t="str">
            <v>18°</v>
          </cell>
          <cell r="AF1967" t="str">
            <v>2-3/8" IF Pin</v>
          </cell>
          <cell r="AG1967"/>
          <cell r="AH1967" t="str">
            <v xml:space="preserve"> en stock </v>
          </cell>
          <cell r="AI1967">
            <v>1</v>
          </cell>
          <cell r="AJ1967">
            <v>0</v>
          </cell>
          <cell r="AK1967">
            <v>0</v>
          </cell>
          <cell r="AL1967"/>
          <cell r="AM1967"/>
          <cell r="AN1967">
            <v>8041625</v>
          </cell>
          <cell r="AO1967"/>
          <cell r="AP1967"/>
          <cell r="AQ1967"/>
          <cell r="AR1967"/>
          <cell r="AS1967">
            <v>21</v>
          </cell>
          <cell r="AT1967"/>
          <cell r="AU1967" t="str">
            <v>FR</v>
          </cell>
          <cell r="AV1967"/>
        </row>
        <row r="1968">
          <cell r="Z1968">
            <v>7041626</v>
          </cell>
          <cell r="AA1968" t="str">
            <v>4-1/8" FS Overshot - CA C-9105
2-3/8" REG Box</v>
          </cell>
          <cell r="AB1968">
            <v>0</v>
          </cell>
          <cell r="AC1968" t="str">
            <v>4-1/8" FS</v>
          </cell>
          <cell r="AD1968">
            <v>0</v>
          </cell>
          <cell r="AE1968" t="str">
            <v>2-3/8" REG Box</v>
          </cell>
          <cell r="AF1968">
            <v>0</v>
          </cell>
          <cell r="AG1968">
            <v>9105</v>
          </cell>
          <cell r="AH1968" t="str">
            <v xml:space="preserve"> en stock </v>
          </cell>
          <cell r="AI1968">
            <v>1</v>
          </cell>
          <cell r="AJ1968">
            <v>0</v>
          </cell>
          <cell r="AK1968">
            <v>0</v>
          </cell>
          <cell r="AL1968"/>
          <cell r="AM1968"/>
          <cell r="AN1968">
            <v>7041626</v>
          </cell>
          <cell r="AO1968"/>
          <cell r="AP1968"/>
          <cell r="AQ1968"/>
          <cell r="AR1968"/>
          <cell r="AS1968">
            <v>19</v>
          </cell>
          <cell r="AT1968" t="str">
            <v>704-9105</v>
          </cell>
          <cell r="AU1968" t="str">
            <v/>
          </cell>
          <cell r="AV1968"/>
        </row>
        <row r="1969">
          <cell r="Z1969">
            <v>7051627</v>
          </cell>
          <cell r="AA1969" t="str">
            <v>Extension 4-1/8" FS Lg 914mm CA 9105
4-1/8" FS Sellers Pin x Box</v>
          </cell>
          <cell r="AB1969">
            <v>24.752270581045305</v>
          </cell>
          <cell r="AC1969" t="str">
            <v>4-1/8" FS</v>
          </cell>
          <cell r="AD1969">
            <v>914</v>
          </cell>
          <cell r="AE1969" t="str">
            <v>4-1/8" FS Sellers Box</v>
          </cell>
          <cell r="AF1969" t="str">
            <v>4-1/8" FS Sellers Pin</v>
          </cell>
          <cell r="AG1969">
            <v>9105</v>
          </cell>
          <cell r="AH1969" t="str">
            <v xml:space="preserve"> en stock </v>
          </cell>
          <cell r="AI1969">
            <v>1</v>
          </cell>
          <cell r="AJ1969">
            <v>0</v>
          </cell>
          <cell r="AK1969">
            <v>0</v>
          </cell>
          <cell r="AL1969"/>
          <cell r="AM1969"/>
          <cell r="AN1969">
            <v>7051627</v>
          </cell>
          <cell r="AO1969"/>
          <cell r="AP1969"/>
          <cell r="AQ1969"/>
          <cell r="AR1969"/>
          <cell r="AS1969">
            <v>12</v>
          </cell>
          <cell r="AT1969" t="str">
            <v>705-9105</v>
          </cell>
          <cell r="AU1969" t="str">
            <v/>
          </cell>
          <cell r="AV1969"/>
        </row>
        <row r="1970">
          <cell r="Z1970">
            <v>7041628</v>
          </cell>
          <cell r="AA1970" t="str">
            <v>3-7/8" XSH Overshot - CA C-21300
2-3/8" REG Box</v>
          </cell>
          <cell r="AB1970">
            <v>18</v>
          </cell>
          <cell r="AC1970" t="str">
            <v>3-7/8" XSH</v>
          </cell>
          <cell r="AD1970">
            <v>822</v>
          </cell>
          <cell r="AE1970" t="str">
            <v>2-3/8" REG Box</v>
          </cell>
          <cell r="AF1970">
            <v>0</v>
          </cell>
          <cell r="AG1970">
            <v>21300</v>
          </cell>
          <cell r="AH1970" t="str">
            <v xml:space="preserve"> en stock </v>
          </cell>
          <cell r="AI1970">
            <v>1</v>
          </cell>
          <cell r="AJ1970">
            <v>0</v>
          </cell>
          <cell r="AK1970">
            <v>0</v>
          </cell>
          <cell r="AL1970"/>
          <cell r="AM1970"/>
          <cell r="AN1970">
            <v>7041628</v>
          </cell>
          <cell r="AO1970"/>
          <cell r="AP1970"/>
          <cell r="AQ1970"/>
          <cell r="AR1970"/>
          <cell r="AS1970">
            <v>14</v>
          </cell>
          <cell r="AT1970" t="str">
            <v>704-21300</v>
          </cell>
          <cell r="AU1970" t="str">
            <v/>
          </cell>
          <cell r="AV1970"/>
        </row>
        <row r="1971">
          <cell r="Z1971">
            <v>7051629</v>
          </cell>
          <cell r="AA1971" t="str">
            <v>Extension 3-7/8" XSH Lg 914mm CA 21300
3-7/8" XSH Sellers Pin x Box</v>
          </cell>
          <cell r="AB1971">
            <v>11.551059604487813</v>
          </cell>
          <cell r="AC1971" t="str">
            <v>3-7/8" XSH</v>
          </cell>
          <cell r="AD1971">
            <v>914</v>
          </cell>
          <cell r="AE1971" t="str">
            <v>3-7/8" XSH Sellers Box</v>
          </cell>
          <cell r="AF1971" t="str">
            <v>3-7/8" XSH Sellers Pin</v>
          </cell>
          <cell r="AG1971">
            <v>21300</v>
          </cell>
          <cell r="AH1971" t="str">
            <v xml:space="preserve"> en stock </v>
          </cell>
          <cell r="AI1971">
            <v>1</v>
          </cell>
          <cell r="AJ1971">
            <v>0</v>
          </cell>
          <cell r="AK1971">
            <v>0</v>
          </cell>
          <cell r="AL1971"/>
          <cell r="AM1971"/>
          <cell r="AN1971">
            <v>7051629</v>
          </cell>
          <cell r="AO1971"/>
          <cell r="AP1971"/>
          <cell r="AQ1971"/>
          <cell r="AR1971"/>
          <cell r="AS1971">
            <v>7</v>
          </cell>
          <cell r="AT1971" t="str">
            <v>705-21300</v>
          </cell>
          <cell r="AU1971" t="str">
            <v/>
          </cell>
          <cell r="AV1971"/>
        </row>
        <row r="1972">
          <cell r="Z1972">
            <v>7051630</v>
          </cell>
          <cell r="AA1972" t="str">
            <v>Extension 3-7/8" XSH Lg 600mm CA 21300
3-7/8" XSH Sellers Pin x Box</v>
          </cell>
          <cell r="AB1972">
            <v>7.5827524755937494</v>
          </cell>
          <cell r="AC1972" t="str">
            <v>3-7/8" XSH</v>
          </cell>
          <cell r="AD1972">
            <v>600</v>
          </cell>
          <cell r="AE1972" t="str">
            <v>3-7/8" XSH Sellers Box</v>
          </cell>
          <cell r="AF1972" t="str">
            <v>3-7/8" XSH Sellers Pin</v>
          </cell>
          <cell r="AG1972">
            <v>21300</v>
          </cell>
          <cell r="AH1972" t="str">
            <v xml:space="preserve"> en stock </v>
          </cell>
          <cell r="AI1972">
            <v>1</v>
          </cell>
          <cell r="AJ1972">
            <v>0</v>
          </cell>
          <cell r="AK1972">
            <v>0</v>
          </cell>
          <cell r="AL1972"/>
          <cell r="AM1972"/>
          <cell r="AN1972">
            <v>7051630</v>
          </cell>
          <cell r="AO1972"/>
          <cell r="AP1972"/>
          <cell r="AQ1972"/>
          <cell r="AR1972"/>
          <cell r="AS1972">
            <v>8</v>
          </cell>
          <cell r="AT1972" t="str">
            <v>705-21300</v>
          </cell>
          <cell r="AU1972" t="str">
            <v/>
          </cell>
          <cell r="AV1972"/>
        </row>
        <row r="1973">
          <cell r="Z1973">
            <v>7051631</v>
          </cell>
          <cell r="AA1973" t="str">
            <v>Extension 4-1/8" FS Lg 914mm CA 9105
4-1/8" FS Sellers Pin x Box</v>
          </cell>
          <cell r="AB1973">
            <v>24.752270581045305</v>
          </cell>
          <cell r="AC1973" t="str">
            <v>4-1/8" FS</v>
          </cell>
          <cell r="AD1973">
            <v>914</v>
          </cell>
          <cell r="AE1973" t="str">
            <v>4-1/8" FS Sellers Box</v>
          </cell>
          <cell r="AF1973" t="str">
            <v>4-1/8" FS Sellers Pin</v>
          </cell>
          <cell r="AG1973">
            <v>9105</v>
          </cell>
          <cell r="AH1973" t="str">
            <v xml:space="preserve"> en stock </v>
          </cell>
          <cell r="AI1973">
            <v>1</v>
          </cell>
          <cell r="AJ1973">
            <v>0</v>
          </cell>
          <cell r="AK1973">
            <v>0</v>
          </cell>
          <cell r="AL1973"/>
          <cell r="AM1973"/>
          <cell r="AN1973">
            <v>7051631</v>
          </cell>
          <cell r="AO1973"/>
          <cell r="AP1973"/>
          <cell r="AQ1973"/>
          <cell r="AR1973"/>
          <cell r="AS1973">
            <v>13</v>
          </cell>
          <cell r="AT1973" t="str">
            <v>705-9105</v>
          </cell>
          <cell r="AU1973" t="str">
            <v/>
          </cell>
          <cell r="AV1973"/>
        </row>
        <row r="1974">
          <cell r="Z1974">
            <v>16</v>
          </cell>
          <cell r="AA1974" t="str">
            <v>Loading Basket 4160mm x 1170mm L</v>
          </cell>
          <cell r="AB1974">
            <v>460</v>
          </cell>
          <cell r="AC1974">
            <v>1170</v>
          </cell>
          <cell r="AD1974">
            <v>4160</v>
          </cell>
          <cell r="AE1974"/>
          <cell r="AF1974"/>
          <cell r="AG1974" t="str">
            <v>L</v>
          </cell>
          <cell r="AH1974" t="str">
            <v xml:space="preserve"> en stock </v>
          </cell>
          <cell r="AI1974">
            <v>1</v>
          </cell>
          <cell r="AJ1974">
            <v>0</v>
          </cell>
          <cell r="AK1974">
            <v>0</v>
          </cell>
          <cell r="AL1974"/>
          <cell r="AM1974"/>
          <cell r="AN1974" t="str">
            <v/>
          </cell>
          <cell r="AO1974"/>
          <cell r="AP1974"/>
          <cell r="AQ1974"/>
          <cell r="AR1974"/>
          <cell r="AS1974">
            <v>7</v>
          </cell>
          <cell r="AT1974"/>
          <cell r="AU1974" t="str">
            <v>FR</v>
          </cell>
          <cell r="AV1974">
            <v>86090090</v>
          </cell>
        </row>
        <row r="1975">
          <cell r="Z1975">
            <v>17</v>
          </cell>
          <cell r="AA1975" t="str">
            <v>Loading Basket 4160mm x 1170mm L</v>
          </cell>
          <cell r="AB1975">
            <v>460</v>
          </cell>
          <cell r="AC1975">
            <v>1170</v>
          </cell>
          <cell r="AD1975">
            <v>4160</v>
          </cell>
          <cell r="AE1975"/>
          <cell r="AF1975"/>
          <cell r="AG1975" t="str">
            <v>L</v>
          </cell>
          <cell r="AH1975" t="str">
            <v xml:space="preserve"> en stock </v>
          </cell>
          <cell r="AI1975">
            <v>1</v>
          </cell>
          <cell r="AJ1975">
            <v>0</v>
          </cell>
          <cell r="AK1975">
            <v>0</v>
          </cell>
          <cell r="AL1975"/>
          <cell r="AM1975"/>
          <cell r="AN1975" t="str">
            <v/>
          </cell>
          <cell r="AO1975"/>
          <cell r="AP1975"/>
          <cell r="AQ1975"/>
          <cell r="AR1975"/>
          <cell r="AS1975">
            <v>8</v>
          </cell>
          <cell r="AT1975"/>
          <cell r="AU1975" t="str">
            <v>FR</v>
          </cell>
          <cell r="AV1975">
            <v>86090090</v>
          </cell>
        </row>
        <row r="1976">
          <cell r="Z1976">
            <v>18</v>
          </cell>
          <cell r="AA1976" t="str">
            <v>Loading Basket 4160mm x 1170mm L</v>
          </cell>
          <cell r="AB1976">
            <v>460</v>
          </cell>
          <cell r="AC1976">
            <v>1170</v>
          </cell>
          <cell r="AD1976">
            <v>4160</v>
          </cell>
          <cell r="AE1976"/>
          <cell r="AF1976"/>
          <cell r="AG1976" t="str">
            <v>L</v>
          </cell>
          <cell r="AH1976" t="str">
            <v>sur chantier</v>
          </cell>
          <cell r="AI1976" t="str">
            <v/>
          </cell>
          <cell r="AJ1976">
            <v>1</v>
          </cell>
          <cell r="AK1976">
            <v>0</v>
          </cell>
          <cell r="AL1976"/>
          <cell r="AM1976"/>
          <cell r="AN1976" t="str">
            <v/>
          </cell>
          <cell r="AO1976"/>
          <cell r="AP1976"/>
          <cell r="AQ1976"/>
          <cell r="AR1976"/>
          <cell r="AS1976">
            <v>9</v>
          </cell>
          <cell r="AT1976"/>
          <cell r="AU1976" t="str">
            <v>FR</v>
          </cell>
          <cell r="AV1976">
            <v>86090090</v>
          </cell>
        </row>
        <row r="1977">
          <cell r="Z1977">
            <v>19</v>
          </cell>
          <cell r="AA1977" t="str">
            <v>Loading Basket 4160mm x 1170mm L</v>
          </cell>
          <cell r="AB1977">
            <v>460</v>
          </cell>
          <cell r="AC1977">
            <v>1170</v>
          </cell>
          <cell r="AD1977">
            <v>4160</v>
          </cell>
          <cell r="AE1977"/>
          <cell r="AF1977"/>
          <cell r="AG1977" t="str">
            <v>L</v>
          </cell>
          <cell r="AH1977" t="str">
            <v>sur chantier</v>
          </cell>
          <cell r="AI1977" t="str">
            <v/>
          </cell>
          <cell r="AJ1977">
            <v>1</v>
          </cell>
          <cell r="AK1977">
            <v>0</v>
          </cell>
          <cell r="AL1977"/>
          <cell r="AM1977"/>
          <cell r="AN1977" t="str">
            <v/>
          </cell>
          <cell r="AO1977"/>
          <cell r="AP1977"/>
          <cell r="AQ1977"/>
          <cell r="AR1977"/>
          <cell r="AS1977">
            <v>10</v>
          </cell>
          <cell r="AT1977"/>
          <cell r="AU1977" t="str">
            <v>FR</v>
          </cell>
          <cell r="AV1977">
            <v>86090090</v>
          </cell>
        </row>
        <row r="1978">
          <cell r="Z1978">
            <v>5141632</v>
          </cell>
          <cell r="AA1978" t="str">
            <v>DP Elevator for 2-7/8" DP 18°
BJ 100T</v>
          </cell>
          <cell r="AB1978">
            <v>0</v>
          </cell>
          <cell r="AC1978" t="str">
            <v>2-7/8" DP</v>
          </cell>
          <cell r="AD1978" t="str">
            <v>18°</v>
          </cell>
          <cell r="AE1978">
            <v>0</v>
          </cell>
          <cell r="AF1978" t="str">
            <v>100T</v>
          </cell>
          <cell r="AG1978"/>
          <cell r="AH1978" t="str">
            <v>maintenance</v>
          </cell>
          <cell r="AI1978" t="str">
            <v/>
          </cell>
          <cell r="AJ1978">
            <v>0</v>
          </cell>
          <cell r="AK1978">
            <v>1</v>
          </cell>
          <cell r="AL1978"/>
          <cell r="AM1978"/>
          <cell r="AN1978" t="str">
            <v/>
          </cell>
          <cell r="AO1978"/>
          <cell r="AP1978"/>
          <cell r="AQ1978"/>
          <cell r="AR1978"/>
          <cell r="AS1978">
            <v>9</v>
          </cell>
          <cell r="AT1978"/>
          <cell r="AU1978" t="str">
            <v/>
          </cell>
          <cell r="AV1978"/>
        </row>
        <row r="1979">
          <cell r="Z1979">
            <v>8041633</v>
          </cell>
          <cell r="AA1979" t="str">
            <v>Lift Sub 2-3/8" REG Pin
0 OD body for Elevator DP 18°</v>
          </cell>
          <cell r="AB1979">
            <v>0</v>
          </cell>
          <cell r="AC1979">
            <v>0</v>
          </cell>
          <cell r="AD1979">
            <v>375</v>
          </cell>
          <cell r="AE1979" t="str">
            <v>18°</v>
          </cell>
          <cell r="AF1979" t="str">
            <v>2-3/8" REG Pin</v>
          </cell>
          <cell r="AG1979"/>
          <cell r="AH1979" t="str">
            <v xml:space="preserve"> en stock </v>
          </cell>
          <cell r="AI1979">
            <v>1</v>
          </cell>
          <cell r="AJ1979">
            <v>0</v>
          </cell>
          <cell r="AK1979">
            <v>0</v>
          </cell>
          <cell r="AL1979"/>
          <cell r="AM1979"/>
          <cell r="AN1979" t="str">
            <v/>
          </cell>
          <cell r="AO1979"/>
          <cell r="AP1979"/>
          <cell r="AQ1979"/>
          <cell r="AR1979"/>
          <cell r="AS1979">
            <v>28</v>
          </cell>
          <cell r="AT1979"/>
          <cell r="AU1979" t="str">
            <v/>
          </cell>
          <cell r="AV1979"/>
        </row>
        <row r="1980">
          <cell r="Z1980">
            <v>8041634</v>
          </cell>
          <cell r="AA1980" t="str">
            <v>Lift Sub 2-3/8" REG Pin
0 OD body for Elevator DP 18°</v>
          </cell>
          <cell r="AB1980">
            <v>0</v>
          </cell>
          <cell r="AC1980">
            <v>0</v>
          </cell>
          <cell r="AD1980">
            <v>370</v>
          </cell>
          <cell r="AE1980" t="str">
            <v>18°</v>
          </cell>
          <cell r="AF1980" t="str">
            <v>2-3/8" REG Pin</v>
          </cell>
          <cell r="AG1980"/>
          <cell r="AH1980" t="str">
            <v xml:space="preserve"> en stock </v>
          </cell>
          <cell r="AI1980">
            <v>1</v>
          </cell>
          <cell r="AJ1980">
            <v>0</v>
          </cell>
          <cell r="AK1980">
            <v>0</v>
          </cell>
          <cell r="AL1980"/>
          <cell r="AM1980"/>
          <cell r="AN1980" t="str">
            <v/>
          </cell>
          <cell r="AO1980"/>
          <cell r="AP1980"/>
          <cell r="AQ1980"/>
          <cell r="AR1980"/>
          <cell r="AS1980">
            <v>29</v>
          </cell>
          <cell r="AT1980"/>
          <cell r="AU1980" t="str">
            <v/>
          </cell>
          <cell r="AV1980"/>
        </row>
        <row r="1981">
          <cell r="Z1981">
            <v>8041635</v>
          </cell>
          <cell r="AA1981" t="str">
            <v>Lift Sub 2-3/8" REG Pin
0 OD body for Elevator DP 18°</v>
          </cell>
          <cell r="AB1981">
            <v>0</v>
          </cell>
          <cell r="AC1981">
            <v>0</v>
          </cell>
          <cell r="AD1981">
            <v>540</v>
          </cell>
          <cell r="AE1981" t="str">
            <v>18°</v>
          </cell>
          <cell r="AF1981" t="str">
            <v>2-3/8" REG Pin</v>
          </cell>
          <cell r="AG1981"/>
          <cell r="AH1981" t="str">
            <v xml:space="preserve"> en stock </v>
          </cell>
          <cell r="AI1981">
            <v>1</v>
          </cell>
          <cell r="AJ1981">
            <v>0</v>
          </cell>
          <cell r="AK1981">
            <v>0</v>
          </cell>
          <cell r="AL1981"/>
          <cell r="AM1981"/>
          <cell r="AN1981" t="str">
            <v/>
          </cell>
          <cell r="AO1981"/>
          <cell r="AP1981"/>
          <cell r="AQ1981"/>
          <cell r="AR1981"/>
          <cell r="AS1981">
            <v>30</v>
          </cell>
          <cell r="AT1981"/>
          <cell r="AU1981" t="str">
            <v/>
          </cell>
          <cell r="AV1981"/>
        </row>
        <row r="1982">
          <cell r="Z1982">
            <v>5141636</v>
          </cell>
          <cell r="AA1982" t="str">
            <v>DP Elevator for 2-7/8" Tbg with slips
Center Latch 50T</v>
          </cell>
          <cell r="AB1982">
            <v>133</v>
          </cell>
          <cell r="AC1982" t="str">
            <v>2-3/8"-3/1/2" Tbg</v>
          </cell>
          <cell r="AD1982" t="str">
            <v>à peignes</v>
          </cell>
          <cell r="AE1982" t="str">
            <v>Center Latch</v>
          </cell>
          <cell r="AF1982" t="str">
            <v>50T</v>
          </cell>
          <cell r="AG1982"/>
          <cell r="AH1982" t="str">
            <v xml:space="preserve"> en stock </v>
          </cell>
          <cell r="AI1982">
            <v>1</v>
          </cell>
          <cell r="AJ1982">
            <v>0</v>
          </cell>
          <cell r="AK1982">
            <v>0</v>
          </cell>
          <cell r="AL1982"/>
          <cell r="AM1982"/>
          <cell r="AN1982" t="str">
            <v/>
          </cell>
          <cell r="AO1982"/>
          <cell r="AP1982"/>
          <cell r="AQ1982"/>
          <cell r="AR1982"/>
          <cell r="AS1982">
            <v>7</v>
          </cell>
          <cell r="AT1982"/>
          <cell r="AU1982" t="str">
            <v/>
          </cell>
          <cell r="AV1982"/>
        </row>
        <row r="1983">
          <cell r="Z1983">
            <v>5141637</v>
          </cell>
          <cell r="AA1983" t="str">
            <v>DP Elevator for 2-7/8" Tbg with slips
Center Latch 50T</v>
          </cell>
          <cell r="AB1983">
            <v>132</v>
          </cell>
          <cell r="AC1983" t="str">
            <v>2-3/8"-3/1/2" Tbg</v>
          </cell>
          <cell r="AD1983" t="str">
            <v>à peignes</v>
          </cell>
          <cell r="AE1983" t="str">
            <v>Center Latch</v>
          </cell>
          <cell r="AF1983" t="str">
            <v>50T</v>
          </cell>
          <cell r="AG1983"/>
          <cell r="AH1983" t="str">
            <v xml:space="preserve"> en stock </v>
          </cell>
          <cell r="AI1983">
            <v>1</v>
          </cell>
          <cell r="AJ1983">
            <v>0</v>
          </cell>
          <cell r="AK1983">
            <v>0</v>
          </cell>
          <cell r="AL1983"/>
          <cell r="AM1983"/>
          <cell r="AN1983" t="str">
            <v/>
          </cell>
          <cell r="AO1983"/>
          <cell r="AP1983"/>
          <cell r="AQ1983"/>
          <cell r="AR1983"/>
          <cell r="AS1983">
            <v>5</v>
          </cell>
          <cell r="AT1983"/>
          <cell r="AU1983" t="str">
            <v/>
          </cell>
          <cell r="AV1983"/>
        </row>
        <row r="1984">
          <cell r="Z1984">
            <v>1638</v>
          </cell>
          <cell r="AA1984"/>
          <cell r="AB1984"/>
          <cell r="AC1984"/>
          <cell r="AD1984"/>
          <cell r="AE1984"/>
          <cell r="AF1984"/>
          <cell r="AG1984"/>
          <cell r="AH1984" t="str">
            <v>en stock</v>
          </cell>
          <cell r="AI1984"/>
          <cell r="AJ1984"/>
          <cell r="AK1984"/>
          <cell r="AL1984"/>
          <cell r="AM1984"/>
          <cell r="AN1984" t="str">
            <v/>
          </cell>
          <cell r="AO1984"/>
          <cell r="AP1984"/>
          <cell r="AQ1984"/>
          <cell r="AR1984"/>
          <cell r="AS1984"/>
          <cell r="AT1984"/>
          <cell r="AU1984" t="str">
            <v/>
          </cell>
          <cell r="AV1984"/>
        </row>
        <row r="1985">
          <cell r="Z1985">
            <v>1639</v>
          </cell>
          <cell r="AA1985"/>
          <cell r="AB1985"/>
          <cell r="AC1985"/>
          <cell r="AD1985"/>
          <cell r="AE1985"/>
          <cell r="AF1985"/>
          <cell r="AG1985"/>
          <cell r="AH1985" t="str">
            <v>en stock</v>
          </cell>
          <cell r="AI1985"/>
          <cell r="AJ1985"/>
          <cell r="AK1985"/>
          <cell r="AL1985"/>
          <cell r="AM1985"/>
          <cell r="AN1985" t="str">
            <v/>
          </cell>
          <cell r="AO1985"/>
          <cell r="AP1985"/>
          <cell r="AQ1985"/>
          <cell r="AR1985"/>
          <cell r="AS1985"/>
          <cell r="AT1985"/>
          <cell r="AU1985" t="str">
            <v/>
          </cell>
          <cell r="AV1985"/>
        </row>
        <row r="1986">
          <cell r="Z1986">
            <v>8080001</v>
          </cell>
          <cell r="AA1986" t="str">
            <v>Float Sub 6-1/4" Lg 435 mm
4-1/2" IF Pin x 4-1/2" IF Box BF (4R)</v>
          </cell>
          <cell r="AB1986">
            <v>52.920946123621889</v>
          </cell>
          <cell r="AC1986">
            <v>6.25</v>
          </cell>
          <cell r="AD1986">
            <v>435</v>
          </cell>
          <cell r="AE1986" t="str">
            <v>4-1/2" IF Box BF</v>
          </cell>
          <cell r="AF1986" t="str">
            <v>4-1/2" IF Pin</v>
          </cell>
          <cell r="AG1986" t="str">
            <v>4R</v>
          </cell>
          <cell r="AH1986" t="str">
            <v xml:space="preserve"> en stock </v>
          </cell>
          <cell r="AI1986">
            <v>1</v>
          </cell>
          <cell r="AJ1986">
            <v>0</v>
          </cell>
          <cell r="AK1986">
            <v>0</v>
          </cell>
          <cell r="AL1986"/>
          <cell r="AM1986"/>
          <cell r="AN1986" t="str">
            <v/>
          </cell>
          <cell r="AO1986"/>
          <cell r="AP1986"/>
          <cell r="AQ1986"/>
          <cell r="AR1986"/>
          <cell r="AS1986">
            <v>17</v>
          </cell>
          <cell r="AT1986"/>
          <cell r="AU1986" t="str">
            <v/>
          </cell>
          <cell r="AV1986"/>
        </row>
        <row r="1987">
          <cell r="Z1987">
            <v>8120714</v>
          </cell>
          <cell r="AA1987" t="str">
            <v>Top Sub
2-3/8" REG Pin x 2-7/8" IF Pin</v>
          </cell>
          <cell r="AB1987">
            <v>0</v>
          </cell>
          <cell r="AC1987">
            <v>4</v>
          </cell>
          <cell r="AD1987">
            <v>730</v>
          </cell>
          <cell r="AE1987" t="str">
            <v>2-3/8" REG Pin</v>
          </cell>
          <cell r="AF1987" t="str">
            <v>2-7/8" IF Pin</v>
          </cell>
          <cell r="AG1987"/>
          <cell r="AH1987" t="str">
            <v xml:space="preserve"> en stock </v>
          </cell>
          <cell r="AI1987">
            <v>1</v>
          </cell>
          <cell r="AJ1987">
            <v>0</v>
          </cell>
          <cell r="AK1987">
            <v>0</v>
          </cell>
          <cell r="AL1987"/>
          <cell r="AM1987"/>
          <cell r="AN1987" t="str">
            <v/>
          </cell>
          <cell r="AO1987"/>
          <cell r="AP1987"/>
          <cell r="AQ1987"/>
          <cell r="AR1987"/>
          <cell r="AS1987">
            <v>8</v>
          </cell>
          <cell r="AT1987"/>
          <cell r="AU1987" t="str">
            <v/>
          </cell>
          <cell r="AV1987"/>
        </row>
        <row r="1988">
          <cell r="Z1988" t="str">
            <v/>
          </cell>
          <cell r="AA1988"/>
          <cell r="AB1988"/>
          <cell r="AC1988"/>
          <cell r="AD1988"/>
          <cell r="AE1988"/>
          <cell r="AF1988"/>
          <cell r="AG1988"/>
          <cell r="AH1988" t="str">
            <v>en stock</v>
          </cell>
          <cell r="AI1988"/>
          <cell r="AJ1988"/>
          <cell r="AK1988"/>
          <cell r="AL1988"/>
          <cell r="AM1988"/>
          <cell r="AN1988">
            <v>2024</v>
          </cell>
          <cell r="AO1988"/>
          <cell r="AP1988"/>
          <cell r="AQ1988"/>
          <cell r="AR1988"/>
          <cell r="AS1988"/>
          <cell r="AT1988"/>
          <cell r="AU1988" t="str">
            <v/>
          </cell>
          <cell r="AV1988"/>
        </row>
        <row r="1989">
          <cell r="Z1989">
            <v>8131640</v>
          </cell>
          <cell r="AA1989" t="str">
            <v>XO
4-1/2" REG Pin x 6-5/8" REG Box</v>
          </cell>
          <cell r="AB1989">
            <v>0</v>
          </cell>
          <cell r="AC1989">
            <v>6.625</v>
          </cell>
          <cell r="AD1989">
            <v>600</v>
          </cell>
          <cell r="AE1989" t="str">
            <v>4-1/2" REG Pin</v>
          </cell>
          <cell r="AF1989" t="str">
            <v>6-5/8" REG Box</v>
          </cell>
          <cell r="AG1989"/>
          <cell r="AH1989" t="str">
            <v xml:space="preserve"> en stock </v>
          </cell>
          <cell r="AI1989">
            <v>1</v>
          </cell>
          <cell r="AJ1989">
            <v>0</v>
          </cell>
          <cell r="AK1989">
            <v>0</v>
          </cell>
          <cell r="AL1989"/>
          <cell r="AM1989"/>
          <cell r="AN1989">
            <v>8131640</v>
          </cell>
          <cell r="AO1989"/>
          <cell r="AP1989"/>
          <cell r="AQ1989"/>
          <cell r="AR1989"/>
          <cell r="AS1989">
            <v>188</v>
          </cell>
          <cell r="AT1989"/>
          <cell r="AU1989" t="str">
            <v>FR</v>
          </cell>
          <cell r="AV1989"/>
        </row>
        <row r="1990">
          <cell r="Z1990">
            <v>8131641</v>
          </cell>
          <cell r="AA1990" t="str">
            <v>XO
5-3/4" FS Pin lip side x 5-1/2" FJWP Pin</v>
          </cell>
          <cell r="AB1990">
            <v>22.035349074374995</v>
          </cell>
          <cell r="AC1990">
            <v>5.75</v>
          </cell>
          <cell r="AD1990">
            <v>600</v>
          </cell>
          <cell r="AE1990" t="str">
            <v>5-3/4" FS Pin lip side</v>
          </cell>
          <cell r="AF1990" t="str">
            <v>5-1/2" FJWP Pin</v>
          </cell>
          <cell r="AG1990"/>
          <cell r="AH1990" t="str">
            <v xml:space="preserve"> en stock </v>
          </cell>
          <cell r="AI1990">
            <v>1</v>
          </cell>
          <cell r="AJ1990">
            <v>0</v>
          </cell>
          <cell r="AK1990">
            <v>0</v>
          </cell>
          <cell r="AL1990"/>
          <cell r="AM1990"/>
          <cell r="AN1990">
            <v>8131641</v>
          </cell>
          <cell r="AO1990"/>
          <cell r="AP1990"/>
          <cell r="AQ1990"/>
          <cell r="AR1990"/>
          <cell r="AS1990">
            <v>199</v>
          </cell>
          <cell r="AT1990"/>
          <cell r="AU1990" t="str">
            <v>FR</v>
          </cell>
          <cell r="AV1990"/>
        </row>
        <row r="1991">
          <cell r="Z1991">
            <v>8131642</v>
          </cell>
          <cell r="AA1991" t="str">
            <v>XO
5-3/4" FS Pin topsub side x 5-1/2" FJWP Box</v>
          </cell>
          <cell r="AB1991">
            <v>22.035349074374995</v>
          </cell>
          <cell r="AC1991">
            <v>5.75</v>
          </cell>
          <cell r="AD1991">
            <v>600</v>
          </cell>
          <cell r="AE1991" t="str">
            <v>5-3/4" FS Pin topsub side</v>
          </cell>
          <cell r="AF1991" t="str">
            <v>5-1/2" FJWP Box</v>
          </cell>
          <cell r="AG1991"/>
          <cell r="AH1991" t="str">
            <v xml:space="preserve"> en stock </v>
          </cell>
          <cell r="AI1991">
            <v>1</v>
          </cell>
          <cell r="AJ1991">
            <v>0</v>
          </cell>
          <cell r="AK1991">
            <v>0</v>
          </cell>
          <cell r="AL1991"/>
          <cell r="AM1991"/>
          <cell r="AN1991">
            <v>8131642</v>
          </cell>
          <cell r="AO1991"/>
          <cell r="AP1991"/>
          <cell r="AQ1991"/>
          <cell r="AR1991"/>
          <cell r="AS1991">
            <v>200</v>
          </cell>
          <cell r="AT1991"/>
          <cell r="AU1991" t="str">
            <v>FR</v>
          </cell>
          <cell r="AV1991"/>
        </row>
        <row r="1992">
          <cell r="Z1992">
            <v>8131643</v>
          </cell>
          <cell r="AA1992" t="str">
            <v>XO
5-5/8" HEC Sellers Pin x 5-1/2" FJWP Box</v>
          </cell>
          <cell r="AB1992">
            <v>16.176538614600002</v>
          </cell>
          <cell r="AC1992">
            <v>5.625</v>
          </cell>
          <cell r="AD1992">
            <v>520</v>
          </cell>
          <cell r="AE1992" t="str">
            <v>5-5/8" HEC Sellers Pin</v>
          </cell>
          <cell r="AF1992" t="str">
            <v>5-1/2" FJWP Box</v>
          </cell>
          <cell r="AG1992"/>
          <cell r="AH1992" t="str">
            <v xml:space="preserve"> en stock </v>
          </cell>
          <cell r="AI1992">
            <v>1</v>
          </cell>
          <cell r="AJ1992">
            <v>0</v>
          </cell>
          <cell r="AK1992">
            <v>0</v>
          </cell>
          <cell r="AL1992"/>
          <cell r="AM1992"/>
          <cell r="AN1992">
            <v>8131643</v>
          </cell>
          <cell r="AO1992"/>
          <cell r="AP1992"/>
          <cell r="AQ1992"/>
          <cell r="AR1992"/>
          <cell r="AS1992">
            <v>195</v>
          </cell>
          <cell r="AT1992"/>
          <cell r="AU1992" t="str">
            <v>FR</v>
          </cell>
          <cell r="AV1992"/>
        </row>
        <row r="1993">
          <cell r="Z1993">
            <v>8131644</v>
          </cell>
          <cell r="AA1993" t="str">
            <v>XO
5-5/8" HEC Sellers Pin x 5-1/2" FJWP Box</v>
          </cell>
          <cell r="AB1993">
            <v>16.176538614600002</v>
          </cell>
          <cell r="AC1993">
            <v>5.625</v>
          </cell>
          <cell r="AD1993">
            <v>520</v>
          </cell>
          <cell r="AE1993" t="str">
            <v>5-5/8" HEC Sellers Pin</v>
          </cell>
          <cell r="AF1993" t="str">
            <v>5-1/2" FJWP Box</v>
          </cell>
          <cell r="AG1993"/>
          <cell r="AH1993" t="str">
            <v xml:space="preserve"> en stock </v>
          </cell>
          <cell r="AI1993">
            <v>1</v>
          </cell>
          <cell r="AJ1993">
            <v>0</v>
          </cell>
          <cell r="AK1993">
            <v>0</v>
          </cell>
          <cell r="AL1993"/>
          <cell r="AM1993"/>
          <cell r="AN1993">
            <v>8131644</v>
          </cell>
          <cell r="AO1993"/>
          <cell r="AP1993"/>
          <cell r="AQ1993"/>
          <cell r="AR1993"/>
          <cell r="AS1993">
            <v>196</v>
          </cell>
          <cell r="AT1993"/>
          <cell r="AU1993" t="str">
            <v>FR</v>
          </cell>
          <cell r="AV1993"/>
        </row>
        <row r="1994">
          <cell r="Z1994">
            <v>5071645</v>
          </cell>
          <cell r="AA1994" t="str">
            <v>Super Junk Mill 
3-1/2" REG Pin</v>
          </cell>
          <cell r="AB1994">
            <v>28</v>
          </cell>
          <cell r="AC1994">
            <v>4.75</v>
          </cell>
          <cell r="AD1994">
            <v>586</v>
          </cell>
          <cell r="AE1994" t="str">
            <v>3-1/2" REG Pin</v>
          </cell>
          <cell r="AF1994"/>
          <cell r="AG1994" t="str">
            <v>C</v>
          </cell>
          <cell r="AH1994" t="str">
            <v xml:space="preserve"> en stock </v>
          </cell>
          <cell r="AI1994">
            <v>1</v>
          </cell>
          <cell r="AJ1994">
            <v>0</v>
          </cell>
          <cell r="AK1994">
            <v>0</v>
          </cell>
          <cell r="AL1994"/>
          <cell r="AM1994"/>
          <cell r="AN1994">
            <v>5071645</v>
          </cell>
          <cell r="AO1994"/>
          <cell r="AP1994"/>
          <cell r="AQ1994"/>
          <cell r="AR1994"/>
          <cell r="AS1994">
            <v>20</v>
          </cell>
          <cell r="AT1994" t="str">
            <v>507-</v>
          </cell>
          <cell r="AU1994" t="str">
            <v>FR</v>
          </cell>
          <cell r="AV1994"/>
        </row>
        <row r="1995">
          <cell r="Z1995">
            <v>5071646</v>
          </cell>
          <cell r="AA1995" t="str">
            <v>Super Junk Mill 
3-1/2" REG Pin</v>
          </cell>
          <cell r="AB1995">
            <v>28</v>
          </cell>
          <cell r="AC1995">
            <v>4.75</v>
          </cell>
          <cell r="AD1995">
            <v>586</v>
          </cell>
          <cell r="AE1995" t="str">
            <v>3-1/2" REG Pin</v>
          </cell>
          <cell r="AF1995"/>
          <cell r="AG1995" t="str">
            <v>C</v>
          </cell>
          <cell r="AH1995" t="str">
            <v xml:space="preserve"> en stock </v>
          </cell>
          <cell r="AI1995">
            <v>1</v>
          </cell>
          <cell r="AJ1995">
            <v>0</v>
          </cell>
          <cell r="AK1995">
            <v>0</v>
          </cell>
          <cell r="AL1995"/>
          <cell r="AM1995"/>
          <cell r="AN1995">
            <v>5071646</v>
          </cell>
          <cell r="AO1995"/>
          <cell r="AP1995"/>
          <cell r="AQ1995"/>
          <cell r="AR1995"/>
          <cell r="AS1995">
            <v>21</v>
          </cell>
          <cell r="AT1995" t="str">
            <v>507-</v>
          </cell>
          <cell r="AU1995" t="str">
            <v>FR</v>
          </cell>
          <cell r="AV1995"/>
        </row>
        <row r="1996">
          <cell r="Z1996">
            <v>5071647</v>
          </cell>
          <cell r="AA1996" t="str">
            <v>Super Junk Mill 
2-7/8" REG Pin</v>
          </cell>
          <cell r="AB1996">
            <v>28</v>
          </cell>
          <cell r="AC1996">
            <v>4.75</v>
          </cell>
          <cell r="AD1996">
            <v>586</v>
          </cell>
          <cell r="AE1996" t="str">
            <v>2-7/8" REG Pin</v>
          </cell>
          <cell r="AF1996"/>
          <cell r="AG1996" t="str">
            <v>blank</v>
          </cell>
          <cell r="AH1996" t="str">
            <v xml:space="preserve"> en stock </v>
          </cell>
          <cell r="AI1996" t="str">
            <v>blank</v>
          </cell>
          <cell r="AJ1996">
            <v>0</v>
          </cell>
          <cell r="AK1996">
            <v>0</v>
          </cell>
          <cell r="AL1996"/>
          <cell r="AM1996"/>
          <cell r="AN1996">
            <v>5071647</v>
          </cell>
          <cell r="AO1996"/>
          <cell r="AP1996"/>
          <cell r="AQ1996"/>
          <cell r="AR1996"/>
          <cell r="AS1996">
            <v>17</v>
          </cell>
          <cell r="AT1996" t="str">
            <v>507-</v>
          </cell>
          <cell r="AU1996" t="str">
            <v>FR</v>
          </cell>
          <cell r="AV1996"/>
        </row>
        <row r="1997">
          <cell r="Z1997">
            <v>5071648</v>
          </cell>
          <cell r="AA1997" t="str">
            <v>Super Junk Mill 
2-7/8" REG Pin</v>
          </cell>
          <cell r="AB1997">
            <v>28</v>
          </cell>
          <cell r="AC1997">
            <v>4.75</v>
          </cell>
          <cell r="AD1997">
            <v>586</v>
          </cell>
          <cell r="AE1997" t="str">
            <v>2-7/8" REG Pin</v>
          </cell>
          <cell r="AF1997"/>
          <cell r="AG1997" t="str">
            <v>blank</v>
          </cell>
          <cell r="AH1997" t="str">
            <v xml:space="preserve"> en stock </v>
          </cell>
          <cell r="AI1997" t="str">
            <v>blank</v>
          </cell>
          <cell r="AJ1997">
            <v>0</v>
          </cell>
          <cell r="AK1997">
            <v>0</v>
          </cell>
          <cell r="AL1997"/>
          <cell r="AM1997"/>
          <cell r="AN1997">
            <v>5071648</v>
          </cell>
          <cell r="AO1997"/>
          <cell r="AP1997"/>
          <cell r="AQ1997"/>
          <cell r="AR1997"/>
          <cell r="AS1997">
            <v>18</v>
          </cell>
          <cell r="AT1997" t="str">
            <v>507-</v>
          </cell>
          <cell r="AU1997" t="str">
            <v>FR</v>
          </cell>
          <cell r="AV1997"/>
        </row>
        <row r="1998">
          <cell r="Z1998">
            <v>7161649</v>
          </cell>
          <cell r="AA1998" t="str">
            <v>T-Dog 4-11/16" OD
4-1/2" FJWP Pin x 4-1/2" FJWP Box</v>
          </cell>
          <cell r="AB1998">
            <v>0</v>
          </cell>
          <cell r="AC1998">
            <v>4.6875</v>
          </cell>
          <cell r="AD1998">
            <v>0</v>
          </cell>
          <cell r="AE1998" t="str">
            <v>4-1/2" FJWP Box</v>
          </cell>
          <cell r="AF1998" t="str">
            <v>4-1/2" FJWP Pin</v>
          </cell>
          <cell r="AG1998"/>
          <cell r="AH1998" t="str">
            <v>sur chantier</v>
          </cell>
          <cell r="AI1998" t="str">
            <v/>
          </cell>
          <cell r="AJ1998">
            <v>1</v>
          </cell>
          <cell r="AK1998">
            <v>0</v>
          </cell>
          <cell r="AL1998"/>
          <cell r="AM1998"/>
          <cell r="AN1998">
            <v>7161649</v>
          </cell>
          <cell r="AO1998"/>
          <cell r="AP1998"/>
          <cell r="AQ1998"/>
          <cell r="AR1998"/>
          <cell r="AS1998">
            <v>14</v>
          </cell>
          <cell r="AT1998"/>
          <cell r="AU1998" t="str">
            <v>US</v>
          </cell>
          <cell r="AV1998"/>
        </row>
        <row r="1999">
          <cell r="Z1999">
            <v>7161650</v>
          </cell>
          <cell r="AA1999" t="str">
            <v>T-Tang 4-3/4" OD
4-1/2" FJWP Pin x 4-1/2" FJWP Box</v>
          </cell>
          <cell r="AB1999">
            <v>0</v>
          </cell>
          <cell r="AC1999">
            <v>4.75</v>
          </cell>
          <cell r="AD1999">
            <v>0</v>
          </cell>
          <cell r="AE1999" t="str">
            <v>4-1/2" FJWP Box</v>
          </cell>
          <cell r="AF1999" t="str">
            <v>4-1/2" FJWP Pin</v>
          </cell>
          <cell r="AG1999"/>
          <cell r="AH1999" t="str">
            <v>en stock</v>
          </cell>
          <cell r="AI1999">
            <v>0</v>
          </cell>
          <cell r="AJ1999">
            <v>1</v>
          </cell>
          <cell r="AK1999"/>
          <cell r="AL1999"/>
          <cell r="AM1999"/>
          <cell r="AN1999" t="str">
            <v/>
          </cell>
          <cell r="AO1999"/>
          <cell r="AP1999"/>
          <cell r="AQ1999"/>
          <cell r="AR1999"/>
          <cell r="AS1999">
            <v>5</v>
          </cell>
          <cell r="AT1999"/>
          <cell r="AU1999" t="str">
            <v>FR</v>
          </cell>
          <cell r="AV1999"/>
        </row>
        <row r="2000">
          <cell r="Z2000">
            <v>5071651</v>
          </cell>
          <cell r="AA2000" t="str">
            <v>Super Junk Mill 
2-3/8" REG Pin</v>
          </cell>
          <cell r="AB2000">
            <v>28</v>
          </cell>
          <cell r="AC2000">
            <v>4.75</v>
          </cell>
          <cell r="AD2000">
            <v>586</v>
          </cell>
          <cell r="AE2000" t="str">
            <v>2-3/8" REG Pin</v>
          </cell>
          <cell r="AF2000"/>
          <cell r="AG2000" t="str">
            <v>blank</v>
          </cell>
          <cell r="AH2000" t="str">
            <v xml:space="preserve"> en stock </v>
          </cell>
          <cell r="AI2000" t="str">
            <v>blank</v>
          </cell>
          <cell r="AJ2000">
            <v>0</v>
          </cell>
          <cell r="AK2000">
            <v>0</v>
          </cell>
          <cell r="AL2000"/>
          <cell r="AM2000"/>
          <cell r="AN2000">
            <v>5071651</v>
          </cell>
          <cell r="AO2000"/>
          <cell r="AP2000"/>
          <cell r="AQ2000"/>
          <cell r="AR2000"/>
          <cell r="AS2000">
            <v>16</v>
          </cell>
          <cell r="AT2000" t="str">
            <v>507-</v>
          </cell>
          <cell r="AU2000" t="str">
            <v>FR</v>
          </cell>
          <cell r="AV2000"/>
        </row>
        <row r="2001">
          <cell r="Z2001">
            <v>5041652</v>
          </cell>
          <cell r="AA2001" t="str">
            <v>Viper Pilot Mill
4-1/2" REG Pin x 2-3/8" REG Box</v>
          </cell>
          <cell r="AB2001">
            <v>0</v>
          </cell>
          <cell r="AC2001">
            <v>8.7650000000000006</v>
          </cell>
          <cell r="AD2001">
            <v>0</v>
          </cell>
          <cell r="AE2001" t="str">
            <v>4-1/2" REG Pin</v>
          </cell>
          <cell r="AF2001" t="str">
            <v>2-3/8" REG Box</v>
          </cell>
          <cell r="AG2001" t="str">
            <v>Insert</v>
          </cell>
          <cell r="AH2001" t="str">
            <v>maintenance</v>
          </cell>
          <cell r="AI2001" t="str">
            <v/>
          </cell>
          <cell r="AJ2001">
            <v>0</v>
          </cell>
          <cell r="AK2001">
            <v>1</v>
          </cell>
          <cell r="AL2001"/>
          <cell r="AM2001"/>
          <cell r="AN2001"/>
          <cell r="AO2001"/>
          <cell r="AP2001"/>
          <cell r="AQ2001"/>
          <cell r="AR2001"/>
          <cell r="AS2001">
            <v>25</v>
          </cell>
          <cell r="AT2001"/>
          <cell r="AU2001" t="str">
            <v>FR</v>
          </cell>
          <cell r="AV2001"/>
        </row>
        <row r="2002">
          <cell r="Z2002">
            <v>5041653</v>
          </cell>
          <cell r="AA2002" t="str">
            <v>Viper Pilot Mill
4-1/2" REG Pin x 2-3/8" REG Box</v>
          </cell>
          <cell r="AB2002">
            <v>0</v>
          </cell>
          <cell r="AC2002">
            <v>8.7650000000000006</v>
          </cell>
          <cell r="AD2002">
            <v>0</v>
          </cell>
          <cell r="AE2002" t="str">
            <v>4-1/2" REG Pin</v>
          </cell>
          <cell r="AF2002" t="str">
            <v>2-3/8" REG Box</v>
          </cell>
          <cell r="AG2002" t="str">
            <v>Insert</v>
          </cell>
          <cell r="AH2002" t="str">
            <v xml:space="preserve"> en stock </v>
          </cell>
          <cell r="AI2002">
            <v>1</v>
          </cell>
          <cell r="AJ2002">
            <v>0</v>
          </cell>
          <cell r="AK2002">
            <v>0</v>
          </cell>
          <cell r="AL2002"/>
          <cell r="AM2002"/>
          <cell r="AN2002"/>
          <cell r="AO2002"/>
          <cell r="AP2002"/>
          <cell r="AQ2002"/>
          <cell r="AR2002"/>
          <cell r="AS2002">
            <v>26</v>
          </cell>
          <cell r="AT2002"/>
          <cell r="AU2002" t="str">
            <v>FR</v>
          </cell>
          <cell r="AV2002"/>
        </row>
        <row r="2003">
          <cell r="Z2003">
            <v>1081654</v>
          </cell>
          <cell r="AA2003" t="str">
            <v>Reverse Circulating Junk Basket 15" OD Barrel 
6-5/8" REG Box</v>
          </cell>
          <cell r="AB2003">
            <v>0</v>
          </cell>
          <cell r="AC2003">
            <v>15</v>
          </cell>
          <cell r="AD2003">
            <v>0</v>
          </cell>
          <cell r="AE2003" t="str">
            <v>6-5/8" REG Box</v>
          </cell>
          <cell r="AF2003"/>
          <cell r="AG2003">
            <v>17</v>
          </cell>
          <cell r="AH2003" t="str">
            <v>Fabrication en cours</v>
          </cell>
          <cell r="AI2003" t="e">
            <v>#VALUE!</v>
          </cell>
          <cell r="AJ2003">
            <v>0</v>
          </cell>
          <cell r="AK2003" t="str">
            <v>F</v>
          </cell>
          <cell r="AL2003"/>
          <cell r="AM2003"/>
          <cell r="AN2003">
            <v>1081654</v>
          </cell>
          <cell r="AO2003"/>
          <cell r="AP2003"/>
          <cell r="AQ2003"/>
          <cell r="AR2003"/>
          <cell r="AS2003">
            <v>15</v>
          </cell>
          <cell r="AT2003"/>
          <cell r="AU2003" t="str">
            <v>FR</v>
          </cell>
          <cell r="AV2003"/>
        </row>
        <row r="2004">
          <cell r="Z2004">
            <v>7131655</v>
          </cell>
          <cell r="AA2004" t="str">
            <v>Pack Off 8" OD body CA 55999
6-5/8" REG Pin down  Box up</v>
          </cell>
          <cell r="AB2004">
            <v>332</v>
          </cell>
          <cell r="AC2004">
            <v>8</v>
          </cell>
          <cell r="AD2004" t="str">
            <v>CA 55999</v>
          </cell>
          <cell r="AE2004" t="str">
            <v>6-5/8" REG Box</v>
          </cell>
          <cell r="AF2004" t="str">
            <v>6-5/8" REG Pin</v>
          </cell>
          <cell r="AG2004"/>
          <cell r="AH2004" t="str">
            <v xml:space="preserve"> en stock </v>
          </cell>
          <cell r="AI2004">
            <v>1</v>
          </cell>
          <cell r="AJ2004">
            <v>0</v>
          </cell>
          <cell r="AK2004">
            <v>0</v>
          </cell>
          <cell r="AL2004"/>
          <cell r="AM2004"/>
          <cell r="AN2004">
            <v>7131655</v>
          </cell>
          <cell r="AO2004"/>
          <cell r="AP2004"/>
          <cell r="AQ2004"/>
          <cell r="AR2004"/>
          <cell r="AS2004">
            <v>12</v>
          </cell>
          <cell r="AT2004"/>
          <cell r="AU2004" t="str">
            <v>FR</v>
          </cell>
          <cell r="AV2004"/>
        </row>
        <row r="2005">
          <cell r="Z2005">
            <v>8021656</v>
          </cell>
          <cell r="AA2005" t="str">
            <v>Bit Sub
3-1/2" IF Box x 3-1/2" REG Box</v>
          </cell>
          <cell r="AB2005">
            <v>40.120383468749999</v>
          </cell>
          <cell r="AC2005">
            <v>4.75</v>
          </cell>
          <cell r="AD2005">
            <v>500</v>
          </cell>
          <cell r="AE2005" t="str">
            <v>3-1/2" IF Box</v>
          </cell>
          <cell r="AF2005" t="str">
            <v>3-1/2" REG Box</v>
          </cell>
          <cell r="AG2005"/>
          <cell r="AH2005" t="str">
            <v xml:space="preserve"> en stock </v>
          </cell>
          <cell r="AI2005">
            <v>1</v>
          </cell>
          <cell r="AJ2005">
            <v>0</v>
          </cell>
          <cell r="AK2005">
            <v>0</v>
          </cell>
          <cell r="AL2005"/>
          <cell r="AM2005"/>
          <cell r="AN2005">
            <v>8021656</v>
          </cell>
          <cell r="AO2005"/>
          <cell r="AP2005"/>
          <cell r="AQ2005"/>
          <cell r="AR2005"/>
          <cell r="AS2005">
            <v>33</v>
          </cell>
          <cell r="AT2005"/>
          <cell r="AU2005" t="str">
            <v>FR</v>
          </cell>
          <cell r="AV2005"/>
        </row>
        <row r="2006">
          <cell r="Z2006">
            <v>8021657</v>
          </cell>
          <cell r="AA2006" t="str">
            <v>Bit Sub
2-3/8" REG Box x 3-1/2" IF Box</v>
          </cell>
          <cell r="AB2006">
            <v>27</v>
          </cell>
          <cell r="AC2006">
            <v>4.75</v>
          </cell>
          <cell r="AD2006">
            <v>500</v>
          </cell>
          <cell r="AE2006" t="str">
            <v>2-3/8" REG Box</v>
          </cell>
          <cell r="AF2006" t="str">
            <v>3-1/2" IF Box</v>
          </cell>
          <cell r="AG2006"/>
          <cell r="AH2006" t="str">
            <v xml:space="preserve"> en stock </v>
          </cell>
          <cell r="AI2006">
            <v>1</v>
          </cell>
          <cell r="AJ2006">
            <v>0</v>
          </cell>
          <cell r="AK2006">
            <v>0</v>
          </cell>
          <cell r="AL2006"/>
          <cell r="AM2006"/>
          <cell r="AN2006">
            <v>8021657</v>
          </cell>
          <cell r="AO2006"/>
          <cell r="AP2006"/>
          <cell r="AQ2006"/>
          <cell r="AR2006"/>
          <cell r="AS2006">
            <v>21</v>
          </cell>
          <cell r="AT2006"/>
          <cell r="AU2006" t="str">
            <v>FR</v>
          </cell>
          <cell r="AV2006"/>
        </row>
        <row r="2007">
          <cell r="Z2007">
            <v>8131658</v>
          </cell>
          <cell r="AA2007" t="str">
            <v>XO
2-3/8" IF Pin x 2-3/8" REG Box</v>
          </cell>
          <cell r="AB2007">
            <v>0</v>
          </cell>
          <cell r="AC2007">
            <v>3.375</v>
          </cell>
          <cell r="AD2007">
            <v>500</v>
          </cell>
          <cell r="AE2007" t="str">
            <v>2-3/8" IF Pin</v>
          </cell>
          <cell r="AF2007" t="str">
            <v>2-3/8" REG Box</v>
          </cell>
          <cell r="AG2007"/>
          <cell r="AH2007" t="str">
            <v>Fabrication en cours</v>
          </cell>
          <cell r="AI2007" t="e">
            <v>#VALUE!</v>
          </cell>
          <cell r="AJ2007">
            <v>0</v>
          </cell>
          <cell r="AK2007" t="str">
            <v>F</v>
          </cell>
          <cell r="AL2007"/>
          <cell r="AM2007"/>
          <cell r="AN2007">
            <v>8131658</v>
          </cell>
          <cell r="AO2007"/>
          <cell r="AP2007"/>
          <cell r="AQ2007"/>
          <cell r="AR2007"/>
          <cell r="AS2007">
            <v>25</v>
          </cell>
          <cell r="AT2007"/>
          <cell r="AU2007" t="str">
            <v>FR</v>
          </cell>
          <cell r="AV2007"/>
        </row>
        <row r="2008">
          <cell r="Z2008">
            <v>8131659</v>
          </cell>
          <cell r="AA2008" t="str">
            <v>XO
2-3/8" IF Pin x 2-3/8" IF Pin</v>
          </cell>
          <cell r="AB2008">
            <v>0</v>
          </cell>
          <cell r="AC2008">
            <v>3.375</v>
          </cell>
          <cell r="AD2008">
            <v>500</v>
          </cell>
          <cell r="AE2008" t="str">
            <v>2-3/8" IF Pin</v>
          </cell>
          <cell r="AF2008" t="str">
            <v>2-3/8" IF Pin</v>
          </cell>
          <cell r="AG2008"/>
          <cell r="AH2008" t="str">
            <v xml:space="preserve"> en stock </v>
          </cell>
          <cell r="AI2008">
            <v>1</v>
          </cell>
          <cell r="AJ2008">
            <v>0</v>
          </cell>
          <cell r="AK2008">
            <v>0</v>
          </cell>
          <cell r="AL2008"/>
          <cell r="AM2008"/>
          <cell r="AN2008">
            <v>8131659</v>
          </cell>
          <cell r="AO2008"/>
          <cell r="AP2008"/>
          <cell r="AQ2008"/>
          <cell r="AR2008"/>
          <cell r="AS2008">
            <v>20</v>
          </cell>
          <cell r="AT2008"/>
          <cell r="AU2008" t="str">
            <v>FR</v>
          </cell>
          <cell r="AV2008"/>
        </row>
        <row r="2009">
          <cell r="Z2009">
            <v>8131660</v>
          </cell>
          <cell r="AA2009" t="str">
            <v>XO
4-1/2" FJWP Pin x 4-11/16" SFS Pin lip side</v>
          </cell>
          <cell r="AB2009">
            <v>0</v>
          </cell>
          <cell r="AC2009">
            <v>4.6875</v>
          </cell>
          <cell r="AD2009">
            <v>600</v>
          </cell>
          <cell r="AE2009" t="str">
            <v>4-1/2" FJWP Pin</v>
          </cell>
          <cell r="AF2009" t="str">
            <v>4-11/16" SFS Pin lip side</v>
          </cell>
          <cell r="AG2009"/>
          <cell r="AH2009" t="str">
            <v>maintenance</v>
          </cell>
          <cell r="AI2009" t="str">
            <v/>
          </cell>
          <cell r="AJ2009">
            <v>0</v>
          </cell>
          <cell r="AK2009">
            <v>1</v>
          </cell>
          <cell r="AL2009"/>
          <cell r="AM2009"/>
          <cell r="AN2009">
            <v>8131660</v>
          </cell>
          <cell r="AO2009"/>
          <cell r="AP2009"/>
          <cell r="AQ2009"/>
          <cell r="AR2009"/>
          <cell r="AS2009">
            <v>156</v>
          </cell>
          <cell r="AT2009"/>
          <cell r="AU2009" t="str">
            <v>FR</v>
          </cell>
          <cell r="AV2009"/>
        </row>
        <row r="2010">
          <cell r="Z2010">
            <v>8131661</v>
          </cell>
          <cell r="AA2010" t="str">
            <v>XO
4-1/2" FJWP Pin x 4-11/16" SFS Pin lip side</v>
          </cell>
          <cell r="AB2010">
            <v>0</v>
          </cell>
          <cell r="AC2010">
            <v>4.6875</v>
          </cell>
          <cell r="AD2010">
            <v>600</v>
          </cell>
          <cell r="AE2010" t="str">
            <v>4-1/2" FJWP Pin</v>
          </cell>
          <cell r="AF2010" t="str">
            <v>4-11/16" SFS Pin lip side</v>
          </cell>
          <cell r="AG2010"/>
          <cell r="AH2010" t="str">
            <v>maintenance</v>
          </cell>
          <cell r="AI2010" t="str">
            <v/>
          </cell>
          <cell r="AJ2010">
            <v>0</v>
          </cell>
          <cell r="AK2010">
            <v>1</v>
          </cell>
          <cell r="AL2010"/>
          <cell r="AM2010"/>
          <cell r="AN2010">
            <v>8131661</v>
          </cell>
          <cell r="AO2010"/>
          <cell r="AP2010"/>
          <cell r="AQ2010"/>
          <cell r="AR2010"/>
          <cell r="AS2010">
            <v>157</v>
          </cell>
          <cell r="AT2010"/>
          <cell r="AU2010" t="str">
            <v>FR</v>
          </cell>
          <cell r="AV2010"/>
        </row>
        <row r="2011">
          <cell r="Z2011">
            <v>8131662</v>
          </cell>
          <cell r="AA2011" t="str">
            <v>XO
4-11/16" SFS Pin topsub side x 4-1/2" FJWP Box</v>
          </cell>
          <cell r="AB2011">
            <v>0</v>
          </cell>
          <cell r="AC2011">
            <v>4.6875</v>
          </cell>
          <cell r="AD2011">
            <v>600</v>
          </cell>
          <cell r="AE2011" t="str">
            <v>4-11/16" SFS Pin topsub side</v>
          </cell>
          <cell r="AF2011" t="str">
            <v>4-1/2" FJWP Box</v>
          </cell>
          <cell r="AG2011"/>
          <cell r="AH2011" t="str">
            <v xml:space="preserve"> en stock </v>
          </cell>
          <cell r="AI2011">
            <v>1</v>
          </cell>
          <cell r="AJ2011">
            <v>0</v>
          </cell>
          <cell r="AK2011">
            <v>0</v>
          </cell>
          <cell r="AL2011"/>
          <cell r="AM2011"/>
          <cell r="AN2011">
            <v>8131662</v>
          </cell>
          <cell r="AO2011"/>
          <cell r="AP2011"/>
          <cell r="AQ2011"/>
          <cell r="AR2011"/>
          <cell r="AS2011">
            <v>154</v>
          </cell>
          <cell r="AT2011"/>
          <cell r="AU2011" t="str">
            <v>FR</v>
          </cell>
          <cell r="AV2011"/>
        </row>
        <row r="2012">
          <cell r="Z2012">
            <v>8131663</v>
          </cell>
          <cell r="AA2012" t="str">
            <v>XO
4-11/16" SFS Pin topsub side x 4-1/2" FJWP Box</v>
          </cell>
          <cell r="AB2012">
            <v>0</v>
          </cell>
          <cell r="AC2012">
            <v>4.6875</v>
          </cell>
          <cell r="AD2012">
            <v>600</v>
          </cell>
          <cell r="AE2012" t="str">
            <v>4-11/16" SFS Pin topsub side</v>
          </cell>
          <cell r="AF2012" t="str">
            <v>4-1/2" FJWP Box</v>
          </cell>
          <cell r="AG2012"/>
          <cell r="AH2012" t="str">
            <v xml:space="preserve"> en stock </v>
          </cell>
          <cell r="AI2012">
            <v>1</v>
          </cell>
          <cell r="AJ2012">
            <v>0</v>
          </cell>
          <cell r="AK2012">
            <v>0</v>
          </cell>
          <cell r="AL2012"/>
          <cell r="AM2012"/>
          <cell r="AN2012">
            <v>8131663</v>
          </cell>
          <cell r="AO2012"/>
          <cell r="AP2012"/>
          <cell r="AQ2012"/>
          <cell r="AR2012"/>
          <cell r="AS2012">
            <v>155</v>
          </cell>
          <cell r="AT2012"/>
          <cell r="AU2012" t="str">
            <v>FR</v>
          </cell>
          <cell r="AV2012"/>
        </row>
        <row r="2013">
          <cell r="Z2013">
            <v>8131664</v>
          </cell>
          <cell r="AA2013" t="str">
            <v>XO
4-1/8" FS Pin lip side x 4-1/2" FJW¨P Pin</v>
          </cell>
          <cell r="AB2013">
            <v>0</v>
          </cell>
          <cell r="AC2013">
            <v>4.5</v>
          </cell>
          <cell r="AD2013">
            <v>600</v>
          </cell>
          <cell r="AE2013" t="str">
            <v>4-1/8" FS Pin lip side</v>
          </cell>
          <cell r="AF2013" t="str">
            <v>4-1/2" FJW¨P Pin</v>
          </cell>
          <cell r="AG2013"/>
          <cell r="AH2013" t="str">
            <v xml:space="preserve"> en stock </v>
          </cell>
          <cell r="AI2013">
            <v>1</v>
          </cell>
          <cell r="AJ2013">
            <v>0</v>
          </cell>
          <cell r="AK2013">
            <v>0</v>
          </cell>
          <cell r="AL2013"/>
          <cell r="AM2013"/>
          <cell r="AN2013">
            <v>8131664</v>
          </cell>
          <cell r="AO2013"/>
          <cell r="AP2013"/>
          <cell r="AQ2013"/>
          <cell r="AR2013"/>
          <cell r="AS2013">
            <v>152</v>
          </cell>
          <cell r="AT2013"/>
          <cell r="AU2013" t="str">
            <v>FR</v>
          </cell>
          <cell r="AV2013"/>
        </row>
        <row r="2014">
          <cell r="Z2014">
            <v>8131665</v>
          </cell>
          <cell r="AA2014" t="str">
            <v>XO
4-1/8" FS Pin lip side x 4-1/2" FJW¨P Pin</v>
          </cell>
          <cell r="AB2014">
            <v>0</v>
          </cell>
          <cell r="AC2014">
            <v>4.5</v>
          </cell>
          <cell r="AD2014">
            <v>600</v>
          </cell>
          <cell r="AE2014" t="str">
            <v>4-1/8" FS Pin lip side</v>
          </cell>
          <cell r="AF2014" t="str">
            <v>4-1/2" FJW¨P Pin</v>
          </cell>
          <cell r="AG2014"/>
          <cell r="AH2014" t="str">
            <v xml:space="preserve"> en stock </v>
          </cell>
          <cell r="AI2014">
            <v>1</v>
          </cell>
          <cell r="AJ2014">
            <v>0</v>
          </cell>
          <cell r="AK2014">
            <v>0</v>
          </cell>
          <cell r="AL2014"/>
          <cell r="AM2014"/>
          <cell r="AN2014">
            <v>8131665</v>
          </cell>
          <cell r="AO2014"/>
          <cell r="AP2014"/>
          <cell r="AQ2014"/>
          <cell r="AR2014"/>
          <cell r="AS2014">
            <v>153</v>
          </cell>
          <cell r="AT2014"/>
          <cell r="AU2014" t="str">
            <v>FR</v>
          </cell>
          <cell r="AV2014"/>
        </row>
        <row r="2015">
          <cell r="Z2015">
            <v>8131666</v>
          </cell>
          <cell r="AA2015" t="str">
            <v>XO
4-1/8" FS Pin topsub side x 4-1/2" FJWP Box</v>
          </cell>
          <cell r="AB2015">
            <v>0</v>
          </cell>
          <cell r="AC2015">
            <v>4.5</v>
          </cell>
          <cell r="AD2015">
            <v>600</v>
          </cell>
          <cell r="AE2015" t="str">
            <v>4-1/8" FS Pin topsub side</v>
          </cell>
          <cell r="AF2015" t="str">
            <v>4-1/2" FJWP Box</v>
          </cell>
          <cell r="AG2015"/>
          <cell r="AH2015" t="str">
            <v>maintenance</v>
          </cell>
          <cell r="AI2015" t="str">
            <v/>
          </cell>
          <cell r="AJ2015">
            <v>0</v>
          </cell>
          <cell r="AK2015">
            <v>1</v>
          </cell>
          <cell r="AL2015"/>
          <cell r="AM2015"/>
          <cell r="AN2015">
            <v>8131666</v>
          </cell>
          <cell r="AO2015"/>
          <cell r="AP2015"/>
          <cell r="AQ2015"/>
          <cell r="AR2015"/>
          <cell r="AS2015">
            <v>150</v>
          </cell>
          <cell r="AT2015"/>
          <cell r="AU2015" t="str">
            <v>FR</v>
          </cell>
          <cell r="AV2015"/>
        </row>
        <row r="2016">
          <cell r="Z2016">
            <v>8131667</v>
          </cell>
          <cell r="AA2016" t="str">
            <v>XO
4-1/8" FS Pin topsub side x 4-1/2" FJWP Box</v>
          </cell>
          <cell r="AB2016">
            <v>0</v>
          </cell>
          <cell r="AC2016">
            <v>4.5</v>
          </cell>
          <cell r="AD2016">
            <v>600</v>
          </cell>
          <cell r="AE2016" t="str">
            <v>4-1/8" FS Pin topsub side</v>
          </cell>
          <cell r="AF2016" t="str">
            <v>4-1/2" FJWP Box</v>
          </cell>
          <cell r="AG2016"/>
          <cell r="AH2016" t="str">
            <v>maintenance</v>
          </cell>
          <cell r="AI2016" t="str">
            <v/>
          </cell>
          <cell r="AJ2016">
            <v>0</v>
          </cell>
          <cell r="AK2016">
            <v>1</v>
          </cell>
          <cell r="AL2016"/>
          <cell r="AM2016"/>
          <cell r="AN2016">
            <v>8131667</v>
          </cell>
          <cell r="AO2016"/>
          <cell r="AP2016"/>
          <cell r="AQ2016"/>
          <cell r="AR2016"/>
          <cell r="AS2016">
            <v>151</v>
          </cell>
          <cell r="AT2016"/>
          <cell r="AU2016" t="str">
            <v>FR</v>
          </cell>
          <cell r="AV2016"/>
        </row>
        <row r="2017">
          <cell r="Z2017">
            <v>2011668</v>
          </cell>
          <cell r="AA2017" t="str">
            <v>Hydraulic External Cutter 6-1/16" OD body 
5-13/16" BRS Box</v>
          </cell>
          <cell r="AB2017">
            <v>54</v>
          </cell>
          <cell r="AC2017">
            <v>6.0625</v>
          </cell>
          <cell r="AD2017">
            <v>1230</v>
          </cell>
          <cell r="AE2017" t="str">
            <v>5-13/16" BRS Box</v>
          </cell>
          <cell r="AF2017"/>
          <cell r="AG2017"/>
          <cell r="AH2017" t="str">
            <v xml:space="preserve"> en stock </v>
          </cell>
          <cell r="AI2017">
            <v>1</v>
          </cell>
          <cell r="AJ2017">
            <v>0</v>
          </cell>
          <cell r="AK2017">
            <v>0</v>
          </cell>
          <cell r="AL2017"/>
          <cell r="AM2017"/>
          <cell r="AN2017" t="str">
            <v/>
          </cell>
          <cell r="AO2017"/>
          <cell r="AP2017"/>
          <cell r="AQ2017"/>
          <cell r="AR2017"/>
          <cell r="AS2017">
            <v>8</v>
          </cell>
          <cell r="AT2017"/>
          <cell r="AU2017" t="str">
            <v/>
          </cell>
          <cell r="AV2017"/>
        </row>
        <row r="2018">
          <cell r="Z2018">
            <v>5071669</v>
          </cell>
          <cell r="AA2018" t="str">
            <v>Super Junk Mill 
7-5/8" REG Pin</v>
          </cell>
          <cell r="AB2018">
            <v>0</v>
          </cell>
          <cell r="AC2018">
            <v>17.375</v>
          </cell>
          <cell r="AD2018">
            <v>975</v>
          </cell>
          <cell r="AE2018" t="str">
            <v>7-5/8" REG Pin</v>
          </cell>
          <cell r="AF2018"/>
          <cell r="AG2018" t="str">
            <v>C</v>
          </cell>
          <cell r="AH2018" t="str">
            <v>maintenance</v>
          </cell>
          <cell r="AI2018" t="str">
            <v/>
          </cell>
          <cell r="AJ2018">
            <v>0</v>
          </cell>
          <cell r="AK2018">
            <v>1</v>
          </cell>
          <cell r="AL2018"/>
          <cell r="AM2018"/>
          <cell r="AN2018" t="str">
            <v/>
          </cell>
          <cell r="AO2018"/>
          <cell r="AP2018"/>
          <cell r="AQ2018"/>
          <cell r="AR2018"/>
          <cell r="AS2018">
            <v>89</v>
          </cell>
          <cell r="AT2018" t="str">
            <v>507-</v>
          </cell>
          <cell r="AU2018" t="str">
            <v/>
          </cell>
          <cell r="AV2018"/>
        </row>
        <row r="2019">
          <cell r="Z2019">
            <v>8111670</v>
          </cell>
          <cell r="AA2019" t="str">
            <v>String Stab
7-5/8" REG Pin SRG x 7-5/8" REG Box BB</v>
          </cell>
          <cell r="AB2019">
            <v>1011</v>
          </cell>
          <cell r="AC2019">
            <v>17.3125</v>
          </cell>
          <cell r="AD2019">
            <v>2290</v>
          </cell>
          <cell r="AE2019" t="str">
            <v>7-5/8" REG Box BB</v>
          </cell>
          <cell r="AF2019" t="str">
            <v>7-5/8" REG Pin SRG</v>
          </cell>
          <cell r="AG2019" t="str">
            <v>TGG</v>
          </cell>
          <cell r="AH2019" t="str">
            <v>maintenance</v>
          </cell>
          <cell r="AI2019" t="str">
            <v/>
          </cell>
          <cell r="AJ2019">
            <v>0</v>
          </cell>
          <cell r="AK2019">
            <v>1</v>
          </cell>
          <cell r="AL2019"/>
          <cell r="AM2019"/>
          <cell r="AN2019">
            <v>8111670</v>
          </cell>
          <cell r="AO2019"/>
          <cell r="AP2019"/>
          <cell r="AQ2019"/>
          <cell r="AR2019"/>
          <cell r="AS2019">
            <v>94</v>
          </cell>
          <cell r="AT2019" t="str">
            <v>811-</v>
          </cell>
          <cell r="AU2019" t="str">
            <v>CH</v>
          </cell>
          <cell r="AV2019"/>
        </row>
        <row r="2020">
          <cell r="Z2020">
            <v>8111671</v>
          </cell>
          <cell r="AA2020" t="str">
            <v>String Stab
7-5/8" REG Pin SRG x 7-5/8" REG Box BB</v>
          </cell>
          <cell r="AB2020">
            <v>1011</v>
          </cell>
          <cell r="AC2020">
            <v>17.25</v>
          </cell>
          <cell r="AD2020">
            <v>2290</v>
          </cell>
          <cell r="AE2020" t="str">
            <v>7-5/8" REG Box BB</v>
          </cell>
          <cell r="AF2020" t="str">
            <v>7-5/8" REG Pin SRG</v>
          </cell>
          <cell r="AG2020" t="str">
            <v>TGG</v>
          </cell>
          <cell r="AH2020" t="str">
            <v xml:space="preserve"> en stock </v>
          </cell>
          <cell r="AI2020">
            <v>1</v>
          </cell>
          <cell r="AJ2020">
            <v>0</v>
          </cell>
          <cell r="AK2020">
            <v>0</v>
          </cell>
          <cell r="AL2020"/>
          <cell r="AM2020"/>
          <cell r="AN2020">
            <v>8111671</v>
          </cell>
          <cell r="AO2020"/>
          <cell r="AP2020"/>
          <cell r="AQ2020"/>
          <cell r="AR2020"/>
          <cell r="AS2020">
            <v>95</v>
          </cell>
          <cell r="AT2020" t="str">
            <v>811-</v>
          </cell>
          <cell r="AU2020" t="str">
            <v>CH</v>
          </cell>
          <cell r="AV2020"/>
        </row>
        <row r="2021">
          <cell r="Z2021">
            <v>8091672</v>
          </cell>
          <cell r="AA2021" t="str">
            <v>Near Bit Stab
7-5/8" REG Box x 7-5/8" REG Box BF</v>
          </cell>
          <cell r="AB2021">
            <v>1153</v>
          </cell>
          <cell r="AC2021">
            <v>17.4375</v>
          </cell>
          <cell r="AD2021">
            <v>2320</v>
          </cell>
          <cell r="AE2021" t="str">
            <v>7-5/8" REG Box</v>
          </cell>
          <cell r="AF2021" t="str">
            <v>7-5/8" REG Box BF</v>
          </cell>
          <cell r="AG2021" t="str">
            <v>TGG</v>
          </cell>
          <cell r="AH2021" t="str">
            <v xml:space="preserve"> en stock </v>
          </cell>
          <cell r="AI2021">
            <v>1</v>
          </cell>
          <cell r="AJ2021">
            <v>0</v>
          </cell>
          <cell r="AK2021">
            <v>0</v>
          </cell>
          <cell r="AL2021"/>
          <cell r="AM2021"/>
          <cell r="AN2021">
            <v>8091672</v>
          </cell>
          <cell r="AO2021"/>
          <cell r="AP2021"/>
          <cell r="AQ2021"/>
          <cell r="AR2021"/>
          <cell r="AS2021">
            <v>40</v>
          </cell>
          <cell r="AT2021"/>
          <cell r="AU2021" t="str">
            <v>CH</v>
          </cell>
          <cell r="AV2021"/>
        </row>
        <row r="2022">
          <cell r="Z2022">
            <v>8111673</v>
          </cell>
          <cell r="AA2022" t="str">
            <v>String Stab
7-5/8" REG Pin SRG x 7-5/8" REG Box BB</v>
          </cell>
          <cell r="AB2022">
            <v>1150</v>
          </cell>
          <cell r="AC2022">
            <v>18.25</v>
          </cell>
          <cell r="AD2022">
            <v>2290</v>
          </cell>
          <cell r="AE2022" t="str">
            <v>7-5/8" REG Box BB</v>
          </cell>
          <cell r="AF2022" t="str">
            <v>7-5/8" REG Pin SRG</v>
          </cell>
          <cell r="AG2022" t="str">
            <v>TGG</v>
          </cell>
          <cell r="AH2022" t="str">
            <v xml:space="preserve"> en stock </v>
          </cell>
          <cell r="AI2022">
            <v>1</v>
          </cell>
          <cell r="AJ2022">
            <v>0</v>
          </cell>
          <cell r="AK2022">
            <v>0</v>
          </cell>
          <cell r="AL2022"/>
          <cell r="AM2022"/>
          <cell r="AN2022">
            <v>8111673</v>
          </cell>
          <cell r="AO2022"/>
          <cell r="AP2022"/>
          <cell r="AQ2022"/>
          <cell r="AR2022"/>
          <cell r="AS2022">
            <v>102</v>
          </cell>
          <cell r="AT2022" t="str">
            <v>811-</v>
          </cell>
          <cell r="AU2022" t="str">
            <v>CH</v>
          </cell>
          <cell r="AV2022"/>
        </row>
        <row r="2023">
          <cell r="Z2023">
            <v>8091674</v>
          </cell>
          <cell r="AA2023" t="str">
            <v>Near Bit Stab
7-5/8" REG Box x 7-5/8" REG Box BF</v>
          </cell>
          <cell r="AB2023">
            <v>1930</v>
          </cell>
          <cell r="AC2023">
            <v>21.75</v>
          </cell>
          <cell r="AD2023">
            <v>2590</v>
          </cell>
          <cell r="AE2023" t="str">
            <v>7-5/8" REG Box</v>
          </cell>
          <cell r="AF2023" t="str">
            <v>7-5/8" REG Box BF</v>
          </cell>
          <cell r="AG2023" t="str">
            <v>PTA</v>
          </cell>
          <cell r="AH2023" t="str">
            <v xml:space="preserve"> en stock </v>
          </cell>
          <cell r="AI2023">
            <v>1</v>
          </cell>
          <cell r="AJ2023">
            <v>0</v>
          </cell>
          <cell r="AK2023">
            <v>0</v>
          </cell>
          <cell r="AL2023"/>
          <cell r="AM2023"/>
          <cell r="AN2023">
            <v>8091674</v>
          </cell>
          <cell r="AO2023"/>
          <cell r="AP2023"/>
          <cell r="AQ2023"/>
          <cell r="AR2023"/>
          <cell r="AS2023">
            <v>45</v>
          </cell>
          <cell r="AT2023"/>
          <cell r="AU2023" t="str">
            <v>CH</v>
          </cell>
          <cell r="AV2023"/>
        </row>
        <row r="2024">
          <cell r="Z2024">
            <v>8111675</v>
          </cell>
          <cell r="AA2024" t="str">
            <v>String Stab
7-5/8" REG Pin SRG x 7-5/8" REG Box BB</v>
          </cell>
          <cell r="AB2024">
            <v>1950</v>
          </cell>
          <cell r="AC2024">
            <v>21.9375</v>
          </cell>
          <cell r="AD2024">
            <v>2590</v>
          </cell>
          <cell r="AE2024" t="str">
            <v>7-5/8" REG Box BB</v>
          </cell>
          <cell r="AF2024" t="str">
            <v>7-5/8" REG Pin SRG</v>
          </cell>
          <cell r="AG2024" t="str">
            <v>PTA</v>
          </cell>
          <cell r="AH2024" t="str">
            <v xml:space="preserve"> en stock </v>
          </cell>
          <cell r="AI2024">
            <v>1</v>
          </cell>
          <cell r="AJ2024">
            <v>0</v>
          </cell>
          <cell r="AK2024">
            <v>0</v>
          </cell>
          <cell r="AL2024"/>
          <cell r="AM2024"/>
          <cell r="AN2024">
            <v>8111675</v>
          </cell>
          <cell r="AO2024"/>
          <cell r="AP2024"/>
          <cell r="AQ2024"/>
          <cell r="AR2024"/>
          <cell r="AS2024">
            <v>108</v>
          </cell>
          <cell r="AT2024" t="str">
            <v>811-</v>
          </cell>
          <cell r="AU2024" t="str">
            <v>CH</v>
          </cell>
          <cell r="AV2024"/>
        </row>
        <row r="2025">
          <cell r="Z2025">
            <v>8091676</v>
          </cell>
          <cell r="AA2025" t="str">
            <v>Near Bit Stab
7-5/8" REG Box x 7-5/8" REG Box BF</v>
          </cell>
          <cell r="AB2025">
            <v>1970</v>
          </cell>
          <cell r="AC2025">
            <v>24.0625</v>
          </cell>
          <cell r="AD2025">
            <v>2640</v>
          </cell>
          <cell r="AE2025" t="str">
            <v>7-5/8" REG Box</v>
          </cell>
          <cell r="AF2025" t="str">
            <v>7-5/8" REG Box BF</v>
          </cell>
          <cell r="AG2025" t="str">
            <v>TGG</v>
          </cell>
          <cell r="AH2025" t="str">
            <v xml:space="preserve"> en stock </v>
          </cell>
          <cell r="AI2025">
            <v>1</v>
          </cell>
          <cell r="AJ2025">
            <v>0</v>
          </cell>
          <cell r="AK2025">
            <v>0</v>
          </cell>
          <cell r="AL2025"/>
          <cell r="AM2025"/>
          <cell r="AN2025">
            <v>8091676</v>
          </cell>
          <cell r="AO2025"/>
          <cell r="AP2025"/>
          <cell r="AQ2025"/>
          <cell r="AR2025"/>
          <cell r="AS2025">
            <v>49</v>
          </cell>
          <cell r="AT2025"/>
          <cell r="AU2025" t="str">
            <v>CH</v>
          </cell>
          <cell r="AV2025"/>
        </row>
        <row r="2026">
          <cell r="Z2026">
            <v>8111677</v>
          </cell>
          <cell r="AA2026" t="str">
            <v>String Stab
7-5/8" REG Pin SRG x 7-5/8" REG Box BB</v>
          </cell>
          <cell r="AB2026">
            <v>2160</v>
          </cell>
          <cell r="AC2026">
            <v>25.4375</v>
          </cell>
          <cell r="AD2026">
            <v>2500</v>
          </cell>
          <cell r="AE2026" t="str">
            <v>7-5/8" REG Box BB</v>
          </cell>
          <cell r="AF2026" t="str">
            <v>7-5/8" REG Pin SRG</v>
          </cell>
          <cell r="AG2026" t="str">
            <v>TGG</v>
          </cell>
          <cell r="AH2026" t="str">
            <v xml:space="preserve"> en stock </v>
          </cell>
          <cell r="AI2026">
            <v>1</v>
          </cell>
          <cell r="AJ2026">
            <v>0</v>
          </cell>
          <cell r="AK2026">
            <v>0</v>
          </cell>
          <cell r="AL2026"/>
          <cell r="AM2026"/>
          <cell r="AN2026">
            <v>8111677</v>
          </cell>
          <cell r="AO2026"/>
          <cell r="AP2026"/>
          <cell r="AQ2026"/>
          <cell r="AR2026"/>
          <cell r="AS2026">
            <v>113</v>
          </cell>
          <cell r="AT2026" t="str">
            <v>811-</v>
          </cell>
          <cell r="AU2026" t="str">
            <v>CH</v>
          </cell>
          <cell r="AV2026"/>
        </row>
        <row r="2027">
          <cell r="Z2027">
            <v>8091678</v>
          </cell>
          <cell r="AA2027" t="str">
            <v>Near Bit Stab
7-5/8" REG Box x 7-5/8" REG Box BF</v>
          </cell>
          <cell r="AB2027">
            <v>2260</v>
          </cell>
          <cell r="AC2027">
            <v>26</v>
          </cell>
          <cell r="AD2027">
            <v>2620</v>
          </cell>
          <cell r="AE2027" t="str">
            <v>7-5/8" REG Box</v>
          </cell>
          <cell r="AF2027" t="str">
            <v>7-5/8" REG Box BF</v>
          </cell>
          <cell r="AG2027" t="str">
            <v>TGG</v>
          </cell>
          <cell r="AH2027" t="str">
            <v>maintenance</v>
          </cell>
          <cell r="AI2027" t="str">
            <v/>
          </cell>
          <cell r="AJ2027">
            <v>0</v>
          </cell>
          <cell r="AK2027">
            <v>1</v>
          </cell>
          <cell r="AL2027"/>
          <cell r="AM2027"/>
          <cell r="AN2027">
            <v>8091678</v>
          </cell>
          <cell r="AO2027"/>
          <cell r="AP2027"/>
          <cell r="AQ2027"/>
          <cell r="AR2027"/>
          <cell r="AS2027">
            <v>54</v>
          </cell>
          <cell r="AT2027"/>
          <cell r="AU2027" t="str">
            <v>CH</v>
          </cell>
          <cell r="AV2027"/>
        </row>
        <row r="2028">
          <cell r="Z2028">
            <v>8091679</v>
          </cell>
          <cell r="AA2028" t="str">
            <v>Near Bit Stab
7-5/8" REG Box x 7-5/8" REG Box BF</v>
          </cell>
          <cell r="AB2028">
            <v>2260</v>
          </cell>
          <cell r="AC2028">
            <v>25.9375</v>
          </cell>
          <cell r="AD2028">
            <v>2590</v>
          </cell>
          <cell r="AE2028" t="str">
            <v>7-5/8" REG Box</v>
          </cell>
          <cell r="AF2028" t="str">
            <v>7-5/8" REG Box BF</v>
          </cell>
          <cell r="AG2028" t="str">
            <v>BLANK</v>
          </cell>
          <cell r="AH2028" t="str">
            <v xml:space="preserve"> en stock </v>
          </cell>
          <cell r="AI2028">
            <v>1</v>
          </cell>
          <cell r="AJ2028">
            <v>0</v>
          </cell>
          <cell r="AK2028">
            <v>0</v>
          </cell>
          <cell r="AL2028"/>
          <cell r="AM2028"/>
          <cell r="AN2028">
            <v>8091679</v>
          </cell>
          <cell r="AO2028"/>
          <cell r="AP2028"/>
          <cell r="AQ2028"/>
          <cell r="AR2028"/>
          <cell r="AS2028">
            <v>53</v>
          </cell>
          <cell r="AT2028"/>
          <cell r="AU2028" t="str">
            <v>CH</v>
          </cell>
          <cell r="AV2028"/>
        </row>
        <row r="2029">
          <cell r="Z2029">
            <v>5011680</v>
          </cell>
          <cell r="AA2029" t="str">
            <v>Ditch Magnet 24"</v>
          </cell>
          <cell r="AB2029">
            <v>46</v>
          </cell>
          <cell r="AC2029">
            <v>36</v>
          </cell>
          <cell r="AD2029">
            <v>36</v>
          </cell>
          <cell r="AE2029"/>
          <cell r="AF2029"/>
          <cell r="AG2029"/>
          <cell r="AH2029" t="str">
            <v xml:space="preserve"> en stock </v>
          </cell>
          <cell r="AI2029">
            <v>1</v>
          </cell>
          <cell r="AJ2029">
            <v>0</v>
          </cell>
          <cell r="AK2029">
            <v>0</v>
          </cell>
          <cell r="AL2029"/>
          <cell r="AM2029"/>
          <cell r="AN2029" t="str">
            <v/>
          </cell>
          <cell r="AO2029"/>
          <cell r="AP2029"/>
          <cell r="AQ2029"/>
          <cell r="AR2029"/>
          <cell r="AS2029">
            <v>10</v>
          </cell>
          <cell r="AT2029"/>
          <cell r="AU2029" t="str">
            <v/>
          </cell>
          <cell r="AV2029"/>
        </row>
        <row r="2030">
          <cell r="Z2030">
            <v>7161681</v>
          </cell>
          <cell r="AA2030" t="str">
            <v>T-Dog 5-3/4" OD
5-1/2" FJWP Pin x 5-1/2' FJWP Box</v>
          </cell>
          <cell r="AB2030">
            <v>60</v>
          </cell>
          <cell r="AC2030">
            <v>5.75</v>
          </cell>
          <cell r="AD2030">
            <v>730</v>
          </cell>
          <cell r="AE2030" t="str">
            <v>5-1/2' FJWP Box</v>
          </cell>
          <cell r="AF2030" t="str">
            <v>5-1/2" FJWP Pin</v>
          </cell>
          <cell r="AG2030"/>
          <cell r="AH2030" t="str">
            <v xml:space="preserve"> en stock </v>
          </cell>
          <cell r="AI2030">
            <v>1</v>
          </cell>
          <cell r="AJ2030">
            <v>0</v>
          </cell>
          <cell r="AK2030">
            <v>0</v>
          </cell>
          <cell r="AL2030"/>
          <cell r="AM2030"/>
          <cell r="AN2030">
            <v>7161681</v>
          </cell>
          <cell r="AO2030"/>
          <cell r="AP2030"/>
          <cell r="AQ2030"/>
          <cell r="AR2030"/>
          <cell r="AS2030">
            <v>15</v>
          </cell>
          <cell r="AT2030"/>
          <cell r="AU2030" t="str">
            <v>US</v>
          </cell>
          <cell r="AV2030"/>
        </row>
        <row r="2031">
          <cell r="Z2031">
            <v>5071682</v>
          </cell>
          <cell r="AA2031" t="str">
            <v>Super Junk Mill 
2-3/8" REG Pin</v>
          </cell>
          <cell r="AB2031">
            <v>0</v>
          </cell>
          <cell r="AC2031">
            <v>3.875</v>
          </cell>
          <cell r="AD2031">
            <v>586</v>
          </cell>
          <cell r="AE2031" t="str">
            <v>2-3/8" REG Pin</v>
          </cell>
          <cell r="AF2031"/>
          <cell r="AG2031" t="str">
            <v>C</v>
          </cell>
          <cell r="AH2031" t="str">
            <v>sur chantier</v>
          </cell>
          <cell r="AI2031" t="str">
            <v/>
          </cell>
          <cell r="AJ2031">
            <v>1</v>
          </cell>
          <cell r="AK2031">
            <v>0</v>
          </cell>
          <cell r="AL2031"/>
          <cell r="AM2031"/>
          <cell r="AN2031">
            <v>5071682</v>
          </cell>
          <cell r="AO2031"/>
          <cell r="AP2031"/>
          <cell r="AQ2031"/>
          <cell r="AR2031"/>
          <cell r="AS2031">
            <v>9</v>
          </cell>
          <cell r="AT2031" t="str">
            <v>507-</v>
          </cell>
          <cell r="AU2031" t="str">
            <v>FR</v>
          </cell>
          <cell r="AV2031"/>
        </row>
        <row r="2032">
          <cell r="Z2032">
            <v>5071683</v>
          </cell>
          <cell r="AA2032" t="str">
            <v>Super Junk Mill 
2-3/8" REG Pin</v>
          </cell>
          <cell r="AB2032">
            <v>0</v>
          </cell>
          <cell r="AC2032">
            <v>3.75</v>
          </cell>
          <cell r="AD2032">
            <v>586</v>
          </cell>
          <cell r="AE2032" t="str">
            <v>2-3/8" REG Pin</v>
          </cell>
          <cell r="AF2032"/>
          <cell r="AG2032" t="str">
            <v>C</v>
          </cell>
          <cell r="AH2032" t="str">
            <v xml:space="preserve"> en stock </v>
          </cell>
          <cell r="AI2032">
            <v>1</v>
          </cell>
          <cell r="AJ2032">
            <v>0</v>
          </cell>
          <cell r="AK2032">
            <v>0</v>
          </cell>
          <cell r="AL2032"/>
          <cell r="AM2032"/>
          <cell r="AN2032">
            <v>5071683</v>
          </cell>
          <cell r="AO2032"/>
          <cell r="AP2032"/>
          <cell r="AQ2032"/>
          <cell r="AR2032"/>
          <cell r="AS2032">
            <v>5</v>
          </cell>
          <cell r="AT2032" t="str">
            <v>507-</v>
          </cell>
          <cell r="AU2032" t="str">
            <v>FR</v>
          </cell>
          <cell r="AV2032"/>
        </row>
        <row r="2033">
          <cell r="Z2033">
            <v>7161684</v>
          </cell>
          <cell r="AA2033" t="str">
            <v>T-Tang 4-3/4" OD
4-1/2" FJWP Pin x 4-1/2" FJWP Box</v>
          </cell>
          <cell r="AB2033">
            <v>0</v>
          </cell>
          <cell r="AC2033">
            <v>4.75</v>
          </cell>
          <cell r="AD2033">
            <v>0</v>
          </cell>
          <cell r="AE2033" t="str">
            <v>4-1/2" FJWP Box</v>
          </cell>
          <cell r="AF2033" t="str">
            <v>4-1/2" FJWP Pin</v>
          </cell>
          <cell r="AG2033"/>
          <cell r="AH2033" t="str">
            <v xml:space="preserve"> en stock </v>
          </cell>
          <cell r="AI2033">
            <v>1</v>
          </cell>
          <cell r="AJ2033">
            <v>0</v>
          </cell>
          <cell r="AK2033">
            <v>0</v>
          </cell>
          <cell r="AL2033"/>
          <cell r="AM2033"/>
          <cell r="AN2033">
            <v>7161684</v>
          </cell>
          <cell r="AO2033"/>
          <cell r="AP2033"/>
          <cell r="AQ2033"/>
          <cell r="AR2033"/>
          <cell r="AS2033">
            <v>6</v>
          </cell>
          <cell r="AT2033"/>
          <cell r="AU2033" t="str">
            <v>FR</v>
          </cell>
          <cell r="AV2033"/>
        </row>
        <row r="2034">
          <cell r="Z2034">
            <v>7171685</v>
          </cell>
          <cell r="AA2034" t="str">
            <v>Oversocket 3-3/4" OD</v>
          </cell>
          <cell r="AB2034">
            <v>0</v>
          </cell>
          <cell r="AC2034">
            <v>3.75</v>
          </cell>
          <cell r="AD2034">
            <v>0</v>
          </cell>
          <cell r="AE2034">
            <v>0</v>
          </cell>
          <cell r="AF2034">
            <v>0</v>
          </cell>
          <cell r="AG2034"/>
          <cell r="AH2034" t="str">
            <v>en stock</v>
          </cell>
          <cell r="AI2034">
            <v>0</v>
          </cell>
          <cell r="AJ2034">
            <v>0</v>
          </cell>
          <cell r="AK2034">
            <v>0</v>
          </cell>
          <cell r="AL2034"/>
          <cell r="AM2034"/>
          <cell r="AN2034">
            <v>5171685</v>
          </cell>
          <cell r="AO2034"/>
          <cell r="AP2034"/>
          <cell r="AQ2034"/>
          <cell r="AR2034"/>
          <cell r="AS2034">
            <v>5</v>
          </cell>
          <cell r="AT2034"/>
          <cell r="AU2034" t="str">
            <v/>
          </cell>
          <cell r="AV2034"/>
        </row>
        <row r="2035">
          <cell r="Z2035">
            <v>8021686</v>
          </cell>
          <cell r="AA2035" t="str">
            <v>Bit Sub
2-3/8" REG Box x 2-3/8" REG Box</v>
          </cell>
          <cell r="AB2035">
            <v>0</v>
          </cell>
          <cell r="AC2035">
            <v>3.125</v>
          </cell>
          <cell r="AD2035">
            <v>500</v>
          </cell>
          <cell r="AE2035" t="str">
            <v>2-3/8" REG Box</v>
          </cell>
          <cell r="AF2035" t="str">
            <v>2-3/8" REG Box</v>
          </cell>
          <cell r="AG2035"/>
          <cell r="AH2035" t="str">
            <v xml:space="preserve"> en stock </v>
          </cell>
          <cell r="AI2035">
            <v>1</v>
          </cell>
          <cell r="AJ2035">
            <v>0</v>
          </cell>
          <cell r="AK2035">
            <v>0</v>
          </cell>
          <cell r="AL2035"/>
          <cell r="AM2035"/>
          <cell r="AN2035">
            <v>8021686</v>
          </cell>
          <cell r="AO2035"/>
          <cell r="AP2035"/>
          <cell r="AQ2035"/>
          <cell r="AR2035"/>
          <cell r="AS2035">
            <v>15</v>
          </cell>
          <cell r="AT2035"/>
          <cell r="AU2035" t="str">
            <v>FR</v>
          </cell>
          <cell r="AV2035"/>
        </row>
        <row r="2036">
          <cell r="Z2036">
            <v>8021687</v>
          </cell>
          <cell r="AA2036" t="str">
            <v>Bit Sub
2-3/8" REG Box x 2-3/8" REG Box</v>
          </cell>
          <cell r="AB2036">
            <v>0</v>
          </cell>
          <cell r="AC2036">
            <v>3.125</v>
          </cell>
          <cell r="AD2036">
            <v>500</v>
          </cell>
          <cell r="AE2036" t="str">
            <v>2-3/8" REG Box</v>
          </cell>
          <cell r="AF2036" t="str">
            <v>2-3/8" REG Box</v>
          </cell>
          <cell r="AG2036"/>
          <cell r="AH2036" t="str">
            <v xml:space="preserve"> en stock </v>
          </cell>
          <cell r="AI2036">
            <v>1</v>
          </cell>
          <cell r="AJ2036">
            <v>0</v>
          </cell>
          <cell r="AK2036">
            <v>0</v>
          </cell>
          <cell r="AL2036"/>
          <cell r="AM2036"/>
          <cell r="AN2036">
            <v>8021687</v>
          </cell>
          <cell r="AO2036"/>
          <cell r="AP2036"/>
          <cell r="AQ2036"/>
          <cell r="AR2036"/>
          <cell r="AS2036">
            <v>16</v>
          </cell>
          <cell r="AT2036"/>
          <cell r="AU2036" t="str">
            <v>FR</v>
          </cell>
          <cell r="AV2036"/>
        </row>
        <row r="2037">
          <cell r="Z2037">
            <v>5141688</v>
          </cell>
          <cell r="AA2037" t="str">
            <v>DP Elevator for 2-7/8" Tbg 18°</v>
          </cell>
          <cell r="AB2037">
            <v>0</v>
          </cell>
          <cell r="AC2037" t="str">
            <v>2-7/8" DP</v>
          </cell>
          <cell r="AD2037" t="str">
            <v>18°</v>
          </cell>
          <cell r="AE2037">
            <v>0</v>
          </cell>
          <cell r="AF2037" t="str">
            <v>100T</v>
          </cell>
          <cell r="AG2037"/>
          <cell r="AH2037" t="str">
            <v>en stock</v>
          </cell>
          <cell r="AI2037">
            <v>1</v>
          </cell>
          <cell r="AJ2037">
            <v>0</v>
          </cell>
          <cell r="AK2037">
            <v>0</v>
          </cell>
          <cell r="AL2037"/>
          <cell r="AM2037"/>
          <cell r="AN2037" t="str">
            <v/>
          </cell>
          <cell r="AO2037"/>
          <cell r="AP2037"/>
          <cell r="AQ2037"/>
          <cell r="AR2037"/>
          <cell r="AS2037">
            <v>10</v>
          </cell>
          <cell r="AT2037"/>
          <cell r="AU2037" t="str">
            <v/>
          </cell>
          <cell r="AV2037"/>
        </row>
        <row r="2038">
          <cell r="Z2038">
            <v>5141689</v>
          </cell>
          <cell r="AA2038" t="str">
            <v>DP Elevator for 2-7/8" Tbg 18°</v>
          </cell>
          <cell r="AB2038">
            <v>0</v>
          </cell>
          <cell r="AC2038" t="str">
            <v>2-7/8" DP</v>
          </cell>
          <cell r="AD2038" t="str">
            <v>18°</v>
          </cell>
          <cell r="AE2038">
            <v>0</v>
          </cell>
          <cell r="AF2038" t="str">
            <v>100T</v>
          </cell>
          <cell r="AG2038"/>
          <cell r="AH2038" t="str">
            <v>en stock</v>
          </cell>
          <cell r="AI2038">
            <v>1</v>
          </cell>
          <cell r="AJ2038">
            <v>0</v>
          </cell>
          <cell r="AK2038">
            <v>0</v>
          </cell>
          <cell r="AL2038"/>
          <cell r="AM2038"/>
          <cell r="AN2038" t="str">
            <v/>
          </cell>
          <cell r="AO2038"/>
          <cell r="AP2038"/>
          <cell r="AQ2038"/>
          <cell r="AR2038"/>
          <cell r="AS2038">
            <v>11</v>
          </cell>
          <cell r="AT2038"/>
          <cell r="AU2038" t="str">
            <v/>
          </cell>
          <cell r="AV2038"/>
        </row>
        <row r="2039">
          <cell r="Z2039">
            <v>8131690</v>
          </cell>
          <cell r="AA2039" t="str">
            <v>XO
3-3/4" FJWP Pin x 3-1/2" FJWP Box</v>
          </cell>
          <cell r="AB2039">
            <v>12.112698211200298</v>
          </cell>
          <cell r="AC2039">
            <v>3.75</v>
          </cell>
          <cell r="AD2039">
            <v>600</v>
          </cell>
          <cell r="AE2039" t="str">
            <v>3-3/4" FJWP Pin</v>
          </cell>
          <cell r="AF2039" t="str">
            <v>3-1/2" FJWP Box</v>
          </cell>
          <cell r="AG2039"/>
          <cell r="AH2039" t="str">
            <v xml:space="preserve"> en stock </v>
          </cell>
          <cell r="AI2039">
            <v>1</v>
          </cell>
          <cell r="AJ2039">
            <v>0</v>
          </cell>
          <cell r="AK2039">
            <v>0</v>
          </cell>
          <cell r="AL2039"/>
          <cell r="AM2039"/>
          <cell r="AN2039">
            <v>8131690</v>
          </cell>
          <cell r="AO2039"/>
          <cell r="AP2039"/>
          <cell r="AQ2039"/>
          <cell r="AR2039"/>
          <cell r="AS2039">
            <v>136</v>
          </cell>
          <cell r="AT2039"/>
          <cell r="AU2039" t="str">
            <v>FR</v>
          </cell>
          <cell r="AV2039"/>
        </row>
        <row r="2040">
          <cell r="Z2040">
            <v>8131691</v>
          </cell>
          <cell r="AA2040" t="str">
            <v>XO
3-3/4" FJWP Pin x 3-1/2" FJWP Box</v>
          </cell>
          <cell r="AB2040">
            <v>12.112698211200298</v>
          </cell>
          <cell r="AC2040">
            <v>3.75</v>
          </cell>
          <cell r="AD2040">
            <v>600</v>
          </cell>
          <cell r="AE2040" t="str">
            <v>3-3/4" FJWP Pin</v>
          </cell>
          <cell r="AF2040" t="str">
            <v>3-1/2" FJWP Box</v>
          </cell>
          <cell r="AG2040"/>
          <cell r="AH2040" t="str">
            <v xml:space="preserve"> en stock </v>
          </cell>
          <cell r="AI2040">
            <v>1</v>
          </cell>
          <cell r="AJ2040">
            <v>0</v>
          </cell>
          <cell r="AK2040">
            <v>0</v>
          </cell>
          <cell r="AL2040"/>
          <cell r="AM2040"/>
          <cell r="AN2040">
            <v>8131691</v>
          </cell>
          <cell r="AO2040"/>
          <cell r="AP2040"/>
          <cell r="AQ2040"/>
          <cell r="AR2040"/>
          <cell r="AS2040">
            <v>137</v>
          </cell>
          <cell r="AT2040"/>
          <cell r="AU2040" t="str">
            <v>FR</v>
          </cell>
          <cell r="AV2040"/>
        </row>
        <row r="2041">
          <cell r="Z2041">
            <v>8131692</v>
          </cell>
          <cell r="AA2041" t="str">
            <v>XO
2-3/8" EU Pin x 2-3/8" IF Box</v>
          </cell>
          <cell r="AB2041">
            <v>0</v>
          </cell>
          <cell r="AC2041">
            <v>0</v>
          </cell>
          <cell r="AD2041">
            <v>400</v>
          </cell>
          <cell r="AE2041" t="str">
            <v>2-3/8" EU Pin</v>
          </cell>
          <cell r="AF2041" t="str">
            <v>2-3/8" IF Box</v>
          </cell>
          <cell r="AG2041"/>
          <cell r="AH2041" t="str">
            <v xml:space="preserve"> en stock </v>
          </cell>
          <cell r="AI2041">
            <v>1</v>
          </cell>
          <cell r="AJ2041">
            <v>0</v>
          </cell>
          <cell r="AK2041">
            <v>0</v>
          </cell>
          <cell r="AL2041"/>
          <cell r="AM2041"/>
          <cell r="AN2041">
            <v>8131692</v>
          </cell>
          <cell r="AO2041"/>
          <cell r="AP2041"/>
          <cell r="AQ2041"/>
          <cell r="AR2041"/>
          <cell r="AS2041">
            <v>16</v>
          </cell>
          <cell r="AT2041"/>
          <cell r="AU2041" t="str">
            <v>FR</v>
          </cell>
          <cell r="AV2041"/>
        </row>
        <row r="2042">
          <cell r="Z2042">
            <v>8131693</v>
          </cell>
          <cell r="AA2042" t="str">
            <v>XO
2-3/8" EU Pin x 2-3/8" IF Box</v>
          </cell>
          <cell r="AB2042">
            <v>0</v>
          </cell>
          <cell r="AC2042">
            <v>0</v>
          </cell>
          <cell r="AD2042">
            <v>400</v>
          </cell>
          <cell r="AE2042" t="str">
            <v>2-3/8" EU Pin</v>
          </cell>
          <cell r="AF2042" t="str">
            <v>2-3/8" IF Box</v>
          </cell>
          <cell r="AG2042"/>
          <cell r="AH2042" t="str">
            <v xml:space="preserve"> en stock </v>
          </cell>
          <cell r="AI2042">
            <v>1</v>
          </cell>
          <cell r="AJ2042">
            <v>0</v>
          </cell>
          <cell r="AK2042">
            <v>0</v>
          </cell>
          <cell r="AL2042"/>
          <cell r="AM2042"/>
          <cell r="AN2042">
            <v>8131693</v>
          </cell>
          <cell r="AO2042"/>
          <cell r="AP2042"/>
          <cell r="AQ2042"/>
          <cell r="AR2042"/>
          <cell r="AS2042">
            <v>17</v>
          </cell>
          <cell r="AT2042"/>
          <cell r="AU2042" t="str">
            <v>FR</v>
          </cell>
          <cell r="AV2042"/>
        </row>
        <row r="2043">
          <cell r="Z2043">
            <v>8131694</v>
          </cell>
          <cell r="AA2043" t="str">
            <v>XO
2-3/8" IF Pin x 2-3/8" REG Pin</v>
          </cell>
          <cell r="AB2043">
            <v>0</v>
          </cell>
          <cell r="AC2043">
            <v>0</v>
          </cell>
          <cell r="AD2043">
            <v>500</v>
          </cell>
          <cell r="AE2043" t="str">
            <v>2-3/8" IF Pin</v>
          </cell>
          <cell r="AF2043" t="str">
            <v>2-3/8" REG Pin</v>
          </cell>
          <cell r="AG2043"/>
          <cell r="AH2043" t="str">
            <v xml:space="preserve"> en stock </v>
          </cell>
          <cell r="AI2043">
            <v>1</v>
          </cell>
          <cell r="AJ2043">
            <v>0</v>
          </cell>
          <cell r="AK2043">
            <v>0</v>
          </cell>
          <cell r="AL2043"/>
          <cell r="AM2043"/>
          <cell r="AN2043">
            <v>8131694</v>
          </cell>
          <cell r="AO2043"/>
          <cell r="AP2043"/>
          <cell r="AQ2043"/>
          <cell r="AR2043"/>
          <cell r="AS2043">
            <v>27</v>
          </cell>
          <cell r="AT2043"/>
          <cell r="AU2043" t="str">
            <v>FR</v>
          </cell>
          <cell r="AV2043"/>
        </row>
        <row r="2044">
          <cell r="Z2044">
            <v>8131695</v>
          </cell>
          <cell r="AA2044" t="str">
            <v>XO
2-3/8" IF Pin x 2-3/8" REG Pin</v>
          </cell>
          <cell r="AB2044">
            <v>0</v>
          </cell>
          <cell r="AC2044">
            <v>0</v>
          </cell>
          <cell r="AD2044">
            <v>500</v>
          </cell>
          <cell r="AE2044" t="str">
            <v>2-3/8" IF Pin</v>
          </cell>
          <cell r="AF2044" t="str">
            <v>2-3/8" REG Pin</v>
          </cell>
          <cell r="AG2044"/>
          <cell r="AH2044" t="str">
            <v xml:space="preserve"> en stock </v>
          </cell>
          <cell r="AI2044">
            <v>1</v>
          </cell>
          <cell r="AJ2044">
            <v>0</v>
          </cell>
          <cell r="AK2044">
            <v>0</v>
          </cell>
          <cell r="AL2044"/>
          <cell r="AM2044"/>
          <cell r="AN2044">
            <v>8131695</v>
          </cell>
          <cell r="AO2044"/>
          <cell r="AP2044"/>
          <cell r="AQ2044"/>
          <cell r="AR2044"/>
          <cell r="AS2044">
            <v>28</v>
          </cell>
          <cell r="AT2044"/>
          <cell r="AU2044" t="str">
            <v>FR</v>
          </cell>
          <cell r="AV2044"/>
        </row>
        <row r="2045">
          <cell r="Z2045">
            <v>8021696</v>
          </cell>
          <cell r="AA2045" t="str">
            <v>Bit Sub
4-1/2" IF Box x 4-1/2" REG Box</v>
          </cell>
          <cell r="AB2045">
            <v>0</v>
          </cell>
          <cell r="AC2045">
            <v>6.75</v>
          </cell>
          <cell r="AD2045">
            <v>600</v>
          </cell>
          <cell r="AE2045" t="str">
            <v>4-1/2" IF Box</v>
          </cell>
          <cell r="AF2045" t="str">
            <v>4-1/2" REG Box</v>
          </cell>
          <cell r="AG2045"/>
          <cell r="AH2045" t="str">
            <v>sur chantier</v>
          </cell>
          <cell r="AI2045" t="str">
            <v/>
          </cell>
          <cell r="AJ2045">
            <v>1</v>
          </cell>
          <cell r="AK2045">
            <v>0</v>
          </cell>
          <cell r="AL2045"/>
          <cell r="AM2045"/>
          <cell r="AN2045">
            <v>8021696</v>
          </cell>
          <cell r="AO2045"/>
          <cell r="AP2045"/>
          <cell r="AQ2045"/>
          <cell r="AR2045"/>
          <cell r="AS2045">
            <v>47</v>
          </cell>
          <cell r="AT2045"/>
          <cell r="AU2045" t="str">
            <v>FR</v>
          </cell>
          <cell r="AV2045"/>
        </row>
        <row r="2046">
          <cell r="Z2046">
            <v>8021697</v>
          </cell>
          <cell r="AA2046" t="str">
            <v>Bit Sub
4-1/2" IF Box x 4-1/2" REG Box</v>
          </cell>
          <cell r="AB2046">
            <v>0</v>
          </cell>
          <cell r="AC2046">
            <v>6.75</v>
          </cell>
          <cell r="AD2046">
            <v>600</v>
          </cell>
          <cell r="AE2046" t="str">
            <v>4-1/2" IF Box</v>
          </cell>
          <cell r="AF2046" t="str">
            <v>4-1/2" REG Box</v>
          </cell>
          <cell r="AG2046"/>
          <cell r="AH2046" t="str">
            <v xml:space="preserve"> en stock </v>
          </cell>
          <cell r="AI2046">
            <v>1</v>
          </cell>
          <cell r="AJ2046">
            <v>0</v>
          </cell>
          <cell r="AK2046">
            <v>0</v>
          </cell>
          <cell r="AL2046"/>
          <cell r="AM2046"/>
          <cell r="AN2046">
            <v>8021697</v>
          </cell>
          <cell r="AO2046"/>
          <cell r="AP2046"/>
          <cell r="AQ2046"/>
          <cell r="AR2046"/>
          <cell r="AS2046">
            <v>48</v>
          </cell>
          <cell r="AT2046"/>
          <cell r="AU2046" t="str">
            <v>FR</v>
          </cell>
          <cell r="AV2046"/>
        </row>
        <row r="2047">
          <cell r="Z2047">
            <v>8081698</v>
          </cell>
          <cell r="AA2047" t="str">
            <v>Float Sub 4-3/4" Lg 750 mm
3-1/2" IF Pin x 3-1/2" IF Box BF (3-1/2" IF)</v>
          </cell>
          <cell r="AB2047">
            <v>0</v>
          </cell>
          <cell r="AC2047">
            <v>4.75</v>
          </cell>
          <cell r="AD2047">
            <v>750</v>
          </cell>
          <cell r="AE2047" t="str">
            <v>3-1/2" IF Box BF</v>
          </cell>
          <cell r="AF2047" t="str">
            <v>3-1/2" IF Pin</v>
          </cell>
          <cell r="AG2047" t="str">
            <v>3-1/2" IF</v>
          </cell>
          <cell r="AH2047" t="str">
            <v>maintenance</v>
          </cell>
          <cell r="AI2047" t="str">
            <v/>
          </cell>
          <cell r="AJ2047">
            <v>0</v>
          </cell>
          <cell r="AK2047">
            <v>1</v>
          </cell>
          <cell r="AL2047"/>
          <cell r="AM2047"/>
          <cell r="AN2047">
            <v>8081698</v>
          </cell>
          <cell r="AO2047"/>
          <cell r="AP2047"/>
          <cell r="AQ2047"/>
          <cell r="AR2047"/>
          <cell r="AS2047">
            <v>9</v>
          </cell>
          <cell r="AT2047"/>
          <cell r="AU2047" t="str">
            <v>FR</v>
          </cell>
          <cell r="AV2047"/>
        </row>
        <row r="2048">
          <cell r="Z2048">
            <v>8081699</v>
          </cell>
          <cell r="AA2048" t="str">
            <v>Float Sub 4-3/4" Lg 750 mm
3-1/2" IF Pin x 3-1/2" IF Box BF (3-1/2" IF)</v>
          </cell>
          <cell r="AB2048">
            <v>0</v>
          </cell>
          <cell r="AC2048">
            <v>4.75</v>
          </cell>
          <cell r="AD2048">
            <v>750</v>
          </cell>
          <cell r="AE2048" t="str">
            <v>3-1/2" IF Box BF</v>
          </cell>
          <cell r="AF2048" t="str">
            <v>3-1/2" IF Pin</v>
          </cell>
          <cell r="AG2048" t="str">
            <v>3-1/2" IF</v>
          </cell>
          <cell r="AH2048" t="str">
            <v xml:space="preserve"> en stock </v>
          </cell>
          <cell r="AI2048">
            <v>1</v>
          </cell>
          <cell r="AJ2048">
            <v>0</v>
          </cell>
          <cell r="AK2048">
            <v>0</v>
          </cell>
          <cell r="AL2048"/>
          <cell r="AM2048"/>
          <cell r="AN2048">
            <v>8081699</v>
          </cell>
          <cell r="AO2048"/>
          <cell r="AP2048"/>
          <cell r="AQ2048"/>
          <cell r="AR2048"/>
          <cell r="AS2048">
            <v>10</v>
          </cell>
          <cell r="AT2048"/>
          <cell r="AU2048" t="str">
            <v>FR</v>
          </cell>
          <cell r="AV2048"/>
        </row>
        <row r="2049">
          <cell r="Z2049">
            <v>8081700</v>
          </cell>
          <cell r="AA2049" t="str">
            <v>Float Sub 4-3/4" Lg 750 mm
3-1/2" IF Pin x 3-1/2" IF Box BF (3-1/2" IF)</v>
          </cell>
          <cell r="AB2049">
            <v>0</v>
          </cell>
          <cell r="AC2049">
            <v>4.75</v>
          </cell>
          <cell r="AD2049">
            <v>750</v>
          </cell>
          <cell r="AE2049" t="str">
            <v>3-1/2" IF Box BF</v>
          </cell>
          <cell r="AF2049" t="str">
            <v>3-1/2" IF Pin</v>
          </cell>
          <cell r="AG2049" t="str">
            <v>3-1/2" IF</v>
          </cell>
          <cell r="AH2049" t="str">
            <v xml:space="preserve"> en stock </v>
          </cell>
          <cell r="AI2049">
            <v>1</v>
          </cell>
          <cell r="AJ2049">
            <v>0</v>
          </cell>
          <cell r="AK2049">
            <v>0</v>
          </cell>
          <cell r="AL2049"/>
          <cell r="AM2049"/>
          <cell r="AN2049">
            <v>8081700</v>
          </cell>
          <cell r="AO2049"/>
          <cell r="AP2049"/>
          <cell r="AQ2049"/>
          <cell r="AR2049"/>
          <cell r="AS2049">
            <v>11</v>
          </cell>
          <cell r="AT2049"/>
          <cell r="AU2049" t="str">
            <v>FR</v>
          </cell>
          <cell r="AV2049"/>
        </row>
        <row r="2050">
          <cell r="Z2050">
            <v>8131701</v>
          </cell>
          <cell r="AA2050" t="str">
            <v>XO
4-1/2" REG Pin x 6-5/8" REG Box</v>
          </cell>
          <cell r="AB2050">
            <v>0</v>
          </cell>
          <cell r="AC2050">
            <v>7.75</v>
          </cell>
          <cell r="AD2050">
            <v>300</v>
          </cell>
          <cell r="AE2050" t="str">
            <v>4-1/2" REG Pin</v>
          </cell>
          <cell r="AF2050" t="str">
            <v>6-5/8" REG Box</v>
          </cell>
          <cell r="AG2050"/>
          <cell r="AH2050" t="str">
            <v xml:space="preserve"> en stock </v>
          </cell>
          <cell r="AI2050">
            <v>1</v>
          </cell>
          <cell r="AJ2050">
            <v>0</v>
          </cell>
          <cell r="AK2050">
            <v>0</v>
          </cell>
          <cell r="AL2050"/>
          <cell r="AM2050"/>
          <cell r="AN2050">
            <v>8131701</v>
          </cell>
          <cell r="AO2050"/>
          <cell r="AP2050"/>
          <cell r="AQ2050"/>
          <cell r="AR2050"/>
          <cell r="AS2050">
            <v>187</v>
          </cell>
          <cell r="AT2050"/>
          <cell r="AU2050" t="str">
            <v>FR</v>
          </cell>
          <cell r="AV2050"/>
        </row>
        <row r="2051">
          <cell r="Z2051">
            <v>5071702</v>
          </cell>
          <cell r="AA2051" t="str">
            <v>Super Junk Mill 
3-1/2" REG Pin</v>
          </cell>
          <cell r="AB2051">
            <v>70</v>
          </cell>
          <cell r="AC2051">
            <v>5.875</v>
          </cell>
          <cell r="AD2051">
            <v>680</v>
          </cell>
          <cell r="AE2051" t="str">
            <v>3-1/2" REG Pin</v>
          </cell>
          <cell r="AF2051"/>
          <cell r="AG2051" t="str">
            <v>C</v>
          </cell>
          <cell r="AH2051" t="str">
            <v xml:space="preserve"> en stock </v>
          </cell>
          <cell r="AI2051">
            <v>1</v>
          </cell>
          <cell r="AJ2051">
            <v>0</v>
          </cell>
          <cell r="AK2051">
            <v>0</v>
          </cell>
          <cell r="AL2051"/>
          <cell r="AM2051"/>
          <cell r="AN2051">
            <v>5071702</v>
          </cell>
          <cell r="AO2051"/>
          <cell r="AP2051"/>
          <cell r="AQ2051"/>
          <cell r="AR2051"/>
          <cell r="AS2051">
            <v>30</v>
          </cell>
          <cell r="AT2051" t="str">
            <v>507-</v>
          </cell>
          <cell r="AU2051" t="str">
            <v>FR</v>
          </cell>
          <cell r="AV2051"/>
        </row>
        <row r="2052">
          <cell r="Z2052">
            <v>5071703</v>
          </cell>
          <cell r="AA2052" t="str">
            <v>Super Junk Mill 
3-1/2" REG Pin</v>
          </cell>
          <cell r="AB2052">
            <v>70</v>
          </cell>
          <cell r="AC2052">
            <v>6.125</v>
          </cell>
          <cell r="AD2052">
            <v>680</v>
          </cell>
          <cell r="AE2052" t="str">
            <v>3-1/2" REG Pin</v>
          </cell>
          <cell r="AF2052"/>
          <cell r="AG2052" t="str">
            <v>C</v>
          </cell>
          <cell r="AH2052" t="str">
            <v xml:space="preserve"> en stock </v>
          </cell>
          <cell r="AI2052">
            <v>1</v>
          </cell>
          <cell r="AJ2052">
            <v>0</v>
          </cell>
          <cell r="AK2052">
            <v>0</v>
          </cell>
          <cell r="AL2052"/>
          <cell r="AM2052"/>
          <cell r="AN2052">
            <v>5071703</v>
          </cell>
          <cell r="AO2052"/>
          <cell r="AP2052"/>
          <cell r="AQ2052"/>
          <cell r="AR2052"/>
          <cell r="AS2052">
            <v>50</v>
          </cell>
          <cell r="AT2052" t="str">
            <v>507-</v>
          </cell>
          <cell r="AU2052" t="str">
            <v>FR</v>
          </cell>
          <cell r="AV2052"/>
        </row>
        <row r="2053">
          <cell r="Z2053">
            <v>1071704</v>
          </cell>
          <cell r="AA2053" t="str">
            <v>Jetting Sub 8" OD
6-5/8" REG Pin x Box</v>
          </cell>
          <cell r="AB2053">
            <v>202.256111616</v>
          </cell>
          <cell r="AC2053">
            <v>8</v>
          </cell>
          <cell r="AD2053">
            <v>800</v>
          </cell>
          <cell r="AE2053" t="str">
            <v>6-5/8" REG Box</v>
          </cell>
          <cell r="AF2053" t="str">
            <v>6-5/8" REG Pin</v>
          </cell>
          <cell r="AG2053"/>
          <cell r="AH2053" t="str">
            <v xml:space="preserve"> en stock </v>
          </cell>
          <cell r="AI2053">
            <v>1</v>
          </cell>
          <cell r="AJ2053">
            <v>0</v>
          </cell>
          <cell r="AK2053">
            <v>0</v>
          </cell>
          <cell r="AL2053"/>
          <cell r="AM2053"/>
          <cell r="AN2053">
            <v>1071704</v>
          </cell>
          <cell r="AO2053"/>
          <cell r="AP2053"/>
          <cell r="AQ2053"/>
          <cell r="AR2053"/>
          <cell r="AS2053">
            <v>8</v>
          </cell>
          <cell r="AT2053"/>
          <cell r="AU2053" t="str">
            <v>FR</v>
          </cell>
          <cell r="AV2053"/>
        </row>
        <row r="2054">
          <cell r="Z2054">
            <v>1071705</v>
          </cell>
          <cell r="AA2054" t="str">
            <v>Jetting Sub 6-1/2" OD
4-1/2" IF Pin x Box</v>
          </cell>
          <cell r="AB2054">
            <v>0</v>
          </cell>
          <cell r="AC2054">
            <v>6.5</v>
          </cell>
          <cell r="AD2054">
            <v>0</v>
          </cell>
          <cell r="AE2054" t="str">
            <v>4-1/2" IF Box</v>
          </cell>
          <cell r="AF2054" t="str">
            <v>4-1/2" IF Pin</v>
          </cell>
          <cell r="AG2054"/>
          <cell r="AH2054" t="str">
            <v xml:space="preserve"> en stock </v>
          </cell>
          <cell r="AI2054">
            <v>1</v>
          </cell>
          <cell r="AJ2054">
            <v>0</v>
          </cell>
          <cell r="AK2054">
            <v>0</v>
          </cell>
          <cell r="AL2054"/>
          <cell r="AM2054"/>
          <cell r="AN2054">
            <v>1071705</v>
          </cell>
          <cell r="AO2054"/>
          <cell r="AP2054"/>
          <cell r="AQ2054"/>
          <cell r="AR2054"/>
          <cell r="AS2054">
            <v>7</v>
          </cell>
          <cell r="AT2054"/>
          <cell r="AU2054" t="str">
            <v>FR</v>
          </cell>
          <cell r="AV2054"/>
        </row>
        <row r="2055">
          <cell r="Z2055">
            <v>7161706</v>
          </cell>
          <cell r="AA2055" t="str">
            <v>T-Tang 5-3/4" OD
5-1/2" FJWP Pin x 5-1/2" FJWP Box</v>
          </cell>
          <cell r="AB2055">
            <v>60</v>
          </cell>
          <cell r="AC2055">
            <v>5.75</v>
          </cell>
          <cell r="AD2055">
            <v>1210</v>
          </cell>
          <cell r="AE2055" t="str">
            <v>5-1/2" FJWP Box</v>
          </cell>
          <cell r="AF2055" t="str">
            <v>5-1/2" FJWP Pin</v>
          </cell>
          <cell r="AG2055"/>
          <cell r="AH2055" t="str">
            <v xml:space="preserve"> en stock </v>
          </cell>
          <cell r="AI2055">
            <v>1</v>
          </cell>
          <cell r="AJ2055">
            <v>0</v>
          </cell>
          <cell r="AK2055">
            <v>0</v>
          </cell>
          <cell r="AL2055"/>
          <cell r="AM2055"/>
          <cell r="AN2055">
            <v>7161706</v>
          </cell>
          <cell r="AO2055"/>
          <cell r="AP2055"/>
          <cell r="AQ2055"/>
          <cell r="AR2055"/>
          <cell r="AS2055">
            <v>7</v>
          </cell>
          <cell r="AT2055"/>
          <cell r="AU2055" t="str">
            <v>FR</v>
          </cell>
          <cell r="AV2055"/>
        </row>
        <row r="2056">
          <cell r="Z2056">
            <v>5151707</v>
          </cell>
          <cell r="AA2056" t="str">
            <v>WO Lift Plug 
5-3/8" BR Pin</v>
          </cell>
          <cell r="AB2056">
            <v>0</v>
          </cell>
          <cell r="AC2056">
            <v>8.625</v>
          </cell>
          <cell r="AD2056"/>
          <cell r="AE2056" t="str">
            <v>5-3/8" BR Pin</v>
          </cell>
          <cell r="AF2056"/>
          <cell r="AG2056"/>
          <cell r="AH2056" t="str">
            <v xml:space="preserve"> en stock </v>
          </cell>
          <cell r="AI2056">
            <v>1</v>
          </cell>
          <cell r="AJ2056">
            <v>0</v>
          </cell>
          <cell r="AK2056">
            <v>0</v>
          </cell>
          <cell r="AL2056"/>
          <cell r="AM2056"/>
          <cell r="AN2056">
            <v>5151707</v>
          </cell>
          <cell r="AO2056"/>
          <cell r="AP2056"/>
          <cell r="AQ2056"/>
          <cell r="AR2056"/>
          <cell r="AS2056">
            <v>7</v>
          </cell>
          <cell r="AT2056"/>
          <cell r="AU2056" t="str">
            <v>FR</v>
          </cell>
          <cell r="AV2056"/>
        </row>
        <row r="2057">
          <cell r="Z2057">
            <v>5151708</v>
          </cell>
          <cell r="AA2057" t="str">
            <v>WO Lift Plug 
5-3/8" BR Pin</v>
          </cell>
          <cell r="AB2057">
            <v>0</v>
          </cell>
          <cell r="AC2057">
            <v>8.625</v>
          </cell>
          <cell r="AD2057"/>
          <cell r="AE2057" t="str">
            <v>5-3/8" BR Pin</v>
          </cell>
          <cell r="AF2057"/>
          <cell r="AG2057"/>
          <cell r="AH2057" t="str">
            <v xml:space="preserve"> en stock </v>
          </cell>
          <cell r="AI2057">
            <v>1</v>
          </cell>
          <cell r="AJ2057">
            <v>0</v>
          </cell>
          <cell r="AK2057">
            <v>0</v>
          </cell>
          <cell r="AL2057"/>
          <cell r="AM2057"/>
          <cell r="AN2057">
            <v>5151708</v>
          </cell>
          <cell r="AO2057"/>
          <cell r="AP2057"/>
          <cell r="AQ2057"/>
          <cell r="AR2057"/>
          <cell r="AS2057">
            <v>8</v>
          </cell>
          <cell r="AT2057"/>
          <cell r="AU2057" t="str">
            <v>FR</v>
          </cell>
          <cell r="AV2057"/>
        </row>
        <row r="2058">
          <cell r="Z2058">
            <v>5151709</v>
          </cell>
          <cell r="AA2058" t="str">
            <v>WO Lift Plug 
5-1/2" FJWP Pin</v>
          </cell>
          <cell r="AB2058">
            <v>20</v>
          </cell>
          <cell r="AC2058">
            <v>8.625</v>
          </cell>
          <cell r="AD2058"/>
          <cell r="AE2058" t="str">
            <v>5-1/2" FJWP Pin</v>
          </cell>
          <cell r="AF2058"/>
          <cell r="AG2058"/>
          <cell r="AH2058" t="str">
            <v xml:space="preserve"> en stock </v>
          </cell>
          <cell r="AI2058">
            <v>1</v>
          </cell>
          <cell r="AJ2058">
            <v>0</v>
          </cell>
          <cell r="AK2058">
            <v>0</v>
          </cell>
          <cell r="AL2058"/>
          <cell r="AM2058"/>
          <cell r="AN2058">
            <v>5151709</v>
          </cell>
          <cell r="AO2058"/>
          <cell r="AP2058"/>
          <cell r="AQ2058"/>
          <cell r="AR2058"/>
          <cell r="AS2058">
            <v>17</v>
          </cell>
          <cell r="AT2058"/>
          <cell r="AU2058" t="str">
            <v>FR</v>
          </cell>
          <cell r="AV2058"/>
        </row>
        <row r="2059">
          <cell r="Z2059">
            <v>5151710</v>
          </cell>
          <cell r="AA2059" t="str">
            <v>WO Lift Plug 
5-1/2" FJWP Pin</v>
          </cell>
          <cell r="AB2059">
            <v>20</v>
          </cell>
          <cell r="AC2059">
            <v>8.625</v>
          </cell>
          <cell r="AD2059"/>
          <cell r="AE2059" t="str">
            <v>5-1/2" FJWP Pin</v>
          </cell>
          <cell r="AF2059"/>
          <cell r="AG2059"/>
          <cell r="AH2059" t="str">
            <v xml:space="preserve"> en stock </v>
          </cell>
          <cell r="AI2059">
            <v>1</v>
          </cell>
          <cell r="AJ2059">
            <v>0</v>
          </cell>
          <cell r="AK2059">
            <v>0</v>
          </cell>
          <cell r="AL2059"/>
          <cell r="AM2059"/>
          <cell r="AN2059">
            <v>5151710</v>
          </cell>
          <cell r="AO2059"/>
          <cell r="AP2059"/>
          <cell r="AQ2059"/>
          <cell r="AR2059"/>
          <cell r="AS2059">
            <v>18</v>
          </cell>
          <cell r="AT2059"/>
          <cell r="AU2059" t="str">
            <v>FR</v>
          </cell>
          <cell r="AV2059"/>
        </row>
        <row r="2060">
          <cell r="Z2060">
            <v>5101711</v>
          </cell>
          <cell r="AA2060" t="str">
            <v>WO Pipe
4-1/2" FJWP Pin x Box</v>
          </cell>
          <cell r="AB2060">
            <v>0</v>
          </cell>
          <cell r="AC2060">
            <v>4.5</v>
          </cell>
          <cell r="AD2060">
            <v>9500</v>
          </cell>
          <cell r="AE2060" t="str">
            <v>4-1/2" FJWP Box</v>
          </cell>
          <cell r="AF2060" t="str">
            <v>4-1/2" FJWP Pin</v>
          </cell>
          <cell r="AG2060"/>
          <cell r="AH2060" t="str">
            <v>en stock</v>
          </cell>
          <cell r="AI2060">
            <v>0</v>
          </cell>
          <cell r="AJ2060">
            <v>0</v>
          </cell>
          <cell r="AK2060">
            <v>0</v>
          </cell>
          <cell r="AL2060"/>
          <cell r="AM2060"/>
          <cell r="AN2060">
            <v>5101711</v>
          </cell>
          <cell r="AO2060"/>
          <cell r="AP2060"/>
          <cell r="AQ2060"/>
          <cell r="AR2060"/>
          <cell r="AS2060">
            <v>29</v>
          </cell>
          <cell r="AT2060"/>
          <cell r="AU2060" t="str">
            <v>FR</v>
          </cell>
          <cell r="AV2060"/>
        </row>
        <row r="2061">
          <cell r="Z2061">
            <v>5101712</v>
          </cell>
          <cell r="AA2061" t="str">
            <v>WO Pipe
4-1/2" FJWP Pin x Box</v>
          </cell>
          <cell r="AB2061">
            <v>0</v>
          </cell>
          <cell r="AC2061">
            <v>4.5</v>
          </cell>
          <cell r="AD2061">
            <v>9500</v>
          </cell>
          <cell r="AE2061" t="str">
            <v>4-1/2" FJWP Box</v>
          </cell>
          <cell r="AF2061" t="str">
            <v>4-1/2" FJWP Pin</v>
          </cell>
          <cell r="AG2061"/>
          <cell r="AH2061" t="str">
            <v xml:space="preserve"> en stock </v>
          </cell>
          <cell r="AI2061">
            <v>1</v>
          </cell>
          <cell r="AJ2061">
            <v>0</v>
          </cell>
          <cell r="AK2061">
            <v>0</v>
          </cell>
          <cell r="AL2061"/>
          <cell r="AM2061"/>
          <cell r="AN2061">
            <v>5101712</v>
          </cell>
          <cell r="AO2061"/>
          <cell r="AP2061"/>
          <cell r="AQ2061"/>
          <cell r="AR2061"/>
          <cell r="AS2061">
            <v>30</v>
          </cell>
          <cell r="AT2061"/>
          <cell r="AU2061" t="str">
            <v>FR</v>
          </cell>
          <cell r="AV2061"/>
        </row>
        <row r="2062">
          <cell r="Z2062">
            <v>5101713</v>
          </cell>
          <cell r="AA2062" t="str">
            <v>WO Pipe
4-1/2" FJWP Pin x Box</v>
          </cell>
          <cell r="AB2062">
            <v>0</v>
          </cell>
          <cell r="AC2062">
            <v>4.5</v>
          </cell>
          <cell r="AD2062">
            <v>9500</v>
          </cell>
          <cell r="AE2062" t="str">
            <v>4-1/2" FJWP Box</v>
          </cell>
          <cell r="AF2062" t="str">
            <v>4-1/2" FJWP Pin</v>
          </cell>
          <cell r="AG2062"/>
          <cell r="AH2062" t="str">
            <v xml:space="preserve"> en stock </v>
          </cell>
          <cell r="AI2062">
            <v>1</v>
          </cell>
          <cell r="AJ2062">
            <v>0</v>
          </cell>
          <cell r="AK2062">
            <v>0</v>
          </cell>
          <cell r="AL2062"/>
          <cell r="AM2062"/>
          <cell r="AN2062">
            <v>5101713</v>
          </cell>
          <cell r="AO2062"/>
          <cell r="AP2062"/>
          <cell r="AQ2062"/>
          <cell r="AR2062"/>
          <cell r="AS2062">
            <v>31</v>
          </cell>
          <cell r="AT2062"/>
          <cell r="AU2062" t="str">
            <v>FR</v>
          </cell>
          <cell r="AV2062"/>
        </row>
        <row r="2063">
          <cell r="Z2063">
            <v>5101714</v>
          </cell>
          <cell r="AA2063" t="str">
            <v>WO Pipe
4-1/2" FJWP Pin x Box</v>
          </cell>
          <cell r="AB2063">
            <v>0</v>
          </cell>
          <cell r="AC2063">
            <v>4.5</v>
          </cell>
          <cell r="AD2063">
            <v>9500</v>
          </cell>
          <cell r="AE2063" t="str">
            <v>4-1/2" FJWP Box</v>
          </cell>
          <cell r="AF2063" t="str">
            <v>4-1/2" FJWP Pin</v>
          </cell>
          <cell r="AG2063"/>
          <cell r="AH2063" t="str">
            <v>maintenance</v>
          </cell>
          <cell r="AI2063" t="str">
            <v/>
          </cell>
          <cell r="AJ2063">
            <v>0</v>
          </cell>
          <cell r="AK2063">
            <v>1</v>
          </cell>
          <cell r="AL2063"/>
          <cell r="AM2063"/>
          <cell r="AN2063">
            <v>5101714</v>
          </cell>
          <cell r="AO2063"/>
          <cell r="AP2063"/>
          <cell r="AQ2063"/>
          <cell r="AR2063"/>
          <cell r="AS2063">
            <v>32</v>
          </cell>
          <cell r="AT2063"/>
          <cell r="AU2063" t="str">
            <v>FR</v>
          </cell>
          <cell r="AV2063"/>
        </row>
        <row r="2064">
          <cell r="Z2064">
            <v>5101715</v>
          </cell>
          <cell r="AA2064" t="str">
            <v>WO Pipe
4-1/2" FJWP Pin x Box</v>
          </cell>
          <cell r="AB2064">
            <v>0</v>
          </cell>
          <cell r="AC2064">
            <v>4.5</v>
          </cell>
          <cell r="AD2064">
            <v>9500</v>
          </cell>
          <cell r="AE2064" t="str">
            <v>4-1/2" FJWP Box</v>
          </cell>
          <cell r="AF2064" t="str">
            <v>4-1/2" FJWP Pin</v>
          </cell>
          <cell r="AG2064"/>
          <cell r="AH2064" t="str">
            <v xml:space="preserve"> en stock </v>
          </cell>
          <cell r="AI2064">
            <v>1</v>
          </cell>
          <cell r="AJ2064">
            <v>0</v>
          </cell>
          <cell r="AK2064">
            <v>0</v>
          </cell>
          <cell r="AL2064"/>
          <cell r="AM2064"/>
          <cell r="AN2064">
            <v>5101715</v>
          </cell>
          <cell r="AO2064"/>
          <cell r="AP2064"/>
          <cell r="AQ2064"/>
          <cell r="AR2064"/>
          <cell r="AS2064">
            <v>33</v>
          </cell>
          <cell r="AT2064"/>
          <cell r="AU2064" t="str">
            <v>FR</v>
          </cell>
          <cell r="AV2064"/>
        </row>
        <row r="2065">
          <cell r="Z2065">
            <v>5101716</v>
          </cell>
          <cell r="AA2065" t="str">
            <v>WO Pipe
4-1/2" FJWP Pin x Box</v>
          </cell>
          <cell r="AB2065">
            <v>0</v>
          </cell>
          <cell r="AC2065">
            <v>4.5</v>
          </cell>
          <cell r="AD2065">
            <v>9500</v>
          </cell>
          <cell r="AE2065" t="str">
            <v>4-1/2" FJWP Box</v>
          </cell>
          <cell r="AF2065" t="str">
            <v>4-1/2" FJWP Pin</v>
          </cell>
          <cell r="AG2065"/>
          <cell r="AH2065" t="str">
            <v xml:space="preserve"> en stock </v>
          </cell>
          <cell r="AI2065">
            <v>1</v>
          </cell>
          <cell r="AJ2065">
            <v>0</v>
          </cell>
          <cell r="AK2065">
            <v>0</v>
          </cell>
          <cell r="AL2065"/>
          <cell r="AM2065"/>
          <cell r="AN2065">
            <v>5101716</v>
          </cell>
          <cell r="AO2065"/>
          <cell r="AP2065"/>
          <cell r="AQ2065"/>
          <cell r="AR2065"/>
          <cell r="AS2065">
            <v>34</v>
          </cell>
          <cell r="AT2065"/>
          <cell r="AU2065" t="str">
            <v>FR</v>
          </cell>
          <cell r="AV2065"/>
        </row>
        <row r="2066">
          <cell r="Z2066">
            <v>5111717</v>
          </cell>
          <cell r="AA2066" t="str">
            <v>WO Shoe
4-1/2" FJWP Box</v>
          </cell>
          <cell r="AB2066">
            <v>13.515014098950001</v>
          </cell>
          <cell r="AC2066">
            <v>0</v>
          </cell>
          <cell r="AD2066">
            <v>805</v>
          </cell>
          <cell r="AE2066" t="str">
            <v>4-1/2" FJWP Box</v>
          </cell>
          <cell r="AF2066"/>
          <cell r="AG2066" t="str">
            <v>BLANK</v>
          </cell>
          <cell r="AH2066" t="str">
            <v xml:space="preserve"> en stock </v>
          </cell>
          <cell r="AI2066" t="str">
            <v>blank</v>
          </cell>
          <cell r="AJ2066">
            <v>0</v>
          </cell>
          <cell r="AK2066">
            <v>0</v>
          </cell>
          <cell r="AL2066"/>
          <cell r="AM2066"/>
          <cell r="AN2066" t="str">
            <v/>
          </cell>
          <cell r="AO2066"/>
          <cell r="AP2066"/>
          <cell r="AQ2066"/>
          <cell r="AR2066"/>
          <cell r="AS2066">
            <v>75</v>
          </cell>
          <cell r="AT2066"/>
          <cell r="AU2066" t="str">
            <v>FR</v>
          </cell>
          <cell r="AV2066"/>
        </row>
        <row r="2067">
          <cell r="Z2067">
            <v>5111718</v>
          </cell>
          <cell r="AA2067" t="str">
            <v>WO Shoe
4-1/2" FJWP Box</v>
          </cell>
          <cell r="AB2067">
            <v>13.515014098950001</v>
          </cell>
          <cell r="AC2067">
            <v>0</v>
          </cell>
          <cell r="AD2067">
            <v>805</v>
          </cell>
          <cell r="AE2067" t="str">
            <v>4-1/2" FJWP Box</v>
          </cell>
          <cell r="AF2067"/>
          <cell r="AG2067" t="str">
            <v>BLANK</v>
          </cell>
          <cell r="AH2067" t="str">
            <v xml:space="preserve"> en stock </v>
          </cell>
          <cell r="AI2067" t="str">
            <v>blank</v>
          </cell>
          <cell r="AJ2067">
            <v>0</v>
          </cell>
          <cell r="AK2067">
            <v>0</v>
          </cell>
          <cell r="AL2067"/>
          <cell r="AM2067"/>
          <cell r="AN2067" t="str">
            <v/>
          </cell>
          <cell r="AO2067"/>
          <cell r="AP2067"/>
          <cell r="AQ2067"/>
          <cell r="AR2067"/>
          <cell r="AS2067">
            <v>76</v>
          </cell>
          <cell r="AT2067"/>
          <cell r="AU2067" t="str">
            <v>FR</v>
          </cell>
          <cell r="AV2067"/>
        </row>
        <row r="2068">
          <cell r="Z2068">
            <v>5111719</v>
          </cell>
          <cell r="AA2068" t="str">
            <v>WO Shoe
4-1/2" FJWP Box</v>
          </cell>
          <cell r="AB2068">
            <v>13.515014098950001</v>
          </cell>
          <cell r="AC2068">
            <v>0</v>
          </cell>
          <cell r="AD2068">
            <v>805</v>
          </cell>
          <cell r="AE2068" t="str">
            <v>4-1/2" FJWP Box</v>
          </cell>
          <cell r="AF2068"/>
          <cell r="AG2068" t="str">
            <v>BLANK</v>
          </cell>
          <cell r="AH2068" t="str">
            <v xml:space="preserve"> en stock </v>
          </cell>
          <cell r="AI2068" t="str">
            <v>blank</v>
          </cell>
          <cell r="AJ2068">
            <v>0</v>
          </cell>
          <cell r="AK2068">
            <v>0</v>
          </cell>
          <cell r="AL2068"/>
          <cell r="AM2068"/>
          <cell r="AN2068" t="str">
            <v/>
          </cell>
          <cell r="AO2068"/>
          <cell r="AP2068"/>
          <cell r="AQ2068"/>
          <cell r="AR2068"/>
          <cell r="AS2068">
            <v>77</v>
          </cell>
          <cell r="AT2068"/>
          <cell r="AU2068" t="str">
            <v>FR</v>
          </cell>
          <cell r="AV2068"/>
        </row>
        <row r="2069">
          <cell r="Z2069">
            <v>5111720</v>
          </cell>
          <cell r="AA2069" t="str">
            <v>WO Shoe
4-1/2" FJWP Box</v>
          </cell>
          <cell r="AB2069">
            <v>13.515014098950001</v>
          </cell>
          <cell r="AC2069">
            <v>0</v>
          </cell>
          <cell r="AD2069">
            <v>805</v>
          </cell>
          <cell r="AE2069" t="str">
            <v>4-1/2" FJWP Box</v>
          </cell>
          <cell r="AF2069"/>
          <cell r="AG2069" t="str">
            <v>BLANK</v>
          </cell>
          <cell r="AH2069" t="str">
            <v xml:space="preserve"> en stock </v>
          </cell>
          <cell r="AI2069" t="str">
            <v>blank</v>
          </cell>
          <cell r="AJ2069">
            <v>0</v>
          </cell>
          <cell r="AK2069">
            <v>0</v>
          </cell>
          <cell r="AL2069"/>
          <cell r="AM2069"/>
          <cell r="AN2069" t="str">
            <v/>
          </cell>
          <cell r="AO2069"/>
          <cell r="AP2069"/>
          <cell r="AQ2069"/>
          <cell r="AR2069"/>
          <cell r="AS2069">
            <v>78</v>
          </cell>
          <cell r="AT2069"/>
          <cell r="AU2069" t="str">
            <v>FR</v>
          </cell>
          <cell r="AV2069"/>
        </row>
        <row r="2070">
          <cell r="Z2070">
            <v>5141721</v>
          </cell>
          <cell r="AA2070" t="str">
            <v>DP Elevator for 5" DP 18°
BJ 250T</v>
          </cell>
          <cell r="AB2070">
            <v>0</v>
          </cell>
          <cell r="AC2070" t="str">
            <v>5" DP</v>
          </cell>
          <cell r="AD2070" t="str">
            <v>18°</v>
          </cell>
          <cell r="AE2070">
            <v>0</v>
          </cell>
          <cell r="AF2070" t="str">
            <v>250T env</v>
          </cell>
          <cell r="AG2070"/>
          <cell r="AH2070" t="str">
            <v>en stock</v>
          </cell>
          <cell r="AI2070" t="str">
            <v/>
          </cell>
          <cell r="AJ2070">
            <v>1</v>
          </cell>
          <cell r="AK2070">
            <v>0</v>
          </cell>
          <cell r="AL2070"/>
          <cell r="AM2070"/>
          <cell r="AN2070" t="str">
            <v/>
          </cell>
          <cell r="AO2070"/>
          <cell r="AP2070"/>
          <cell r="AQ2070"/>
          <cell r="AR2070"/>
          <cell r="AS2070">
            <v>15</v>
          </cell>
          <cell r="AT2070"/>
          <cell r="AU2070" t="str">
            <v/>
          </cell>
          <cell r="AV2070"/>
        </row>
        <row r="2071">
          <cell r="Z2071">
            <v>5101722</v>
          </cell>
          <cell r="AA2071" t="str">
            <v>WO Pipe
3-3/4" FJWP Pin x Box</v>
          </cell>
          <cell r="AB2071">
            <v>516.76596999421861</v>
          </cell>
          <cell r="AC2071">
            <v>3.8125</v>
          </cell>
          <cell r="AD2071">
            <v>9000</v>
          </cell>
          <cell r="AE2071" t="str">
            <v>3-3/4" FJWP Box</v>
          </cell>
          <cell r="AF2071" t="str">
            <v xml:space="preserve">3-3/4" FJWP Pin </v>
          </cell>
          <cell r="AG2071"/>
          <cell r="AH2071" t="str">
            <v xml:space="preserve"> en stock </v>
          </cell>
          <cell r="AI2071">
            <v>1</v>
          </cell>
          <cell r="AJ2071">
            <v>0</v>
          </cell>
          <cell r="AK2071">
            <v>0</v>
          </cell>
          <cell r="AL2071"/>
          <cell r="AM2071"/>
          <cell r="AN2071">
            <v>5101722</v>
          </cell>
          <cell r="AO2071"/>
          <cell r="AP2071"/>
          <cell r="AQ2071"/>
          <cell r="AR2071"/>
          <cell r="AS2071">
            <v>12</v>
          </cell>
          <cell r="AT2071"/>
          <cell r="AU2071" t="str">
            <v>FR</v>
          </cell>
          <cell r="AV2071"/>
        </row>
        <row r="2072">
          <cell r="Z2072">
            <v>5101723</v>
          </cell>
          <cell r="AA2072" t="str">
            <v>WO Pipe
3-3/4" FJWP Pin x Box</v>
          </cell>
          <cell r="AB2072">
            <v>516.76596999421861</v>
          </cell>
          <cell r="AC2072">
            <v>3.8125</v>
          </cell>
          <cell r="AD2072">
            <v>9000</v>
          </cell>
          <cell r="AE2072" t="str">
            <v>3-3/4" FJWP Box</v>
          </cell>
          <cell r="AF2072" t="str">
            <v xml:space="preserve">3-3/4" FJWP Pin </v>
          </cell>
          <cell r="AG2072"/>
          <cell r="AH2072" t="str">
            <v xml:space="preserve"> en stock </v>
          </cell>
          <cell r="AI2072">
            <v>1</v>
          </cell>
          <cell r="AJ2072">
            <v>0</v>
          </cell>
          <cell r="AK2072">
            <v>0</v>
          </cell>
          <cell r="AL2072"/>
          <cell r="AM2072"/>
          <cell r="AN2072">
            <v>5101723</v>
          </cell>
          <cell r="AO2072"/>
          <cell r="AP2072"/>
          <cell r="AQ2072"/>
          <cell r="AR2072"/>
          <cell r="AS2072">
            <v>13</v>
          </cell>
          <cell r="AT2072"/>
          <cell r="AU2072" t="str">
            <v>FR</v>
          </cell>
          <cell r="AV2072"/>
        </row>
        <row r="2073">
          <cell r="Z2073">
            <v>5101724</v>
          </cell>
          <cell r="AA2073" t="str">
            <v>WO Pipe
3-3/4" FJWP Pin x Box</v>
          </cell>
          <cell r="AB2073">
            <v>516.76596999421861</v>
          </cell>
          <cell r="AC2073">
            <v>3.8125</v>
          </cell>
          <cell r="AD2073">
            <v>9000</v>
          </cell>
          <cell r="AE2073" t="str">
            <v>3-3/4" FJWP Box</v>
          </cell>
          <cell r="AF2073" t="str">
            <v xml:space="preserve">3-3/4" FJWP Pin </v>
          </cell>
          <cell r="AG2073"/>
          <cell r="AH2073" t="str">
            <v xml:space="preserve"> en stock </v>
          </cell>
          <cell r="AI2073">
            <v>1</v>
          </cell>
          <cell r="AJ2073">
            <v>0</v>
          </cell>
          <cell r="AK2073">
            <v>0</v>
          </cell>
          <cell r="AL2073"/>
          <cell r="AM2073"/>
          <cell r="AN2073">
            <v>5101724</v>
          </cell>
          <cell r="AO2073"/>
          <cell r="AP2073"/>
          <cell r="AQ2073"/>
          <cell r="AR2073"/>
          <cell r="AS2073">
            <v>14</v>
          </cell>
          <cell r="AT2073"/>
          <cell r="AU2073" t="str">
            <v>FR</v>
          </cell>
          <cell r="AV2073"/>
        </row>
        <row r="2074">
          <cell r="Z2074">
            <v>5091725</v>
          </cell>
          <cell r="AA2074" t="str">
            <v>WO Extension Lg 2930 mm
3-3/4" FJWP Pin x Box</v>
          </cell>
          <cell r="AB2074">
            <v>45.981199947698421</v>
          </cell>
          <cell r="AC2074">
            <v>3.8125</v>
          </cell>
          <cell r="AD2074">
            <v>2930</v>
          </cell>
          <cell r="AE2074" t="str">
            <v>3-3/4" FJWP Box</v>
          </cell>
          <cell r="AF2074" t="str">
            <v>3-3/4" FJWP Pin</v>
          </cell>
          <cell r="AG2074"/>
          <cell r="AH2074" t="str">
            <v xml:space="preserve"> en stock </v>
          </cell>
          <cell r="AI2074">
            <v>1</v>
          </cell>
          <cell r="AJ2074">
            <v>0</v>
          </cell>
          <cell r="AK2074">
            <v>0</v>
          </cell>
          <cell r="AL2074"/>
          <cell r="AM2074"/>
          <cell r="AN2074">
            <v>5091725</v>
          </cell>
          <cell r="AO2074"/>
          <cell r="AP2074"/>
          <cell r="AQ2074"/>
          <cell r="AR2074"/>
          <cell r="AS2074">
            <v>20</v>
          </cell>
          <cell r="AT2074"/>
          <cell r="AU2074" t="str">
            <v>FR</v>
          </cell>
          <cell r="AV2074"/>
        </row>
        <row r="2075">
          <cell r="Z2075">
            <v>5091726</v>
          </cell>
          <cell r="AA2075" t="str">
            <v>WO Extension Lg 1930 mm
3-3/4" FJWP Pin x Box</v>
          </cell>
          <cell r="AB2075">
            <v>30.287957644729676</v>
          </cell>
          <cell r="AC2075">
            <v>3.8125</v>
          </cell>
          <cell r="AD2075">
            <v>1930</v>
          </cell>
          <cell r="AE2075" t="str">
            <v>3-3/4" FJWP Box</v>
          </cell>
          <cell r="AF2075" t="str">
            <v>3-3/4" FJWP Pin</v>
          </cell>
          <cell r="AG2075"/>
          <cell r="AH2075" t="str">
            <v xml:space="preserve"> en stock </v>
          </cell>
          <cell r="AI2075">
            <v>1</v>
          </cell>
          <cell r="AJ2075">
            <v>0</v>
          </cell>
          <cell r="AK2075">
            <v>0</v>
          </cell>
          <cell r="AL2075"/>
          <cell r="AM2075"/>
          <cell r="AN2075">
            <v>5091726</v>
          </cell>
          <cell r="AO2075"/>
          <cell r="AP2075"/>
          <cell r="AQ2075"/>
          <cell r="AR2075"/>
          <cell r="AS2075">
            <v>21</v>
          </cell>
          <cell r="AT2075"/>
          <cell r="AU2075" t="str">
            <v>FR</v>
          </cell>
          <cell r="AV2075"/>
        </row>
        <row r="2076">
          <cell r="Z2076">
            <v>5111727</v>
          </cell>
          <cell r="AA2076" t="str">
            <v>WO Shoe
3-3/4" FJWP</v>
          </cell>
          <cell r="AB2076">
            <v>10</v>
          </cell>
          <cell r="AC2076">
            <v>0</v>
          </cell>
          <cell r="AD2076">
            <v>0</v>
          </cell>
          <cell r="AE2076" t="str">
            <v>3-3/4" FJWP</v>
          </cell>
          <cell r="AF2076"/>
          <cell r="AG2076" t="str">
            <v>BLANK</v>
          </cell>
          <cell r="AH2076" t="str">
            <v xml:space="preserve"> en stock </v>
          </cell>
          <cell r="AI2076">
            <v>1</v>
          </cell>
          <cell r="AJ2076">
            <v>0</v>
          </cell>
          <cell r="AK2076">
            <v>0</v>
          </cell>
          <cell r="AL2076"/>
          <cell r="AM2076"/>
          <cell r="AN2076">
            <v>5111727</v>
          </cell>
          <cell r="AO2076"/>
          <cell r="AP2076"/>
          <cell r="AQ2076"/>
          <cell r="AR2076"/>
          <cell r="AS2076">
            <v>21</v>
          </cell>
          <cell r="AT2076"/>
          <cell r="AU2076" t="str">
            <v>FR</v>
          </cell>
          <cell r="AV2076"/>
        </row>
        <row r="2077">
          <cell r="Z2077">
            <v>5111728</v>
          </cell>
          <cell r="AA2077" t="str">
            <v>WO Shoe
3-3/4" FJWP</v>
          </cell>
          <cell r="AB2077">
            <v>10</v>
          </cell>
          <cell r="AC2077">
            <v>0</v>
          </cell>
          <cell r="AD2077">
            <v>0</v>
          </cell>
          <cell r="AE2077" t="str">
            <v>3-3/4" FJWP</v>
          </cell>
          <cell r="AF2077"/>
          <cell r="AG2077" t="str">
            <v>BLANK</v>
          </cell>
          <cell r="AH2077" t="str">
            <v xml:space="preserve"> en stock </v>
          </cell>
          <cell r="AI2077">
            <v>1</v>
          </cell>
          <cell r="AJ2077">
            <v>0</v>
          </cell>
          <cell r="AK2077">
            <v>0</v>
          </cell>
          <cell r="AL2077"/>
          <cell r="AM2077"/>
          <cell r="AN2077">
            <v>5111728</v>
          </cell>
          <cell r="AO2077"/>
          <cell r="AP2077"/>
          <cell r="AQ2077"/>
          <cell r="AR2077"/>
          <cell r="AS2077">
            <v>22</v>
          </cell>
          <cell r="AT2077"/>
          <cell r="AU2077" t="str">
            <v>FR</v>
          </cell>
          <cell r="AV2077"/>
        </row>
        <row r="2078">
          <cell r="Z2078">
            <v>5111729</v>
          </cell>
          <cell r="AA2078" t="str">
            <v>WO Shoe
3-3/4" FJWP</v>
          </cell>
          <cell r="AB2078">
            <v>10</v>
          </cell>
          <cell r="AC2078">
            <v>3.875</v>
          </cell>
          <cell r="AD2078">
            <v>0</v>
          </cell>
          <cell r="AE2078" t="str">
            <v>3-3/4" FJWP</v>
          </cell>
          <cell r="AF2078"/>
          <cell r="AG2078" t="str">
            <v>carbide</v>
          </cell>
          <cell r="AH2078" t="str">
            <v xml:space="preserve"> en stock </v>
          </cell>
          <cell r="AI2078">
            <v>1</v>
          </cell>
          <cell r="AJ2078">
            <v>0</v>
          </cell>
          <cell r="AK2078">
            <v>0</v>
          </cell>
          <cell r="AL2078"/>
          <cell r="AM2078"/>
          <cell r="AN2078">
            <v>5111729</v>
          </cell>
          <cell r="AO2078"/>
          <cell r="AP2078"/>
          <cell r="AQ2078"/>
          <cell r="AR2078"/>
          <cell r="AS2078">
            <v>23</v>
          </cell>
          <cell r="AT2078"/>
          <cell r="AU2078" t="str">
            <v>FR</v>
          </cell>
          <cell r="AV2078"/>
        </row>
        <row r="2079">
          <cell r="Z2079">
            <v>5111730</v>
          </cell>
          <cell r="AA2079" t="str">
            <v>WO Shoe
3-3/4" FJWP</v>
          </cell>
          <cell r="AB2079">
            <v>10</v>
          </cell>
          <cell r="AC2079">
            <v>3.875</v>
          </cell>
          <cell r="AD2079">
            <v>0</v>
          </cell>
          <cell r="AE2079" t="str">
            <v>3-3/4" FJWP</v>
          </cell>
          <cell r="AF2079"/>
          <cell r="AG2079" t="str">
            <v>carbide</v>
          </cell>
          <cell r="AH2079" t="str">
            <v xml:space="preserve"> en stock </v>
          </cell>
          <cell r="AI2079">
            <v>1</v>
          </cell>
          <cell r="AJ2079">
            <v>0</v>
          </cell>
          <cell r="AK2079">
            <v>0</v>
          </cell>
          <cell r="AL2079"/>
          <cell r="AM2079"/>
          <cell r="AN2079">
            <v>5111730</v>
          </cell>
          <cell r="AO2079"/>
          <cell r="AP2079"/>
          <cell r="AQ2079"/>
          <cell r="AR2079"/>
          <cell r="AS2079">
            <v>24</v>
          </cell>
          <cell r="AT2079"/>
          <cell r="AU2079" t="str">
            <v>FR</v>
          </cell>
          <cell r="AV2079"/>
        </row>
        <row r="2080">
          <cell r="Z2080">
            <v>7051731</v>
          </cell>
          <cell r="AA2080" t="str">
            <v>Extension 5-3/4" FS Lg 900mm CA 8975
5-3/4" FS Sellers Pin x Box</v>
          </cell>
          <cell r="AB2080">
            <v>53.32924818</v>
          </cell>
          <cell r="AC2080" t="str">
            <v>5-3/4" FS</v>
          </cell>
          <cell r="AD2080">
            <v>900</v>
          </cell>
          <cell r="AE2080" t="str">
            <v>5-3/4" FS Sellers Box</v>
          </cell>
          <cell r="AF2080" t="str">
            <v>5-3/4" FS Sellers Pin</v>
          </cell>
          <cell r="AG2080">
            <v>8975</v>
          </cell>
          <cell r="AH2080" t="str">
            <v xml:space="preserve"> en stock </v>
          </cell>
          <cell r="AI2080">
            <v>1</v>
          </cell>
          <cell r="AJ2080">
            <v>0</v>
          </cell>
          <cell r="AK2080">
            <v>0</v>
          </cell>
          <cell r="AL2080"/>
          <cell r="AM2080"/>
          <cell r="AN2080">
            <v>7051731</v>
          </cell>
          <cell r="AO2080"/>
          <cell r="AP2080"/>
          <cell r="AQ2080"/>
          <cell r="AR2080"/>
          <cell r="AS2080">
            <v>25</v>
          </cell>
          <cell r="AT2080" t="str">
            <v>705-8975</v>
          </cell>
          <cell r="AU2080" t="str">
            <v/>
          </cell>
          <cell r="AV2080"/>
        </row>
        <row r="2081">
          <cell r="Z2081">
            <v>4051732</v>
          </cell>
          <cell r="AA2081" t="str">
            <v>Safety Joint 4-3/4" OD 
3-1/2" IF Pin down x Box up</v>
          </cell>
          <cell r="AB2081">
            <v>60</v>
          </cell>
          <cell r="AC2081">
            <v>4.75</v>
          </cell>
          <cell r="AD2081">
            <v>1200</v>
          </cell>
          <cell r="AE2081" t="str">
            <v>3-1/2" IF Box</v>
          </cell>
          <cell r="AF2081" t="str">
            <v>3-1/2" IF Pin</v>
          </cell>
          <cell r="AG2081"/>
          <cell r="AH2081" t="str">
            <v xml:space="preserve"> en stock </v>
          </cell>
          <cell r="AI2081">
            <v>1</v>
          </cell>
          <cell r="AJ2081">
            <v>0</v>
          </cell>
          <cell r="AK2081">
            <v>0</v>
          </cell>
          <cell r="AL2081"/>
          <cell r="AM2081"/>
          <cell r="AN2081">
            <v>4051732</v>
          </cell>
          <cell r="AO2081"/>
          <cell r="AP2081"/>
          <cell r="AQ2081"/>
          <cell r="AR2081"/>
          <cell r="AS2081">
            <v>11</v>
          </cell>
          <cell r="AT2081" t="str">
            <v>405-4,750</v>
          </cell>
          <cell r="AU2081" t="str">
            <v/>
          </cell>
          <cell r="AV2081"/>
        </row>
        <row r="2082">
          <cell r="Z2082">
            <v>5161733</v>
          </cell>
          <cell r="AA2082" t="str">
            <v>WO Lift Sub for 3-1/2" DP 18°
5-1/2" FJWP Pin</v>
          </cell>
          <cell r="AB2082">
            <v>0</v>
          </cell>
          <cell r="AC2082">
            <v>5.5</v>
          </cell>
          <cell r="AD2082">
            <v>0</v>
          </cell>
          <cell r="AE2082" t="str">
            <v>5-1/2" FJWP Pin</v>
          </cell>
          <cell r="AF2082"/>
          <cell r="AG2082" t="str">
            <v>3-1/2" DP 18°</v>
          </cell>
          <cell r="AH2082" t="str">
            <v>sur chantier</v>
          </cell>
          <cell r="AI2082" t="str">
            <v/>
          </cell>
          <cell r="AJ2082">
            <v>1</v>
          </cell>
          <cell r="AK2082">
            <v>0</v>
          </cell>
          <cell r="AL2082"/>
          <cell r="AM2082"/>
          <cell r="AN2082" t="str">
            <v/>
          </cell>
          <cell r="AO2082"/>
          <cell r="AP2082"/>
          <cell r="AQ2082"/>
          <cell r="AR2082"/>
          <cell r="AS2082">
            <v>11</v>
          </cell>
          <cell r="AT2082" t="str">
            <v>516-5,500FJWP</v>
          </cell>
          <cell r="AU2082"/>
          <cell r="AV2082"/>
        </row>
        <row r="2083">
          <cell r="Z2083">
            <v>5161734</v>
          </cell>
          <cell r="AA2083" t="str">
            <v>WO Lift Sub for 3-1/2" DP 18°
5-1/2" FJWP Pin</v>
          </cell>
          <cell r="AB2083">
            <v>0</v>
          </cell>
          <cell r="AC2083">
            <v>5.5</v>
          </cell>
          <cell r="AD2083">
            <v>730</v>
          </cell>
          <cell r="AE2083" t="str">
            <v>5-1/2" FJWP Pin</v>
          </cell>
          <cell r="AF2083"/>
          <cell r="AG2083" t="str">
            <v>3-1/2" DP 18°</v>
          </cell>
          <cell r="AH2083" t="str">
            <v>maintenance</v>
          </cell>
          <cell r="AI2083" t="str">
            <v/>
          </cell>
          <cell r="AJ2083">
            <v>0</v>
          </cell>
          <cell r="AK2083">
            <v>1</v>
          </cell>
          <cell r="AL2083"/>
          <cell r="AM2083"/>
          <cell r="AN2083" t="str">
            <v/>
          </cell>
          <cell r="AO2083"/>
          <cell r="AP2083"/>
          <cell r="AQ2083"/>
          <cell r="AR2083"/>
          <cell r="AS2083">
            <v>12</v>
          </cell>
          <cell r="AT2083" t="str">
            <v>516-5,500FJWP</v>
          </cell>
          <cell r="AU2083"/>
          <cell r="AV2083"/>
        </row>
        <row r="2084">
          <cell r="Z2084">
            <v>4051735</v>
          </cell>
          <cell r="AA2084" t="str">
            <v>Safety Joint 6-3/4" OD 
4-1/2" IF Pin down x Box up</v>
          </cell>
          <cell r="AB2084">
            <v>0</v>
          </cell>
          <cell r="AC2084">
            <v>6.75</v>
          </cell>
          <cell r="AD2084">
            <v>0</v>
          </cell>
          <cell r="AE2084" t="str">
            <v>4-1/2" IF Box</v>
          </cell>
          <cell r="AF2084" t="str">
            <v>4-1/2" IF Pin</v>
          </cell>
          <cell r="AG2084"/>
          <cell r="AH2084" t="str">
            <v>maintenance</v>
          </cell>
          <cell r="AI2084" t="str">
            <v/>
          </cell>
          <cell r="AJ2084">
            <v>0</v>
          </cell>
          <cell r="AK2084">
            <v>1</v>
          </cell>
          <cell r="AL2084"/>
          <cell r="AM2084"/>
          <cell r="AN2084" t="str">
            <v/>
          </cell>
          <cell r="AO2084"/>
          <cell r="AP2084"/>
          <cell r="AQ2084"/>
          <cell r="AR2084"/>
          <cell r="AS2084">
            <v>15</v>
          </cell>
          <cell r="AT2084" t="str">
            <v>405-6,500</v>
          </cell>
          <cell r="AU2084" t="str">
            <v/>
          </cell>
          <cell r="AV2084"/>
        </row>
        <row r="2085">
          <cell r="Z2085">
            <v>8061736</v>
          </cell>
          <cell r="AA2085" t="str">
            <v>Drill Collar 4-3/4"
3-1/2" IF Pin x Box</v>
          </cell>
          <cell r="AB2085">
            <v>650.51806992900003</v>
          </cell>
          <cell r="AC2085">
            <v>4.75</v>
          </cell>
          <cell r="AD2085">
            <v>9410</v>
          </cell>
          <cell r="AE2085" t="str">
            <v>3-1/2" IF Box BB</v>
          </cell>
          <cell r="AF2085" t="str">
            <v>3-1/2" IF Pin SRG</v>
          </cell>
          <cell r="AG2085"/>
          <cell r="AH2085" t="str">
            <v xml:space="preserve"> en stock </v>
          </cell>
          <cell r="AI2085">
            <v>1</v>
          </cell>
          <cell r="AJ2085">
            <v>0</v>
          </cell>
          <cell r="AK2085">
            <v>0</v>
          </cell>
          <cell r="AL2085"/>
          <cell r="AM2085"/>
          <cell r="AN2085">
            <v>8061736</v>
          </cell>
          <cell r="AO2085"/>
          <cell r="AP2085"/>
          <cell r="AQ2085"/>
          <cell r="AR2085"/>
          <cell r="AS2085">
            <v>38</v>
          </cell>
          <cell r="AT2085"/>
          <cell r="AU2085" t="str">
            <v/>
          </cell>
          <cell r="AV2085"/>
        </row>
        <row r="2086">
          <cell r="Z2086">
            <v>8061737</v>
          </cell>
          <cell r="AA2086" t="str">
            <v>Drill Collar 4-3/4"
3-1/2" IF Pin x Box</v>
          </cell>
          <cell r="AB2086">
            <v>650.51806992900003</v>
          </cell>
          <cell r="AC2086">
            <v>4.75</v>
          </cell>
          <cell r="AD2086">
            <v>9410</v>
          </cell>
          <cell r="AE2086" t="str">
            <v>3-1/2" IF Box BB</v>
          </cell>
          <cell r="AF2086" t="str">
            <v>3-1/2" IF Pin SRG</v>
          </cell>
          <cell r="AG2086"/>
          <cell r="AH2086" t="str">
            <v>maintenance</v>
          </cell>
          <cell r="AI2086" t="str">
            <v/>
          </cell>
          <cell r="AJ2086">
            <v>0</v>
          </cell>
          <cell r="AK2086">
            <v>1</v>
          </cell>
          <cell r="AL2086"/>
          <cell r="AM2086"/>
          <cell r="AN2086">
            <v>8061737</v>
          </cell>
          <cell r="AO2086"/>
          <cell r="AP2086"/>
          <cell r="AQ2086"/>
          <cell r="AR2086"/>
          <cell r="AS2086">
            <v>39</v>
          </cell>
          <cell r="AT2086"/>
          <cell r="AU2086" t="str">
            <v/>
          </cell>
          <cell r="AV2086"/>
        </row>
        <row r="2087">
          <cell r="Z2087">
            <v>8061738</v>
          </cell>
          <cell r="AA2087" t="str">
            <v>Drill Collar 4-3/4"
3-1/2" IF Pin x Box</v>
          </cell>
          <cell r="AB2087">
            <v>650.51806992900003</v>
          </cell>
          <cell r="AC2087">
            <v>4.75</v>
          </cell>
          <cell r="AD2087">
            <v>9410</v>
          </cell>
          <cell r="AE2087" t="str">
            <v>3-1/2" IF Box BB</v>
          </cell>
          <cell r="AF2087" t="str">
            <v>3-1/2" IF Pin SRG</v>
          </cell>
          <cell r="AG2087"/>
          <cell r="AH2087" t="str">
            <v>maintenance</v>
          </cell>
          <cell r="AI2087" t="str">
            <v/>
          </cell>
          <cell r="AJ2087">
            <v>0</v>
          </cell>
          <cell r="AK2087">
            <v>1</v>
          </cell>
          <cell r="AL2087"/>
          <cell r="AM2087"/>
          <cell r="AN2087">
            <v>8061738</v>
          </cell>
          <cell r="AO2087"/>
          <cell r="AP2087"/>
          <cell r="AQ2087"/>
          <cell r="AR2087"/>
          <cell r="AS2087">
            <v>40</v>
          </cell>
          <cell r="AT2087"/>
          <cell r="AU2087" t="str">
            <v/>
          </cell>
          <cell r="AV2087"/>
        </row>
        <row r="2088">
          <cell r="Z2088">
            <v>8061739</v>
          </cell>
          <cell r="AA2088" t="str">
            <v>Drill Collar 4-3/4"
3-1/2" IF Pin x Box</v>
          </cell>
          <cell r="AB2088">
            <v>650.51806992900003</v>
          </cell>
          <cell r="AC2088">
            <v>4.75</v>
          </cell>
          <cell r="AD2088">
            <v>9410</v>
          </cell>
          <cell r="AE2088" t="str">
            <v>3-1/2" IF Box BB</v>
          </cell>
          <cell r="AF2088" t="str">
            <v>3-1/2" IF Pin SRG</v>
          </cell>
          <cell r="AG2088"/>
          <cell r="AH2088" t="str">
            <v>maintenance</v>
          </cell>
          <cell r="AI2088" t="str">
            <v/>
          </cell>
          <cell r="AJ2088">
            <v>0</v>
          </cell>
          <cell r="AK2088">
            <v>1</v>
          </cell>
          <cell r="AL2088"/>
          <cell r="AM2088"/>
          <cell r="AN2088">
            <v>8061739</v>
          </cell>
          <cell r="AO2088"/>
          <cell r="AP2088"/>
          <cell r="AQ2088"/>
          <cell r="AR2088"/>
          <cell r="AS2088">
            <v>41</v>
          </cell>
          <cell r="AT2088"/>
          <cell r="AU2088" t="str">
            <v/>
          </cell>
          <cell r="AV2088"/>
        </row>
        <row r="2089">
          <cell r="Z2089">
            <v>8061740</v>
          </cell>
          <cell r="AA2089" t="str">
            <v>Drill Collar 4-3/4"
3-1/2" IF Pin x Box</v>
          </cell>
          <cell r="AB2089">
            <v>650.51806992900003</v>
          </cell>
          <cell r="AC2089">
            <v>4.75</v>
          </cell>
          <cell r="AD2089">
            <v>9410</v>
          </cell>
          <cell r="AE2089" t="str">
            <v>3-1/2" IF Box BB</v>
          </cell>
          <cell r="AF2089" t="str">
            <v>3-1/2" IF Pin SRG</v>
          </cell>
          <cell r="AG2089"/>
          <cell r="AH2089" t="str">
            <v>maintenance</v>
          </cell>
          <cell r="AI2089" t="str">
            <v/>
          </cell>
          <cell r="AJ2089">
            <v>0</v>
          </cell>
          <cell r="AK2089">
            <v>1</v>
          </cell>
          <cell r="AL2089"/>
          <cell r="AM2089"/>
          <cell r="AN2089">
            <v>8061740</v>
          </cell>
          <cell r="AO2089"/>
          <cell r="AP2089"/>
          <cell r="AQ2089"/>
          <cell r="AR2089"/>
          <cell r="AS2089">
            <v>42</v>
          </cell>
          <cell r="AT2089"/>
          <cell r="AU2089" t="str">
            <v/>
          </cell>
          <cell r="AV2089"/>
        </row>
        <row r="2090">
          <cell r="Z2090">
            <v>8061741</v>
          </cell>
          <cell r="AA2090" t="str">
            <v>Drill Collar 4-3/4"
3-1/2" IF Pin x Box</v>
          </cell>
          <cell r="AB2090">
            <v>650.51806992900003</v>
          </cell>
          <cell r="AC2090">
            <v>4.75</v>
          </cell>
          <cell r="AD2090">
            <v>9410</v>
          </cell>
          <cell r="AE2090" t="str">
            <v>3-1/2" IF Box BB</v>
          </cell>
          <cell r="AF2090" t="str">
            <v>3-1/2" IF Pin SRG</v>
          </cell>
          <cell r="AG2090"/>
          <cell r="AH2090" t="str">
            <v xml:space="preserve"> en stock </v>
          </cell>
          <cell r="AI2090">
            <v>1</v>
          </cell>
          <cell r="AJ2090">
            <v>0</v>
          </cell>
          <cell r="AK2090">
            <v>0</v>
          </cell>
          <cell r="AL2090"/>
          <cell r="AM2090"/>
          <cell r="AN2090">
            <v>8061741</v>
          </cell>
          <cell r="AO2090"/>
          <cell r="AP2090"/>
          <cell r="AQ2090"/>
          <cell r="AR2090"/>
          <cell r="AS2090">
            <v>43</v>
          </cell>
          <cell r="AT2090"/>
          <cell r="AU2090" t="str">
            <v/>
          </cell>
          <cell r="AV2090"/>
        </row>
        <row r="2091">
          <cell r="Z2091">
            <v>8061742</v>
          </cell>
          <cell r="AA2091" t="str">
            <v>Drill Collar 4-3/4"
3-1/2" IF Pin x Box</v>
          </cell>
          <cell r="AB2091">
            <v>651.20937499800004</v>
          </cell>
          <cell r="AC2091">
            <v>4.75</v>
          </cell>
          <cell r="AD2091">
            <v>9420</v>
          </cell>
          <cell r="AE2091" t="str">
            <v>3-1/2" IF Box BB</v>
          </cell>
          <cell r="AF2091" t="str">
            <v>3-1/2" IF Pin SRG</v>
          </cell>
          <cell r="AG2091"/>
          <cell r="AH2091" t="str">
            <v xml:space="preserve"> en stock </v>
          </cell>
          <cell r="AI2091">
            <v>1</v>
          </cell>
          <cell r="AJ2091">
            <v>0</v>
          </cell>
          <cell r="AK2091">
            <v>0</v>
          </cell>
          <cell r="AL2091"/>
          <cell r="AM2091"/>
          <cell r="AN2091">
            <v>8061742</v>
          </cell>
          <cell r="AO2091"/>
          <cell r="AP2091"/>
          <cell r="AQ2091"/>
          <cell r="AR2091"/>
          <cell r="AS2091">
            <v>44</v>
          </cell>
          <cell r="AT2091"/>
          <cell r="AU2091" t="str">
            <v/>
          </cell>
          <cell r="AV2091"/>
        </row>
        <row r="2092">
          <cell r="Z2092">
            <v>8061743</v>
          </cell>
          <cell r="AA2092" t="str">
            <v>Drill Collar 4-3/4"
3-1/2" IF Pin x Box</v>
          </cell>
          <cell r="AB2092">
            <v>650.51806992900003</v>
          </cell>
          <cell r="AC2092">
            <v>4.75</v>
          </cell>
          <cell r="AD2092">
            <v>9410</v>
          </cell>
          <cell r="AE2092" t="str">
            <v>3-1/2" IF Box BB</v>
          </cell>
          <cell r="AF2092" t="str">
            <v>3-1/2" IF Pin SRG</v>
          </cell>
          <cell r="AG2092"/>
          <cell r="AH2092" t="str">
            <v xml:space="preserve"> en stock </v>
          </cell>
          <cell r="AI2092">
            <v>1</v>
          </cell>
          <cell r="AJ2092">
            <v>0</v>
          </cell>
          <cell r="AK2092">
            <v>0</v>
          </cell>
          <cell r="AL2092"/>
          <cell r="AM2092"/>
          <cell r="AN2092">
            <v>8061743</v>
          </cell>
          <cell r="AO2092"/>
          <cell r="AP2092"/>
          <cell r="AQ2092"/>
          <cell r="AR2092"/>
          <cell r="AS2092">
            <v>45</v>
          </cell>
          <cell r="AT2092"/>
          <cell r="AU2092" t="str">
            <v/>
          </cell>
          <cell r="AV2092"/>
        </row>
        <row r="2093">
          <cell r="Z2093">
            <v>8061744</v>
          </cell>
          <cell r="AA2093" t="str">
            <v>Drill Collar 4-3/4"
3-1/2" IF Pin x Box</v>
          </cell>
          <cell r="AB2093">
            <v>649.82676486000003</v>
          </cell>
          <cell r="AC2093">
            <v>4.75</v>
          </cell>
          <cell r="AD2093">
            <v>9400</v>
          </cell>
          <cell r="AE2093" t="str">
            <v>3-1/2" IF Box BB</v>
          </cell>
          <cell r="AF2093" t="str">
            <v>3-1/2" IF Pin SRG</v>
          </cell>
          <cell r="AG2093"/>
          <cell r="AH2093" t="str">
            <v xml:space="preserve"> en stock </v>
          </cell>
          <cell r="AI2093">
            <v>1</v>
          </cell>
          <cell r="AJ2093">
            <v>0</v>
          </cell>
          <cell r="AK2093">
            <v>0</v>
          </cell>
          <cell r="AL2093"/>
          <cell r="AM2093"/>
          <cell r="AN2093">
            <v>8061744</v>
          </cell>
          <cell r="AO2093"/>
          <cell r="AP2093"/>
          <cell r="AQ2093"/>
          <cell r="AR2093"/>
          <cell r="AS2093">
            <v>46</v>
          </cell>
          <cell r="AT2093"/>
          <cell r="AU2093" t="str">
            <v/>
          </cell>
          <cell r="AV2093"/>
        </row>
        <row r="2094">
          <cell r="Z2094">
            <v>8061745</v>
          </cell>
          <cell r="AA2094" t="str">
            <v>Drill Collar 4-3/4"
3-1/2" IF Pin x Box</v>
          </cell>
          <cell r="AB2094">
            <v>650.51806992900003</v>
          </cell>
          <cell r="AC2094">
            <v>4.75</v>
          </cell>
          <cell r="AD2094">
            <v>9410</v>
          </cell>
          <cell r="AE2094" t="str">
            <v>3-1/2" IF Box BB</v>
          </cell>
          <cell r="AF2094" t="str">
            <v>3-1/2" IF Pin SRG</v>
          </cell>
          <cell r="AG2094"/>
          <cell r="AH2094" t="str">
            <v xml:space="preserve"> en stock </v>
          </cell>
          <cell r="AI2094">
            <v>1</v>
          </cell>
          <cell r="AJ2094">
            <v>0</v>
          </cell>
          <cell r="AK2094">
            <v>0</v>
          </cell>
          <cell r="AL2094"/>
          <cell r="AM2094"/>
          <cell r="AN2094">
            <v>8061745</v>
          </cell>
          <cell r="AO2094"/>
          <cell r="AP2094"/>
          <cell r="AQ2094"/>
          <cell r="AR2094"/>
          <cell r="AS2094">
            <v>47</v>
          </cell>
          <cell r="AT2094"/>
          <cell r="AU2094" t="str">
            <v/>
          </cell>
          <cell r="AV2094"/>
        </row>
        <row r="2095">
          <cell r="Z2095">
            <v>8061746</v>
          </cell>
          <cell r="AA2095" t="str">
            <v>Drill Collar 4-3/4"
3-1/2" IF Pin x Box</v>
          </cell>
          <cell r="AB2095">
            <v>649.82676486000003</v>
          </cell>
          <cell r="AC2095">
            <v>4.75</v>
          </cell>
          <cell r="AD2095">
            <v>9400</v>
          </cell>
          <cell r="AE2095" t="str">
            <v>3-1/2" IF Box BB</v>
          </cell>
          <cell r="AF2095" t="str">
            <v>3-1/2" IF Pin SRG</v>
          </cell>
          <cell r="AG2095"/>
          <cell r="AH2095" t="str">
            <v xml:space="preserve"> en stock </v>
          </cell>
          <cell r="AI2095">
            <v>1</v>
          </cell>
          <cell r="AJ2095">
            <v>0</v>
          </cell>
          <cell r="AK2095">
            <v>0</v>
          </cell>
          <cell r="AL2095"/>
          <cell r="AM2095"/>
          <cell r="AN2095">
            <v>8061746</v>
          </cell>
          <cell r="AO2095"/>
          <cell r="AP2095"/>
          <cell r="AQ2095"/>
          <cell r="AR2095"/>
          <cell r="AS2095">
            <v>48</v>
          </cell>
          <cell r="AT2095"/>
          <cell r="AU2095" t="str">
            <v/>
          </cell>
          <cell r="AV2095"/>
        </row>
        <row r="2096">
          <cell r="Z2096">
            <v>8061747</v>
          </cell>
          <cell r="AA2096" t="str">
            <v>Drill Collar 4-3/4"
3-1/2" IF Pin x Box</v>
          </cell>
          <cell r="AB2096">
            <v>649.82676486000003</v>
          </cell>
          <cell r="AC2096">
            <v>4.75</v>
          </cell>
          <cell r="AD2096">
            <v>9400</v>
          </cell>
          <cell r="AE2096" t="str">
            <v>3-1/2" IF Box BB</v>
          </cell>
          <cell r="AF2096" t="str">
            <v>3-1/2" IF Pin SRG</v>
          </cell>
          <cell r="AG2096"/>
          <cell r="AH2096" t="str">
            <v xml:space="preserve"> en stock </v>
          </cell>
          <cell r="AI2096">
            <v>1</v>
          </cell>
          <cell r="AJ2096">
            <v>0</v>
          </cell>
          <cell r="AK2096">
            <v>0</v>
          </cell>
          <cell r="AL2096"/>
          <cell r="AM2096"/>
          <cell r="AN2096">
            <v>8061747</v>
          </cell>
          <cell r="AO2096"/>
          <cell r="AP2096"/>
          <cell r="AQ2096"/>
          <cell r="AR2096"/>
          <cell r="AS2096">
            <v>49</v>
          </cell>
          <cell r="AT2096"/>
          <cell r="AU2096" t="str">
            <v/>
          </cell>
          <cell r="AV2096"/>
        </row>
        <row r="2097">
          <cell r="Z2097">
            <v>5141748</v>
          </cell>
          <cell r="AA2097" t="str">
            <v>DP Elevator for 2-3/8" DP 18°</v>
          </cell>
          <cell r="AB2097">
            <v>0</v>
          </cell>
          <cell r="AC2097" t="str">
            <v>2-3/8" DP</v>
          </cell>
          <cell r="AD2097" t="str">
            <v>18°</v>
          </cell>
          <cell r="AE2097">
            <v>0</v>
          </cell>
          <cell r="AF2097">
            <v>0</v>
          </cell>
          <cell r="AG2097"/>
          <cell r="AH2097" t="str">
            <v>en stock</v>
          </cell>
          <cell r="AI2097" t="str">
            <v/>
          </cell>
          <cell r="AJ2097">
            <v>0</v>
          </cell>
          <cell r="AK2097">
            <v>1</v>
          </cell>
          <cell r="AL2097"/>
          <cell r="AM2097"/>
          <cell r="AN2097">
            <v>5141748</v>
          </cell>
          <cell r="AO2097"/>
          <cell r="AP2097"/>
          <cell r="AQ2097"/>
          <cell r="AR2097"/>
          <cell r="AS2097">
            <v>8</v>
          </cell>
          <cell r="AT2097"/>
          <cell r="AU2097" t="str">
            <v/>
          </cell>
          <cell r="AV2097"/>
        </row>
        <row r="2098">
          <cell r="Z2098">
            <v>6024279</v>
          </cell>
          <cell r="AA2098" t="str">
            <v>PDC</v>
          </cell>
          <cell r="AB2098" t="str">
            <v>Varel</v>
          </cell>
          <cell r="AC2098">
            <v>14.75</v>
          </cell>
          <cell r="AD2098" t="str">
            <v>V616DG1HX</v>
          </cell>
          <cell r="AE2098" t="str">
            <v>7-5/8'' REG Pin</v>
          </cell>
          <cell r="AF2098" t="e">
            <v>#N/A</v>
          </cell>
          <cell r="AG2098"/>
          <cell r="AH2098" t="e">
            <v>#N/A</v>
          </cell>
          <cell r="AI2098" t="e">
            <v>#N/A</v>
          </cell>
          <cell r="AJ2098" t="e">
            <v>#N/A</v>
          </cell>
          <cell r="AK2098" t="e">
            <v>#N/A</v>
          </cell>
          <cell r="AL2098"/>
          <cell r="AM2098"/>
          <cell r="AN2098">
            <v>6121749</v>
          </cell>
          <cell r="AO2098"/>
          <cell r="AP2098"/>
          <cell r="AQ2098"/>
          <cell r="AR2098"/>
          <cell r="AS2098" t="e">
            <v>#N/A</v>
          </cell>
          <cell r="AT2098"/>
          <cell r="AU2098" t="str">
            <v/>
          </cell>
          <cell r="AV2098"/>
        </row>
        <row r="2099">
          <cell r="Z2099">
            <v>6023482</v>
          </cell>
          <cell r="AA2099" t="str">
            <v>PDC</v>
          </cell>
          <cell r="AB2099" t="str">
            <v>Varel</v>
          </cell>
          <cell r="AC2099">
            <v>12.25</v>
          </cell>
          <cell r="AD2099" t="str">
            <v>VTD713PDG1NX</v>
          </cell>
          <cell r="AE2099" t="str">
            <v>6-5/8'' REG Pin</v>
          </cell>
          <cell r="AF2099" t="e">
            <v>#N/A</v>
          </cell>
          <cell r="AG2099"/>
          <cell r="AH2099" t="e">
            <v>#N/A</v>
          </cell>
          <cell r="AI2099" t="e">
            <v>#N/A</v>
          </cell>
          <cell r="AJ2099" t="e">
            <v>#N/A</v>
          </cell>
          <cell r="AK2099" t="e">
            <v>#N/A</v>
          </cell>
          <cell r="AL2099"/>
          <cell r="AM2099"/>
          <cell r="AN2099">
            <v>6121750</v>
          </cell>
          <cell r="AO2099"/>
          <cell r="AP2099"/>
          <cell r="AQ2099"/>
          <cell r="AR2099"/>
          <cell r="AS2099" t="e">
            <v>#N/A</v>
          </cell>
          <cell r="AT2099"/>
          <cell r="AU2099" t="str">
            <v/>
          </cell>
          <cell r="AV2099"/>
        </row>
        <row r="2100">
          <cell r="Z2100">
            <v>60093571</v>
          </cell>
          <cell r="AA2100" t="str">
            <v>PDC</v>
          </cell>
          <cell r="AB2100" t="str">
            <v>Varel</v>
          </cell>
          <cell r="AC2100">
            <v>12.25</v>
          </cell>
          <cell r="AD2100" t="str">
            <v>VTD716PDGX-A2</v>
          </cell>
          <cell r="AE2100" t="str">
            <v>6-5/8'' REG Pin</v>
          </cell>
          <cell r="AF2100" t="e">
            <v>#N/A</v>
          </cell>
          <cell r="AG2100"/>
          <cell r="AH2100" t="e">
            <v>#N/A</v>
          </cell>
          <cell r="AI2100" t="e">
            <v>#N/A</v>
          </cell>
          <cell r="AJ2100" t="e">
            <v>#N/A</v>
          </cell>
          <cell r="AK2100" t="e">
            <v>#N/A</v>
          </cell>
          <cell r="AL2100"/>
          <cell r="AM2100"/>
          <cell r="AN2100">
            <v>6121751</v>
          </cell>
          <cell r="AO2100"/>
          <cell r="AP2100"/>
          <cell r="AQ2100"/>
          <cell r="AR2100"/>
          <cell r="AS2100" t="e">
            <v>#N/A</v>
          </cell>
          <cell r="AT2100"/>
          <cell r="AU2100" t="str">
            <v/>
          </cell>
          <cell r="AV2100"/>
        </row>
        <row r="2101">
          <cell r="Z2101">
            <v>60065103</v>
          </cell>
          <cell r="AA2101" t="str">
            <v>PDC</v>
          </cell>
          <cell r="AB2101" t="str">
            <v>Varel</v>
          </cell>
          <cell r="AC2101">
            <v>12.25</v>
          </cell>
          <cell r="AD2101" t="str">
            <v>VRP716DGX</v>
          </cell>
          <cell r="AE2101" t="str">
            <v>6-5/8'' REG Pin</v>
          </cell>
          <cell r="AF2101" t="e">
            <v>#N/A</v>
          </cell>
          <cell r="AG2101"/>
          <cell r="AH2101" t="e">
            <v>#N/A</v>
          </cell>
          <cell r="AI2101" t="e">
            <v>#N/A</v>
          </cell>
          <cell r="AJ2101" t="e">
            <v>#N/A</v>
          </cell>
          <cell r="AK2101" t="e">
            <v>#N/A</v>
          </cell>
          <cell r="AL2101"/>
          <cell r="AM2101"/>
          <cell r="AN2101">
            <v>6121752</v>
          </cell>
          <cell r="AO2101"/>
          <cell r="AP2101"/>
          <cell r="AQ2101"/>
          <cell r="AR2101"/>
          <cell r="AS2101" t="e">
            <v>#N/A</v>
          </cell>
          <cell r="AT2101"/>
          <cell r="AU2101" t="str">
            <v/>
          </cell>
          <cell r="AV2101"/>
        </row>
        <row r="2102">
          <cell r="Z2102">
            <v>60095932</v>
          </cell>
          <cell r="AA2102" t="str">
            <v>PDC</v>
          </cell>
          <cell r="AB2102" t="str">
            <v>Varel</v>
          </cell>
          <cell r="AC2102">
            <v>12.25</v>
          </cell>
          <cell r="AD2102" t="str">
            <v>VTD616DGX</v>
          </cell>
          <cell r="AE2102" t="str">
            <v>6-5/8'' REG Pin</v>
          </cell>
          <cell r="AF2102" t="e">
            <v>#N/A</v>
          </cell>
          <cell r="AG2102"/>
          <cell r="AH2102" t="e">
            <v>#N/A</v>
          </cell>
          <cell r="AI2102" t="e">
            <v>#N/A</v>
          </cell>
          <cell r="AJ2102" t="e">
            <v>#N/A</v>
          </cell>
          <cell r="AK2102" t="e">
            <v>#N/A</v>
          </cell>
          <cell r="AL2102"/>
          <cell r="AM2102"/>
          <cell r="AN2102">
            <v>6121753</v>
          </cell>
          <cell r="AO2102"/>
          <cell r="AP2102"/>
          <cell r="AQ2102"/>
          <cell r="AR2102"/>
          <cell r="AS2102" t="e">
            <v>#N/A</v>
          </cell>
          <cell r="AT2102"/>
          <cell r="AU2102" t="str">
            <v/>
          </cell>
          <cell r="AV2102"/>
        </row>
        <row r="2103">
          <cell r="Z2103">
            <v>60169812</v>
          </cell>
          <cell r="AA2103" t="str">
            <v>PDC</v>
          </cell>
          <cell r="AB2103" t="str">
            <v>Varel</v>
          </cell>
          <cell r="AC2103">
            <v>8.5</v>
          </cell>
          <cell r="AD2103" t="str">
            <v>VTD519X</v>
          </cell>
          <cell r="AE2103" t="str">
            <v>4-1/2'' REG Pin</v>
          </cell>
          <cell r="AF2103" t="e">
            <v>#N/A</v>
          </cell>
          <cell r="AG2103"/>
          <cell r="AH2103" t="e">
            <v>#N/A</v>
          </cell>
          <cell r="AI2103" t="e">
            <v>#N/A</v>
          </cell>
          <cell r="AJ2103" t="e">
            <v>#N/A</v>
          </cell>
          <cell r="AK2103" t="e">
            <v>#N/A</v>
          </cell>
          <cell r="AL2103"/>
          <cell r="AM2103"/>
          <cell r="AN2103">
            <v>6121754</v>
          </cell>
          <cell r="AO2103"/>
          <cell r="AP2103"/>
          <cell r="AQ2103"/>
          <cell r="AR2103"/>
          <cell r="AS2103" t="e">
            <v>#N/A</v>
          </cell>
          <cell r="AT2103"/>
          <cell r="AU2103" t="str">
            <v/>
          </cell>
          <cell r="AV2103"/>
        </row>
        <row r="2104">
          <cell r="Z2104">
            <v>60158143</v>
          </cell>
          <cell r="AA2104" t="str">
            <v>PDC</v>
          </cell>
          <cell r="AB2104" t="str">
            <v>Varel</v>
          </cell>
          <cell r="AC2104">
            <v>5.875</v>
          </cell>
          <cell r="AD2104" t="str">
            <v>VTD813GN-A2</v>
          </cell>
          <cell r="AE2104" t="str">
            <v>3-1/2'' REG Pin</v>
          </cell>
          <cell r="AF2104" t="e">
            <v>#N/A</v>
          </cell>
          <cell r="AG2104"/>
          <cell r="AH2104" t="e">
            <v>#N/A</v>
          </cell>
          <cell r="AI2104" t="e">
            <v>#N/A</v>
          </cell>
          <cell r="AJ2104" t="e">
            <v>#N/A</v>
          </cell>
          <cell r="AK2104" t="e">
            <v>#N/A</v>
          </cell>
          <cell r="AL2104"/>
          <cell r="AM2104"/>
          <cell r="AN2104">
            <v>6121755</v>
          </cell>
          <cell r="AO2104"/>
          <cell r="AP2104"/>
          <cell r="AQ2104"/>
          <cell r="AR2104"/>
          <cell r="AS2104" t="e">
            <v>#N/A</v>
          </cell>
          <cell r="AT2104"/>
          <cell r="AU2104" t="str">
            <v/>
          </cell>
          <cell r="AV2104"/>
        </row>
        <row r="2105">
          <cell r="Z2105">
            <v>6026574</v>
          </cell>
          <cell r="AA2105" t="str">
            <v>PDC</v>
          </cell>
          <cell r="AB2105" t="str">
            <v>Varel</v>
          </cell>
          <cell r="AC2105">
            <v>17.5</v>
          </cell>
          <cell r="AD2105" t="str">
            <v>EVOS816DG1XP</v>
          </cell>
          <cell r="AE2105" t="str">
            <v>6-5/8'' REG Pin</v>
          </cell>
          <cell r="AF2105" t="e">
            <v>#N/A</v>
          </cell>
          <cell r="AG2105"/>
          <cell r="AH2105" t="e">
            <v>#N/A</v>
          </cell>
          <cell r="AI2105" t="e">
            <v>#N/A</v>
          </cell>
          <cell r="AJ2105" t="e">
            <v>#N/A</v>
          </cell>
          <cell r="AK2105" t="e">
            <v>#N/A</v>
          </cell>
          <cell r="AL2105"/>
          <cell r="AM2105"/>
          <cell r="AN2105">
            <v>6121756</v>
          </cell>
          <cell r="AO2105"/>
          <cell r="AP2105"/>
          <cell r="AQ2105"/>
          <cell r="AR2105"/>
          <cell r="AS2105" t="e">
            <v>#N/A</v>
          </cell>
          <cell r="AT2105"/>
          <cell r="AU2105" t="str">
            <v/>
          </cell>
          <cell r="AV2105"/>
        </row>
        <row r="2106">
          <cell r="Z2106" t="str">
            <v>6018493T2</v>
          </cell>
          <cell r="AA2106" t="str">
            <v>PDC</v>
          </cell>
          <cell r="AB2106" t="str">
            <v>Varel</v>
          </cell>
          <cell r="AC2106">
            <v>17.5</v>
          </cell>
          <cell r="AD2106" t="str">
            <v>V816PDG1X</v>
          </cell>
          <cell r="AE2106" t="str">
            <v>6-5/8'' REG Pin</v>
          </cell>
          <cell r="AF2106" t="e">
            <v>#N/A</v>
          </cell>
          <cell r="AG2106"/>
          <cell r="AH2106" t="e">
            <v>#N/A</v>
          </cell>
          <cell r="AI2106" t="e">
            <v>#N/A</v>
          </cell>
          <cell r="AJ2106" t="e">
            <v>#N/A</v>
          </cell>
          <cell r="AK2106" t="e">
            <v>#N/A</v>
          </cell>
          <cell r="AL2106"/>
          <cell r="AM2106"/>
          <cell r="AN2106">
            <v>6121757</v>
          </cell>
          <cell r="AO2106"/>
          <cell r="AP2106"/>
          <cell r="AQ2106"/>
          <cell r="AR2106"/>
          <cell r="AS2106" t="e">
            <v>#N/A</v>
          </cell>
          <cell r="AT2106"/>
          <cell r="AU2106" t="str">
            <v/>
          </cell>
          <cell r="AV2106"/>
        </row>
        <row r="2107">
          <cell r="Z2107" t="str">
            <v>6009440T2</v>
          </cell>
          <cell r="AA2107" t="str">
            <v>PDC</v>
          </cell>
          <cell r="AB2107" t="str">
            <v>Varel</v>
          </cell>
          <cell r="AC2107">
            <v>8.5</v>
          </cell>
          <cell r="AD2107" t="str">
            <v>VTD616PDG</v>
          </cell>
          <cell r="AE2107" t="str">
            <v>4-1/2'' REG Pin</v>
          </cell>
          <cell r="AF2107" t="e">
            <v>#N/A</v>
          </cell>
          <cell r="AG2107"/>
          <cell r="AH2107" t="e">
            <v>#N/A</v>
          </cell>
          <cell r="AI2107" t="e">
            <v>#N/A</v>
          </cell>
          <cell r="AJ2107" t="e">
            <v>#N/A</v>
          </cell>
          <cell r="AK2107" t="e">
            <v>#N/A</v>
          </cell>
          <cell r="AL2107"/>
          <cell r="AM2107"/>
          <cell r="AN2107">
            <v>6121758</v>
          </cell>
          <cell r="AO2107"/>
          <cell r="AP2107"/>
          <cell r="AQ2107"/>
          <cell r="AR2107"/>
          <cell r="AS2107" t="e">
            <v>#N/A</v>
          </cell>
          <cell r="AT2107"/>
          <cell r="AU2107" t="str">
            <v/>
          </cell>
          <cell r="AV2107"/>
        </row>
        <row r="2108">
          <cell r="Z2108" t="str">
            <v>6020069T1</v>
          </cell>
          <cell r="AA2108" t="str">
            <v>PDC</v>
          </cell>
          <cell r="AB2108" t="str">
            <v>Varel</v>
          </cell>
          <cell r="AC2108">
            <v>8.5</v>
          </cell>
          <cell r="AD2108" t="str">
            <v>R813PDGNX</v>
          </cell>
          <cell r="AE2108" t="str">
            <v>4-1/2'' REG Pin</v>
          </cell>
          <cell r="AF2108" t="e">
            <v>#N/A</v>
          </cell>
          <cell r="AG2108"/>
          <cell r="AH2108" t="e">
            <v>#N/A</v>
          </cell>
          <cell r="AI2108" t="e">
            <v>#N/A</v>
          </cell>
          <cell r="AJ2108" t="e">
            <v>#N/A</v>
          </cell>
          <cell r="AK2108" t="e">
            <v>#N/A</v>
          </cell>
          <cell r="AL2108"/>
          <cell r="AM2108"/>
          <cell r="AN2108">
            <v>6121759</v>
          </cell>
          <cell r="AO2108"/>
          <cell r="AP2108"/>
          <cell r="AQ2108"/>
          <cell r="AR2108"/>
          <cell r="AS2108" t="e">
            <v>#N/A</v>
          </cell>
          <cell r="AT2108"/>
          <cell r="AU2108" t="str">
            <v/>
          </cell>
          <cell r="AV2108"/>
        </row>
        <row r="2109">
          <cell r="Z2109">
            <v>6020805</v>
          </cell>
          <cell r="AA2109" t="str">
            <v>PDC</v>
          </cell>
          <cell r="AB2109" t="str">
            <v>Varel</v>
          </cell>
          <cell r="AC2109">
            <v>6</v>
          </cell>
          <cell r="AD2109" t="str">
            <v>V713PDG1X</v>
          </cell>
          <cell r="AE2109" t="str">
            <v>3-1/2'' REG Pin</v>
          </cell>
          <cell r="AF2109" t="e">
            <v>#N/A</v>
          </cell>
          <cell r="AG2109"/>
          <cell r="AH2109" t="e">
            <v>#N/A</v>
          </cell>
          <cell r="AI2109" t="e">
            <v>#N/A</v>
          </cell>
          <cell r="AJ2109" t="e">
            <v>#N/A</v>
          </cell>
          <cell r="AK2109" t="e">
            <v>#N/A</v>
          </cell>
          <cell r="AL2109"/>
          <cell r="AM2109"/>
          <cell r="AN2109">
            <v>6121760</v>
          </cell>
          <cell r="AO2109"/>
          <cell r="AP2109"/>
          <cell r="AQ2109"/>
          <cell r="AR2109"/>
          <cell r="AS2109" t="e">
            <v>#N/A</v>
          </cell>
          <cell r="AT2109"/>
          <cell r="AU2109" t="str">
            <v/>
          </cell>
          <cell r="AV2109"/>
        </row>
        <row r="2110">
          <cell r="Z2110" t="str">
            <v>6017882T1</v>
          </cell>
          <cell r="AA2110" t="str">
            <v>PDC</v>
          </cell>
          <cell r="AB2110" t="str">
            <v>Varel</v>
          </cell>
          <cell r="AC2110">
            <v>6</v>
          </cell>
          <cell r="AD2110" t="str">
            <v>V713PDG1X</v>
          </cell>
          <cell r="AE2110" t="str">
            <v>3-1/2'' REG Pin</v>
          </cell>
          <cell r="AF2110" t="e">
            <v>#N/A</v>
          </cell>
          <cell r="AG2110"/>
          <cell r="AH2110" t="e">
            <v>#N/A</v>
          </cell>
          <cell r="AI2110" t="e">
            <v>#N/A</v>
          </cell>
          <cell r="AJ2110" t="e">
            <v>#N/A</v>
          </cell>
          <cell r="AK2110" t="e">
            <v>#N/A</v>
          </cell>
          <cell r="AL2110"/>
          <cell r="AM2110"/>
          <cell r="AN2110">
            <v>6121761</v>
          </cell>
          <cell r="AO2110"/>
          <cell r="AP2110"/>
          <cell r="AQ2110"/>
          <cell r="AR2110"/>
          <cell r="AS2110" t="e">
            <v>#N/A</v>
          </cell>
          <cell r="AT2110"/>
          <cell r="AU2110" t="str">
            <v/>
          </cell>
          <cell r="AV2110"/>
        </row>
        <row r="2111">
          <cell r="Z2111">
            <v>5111762</v>
          </cell>
          <cell r="AA2111" t="str">
            <v>WO Shoe
5-1/2" FJWP Box</v>
          </cell>
          <cell r="AB2111">
            <v>17</v>
          </cell>
          <cell r="AC2111">
            <v>6.125</v>
          </cell>
          <cell r="AD2111">
            <v>555</v>
          </cell>
          <cell r="AE2111" t="str">
            <v>5-1/2" FJWP Box</v>
          </cell>
          <cell r="AF2111"/>
          <cell r="AG2111" t="str">
            <v>CC</v>
          </cell>
          <cell r="AH2111" t="str">
            <v>maintenance</v>
          </cell>
          <cell r="AI2111" t="str">
            <v/>
          </cell>
          <cell r="AJ2111">
            <v>0</v>
          </cell>
          <cell r="AK2111">
            <v>1</v>
          </cell>
          <cell r="AL2111"/>
          <cell r="AM2111"/>
          <cell r="AN2111">
            <v>5111762</v>
          </cell>
          <cell r="AO2111"/>
          <cell r="AP2111"/>
          <cell r="AQ2111"/>
          <cell r="AR2111"/>
          <cell r="AS2111">
            <v>112</v>
          </cell>
          <cell r="AT2111"/>
          <cell r="AU2111" t="str">
            <v>FR</v>
          </cell>
          <cell r="AV2111"/>
        </row>
        <row r="2112">
          <cell r="Z2112">
            <v>5111763</v>
          </cell>
          <cell r="AA2112" t="str">
            <v>WO Shoe
5-1/2" FJWP Box</v>
          </cell>
          <cell r="AB2112">
            <v>17</v>
          </cell>
          <cell r="AC2112">
            <v>6.125</v>
          </cell>
          <cell r="AD2112">
            <v>620</v>
          </cell>
          <cell r="AE2112" t="str">
            <v>5-1/2" FJWP Box</v>
          </cell>
          <cell r="AF2112"/>
          <cell r="AG2112" t="str">
            <v>inserts</v>
          </cell>
          <cell r="AH2112" t="str">
            <v xml:space="preserve"> en stock </v>
          </cell>
          <cell r="AI2112">
            <v>1</v>
          </cell>
          <cell r="AJ2112">
            <v>0</v>
          </cell>
          <cell r="AK2112">
            <v>0</v>
          </cell>
          <cell r="AL2112"/>
          <cell r="AM2112"/>
          <cell r="AN2112">
            <v>5111763</v>
          </cell>
          <cell r="AO2112"/>
          <cell r="AP2112"/>
          <cell r="AQ2112"/>
          <cell r="AR2112"/>
          <cell r="AS2112">
            <v>113</v>
          </cell>
          <cell r="AT2112"/>
          <cell r="AU2112" t="str">
            <v>FR</v>
          </cell>
          <cell r="AV2112"/>
        </row>
        <row r="2113">
          <cell r="Z2113">
            <v>5111764</v>
          </cell>
          <cell r="AA2113" t="str">
            <v>WO Shoe
5-1/2" FJWP Box</v>
          </cell>
          <cell r="AB2113">
            <v>17</v>
          </cell>
          <cell r="AC2113">
            <v>5.875</v>
          </cell>
          <cell r="AD2113">
            <v>555</v>
          </cell>
          <cell r="AE2113" t="str">
            <v>5-1/2" FJWP Box</v>
          </cell>
          <cell r="AF2113"/>
          <cell r="AG2113" t="str">
            <v>CC</v>
          </cell>
          <cell r="AH2113" t="str">
            <v xml:space="preserve"> en stock </v>
          </cell>
          <cell r="AI2113">
            <v>1</v>
          </cell>
          <cell r="AJ2113">
            <v>0</v>
          </cell>
          <cell r="AK2113">
            <v>0</v>
          </cell>
          <cell r="AL2113"/>
          <cell r="AM2113"/>
          <cell r="AN2113">
            <v>5111764</v>
          </cell>
          <cell r="AO2113"/>
          <cell r="AP2113"/>
          <cell r="AQ2113"/>
          <cell r="AR2113"/>
          <cell r="AS2113">
            <v>114</v>
          </cell>
          <cell r="AT2113"/>
          <cell r="AU2113" t="str">
            <v>FR</v>
          </cell>
          <cell r="AV2113"/>
        </row>
        <row r="2114">
          <cell r="Z2114">
            <v>5111765</v>
          </cell>
          <cell r="AA2114" t="str">
            <v>WO Shoe
5-1/2" FJWP Box</v>
          </cell>
          <cell r="AB2114">
            <v>17</v>
          </cell>
          <cell r="AC2114">
            <v>6.125</v>
          </cell>
          <cell r="AD2114">
            <v>620</v>
          </cell>
          <cell r="AE2114" t="str">
            <v>5-1/2" FJWP Box</v>
          </cell>
          <cell r="AF2114"/>
          <cell r="AG2114" t="str">
            <v>CC</v>
          </cell>
          <cell r="AH2114" t="str">
            <v xml:space="preserve"> en stock </v>
          </cell>
          <cell r="AI2114">
            <v>1</v>
          </cell>
          <cell r="AJ2114">
            <v>0</v>
          </cell>
          <cell r="AK2114">
            <v>0</v>
          </cell>
          <cell r="AL2114"/>
          <cell r="AM2114"/>
          <cell r="AN2114">
            <v>5111765</v>
          </cell>
          <cell r="AO2114"/>
          <cell r="AP2114"/>
          <cell r="AQ2114"/>
          <cell r="AR2114"/>
          <cell r="AS2114">
            <v>115</v>
          </cell>
          <cell r="AT2114"/>
          <cell r="AU2114" t="str">
            <v>FR</v>
          </cell>
          <cell r="AV2114"/>
        </row>
        <row r="2115">
          <cell r="Z2115">
            <v>5111766</v>
          </cell>
          <cell r="AA2115" t="str">
            <v>WO Shoe
5-1/2" FJWP Box</v>
          </cell>
          <cell r="AB2115">
            <v>17</v>
          </cell>
          <cell r="AC2115">
            <v>6.125</v>
          </cell>
          <cell r="AD2115">
            <v>620</v>
          </cell>
          <cell r="AE2115" t="str">
            <v>5-1/2" FJWP Box</v>
          </cell>
          <cell r="AF2115"/>
          <cell r="AG2115" t="str">
            <v>inserts</v>
          </cell>
          <cell r="AH2115" t="str">
            <v xml:space="preserve"> en stock </v>
          </cell>
          <cell r="AI2115">
            <v>1</v>
          </cell>
          <cell r="AJ2115">
            <v>0</v>
          </cell>
          <cell r="AK2115">
            <v>0</v>
          </cell>
          <cell r="AL2115"/>
          <cell r="AM2115"/>
          <cell r="AN2115">
            <v>5111766</v>
          </cell>
          <cell r="AO2115"/>
          <cell r="AP2115"/>
          <cell r="AQ2115"/>
          <cell r="AR2115"/>
          <cell r="AS2115">
            <v>116</v>
          </cell>
          <cell r="AT2115"/>
          <cell r="AU2115" t="str">
            <v>FR</v>
          </cell>
          <cell r="AV2115"/>
        </row>
        <row r="2116">
          <cell r="Z2116">
            <v>5111767</v>
          </cell>
          <cell r="AA2116" t="str">
            <v>WO Shoe
5-1/2" FJWP Box</v>
          </cell>
          <cell r="AB2116">
            <v>17</v>
          </cell>
          <cell r="AC2116">
            <v>5.875</v>
          </cell>
          <cell r="AD2116">
            <v>620</v>
          </cell>
          <cell r="AE2116" t="str">
            <v>5-1/2" FJWP Box</v>
          </cell>
          <cell r="AF2116"/>
          <cell r="AG2116" t="str">
            <v>CC</v>
          </cell>
          <cell r="AH2116" t="str">
            <v>sur chantier</v>
          </cell>
          <cell r="AI2116" t="str">
            <v/>
          </cell>
          <cell r="AJ2116">
            <v>1</v>
          </cell>
          <cell r="AK2116">
            <v>0</v>
          </cell>
          <cell r="AL2116"/>
          <cell r="AM2116"/>
          <cell r="AN2116">
            <v>5111767</v>
          </cell>
          <cell r="AO2116"/>
          <cell r="AP2116"/>
          <cell r="AQ2116"/>
          <cell r="AR2116"/>
          <cell r="AS2116">
            <v>117</v>
          </cell>
          <cell r="AT2116"/>
          <cell r="AU2116" t="str">
            <v>FR</v>
          </cell>
          <cell r="AV2116"/>
        </row>
        <row r="2117">
          <cell r="Z2117">
            <v>5111768</v>
          </cell>
          <cell r="AA2117" t="str">
            <v>WO Shoe
5-1/2" FJWP Box</v>
          </cell>
          <cell r="AB2117">
            <v>17</v>
          </cell>
          <cell r="AC2117">
            <v>6.125</v>
          </cell>
          <cell r="AD2117">
            <v>620</v>
          </cell>
          <cell r="AE2117" t="str">
            <v>5-1/2" FJWP Box</v>
          </cell>
          <cell r="AF2117"/>
          <cell r="AG2117" t="str">
            <v>CC</v>
          </cell>
          <cell r="AH2117" t="str">
            <v>maintenance</v>
          </cell>
          <cell r="AI2117" t="str">
            <v/>
          </cell>
          <cell r="AJ2117">
            <v>0</v>
          </cell>
          <cell r="AK2117">
            <v>1</v>
          </cell>
          <cell r="AL2117"/>
          <cell r="AM2117"/>
          <cell r="AN2117">
            <v>5111768</v>
          </cell>
          <cell r="AO2117"/>
          <cell r="AP2117"/>
          <cell r="AQ2117"/>
          <cell r="AR2117"/>
          <cell r="AS2117">
            <v>118</v>
          </cell>
          <cell r="AT2117"/>
          <cell r="AU2117" t="str">
            <v>FR</v>
          </cell>
          <cell r="AV2117"/>
        </row>
        <row r="2118">
          <cell r="Z2118">
            <v>5111769</v>
          </cell>
          <cell r="AA2118" t="str">
            <v>WO Shoe
5-1/2" FJWP Box</v>
          </cell>
          <cell r="AB2118">
            <v>17</v>
          </cell>
          <cell r="AC2118">
            <v>5.875</v>
          </cell>
          <cell r="AD2118">
            <v>620</v>
          </cell>
          <cell r="AE2118" t="str">
            <v>5-1/2" FJWP Box</v>
          </cell>
          <cell r="AF2118"/>
          <cell r="AG2118">
            <v>0</v>
          </cell>
          <cell r="AH2118" t="str">
            <v xml:space="preserve"> en stock </v>
          </cell>
          <cell r="AI2118">
            <v>1</v>
          </cell>
          <cell r="AJ2118">
            <v>0</v>
          </cell>
          <cell r="AK2118">
            <v>0</v>
          </cell>
          <cell r="AL2118"/>
          <cell r="AM2118"/>
          <cell r="AN2118">
            <v>5111769</v>
          </cell>
          <cell r="AO2118"/>
          <cell r="AP2118"/>
          <cell r="AQ2118"/>
          <cell r="AR2118"/>
          <cell r="AS2118">
            <v>119</v>
          </cell>
          <cell r="AT2118"/>
          <cell r="AU2118" t="str">
            <v>FR</v>
          </cell>
          <cell r="AV2118"/>
        </row>
        <row r="2119">
          <cell r="Z2119">
            <v>5111770</v>
          </cell>
          <cell r="AA2119" t="str">
            <v>WO Shoe
5-1/2" FJWP Box</v>
          </cell>
          <cell r="AB2119">
            <v>17</v>
          </cell>
          <cell r="AC2119">
            <v>6.125</v>
          </cell>
          <cell r="AD2119">
            <v>620</v>
          </cell>
          <cell r="AE2119" t="str">
            <v>5-1/2" FJWP Box</v>
          </cell>
          <cell r="AF2119"/>
          <cell r="AG2119" t="str">
            <v>CC</v>
          </cell>
          <cell r="AH2119" t="str">
            <v>maintenance</v>
          </cell>
          <cell r="AI2119" t="str">
            <v/>
          </cell>
          <cell r="AJ2119">
            <v>0</v>
          </cell>
          <cell r="AK2119">
            <v>1</v>
          </cell>
          <cell r="AL2119"/>
          <cell r="AM2119"/>
          <cell r="AN2119">
            <v>5111770</v>
          </cell>
          <cell r="AO2119"/>
          <cell r="AP2119"/>
          <cell r="AQ2119"/>
          <cell r="AR2119"/>
          <cell r="AS2119">
            <v>120</v>
          </cell>
          <cell r="AT2119"/>
          <cell r="AU2119" t="str">
            <v>FR</v>
          </cell>
          <cell r="AV2119"/>
        </row>
        <row r="2120">
          <cell r="Z2120">
            <v>5111771</v>
          </cell>
          <cell r="AA2120" t="str">
            <v>WO Shoe
5-1/2" FJWP Box</v>
          </cell>
          <cell r="AB2120">
            <v>17</v>
          </cell>
          <cell r="AC2120">
            <v>6.125</v>
          </cell>
          <cell r="AD2120">
            <v>620</v>
          </cell>
          <cell r="AE2120" t="str">
            <v>5-1/2" FJWP Box</v>
          </cell>
          <cell r="AF2120"/>
          <cell r="AG2120">
            <v>0</v>
          </cell>
          <cell r="AH2120" t="str">
            <v xml:space="preserve"> en stock </v>
          </cell>
          <cell r="AI2120">
            <v>1</v>
          </cell>
          <cell r="AJ2120">
            <v>0</v>
          </cell>
          <cell r="AK2120">
            <v>0</v>
          </cell>
          <cell r="AL2120"/>
          <cell r="AM2120"/>
          <cell r="AN2120">
            <v>5111771</v>
          </cell>
          <cell r="AO2120"/>
          <cell r="AP2120"/>
          <cell r="AQ2120"/>
          <cell r="AR2120"/>
          <cell r="AS2120">
            <v>121</v>
          </cell>
          <cell r="AT2120"/>
          <cell r="AU2120" t="str">
            <v>FR</v>
          </cell>
          <cell r="AV2120"/>
        </row>
        <row r="2121">
          <cell r="Z2121">
            <v>5111772</v>
          </cell>
          <cell r="AA2121" t="str">
            <v>WO Shoe
5-1/2" FJWP Box</v>
          </cell>
          <cell r="AB2121">
            <v>17</v>
          </cell>
          <cell r="AC2121">
            <v>6.125</v>
          </cell>
          <cell r="AD2121">
            <v>620</v>
          </cell>
          <cell r="AE2121" t="str">
            <v>5-1/2" FJWP Box</v>
          </cell>
          <cell r="AF2121"/>
          <cell r="AG2121">
            <v>0</v>
          </cell>
          <cell r="AH2121" t="str">
            <v xml:space="preserve"> en stock </v>
          </cell>
          <cell r="AI2121">
            <v>1</v>
          </cell>
          <cell r="AJ2121">
            <v>0</v>
          </cell>
          <cell r="AK2121">
            <v>0</v>
          </cell>
          <cell r="AL2121"/>
          <cell r="AM2121"/>
          <cell r="AN2121">
            <v>5111772</v>
          </cell>
          <cell r="AO2121"/>
          <cell r="AP2121"/>
          <cell r="AQ2121"/>
          <cell r="AR2121"/>
          <cell r="AS2121">
            <v>122</v>
          </cell>
          <cell r="AT2121"/>
          <cell r="AU2121" t="str">
            <v>FR</v>
          </cell>
          <cell r="AV2121"/>
        </row>
        <row r="2122">
          <cell r="Z2122">
            <v>5111773</v>
          </cell>
          <cell r="AA2122" t="str">
            <v>WO Shoe
5-1/2" FJWP Box</v>
          </cell>
          <cell r="AB2122">
            <v>17</v>
          </cell>
          <cell r="AC2122">
            <v>0</v>
          </cell>
          <cell r="AD2122">
            <v>620</v>
          </cell>
          <cell r="AE2122" t="str">
            <v>5-1/2" FJWP Box</v>
          </cell>
          <cell r="AF2122"/>
          <cell r="AG2122" t="str">
            <v>BLANK</v>
          </cell>
          <cell r="AH2122" t="str">
            <v>maintenance</v>
          </cell>
          <cell r="AI2122" t="str">
            <v/>
          </cell>
          <cell r="AJ2122">
            <v>0</v>
          </cell>
          <cell r="AK2122">
            <v>1</v>
          </cell>
          <cell r="AL2122"/>
          <cell r="AM2122"/>
          <cell r="AN2122">
            <v>5111773</v>
          </cell>
          <cell r="AO2122"/>
          <cell r="AP2122"/>
          <cell r="AQ2122"/>
          <cell r="AR2122"/>
          <cell r="AS2122">
            <v>123</v>
          </cell>
          <cell r="AT2122"/>
          <cell r="AU2122" t="str">
            <v>FR</v>
          </cell>
          <cell r="AV2122"/>
        </row>
        <row r="2123">
          <cell r="Z2123">
            <v>1081774</v>
          </cell>
          <cell r="AA2123" t="str">
            <v>Reverse Circulating Junk Basket 15" OD Barrel 
7-5/8" REG Box</v>
          </cell>
          <cell r="AB2123">
            <v>0</v>
          </cell>
          <cell r="AC2123">
            <v>15</v>
          </cell>
          <cell r="AD2123">
            <v>1435</v>
          </cell>
          <cell r="AE2123" t="str">
            <v>7-5/8" REG Box</v>
          </cell>
          <cell r="AF2123"/>
          <cell r="AG2123">
            <v>17</v>
          </cell>
          <cell r="AH2123" t="str">
            <v>sur chantier</v>
          </cell>
          <cell r="AI2123" t="str">
            <v/>
          </cell>
          <cell r="AJ2123">
            <v>1</v>
          </cell>
          <cell r="AK2123">
            <v>0</v>
          </cell>
          <cell r="AL2123"/>
          <cell r="AM2123"/>
          <cell r="AN2123">
            <v>1081774</v>
          </cell>
          <cell r="AO2123"/>
          <cell r="AP2123"/>
          <cell r="AQ2123"/>
          <cell r="AR2123"/>
          <cell r="AS2123">
            <v>14</v>
          </cell>
          <cell r="AT2123"/>
          <cell r="AU2123" t="str">
            <v/>
          </cell>
          <cell r="AV2123"/>
        </row>
        <row r="2124">
          <cell r="Z2124">
            <v>8111775</v>
          </cell>
          <cell r="AA2124" t="str">
            <v>String Stab
7-5/8" REG Pin SRG x 7-5/8" REG Box BB</v>
          </cell>
          <cell r="AB2124">
            <v>1970</v>
          </cell>
          <cell r="AC2124">
            <v>24.0625</v>
          </cell>
          <cell r="AD2124">
            <v>2490</v>
          </cell>
          <cell r="AE2124" t="str">
            <v>7-5/8" REG Box BB</v>
          </cell>
          <cell r="AF2124" t="str">
            <v>7-5/8" REG Pin SRG</v>
          </cell>
          <cell r="AG2124" t="str">
            <v>TGG</v>
          </cell>
          <cell r="AH2124" t="str">
            <v>maintenance</v>
          </cell>
          <cell r="AI2124" t="str">
            <v/>
          </cell>
          <cell r="AJ2124">
            <v>0</v>
          </cell>
          <cell r="AK2124">
            <v>1</v>
          </cell>
          <cell r="AL2124"/>
          <cell r="AM2124"/>
          <cell r="AN2124">
            <v>8111775</v>
          </cell>
          <cell r="AO2124"/>
          <cell r="AP2124"/>
          <cell r="AQ2124"/>
          <cell r="AR2124"/>
          <cell r="AS2124">
            <v>109</v>
          </cell>
          <cell r="AT2124" t="str">
            <v>811-</v>
          </cell>
          <cell r="AU2124" t="str">
            <v>CH</v>
          </cell>
          <cell r="AV2124"/>
        </row>
        <row r="2125">
          <cell r="Z2125">
            <v>5111776</v>
          </cell>
          <cell r="AA2125" t="str">
            <v>WO Shoe
5-1/2" FJWP Box</v>
          </cell>
          <cell r="AB2125">
            <v>17</v>
          </cell>
          <cell r="AC2125">
            <v>6.125</v>
          </cell>
          <cell r="AD2125" t="str">
            <v>&lt;600</v>
          </cell>
          <cell r="AE2125" t="str">
            <v>5-1/2" FJWP Box</v>
          </cell>
          <cell r="AF2125"/>
          <cell r="AG2125" t="str">
            <v>inserts</v>
          </cell>
          <cell r="AH2125" t="str">
            <v xml:space="preserve"> en stock </v>
          </cell>
          <cell r="AI2125">
            <v>1</v>
          </cell>
          <cell r="AJ2125">
            <v>0</v>
          </cell>
          <cell r="AK2125">
            <v>0</v>
          </cell>
          <cell r="AL2125"/>
          <cell r="AM2125"/>
          <cell r="AN2125" t="str">
            <v/>
          </cell>
          <cell r="AO2125"/>
          <cell r="AP2125"/>
          <cell r="AQ2125"/>
          <cell r="AR2125"/>
          <cell r="AS2125">
            <v>125</v>
          </cell>
          <cell r="AT2125"/>
          <cell r="AU2125" t="str">
            <v/>
          </cell>
          <cell r="AV2125"/>
        </row>
        <row r="2126">
          <cell r="Z2126">
            <v>5111777</v>
          </cell>
          <cell r="AA2126" t="str">
            <v>WO Shoe
5-1/2" FJWP Box</v>
          </cell>
          <cell r="AB2126">
            <v>17</v>
          </cell>
          <cell r="AC2126">
            <v>6.125</v>
          </cell>
          <cell r="AD2126">
            <v>515</v>
          </cell>
          <cell r="AE2126" t="str">
            <v>5-1/2" FJWP Box</v>
          </cell>
          <cell r="AF2126"/>
          <cell r="AG2126" t="str">
            <v>CC</v>
          </cell>
          <cell r="AH2126" t="str">
            <v xml:space="preserve"> en stock </v>
          </cell>
          <cell r="AI2126">
            <v>1</v>
          </cell>
          <cell r="AJ2126">
            <v>0</v>
          </cell>
          <cell r="AK2126">
            <v>0</v>
          </cell>
          <cell r="AL2126"/>
          <cell r="AM2126"/>
          <cell r="AN2126" t="str">
            <v/>
          </cell>
          <cell r="AO2126"/>
          <cell r="AP2126"/>
          <cell r="AQ2126"/>
          <cell r="AR2126"/>
          <cell r="AS2126">
            <v>126</v>
          </cell>
          <cell r="AT2126"/>
          <cell r="AU2126" t="str">
            <v/>
          </cell>
          <cell r="AV2126"/>
        </row>
        <row r="2127">
          <cell r="Z2127">
            <v>5091778</v>
          </cell>
          <cell r="AA2127" t="str">
            <v>WO Extension Lg 3000 mm
16" FJWP Pin x Box</v>
          </cell>
          <cell r="AB2127">
            <v>367.37926523999943</v>
          </cell>
          <cell r="AC2127">
            <v>16</v>
          </cell>
          <cell r="AD2127">
            <v>3000</v>
          </cell>
          <cell r="AE2127" t="str">
            <v>16" FJWP Box</v>
          </cell>
          <cell r="AF2127" t="str">
            <v>16" FJWP Pin</v>
          </cell>
          <cell r="AG2127"/>
          <cell r="AH2127" t="str">
            <v>maintenance</v>
          </cell>
          <cell r="AI2127" t="str">
            <v/>
          </cell>
          <cell r="AJ2127">
            <v>0</v>
          </cell>
          <cell r="AK2127">
            <v>1</v>
          </cell>
          <cell r="AL2127"/>
          <cell r="AM2127"/>
          <cell r="AN2127">
            <v>5091778</v>
          </cell>
          <cell r="AO2127"/>
          <cell r="AP2127"/>
          <cell r="AQ2127"/>
          <cell r="AR2127"/>
          <cell r="AS2127">
            <v>143</v>
          </cell>
          <cell r="AT2127"/>
          <cell r="AU2127" t="str">
            <v>FR</v>
          </cell>
          <cell r="AV2127"/>
        </row>
        <row r="2128">
          <cell r="Z2128">
            <v>5091779</v>
          </cell>
          <cell r="AA2128" t="str">
            <v>WO Extension Lg 3000 mm
16" FJWP Pin x Box</v>
          </cell>
          <cell r="AB2128">
            <v>367.37926523999943</v>
          </cell>
          <cell r="AC2128">
            <v>16</v>
          </cell>
          <cell r="AD2128">
            <v>3000</v>
          </cell>
          <cell r="AE2128" t="str">
            <v>16" FJWP Box</v>
          </cell>
          <cell r="AF2128" t="str">
            <v>16" FJWP Pin</v>
          </cell>
          <cell r="AG2128"/>
          <cell r="AH2128" t="str">
            <v>maintenance</v>
          </cell>
          <cell r="AI2128" t="str">
            <v/>
          </cell>
          <cell r="AJ2128">
            <v>0</v>
          </cell>
          <cell r="AK2128">
            <v>1</v>
          </cell>
          <cell r="AL2128"/>
          <cell r="AM2128"/>
          <cell r="AN2128">
            <v>5091779</v>
          </cell>
          <cell r="AO2128"/>
          <cell r="AP2128"/>
          <cell r="AQ2128"/>
          <cell r="AR2128"/>
          <cell r="AS2128">
            <v>144</v>
          </cell>
          <cell r="AT2128"/>
          <cell r="AU2128" t="str">
            <v>FR</v>
          </cell>
          <cell r="AV2128"/>
        </row>
        <row r="2129">
          <cell r="Z2129">
            <v>5091780</v>
          </cell>
          <cell r="AA2129" t="str">
            <v>WO Extension Lg 3000 mm
16" FJWP Pin x Box</v>
          </cell>
          <cell r="AB2129">
            <v>367.37926523999943</v>
          </cell>
          <cell r="AC2129">
            <v>16</v>
          </cell>
          <cell r="AD2129">
            <v>3000</v>
          </cell>
          <cell r="AE2129" t="str">
            <v>16" FJWP Box</v>
          </cell>
          <cell r="AF2129" t="str">
            <v>16" FJWP Pin</v>
          </cell>
          <cell r="AG2129"/>
          <cell r="AH2129" t="str">
            <v>maintenance</v>
          </cell>
          <cell r="AI2129" t="str">
            <v/>
          </cell>
          <cell r="AJ2129">
            <v>0</v>
          </cell>
          <cell r="AK2129">
            <v>1</v>
          </cell>
          <cell r="AL2129"/>
          <cell r="AM2129"/>
          <cell r="AN2129">
            <v>5091780</v>
          </cell>
          <cell r="AO2129"/>
          <cell r="AP2129"/>
          <cell r="AQ2129"/>
          <cell r="AR2129"/>
          <cell r="AS2129">
            <v>145</v>
          </cell>
          <cell r="AT2129"/>
          <cell r="AU2129" t="str">
            <v>FR</v>
          </cell>
          <cell r="AV2129"/>
        </row>
        <row r="2130">
          <cell r="Z2130">
            <v>5091781</v>
          </cell>
          <cell r="AA2130" t="str">
            <v>WO Extension Lg 3000 mm
16" FJWP Pin x Box</v>
          </cell>
          <cell r="AB2130">
            <v>367.37926523999943</v>
          </cell>
          <cell r="AC2130">
            <v>16</v>
          </cell>
          <cell r="AD2130">
            <v>3000</v>
          </cell>
          <cell r="AE2130" t="str">
            <v>16" FJWP Box</v>
          </cell>
          <cell r="AF2130" t="str">
            <v>16" FJWP Pin</v>
          </cell>
          <cell r="AG2130"/>
          <cell r="AH2130" t="str">
            <v>maintenance</v>
          </cell>
          <cell r="AI2130" t="str">
            <v/>
          </cell>
          <cell r="AJ2130">
            <v>0</v>
          </cell>
          <cell r="AK2130">
            <v>1</v>
          </cell>
          <cell r="AL2130"/>
          <cell r="AM2130"/>
          <cell r="AN2130">
            <v>5091781</v>
          </cell>
          <cell r="AO2130"/>
          <cell r="AP2130"/>
          <cell r="AQ2130"/>
          <cell r="AR2130"/>
          <cell r="AS2130">
            <v>146</v>
          </cell>
          <cell r="AT2130"/>
          <cell r="AU2130" t="str">
            <v>FR</v>
          </cell>
          <cell r="AV2130"/>
        </row>
        <row r="2131">
          <cell r="Z2131">
            <v>5091782</v>
          </cell>
          <cell r="AA2131" t="str">
            <v>WO Extension Lg 3000 mm
16" FJWP Pin x Box</v>
          </cell>
          <cell r="AB2131">
            <v>367.37926523999943</v>
          </cell>
          <cell r="AC2131">
            <v>16</v>
          </cell>
          <cell r="AD2131">
            <v>3000</v>
          </cell>
          <cell r="AE2131" t="str">
            <v>16" FJWP Box</v>
          </cell>
          <cell r="AF2131" t="str">
            <v>16" FJWP Pin</v>
          </cell>
          <cell r="AG2131"/>
          <cell r="AH2131" t="str">
            <v>maintenance</v>
          </cell>
          <cell r="AI2131" t="str">
            <v/>
          </cell>
          <cell r="AJ2131">
            <v>0</v>
          </cell>
          <cell r="AK2131">
            <v>1</v>
          </cell>
          <cell r="AL2131"/>
          <cell r="AM2131"/>
          <cell r="AN2131">
            <v>5091782</v>
          </cell>
          <cell r="AO2131"/>
          <cell r="AP2131"/>
          <cell r="AQ2131"/>
          <cell r="AR2131"/>
          <cell r="AS2131">
            <v>147</v>
          </cell>
          <cell r="AT2131"/>
          <cell r="AU2131" t="str">
            <v>FR</v>
          </cell>
          <cell r="AV2131"/>
        </row>
        <row r="2132">
          <cell r="Z2132">
            <v>5091783</v>
          </cell>
          <cell r="AA2132" t="str">
            <v>WO Extension Lg 3000 mm
16" FJWP Pin x Box</v>
          </cell>
          <cell r="AB2132">
            <v>367.37926523999943</v>
          </cell>
          <cell r="AC2132">
            <v>16</v>
          </cell>
          <cell r="AD2132">
            <v>3000</v>
          </cell>
          <cell r="AE2132" t="str">
            <v>16" FJWP Box</v>
          </cell>
          <cell r="AF2132" t="str">
            <v>16" FJWP Pin</v>
          </cell>
          <cell r="AG2132"/>
          <cell r="AH2132" t="str">
            <v>maintenance</v>
          </cell>
          <cell r="AI2132" t="str">
            <v/>
          </cell>
          <cell r="AJ2132">
            <v>0</v>
          </cell>
          <cell r="AK2132">
            <v>1</v>
          </cell>
          <cell r="AL2132"/>
          <cell r="AM2132"/>
          <cell r="AN2132">
            <v>5091783</v>
          </cell>
          <cell r="AO2132"/>
          <cell r="AP2132"/>
          <cell r="AQ2132"/>
          <cell r="AR2132"/>
          <cell r="AS2132">
            <v>148</v>
          </cell>
          <cell r="AT2132"/>
          <cell r="AU2132" t="str">
            <v>FR</v>
          </cell>
          <cell r="AV2132"/>
        </row>
        <row r="2133">
          <cell r="Z2133">
            <v>5091784</v>
          </cell>
          <cell r="AA2133" t="str">
            <v>WO Extension Lg 3000 mm
16" FJWP Pin x Box</v>
          </cell>
          <cell r="AB2133">
            <v>367.37926523999943</v>
          </cell>
          <cell r="AC2133">
            <v>16</v>
          </cell>
          <cell r="AD2133">
            <v>3000</v>
          </cell>
          <cell r="AE2133" t="str">
            <v>16" FJWP Box</v>
          </cell>
          <cell r="AF2133" t="str">
            <v>16" FJWP Pin</v>
          </cell>
          <cell r="AG2133"/>
          <cell r="AH2133" t="str">
            <v xml:space="preserve"> en stock </v>
          </cell>
          <cell r="AI2133">
            <v>1</v>
          </cell>
          <cell r="AJ2133">
            <v>0</v>
          </cell>
          <cell r="AK2133">
            <v>0</v>
          </cell>
          <cell r="AL2133"/>
          <cell r="AM2133"/>
          <cell r="AN2133">
            <v>5091784</v>
          </cell>
          <cell r="AO2133"/>
          <cell r="AP2133"/>
          <cell r="AQ2133"/>
          <cell r="AR2133"/>
          <cell r="AS2133">
            <v>149</v>
          </cell>
          <cell r="AT2133"/>
          <cell r="AU2133" t="str">
            <v>FR</v>
          </cell>
          <cell r="AV2133"/>
        </row>
        <row r="2134">
          <cell r="Z2134">
            <v>5091785</v>
          </cell>
          <cell r="AA2134" t="str">
            <v>WO Extension Lg 3000 mm
16" FJWP Pin x Box</v>
          </cell>
          <cell r="AB2134">
            <v>367.37926523999943</v>
          </cell>
          <cell r="AC2134">
            <v>16</v>
          </cell>
          <cell r="AD2134">
            <v>3000</v>
          </cell>
          <cell r="AE2134" t="str">
            <v>16" FJWP Box</v>
          </cell>
          <cell r="AF2134" t="str">
            <v>16" FJWP Pin</v>
          </cell>
          <cell r="AG2134"/>
          <cell r="AH2134" t="str">
            <v>maintenance</v>
          </cell>
          <cell r="AI2134" t="str">
            <v/>
          </cell>
          <cell r="AJ2134">
            <v>0</v>
          </cell>
          <cell r="AK2134">
            <v>1</v>
          </cell>
          <cell r="AL2134"/>
          <cell r="AM2134"/>
          <cell r="AN2134">
            <v>5091785</v>
          </cell>
          <cell r="AO2134"/>
          <cell r="AP2134"/>
          <cell r="AQ2134"/>
          <cell r="AR2134"/>
          <cell r="AS2134">
            <v>150</v>
          </cell>
          <cell r="AT2134"/>
          <cell r="AU2134" t="str">
            <v>FR</v>
          </cell>
          <cell r="AV2134"/>
        </row>
        <row r="2135">
          <cell r="Z2135">
            <v>5091786</v>
          </cell>
          <cell r="AA2135" t="str">
            <v>WO Extension Lg 3000 mm
16" FJWP Pin x Box</v>
          </cell>
          <cell r="AB2135">
            <v>367.37926523999943</v>
          </cell>
          <cell r="AC2135">
            <v>16</v>
          </cell>
          <cell r="AD2135">
            <v>3000</v>
          </cell>
          <cell r="AE2135" t="str">
            <v>16" FJWP Box</v>
          </cell>
          <cell r="AF2135" t="str">
            <v>16" FJWP Pin</v>
          </cell>
          <cell r="AG2135"/>
          <cell r="AH2135" t="str">
            <v>maintenance</v>
          </cell>
          <cell r="AI2135" t="str">
            <v/>
          </cell>
          <cell r="AJ2135">
            <v>0</v>
          </cell>
          <cell r="AK2135">
            <v>1</v>
          </cell>
          <cell r="AL2135"/>
          <cell r="AM2135"/>
          <cell r="AN2135">
            <v>5091786</v>
          </cell>
          <cell r="AO2135"/>
          <cell r="AP2135"/>
          <cell r="AQ2135"/>
          <cell r="AR2135"/>
          <cell r="AS2135">
            <v>151</v>
          </cell>
          <cell r="AT2135"/>
          <cell r="AU2135" t="str">
            <v>FR</v>
          </cell>
          <cell r="AV2135"/>
        </row>
        <row r="2136">
          <cell r="Z2136">
            <v>5091787</v>
          </cell>
          <cell r="AA2136" t="str">
            <v>WO Extension Lg 3000 mm
16" FJWP Pin x Box</v>
          </cell>
          <cell r="AB2136">
            <v>367.37926523999943</v>
          </cell>
          <cell r="AC2136">
            <v>16</v>
          </cell>
          <cell r="AD2136">
            <v>3000</v>
          </cell>
          <cell r="AE2136" t="str">
            <v>16" FJWP Box</v>
          </cell>
          <cell r="AF2136" t="str">
            <v>16" FJWP Pin</v>
          </cell>
          <cell r="AG2136"/>
          <cell r="AH2136" t="str">
            <v>maintenance</v>
          </cell>
          <cell r="AI2136" t="str">
            <v/>
          </cell>
          <cell r="AJ2136">
            <v>0</v>
          </cell>
          <cell r="AK2136">
            <v>1</v>
          </cell>
          <cell r="AL2136"/>
          <cell r="AM2136"/>
          <cell r="AN2136">
            <v>5091787</v>
          </cell>
          <cell r="AO2136"/>
          <cell r="AP2136"/>
          <cell r="AQ2136"/>
          <cell r="AR2136"/>
          <cell r="AS2136">
            <v>152</v>
          </cell>
          <cell r="AT2136"/>
          <cell r="AU2136" t="str">
            <v>FR</v>
          </cell>
          <cell r="AV2136"/>
        </row>
        <row r="2137">
          <cell r="Z2137">
            <v>5091788</v>
          </cell>
          <cell r="AA2137" t="str">
            <v>WO Extension Lg 1000 mm
16" FJWP Pin x Box</v>
          </cell>
          <cell r="AB2137">
            <v>122.45975507999981</v>
          </cell>
          <cell r="AC2137">
            <v>16</v>
          </cell>
          <cell r="AD2137">
            <v>1000</v>
          </cell>
          <cell r="AE2137" t="str">
            <v>16" FJWP Box</v>
          </cell>
          <cell r="AF2137" t="str">
            <v>16" FJWP Pin</v>
          </cell>
          <cell r="AG2137"/>
          <cell r="AH2137" t="str">
            <v>maintenance</v>
          </cell>
          <cell r="AI2137" t="str">
            <v/>
          </cell>
          <cell r="AJ2137">
            <v>0</v>
          </cell>
          <cell r="AK2137">
            <v>1</v>
          </cell>
          <cell r="AL2137"/>
          <cell r="AM2137"/>
          <cell r="AN2137">
            <v>5091788</v>
          </cell>
          <cell r="AO2137"/>
          <cell r="AP2137"/>
          <cell r="AQ2137"/>
          <cell r="AR2137"/>
          <cell r="AS2137">
            <v>142</v>
          </cell>
          <cell r="AT2137"/>
          <cell r="AU2137" t="str">
            <v>FR</v>
          </cell>
          <cell r="AV2137"/>
        </row>
        <row r="2138">
          <cell r="Z2138">
            <v>5111789</v>
          </cell>
          <cell r="AA2138" t="str">
            <v>WO Shoe
16" FJWP Box</v>
          </cell>
          <cell r="AB2138">
            <v>90.620218759199858</v>
          </cell>
          <cell r="AC2138">
            <v>16.5</v>
          </cell>
          <cell r="AD2138">
            <v>740</v>
          </cell>
          <cell r="AE2138" t="str">
            <v>16" FJWP Box</v>
          </cell>
          <cell r="AF2138"/>
          <cell r="AG2138" t="str">
            <v>CC</v>
          </cell>
          <cell r="AH2138" t="str">
            <v xml:space="preserve"> en stock </v>
          </cell>
          <cell r="AI2138">
            <v>1</v>
          </cell>
          <cell r="AJ2138">
            <v>0</v>
          </cell>
          <cell r="AK2138">
            <v>0</v>
          </cell>
          <cell r="AL2138"/>
          <cell r="AM2138"/>
          <cell r="AN2138">
            <v>5111789</v>
          </cell>
          <cell r="AO2138"/>
          <cell r="AP2138"/>
          <cell r="AQ2138"/>
          <cell r="AR2138"/>
          <cell r="AS2138">
            <v>230</v>
          </cell>
          <cell r="AT2138"/>
          <cell r="AU2138" t="str">
            <v>FR</v>
          </cell>
          <cell r="AV2138"/>
        </row>
        <row r="2139">
          <cell r="Z2139">
            <v>5111790</v>
          </cell>
          <cell r="AA2139" t="str">
            <v>WO Shoe
16" FJWP Box</v>
          </cell>
          <cell r="AB2139">
            <v>90.620218759199858</v>
          </cell>
          <cell r="AC2139">
            <v>16.5</v>
          </cell>
          <cell r="AD2139">
            <v>740</v>
          </cell>
          <cell r="AE2139" t="str">
            <v>16" FJWP Box</v>
          </cell>
          <cell r="AF2139"/>
          <cell r="AG2139" t="str">
            <v>CC</v>
          </cell>
          <cell r="AH2139" t="str">
            <v>maintenance</v>
          </cell>
          <cell r="AI2139" t="str">
            <v/>
          </cell>
          <cell r="AJ2139">
            <v>0</v>
          </cell>
          <cell r="AK2139">
            <v>1</v>
          </cell>
          <cell r="AL2139"/>
          <cell r="AM2139"/>
          <cell r="AN2139">
            <v>5111790</v>
          </cell>
          <cell r="AO2139"/>
          <cell r="AP2139"/>
          <cell r="AQ2139"/>
          <cell r="AR2139"/>
          <cell r="AS2139">
            <v>231</v>
          </cell>
          <cell r="AT2139"/>
          <cell r="AU2139" t="str">
            <v>FR</v>
          </cell>
          <cell r="AV2139"/>
        </row>
        <row r="2140">
          <cell r="Z2140">
            <v>5111791</v>
          </cell>
          <cell r="AA2140" t="str">
            <v>WO Shoe
16" FJWP Box</v>
          </cell>
          <cell r="AB2140">
            <v>90.620218759199858</v>
          </cell>
          <cell r="AC2140">
            <v>16.5</v>
          </cell>
          <cell r="AD2140">
            <v>740</v>
          </cell>
          <cell r="AE2140" t="str">
            <v>16" FJWP Box</v>
          </cell>
          <cell r="AF2140"/>
          <cell r="AG2140" t="str">
            <v>plaquettes</v>
          </cell>
          <cell r="AH2140" t="str">
            <v>maintenance</v>
          </cell>
          <cell r="AI2140" t="str">
            <v/>
          </cell>
          <cell r="AJ2140">
            <v>0</v>
          </cell>
          <cell r="AK2140">
            <v>1</v>
          </cell>
          <cell r="AL2140"/>
          <cell r="AM2140"/>
          <cell r="AN2140">
            <v>5111791</v>
          </cell>
          <cell r="AO2140"/>
          <cell r="AP2140"/>
          <cell r="AQ2140"/>
          <cell r="AR2140"/>
          <cell r="AS2140">
            <v>232</v>
          </cell>
          <cell r="AT2140"/>
          <cell r="AU2140" t="str">
            <v>FR</v>
          </cell>
          <cell r="AV2140"/>
        </row>
        <row r="2141">
          <cell r="Z2141">
            <v>5111792</v>
          </cell>
          <cell r="AA2141" t="str">
            <v>WO Shoe
16" FJWP Box</v>
          </cell>
          <cell r="AB2141">
            <v>90.620218759199858</v>
          </cell>
          <cell r="AC2141">
            <v>16.5</v>
          </cell>
          <cell r="AD2141">
            <v>740</v>
          </cell>
          <cell r="AE2141" t="str">
            <v>16" FJWP Box</v>
          </cell>
          <cell r="AF2141"/>
          <cell r="AG2141" t="str">
            <v>plaquettes</v>
          </cell>
          <cell r="AH2141" t="str">
            <v>maintenance</v>
          </cell>
          <cell r="AI2141" t="str">
            <v/>
          </cell>
          <cell r="AJ2141">
            <v>0</v>
          </cell>
          <cell r="AK2141">
            <v>1</v>
          </cell>
          <cell r="AL2141"/>
          <cell r="AM2141"/>
          <cell r="AN2141">
            <v>5111792</v>
          </cell>
          <cell r="AO2141"/>
          <cell r="AP2141"/>
          <cell r="AQ2141"/>
          <cell r="AR2141"/>
          <cell r="AS2141">
            <v>233</v>
          </cell>
          <cell r="AT2141"/>
          <cell r="AU2141" t="str">
            <v>FR</v>
          </cell>
          <cell r="AV2141"/>
        </row>
        <row r="2142">
          <cell r="Z2142">
            <v>5121793</v>
          </cell>
          <cell r="AA2142" t="str">
            <v>WO Top Sub 
7-5/8" REG Box x 16" FJWP Pin</v>
          </cell>
          <cell r="AB2142">
            <v>0</v>
          </cell>
          <cell r="AC2142">
            <v>16</v>
          </cell>
          <cell r="AD2142">
            <v>1090</v>
          </cell>
          <cell r="AE2142" t="str">
            <v>7-5/8" REG Box</v>
          </cell>
          <cell r="AF2142" t="str">
            <v>16" FJWP Pin</v>
          </cell>
          <cell r="AG2142">
            <v>0</v>
          </cell>
          <cell r="AH2142" t="str">
            <v>maintenance</v>
          </cell>
          <cell r="AI2142" t="str">
            <v/>
          </cell>
          <cell r="AJ2142">
            <v>0</v>
          </cell>
          <cell r="AK2142">
            <v>1</v>
          </cell>
          <cell r="AL2142"/>
          <cell r="AM2142"/>
          <cell r="AN2142">
            <v>5121793</v>
          </cell>
          <cell r="AO2142"/>
          <cell r="AP2142"/>
          <cell r="AQ2142"/>
          <cell r="AR2142"/>
          <cell r="AS2142">
            <v>50</v>
          </cell>
          <cell r="AT2142"/>
          <cell r="AU2142" t="str">
            <v>FR</v>
          </cell>
          <cell r="AV2142"/>
        </row>
        <row r="2143">
          <cell r="Z2143">
            <v>5121794</v>
          </cell>
          <cell r="AA2143" t="str">
            <v>WO Top Sub 
7-5/8" REG Box x 16" FJWP Pin</v>
          </cell>
          <cell r="AB2143">
            <v>0</v>
          </cell>
          <cell r="AC2143">
            <v>16</v>
          </cell>
          <cell r="AD2143">
            <v>1090</v>
          </cell>
          <cell r="AE2143" t="str">
            <v>7-5/8" REG Box</v>
          </cell>
          <cell r="AF2143" t="str">
            <v>16" FJWP Pin</v>
          </cell>
          <cell r="AG2143">
            <v>0</v>
          </cell>
          <cell r="AH2143" t="str">
            <v>maintenance</v>
          </cell>
          <cell r="AI2143" t="str">
            <v/>
          </cell>
          <cell r="AJ2143">
            <v>0</v>
          </cell>
          <cell r="AK2143">
            <v>1</v>
          </cell>
          <cell r="AL2143"/>
          <cell r="AM2143"/>
          <cell r="AN2143">
            <v>5121794</v>
          </cell>
          <cell r="AO2143"/>
          <cell r="AP2143"/>
          <cell r="AQ2143"/>
          <cell r="AR2143"/>
          <cell r="AS2143">
            <v>51</v>
          </cell>
          <cell r="AT2143"/>
          <cell r="AU2143" t="str">
            <v>FR</v>
          </cell>
          <cell r="AV2143"/>
        </row>
        <row r="2144">
          <cell r="Z2144">
            <v>5151795</v>
          </cell>
          <cell r="AA2144" t="str">
            <v>WO Lift Plug 
16" FJWP Pin</v>
          </cell>
          <cell r="AB2144">
            <v>0</v>
          </cell>
          <cell r="AC2144">
            <v>0</v>
          </cell>
          <cell r="AD2144"/>
          <cell r="AE2144" t="str">
            <v>16" FJWP Pin</v>
          </cell>
          <cell r="AF2144"/>
          <cell r="AG2144"/>
          <cell r="AH2144" t="str">
            <v>maintenance</v>
          </cell>
          <cell r="AI2144" t="str">
            <v/>
          </cell>
          <cell r="AJ2144">
            <v>0</v>
          </cell>
          <cell r="AK2144">
            <v>1</v>
          </cell>
          <cell r="AL2144"/>
          <cell r="AM2144"/>
          <cell r="AN2144">
            <v>5151795</v>
          </cell>
          <cell r="AO2144"/>
          <cell r="AP2144"/>
          <cell r="AQ2144"/>
          <cell r="AR2144"/>
          <cell r="AS2144">
            <v>30</v>
          </cell>
          <cell r="AT2144"/>
          <cell r="AU2144" t="str">
            <v>FR</v>
          </cell>
          <cell r="AV2144"/>
        </row>
        <row r="2145">
          <cell r="Z2145">
            <v>5161796</v>
          </cell>
          <cell r="AA2145" t="str">
            <v>WO Lift Sub for 5" DP 18"
16" FJWP Pin</v>
          </cell>
          <cell r="AB2145">
            <v>0</v>
          </cell>
          <cell r="AC2145">
            <v>16</v>
          </cell>
          <cell r="AD2145">
            <v>0</v>
          </cell>
          <cell r="AE2145" t="str">
            <v>16" FJWP Pin</v>
          </cell>
          <cell r="AF2145"/>
          <cell r="AG2145" t="str">
            <v>5" DP 18"</v>
          </cell>
          <cell r="AH2145" t="str">
            <v>maintenance</v>
          </cell>
          <cell r="AI2145" t="str">
            <v/>
          </cell>
          <cell r="AJ2145">
            <v>0</v>
          </cell>
          <cell r="AK2145">
            <v>1</v>
          </cell>
          <cell r="AL2145"/>
          <cell r="AM2145"/>
          <cell r="AN2145">
            <v>5161796</v>
          </cell>
          <cell r="AO2145"/>
          <cell r="AP2145"/>
          <cell r="AQ2145"/>
          <cell r="AR2145"/>
          <cell r="AS2145">
            <v>19</v>
          </cell>
          <cell r="AT2145" t="str">
            <v>516-16,000FJWP</v>
          </cell>
          <cell r="AU2145" t="str">
            <v>FR</v>
          </cell>
          <cell r="AV2145"/>
        </row>
        <row r="2146">
          <cell r="Z2146">
            <v>7021797</v>
          </cell>
          <cell r="AA2146" t="str">
            <v>Fishing Magnet 7" OD
4-1/2" IF Pin</v>
          </cell>
          <cell r="AB2146">
            <v>0</v>
          </cell>
          <cell r="AC2146">
            <v>7</v>
          </cell>
          <cell r="AD2146">
            <v>500</v>
          </cell>
          <cell r="AE2146" t="str">
            <v>4-1/2" IF Pin</v>
          </cell>
          <cell r="AF2146"/>
          <cell r="AG2146"/>
          <cell r="AH2146" t="str">
            <v>sur chantier</v>
          </cell>
          <cell r="AI2146" t="str">
            <v/>
          </cell>
          <cell r="AJ2146">
            <v>1</v>
          </cell>
          <cell r="AK2146">
            <v>0</v>
          </cell>
          <cell r="AL2146"/>
          <cell r="AM2146"/>
          <cell r="AN2146">
            <v>7021797</v>
          </cell>
          <cell r="AO2146"/>
          <cell r="AP2146"/>
          <cell r="AQ2146"/>
          <cell r="AR2146"/>
          <cell r="AS2146">
            <v>9</v>
          </cell>
          <cell r="AT2146"/>
          <cell r="AU2146" t="str">
            <v/>
          </cell>
          <cell r="AV2146"/>
        </row>
        <row r="2147">
          <cell r="Z2147">
            <v>8041798</v>
          </cell>
          <cell r="AA2147" t="str">
            <v>Lift Sub 2-3/8" REG Pin
2-3/8" OD body for Elevator DP 18°</v>
          </cell>
          <cell r="AB2147">
            <v>0</v>
          </cell>
          <cell r="AC2147" t="str">
            <v>2-3/8"</v>
          </cell>
          <cell r="AD2147" t="str">
            <v>750HT</v>
          </cell>
          <cell r="AE2147" t="str">
            <v>18°</v>
          </cell>
          <cell r="AF2147" t="str">
            <v>2-3/8" REG Pin</v>
          </cell>
          <cell r="AG2147"/>
          <cell r="AH2147" t="str">
            <v>maintenance</v>
          </cell>
          <cell r="AI2147" t="str">
            <v/>
          </cell>
          <cell r="AJ2147">
            <v>0</v>
          </cell>
          <cell r="AK2147">
            <v>1</v>
          </cell>
          <cell r="AL2147"/>
          <cell r="AM2147"/>
          <cell r="AN2147">
            <v>8041798</v>
          </cell>
          <cell r="AO2147"/>
          <cell r="AP2147"/>
          <cell r="AQ2147"/>
          <cell r="AR2147"/>
          <cell r="AS2147">
            <v>31</v>
          </cell>
          <cell r="AT2147"/>
          <cell r="AU2147" t="str">
            <v>FR</v>
          </cell>
          <cell r="AV2147"/>
        </row>
        <row r="2148">
          <cell r="Z2148">
            <v>8041799</v>
          </cell>
          <cell r="AA2148" t="str">
            <v>Lift Sub 2-3/8" REG Pin
2-3/8" OD body for Elevator DP 18°</v>
          </cell>
          <cell r="AB2148">
            <v>0</v>
          </cell>
          <cell r="AC2148" t="str">
            <v>2-3/8"</v>
          </cell>
          <cell r="AD2148" t="str">
            <v>750HT</v>
          </cell>
          <cell r="AE2148" t="str">
            <v>18°</v>
          </cell>
          <cell r="AF2148" t="str">
            <v>2-3/8" REG Pin</v>
          </cell>
          <cell r="AG2148"/>
          <cell r="AH2148" t="str">
            <v xml:space="preserve"> en stock </v>
          </cell>
          <cell r="AI2148">
            <v>1</v>
          </cell>
          <cell r="AJ2148">
            <v>0</v>
          </cell>
          <cell r="AK2148">
            <v>0</v>
          </cell>
          <cell r="AL2148"/>
          <cell r="AM2148"/>
          <cell r="AN2148">
            <v>8041799</v>
          </cell>
          <cell r="AO2148"/>
          <cell r="AP2148"/>
          <cell r="AQ2148"/>
          <cell r="AR2148"/>
          <cell r="AS2148">
            <v>32</v>
          </cell>
          <cell r="AT2148"/>
          <cell r="AU2148" t="str">
            <v>FR</v>
          </cell>
          <cell r="AV2148"/>
        </row>
        <row r="2149">
          <cell r="Z2149">
            <v>8041800</v>
          </cell>
          <cell r="AA2149" t="str">
            <v>Lift Sub 2-3/8" REG Pin
2-3/8" OD body for Elevator DP 18°</v>
          </cell>
          <cell r="AB2149">
            <v>0</v>
          </cell>
          <cell r="AC2149" t="str">
            <v>2-3/8"</v>
          </cell>
          <cell r="AD2149" t="str">
            <v>750HT</v>
          </cell>
          <cell r="AE2149" t="str">
            <v>18°</v>
          </cell>
          <cell r="AF2149" t="str">
            <v>2-3/8" REG Pin</v>
          </cell>
          <cell r="AG2149"/>
          <cell r="AH2149" t="str">
            <v>maintenance</v>
          </cell>
          <cell r="AI2149" t="str">
            <v/>
          </cell>
          <cell r="AJ2149">
            <v>0</v>
          </cell>
          <cell r="AK2149">
            <v>1</v>
          </cell>
          <cell r="AL2149"/>
          <cell r="AM2149"/>
          <cell r="AN2149">
            <v>8041800</v>
          </cell>
          <cell r="AO2149"/>
          <cell r="AP2149"/>
          <cell r="AQ2149"/>
          <cell r="AR2149"/>
          <cell r="AS2149">
            <v>33</v>
          </cell>
          <cell r="AT2149"/>
          <cell r="AU2149" t="str">
            <v>FR</v>
          </cell>
          <cell r="AV2149"/>
        </row>
        <row r="2150">
          <cell r="Z2150">
            <v>8041801</v>
          </cell>
          <cell r="AA2150" t="str">
            <v>Lift Sub 2-3/8" REG Pin
2-3/8" OD body for Elevator DP 18°</v>
          </cell>
          <cell r="AB2150">
            <v>0</v>
          </cell>
          <cell r="AC2150" t="str">
            <v>2-3/8"</v>
          </cell>
          <cell r="AD2150" t="str">
            <v>750HT</v>
          </cell>
          <cell r="AE2150" t="str">
            <v>18°</v>
          </cell>
          <cell r="AF2150" t="str">
            <v>2-3/8" REG Pin</v>
          </cell>
          <cell r="AG2150"/>
          <cell r="AH2150" t="str">
            <v xml:space="preserve"> en stock </v>
          </cell>
          <cell r="AI2150">
            <v>1</v>
          </cell>
          <cell r="AJ2150">
            <v>0</v>
          </cell>
          <cell r="AK2150">
            <v>0</v>
          </cell>
          <cell r="AL2150"/>
          <cell r="AM2150"/>
          <cell r="AN2150">
            <v>8041801</v>
          </cell>
          <cell r="AO2150"/>
          <cell r="AP2150"/>
          <cell r="AQ2150"/>
          <cell r="AR2150"/>
          <cell r="AS2150">
            <v>34</v>
          </cell>
          <cell r="AT2150"/>
          <cell r="AU2150" t="str">
            <v>FR</v>
          </cell>
          <cell r="AV2150"/>
        </row>
        <row r="2151">
          <cell r="Z2151">
            <v>5101802</v>
          </cell>
          <cell r="AA2151" t="str">
            <v>WO Pipe
11-3/4" FJWP Pin x Box</v>
          </cell>
          <cell r="AB2151">
            <v>5072.1299807197502</v>
          </cell>
          <cell r="AC2151">
            <v>11.75</v>
          </cell>
          <cell r="AD2151">
            <v>9300</v>
          </cell>
          <cell r="AE2151" t="str">
            <v>11-3/4" FJWP Box</v>
          </cell>
          <cell r="AF2151" t="str">
            <v>11-3/4" FJWP Pin</v>
          </cell>
          <cell r="AG2151"/>
          <cell r="AH2151" t="str">
            <v xml:space="preserve"> en stock </v>
          </cell>
          <cell r="AI2151">
            <v>1</v>
          </cell>
          <cell r="AJ2151">
            <v>0</v>
          </cell>
          <cell r="AK2151">
            <v>0</v>
          </cell>
          <cell r="AL2151"/>
          <cell r="AM2151"/>
          <cell r="AN2151">
            <v>5101802</v>
          </cell>
          <cell r="AO2151"/>
          <cell r="AP2151"/>
          <cell r="AQ2151"/>
          <cell r="AR2151"/>
          <cell r="AS2151">
            <v>156</v>
          </cell>
          <cell r="AT2151"/>
          <cell r="AU2151" t="str">
            <v>FR</v>
          </cell>
          <cell r="AV2151"/>
        </row>
        <row r="2152">
          <cell r="Z2152">
            <v>5101803</v>
          </cell>
          <cell r="AA2152" t="str">
            <v>WO Pipe
11-3/4" FJWP Pin x Box</v>
          </cell>
          <cell r="AB2152">
            <v>5072.1299807197502</v>
          </cell>
          <cell r="AC2152">
            <v>11.75</v>
          </cell>
          <cell r="AD2152">
            <v>9300</v>
          </cell>
          <cell r="AE2152" t="str">
            <v>11-3/4" FJWP Box</v>
          </cell>
          <cell r="AF2152" t="str">
            <v>11-3/4" FJWP Pin</v>
          </cell>
          <cell r="AG2152"/>
          <cell r="AH2152" t="str">
            <v xml:space="preserve"> en stock </v>
          </cell>
          <cell r="AI2152">
            <v>1</v>
          </cell>
          <cell r="AJ2152">
            <v>0</v>
          </cell>
          <cell r="AK2152">
            <v>0</v>
          </cell>
          <cell r="AL2152"/>
          <cell r="AM2152"/>
          <cell r="AN2152">
            <v>5101803</v>
          </cell>
          <cell r="AO2152"/>
          <cell r="AP2152"/>
          <cell r="AQ2152"/>
          <cell r="AR2152"/>
          <cell r="AS2152">
            <v>157</v>
          </cell>
          <cell r="AT2152"/>
          <cell r="AU2152" t="str">
            <v>FR</v>
          </cell>
          <cell r="AV2152"/>
        </row>
        <row r="2153">
          <cell r="Z2153">
            <v>5101804</v>
          </cell>
          <cell r="AA2153" t="str">
            <v>WO Pipe
11-3/4" FJWP Pin x Box</v>
          </cell>
          <cell r="AB2153">
            <v>5072.1299807197502</v>
          </cell>
          <cell r="AC2153">
            <v>11.75</v>
          </cell>
          <cell r="AD2153">
            <v>9300</v>
          </cell>
          <cell r="AE2153" t="str">
            <v>11-3/4" FJWP Box</v>
          </cell>
          <cell r="AF2153" t="str">
            <v>11-3/4" FJWP Pin</v>
          </cell>
          <cell r="AG2153"/>
          <cell r="AH2153" t="str">
            <v xml:space="preserve"> en stock </v>
          </cell>
          <cell r="AI2153">
            <v>1</v>
          </cell>
          <cell r="AJ2153">
            <v>0</v>
          </cell>
          <cell r="AK2153">
            <v>0</v>
          </cell>
          <cell r="AL2153"/>
          <cell r="AM2153"/>
          <cell r="AN2153">
            <v>5101804</v>
          </cell>
          <cell r="AO2153"/>
          <cell r="AP2153"/>
          <cell r="AQ2153"/>
          <cell r="AR2153"/>
          <cell r="AS2153">
            <v>158</v>
          </cell>
          <cell r="AT2153"/>
          <cell r="AU2153" t="str">
            <v>FR</v>
          </cell>
          <cell r="AV2153"/>
        </row>
        <row r="2154">
          <cell r="Z2154">
            <v>5091805</v>
          </cell>
          <cell r="AA2154" t="str">
            <v>WO Extension Lg 3000 mm
11-3/4" FJWP Pin x Box</v>
          </cell>
          <cell r="AB2154">
            <v>0</v>
          </cell>
          <cell r="AC2154">
            <v>11.75</v>
          </cell>
          <cell r="AD2154">
            <v>3000</v>
          </cell>
          <cell r="AE2154" t="str">
            <v>11-3/4" FJWP Box</v>
          </cell>
          <cell r="AF2154" t="str">
            <v>11-3/4" FJWP Pin</v>
          </cell>
          <cell r="AG2154"/>
          <cell r="AH2154" t="str">
            <v xml:space="preserve"> en stock </v>
          </cell>
          <cell r="AI2154">
            <v>1</v>
          </cell>
          <cell r="AJ2154">
            <v>0</v>
          </cell>
          <cell r="AK2154">
            <v>0</v>
          </cell>
          <cell r="AL2154"/>
          <cell r="AM2154"/>
          <cell r="AN2154">
            <v>5091805</v>
          </cell>
          <cell r="AO2154"/>
          <cell r="AP2154"/>
          <cell r="AQ2154"/>
          <cell r="AR2154"/>
          <cell r="AS2154">
            <v>135</v>
          </cell>
          <cell r="AT2154"/>
          <cell r="AU2154" t="str">
            <v>FR</v>
          </cell>
          <cell r="AV2154"/>
        </row>
        <row r="2155">
          <cell r="Z2155">
            <v>5091806</v>
          </cell>
          <cell r="AA2155" t="str">
            <v>WO Extension Lg 2000 mm
11-3/4" FJWP Pin x Box</v>
          </cell>
          <cell r="AB2155">
            <v>0</v>
          </cell>
          <cell r="AC2155">
            <v>11.75</v>
          </cell>
          <cell r="AD2155">
            <v>2000</v>
          </cell>
          <cell r="AE2155" t="str">
            <v>11-3/4" FJWP Box</v>
          </cell>
          <cell r="AF2155" t="str">
            <v>11-3/4" FJWP Pin</v>
          </cell>
          <cell r="AG2155"/>
          <cell r="AH2155" t="str">
            <v xml:space="preserve"> en stock </v>
          </cell>
          <cell r="AI2155">
            <v>1</v>
          </cell>
          <cell r="AJ2155">
            <v>0</v>
          </cell>
          <cell r="AK2155">
            <v>0</v>
          </cell>
          <cell r="AL2155"/>
          <cell r="AM2155"/>
          <cell r="AN2155">
            <v>5091806</v>
          </cell>
          <cell r="AO2155"/>
          <cell r="AP2155"/>
          <cell r="AQ2155"/>
          <cell r="AR2155"/>
          <cell r="AS2155">
            <v>134</v>
          </cell>
          <cell r="AT2155"/>
          <cell r="AU2155" t="str">
            <v>FR</v>
          </cell>
          <cell r="AV2155"/>
        </row>
        <row r="2156">
          <cell r="Z2156">
            <v>5091807</v>
          </cell>
          <cell r="AA2156" t="str">
            <v>WO Extension Lg 1000 mm
11-3/4" FJWP Pin x Box</v>
          </cell>
          <cell r="AB2156">
            <v>0</v>
          </cell>
          <cell r="AC2156">
            <v>11.75</v>
          </cell>
          <cell r="AD2156">
            <v>1000</v>
          </cell>
          <cell r="AE2156" t="str">
            <v>11-3/4" FJWP Box</v>
          </cell>
          <cell r="AF2156" t="str">
            <v>11-3/4" FJWP Pin</v>
          </cell>
          <cell r="AG2156"/>
          <cell r="AH2156" t="str">
            <v xml:space="preserve"> en stock </v>
          </cell>
          <cell r="AI2156">
            <v>1</v>
          </cell>
          <cell r="AJ2156">
            <v>0</v>
          </cell>
          <cell r="AK2156">
            <v>0</v>
          </cell>
          <cell r="AL2156"/>
          <cell r="AM2156"/>
          <cell r="AN2156">
            <v>5091807</v>
          </cell>
          <cell r="AO2156"/>
          <cell r="AP2156"/>
          <cell r="AQ2156"/>
          <cell r="AR2156"/>
          <cell r="AS2156">
            <v>133</v>
          </cell>
          <cell r="AT2156"/>
          <cell r="AU2156" t="str">
            <v>FR</v>
          </cell>
          <cell r="AV2156"/>
        </row>
        <row r="2157">
          <cell r="Z2157">
            <v>5091808</v>
          </cell>
          <cell r="AA2157" t="str">
            <v>WO Extension Lg 600 mm
8-5/8" FJWP Pin x Box</v>
          </cell>
          <cell r="AB2157">
            <v>29.331086499000019</v>
          </cell>
          <cell r="AC2157">
            <v>8.625</v>
          </cell>
          <cell r="AD2157">
            <v>600</v>
          </cell>
          <cell r="AE2157" t="str">
            <v>8-5/8" FJWP Box</v>
          </cell>
          <cell r="AF2157" t="str">
            <v>8-5/8" FJWP Pin</v>
          </cell>
          <cell r="AG2157"/>
          <cell r="AH2157" t="str">
            <v xml:space="preserve"> en stock </v>
          </cell>
          <cell r="AI2157">
            <v>1</v>
          </cell>
          <cell r="AJ2157">
            <v>0</v>
          </cell>
          <cell r="AK2157">
            <v>0</v>
          </cell>
          <cell r="AL2157"/>
          <cell r="AM2157"/>
          <cell r="AN2157" t="str">
            <v/>
          </cell>
          <cell r="AO2157"/>
          <cell r="AP2157"/>
          <cell r="AQ2157"/>
          <cell r="AR2157"/>
          <cell r="AS2157">
            <v>102</v>
          </cell>
          <cell r="AT2157"/>
          <cell r="AU2157" t="str">
            <v/>
          </cell>
          <cell r="AV2157"/>
        </row>
        <row r="2158">
          <cell r="Z2158">
            <v>5091809</v>
          </cell>
          <cell r="AA2158" t="str">
            <v>WO Extension Lg 1200 mm
8-5/8" FJWP Pin x Box</v>
          </cell>
          <cell r="AB2158">
            <v>58.662172998000038</v>
          </cell>
          <cell r="AC2158">
            <v>8.625</v>
          </cell>
          <cell r="AD2158">
            <v>1200</v>
          </cell>
          <cell r="AE2158" t="str">
            <v>8-5/8" FJWP Box</v>
          </cell>
          <cell r="AF2158" t="str">
            <v>8-5/8" FJWP Pin</v>
          </cell>
          <cell r="AG2158"/>
          <cell r="AH2158" t="str">
            <v>Fabrication en cours</v>
          </cell>
          <cell r="AI2158" t="e">
            <v>#VALUE!</v>
          </cell>
          <cell r="AJ2158">
            <v>0</v>
          </cell>
          <cell r="AK2158" t="str">
            <v>F</v>
          </cell>
          <cell r="AL2158"/>
          <cell r="AM2158"/>
          <cell r="AN2158" t="str">
            <v/>
          </cell>
          <cell r="AO2158"/>
          <cell r="AP2158"/>
          <cell r="AQ2158"/>
          <cell r="AR2158"/>
          <cell r="AS2158">
            <v>105</v>
          </cell>
          <cell r="AT2158"/>
          <cell r="AU2158" t="str">
            <v/>
          </cell>
          <cell r="AV2158"/>
        </row>
        <row r="2159">
          <cell r="Z2159">
            <v>5090103</v>
          </cell>
          <cell r="AA2159" t="str">
            <v>WO Extension Lg 3120 mm
5-1/2" FJWP Pin x Box</v>
          </cell>
          <cell r="AB2159">
            <v>94.748297599799955</v>
          </cell>
          <cell r="AC2159">
            <v>5.5</v>
          </cell>
          <cell r="AD2159">
            <v>3120</v>
          </cell>
          <cell r="AE2159" t="str">
            <v>5-1/2" FJWP Box</v>
          </cell>
          <cell r="AF2159" t="str">
            <v>5-1/2" FJWP Pin</v>
          </cell>
          <cell r="AG2159"/>
          <cell r="AH2159" t="str">
            <v xml:space="preserve"> en stock </v>
          </cell>
          <cell r="AI2159">
            <v>1</v>
          </cell>
          <cell r="AJ2159">
            <v>0</v>
          </cell>
          <cell r="AK2159">
            <v>0</v>
          </cell>
          <cell r="AL2159"/>
          <cell r="AM2159"/>
          <cell r="AN2159" t="str">
            <v/>
          </cell>
          <cell r="AO2159"/>
          <cell r="AP2159"/>
          <cell r="AQ2159"/>
          <cell r="AR2159"/>
          <cell r="AS2159">
            <v>57</v>
          </cell>
          <cell r="AT2159"/>
          <cell r="AU2159" t="str">
            <v/>
          </cell>
          <cell r="AV2159"/>
        </row>
        <row r="2160">
          <cell r="Z2160">
            <v>7041810</v>
          </cell>
          <cell r="AA2160" t="str">
            <v>11-1/4" FS Overshot - CA C-12822
6-5/8" REG Box</v>
          </cell>
          <cell r="AB2160">
            <v>202</v>
          </cell>
          <cell r="AC2160" t="str">
            <v>11-1/4" FS</v>
          </cell>
          <cell r="AD2160">
            <v>950</v>
          </cell>
          <cell r="AE2160" t="str">
            <v>6-5/8" REG Box</v>
          </cell>
          <cell r="AF2160" t="str">
            <v>bowl</v>
          </cell>
          <cell r="AG2160" t="str">
            <v>C12822</v>
          </cell>
          <cell r="AH2160" t="str">
            <v xml:space="preserve"> en stock </v>
          </cell>
          <cell r="AI2160">
            <v>1</v>
          </cell>
          <cell r="AJ2160">
            <v>0</v>
          </cell>
          <cell r="AK2160">
            <v>0</v>
          </cell>
          <cell r="AL2160"/>
          <cell r="AM2160"/>
          <cell r="AN2160">
            <v>7041810</v>
          </cell>
          <cell r="AO2160"/>
          <cell r="AP2160"/>
          <cell r="AQ2160"/>
          <cell r="AR2160"/>
          <cell r="AS2160">
            <v>88</v>
          </cell>
          <cell r="AT2160"/>
          <cell r="AU2160" t="str">
            <v/>
          </cell>
          <cell r="AV2160"/>
        </row>
        <row r="2161">
          <cell r="Z2161">
            <v>7041811</v>
          </cell>
          <cell r="AA2161" t="str">
            <v>11-1/4" FS Overshot - CA C-12822
6-5/8" REG Box</v>
          </cell>
          <cell r="AB2161">
            <v>0</v>
          </cell>
          <cell r="AC2161" t="str">
            <v>11-1/4" FS</v>
          </cell>
          <cell r="AD2161">
            <v>530</v>
          </cell>
          <cell r="AE2161" t="str">
            <v>bowl</v>
          </cell>
          <cell r="AF2161" t="str">
            <v>bowl</v>
          </cell>
          <cell r="AG2161" t="str">
            <v>C12822</v>
          </cell>
          <cell r="AH2161" t="str">
            <v xml:space="preserve"> en stock </v>
          </cell>
          <cell r="AI2161">
            <v>1</v>
          </cell>
          <cell r="AJ2161">
            <v>0</v>
          </cell>
          <cell r="AK2161">
            <v>0</v>
          </cell>
          <cell r="AL2161"/>
          <cell r="AM2161"/>
          <cell r="AN2161">
            <v>7041811</v>
          </cell>
          <cell r="AO2161"/>
          <cell r="AP2161"/>
          <cell r="AQ2161"/>
          <cell r="AR2161"/>
          <cell r="AS2161">
            <v>89</v>
          </cell>
          <cell r="AT2161"/>
          <cell r="AU2161" t="str">
            <v/>
          </cell>
          <cell r="AV2161"/>
        </row>
        <row r="2162">
          <cell r="Z2162">
            <v>7061812</v>
          </cell>
          <cell r="AA2162" t="str">
            <v>Oversize Guide 16" OD
11-1/4" FS Sellers Pin</v>
          </cell>
          <cell r="AB2162">
            <v>0</v>
          </cell>
          <cell r="AC2162" t="str">
            <v>16"</v>
          </cell>
          <cell r="AD2162">
            <v>0</v>
          </cell>
          <cell r="AE2162" t="str">
            <v>11-1/4" FS Sellers Pin</v>
          </cell>
          <cell r="AF2162"/>
          <cell r="AG2162"/>
          <cell r="AH2162" t="str">
            <v xml:space="preserve"> en stock </v>
          </cell>
          <cell r="AI2162">
            <v>1</v>
          </cell>
          <cell r="AJ2162">
            <v>0</v>
          </cell>
          <cell r="AK2162">
            <v>0</v>
          </cell>
          <cell r="AL2162"/>
          <cell r="AM2162"/>
          <cell r="AN2162" t="str">
            <v/>
          </cell>
          <cell r="AO2162"/>
          <cell r="AP2162"/>
          <cell r="AQ2162"/>
          <cell r="AR2162"/>
          <cell r="AS2162">
            <v>40</v>
          </cell>
          <cell r="AT2162"/>
          <cell r="AU2162" t="str">
            <v/>
          </cell>
          <cell r="AV2162"/>
        </row>
        <row r="2163">
          <cell r="Z2163">
            <v>7061813</v>
          </cell>
          <cell r="AA2163" t="str">
            <v>Oversize Guide 20" OD
11-1/4" FS Sellers Pin</v>
          </cell>
          <cell r="AB2163">
            <v>0</v>
          </cell>
          <cell r="AC2163" t="str">
            <v>20"</v>
          </cell>
          <cell r="AD2163">
            <v>0</v>
          </cell>
          <cell r="AE2163" t="str">
            <v>11-1/4" FS Sellers Pin</v>
          </cell>
          <cell r="AF2163"/>
          <cell r="AG2163"/>
          <cell r="AH2163" t="str">
            <v xml:space="preserve"> en stock </v>
          </cell>
          <cell r="AI2163">
            <v>1</v>
          </cell>
          <cell r="AJ2163">
            <v>0</v>
          </cell>
          <cell r="AK2163">
            <v>0</v>
          </cell>
          <cell r="AL2163"/>
          <cell r="AM2163"/>
          <cell r="AN2163" t="str">
            <v/>
          </cell>
          <cell r="AO2163"/>
          <cell r="AP2163"/>
          <cell r="AQ2163"/>
          <cell r="AR2163"/>
          <cell r="AS2163">
            <v>41</v>
          </cell>
          <cell r="AT2163"/>
          <cell r="AU2163" t="str">
            <v/>
          </cell>
          <cell r="AV2163"/>
        </row>
        <row r="2164">
          <cell r="Z2164">
            <v>7041814</v>
          </cell>
          <cell r="AA2164" t="str">
            <v>8-1/8" FS Overshot - CA C-5342
4-1/2" IF Box</v>
          </cell>
          <cell r="AB2164">
            <v>0</v>
          </cell>
          <cell r="AC2164" t="str">
            <v>8-1/8" FS</v>
          </cell>
          <cell r="AD2164">
            <v>510</v>
          </cell>
          <cell r="AE2164" t="str">
            <v>bowl d'occas abimé
+ Top Sub  (cf liste Top Sub)</v>
          </cell>
          <cell r="AF2164">
            <v>0</v>
          </cell>
          <cell r="AG2164" t="str">
            <v>C-5342</v>
          </cell>
          <cell r="AH2164" t="str">
            <v>maintenance</v>
          </cell>
          <cell r="AI2164" t="str">
            <v/>
          </cell>
          <cell r="AJ2164">
            <v>0</v>
          </cell>
          <cell r="AK2164">
            <v>1</v>
          </cell>
          <cell r="AL2164"/>
          <cell r="AM2164"/>
          <cell r="AN2164">
            <v>7041814</v>
          </cell>
          <cell r="AO2164"/>
          <cell r="AP2164"/>
          <cell r="AQ2164"/>
          <cell r="AR2164"/>
          <cell r="AS2164">
            <v>63</v>
          </cell>
          <cell r="AT2164"/>
          <cell r="AU2164" t="str">
            <v/>
          </cell>
          <cell r="AV2164"/>
        </row>
        <row r="2165">
          <cell r="Z2165">
            <v>7051815</v>
          </cell>
          <cell r="AA2165" t="str">
            <v>Extension 8-1/8" FS Lg 1000mm CA C-5342
8-1/8" FS Sellers Pin x Box</v>
          </cell>
          <cell r="AB2165">
            <v>0</v>
          </cell>
          <cell r="AC2165" t="str">
            <v>8-1/8" FS</v>
          </cell>
          <cell r="AD2165">
            <v>1000</v>
          </cell>
          <cell r="AE2165" t="str">
            <v>8-1/8" FS Sellers Box</v>
          </cell>
          <cell r="AF2165" t="str">
            <v>8-1/8" FS Sellers Pin</v>
          </cell>
          <cell r="AG2165" t="str">
            <v>C-5342</v>
          </cell>
          <cell r="AH2165" t="str">
            <v xml:space="preserve"> en stock </v>
          </cell>
          <cell r="AI2165">
            <v>1</v>
          </cell>
          <cell r="AJ2165">
            <v>0</v>
          </cell>
          <cell r="AK2165">
            <v>0</v>
          </cell>
          <cell r="AL2165"/>
          <cell r="AM2165"/>
          <cell r="AN2165" t="str">
            <v/>
          </cell>
          <cell r="AO2165"/>
          <cell r="AP2165"/>
          <cell r="AQ2165"/>
          <cell r="AR2165"/>
          <cell r="AS2165">
            <v>46</v>
          </cell>
          <cell r="AT2165" t="str">
            <v>705-5342</v>
          </cell>
          <cell r="AU2165" t="str">
            <v/>
          </cell>
          <cell r="AV2165"/>
        </row>
        <row r="2166">
          <cell r="Z2166">
            <v>7061816</v>
          </cell>
          <cell r="AA2166" t="str">
            <v>Oversize Guide 11" OD
8-1/8" FS Sellers Pin</v>
          </cell>
          <cell r="AB2166">
            <v>0</v>
          </cell>
          <cell r="AC2166" t="str">
            <v>11"</v>
          </cell>
          <cell r="AD2166">
            <v>0</v>
          </cell>
          <cell r="AE2166" t="str">
            <v>8-1/8" FS Sellers Pin</v>
          </cell>
          <cell r="AF2166"/>
          <cell r="AG2166"/>
          <cell r="AH2166" t="str">
            <v xml:space="preserve"> en stock </v>
          </cell>
          <cell r="AI2166">
            <v>1</v>
          </cell>
          <cell r="AJ2166">
            <v>0</v>
          </cell>
          <cell r="AK2166">
            <v>0</v>
          </cell>
          <cell r="AL2166"/>
          <cell r="AM2166"/>
          <cell r="AN2166" t="str">
            <v/>
          </cell>
          <cell r="AO2166"/>
          <cell r="AP2166"/>
          <cell r="AQ2166"/>
          <cell r="AR2166"/>
          <cell r="AS2166">
            <v>22</v>
          </cell>
          <cell r="AT2166"/>
          <cell r="AU2166" t="str">
            <v/>
          </cell>
          <cell r="AV2166"/>
        </row>
        <row r="2167">
          <cell r="Z2167">
            <v>7061817</v>
          </cell>
          <cell r="AA2167" t="str">
            <v>Oversize Guide 15" OD
8-1/8" FS Sellers Pin</v>
          </cell>
          <cell r="AB2167">
            <v>0</v>
          </cell>
          <cell r="AC2167" t="str">
            <v>15"</v>
          </cell>
          <cell r="AD2167">
            <v>0</v>
          </cell>
          <cell r="AE2167" t="str">
            <v>8-1/8" FS Sellers Pin</v>
          </cell>
          <cell r="AF2167"/>
          <cell r="AG2167"/>
          <cell r="AH2167" t="str">
            <v xml:space="preserve"> en stock </v>
          </cell>
          <cell r="AI2167">
            <v>1</v>
          </cell>
          <cell r="AJ2167">
            <v>0</v>
          </cell>
          <cell r="AK2167">
            <v>0</v>
          </cell>
          <cell r="AL2167"/>
          <cell r="AM2167"/>
          <cell r="AN2167" t="str">
            <v/>
          </cell>
          <cell r="AO2167"/>
          <cell r="AP2167"/>
          <cell r="AQ2167"/>
          <cell r="AR2167"/>
          <cell r="AS2167">
            <v>23</v>
          </cell>
          <cell r="AT2167"/>
          <cell r="AU2167" t="str">
            <v/>
          </cell>
          <cell r="AV2167"/>
        </row>
        <row r="2168">
          <cell r="Z2168">
            <v>7061818</v>
          </cell>
          <cell r="AA2168" t="str">
            <v>Oversize Guide 22" OD
8-1/8" FS Sellers Pin</v>
          </cell>
          <cell r="AB2168">
            <v>0</v>
          </cell>
          <cell r="AC2168" t="str">
            <v>22"</v>
          </cell>
          <cell r="AD2168">
            <v>0</v>
          </cell>
          <cell r="AE2168" t="str">
            <v>8-1/8" FS Sellers Pin</v>
          </cell>
          <cell r="AF2168"/>
          <cell r="AG2168"/>
          <cell r="AH2168" t="str">
            <v xml:space="preserve"> en stock </v>
          </cell>
          <cell r="AI2168">
            <v>1</v>
          </cell>
          <cell r="AJ2168">
            <v>0</v>
          </cell>
          <cell r="AK2168">
            <v>0</v>
          </cell>
          <cell r="AL2168"/>
          <cell r="AM2168"/>
          <cell r="AN2168" t="str">
            <v/>
          </cell>
          <cell r="AO2168"/>
          <cell r="AP2168"/>
          <cell r="AQ2168"/>
          <cell r="AR2168"/>
          <cell r="AS2168">
            <v>24</v>
          </cell>
          <cell r="AT2168"/>
          <cell r="AU2168" t="str">
            <v/>
          </cell>
          <cell r="AV2168"/>
        </row>
        <row r="2169">
          <cell r="Z2169">
            <v>5101818</v>
          </cell>
          <cell r="AA2169" t="str">
            <v>WO Pipe
5-1/2" FJWP Pin x Box</v>
          </cell>
          <cell r="AB2169">
            <v>243.3455566546875</v>
          </cell>
          <cell r="AC2169">
            <v>5.5</v>
          </cell>
          <cell r="AD2169">
            <v>9500</v>
          </cell>
          <cell r="AE2169" t="str">
            <v>5-1/2" FJWP Box</v>
          </cell>
          <cell r="AF2169" t="str">
            <v>5-1/2" FJWP Pin</v>
          </cell>
          <cell r="AG2169"/>
          <cell r="AH2169" t="str">
            <v xml:space="preserve"> en stock </v>
          </cell>
          <cell r="AI2169">
            <v>1</v>
          </cell>
          <cell r="AJ2169">
            <v>0</v>
          </cell>
          <cell r="AK2169">
            <v>0</v>
          </cell>
          <cell r="AL2169"/>
          <cell r="AM2169"/>
          <cell r="AN2169" t="str">
            <v/>
          </cell>
          <cell r="AO2169"/>
          <cell r="AP2169"/>
          <cell r="AQ2169"/>
          <cell r="AR2169"/>
          <cell r="AS2169">
            <v>77</v>
          </cell>
          <cell r="AT2169"/>
          <cell r="AU2169" t="str">
            <v>FR</v>
          </cell>
          <cell r="AV2169"/>
        </row>
        <row r="2170">
          <cell r="Z2170">
            <v>7041819</v>
          </cell>
          <cell r="AA2170" t="str">
            <v>7-3/4" SH Overshot - CA 9134
4-1/2" IF Box</v>
          </cell>
          <cell r="AB2170">
            <v>0</v>
          </cell>
          <cell r="AC2170" t="str">
            <v>7-3/4" SH</v>
          </cell>
          <cell r="AD2170">
            <v>870</v>
          </cell>
          <cell r="AE2170" t="str">
            <v>4-1/2" IF Box</v>
          </cell>
          <cell r="AF2170">
            <v>0</v>
          </cell>
          <cell r="AG2170">
            <v>4785</v>
          </cell>
          <cell r="AH2170" t="str">
            <v xml:space="preserve"> en stock </v>
          </cell>
          <cell r="AI2170">
            <v>1</v>
          </cell>
          <cell r="AJ2170">
            <v>0</v>
          </cell>
          <cell r="AK2170">
            <v>0</v>
          </cell>
          <cell r="AL2170"/>
          <cell r="AM2170"/>
          <cell r="AN2170" t="str">
            <v/>
          </cell>
          <cell r="AO2170"/>
          <cell r="AP2170"/>
          <cell r="AQ2170"/>
          <cell r="AR2170"/>
          <cell r="AS2170">
            <v>51</v>
          </cell>
          <cell r="AT2170"/>
          <cell r="AU2170" t="str">
            <v/>
          </cell>
          <cell r="AV2170"/>
        </row>
        <row r="2171">
          <cell r="Z2171">
            <v>7041820</v>
          </cell>
          <cell r="AA2171" t="str">
            <v>7-3/4" Heavy Wall Overshot - CA ?
4-1/2" IF Box</v>
          </cell>
          <cell r="AB2171">
            <v>0</v>
          </cell>
          <cell r="AC2171" t="str">
            <v>7-3/4" Heavy Wall</v>
          </cell>
          <cell r="AD2171">
            <v>880</v>
          </cell>
          <cell r="AE2171" t="str">
            <v>4-1/2" IF Box</v>
          </cell>
          <cell r="AF2171">
            <v>0</v>
          </cell>
          <cell r="AG2171" t="str">
            <v>?</v>
          </cell>
          <cell r="AH2171" t="str">
            <v xml:space="preserve"> en stock </v>
          </cell>
          <cell r="AI2171">
            <v>1</v>
          </cell>
          <cell r="AJ2171">
            <v>0</v>
          </cell>
          <cell r="AK2171">
            <v>0</v>
          </cell>
          <cell r="AL2171"/>
          <cell r="AM2171"/>
          <cell r="AN2171" t="str">
            <v/>
          </cell>
          <cell r="AO2171"/>
          <cell r="AP2171"/>
          <cell r="AQ2171"/>
          <cell r="AR2171"/>
          <cell r="AS2171">
            <v>54</v>
          </cell>
          <cell r="AT2171"/>
          <cell r="AU2171" t="str">
            <v/>
          </cell>
          <cell r="AV2171"/>
        </row>
        <row r="2172">
          <cell r="Z2172">
            <v>7041821</v>
          </cell>
          <cell r="AA2172" t="str">
            <v>5-7/8" SH Overshot - CA C-5171
3-1/2" IF Box</v>
          </cell>
          <cell r="AB2172">
            <v>0</v>
          </cell>
          <cell r="AC2172" t="str">
            <v>5-7/8" SH</v>
          </cell>
          <cell r="AD2172">
            <v>1050</v>
          </cell>
          <cell r="AE2172" t="str">
            <v>3-1/2" IF Box</v>
          </cell>
          <cell r="AF2172">
            <v>0</v>
          </cell>
          <cell r="AG2172" t="str">
            <v>C-5171</v>
          </cell>
          <cell r="AH2172" t="str">
            <v xml:space="preserve"> en stock </v>
          </cell>
          <cell r="AI2172">
            <v>1</v>
          </cell>
          <cell r="AJ2172">
            <v>0</v>
          </cell>
          <cell r="AK2172">
            <v>0</v>
          </cell>
          <cell r="AL2172"/>
          <cell r="AM2172"/>
          <cell r="AN2172" t="str">
            <v/>
          </cell>
          <cell r="AO2172"/>
          <cell r="AP2172"/>
          <cell r="AQ2172"/>
          <cell r="AR2172"/>
          <cell r="AS2172">
            <v>42</v>
          </cell>
          <cell r="AT2172"/>
          <cell r="AU2172" t="str">
            <v/>
          </cell>
          <cell r="AV2172"/>
        </row>
        <row r="2173">
          <cell r="Z2173">
            <v>7051822</v>
          </cell>
          <cell r="AA2173" t="str">
            <v>Extension 11-1/4" FS Lg 830mm CA C12822
11-1/4" FS Sellers Pin x Box</v>
          </cell>
          <cell r="AB2173">
            <v>0</v>
          </cell>
          <cell r="AC2173" t="str">
            <v>11-1/4" FS</v>
          </cell>
          <cell r="AD2173">
            <v>830</v>
          </cell>
          <cell r="AE2173" t="str">
            <v>11-1/4" FS Sellers Box</v>
          </cell>
          <cell r="AF2173" t="str">
            <v>11-1/4" FS Sellers Pin</v>
          </cell>
          <cell r="AG2173" t="str">
            <v>C12822</v>
          </cell>
          <cell r="AH2173" t="str">
            <v xml:space="preserve"> en stock </v>
          </cell>
          <cell r="AI2173">
            <v>1</v>
          </cell>
          <cell r="AJ2173">
            <v>0</v>
          </cell>
          <cell r="AK2173">
            <v>0</v>
          </cell>
          <cell r="AL2173"/>
          <cell r="AM2173"/>
          <cell r="AN2173" t="str">
            <v/>
          </cell>
          <cell r="AO2173"/>
          <cell r="AP2173"/>
          <cell r="AQ2173"/>
          <cell r="AR2173"/>
          <cell r="AS2173">
            <v>70</v>
          </cell>
          <cell r="AT2173" t="str">
            <v>705-12822</v>
          </cell>
          <cell r="AU2173" t="str">
            <v/>
          </cell>
          <cell r="AV2173"/>
        </row>
        <row r="2174">
          <cell r="Z2174">
            <v>5031823</v>
          </cell>
          <cell r="AA2174" t="str">
            <v>Junk Mill 
7-5/8" REG Pin</v>
          </cell>
          <cell r="AB2174">
            <v>0</v>
          </cell>
          <cell r="AC2174">
            <v>16.4375</v>
          </cell>
          <cell r="AD2174">
            <v>0</v>
          </cell>
          <cell r="AE2174" t="str">
            <v>7-5/8" REG Pin</v>
          </cell>
          <cell r="AF2174"/>
          <cell r="AG2174" t="str">
            <v>C</v>
          </cell>
          <cell r="AH2174" t="str">
            <v xml:space="preserve"> en stock </v>
          </cell>
          <cell r="AI2174">
            <v>1</v>
          </cell>
          <cell r="AJ2174">
            <v>0</v>
          </cell>
          <cell r="AK2174">
            <v>0</v>
          </cell>
          <cell r="AL2174"/>
          <cell r="AM2174"/>
          <cell r="AN2174">
            <v>5031823</v>
          </cell>
          <cell r="AO2174"/>
          <cell r="AP2174"/>
          <cell r="AQ2174"/>
          <cell r="AR2174"/>
          <cell r="AS2174">
            <v>92</v>
          </cell>
          <cell r="AT2174"/>
          <cell r="AU2174" t="str">
            <v/>
          </cell>
          <cell r="AV2174"/>
        </row>
        <row r="2175">
          <cell r="Z2175">
            <v>1081824</v>
          </cell>
          <cell r="AA2175" t="str">
            <v>Reverse Circulating Junk Basket 11" OD Barrel 
6-5/8" REG Box</v>
          </cell>
          <cell r="AB2175">
            <v>0</v>
          </cell>
          <cell r="AC2175">
            <v>11</v>
          </cell>
          <cell r="AD2175">
            <v>1590</v>
          </cell>
          <cell r="AE2175" t="str">
            <v>6-5/8" REG Box</v>
          </cell>
          <cell r="AF2175"/>
          <cell r="AG2175">
            <v>0</v>
          </cell>
          <cell r="AH2175" t="str">
            <v>maintenance</v>
          </cell>
          <cell r="AI2175" t="str">
            <v/>
          </cell>
          <cell r="AJ2175">
            <v>0</v>
          </cell>
          <cell r="AK2175">
            <v>1</v>
          </cell>
          <cell r="AL2175"/>
          <cell r="AM2175"/>
          <cell r="AN2175" t="str">
            <v/>
          </cell>
          <cell r="AO2175"/>
          <cell r="AP2175"/>
          <cell r="AQ2175"/>
          <cell r="AR2175"/>
          <cell r="AS2175">
            <v>13</v>
          </cell>
          <cell r="AT2175"/>
          <cell r="AU2175" t="str">
            <v/>
          </cell>
          <cell r="AV2175"/>
        </row>
        <row r="2176">
          <cell r="Z2176">
            <v>1081825</v>
          </cell>
          <cell r="AA2176" t="str">
            <v>Reverse Circulating Junk Basket 7-7/8" OD Barrel 
4" IF Box</v>
          </cell>
          <cell r="AB2176">
            <v>150</v>
          </cell>
          <cell r="AC2176">
            <v>7.875</v>
          </cell>
          <cell r="AD2176">
            <v>1230</v>
          </cell>
          <cell r="AE2176" t="str">
            <v>4" IF Box</v>
          </cell>
          <cell r="AF2176"/>
          <cell r="AG2176">
            <v>0</v>
          </cell>
          <cell r="AH2176" t="str">
            <v xml:space="preserve"> en stock </v>
          </cell>
          <cell r="AI2176">
            <v>1</v>
          </cell>
          <cell r="AJ2176">
            <v>0</v>
          </cell>
          <cell r="AK2176">
            <v>0</v>
          </cell>
          <cell r="AL2176"/>
          <cell r="AM2176"/>
          <cell r="AN2176" t="str">
            <v/>
          </cell>
          <cell r="AO2176"/>
          <cell r="AP2176"/>
          <cell r="AQ2176"/>
          <cell r="AR2176"/>
          <cell r="AS2176">
            <v>9</v>
          </cell>
          <cell r="AT2176"/>
          <cell r="AU2176" t="str">
            <v/>
          </cell>
          <cell r="AV2176"/>
        </row>
        <row r="2177">
          <cell r="Z2177">
            <v>7161826</v>
          </cell>
          <cell r="AA2177" t="str">
            <v>T-Dog 5-3/4" OD
5-1/2" FJWP Pin x 5-1/2" FJWP Box</v>
          </cell>
          <cell r="AB2177">
            <v>60</v>
          </cell>
          <cell r="AC2177">
            <v>5.75</v>
          </cell>
          <cell r="AD2177">
            <v>0</v>
          </cell>
          <cell r="AE2177" t="str">
            <v>5-1/2" FJWP Box</v>
          </cell>
          <cell r="AF2177" t="str">
            <v>5-1/2" FJWP Pin</v>
          </cell>
          <cell r="AG2177"/>
          <cell r="AH2177" t="str">
            <v xml:space="preserve"> en stock </v>
          </cell>
          <cell r="AI2177">
            <v>1</v>
          </cell>
          <cell r="AJ2177">
            <v>0</v>
          </cell>
          <cell r="AK2177">
            <v>0</v>
          </cell>
          <cell r="AL2177"/>
          <cell r="AM2177"/>
          <cell r="AN2177">
            <v>7161826</v>
          </cell>
          <cell r="AO2177"/>
          <cell r="AP2177"/>
          <cell r="AQ2177"/>
          <cell r="AR2177"/>
          <cell r="AS2177">
            <v>16</v>
          </cell>
          <cell r="AT2177"/>
          <cell r="AU2177" t="str">
            <v>US</v>
          </cell>
          <cell r="AV2177"/>
        </row>
        <row r="2178">
          <cell r="Z2178">
            <v>7091827</v>
          </cell>
          <cell r="AA2178" t="str">
            <v>Taper Tap 6 1/8" to catch from X" to X"
Lg catch Xmm
4-1/2" IF Box</v>
          </cell>
          <cell r="AB2178">
            <v>65</v>
          </cell>
          <cell r="AC2178">
            <v>6.125</v>
          </cell>
          <cell r="AD2178">
            <v>920</v>
          </cell>
          <cell r="AE2178" t="str">
            <v>4-1/2" IF Box</v>
          </cell>
          <cell r="AF2178">
            <v>19494</v>
          </cell>
          <cell r="AG2178"/>
          <cell r="AH2178" t="str">
            <v xml:space="preserve"> en stock </v>
          </cell>
          <cell r="AI2178">
            <v>1</v>
          </cell>
          <cell r="AJ2178">
            <v>0</v>
          </cell>
          <cell r="AK2178">
            <v>0</v>
          </cell>
          <cell r="AL2178"/>
          <cell r="AM2178"/>
          <cell r="AN2178" t="str">
            <v/>
          </cell>
          <cell r="AO2178"/>
          <cell r="AP2178"/>
          <cell r="AQ2178"/>
          <cell r="AR2178"/>
          <cell r="AS2178">
            <v>26</v>
          </cell>
          <cell r="AT2178" t="str">
            <v>709-</v>
          </cell>
          <cell r="AU2178" t="str">
            <v/>
          </cell>
          <cell r="AV2178"/>
        </row>
        <row r="2179">
          <cell r="Z2179">
            <v>7091828</v>
          </cell>
          <cell r="AA2179" t="str">
            <v>Taper Tap 8" to catch from X" to X"
Lg catch Xmm
6-5/8" REG Box</v>
          </cell>
          <cell r="AB2179">
            <v>0</v>
          </cell>
          <cell r="AC2179">
            <v>8</v>
          </cell>
          <cell r="AD2179">
            <v>1240</v>
          </cell>
          <cell r="AE2179" t="str">
            <v>6-5/8" REG Box</v>
          </cell>
          <cell r="AF2179" t="str">
            <v>EM1073</v>
          </cell>
          <cell r="AG2179"/>
          <cell r="AH2179" t="str">
            <v xml:space="preserve"> en stock </v>
          </cell>
          <cell r="AI2179">
            <v>1</v>
          </cell>
          <cell r="AJ2179">
            <v>0</v>
          </cell>
          <cell r="AK2179">
            <v>0</v>
          </cell>
          <cell r="AL2179"/>
          <cell r="AM2179"/>
          <cell r="AN2179" t="str">
            <v/>
          </cell>
          <cell r="AO2179"/>
          <cell r="AP2179"/>
          <cell r="AQ2179"/>
          <cell r="AR2179"/>
          <cell r="AS2179">
            <v>35</v>
          </cell>
          <cell r="AT2179" t="str">
            <v>709-</v>
          </cell>
          <cell r="AU2179" t="str">
            <v/>
          </cell>
          <cell r="AV2179"/>
        </row>
        <row r="2180">
          <cell r="Z2180">
            <v>7021829</v>
          </cell>
          <cell r="AA2180" t="str">
            <v>Fishing Magnet 11-1/2" OD
6-5/8" REG Pin</v>
          </cell>
          <cell r="AB2180">
            <v>200</v>
          </cell>
          <cell r="AC2180">
            <v>11.5</v>
          </cell>
          <cell r="AD2180">
            <v>750</v>
          </cell>
          <cell r="AE2180" t="str">
            <v>6-5/8" REG Pin</v>
          </cell>
          <cell r="AF2180"/>
          <cell r="AG2180"/>
          <cell r="AH2180" t="str">
            <v xml:space="preserve"> en stock </v>
          </cell>
          <cell r="AI2180">
            <v>1</v>
          </cell>
          <cell r="AJ2180">
            <v>0</v>
          </cell>
          <cell r="AK2180">
            <v>0</v>
          </cell>
          <cell r="AL2180"/>
          <cell r="AM2180"/>
          <cell r="AN2180">
            <v>7021829</v>
          </cell>
          <cell r="AO2180"/>
          <cell r="AP2180"/>
          <cell r="AQ2180"/>
          <cell r="AR2180"/>
          <cell r="AS2180">
            <v>13</v>
          </cell>
          <cell r="AT2180"/>
          <cell r="AU2180" t="str">
            <v/>
          </cell>
          <cell r="AV2180"/>
        </row>
        <row r="2181">
          <cell r="Z2181">
            <v>4031830</v>
          </cell>
          <cell r="AA2181" t="str">
            <v>Jar Z 8" 
6-5/8" REG Pin down  x Box up</v>
          </cell>
          <cell r="AB2181">
            <v>0</v>
          </cell>
          <cell r="AC2181">
            <v>8</v>
          </cell>
          <cell r="AD2181">
            <v>2560</v>
          </cell>
          <cell r="AE2181" t="str">
            <v>6-5/8" REG Box</v>
          </cell>
          <cell r="AF2181" t="str">
            <v>6-5/8" REG Pin</v>
          </cell>
          <cell r="AG2181"/>
          <cell r="AH2181" t="str">
            <v>maintenance</v>
          </cell>
          <cell r="AI2181" t="str">
            <v/>
          </cell>
          <cell r="AJ2181">
            <v>0</v>
          </cell>
          <cell r="AK2181">
            <v>1</v>
          </cell>
          <cell r="AL2181"/>
          <cell r="AM2181"/>
          <cell r="AN2181">
            <v>4031830</v>
          </cell>
          <cell r="AO2181"/>
          <cell r="AP2181"/>
          <cell r="AQ2181"/>
          <cell r="AR2181"/>
          <cell r="AS2181">
            <v>28</v>
          </cell>
          <cell r="AT2181" t="str">
            <v>403-8,000</v>
          </cell>
          <cell r="AU2181" t="str">
            <v/>
          </cell>
          <cell r="AV2181"/>
        </row>
        <row r="2182">
          <cell r="Z2182">
            <v>1091831</v>
          </cell>
          <cell r="AA2182" t="str">
            <v>Junk Sub 6-1/2" OD cup 
4-1/2" REG Pin up x 4-1/2" REG Box down</v>
          </cell>
          <cell r="AB2182">
            <v>0</v>
          </cell>
          <cell r="AC2182">
            <v>6.5</v>
          </cell>
          <cell r="AD2182">
            <v>820</v>
          </cell>
          <cell r="AE2182" t="str">
            <v>4-1/2" REG Pin</v>
          </cell>
          <cell r="AF2182" t="str">
            <v>4-1/2" REG Box</v>
          </cell>
          <cell r="AG2182"/>
          <cell r="AH2182" t="str">
            <v xml:space="preserve"> en stock </v>
          </cell>
          <cell r="AI2182">
            <v>1</v>
          </cell>
          <cell r="AJ2182">
            <v>0</v>
          </cell>
          <cell r="AK2182">
            <v>0</v>
          </cell>
          <cell r="AL2182"/>
          <cell r="AM2182"/>
          <cell r="AN2182" t="str">
            <v/>
          </cell>
          <cell r="AO2182"/>
          <cell r="AP2182"/>
          <cell r="AQ2182"/>
          <cell r="AR2182"/>
          <cell r="AS2182">
            <v>23</v>
          </cell>
          <cell r="AT2182" t="str">
            <v>109-6,500</v>
          </cell>
          <cell r="AU2182" t="str">
            <v/>
          </cell>
          <cell r="AV2182"/>
        </row>
        <row r="2183">
          <cell r="Z2183">
            <v>1091832</v>
          </cell>
          <cell r="AA2183" t="str">
            <v>Junk Sub 9-5/8" OD cup 
6-5/8" REG Pin up x 6-5/8" REG Box down</v>
          </cell>
          <cell r="AB2183">
            <v>150</v>
          </cell>
          <cell r="AC2183">
            <v>9.625</v>
          </cell>
          <cell r="AD2183">
            <v>800</v>
          </cell>
          <cell r="AE2183" t="str">
            <v>6-5/8" REG Pin</v>
          </cell>
          <cell r="AF2183" t="str">
            <v>6-5/8" REG Box</v>
          </cell>
          <cell r="AG2183"/>
          <cell r="AH2183" t="str">
            <v>maintenance</v>
          </cell>
          <cell r="AI2183" t="str">
            <v/>
          </cell>
          <cell r="AJ2183">
            <v>0</v>
          </cell>
          <cell r="AK2183">
            <v>1</v>
          </cell>
          <cell r="AL2183"/>
          <cell r="AM2183"/>
          <cell r="AN2183" t="str">
            <v/>
          </cell>
          <cell r="AO2183"/>
          <cell r="AP2183"/>
          <cell r="AQ2183"/>
          <cell r="AR2183"/>
          <cell r="AS2183">
            <v>37</v>
          </cell>
          <cell r="AT2183" t="str">
            <v>109-9,625</v>
          </cell>
          <cell r="AU2183" t="str">
            <v/>
          </cell>
          <cell r="AV2183"/>
        </row>
        <row r="2184">
          <cell r="Z2184">
            <v>1091833</v>
          </cell>
          <cell r="AA2184" t="str">
            <v>Junk Sub 12-3/4" OD cup 
7-5/8" REG Pin up x 7-5/8" REG Box down</v>
          </cell>
          <cell r="AB2184">
            <v>0</v>
          </cell>
          <cell r="AC2184">
            <v>12.75</v>
          </cell>
          <cell r="AD2184">
            <v>690</v>
          </cell>
          <cell r="AE2184" t="str">
            <v>7-5/8" REG Pin</v>
          </cell>
          <cell r="AF2184" t="str">
            <v>7-5/8" REG Box</v>
          </cell>
          <cell r="AG2184"/>
          <cell r="AH2184" t="str">
            <v xml:space="preserve"> en stock </v>
          </cell>
          <cell r="AI2184">
            <v>1</v>
          </cell>
          <cell r="AJ2184">
            <v>0</v>
          </cell>
          <cell r="AK2184">
            <v>0</v>
          </cell>
          <cell r="AL2184"/>
          <cell r="AM2184"/>
          <cell r="AN2184" t="str">
            <v/>
          </cell>
          <cell r="AO2184"/>
          <cell r="AP2184"/>
          <cell r="AQ2184"/>
          <cell r="AR2184"/>
          <cell r="AS2184">
            <v>42</v>
          </cell>
          <cell r="AT2184" t="str">
            <v>109-12,375</v>
          </cell>
          <cell r="AU2184" t="str">
            <v/>
          </cell>
          <cell r="AV2184"/>
        </row>
        <row r="2185">
          <cell r="Z2185">
            <v>1071834</v>
          </cell>
          <cell r="AA2185" t="str">
            <v>Jetting Sub 7-7/8" OD
X x X</v>
          </cell>
          <cell r="AB2185">
            <v>0</v>
          </cell>
          <cell r="AC2185">
            <v>7.875</v>
          </cell>
          <cell r="AD2185">
            <v>430</v>
          </cell>
          <cell r="AE2185">
            <v>0</v>
          </cell>
          <cell r="AF2185">
            <v>0</v>
          </cell>
          <cell r="AG2185"/>
          <cell r="AH2185" t="str">
            <v>en stock</v>
          </cell>
          <cell r="AI2185">
            <v>0</v>
          </cell>
          <cell r="AJ2185">
            <v>0</v>
          </cell>
          <cell r="AK2185">
            <v>1</v>
          </cell>
          <cell r="AL2185"/>
          <cell r="AM2185"/>
          <cell r="AN2185" t="str">
            <v/>
          </cell>
          <cell r="AO2185"/>
          <cell r="AP2185"/>
          <cell r="AQ2185"/>
          <cell r="AR2185"/>
          <cell r="AS2185">
            <v>10</v>
          </cell>
          <cell r="AT2185"/>
          <cell r="AU2185" t="str">
            <v/>
          </cell>
          <cell r="AV2185"/>
        </row>
        <row r="2186">
          <cell r="Z2186">
            <v>8011835</v>
          </cell>
          <cell r="AA2186" t="str">
            <v>Bull Nose 9-5/8" OD
7-5/8" REG Pin</v>
          </cell>
          <cell r="AB2186">
            <v>0</v>
          </cell>
          <cell r="AC2186">
            <v>7.125</v>
          </cell>
          <cell r="AD2186">
            <v>610</v>
          </cell>
          <cell r="AE2186" t="str">
            <v>HT55 Box</v>
          </cell>
          <cell r="AF2186"/>
          <cell r="AG2186"/>
          <cell r="AH2186" t="str">
            <v xml:space="preserve"> en stock </v>
          </cell>
          <cell r="AI2186">
            <v>1</v>
          </cell>
          <cell r="AJ2186">
            <v>0</v>
          </cell>
          <cell r="AK2186">
            <v>0</v>
          </cell>
          <cell r="AL2186"/>
          <cell r="AM2186"/>
          <cell r="AN2186" t="str">
            <v/>
          </cell>
          <cell r="AO2186"/>
          <cell r="AP2186"/>
          <cell r="AQ2186"/>
          <cell r="AR2186" t="str">
            <v>HT55</v>
          </cell>
          <cell r="AS2186">
            <v>18</v>
          </cell>
          <cell r="AT2186" t="str">
            <v>801-7,625REG</v>
          </cell>
          <cell r="AU2186" t="str">
            <v/>
          </cell>
          <cell r="AV2186"/>
        </row>
        <row r="2187">
          <cell r="Z2187">
            <v>8131836</v>
          </cell>
          <cell r="AA2187" t="str">
            <v>XO
4-1/2" IF Pin x 3-1/2" IF Box</v>
          </cell>
          <cell r="AB2187">
            <v>0</v>
          </cell>
          <cell r="AC2187">
            <v>0</v>
          </cell>
          <cell r="AD2187">
            <v>990</v>
          </cell>
          <cell r="AE2187" t="str">
            <v>4-1/2" IF Pin</v>
          </cell>
          <cell r="AF2187" t="str">
            <v>3-1/2" IF Box</v>
          </cell>
          <cell r="AG2187"/>
          <cell r="AH2187" t="str">
            <v xml:space="preserve"> en stock </v>
          </cell>
          <cell r="AI2187">
            <v>1</v>
          </cell>
          <cell r="AJ2187">
            <v>0</v>
          </cell>
          <cell r="AK2187">
            <v>0</v>
          </cell>
          <cell r="AL2187"/>
          <cell r="AM2187"/>
          <cell r="AN2187" t="str">
            <v/>
          </cell>
          <cell r="AO2187"/>
          <cell r="AP2187"/>
          <cell r="AQ2187"/>
          <cell r="AR2187"/>
          <cell r="AS2187">
            <v>162</v>
          </cell>
          <cell r="AT2187"/>
          <cell r="AU2187" t="str">
            <v/>
          </cell>
          <cell r="AV2187"/>
        </row>
        <row r="2188">
          <cell r="Z2188">
            <v>8021837</v>
          </cell>
          <cell r="AA2188" t="str">
            <v>Bit Sub
HT55 Box x 6-5/8" REG Box</v>
          </cell>
          <cell r="AB2188">
            <v>73.515973431468737</v>
          </cell>
          <cell r="AC2188">
            <v>7.375</v>
          </cell>
          <cell r="AD2188">
            <v>410</v>
          </cell>
          <cell r="AE2188" t="str">
            <v>HT55 Box</v>
          </cell>
          <cell r="AF2188" t="str">
            <v>6-5/8" REG Box</v>
          </cell>
          <cell r="AG2188"/>
          <cell r="AH2188" t="str">
            <v xml:space="preserve"> en stock </v>
          </cell>
          <cell r="AI2188">
            <v>1</v>
          </cell>
          <cell r="AJ2188">
            <v>0</v>
          </cell>
          <cell r="AK2188">
            <v>0</v>
          </cell>
          <cell r="AL2188"/>
          <cell r="AM2188"/>
          <cell r="AN2188" t="str">
            <v/>
          </cell>
          <cell r="AO2188"/>
          <cell r="AP2188"/>
          <cell r="AQ2188"/>
          <cell r="AR2188"/>
          <cell r="AS2188">
            <v>55</v>
          </cell>
          <cell r="AT2188"/>
          <cell r="AU2188" t="str">
            <v/>
          </cell>
          <cell r="AV2188"/>
        </row>
        <row r="2189">
          <cell r="Z2189">
            <v>5071838</v>
          </cell>
          <cell r="AA2189" t="str">
            <v>Super Junk Mill 
6-5/8" REG Pin</v>
          </cell>
          <cell r="AB2189">
            <v>0</v>
          </cell>
          <cell r="AC2189">
            <v>11.5</v>
          </cell>
          <cell r="AD2189">
            <v>650</v>
          </cell>
          <cell r="AE2189" t="str">
            <v>6-5/8" REG Pin</v>
          </cell>
          <cell r="AF2189"/>
          <cell r="AG2189" t="str">
            <v>C</v>
          </cell>
          <cell r="AH2189" t="str">
            <v xml:space="preserve"> en stock </v>
          </cell>
          <cell r="AI2189">
            <v>1</v>
          </cell>
          <cell r="AJ2189">
            <v>0</v>
          </cell>
          <cell r="AK2189">
            <v>0</v>
          </cell>
          <cell r="AL2189"/>
          <cell r="AM2189"/>
          <cell r="AN2189">
            <v>5071838</v>
          </cell>
          <cell r="AO2189"/>
          <cell r="AP2189"/>
          <cell r="AQ2189"/>
          <cell r="AR2189"/>
          <cell r="AS2189">
            <v>79</v>
          </cell>
          <cell r="AT2189" t="str">
            <v>507-</v>
          </cell>
          <cell r="AU2189" t="str">
            <v/>
          </cell>
          <cell r="AV2189"/>
        </row>
        <row r="2190">
          <cell r="Z2190">
            <v>5021839</v>
          </cell>
          <cell r="AA2190" t="str">
            <v>Economill 
4-1/2" REG Pin</v>
          </cell>
          <cell r="AB2190">
            <v>0</v>
          </cell>
          <cell r="AC2190">
            <v>8</v>
          </cell>
          <cell r="AD2190">
            <v>0</v>
          </cell>
          <cell r="AE2190" t="str">
            <v>4-1/2" REG Pin</v>
          </cell>
          <cell r="AF2190"/>
          <cell r="AG2190" t="str">
            <v>C</v>
          </cell>
          <cell r="AH2190" t="str">
            <v xml:space="preserve"> en stock </v>
          </cell>
          <cell r="AI2190">
            <v>1</v>
          </cell>
          <cell r="AJ2190">
            <v>0</v>
          </cell>
          <cell r="AK2190">
            <v>0</v>
          </cell>
          <cell r="AL2190"/>
          <cell r="AM2190"/>
          <cell r="AN2190" t="str">
            <v/>
          </cell>
          <cell r="AO2190"/>
          <cell r="AP2190"/>
          <cell r="AQ2190"/>
          <cell r="AR2190"/>
          <cell r="AS2190">
            <v>51</v>
          </cell>
          <cell r="AT2190"/>
          <cell r="AU2190" t="str">
            <v/>
          </cell>
          <cell r="AV2190"/>
        </row>
        <row r="2191">
          <cell r="Z2191">
            <v>4021840</v>
          </cell>
          <cell r="AA2191" t="str">
            <v>Bumper Sub 8" OD
6-5/8" REG Pin down x Box up</v>
          </cell>
          <cell r="AB2191">
            <v>280</v>
          </cell>
          <cell r="AC2191">
            <v>8</v>
          </cell>
          <cell r="AD2191">
            <v>1470</v>
          </cell>
          <cell r="AE2191" t="str">
            <v>6-5/8" REG Box</v>
          </cell>
          <cell r="AF2191" t="str">
            <v>6-5/8" REG Pin</v>
          </cell>
          <cell r="AG2191"/>
          <cell r="AH2191" t="str">
            <v>en stock</v>
          </cell>
          <cell r="AI2191">
            <v>0</v>
          </cell>
          <cell r="AJ2191">
            <v>0</v>
          </cell>
          <cell r="AK2191">
            <v>1</v>
          </cell>
          <cell r="AL2191"/>
          <cell r="AM2191"/>
          <cell r="AN2191" t="str">
            <v/>
          </cell>
          <cell r="AO2191"/>
          <cell r="AP2191"/>
          <cell r="AQ2191"/>
          <cell r="AR2191"/>
          <cell r="AS2191">
            <v>34</v>
          </cell>
          <cell r="AT2191" t="str">
            <v>402-8,000</v>
          </cell>
          <cell r="AU2191" t="str">
            <v/>
          </cell>
          <cell r="AV2191"/>
        </row>
        <row r="2192">
          <cell r="Z2192">
            <v>7021841</v>
          </cell>
          <cell r="AA2192" t="str">
            <v>Fishing Magnet 7" OD
4-1/2" REG Pin</v>
          </cell>
          <cell r="AB2192">
            <v>0</v>
          </cell>
          <cell r="AC2192">
            <v>7</v>
          </cell>
          <cell r="AD2192">
            <v>510</v>
          </cell>
          <cell r="AE2192" t="str">
            <v>4-1/2 REG Pin</v>
          </cell>
          <cell r="AF2192"/>
          <cell r="AG2192"/>
          <cell r="AH2192" t="str">
            <v xml:space="preserve"> en stock </v>
          </cell>
          <cell r="AI2192">
            <v>1</v>
          </cell>
          <cell r="AJ2192">
            <v>0</v>
          </cell>
          <cell r="AK2192">
            <v>0</v>
          </cell>
          <cell r="AL2192"/>
          <cell r="AM2192"/>
          <cell r="AN2192" t="str">
            <v/>
          </cell>
          <cell r="AO2192"/>
          <cell r="AP2192"/>
          <cell r="AQ2192"/>
          <cell r="AR2192"/>
          <cell r="AS2192">
            <v>10</v>
          </cell>
          <cell r="AT2192"/>
          <cell r="AU2192" t="str">
            <v/>
          </cell>
          <cell r="AV2192"/>
        </row>
        <row r="2193">
          <cell r="Z2193">
            <v>5091842</v>
          </cell>
          <cell r="AA2193" t="str">
            <v>WO Extension Lg 2190 mm
16" FJWP Pin x Box</v>
          </cell>
          <cell r="AB2193">
            <v>268.18686362519958</v>
          </cell>
          <cell r="AC2193">
            <v>16</v>
          </cell>
          <cell r="AD2193">
            <v>2190</v>
          </cell>
          <cell r="AE2193" t="str">
            <v>16" FJWP Box</v>
          </cell>
          <cell r="AF2193" t="str">
            <v>16" FJWP Pin</v>
          </cell>
          <cell r="AG2193"/>
          <cell r="AH2193" t="str">
            <v xml:space="preserve"> en stock </v>
          </cell>
          <cell r="AI2193">
            <v>1</v>
          </cell>
          <cell r="AJ2193">
            <v>0</v>
          </cell>
          <cell r="AK2193">
            <v>0</v>
          </cell>
          <cell r="AL2193"/>
          <cell r="AM2193"/>
          <cell r="AN2193">
            <v>5091842</v>
          </cell>
          <cell r="AO2193"/>
          <cell r="AP2193"/>
          <cell r="AQ2193"/>
          <cell r="AR2193"/>
          <cell r="AS2193">
            <v>153</v>
          </cell>
          <cell r="AT2193" t="str">
            <v>509-16,000FJWP</v>
          </cell>
          <cell r="AU2193" t="str">
            <v>FR</v>
          </cell>
          <cell r="AV2193"/>
        </row>
        <row r="2194">
          <cell r="Z2194">
            <v>5091843</v>
          </cell>
          <cell r="AA2194" t="str">
            <v>WO Extension Lg 2010 mm
16" FJWP Pin x Box</v>
          </cell>
          <cell r="AB2194">
            <v>246.14410771079957</v>
          </cell>
          <cell r="AC2194">
            <v>16</v>
          </cell>
          <cell r="AD2194">
            <v>2010</v>
          </cell>
          <cell r="AE2194" t="str">
            <v>16" FJWP Box</v>
          </cell>
          <cell r="AF2194" t="str">
            <v>16" FJWP Pin</v>
          </cell>
          <cell r="AG2194"/>
          <cell r="AH2194" t="str">
            <v>maintenance</v>
          </cell>
          <cell r="AI2194" t="str">
            <v/>
          </cell>
          <cell r="AJ2194">
            <v>0</v>
          </cell>
          <cell r="AK2194">
            <v>1</v>
          </cell>
          <cell r="AL2194"/>
          <cell r="AM2194"/>
          <cell r="AN2194">
            <v>5091843</v>
          </cell>
          <cell r="AO2194"/>
          <cell r="AP2194"/>
          <cell r="AQ2194"/>
          <cell r="AR2194"/>
          <cell r="AS2194">
            <v>154</v>
          </cell>
          <cell r="AT2194" t="str">
            <v>509-16,000FJWP</v>
          </cell>
          <cell r="AU2194" t="str">
            <v>FR</v>
          </cell>
          <cell r="AV2194"/>
        </row>
        <row r="2195">
          <cell r="Z2195">
            <v>5091844</v>
          </cell>
          <cell r="AA2195" t="str">
            <v>WO Extension Lg 1680 mm
16" FJWP Pin x Box</v>
          </cell>
          <cell r="AB2195">
            <v>205.73238853439966</v>
          </cell>
          <cell r="AC2195">
            <v>16</v>
          </cell>
          <cell r="AD2195">
            <v>1680</v>
          </cell>
          <cell r="AE2195" t="str">
            <v>16" FJWP Box</v>
          </cell>
          <cell r="AF2195" t="str">
            <v>16" FJWP Pin</v>
          </cell>
          <cell r="AG2195"/>
          <cell r="AH2195" t="str">
            <v>maintenance</v>
          </cell>
          <cell r="AI2195" t="str">
            <v/>
          </cell>
          <cell r="AJ2195">
            <v>0</v>
          </cell>
          <cell r="AK2195">
            <v>1</v>
          </cell>
          <cell r="AL2195"/>
          <cell r="AM2195"/>
          <cell r="AN2195">
            <v>5091844</v>
          </cell>
          <cell r="AO2195"/>
          <cell r="AP2195"/>
          <cell r="AQ2195"/>
          <cell r="AR2195"/>
          <cell r="AS2195">
            <v>155</v>
          </cell>
          <cell r="AT2195" t="str">
            <v>509-16,000FJWP</v>
          </cell>
          <cell r="AU2195" t="str">
            <v>FR</v>
          </cell>
          <cell r="AV2195"/>
        </row>
        <row r="2196">
          <cell r="Z2196">
            <v>5091845</v>
          </cell>
          <cell r="AA2196" t="str">
            <v>WO Extension Lg 1460 mm
16" FJWP Pin x Box</v>
          </cell>
          <cell r="AB2196">
            <v>178.79124241679972</v>
          </cell>
          <cell r="AC2196">
            <v>16</v>
          </cell>
          <cell r="AD2196">
            <v>1460</v>
          </cell>
          <cell r="AE2196" t="str">
            <v>16" FJWP Box</v>
          </cell>
          <cell r="AF2196" t="str">
            <v>16" FJWP Pin</v>
          </cell>
          <cell r="AG2196"/>
          <cell r="AH2196" t="str">
            <v xml:space="preserve"> en stock </v>
          </cell>
          <cell r="AI2196">
            <v>1</v>
          </cell>
          <cell r="AJ2196">
            <v>0</v>
          </cell>
          <cell r="AK2196">
            <v>0</v>
          </cell>
          <cell r="AL2196"/>
          <cell r="AM2196"/>
          <cell r="AN2196">
            <v>5091845</v>
          </cell>
          <cell r="AO2196"/>
          <cell r="AP2196"/>
          <cell r="AQ2196"/>
          <cell r="AR2196"/>
          <cell r="AS2196">
            <v>156</v>
          </cell>
          <cell r="AT2196" t="str">
            <v>509-16,000FJWP</v>
          </cell>
          <cell r="AU2196" t="str">
            <v>FR</v>
          </cell>
          <cell r="AV2196"/>
        </row>
        <row r="2197">
          <cell r="Z2197">
            <v>7011846</v>
          </cell>
          <cell r="AA2197" t="str">
            <v>Die Collar 7-7/8" OD to catch from Ø -3/4" to 6-3/8" 
Lg catch 350mm
4-1/2" IF Box</v>
          </cell>
          <cell r="AB2197">
            <v>0</v>
          </cell>
          <cell r="AC2197">
            <v>7.875</v>
          </cell>
          <cell r="AD2197">
            <v>550</v>
          </cell>
          <cell r="AE2197" t="str">
            <v>4-1/2" IF Box</v>
          </cell>
          <cell r="AF2197" t="str">
            <v>sellers pin</v>
          </cell>
          <cell r="AG2197" t="str">
            <v>4,75 to 6,375</v>
          </cell>
          <cell r="AH2197" t="str">
            <v xml:space="preserve"> en stock </v>
          </cell>
          <cell r="AI2197">
            <v>1</v>
          </cell>
          <cell r="AJ2197">
            <v>0</v>
          </cell>
          <cell r="AK2197">
            <v>0</v>
          </cell>
          <cell r="AL2197"/>
          <cell r="AM2197"/>
          <cell r="AN2197">
            <v>7011846</v>
          </cell>
          <cell r="AO2197"/>
          <cell r="AP2197"/>
          <cell r="AQ2197"/>
          <cell r="AR2197"/>
          <cell r="AS2197">
            <v>13</v>
          </cell>
          <cell r="AT2197"/>
          <cell r="AU2197" t="str">
            <v/>
          </cell>
          <cell r="AV2197"/>
        </row>
        <row r="2198">
          <cell r="Z2198">
            <v>7051847</v>
          </cell>
          <cell r="AA2198" t="str">
            <v>Extension 7-3/4" SH Lg 665mm CA 4785
7-3/4" SH Sellers Pin x Box</v>
          </cell>
          <cell r="AB2198">
            <v>0</v>
          </cell>
          <cell r="AC2198" t="str">
            <v>7-3/4" SH</v>
          </cell>
          <cell r="AD2198">
            <v>665</v>
          </cell>
          <cell r="AE2198" t="str">
            <v>7-3/4" SH Sellers Box</v>
          </cell>
          <cell r="AF2198" t="str">
            <v>7-3/4" SH Sellers Pin</v>
          </cell>
          <cell r="AG2198">
            <v>4785</v>
          </cell>
          <cell r="AH2198" t="str">
            <v xml:space="preserve"> en stock </v>
          </cell>
          <cell r="AI2198">
            <v>1</v>
          </cell>
          <cell r="AJ2198">
            <v>0</v>
          </cell>
          <cell r="AK2198">
            <v>0</v>
          </cell>
          <cell r="AL2198"/>
          <cell r="AM2198"/>
          <cell r="AN2198">
            <v>7051847</v>
          </cell>
          <cell r="AO2198"/>
          <cell r="AP2198"/>
          <cell r="AQ2198"/>
          <cell r="AR2198"/>
          <cell r="AS2198">
            <v>34</v>
          </cell>
          <cell r="AT2198" t="str">
            <v>705-4785</v>
          </cell>
          <cell r="AU2198" t="str">
            <v/>
          </cell>
          <cell r="AV2198"/>
        </row>
        <row r="2199">
          <cell r="Z2199">
            <v>7011848</v>
          </cell>
          <cell r="AA2199" t="str">
            <v>Die Collar 7-5/8" OD 2 step to catch from Ø 4-9/16" to 6-3/8" 
Lg catch 280+180mm
4-1/2" IF Box</v>
          </cell>
          <cell r="AB2199">
            <v>0</v>
          </cell>
          <cell r="AC2199">
            <v>7.625</v>
          </cell>
          <cell r="AD2199">
            <v>870</v>
          </cell>
          <cell r="AE2199" t="str">
            <v>4-1/2" IF Box</v>
          </cell>
          <cell r="AF2199" t="str">
            <v>sellers pin + guide 701LG2</v>
          </cell>
          <cell r="AG2199" t="str">
            <v>4,5625 to 6,375</v>
          </cell>
          <cell r="AH2199" t="str">
            <v xml:space="preserve"> en stock </v>
          </cell>
          <cell r="AI2199">
            <v>1</v>
          </cell>
          <cell r="AJ2199">
            <v>0</v>
          </cell>
          <cell r="AK2199">
            <v>0</v>
          </cell>
          <cell r="AL2199"/>
          <cell r="AM2199"/>
          <cell r="AN2199">
            <v>7011848</v>
          </cell>
          <cell r="AO2199"/>
          <cell r="AP2199"/>
          <cell r="AQ2199"/>
          <cell r="AR2199"/>
          <cell r="AS2199">
            <v>12</v>
          </cell>
          <cell r="AT2199"/>
          <cell r="AU2199" t="str">
            <v/>
          </cell>
          <cell r="AV2199"/>
        </row>
        <row r="2200">
          <cell r="Z2200">
            <v>1061849</v>
          </cell>
          <cell r="AA2200" t="str">
            <v>Impression Block 12-1/4" 
6-5/8" REG Pin</v>
          </cell>
          <cell r="AB2200">
            <v>250</v>
          </cell>
          <cell r="AC2200">
            <v>11</v>
          </cell>
          <cell r="AD2200">
            <v>600</v>
          </cell>
          <cell r="AE2200" t="str">
            <v>6-5/8" REG Pin</v>
          </cell>
          <cell r="AF2200"/>
          <cell r="AG2200"/>
          <cell r="AH2200" t="str">
            <v xml:space="preserve"> en stock </v>
          </cell>
          <cell r="AI2200">
            <v>1</v>
          </cell>
          <cell r="AJ2200">
            <v>0</v>
          </cell>
          <cell r="AK2200">
            <v>0</v>
          </cell>
          <cell r="AL2200"/>
          <cell r="AM2200"/>
          <cell r="AN2200">
            <v>1061849</v>
          </cell>
          <cell r="AO2200"/>
          <cell r="AP2200"/>
          <cell r="AQ2200"/>
          <cell r="AR2200"/>
          <cell r="AS2200">
            <v>24</v>
          </cell>
          <cell r="AT2200"/>
          <cell r="AU2200" t="str">
            <v/>
          </cell>
          <cell r="AV2200"/>
        </row>
        <row r="2201">
          <cell r="Z2201">
            <v>5031850</v>
          </cell>
          <cell r="AA2201" t="str">
            <v>Junk Mill 
NPT ? 1-13"16</v>
          </cell>
          <cell r="AB2201">
            <v>0</v>
          </cell>
          <cell r="AC2201">
            <v>2.75</v>
          </cell>
          <cell r="AD2201">
            <v>0</v>
          </cell>
          <cell r="AE2201" t="str">
            <v>NPT ? 1-13"16</v>
          </cell>
          <cell r="AF2201"/>
          <cell r="AG2201" t="str">
            <v>C</v>
          </cell>
          <cell r="AH2201" t="str">
            <v>maintenance</v>
          </cell>
          <cell r="AI2201" t="str">
            <v/>
          </cell>
          <cell r="AJ2201">
            <v>0</v>
          </cell>
          <cell r="AK2201">
            <v>1</v>
          </cell>
          <cell r="AL2201"/>
          <cell r="AM2201"/>
          <cell r="AN2201">
            <v>5031850</v>
          </cell>
          <cell r="AO2201"/>
          <cell r="AP2201"/>
          <cell r="AQ2201"/>
          <cell r="AR2201"/>
          <cell r="AS2201">
            <v>6</v>
          </cell>
          <cell r="AT2201" t="str">
            <v>503-</v>
          </cell>
          <cell r="AU2201" t="str">
            <v/>
          </cell>
          <cell r="AV2201"/>
        </row>
        <row r="2202">
          <cell r="Z2202">
            <v>8081851</v>
          </cell>
          <cell r="AA2202" t="str">
            <v>Extension 4-1/4" OD
3-1/2" REG Pin x Box</v>
          </cell>
          <cell r="AB2202">
            <v>16.240731228149997</v>
          </cell>
          <cell r="AC2202">
            <v>4.25</v>
          </cell>
          <cell r="AD2202">
            <v>260</v>
          </cell>
          <cell r="AE2202" t="str">
            <v>3-1/2" REG Box</v>
          </cell>
          <cell r="AF2202" t="str">
            <v>3-1/2" REG Pin</v>
          </cell>
          <cell r="AG2202"/>
          <cell r="AH2202" t="str">
            <v xml:space="preserve"> en stock </v>
          </cell>
          <cell r="AI2202">
            <v>1</v>
          </cell>
          <cell r="AJ2202">
            <v>0</v>
          </cell>
          <cell r="AK2202">
            <v>0</v>
          </cell>
          <cell r="AL2202"/>
          <cell r="AM2202"/>
          <cell r="AN2202">
            <v>8081851</v>
          </cell>
          <cell r="AO2202"/>
          <cell r="AP2202"/>
          <cell r="AQ2202"/>
          <cell r="AR2202"/>
          <cell r="AS2202">
            <v>11</v>
          </cell>
          <cell r="AT2202"/>
          <cell r="AU2202" t="str">
            <v/>
          </cell>
          <cell r="AV2202"/>
        </row>
        <row r="2203">
          <cell r="Z2203">
            <v>5021852</v>
          </cell>
          <cell r="AA2203" t="str">
            <v>Economill 
3-1/2" REG Pin</v>
          </cell>
          <cell r="AB2203">
            <v>12</v>
          </cell>
          <cell r="AC2203">
            <v>5.75</v>
          </cell>
          <cell r="AD2203">
            <v>110</v>
          </cell>
          <cell r="AE2203" t="str">
            <v>3-1/2" REG Pin</v>
          </cell>
          <cell r="AF2203"/>
          <cell r="AG2203" t="str">
            <v>C</v>
          </cell>
          <cell r="AH2203" t="str">
            <v>maintenance</v>
          </cell>
          <cell r="AI2203" t="str">
            <v/>
          </cell>
          <cell r="AJ2203">
            <v>0</v>
          </cell>
          <cell r="AK2203">
            <v>1</v>
          </cell>
          <cell r="AL2203"/>
          <cell r="AM2203"/>
          <cell r="AN2203">
            <v>5021852</v>
          </cell>
          <cell r="AO2203"/>
          <cell r="AP2203"/>
          <cell r="AQ2203"/>
          <cell r="AR2203"/>
          <cell r="AS2203">
            <v>24</v>
          </cell>
          <cell r="AT2203"/>
          <cell r="AU2203" t="str">
            <v/>
          </cell>
          <cell r="AV2203"/>
        </row>
        <row r="2204">
          <cell r="Z2204">
            <v>5071853</v>
          </cell>
          <cell r="AA2204" t="str">
            <v>Super Junk Mill 
3-1/2" REG Pin</v>
          </cell>
          <cell r="AB2204">
            <v>0</v>
          </cell>
          <cell r="AC2204">
            <v>5.5625</v>
          </cell>
          <cell r="AD2204">
            <v>440</v>
          </cell>
          <cell r="AE2204" t="str">
            <v>3-1/2" REG Pin</v>
          </cell>
          <cell r="AF2204"/>
          <cell r="AG2204" t="str">
            <v>C</v>
          </cell>
          <cell r="AH2204" t="str">
            <v xml:space="preserve"> en stock </v>
          </cell>
          <cell r="AI2204">
            <v>1</v>
          </cell>
          <cell r="AJ2204">
            <v>0</v>
          </cell>
          <cell r="AK2204">
            <v>0</v>
          </cell>
          <cell r="AL2204"/>
          <cell r="AM2204"/>
          <cell r="AN2204">
            <v>5071853</v>
          </cell>
          <cell r="AO2204"/>
          <cell r="AP2204"/>
          <cell r="AQ2204"/>
          <cell r="AR2204"/>
          <cell r="AS2204">
            <v>27</v>
          </cell>
          <cell r="AT2204" t="str">
            <v>507-</v>
          </cell>
          <cell r="AU2204" t="str">
            <v/>
          </cell>
          <cell r="AV2204"/>
        </row>
        <row r="2205">
          <cell r="Z2205">
            <v>5071854</v>
          </cell>
          <cell r="AA2205" t="str">
            <v>Super Junk Mill 
3-1/2" REG Pin</v>
          </cell>
          <cell r="AB2205">
            <v>0</v>
          </cell>
          <cell r="AC2205">
            <v>5.625</v>
          </cell>
          <cell r="AD2205">
            <v>570</v>
          </cell>
          <cell r="AE2205" t="str">
            <v>3-1/2" REG Pin</v>
          </cell>
          <cell r="AF2205"/>
          <cell r="AG2205" t="str">
            <v>C</v>
          </cell>
          <cell r="AH2205" t="str">
            <v xml:space="preserve"> en stock </v>
          </cell>
          <cell r="AI2205">
            <v>1</v>
          </cell>
          <cell r="AJ2205">
            <v>0</v>
          </cell>
          <cell r="AK2205">
            <v>0</v>
          </cell>
          <cell r="AL2205"/>
          <cell r="AM2205"/>
          <cell r="AN2205">
            <v>5071854</v>
          </cell>
          <cell r="AO2205"/>
          <cell r="AP2205"/>
          <cell r="AQ2205"/>
          <cell r="AR2205"/>
          <cell r="AS2205">
            <v>26</v>
          </cell>
          <cell r="AT2205" t="str">
            <v>507-</v>
          </cell>
          <cell r="AU2205" t="str">
            <v/>
          </cell>
          <cell r="AV2205"/>
        </row>
        <row r="2206">
          <cell r="Z2206">
            <v>5071855</v>
          </cell>
          <cell r="AA2206" t="str">
            <v>Super Junk Mill 
3-1/2" REG Pin</v>
          </cell>
          <cell r="AB2206">
            <v>0</v>
          </cell>
          <cell r="AC2206">
            <v>6</v>
          </cell>
          <cell r="AD2206">
            <v>550</v>
          </cell>
          <cell r="AE2206" t="str">
            <v>3-1/2" REG Pin</v>
          </cell>
          <cell r="AF2206"/>
          <cell r="AG2206" t="str">
            <v>C</v>
          </cell>
          <cell r="AH2206" t="str">
            <v xml:space="preserve"> en stock </v>
          </cell>
          <cell r="AI2206">
            <v>1</v>
          </cell>
          <cell r="AJ2206">
            <v>0</v>
          </cell>
          <cell r="AK2206">
            <v>0</v>
          </cell>
          <cell r="AL2206"/>
          <cell r="AM2206"/>
          <cell r="AN2206">
            <v>5071855</v>
          </cell>
          <cell r="AO2206"/>
          <cell r="AP2206"/>
          <cell r="AQ2206"/>
          <cell r="AR2206"/>
          <cell r="AS2206">
            <v>53</v>
          </cell>
          <cell r="AT2206" t="str">
            <v>507-</v>
          </cell>
          <cell r="AU2206" t="str">
            <v/>
          </cell>
          <cell r="AV2206"/>
        </row>
        <row r="2207">
          <cell r="Z2207">
            <v>8081856</v>
          </cell>
          <cell r="AA2207" t="str">
            <v>Extension 4-5/8" OD
3-1/2" REG Pin x Box</v>
          </cell>
          <cell r="AB2207">
            <v>23.439562495781253</v>
          </cell>
          <cell r="AC2207">
            <v>4.625</v>
          </cell>
          <cell r="AD2207">
            <v>310</v>
          </cell>
          <cell r="AE2207" t="str">
            <v>3-1/2" REG Box</v>
          </cell>
          <cell r="AF2207" t="str">
            <v>3-1/2" REG Pin</v>
          </cell>
          <cell r="AG2207"/>
          <cell r="AH2207" t="str">
            <v xml:space="preserve"> en stock </v>
          </cell>
          <cell r="AI2207">
            <v>1</v>
          </cell>
          <cell r="AJ2207">
            <v>0</v>
          </cell>
          <cell r="AK2207">
            <v>0</v>
          </cell>
          <cell r="AL2207"/>
          <cell r="AM2207"/>
          <cell r="AN2207">
            <v>8081856</v>
          </cell>
          <cell r="AO2207"/>
          <cell r="AP2207"/>
          <cell r="AQ2207"/>
          <cell r="AR2207"/>
          <cell r="AS2207">
            <v>13</v>
          </cell>
          <cell r="AT2207"/>
          <cell r="AU2207" t="str">
            <v/>
          </cell>
          <cell r="AV2207"/>
        </row>
        <row r="2208">
          <cell r="Z2208">
            <v>5021857</v>
          </cell>
          <cell r="AA2208" t="str">
            <v>Economill 
3-1/2" REG Pin</v>
          </cell>
          <cell r="AB2208">
            <v>20</v>
          </cell>
          <cell r="AC2208">
            <v>5.9375</v>
          </cell>
          <cell r="AD2208">
            <v>190</v>
          </cell>
          <cell r="AE2208" t="str">
            <v>3-1/2" REG Pin</v>
          </cell>
          <cell r="AF2208"/>
          <cell r="AG2208" t="str">
            <v>C</v>
          </cell>
          <cell r="AH2208" t="str">
            <v xml:space="preserve"> en stock </v>
          </cell>
          <cell r="AI2208">
            <v>1</v>
          </cell>
          <cell r="AJ2208">
            <v>0</v>
          </cell>
          <cell r="AK2208">
            <v>0</v>
          </cell>
          <cell r="AL2208"/>
          <cell r="AM2208"/>
          <cell r="AN2208">
            <v>5021857</v>
          </cell>
          <cell r="AO2208"/>
          <cell r="AP2208"/>
          <cell r="AQ2208"/>
          <cell r="AR2208"/>
          <cell r="AS2208">
            <v>30</v>
          </cell>
          <cell r="AT2208"/>
          <cell r="AU2208" t="str">
            <v/>
          </cell>
          <cell r="AV2208"/>
        </row>
        <row r="2209">
          <cell r="Z2209">
            <v>1091858</v>
          </cell>
          <cell r="AA2209" t="str">
            <v>Junk Sub 4-3/4" OD cup 
3-1/2" REG Pin up x 3-1/2" REG Box down</v>
          </cell>
          <cell r="AB2209">
            <v>0</v>
          </cell>
          <cell r="AC2209">
            <v>4.75</v>
          </cell>
          <cell r="AD2209">
            <v>840</v>
          </cell>
          <cell r="AE2209" t="str">
            <v>3-1/2" REG Pin</v>
          </cell>
          <cell r="AF2209" t="str">
            <v>3-1/2" REG Box</v>
          </cell>
          <cell r="AG2209"/>
          <cell r="AH2209" t="str">
            <v xml:space="preserve"> en stock </v>
          </cell>
          <cell r="AI2209">
            <v>1</v>
          </cell>
          <cell r="AJ2209">
            <v>0</v>
          </cell>
          <cell r="AK2209">
            <v>0</v>
          </cell>
          <cell r="AL2209"/>
          <cell r="AM2209"/>
          <cell r="AN2209">
            <v>1091858</v>
          </cell>
          <cell r="AO2209"/>
          <cell r="AP2209"/>
          <cell r="AQ2209"/>
          <cell r="AR2209"/>
          <cell r="AS2209">
            <v>12</v>
          </cell>
          <cell r="AT2209" t="str">
            <v>109-4,750</v>
          </cell>
          <cell r="AU2209" t="str">
            <v/>
          </cell>
          <cell r="AV2209"/>
        </row>
        <row r="2210">
          <cell r="Z2210">
            <v>8131859</v>
          </cell>
          <cell r="AA2210" t="str">
            <v>XO
3-1/2" IF Pin x 2-7/8" IF Box</v>
          </cell>
          <cell r="AB2210">
            <v>0</v>
          </cell>
          <cell r="AC2210">
            <v>4.75</v>
          </cell>
          <cell r="AD2210">
            <v>410</v>
          </cell>
          <cell r="AE2210" t="str">
            <v>3-1/2" IF Pin</v>
          </cell>
          <cell r="AF2210" t="str">
            <v>2-7/8" IF Box</v>
          </cell>
          <cell r="AG2210"/>
          <cell r="AH2210" t="str">
            <v xml:space="preserve"> en stock </v>
          </cell>
          <cell r="AI2210">
            <v>1</v>
          </cell>
          <cell r="AJ2210">
            <v>0</v>
          </cell>
          <cell r="AK2210">
            <v>0</v>
          </cell>
          <cell r="AL2210"/>
          <cell r="AM2210"/>
          <cell r="AN2210">
            <v>813159</v>
          </cell>
          <cell r="AO2210"/>
          <cell r="AP2210"/>
          <cell r="AQ2210"/>
          <cell r="AR2210"/>
          <cell r="AS2210">
            <v>106</v>
          </cell>
          <cell r="AT2210"/>
          <cell r="AU2210" t="str">
            <v>FR</v>
          </cell>
          <cell r="AV2210"/>
        </row>
        <row r="2211">
          <cell r="Z2211">
            <v>8131860</v>
          </cell>
          <cell r="AA2211" t="str">
            <v>XO
2-7/8" IF Pin x 2-7/8" EU Box</v>
          </cell>
          <cell r="AB2211">
            <v>0</v>
          </cell>
          <cell r="AC2211">
            <v>4.75</v>
          </cell>
          <cell r="AD2211">
            <v>450</v>
          </cell>
          <cell r="AE2211" t="str">
            <v>2-7/8" IF Pin</v>
          </cell>
          <cell r="AF2211" t="str">
            <v>2-7/8" EU Box</v>
          </cell>
          <cell r="AG2211"/>
          <cell r="AH2211" t="str">
            <v>sur chantier</v>
          </cell>
          <cell r="AI2211" t="str">
            <v/>
          </cell>
          <cell r="AJ2211">
            <v>1</v>
          </cell>
          <cell r="AK2211">
            <v>0</v>
          </cell>
          <cell r="AL2211"/>
          <cell r="AM2211"/>
          <cell r="AN2211">
            <v>8131860</v>
          </cell>
          <cell r="AO2211"/>
          <cell r="AP2211"/>
          <cell r="AQ2211"/>
          <cell r="AR2211"/>
          <cell r="AS2211">
            <v>82</v>
          </cell>
          <cell r="AT2211"/>
          <cell r="AU2211" t="str">
            <v>FR</v>
          </cell>
          <cell r="AV2211"/>
        </row>
        <row r="2212">
          <cell r="Z2212">
            <v>5161861</v>
          </cell>
          <cell r="AA2212" t="str">
            <v>WO Lift Sub for 3-1/2" DP 18°
5-3/8" BRS Pin</v>
          </cell>
          <cell r="AB2212" t="str">
            <v>-</v>
          </cell>
          <cell r="AC2212">
            <v>5.375</v>
          </cell>
          <cell r="AD2212">
            <v>1000</v>
          </cell>
          <cell r="AE2212" t="str">
            <v>5-3/8" BRS Pin</v>
          </cell>
          <cell r="AF2212"/>
          <cell r="AG2212" t="str">
            <v>3-1/2" DP 18°</v>
          </cell>
          <cell r="AH2212" t="str">
            <v xml:space="preserve"> en stock </v>
          </cell>
          <cell r="AI2212">
            <v>1</v>
          </cell>
          <cell r="AJ2212">
            <v>0</v>
          </cell>
          <cell r="AK2212">
            <v>0</v>
          </cell>
          <cell r="AL2212"/>
          <cell r="AM2212"/>
          <cell r="AN2212">
            <v>5161861</v>
          </cell>
          <cell r="AO2212"/>
          <cell r="AP2212"/>
          <cell r="AQ2212"/>
          <cell r="AR2212"/>
          <cell r="AS2212">
            <v>7</v>
          </cell>
          <cell r="AT2212" t="str">
            <v>516-5,375BRS</v>
          </cell>
          <cell r="AU2212" t="str">
            <v>FR</v>
          </cell>
          <cell r="AV2212"/>
        </row>
        <row r="2213">
          <cell r="Z2213">
            <v>5161862</v>
          </cell>
          <cell r="AA2213" t="str">
            <v>WO Lift Sub for 3-1/2" DP 18°
5-3/8" BRS Pin</v>
          </cell>
          <cell r="AB2213" t="str">
            <v>-</v>
          </cell>
          <cell r="AC2213">
            <v>5.375</v>
          </cell>
          <cell r="AD2213">
            <v>900</v>
          </cell>
          <cell r="AE2213" t="str">
            <v>5-3/8" BRS Pin</v>
          </cell>
          <cell r="AF2213"/>
          <cell r="AG2213" t="str">
            <v>3-1/2" DP 18°</v>
          </cell>
          <cell r="AH2213" t="str">
            <v xml:space="preserve"> en stock </v>
          </cell>
          <cell r="AI2213">
            <v>1</v>
          </cell>
          <cell r="AJ2213">
            <v>0</v>
          </cell>
          <cell r="AK2213">
            <v>0</v>
          </cell>
          <cell r="AL2213"/>
          <cell r="AM2213"/>
          <cell r="AN2213">
            <v>5161862</v>
          </cell>
          <cell r="AO2213"/>
          <cell r="AP2213"/>
          <cell r="AQ2213"/>
          <cell r="AR2213"/>
          <cell r="AS2213">
            <v>8</v>
          </cell>
          <cell r="AT2213" t="str">
            <v>516-5,375BRS</v>
          </cell>
          <cell r="AU2213" t="str">
            <v>FR</v>
          </cell>
          <cell r="AV2213"/>
        </row>
        <row r="2214">
          <cell r="Z2214" t="str">
            <v>6080001M</v>
          </cell>
          <cell r="AA2214" t="str">
            <v>NMDC 4-11/16" for MWD
3-1/2" IF Pin x Box</v>
          </cell>
          <cell r="AB2214">
            <v>529.39926151185932</v>
          </cell>
          <cell r="AC2214">
            <v>4.6875</v>
          </cell>
          <cell r="AD2214">
            <v>9300</v>
          </cell>
          <cell r="AE2214" t="str">
            <v>3-1/2" IF Box</v>
          </cell>
          <cell r="AF2214" t="str">
            <v>3-1/2" IF Pin</v>
          </cell>
          <cell r="AG2214"/>
          <cell r="AH2214" t="str">
            <v xml:space="preserve"> en stock </v>
          </cell>
          <cell r="AI2214">
            <v>1</v>
          </cell>
          <cell r="AJ2214">
            <v>0</v>
          </cell>
          <cell r="AK2214">
            <v>0</v>
          </cell>
          <cell r="AL2214"/>
          <cell r="AM2214"/>
          <cell r="AN2214" t="str">
            <v/>
          </cell>
          <cell r="AO2214"/>
          <cell r="AP2214"/>
          <cell r="AQ2214"/>
          <cell r="AR2214"/>
          <cell r="AS2214">
            <v>11</v>
          </cell>
          <cell r="AT2214"/>
          <cell r="AU2214" t="str">
            <v/>
          </cell>
          <cell r="AV2214"/>
        </row>
        <row r="2215">
          <cell r="Z2215" t="str">
            <v>6080002M</v>
          </cell>
          <cell r="AA2215" t="str">
            <v>NMDC 9-3/8" for MWD
7-5/8" REG Pin x Box</v>
          </cell>
          <cell r="AB2215">
            <v>2553.2034305990551</v>
          </cell>
          <cell r="AC2215">
            <v>9.375</v>
          </cell>
          <cell r="AD2215">
            <v>9256</v>
          </cell>
          <cell r="AE2215" t="str">
            <v>7-5/8" Reg Box BB</v>
          </cell>
          <cell r="AF2215" t="str">
            <v>7-5/8" REG Pin SRG</v>
          </cell>
          <cell r="AG2215"/>
          <cell r="AH2215" t="str">
            <v>sur chantier</v>
          </cell>
          <cell r="AI2215" t="str">
            <v/>
          </cell>
          <cell r="AJ2215">
            <v>1</v>
          </cell>
          <cell r="AK2215">
            <v>0</v>
          </cell>
          <cell r="AL2215"/>
          <cell r="AM2215"/>
          <cell r="AN2215" t="str">
            <v/>
          </cell>
          <cell r="AO2215"/>
          <cell r="AP2215"/>
          <cell r="AQ2215"/>
          <cell r="AR2215"/>
          <cell r="AS2215">
            <v>37</v>
          </cell>
          <cell r="AT2215"/>
          <cell r="AU2215" t="str">
            <v/>
          </cell>
          <cell r="AV2215"/>
        </row>
        <row r="2216">
          <cell r="Z2216" t="str">
            <v>6080003M</v>
          </cell>
          <cell r="AA2216" t="str">
            <v>NMDC 6-5/16" for MWD
4-1/2" IF Pin x Box</v>
          </cell>
          <cell r="AB2216">
            <v>1028.4448296737669</v>
          </cell>
          <cell r="AC2216">
            <v>6.3125</v>
          </cell>
          <cell r="AD2216">
            <v>8890</v>
          </cell>
          <cell r="AE2216" t="str">
            <v>4-1/2" IF Box</v>
          </cell>
          <cell r="AF2216" t="str">
            <v>4-1/2" IF Pin</v>
          </cell>
          <cell r="AG2216"/>
          <cell r="AH2216" t="str">
            <v>maintenance</v>
          </cell>
          <cell r="AI2216" t="str">
            <v/>
          </cell>
          <cell r="AJ2216">
            <v>0</v>
          </cell>
          <cell r="AK2216">
            <v>1</v>
          </cell>
          <cell r="AL2216"/>
          <cell r="AM2216"/>
          <cell r="AN2216" t="str">
            <v/>
          </cell>
          <cell r="AO2216"/>
          <cell r="AP2216"/>
          <cell r="AQ2216"/>
          <cell r="AR2216"/>
          <cell r="AS2216">
            <v>24</v>
          </cell>
          <cell r="AT2216"/>
          <cell r="AU2216" t="str">
            <v/>
          </cell>
          <cell r="AV2216"/>
        </row>
        <row r="2217">
          <cell r="Z2217">
            <v>8041863</v>
          </cell>
          <cell r="AA2217" t="str">
            <v>Lift Sub 3-1/2" IF Pin
3-1/2" OD body for Elevator DP 18°</v>
          </cell>
          <cell r="AB2217">
            <v>0</v>
          </cell>
          <cell r="AC2217" t="str">
            <v>3-1/2"</v>
          </cell>
          <cell r="AD2217">
            <v>0</v>
          </cell>
          <cell r="AE2217" t="str">
            <v>18°</v>
          </cell>
          <cell r="AF2217" t="str">
            <v>3-1/2" IF Pin</v>
          </cell>
          <cell r="AG2217"/>
          <cell r="AH2217" t="str">
            <v>maintenance</v>
          </cell>
          <cell r="AI2217" t="str">
            <v/>
          </cell>
          <cell r="AJ2217">
            <v>0</v>
          </cell>
          <cell r="AK2217">
            <v>1</v>
          </cell>
          <cell r="AL2217"/>
          <cell r="AM2217"/>
          <cell r="AN2217" t="str">
            <v/>
          </cell>
          <cell r="AO2217"/>
          <cell r="AP2217"/>
          <cell r="AQ2217"/>
          <cell r="AR2217"/>
          <cell r="AS2217">
            <v>44</v>
          </cell>
          <cell r="AT2217"/>
          <cell r="AU2217" t="str">
            <v/>
          </cell>
          <cell r="AV2217"/>
        </row>
        <row r="2218">
          <cell r="Z2218">
            <v>8041864</v>
          </cell>
          <cell r="AA2218" t="str">
            <v>Lift Sub 3-1/2" IF Pin
3-1/2" OD body for Elevator DP 18°</v>
          </cell>
          <cell r="AB2218">
            <v>0</v>
          </cell>
          <cell r="AC2218" t="str">
            <v>3-1/2"</v>
          </cell>
          <cell r="AD2218">
            <v>0</v>
          </cell>
          <cell r="AE2218" t="str">
            <v>18°</v>
          </cell>
          <cell r="AF2218" t="str">
            <v>3-1/2" IF Pin</v>
          </cell>
          <cell r="AG2218"/>
          <cell r="AH2218" t="str">
            <v xml:space="preserve"> en stock </v>
          </cell>
          <cell r="AI2218">
            <v>1</v>
          </cell>
          <cell r="AJ2218">
            <v>0</v>
          </cell>
          <cell r="AK2218">
            <v>0</v>
          </cell>
          <cell r="AL2218"/>
          <cell r="AM2218"/>
          <cell r="AN2218" t="str">
            <v/>
          </cell>
          <cell r="AO2218"/>
          <cell r="AP2218"/>
          <cell r="AQ2218"/>
          <cell r="AR2218"/>
          <cell r="AS2218">
            <v>45</v>
          </cell>
          <cell r="AT2218"/>
          <cell r="AU2218" t="str">
            <v/>
          </cell>
          <cell r="AV2218"/>
        </row>
        <row r="2219">
          <cell r="Z2219">
            <v>8041865</v>
          </cell>
          <cell r="AA2219" t="str">
            <v>Lift Sub 3-1/2" IF Pin
3-1/2" OD body for Elevator DP 18°</v>
          </cell>
          <cell r="AB2219">
            <v>0</v>
          </cell>
          <cell r="AC2219" t="str">
            <v>3-1/2"</v>
          </cell>
          <cell r="AD2219">
            <v>0</v>
          </cell>
          <cell r="AE2219" t="str">
            <v>18°</v>
          </cell>
          <cell r="AF2219" t="str">
            <v>3-1/2" IF Pin</v>
          </cell>
          <cell r="AG2219"/>
          <cell r="AH2219" t="str">
            <v xml:space="preserve"> en stock </v>
          </cell>
          <cell r="AI2219">
            <v>1</v>
          </cell>
          <cell r="AJ2219">
            <v>0</v>
          </cell>
          <cell r="AK2219">
            <v>0</v>
          </cell>
          <cell r="AL2219"/>
          <cell r="AM2219"/>
          <cell r="AN2219" t="str">
            <v/>
          </cell>
          <cell r="AO2219"/>
          <cell r="AP2219"/>
          <cell r="AQ2219"/>
          <cell r="AR2219"/>
          <cell r="AS2219">
            <v>46</v>
          </cell>
          <cell r="AT2219"/>
          <cell r="AU2219" t="str">
            <v/>
          </cell>
          <cell r="AV2219"/>
        </row>
        <row r="2220">
          <cell r="Z2220">
            <v>8041866</v>
          </cell>
          <cell r="AA2220" t="str">
            <v>Lift Sub 3-1/2" IF Pin
3-1/2" OD body for Elevator DP 18°</v>
          </cell>
          <cell r="AB2220">
            <v>0</v>
          </cell>
          <cell r="AC2220" t="str">
            <v>3-1/2"</v>
          </cell>
          <cell r="AD2220">
            <v>0</v>
          </cell>
          <cell r="AE2220" t="str">
            <v>18°</v>
          </cell>
          <cell r="AF2220" t="str">
            <v>3-1/2" IF Pin</v>
          </cell>
          <cell r="AG2220"/>
          <cell r="AH2220" t="str">
            <v>maintenance</v>
          </cell>
          <cell r="AI2220" t="str">
            <v/>
          </cell>
          <cell r="AJ2220">
            <v>0</v>
          </cell>
          <cell r="AK2220">
            <v>1</v>
          </cell>
          <cell r="AL2220"/>
          <cell r="AM2220"/>
          <cell r="AN2220" t="str">
            <v/>
          </cell>
          <cell r="AO2220"/>
          <cell r="AP2220"/>
          <cell r="AQ2220"/>
          <cell r="AR2220"/>
          <cell r="AS2220">
            <v>47</v>
          </cell>
          <cell r="AT2220"/>
          <cell r="AU2220" t="str">
            <v/>
          </cell>
          <cell r="AV2220"/>
        </row>
        <row r="2221">
          <cell r="Z2221">
            <v>8041867</v>
          </cell>
          <cell r="AA2221" t="str">
            <v>Lift Sub 3-1/2" IF Pin
3-1/2" OD body for Elevator DP 18°</v>
          </cell>
          <cell r="AB2221">
            <v>0</v>
          </cell>
          <cell r="AC2221" t="str">
            <v>3-1/2"</v>
          </cell>
          <cell r="AD2221">
            <v>0</v>
          </cell>
          <cell r="AE2221" t="str">
            <v>18°</v>
          </cell>
          <cell r="AF2221" t="str">
            <v>3-1/2" IF Pin</v>
          </cell>
          <cell r="AG2221"/>
          <cell r="AH2221" t="str">
            <v>maintenance</v>
          </cell>
          <cell r="AI2221" t="str">
            <v/>
          </cell>
          <cell r="AJ2221">
            <v>0</v>
          </cell>
          <cell r="AK2221">
            <v>1</v>
          </cell>
          <cell r="AL2221"/>
          <cell r="AM2221"/>
          <cell r="AN2221" t="str">
            <v/>
          </cell>
          <cell r="AO2221"/>
          <cell r="AP2221"/>
          <cell r="AQ2221"/>
          <cell r="AR2221"/>
          <cell r="AS2221">
            <v>48</v>
          </cell>
          <cell r="AT2221"/>
          <cell r="AU2221" t="str">
            <v/>
          </cell>
          <cell r="AV2221"/>
        </row>
        <row r="2222">
          <cell r="Z2222">
            <v>8041868</v>
          </cell>
          <cell r="AA2222" t="str">
            <v>Lift Sub 3-1/2" IF Pin
3-1/2" OD body for Elevator DP 18°</v>
          </cell>
          <cell r="AB2222">
            <v>0</v>
          </cell>
          <cell r="AC2222" t="str">
            <v>3-1/2"</v>
          </cell>
          <cell r="AD2222">
            <v>0</v>
          </cell>
          <cell r="AE2222" t="str">
            <v>18°</v>
          </cell>
          <cell r="AF2222" t="str">
            <v>3-1/2" IF Pin</v>
          </cell>
          <cell r="AG2222"/>
          <cell r="AH2222" t="str">
            <v>maintenance</v>
          </cell>
          <cell r="AI2222" t="str">
            <v/>
          </cell>
          <cell r="AJ2222">
            <v>0</v>
          </cell>
          <cell r="AK2222">
            <v>1</v>
          </cell>
          <cell r="AL2222"/>
          <cell r="AM2222"/>
          <cell r="AN2222" t="str">
            <v/>
          </cell>
          <cell r="AO2222"/>
          <cell r="AP2222"/>
          <cell r="AQ2222"/>
          <cell r="AR2222"/>
          <cell r="AS2222">
            <v>49</v>
          </cell>
          <cell r="AT2222"/>
          <cell r="AU2222" t="str">
            <v/>
          </cell>
          <cell r="AV2222"/>
        </row>
        <row r="2223">
          <cell r="Z2223">
            <v>8041869</v>
          </cell>
          <cell r="AA2223" t="str">
            <v>Lift Sub 3-1/2" IF Pin
3-1/2" OD body for Elevator DP 18°</v>
          </cell>
          <cell r="AB2223">
            <v>26</v>
          </cell>
          <cell r="AC2223" t="str">
            <v>3-1/2"</v>
          </cell>
          <cell r="AD2223">
            <v>930</v>
          </cell>
          <cell r="AE2223" t="str">
            <v>18°</v>
          </cell>
          <cell r="AF2223" t="str">
            <v>3-1/2" IF Pin</v>
          </cell>
          <cell r="AG2223"/>
          <cell r="AH2223" t="str">
            <v>maintenance</v>
          </cell>
          <cell r="AI2223" t="str">
            <v/>
          </cell>
          <cell r="AJ2223">
            <v>0</v>
          </cell>
          <cell r="AK2223">
            <v>1</v>
          </cell>
          <cell r="AL2223"/>
          <cell r="AM2223"/>
          <cell r="AN2223" t="str">
            <v/>
          </cell>
          <cell r="AO2223"/>
          <cell r="AP2223"/>
          <cell r="AQ2223"/>
          <cell r="AR2223"/>
          <cell r="AS2223">
            <v>50</v>
          </cell>
          <cell r="AT2223"/>
          <cell r="AU2223" t="str">
            <v/>
          </cell>
          <cell r="AV2223"/>
        </row>
        <row r="2224">
          <cell r="Z2224">
            <v>8041870</v>
          </cell>
          <cell r="AA2224" t="str">
            <v>Lift Sub 3-1/2" IF Pin
3-1/2" OD body for Elevator DP 18°</v>
          </cell>
          <cell r="AB2224">
            <v>36</v>
          </cell>
          <cell r="AC2224" t="str">
            <v>3-1/2"</v>
          </cell>
          <cell r="AD2224">
            <v>815</v>
          </cell>
          <cell r="AE2224" t="str">
            <v>18°</v>
          </cell>
          <cell r="AF2224" t="str">
            <v>3-1/2" IF Pin</v>
          </cell>
          <cell r="AG2224"/>
          <cell r="AH2224" t="str">
            <v>maintenance</v>
          </cell>
          <cell r="AI2224" t="str">
            <v/>
          </cell>
          <cell r="AJ2224">
            <v>0</v>
          </cell>
          <cell r="AK2224">
            <v>1</v>
          </cell>
          <cell r="AL2224"/>
          <cell r="AM2224"/>
          <cell r="AN2224" t="str">
            <v/>
          </cell>
          <cell r="AO2224"/>
          <cell r="AP2224"/>
          <cell r="AQ2224"/>
          <cell r="AR2224"/>
          <cell r="AS2224">
            <v>51</v>
          </cell>
          <cell r="AT2224"/>
          <cell r="AU2224" t="str">
            <v/>
          </cell>
          <cell r="AV2224"/>
        </row>
        <row r="2225">
          <cell r="Z2225">
            <v>8041871</v>
          </cell>
          <cell r="AA2225" t="str">
            <v>Lift Sub 3-1/2" IF Pin
3-1/2" OD body for Elevator DP 18°</v>
          </cell>
          <cell r="AB2225">
            <v>38</v>
          </cell>
          <cell r="AC2225" t="str">
            <v>3-1/2"</v>
          </cell>
          <cell r="AD2225">
            <v>670</v>
          </cell>
          <cell r="AE2225" t="str">
            <v>18°</v>
          </cell>
          <cell r="AF2225" t="str">
            <v>3-1/2" IF Pin</v>
          </cell>
          <cell r="AG2225"/>
          <cell r="AH2225" t="str">
            <v xml:space="preserve"> en stock </v>
          </cell>
          <cell r="AI2225">
            <v>1</v>
          </cell>
          <cell r="AJ2225">
            <v>0</v>
          </cell>
          <cell r="AK2225">
            <v>0</v>
          </cell>
          <cell r="AL2225"/>
          <cell r="AM2225"/>
          <cell r="AN2225" t="str">
            <v/>
          </cell>
          <cell r="AO2225"/>
          <cell r="AP2225"/>
          <cell r="AQ2225"/>
          <cell r="AR2225"/>
          <cell r="AS2225">
            <v>52</v>
          </cell>
          <cell r="AT2225"/>
          <cell r="AU2225" t="str">
            <v/>
          </cell>
          <cell r="AV2225"/>
        </row>
        <row r="2226">
          <cell r="Z2226">
            <v>5111774</v>
          </cell>
          <cell r="AA2226" t="str">
            <v>WO Shoe
5-1/2" FJWP Box</v>
          </cell>
          <cell r="AB2226">
            <v>17</v>
          </cell>
          <cell r="AC2226">
            <v>6.125</v>
          </cell>
          <cell r="AD2226">
            <v>600</v>
          </cell>
          <cell r="AE2226" t="str">
            <v>5-1/2" FJWP Box</v>
          </cell>
          <cell r="AF2226"/>
          <cell r="AG2226" t="str">
            <v>CC</v>
          </cell>
          <cell r="AH2226" t="str">
            <v xml:space="preserve"> en stock </v>
          </cell>
          <cell r="AI2226">
            <v>1</v>
          </cell>
          <cell r="AJ2226">
            <v>0</v>
          </cell>
          <cell r="AK2226">
            <v>0</v>
          </cell>
          <cell r="AL2226"/>
          <cell r="AM2226"/>
          <cell r="AN2226" t="str">
            <v/>
          </cell>
          <cell r="AO2226"/>
          <cell r="AP2226"/>
          <cell r="AQ2226"/>
          <cell r="AR2226"/>
          <cell r="AS2226">
            <v>124</v>
          </cell>
          <cell r="AT2226"/>
          <cell r="AU2226" t="str">
            <v/>
          </cell>
          <cell r="AV2226"/>
        </row>
        <row r="2227">
          <cell r="Z2227">
            <v>8041872</v>
          </cell>
          <cell r="AA2227" t="str">
            <v>Lift Sub 4-1/2" IF Pin down x Box up
5" OD body for Elevator DP 18°</v>
          </cell>
          <cell r="AB2227">
            <v>0</v>
          </cell>
          <cell r="AC2227" t="str">
            <v>5"</v>
          </cell>
          <cell r="AD2227">
            <v>1245</v>
          </cell>
          <cell r="AE2227" t="str">
            <v>18°</v>
          </cell>
          <cell r="AF2227" t="str">
            <v>4-1/2" IF Pin down x Box up</v>
          </cell>
          <cell r="AG2227"/>
          <cell r="AH2227" t="str">
            <v xml:space="preserve"> en stock </v>
          </cell>
          <cell r="AI2227">
            <v>1</v>
          </cell>
          <cell r="AJ2227">
            <v>0</v>
          </cell>
          <cell r="AK2227">
            <v>0</v>
          </cell>
          <cell r="AL2227"/>
          <cell r="AM2227"/>
          <cell r="AN2227">
            <v>8041872</v>
          </cell>
          <cell r="AO2227"/>
          <cell r="AP2227"/>
          <cell r="AQ2227"/>
          <cell r="AR2227"/>
          <cell r="AS2227">
            <v>7</v>
          </cell>
          <cell r="AT2227"/>
          <cell r="AU2227" t="str">
            <v>FR</v>
          </cell>
          <cell r="AV2227"/>
        </row>
        <row r="2228">
          <cell r="Z2228">
            <v>8041873</v>
          </cell>
          <cell r="AA2228" t="str">
            <v>Lift Sub 4-1/2" IF Pin down x Box up
5" OD body for Elevator DP 18°</v>
          </cell>
          <cell r="AB2228">
            <v>0</v>
          </cell>
          <cell r="AC2228" t="str">
            <v>5"</v>
          </cell>
          <cell r="AD2228">
            <v>1245</v>
          </cell>
          <cell r="AE2228" t="str">
            <v>18°</v>
          </cell>
          <cell r="AF2228" t="str">
            <v>4-1/2" IF Pin down x Box up</v>
          </cell>
          <cell r="AG2228"/>
          <cell r="AH2228" t="str">
            <v xml:space="preserve"> en stock </v>
          </cell>
          <cell r="AI2228">
            <v>1</v>
          </cell>
          <cell r="AJ2228">
            <v>0</v>
          </cell>
          <cell r="AK2228">
            <v>0</v>
          </cell>
          <cell r="AL2228"/>
          <cell r="AM2228"/>
          <cell r="AN2228">
            <v>8041873</v>
          </cell>
          <cell r="AO2228"/>
          <cell r="AP2228"/>
          <cell r="AQ2228"/>
          <cell r="AR2228"/>
          <cell r="AS2228">
            <v>8</v>
          </cell>
          <cell r="AT2228"/>
          <cell r="AU2228" t="str">
            <v>FR</v>
          </cell>
          <cell r="AV2228"/>
        </row>
        <row r="2229">
          <cell r="Z2229">
            <v>8041874</v>
          </cell>
          <cell r="AA2229" t="str">
            <v>Lift Sub 4-1/2" IF Pin down x Box up
5" OD body for Elevator DP 18°</v>
          </cell>
          <cell r="AB2229">
            <v>0</v>
          </cell>
          <cell r="AC2229" t="str">
            <v>5"</v>
          </cell>
          <cell r="AD2229">
            <v>1230</v>
          </cell>
          <cell r="AE2229" t="str">
            <v>18°</v>
          </cell>
          <cell r="AF2229" t="str">
            <v>4-1/2" IF Pin down x Box up</v>
          </cell>
          <cell r="AG2229"/>
          <cell r="AH2229" t="str">
            <v xml:space="preserve"> en stock </v>
          </cell>
          <cell r="AI2229">
            <v>1</v>
          </cell>
          <cell r="AJ2229">
            <v>0</v>
          </cell>
          <cell r="AK2229">
            <v>0</v>
          </cell>
          <cell r="AL2229"/>
          <cell r="AM2229"/>
          <cell r="AN2229">
            <v>8041874</v>
          </cell>
          <cell r="AO2229"/>
          <cell r="AP2229"/>
          <cell r="AQ2229"/>
          <cell r="AR2229"/>
          <cell r="AS2229">
            <v>9</v>
          </cell>
          <cell r="AT2229"/>
          <cell r="AU2229" t="str">
            <v>FR</v>
          </cell>
          <cell r="AV2229"/>
        </row>
        <row r="2230">
          <cell r="Z2230">
            <v>8041875</v>
          </cell>
          <cell r="AA2230" t="str">
            <v>Lift Sub 4-1/2" IF Pin down x Box up
5" OD body for Elevator DP 18°</v>
          </cell>
          <cell r="AB2230">
            <v>0</v>
          </cell>
          <cell r="AC2230" t="str">
            <v>5"</v>
          </cell>
          <cell r="AD2230">
            <v>1240</v>
          </cell>
          <cell r="AE2230" t="str">
            <v>18°</v>
          </cell>
          <cell r="AF2230" t="str">
            <v>4-1/2" IF Pin down x Box up</v>
          </cell>
          <cell r="AG2230"/>
          <cell r="AH2230" t="str">
            <v xml:space="preserve"> en stock </v>
          </cell>
          <cell r="AI2230">
            <v>1</v>
          </cell>
          <cell r="AJ2230">
            <v>0</v>
          </cell>
          <cell r="AK2230">
            <v>0</v>
          </cell>
          <cell r="AL2230"/>
          <cell r="AM2230"/>
          <cell r="AN2230">
            <v>8041875</v>
          </cell>
          <cell r="AO2230"/>
          <cell r="AP2230"/>
          <cell r="AQ2230"/>
          <cell r="AR2230"/>
          <cell r="AS2230">
            <v>10</v>
          </cell>
          <cell r="AT2230"/>
          <cell r="AU2230" t="str">
            <v>FR</v>
          </cell>
          <cell r="AV2230"/>
        </row>
        <row r="2231">
          <cell r="Z2231">
            <v>8041876</v>
          </cell>
          <cell r="AA2231" t="str">
            <v>Lift Sub 4-1/2" IF Pin down x Box up
5" OD body for Elevator DP 18°</v>
          </cell>
          <cell r="AB2231">
            <v>0</v>
          </cell>
          <cell r="AC2231" t="str">
            <v>5"</v>
          </cell>
          <cell r="AD2231">
            <v>1250</v>
          </cell>
          <cell r="AE2231" t="str">
            <v>18°</v>
          </cell>
          <cell r="AF2231" t="str">
            <v>4-1/2" IF Pin down x Box up</v>
          </cell>
          <cell r="AG2231"/>
          <cell r="AH2231" t="str">
            <v xml:space="preserve"> en stock </v>
          </cell>
          <cell r="AI2231">
            <v>1</v>
          </cell>
          <cell r="AJ2231">
            <v>0</v>
          </cell>
          <cell r="AK2231">
            <v>0</v>
          </cell>
          <cell r="AL2231"/>
          <cell r="AM2231"/>
          <cell r="AN2231">
            <v>8041876</v>
          </cell>
          <cell r="AO2231"/>
          <cell r="AP2231"/>
          <cell r="AQ2231"/>
          <cell r="AR2231"/>
          <cell r="AS2231">
            <v>11</v>
          </cell>
          <cell r="AT2231"/>
          <cell r="AU2231" t="str">
            <v>FR</v>
          </cell>
          <cell r="AV2231"/>
        </row>
        <row r="2232">
          <cell r="Z2232">
            <v>8041877</v>
          </cell>
          <cell r="AA2232" t="str">
            <v>Lift Sub 4-1/2" IF Pin down x Box up
5" OD body for Elevator DP 18°</v>
          </cell>
          <cell r="AB2232">
            <v>0</v>
          </cell>
          <cell r="AC2232" t="str">
            <v>5"</v>
          </cell>
          <cell r="AD2232">
            <v>1240</v>
          </cell>
          <cell r="AE2232" t="str">
            <v>18°</v>
          </cell>
          <cell r="AF2232" t="str">
            <v>4-1/2" IF Pin down x Box up</v>
          </cell>
          <cell r="AG2232"/>
          <cell r="AH2232" t="str">
            <v xml:space="preserve"> en stock </v>
          </cell>
          <cell r="AI2232">
            <v>1</v>
          </cell>
          <cell r="AJ2232">
            <v>0</v>
          </cell>
          <cell r="AK2232">
            <v>0</v>
          </cell>
          <cell r="AL2232"/>
          <cell r="AM2232"/>
          <cell r="AN2232">
            <v>8041877</v>
          </cell>
          <cell r="AO2232"/>
          <cell r="AP2232"/>
          <cell r="AQ2232"/>
          <cell r="AR2232"/>
          <cell r="AS2232">
            <v>12</v>
          </cell>
          <cell r="AT2232"/>
          <cell r="AU2232" t="str">
            <v>FR</v>
          </cell>
          <cell r="AV2232"/>
        </row>
        <row r="2233">
          <cell r="Z2233">
            <v>5091878</v>
          </cell>
          <cell r="AA2233" t="str">
            <v>WO Extension Lg 3000 mm
5-1/2" FJWP Pin x Box</v>
          </cell>
          <cell r="AB2233">
            <v>358.49105720999989</v>
          </cell>
          <cell r="AC2233">
            <v>5.5</v>
          </cell>
          <cell r="AD2233">
            <v>3000</v>
          </cell>
          <cell r="AE2233" t="str">
            <v>5-1/2" FJWP Box</v>
          </cell>
          <cell r="AF2233" t="str">
            <v>5-1/2" FJWP Pin</v>
          </cell>
          <cell r="AG2233"/>
          <cell r="AH2233" t="str">
            <v xml:space="preserve"> en stock </v>
          </cell>
          <cell r="AI2233">
            <v>1</v>
          </cell>
          <cell r="AJ2233">
            <v>0</v>
          </cell>
          <cell r="AK2233">
            <v>0</v>
          </cell>
          <cell r="AL2233"/>
          <cell r="AM2233"/>
          <cell r="AN2233">
            <v>5091878</v>
          </cell>
          <cell r="AO2233"/>
          <cell r="AP2233"/>
          <cell r="AQ2233"/>
          <cell r="AR2233"/>
          <cell r="AS2233">
            <v>50</v>
          </cell>
          <cell r="AT2233" t="str">
            <v>509-5,500FJWP</v>
          </cell>
          <cell r="AU2233" t="str">
            <v>FR</v>
          </cell>
          <cell r="AV2233"/>
        </row>
        <row r="2234">
          <cell r="Z2234">
            <v>5091879</v>
          </cell>
          <cell r="AA2234" t="str">
            <v>WO Extension Lg 2840 mm
5-1/2" FJWP Pin x Box</v>
          </cell>
          <cell r="AB2234">
            <v>339.37153415879993</v>
          </cell>
          <cell r="AC2234">
            <v>5.5</v>
          </cell>
          <cell r="AD2234">
            <v>2840</v>
          </cell>
          <cell r="AE2234" t="str">
            <v>5-1/2" FJWP Box</v>
          </cell>
          <cell r="AF2234" t="str">
            <v>5-1/2" FJWP Pin</v>
          </cell>
          <cell r="AG2234"/>
          <cell r="AH2234" t="str">
            <v xml:space="preserve"> en stock </v>
          </cell>
          <cell r="AI2234">
            <v>1</v>
          </cell>
          <cell r="AJ2234">
            <v>0</v>
          </cell>
          <cell r="AK2234">
            <v>0</v>
          </cell>
          <cell r="AL2234"/>
          <cell r="AM2234"/>
          <cell r="AN2234">
            <v>5091879</v>
          </cell>
          <cell r="AO2234"/>
          <cell r="AP2234"/>
          <cell r="AQ2234"/>
          <cell r="AR2234"/>
          <cell r="AS2234">
            <v>49</v>
          </cell>
          <cell r="AT2234" t="str">
            <v>509-5,500FJWP</v>
          </cell>
          <cell r="AU2234" t="str">
            <v>FR</v>
          </cell>
          <cell r="AV2234"/>
        </row>
        <row r="2235">
          <cell r="Z2235">
            <v>5091880</v>
          </cell>
          <cell r="AA2235" t="str">
            <v>WO Extension Lg 1980 mm
5-1/2" FJWP Pin x Box</v>
          </cell>
          <cell r="AB2235">
            <v>236.60409775859998</v>
          </cell>
          <cell r="AC2235">
            <v>5.5</v>
          </cell>
          <cell r="AD2235">
            <v>1980</v>
          </cell>
          <cell r="AE2235" t="str">
            <v>5-1/2" FJWP Box</v>
          </cell>
          <cell r="AF2235" t="str">
            <v>5-1/2" FJWP Pin</v>
          </cell>
          <cell r="AG2235"/>
          <cell r="AH2235" t="str">
            <v>maintenance</v>
          </cell>
          <cell r="AI2235" t="str">
            <v/>
          </cell>
          <cell r="AJ2235">
            <v>0</v>
          </cell>
          <cell r="AK2235">
            <v>1</v>
          </cell>
          <cell r="AL2235"/>
          <cell r="AM2235"/>
          <cell r="AN2235">
            <v>5091880</v>
          </cell>
          <cell r="AO2235"/>
          <cell r="AP2235"/>
          <cell r="AQ2235"/>
          <cell r="AR2235"/>
          <cell r="AS2235">
            <v>44</v>
          </cell>
          <cell r="AT2235" t="str">
            <v>509-5,500FJWP</v>
          </cell>
          <cell r="AU2235" t="str">
            <v>FR</v>
          </cell>
          <cell r="AV2235"/>
        </row>
        <row r="2236">
          <cell r="Z2236">
            <v>5110623</v>
          </cell>
          <cell r="AA2236" t="str">
            <v>WO Shoe
5-1/2" FJWP Box</v>
          </cell>
          <cell r="AB2236">
            <v>12</v>
          </cell>
          <cell r="AC2236">
            <v>6</v>
          </cell>
          <cell r="AD2236">
            <v>420</v>
          </cell>
          <cell r="AE2236" t="str">
            <v>5-1/2" FJWP Box</v>
          </cell>
          <cell r="AF2236"/>
          <cell r="AG2236" t="str">
            <v>CC</v>
          </cell>
          <cell r="AH2236" t="str">
            <v xml:space="preserve"> en stock </v>
          </cell>
          <cell r="AI2236">
            <v>1</v>
          </cell>
          <cell r="AJ2236">
            <v>0</v>
          </cell>
          <cell r="AK2236">
            <v>0</v>
          </cell>
          <cell r="AL2236"/>
          <cell r="AM2236"/>
          <cell r="AN2236" t="str">
            <v/>
          </cell>
          <cell r="AO2236"/>
          <cell r="AP2236"/>
          <cell r="AQ2236"/>
          <cell r="AR2236"/>
          <cell r="AS2236">
            <v>99</v>
          </cell>
          <cell r="AT2236"/>
          <cell r="AU2236" t="str">
            <v/>
          </cell>
          <cell r="AV2236"/>
        </row>
        <row r="2237">
          <cell r="Z2237">
            <v>8011881</v>
          </cell>
          <cell r="AA2237" t="str">
            <v>Bull Nose Mill
3-1/2" REG Pin</v>
          </cell>
          <cell r="AB2237">
            <v>0</v>
          </cell>
          <cell r="AC2237">
            <v>0</v>
          </cell>
          <cell r="AD2237">
            <v>510</v>
          </cell>
          <cell r="AE2237" t="str">
            <v>3-1/2" REG Pin</v>
          </cell>
          <cell r="AF2237"/>
          <cell r="AG2237"/>
          <cell r="AH2237" t="str">
            <v xml:space="preserve"> en stock </v>
          </cell>
          <cell r="AI2237">
            <v>1</v>
          </cell>
          <cell r="AJ2237">
            <v>0</v>
          </cell>
          <cell r="AK2237">
            <v>0</v>
          </cell>
          <cell r="AL2237"/>
          <cell r="AM2237"/>
          <cell r="AN2237" t="str">
            <v/>
          </cell>
          <cell r="AO2237"/>
          <cell r="AP2237"/>
          <cell r="AQ2237"/>
          <cell r="AR2237" t="str">
            <v>750799, rajouté à l'invetaire exercice 2023</v>
          </cell>
          <cell r="AS2237">
            <v>16</v>
          </cell>
          <cell r="AT2237" t="str">
            <v>801-3,500REG</v>
          </cell>
          <cell r="AU2237" t="str">
            <v/>
          </cell>
          <cell r="AV2237"/>
        </row>
        <row r="2238">
          <cell r="Z2238">
            <v>7041882</v>
          </cell>
          <cell r="AA2238" t="str">
            <v>8-3/8" SH Overshont - CA C5354
4-1/2" IF Box</v>
          </cell>
          <cell r="AB2238">
            <v>0</v>
          </cell>
          <cell r="AC2238" t="str">
            <v>8-3/8" SH</v>
          </cell>
          <cell r="AD2238">
            <v>0</v>
          </cell>
          <cell r="AE2238" t="str">
            <v>4-1/2" IF Box</v>
          </cell>
          <cell r="AF2238" t="str">
            <v>bowl only</v>
          </cell>
          <cell r="AG2238" t="str">
            <v>C5354</v>
          </cell>
          <cell r="AH2238" t="str">
            <v xml:space="preserve"> en stock </v>
          </cell>
          <cell r="AI2238">
            <v>1</v>
          </cell>
          <cell r="AJ2238">
            <v>0</v>
          </cell>
          <cell r="AK2238">
            <v>0</v>
          </cell>
          <cell r="AL2238"/>
          <cell r="AM2238"/>
          <cell r="AN2238">
            <v>7041882</v>
          </cell>
          <cell r="AO2238"/>
          <cell r="AP2238"/>
          <cell r="AQ2238"/>
          <cell r="AR2238"/>
          <cell r="AS2238">
            <v>71</v>
          </cell>
          <cell r="AT2238" t="str">
            <v>704-5354</v>
          </cell>
          <cell r="AU2238" t="str">
            <v/>
          </cell>
          <cell r="AV2238"/>
        </row>
        <row r="2239">
          <cell r="Z2239">
            <v>5031883</v>
          </cell>
          <cell r="AA2239" t="str">
            <v>Junk Mill 
Pin inconnu</v>
          </cell>
          <cell r="AB2239">
            <v>0</v>
          </cell>
          <cell r="AC2239">
            <v>2.75</v>
          </cell>
          <cell r="AD2239">
            <v>0</v>
          </cell>
          <cell r="AE2239" t="str">
            <v>Pin inconnu</v>
          </cell>
          <cell r="AF2239"/>
          <cell r="AG2239" t="str">
            <v>C</v>
          </cell>
          <cell r="AH2239" t="str">
            <v>maintenance</v>
          </cell>
          <cell r="AI2239" t="str">
            <v/>
          </cell>
          <cell r="AJ2239">
            <v>0</v>
          </cell>
          <cell r="AK2239">
            <v>1</v>
          </cell>
          <cell r="AL2239"/>
          <cell r="AM2239"/>
          <cell r="AN2239">
            <v>5031883</v>
          </cell>
          <cell r="AO2239"/>
          <cell r="AP2239"/>
          <cell r="AQ2239"/>
          <cell r="AR2239"/>
          <cell r="AS2239">
            <v>7</v>
          </cell>
          <cell r="AT2239" t="str">
            <v>503-</v>
          </cell>
          <cell r="AU2239" t="str">
            <v/>
          </cell>
          <cell r="AV2239"/>
        </row>
        <row r="2240">
          <cell r="Z2240">
            <v>7051884</v>
          </cell>
          <cell r="AA2240" t="str">
            <v>Extension 9-5/8" FS Lg 405mm CA 264
9-5/8" FS Sellers Pin x Box</v>
          </cell>
          <cell r="AB2240">
            <v>55.195771866300014</v>
          </cell>
          <cell r="AC2240" t="str">
            <v>9-5/8" FS</v>
          </cell>
          <cell r="AD2240">
            <v>405</v>
          </cell>
          <cell r="AE2240" t="str">
            <v>9-5/8" FS Sellers Box</v>
          </cell>
          <cell r="AF2240" t="str">
            <v>9-5/8" FS Sellers Pin</v>
          </cell>
          <cell r="AG2240">
            <v>264</v>
          </cell>
          <cell r="AH2240" t="str">
            <v xml:space="preserve"> en stock </v>
          </cell>
          <cell r="AI2240">
            <v>1</v>
          </cell>
          <cell r="AJ2240">
            <v>0</v>
          </cell>
          <cell r="AK2240">
            <v>0</v>
          </cell>
          <cell r="AL2240"/>
          <cell r="AM2240"/>
          <cell r="AN2240">
            <v>7051884</v>
          </cell>
          <cell r="AO2240"/>
          <cell r="AP2240"/>
          <cell r="AQ2240"/>
          <cell r="AR2240"/>
          <cell r="AS2240">
            <v>62</v>
          </cell>
          <cell r="AT2240" t="str">
            <v>705-264</v>
          </cell>
          <cell r="AU2240" t="str">
            <v/>
          </cell>
          <cell r="AV2240"/>
        </row>
        <row r="2241">
          <cell r="Z2241" t="str">
            <v>0000000109</v>
          </cell>
          <cell r="AA2241" t="str">
            <v>Kelly valve incomplète</v>
          </cell>
          <cell r="AB2241"/>
          <cell r="AC2241"/>
          <cell r="AD2241"/>
          <cell r="AE2241"/>
          <cell r="AF2241"/>
          <cell r="AG2241"/>
          <cell r="AH2241" t="str">
            <v>en stock</v>
          </cell>
          <cell r="AI2241"/>
          <cell r="AJ2241"/>
          <cell r="AK2241"/>
          <cell r="AL2241"/>
          <cell r="AM2241"/>
          <cell r="AN2241" t="str">
            <v>0000000109</v>
          </cell>
          <cell r="AO2241" t="str">
            <v>x</v>
          </cell>
          <cell r="AP2241"/>
          <cell r="AQ2241"/>
          <cell r="AR2241"/>
          <cell r="AS2241"/>
          <cell r="AT2241"/>
          <cell r="AU2241" t="str">
            <v/>
          </cell>
          <cell r="AV2241"/>
        </row>
        <row r="2242">
          <cell r="Z2242">
            <v>7011885</v>
          </cell>
          <cell r="AA2242" t="str">
            <v>Die Collar 8-1/8" OD to catch fromp 5" to 6-5/8" 
Lg catch 700mm
4-1/2" IF Box</v>
          </cell>
          <cell r="AB2242">
            <v>0</v>
          </cell>
          <cell r="AC2242">
            <v>8.125</v>
          </cell>
          <cell r="AD2242">
            <v>1070</v>
          </cell>
          <cell r="AE2242" t="str">
            <v>4-1/2" IF Box</v>
          </cell>
          <cell r="AF2242" t="str">
            <v xml:space="preserve"> - </v>
          </cell>
          <cell r="AG2242" t="str">
            <v>5 to 6,625</v>
          </cell>
          <cell r="AH2242" t="str">
            <v xml:space="preserve"> en stock </v>
          </cell>
          <cell r="AI2242">
            <v>1</v>
          </cell>
          <cell r="AJ2242">
            <v>0</v>
          </cell>
          <cell r="AK2242">
            <v>0</v>
          </cell>
          <cell r="AL2242"/>
          <cell r="AM2242"/>
          <cell r="AN2242">
            <v>7011885</v>
          </cell>
          <cell r="AO2242"/>
          <cell r="AP2242"/>
          <cell r="AQ2242"/>
          <cell r="AR2242"/>
          <cell r="AS2242">
            <v>15</v>
          </cell>
          <cell r="AT2242" t="str">
            <v>701-</v>
          </cell>
          <cell r="AU2242" t="str">
            <v/>
          </cell>
          <cell r="AV2242"/>
        </row>
        <row r="2243">
          <cell r="Z2243">
            <v>1101886</v>
          </cell>
          <cell r="AA2243" t="str">
            <v>Junk Basket Itco Type 6-1/2" OD Barrel
4" IF Box up</v>
          </cell>
          <cell r="AB2243">
            <v>0</v>
          </cell>
          <cell r="AC2243">
            <v>6.5</v>
          </cell>
          <cell r="AD2243">
            <v>1010</v>
          </cell>
          <cell r="AE2243" t="str">
            <v>4" IF Box</v>
          </cell>
          <cell r="AF2243">
            <v>7.125</v>
          </cell>
          <cell r="AG2243"/>
          <cell r="AH2243" t="str">
            <v>en stock</v>
          </cell>
          <cell r="AI2243">
            <v>0</v>
          </cell>
          <cell r="AJ2243">
            <v>0</v>
          </cell>
          <cell r="AK2243">
            <v>1</v>
          </cell>
          <cell r="AL2243"/>
          <cell r="AM2243"/>
          <cell r="AN2243">
            <v>1101886</v>
          </cell>
          <cell r="AO2243"/>
          <cell r="AP2243"/>
          <cell r="AQ2243"/>
          <cell r="AR2243"/>
          <cell r="AS2243">
            <v>7</v>
          </cell>
          <cell r="AT2243" t="str">
            <v>110-</v>
          </cell>
          <cell r="AU2243" t="str">
            <v/>
          </cell>
          <cell r="AV2243"/>
        </row>
        <row r="2244">
          <cell r="Z2244">
            <v>7011887</v>
          </cell>
          <cell r="AA2244" t="str">
            <v>Die Collar 8-1/16" OD
4-1/2" IF Box with Oversize guide</v>
          </cell>
          <cell r="AB2244">
            <v>0</v>
          </cell>
          <cell r="AC2244">
            <v>8.0625</v>
          </cell>
          <cell r="AD2244">
            <v>870</v>
          </cell>
          <cell r="AE2244" t="str">
            <v>4-1/2" IF Box</v>
          </cell>
          <cell r="AF2244" t="str">
            <v>sellers pin + oversize guide 701LG1</v>
          </cell>
          <cell r="AG2244" t="str">
            <v xml:space="preserve"> to </v>
          </cell>
          <cell r="AH2244" t="str">
            <v xml:space="preserve"> en stock </v>
          </cell>
          <cell r="AI2244">
            <v>1</v>
          </cell>
          <cell r="AJ2244">
            <v>0</v>
          </cell>
          <cell r="AK2244">
            <v>0</v>
          </cell>
          <cell r="AL2244"/>
          <cell r="AM2244"/>
          <cell r="AN2244">
            <v>7011887</v>
          </cell>
          <cell r="AO2244"/>
          <cell r="AP2244"/>
          <cell r="AQ2244"/>
          <cell r="AR2244"/>
          <cell r="AS2244">
            <v>14</v>
          </cell>
          <cell r="AT2244" t="str">
            <v>701-</v>
          </cell>
          <cell r="AU2244" t="str">
            <v/>
          </cell>
          <cell r="AV2244"/>
        </row>
        <row r="2245">
          <cell r="Z2245">
            <v>7041888</v>
          </cell>
          <cell r="AA2245" t="str">
            <v>8-1/8" FS Overshont - CA C5342
4-1/2" IF Box</v>
          </cell>
          <cell r="AB2245">
            <v>142</v>
          </cell>
          <cell r="AC2245" t="str">
            <v>8-1/8" FS</v>
          </cell>
          <cell r="AD2245">
            <v>1210</v>
          </cell>
          <cell r="AE2245" t="str">
            <v>4-1/2" IF Box</v>
          </cell>
          <cell r="AF2245" t="str">
            <v>relevé du 19/09/24</v>
          </cell>
          <cell r="AG2245" t="str">
            <v>C-5342</v>
          </cell>
          <cell r="AH2245" t="str">
            <v xml:space="preserve"> en stock </v>
          </cell>
          <cell r="AI2245">
            <v>1</v>
          </cell>
          <cell r="AJ2245">
            <v>0</v>
          </cell>
          <cell r="AK2245">
            <v>0</v>
          </cell>
          <cell r="AL2245"/>
          <cell r="AM2245"/>
          <cell r="AN2245">
            <v>7041888</v>
          </cell>
          <cell r="AO2245"/>
          <cell r="AP2245"/>
          <cell r="AQ2245"/>
          <cell r="AR2245"/>
          <cell r="AS2245">
            <v>60</v>
          </cell>
          <cell r="AT2245" t="str">
            <v>704-5342</v>
          </cell>
          <cell r="AU2245" t="str">
            <v/>
          </cell>
          <cell r="AV2245"/>
        </row>
        <row r="2246">
          <cell r="Z2246">
            <v>7091889</v>
          </cell>
          <cell r="AA2246" t="str">
            <v>Taper Tap 8" to catch from X" to X"
Lg catch Xmm
6-5/8" REG Box</v>
          </cell>
          <cell r="AB2246">
            <v>0</v>
          </cell>
          <cell r="AC2246">
            <v>3.5</v>
          </cell>
          <cell r="AD2246">
            <v>590</v>
          </cell>
          <cell r="AE2246" t="str">
            <v>2-3/8" IF Box</v>
          </cell>
          <cell r="AF2246">
            <v>0</v>
          </cell>
          <cell r="AG2246"/>
          <cell r="AH2246" t="str">
            <v xml:space="preserve"> en stock </v>
          </cell>
          <cell r="AI2246">
            <v>1</v>
          </cell>
          <cell r="AJ2246">
            <v>0</v>
          </cell>
          <cell r="AK2246">
            <v>0</v>
          </cell>
          <cell r="AL2246"/>
          <cell r="AM2246"/>
          <cell r="AN2246">
            <v>7091889</v>
          </cell>
          <cell r="AO2246"/>
          <cell r="AP2246"/>
          <cell r="AQ2246"/>
          <cell r="AR2246"/>
          <cell r="AS2246">
            <v>10</v>
          </cell>
          <cell r="AT2246" t="str">
            <v>709-</v>
          </cell>
          <cell r="AU2246" t="str">
            <v/>
          </cell>
          <cell r="AV2246"/>
        </row>
        <row r="2247">
          <cell r="Z2247">
            <v>1091890</v>
          </cell>
          <cell r="AA2247" t="str">
            <v>Junk Sub 6-5/8" OD Cup
4-1/2" REG Pin up x Box down</v>
          </cell>
          <cell r="AB2247">
            <v>0</v>
          </cell>
          <cell r="AC2247">
            <v>6.625</v>
          </cell>
          <cell r="AD2247">
            <v>700</v>
          </cell>
          <cell r="AE2247" t="str">
            <v>4-1/2" REG Pin</v>
          </cell>
          <cell r="AF2247" t="str">
            <v>4-1/2" REG Box</v>
          </cell>
          <cell r="AG2247"/>
          <cell r="AH2247" t="str">
            <v xml:space="preserve"> en stock </v>
          </cell>
          <cell r="AI2247">
            <v>1</v>
          </cell>
          <cell r="AJ2247">
            <v>0</v>
          </cell>
          <cell r="AK2247">
            <v>0</v>
          </cell>
          <cell r="AL2247"/>
          <cell r="AM2247"/>
          <cell r="AN2247">
            <v>1091890</v>
          </cell>
          <cell r="AO2247"/>
          <cell r="AP2247"/>
          <cell r="AQ2247"/>
          <cell r="AR2247"/>
          <cell r="AS2247">
            <v>27</v>
          </cell>
          <cell r="AT2247" t="str">
            <v>109-6,625</v>
          </cell>
          <cell r="AU2247" t="str">
            <v/>
          </cell>
          <cell r="AV2247"/>
        </row>
        <row r="2248">
          <cell r="Z2248">
            <v>5051891</v>
          </cell>
          <cell r="AA2248" t="str">
            <v>Pilot Mill
4-1/2" REG Pin x Pilot</v>
          </cell>
          <cell r="AB2248">
            <v>0</v>
          </cell>
          <cell r="AC2248">
            <v>8.5</v>
          </cell>
          <cell r="AD2248">
            <v>1010</v>
          </cell>
          <cell r="AE2248" t="str">
            <v>4-1/2" REG Pin</v>
          </cell>
          <cell r="AF2248" t="str">
            <v>Pilot</v>
          </cell>
          <cell r="AG2248" t="str">
            <v>carbure</v>
          </cell>
          <cell r="AH2248" t="str">
            <v xml:space="preserve"> en stock </v>
          </cell>
          <cell r="AI2248">
            <v>1</v>
          </cell>
          <cell r="AJ2248">
            <v>0</v>
          </cell>
          <cell r="AK2248">
            <v>0</v>
          </cell>
          <cell r="AL2248"/>
          <cell r="AM2248"/>
          <cell r="AN2248">
            <v>5051891</v>
          </cell>
          <cell r="AO2248"/>
          <cell r="AP2248"/>
          <cell r="AQ2248"/>
          <cell r="AR2248"/>
          <cell r="AS2248">
            <v>15</v>
          </cell>
          <cell r="AT2248" t="str">
            <v>505-</v>
          </cell>
          <cell r="AU2248" t="str">
            <v/>
          </cell>
          <cell r="AV2248"/>
        </row>
        <row r="2249">
          <cell r="Z2249">
            <v>5051892</v>
          </cell>
          <cell r="AA2249" t="str">
            <v>Pilot Mill
3-1/2" REG Pin x Pilot</v>
          </cell>
          <cell r="AB2249">
            <v>0</v>
          </cell>
          <cell r="AC2249">
            <v>5.9375</v>
          </cell>
          <cell r="AD2249">
            <v>1050</v>
          </cell>
          <cell r="AE2249" t="str">
            <v>3-1/2" REG Pin</v>
          </cell>
          <cell r="AF2249" t="str">
            <v>Pilot</v>
          </cell>
          <cell r="AG2249" t="str">
            <v>carbure</v>
          </cell>
          <cell r="AH2249" t="str">
            <v xml:space="preserve"> en stock </v>
          </cell>
          <cell r="AI2249">
            <v>1</v>
          </cell>
          <cell r="AJ2249">
            <v>0</v>
          </cell>
          <cell r="AK2249">
            <v>0</v>
          </cell>
          <cell r="AL2249"/>
          <cell r="AM2249"/>
          <cell r="AN2249">
            <v>5051892</v>
          </cell>
          <cell r="AO2249"/>
          <cell r="AP2249"/>
          <cell r="AQ2249"/>
          <cell r="AR2249"/>
          <cell r="AS2249">
            <v>10</v>
          </cell>
          <cell r="AT2249" t="str">
            <v>505-</v>
          </cell>
          <cell r="AU2249" t="str">
            <v/>
          </cell>
          <cell r="AV2249"/>
        </row>
        <row r="2250">
          <cell r="Z2250">
            <v>8011893</v>
          </cell>
          <cell r="AA2250" t="str">
            <v>Bull Nose 8-7/16" OD
4-1/2" REG Pin</v>
          </cell>
          <cell r="AB2250">
            <v>0</v>
          </cell>
          <cell r="AC2250">
            <v>8.4375</v>
          </cell>
          <cell r="AD2250">
            <v>860</v>
          </cell>
          <cell r="AE2250" t="str">
            <v>4-1/2" REG Pin</v>
          </cell>
          <cell r="AF2250"/>
          <cell r="AG2250"/>
          <cell r="AH2250" t="str">
            <v>sur chantier</v>
          </cell>
          <cell r="AI2250" t="str">
            <v/>
          </cell>
          <cell r="AJ2250">
            <v>1</v>
          </cell>
          <cell r="AK2250">
            <v>0</v>
          </cell>
          <cell r="AL2250"/>
          <cell r="AM2250"/>
          <cell r="AN2250">
            <v>8011893</v>
          </cell>
          <cell r="AO2250"/>
          <cell r="AP2250"/>
          <cell r="AQ2250"/>
          <cell r="AR2250" t="str">
            <v>065080039</v>
          </cell>
          <cell r="AS2250">
            <v>23</v>
          </cell>
          <cell r="AT2250" t="str">
            <v>801-4,500REG</v>
          </cell>
          <cell r="AU2250" t="str">
            <v/>
          </cell>
          <cell r="AV2250"/>
        </row>
        <row r="2251">
          <cell r="Z2251">
            <v>1091894</v>
          </cell>
          <cell r="AA2251" t="str">
            <v>Junk Sub 6-5/8" OD Cup
4-1/2" REG Pin up x Box down</v>
          </cell>
          <cell r="AB2251">
            <v>0</v>
          </cell>
          <cell r="AC2251">
            <v>6.625</v>
          </cell>
          <cell r="AD2251">
            <v>690</v>
          </cell>
          <cell r="AE2251" t="str">
            <v>4-1/2" REG Pin</v>
          </cell>
          <cell r="AF2251" t="str">
            <v>4-1/2" REG Box</v>
          </cell>
          <cell r="AG2251"/>
          <cell r="AH2251" t="str">
            <v>maintenance</v>
          </cell>
          <cell r="AI2251" t="str">
            <v/>
          </cell>
          <cell r="AJ2251">
            <v>0</v>
          </cell>
          <cell r="AK2251">
            <v>1</v>
          </cell>
          <cell r="AL2251"/>
          <cell r="AM2251"/>
          <cell r="AN2251">
            <v>1091894</v>
          </cell>
          <cell r="AO2251"/>
          <cell r="AP2251"/>
          <cell r="AQ2251"/>
          <cell r="AR2251"/>
          <cell r="AS2251">
            <v>22</v>
          </cell>
          <cell r="AT2251" t="str">
            <v>109-6,625</v>
          </cell>
          <cell r="AU2251" t="str">
            <v/>
          </cell>
          <cell r="AV2251"/>
        </row>
        <row r="2252">
          <cell r="Z2252">
            <v>1091895</v>
          </cell>
          <cell r="AA2252" t="str">
            <v>Junk Sub 6-5/8" OD Cup
4-1/2" REG Pin up x Box down</v>
          </cell>
          <cell r="AB2252">
            <v>0</v>
          </cell>
          <cell r="AC2252">
            <v>5.5</v>
          </cell>
          <cell r="AD2252">
            <v>700</v>
          </cell>
          <cell r="AE2252" t="str">
            <v>3-1/2" REG Pin</v>
          </cell>
          <cell r="AF2252" t="str">
            <v>3-1/2" REG Box</v>
          </cell>
          <cell r="AG2252"/>
          <cell r="AH2252" t="str">
            <v>maintenance</v>
          </cell>
          <cell r="AI2252" t="str">
            <v/>
          </cell>
          <cell r="AJ2252">
            <v>0</v>
          </cell>
          <cell r="AK2252">
            <v>1</v>
          </cell>
          <cell r="AL2252"/>
          <cell r="AM2252"/>
          <cell r="AN2252">
            <v>1091895</v>
          </cell>
          <cell r="AO2252"/>
          <cell r="AP2252"/>
          <cell r="AQ2252"/>
          <cell r="AR2252"/>
          <cell r="AS2252">
            <v>20</v>
          </cell>
          <cell r="AT2252" t="str">
            <v>109-5,500</v>
          </cell>
          <cell r="AU2252" t="str">
            <v/>
          </cell>
          <cell r="AV2252"/>
        </row>
        <row r="2253">
          <cell r="Z2253">
            <v>7051896</v>
          </cell>
          <cell r="AA2253" t="str">
            <v>Extension à déterminer Lg 580mm CA 0
à déterminer Sellers Pin x Box</v>
          </cell>
          <cell r="AB2253">
            <v>79.045796746800022</v>
          </cell>
          <cell r="AC2253" t="str">
            <v>à déterminer</v>
          </cell>
          <cell r="AD2253">
            <v>580</v>
          </cell>
          <cell r="AE2253" t="str">
            <v>à déterminer</v>
          </cell>
          <cell r="AF2253" t="str">
            <v>à déterminer</v>
          </cell>
          <cell r="AG2253">
            <v>0</v>
          </cell>
          <cell r="AH2253" t="str">
            <v xml:space="preserve"> en stock </v>
          </cell>
          <cell r="AI2253">
            <v>1</v>
          </cell>
          <cell r="AJ2253">
            <v>0</v>
          </cell>
          <cell r="AK2253">
            <v>0</v>
          </cell>
          <cell r="AL2253"/>
          <cell r="AM2253"/>
          <cell r="AN2253">
            <v>7051896</v>
          </cell>
          <cell r="AO2253"/>
          <cell r="AP2253"/>
          <cell r="AQ2253"/>
          <cell r="AR2253"/>
          <cell r="AS2253">
            <v>63</v>
          </cell>
          <cell r="AT2253" t="str">
            <v>705-</v>
          </cell>
          <cell r="AU2253" t="str">
            <v/>
          </cell>
          <cell r="AV2253"/>
        </row>
        <row r="2254">
          <cell r="Z2254">
            <v>4051897</v>
          </cell>
          <cell r="AA2254" t="str">
            <v>Safety Joint 6-1/2" OD 
4" IF Pin down x Box up</v>
          </cell>
          <cell r="AB2254">
            <v>0</v>
          </cell>
          <cell r="AC2254">
            <v>6.5</v>
          </cell>
          <cell r="AD2254">
            <v>1480</v>
          </cell>
          <cell r="AE2254" t="str">
            <v>4" IF Box</v>
          </cell>
          <cell r="AF2254" t="str">
            <v>4" IF Pin</v>
          </cell>
          <cell r="AG2254"/>
          <cell r="AH2254" t="str">
            <v>maintenance</v>
          </cell>
          <cell r="AI2254" t="str">
            <v/>
          </cell>
          <cell r="AJ2254">
            <v>0</v>
          </cell>
          <cell r="AK2254">
            <v>1</v>
          </cell>
          <cell r="AL2254"/>
          <cell r="AM2254"/>
          <cell r="AN2254">
            <v>4051897</v>
          </cell>
          <cell r="AO2254"/>
          <cell r="AP2254"/>
          <cell r="AQ2254"/>
          <cell r="AR2254"/>
          <cell r="AS2254">
            <v>13</v>
          </cell>
          <cell r="AT2254" t="str">
            <v>405-6,500</v>
          </cell>
          <cell r="AU2254" t="str">
            <v/>
          </cell>
          <cell r="AV2254"/>
        </row>
        <row r="2255">
          <cell r="Z2255">
            <v>8111898</v>
          </cell>
          <cell r="AA2255" t="str">
            <v>String Stab
4" IF Pin SRG x 4" IF Box BB</v>
          </cell>
          <cell r="AB2255">
            <v>0</v>
          </cell>
          <cell r="AC2255">
            <v>8.1875</v>
          </cell>
          <cell r="AD2255">
            <v>1545</v>
          </cell>
          <cell r="AE2255" t="str">
            <v>4" IF Box BB</v>
          </cell>
          <cell r="AF2255" t="str">
            <v>4" IF Pin SRG</v>
          </cell>
          <cell r="AG2255" t="str">
            <v>Insert</v>
          </cell>
          <cell r="AH2255" t="str">
            <v>maintenance</v>
          </cell>
          <cell r="AI2255" t="str">
            <v/>
          </cell>
          <cell r="AJ2255">
            <v>0</v>
          </cell>
          <cell r="AK2255">
            <v>1</v>
          </cell>
          <cell r="AL2255"/>
          <cell r="AM2255"/>
          <cell r="AN2255" t="str">
            <v/>
          </cell>
          <cell r="AO2255"/>
          <cell r="AP2255"/>
          <cell r="AQ2255"/>
          <cell r="AR2255"/>
          <cell r="AS2255">
            <v>31</v>
          </cell>
          <cell r="AT2255" t="str">
            <v>811-</v>
          </cell>
          <cell r="AU2255" t="str">
            <v/>
          </cell>
          <cell r="AV2255"/>
        </row>
        <row r="2256">
          <cell r="Z2256">
            <v>4051899</v>
          </cell>
          <cell r="AA2256" t="str">
            <v>Safety Joint 6-1/2" OD 
4" IF Pin down x Box up</v>
          </cell>
          <cell r="AB2256">
            <v>0</v>
          </cell>
          <cell r="AC2256">
            <v>6.5</v>
          </cell>
          <cell r="AD2256">
            <v>1470</v>
          </cell>
          <cell r="AE2256" t="str">
            <v>4" IF Box</v>
          </cell>
          <cell r="AF2256" t="str">
            <v>4" IF Pin</v>
          </cell>
          <cell r="AG2256"/>
          <cell r="AH2256" t="str">
            <v>maintenance</v>
          </cell>
          <cell r="AI2256" t="str">
            <v/>
          </cell>
          <cell r="AJ2256">
            <v>0</v>
          </cell>
          <cell r="AK2256">
            <v>1</v>
          </cell>
          <cell r="AL2256"/>
          <cell r="AM2256"/>
          <cell r="AN2256">
            <v>4051899</v>
          </cell>
          <cell r="AO2256"/>
          <cell r="AP2256"/>
          <cell r="AQ2256"/>
          <cell r="AR2256"/>
          <cell r="AS2256">
            <v>14</v>
          </cell>
          <cell r="AT2256" t="str">
            <v>405-6,500</v>
          </cell>
          <cell r="AU2256" t="str">
            <v/>
          </cell>
          <cell r="AV2256"/>
        </row>
        <row r="2257">
          <cell r="Z2257">
            <v>5111900</v>
          </cell>
          <cell r="AA2257" t="str">
            <v>WO Shoe
8-1/4" ? Box</v>
          </cell>
          <cell r="AB2257">
            <v>0</v>
          </cell>
          <cell r="AC2257">
            <v>9</v>
          </cell>
          <cell r="AD2257">
            <v>620</v>
          </cell>
          <cell r="AE2257" t="str">
            <v>8-1/4" ? Box</v>
          </cell>
          <cell r="AF2257"/>
          <cell r="AG2257" t="str">
            <v>CC</v>
          </cell>
          <cell r="AH2257" t="str">
            <v>maintenance</v>
          </cell>
          <cell r="AI2257" t="str">
            <v/>
          </cell>
          <cell r="AJ2257">
            <v>0</v>
          </cell>
          <cell r="AK2257">
            <v>1</v>
          </cell>
          <cell r="AL2257"/>
          <cell r="AM2257"/>
          <cell r="AN2257" t="str">
            <v/>
          </cell>
          <cell r="AO2257" t="str">
            <v>x</v>
          </cell>
          <cell r="AP2257"/>
          <cell r="AQ2257"/>
          <cell r="AR2257"/>
          <cell r="AS2257">
            <v>195</v>
          </cell>
          <cell r="AT2257"/>
          <cell r="AU2257" t="str">
            <v/>
          </cell>
          <cell r="AV2257"/>
        </row>
        <row r="2258">
          <cell r="Z2258">
            <v>7011901</v>
          </cell>
          <cell r="AA2258" t="str">
            <v>Die Collar 8-1/16" OD
4-1/2" IF Box with Oversize guide</v>
          </cell>
          <cell r="AB2258">
            <v>0</v>
          </cell>
          <cell r="AC2258">
            <v>7.5</v>
          </cell>
          <cell r="AD2258">
            <v>770</v>
          </cell>
          <cell r="AE2258" t="str">
            <v>4-1/2" IF Box</v>
          </cell>
          <cell r="AF2258" t="str">
            <v>sellers pin + protecteur guide</v>
          </cell>
          <cell r="AG2258" t="str">
            <v>4,5 to 6</v>
          </cell>
          <cell r="AH2258" t="str">
            <v xml:space="preserve"> en stock </v>
          </cell>
          <cell r="AI2258">
            <v>1</v>
          </cell>
          <cell r="AJ2258">
            <v>0</v>
          </cell>
          <cell r="AK2258">
            <v>0</v>
          </cell>
          <cell r="AL2258"/>
          <cell r="AM2258"/>
          <cell r="AN2258">
            <v>7011901</v>
          </cell>
          <cell r="AO2258"/>
          <cell r="AP2258"/>
          <cell r="AQ2258"/>
          <cell r="AR2258"/>
          <cell r="AS2258">
            <v>11</v>
          </cell>
          <cell r="AT2258" t="str">
            <v>701-</v>
          </cell>
          <cell r="AU2258" t="str">
            <v/>
          </cell>
          <cell r="AV2258"/>
        </row>
        <row r="2259">
          <cell r="Z2259">
            <v>1101902</v>
          </cell>
          <cell r="AA2259" t="str">
            <v>Junk Basket Itco Type 6-1/2" OD Barrel
4-1/2" FH Box up</v>
          </cell>
          <cell r="AB2259">
            <v>0</v>
          </cell>
          <cell r="AC2259">
            <v>6.5</v>
          </cell>
          <cell r="AD2259">
            <v>1010</v>
          </cell>
          <cell r="AE2259" t="str">
            <v>4-1/2" FH Box</v>
          </cell>
          <cell r="AF2259">
            <v>7.125</v>
          </cell>
          <cell r="AG2259"/>
          <cell r="AH2259" t="str">
            <v>en stock</v>
          </cell>
          <cell r="AI2259">
            <v>0</v>
          </cell>
          <cell r="AJ2259">
            <v>0</v>
          </cell>
          <cell r="AK2259">
            <v>1</v>
          </cell>
          <cell r="AL2259"/>
          <cell r="AM2259"/>
          <cell r="AN2259">
            <v>1101902</v>
          </cell>
          <cell r="AO2259"/>
          <cell r="AP2259"/>
          <cell r="AQ2259"/>
          <cell r="AR2259"/>
          <cell r="AS2259">
            <v>6</v>
          </cell>
          <cell r="AT2259" t="str">
            <v>110-</v>
          </cell>
          <cell r="AU2259" t="str">
            <v/>
          </cell>
          <cell r="AV2259"/>
        </row>
        <row r="2260">
          <cell r="Z2260">
            <v>8131903</v>
          </cell>
          <cell r="AA2260" t="str">
            <v>XO
5-1/2" ? Pin LH x 4-1/2" IF Box</v>
          </cell>
          <cell r="AB2260">
            <v>0</v>
          </cell>
          <cell r="AC2260">
            <v>8</v>
          </cell>
          <cell r="AD2260">
            <v>580</v>
          </cell>
          <cell r="AE2260" t="str">
            <v>5-1/2" ? Pin LH</v>
          </cell>
          <cell r="AF2260" t="str">
            <v>4-1/2" IF Box</v>
          </cell>
          <cell r="AG2260"/>
          <cell r="AH2260" t="str">
            <v xml:space="preserve"> en stock </v>
          </cell>
          <cell r="AI2260">
            <v>1</v>
          </cell>
          <cell r="AJ2260">
            <v>0</v>
          </cell>
          <cell r="AK2260">
            <v>0</v>
          </cell>
          <cell r="AL2260"/>
          <cell r="AM2260"/>
          <cell r="AN2260">
            <v>8131903</v>
          </cell>
          <cell r="AO2260"/>
          <cell r="AP2260"/>
          <cell r="AQ2260"/>
          <cell r="AR2260" t="str">
            <v>filetage à gauche !</v>
          </cell>
          <cell r="AS2260">
            <v>190</v>
          </cell>
          <cell r="AT2260"/>
          <cell r="AU2260" t="str">
            <v/>
          </cell>
          <cell r="AV2260"/>
        </row>
        <row r="2261">
          <cell r="Z2261">
            <v>8021904</v>
          </cell>
          <cell r="AA2261" t="str">
            <v>Bit Sub
2-3/8" IF Box x 2-3/8" REG Box BF</v>
          </cell>
          <cell r="AB2261">
            <v>28.775573497124991</v>
          </cell>
          <cell r="AC2261">
            <v>3.625</v>
          </cell>
          <cell r="AD2261">
            <v>600</v>
          </cell>
          <cell r="AE2261" t="str">
            <v>2-3/8" IF Box</v>
          </cell>
          <cell r="AF2261" t="str">
            <v>2-3/8" REG Box BF</v>
          </cell>
          <cell r="AG2261"/>
          <cell r="AH2261" t="str">
            <v>sur chantier</v>
          </cell>
          <cell r="AI2261" t="str">
            <v/>
          </cell>
          <cell r="AJ2261">
            <v>1</v>
          </cell>
          <cell r="AK2261">
            <v>0</v>
          </cell>
          <cell r="AL2261"/>
          <cell r="AM2261"/>
          <cell r="AN2261" t="str">
            <v/>
          </cell>
          <cell r="AO2261"/>
          <cell r="AP2261"/>
          <cell r="AQ2261"/>
          <cell r="AR2261"/>
          <cell r="AS2261">
            <v>9</v>
          </cell>
          <cell r="AT2261"/>
          <cell r="AU2261" t="str">
            <v>FR</v>
          </cell>
          <cell r="AV2261"/>
        </row>
        <row r="2262">
          <cell r="Z2262">
            <v>1061905</v>
          </cell>
          <cell r="AA2262" t="str">
            <v>Impression Block
4-1/2" IF Box</v>
          </cell>
          <cell r="AB2262">
            <v>0</v>
          </cell>
          <cell r="AC2262">
            <v>10.875</v>
          </cell>
          <cell r="AD2262">
            <v>675</v>
          </cell>
          <cell r="AE2262" t="str">
            <v>4-1/2" IF Box</v>
          </cell>
          <cell r="AF2262"/>
          <cell r="AG2262"/>
          <cell r="AH2262" t="str">
            <v xml:space="preserve"> en stock </v>
          </cell>
          <cell r="AI2262">
            <v>1</v>
          </cell>
          <cell r="AJ2262">
            <v>0</v>
          </cell>
          <cell r="AK2262">
            <v>0</v>
          </cell>
          <cell r="AL2262"/>
          <cell r="AM2262"/>
          <cell r="AN2262">
            <v>1061905</v>
          </cell>
          <cell r="AO2262"/>
          <cell r="AP2262"/>
          <cell r="AQ2262"/>
          <cell r="AR2262"/>
          <cell r="AS2262">
            <v>23</v>
          </cell>
          <cell r="AT2262"/>
          <cell r="AU2262" t="str">
            <v/>
          </cell>
          <cell r="AV2262"/>
        </row>
        <row r="2263">
          <cell r="Z2263">
            <v>1061906</v>
          </cell>
          <cell r="AA2263" t="str">
            <v>Impression Block
4-1/2" IF Box LH</v>
          </cell>
          <cell r="AB2263">
            <v>75</v>
          </cell>
          <cell r="AC2263">
            <v>7.875</v>
          </cell>
          <cell r="AD2263">
            <v>445</v>
          </cell>
          <cell r="AE2263" t="str">
            <v>4-1/2" IF Box LH</v>
          </cell>
          <cell r="AF2263"/>
          <cell r="AG2263"/>
          <cell r="AH2263" t="str">
            <v xml:space="preserve"> en stock </v>
          </cell>
          <cell r="AI2263">
            <v>1</v>
          </cell>
          <cell r="AJ2263">
            <v>0</v>
          </cell>
          <cell r="AK2263">
            <v>0</v>
          </cell>
          <cell r="AL2263"/>
          <cell r="AM2263"/>
          <cell r="AN2263">
            <v>1061906</v>
          </cell>
          <cell r="AO2263"/>
          <cell r="AP2263"/>
          <cell r="AQ2263"/>
          <cell r="AR2263"/>
          <cell r="AS2263">
            <v>16</v>
          </cell>
          <cell r="AT2263"/>
          <cell r="AU2263" t="str">
            <v/>
          </cell>
          <cell r="AV2263"/>
        </row>
        <row r="2264">
          <cell r="Z2264">
            <v>1061907</v>
          </cell>
          <cell r="AA2264" t="str">
            <v>Impression Block
4-1/2" REG Pin</v>
          </cell>
          <cell r="AB2264">
            <v>0</v>
          </cell>
          <cell r="AC2264">
            <v>8.5</v>
          </cell>
          <cell r="AD2264">
            <v>740</v>
          </cell>
          <cell r="AE2264" t="str">
            <v>4-1/2" REG Pin</v>
          </cell>
          <cell r="AF2264"/>
          <cell r="AG2264"/>
          <cell r="AH2264" t="str">
            <v xml:space="preserve"> en stock </v>
          </cell>
          <cell r="AI2264">
            <v>1</v>
          </cell>
          <cell r="AJ2264">
            <v>0</v>
          </cell>
          <cell r="AK2264">
            <v>0</v>
          </cell>
          <cell r="AL2264"/>
          <cell r="AM2264"/>
          <cell r="AN2264">
            <v>1061907</v>
          </cell>
          <cell r="AO2264"/>
          <cell r="AP2264"/>
          <cell r="AQ2264"/>
          <cell r="AR2264"/>
          <cell r="AS2264">
            <v>20</v>
          </cell>
          <cell r="AT2264"/>
          <cell r="AU2264" t="str">
            <v/>
          </cell>
          <cell r="AV2264"/>
        </row>
        <row r="2265">
          <cell r="Z2265">
            <v>1061908</v>
          </cell>
          <cell r="AA2265" t="str">
            <v>Impression Block
4-1/2" REG Pin</v>
          </cell>
          <cell r="AB2265">
            <v>75</v>
          </cell>
          <cell r="AC2265">
            <v>7.875</v>
          </cell>
          <cell r="AD2265">
            <v>510</v>
          </cell>
          <cell r="AE2265" t="str">
            <v>4-1/2" REG Pin</v>
          </cell>
          <cell r="AF2265"/>
          <cell r="AG2265"/>
          <cell r="AH2265" t="str">
            <v xml:space="preserve"> en stock </v>
          </cell>
          <cell r="AI2265">
            <v>1</v>
          </cell>
          <cell r="AJ2265">
            <v>0</v>
          </cell>
          <cell r="AK2265">
            <v>0</v>
          </cell>
          <cell r="AL2265"/>
          <cell r="AM2265"/>
          <cell r="AN2265">
            <v>1061908</v>
          </cell>
          <cell r="AO2265"/>
          <cell r="AP2265"/>
          <cell r="AQ2265"/>
          <cell r="AR2265"/>
          <cell r="AS2265">
            <v>17</v>
          </cell>
          <cell r="AT2265"/>
          <cell r="AU2265" t="str">
            <v/>
          </cell>
          <cell r="AV2265"/>
        </row>
        <row r="2266">
          <cell r="Z2266">
            <v>8021909</v>
          </cell>
          <cell r="AA2266" t="str">
            <v>Bit Sub
3-1/2" IF Box x 3-1/2" REG Box BF</v>
          </cell>
          <cell r="AB2266">
            <v>48.144460162499996</v>
          </cell>
          <cell r="AC2266">
            <v>4.75</v>
          </cell>
          <cell r="AD2266">
            <v>600</v>
          </cell>
          <cell r="AE2266" t="str">
            <v>3-1/2" IF Box</v>
          </cell>
          <cell r="AF2266" t="str">
            <v>3-1/2" REG Box BF</v>
          </cell>
          <cell r="AG2266"/>
          <cell r="AH2266" t="str">
            <v xml:space="preserve"> en stock </v>
          </cell>
          <cell r="AI2266">
            <v>1</v>
          </cell>
          <cell r="AJ2266">
            <v>0</v>
          </cell>
          <cell r="AK2266">
            <v>0</v>
          </cell>
          <cell r="AL2266"/>
          <cell r="AM2266"/>
          <cell r="AN2266">
            <v>8021909</v>
          </cell>
          <cell r="AO2266"/>
          <cell r="AP2266"/>
          <cell r="AQ2266"/>
          <cell r="AR2266"/>
          <cell r="AS2266">
            <v>35</v>
          </cell>
          <cell r="AT2266"/>
          <cell r="AU2266" t="str">
            <v>FR</v>
          </cell>
          <cell r="AV2266"/>
        </row>
        <row r="2267">
          <cell r="Z2267">
            <v>7051910</v>
          </cell>
          <cell r="AA2267" t="str">
            <v>Extension 8-3/8" FS Lg 915mm CA 275
8-3/8" FS Sellers Pin x Box</v>
          </cell>
          <cell r="AB2267">
            <v>85.774679445761748</v>
          </cell>
          <cell r="AC2267" t="str">
            <v>8-3/8" FS</v>
          </cell>
          <cell r="AD2267">
            <v>915</v>
          </cell>
          <cell r="AE2267" t="str">
            <v>8-3/8" FS Sellers Box</v>
          </cell>
          <cell r="AF2267" t="str">
            <v>8-3/8" FS Sellers Pin</v>
          </cell>
          <cell r="AG2267">
            <v>275</v>
          </cell>
          <cell r="AH2267" t="str">
            <v xml:space="preserve"> en stock </v>
          </cell>
          <cell r="AI2267">
            <v>1</v>
          </cell>
          <cell r="AJ2267">
            <v>0</v>
          </cell>
          <cell r="AK2267">
            <v>0</v>
          </cell>
          <cell r="AL2267"/>
          <cell r="AM2267"/>
          <cell r="AN2267" t="str">
            <v/>
          </cell>
          <cell r="AO2267"/>
          <cell r="AP2267"/>
          <cell r="AQ2267"/>
          <cell r="AR2267"/>
          <cell r="AS2267">
            <v>50</v>
          </cell>
          <cell r="AT2267" t="str">
            <v>705-275</v>
          </cell>
          <cell r="AU2267" t="str">
            <v>FR</v>
          </cell>
          <cell r="AV2267"/>
        </row>
        <row r="2268">
          <cell r="Z2268" t="str">
            <v/>
          </cell>
          <cell r="AA2268"/>
          <cell r="AB2268"/>
          <cell r="AC2268"/>
          <cell r="AD2268"/>
          <cell r="AE2268"/>
          <cell r="AF2268"/>
          <cell r="AG2268"/>
          <cell r="AH2268" t="str">
            <v>en stock</v>
          </cell>
          <cell r="AI2268"/>
          <cell r="AJ2268"/>
          <cell r="AK2268"/>
          <cell r="AL2268"/>
          <cell r="AM2268"/>
          <cell r="AN2268" t="str">
            <v/>
          </cell>
          <cell r="AO2268"/>
          <cell r="AP2268"/>
          <cell r="AQ2268"/>
          <cell r="AR2268"/>
          <cell r="AS2268"/>
          <cell r="AT2268"/>
          <cell r="AU2268" t="str">
            <v/>
          </cell>
          <cell r="AV2268"/>
        </row>
        <row r="2269">
          <cell r="Z2269" t="str">
            <v/>
          </cell>
          <cell r="AA2269"/>
          <cell r="AB2269"/>
          <cell r="AC2269"/>
          <cell r="AD2269"/>
          <cell r="AE2269"/>
          <cell r="AF2269"/>
          <cell r="AG2269"/>
          <cell r="AH2269" t="str">
            <v>en stock</v>
          </cell>
          <cell r="AI2269"/>
          <cell r="AJ2269"/>
          <cell r="AK2269"/>
          <cell r="AL2269"/>
          <cell r="AM2269"/>
          <cell r="AN2269" t="str">
            <v/>
          </cell>
          <cell r="AO2269"/>
          <cell r="AP2269"/>
          <cell r="AQ2269"/>
          <cell r="AR2269"/>
          <cell r="AS2269"/>
          <cell r="AT2269"/>
          <cell r="AU2269" t="str">
            <v/>
          </cell>
          <cell r="AV2269"/>
        </row>
        <row r="2270">
          <cell r="Z2270" t="str">
            <v/>
          </cell>
          <cell r="AA2270"/>
          <cell r="AB2270"/>
          <cell r="AC2270"/>
          <cell r="AD2270"/>
          <cell r="AE2270"/>
          <cell r="AF2270"/>
          <cell r="AG2270"/>
          <cell r="AH2270" t="str">
            <v>en stock</v>
          </cell>
          <cell r="AI2270"/>
          <cell r="AJ2270"/>
          <cell r="AK2270"/>
          <cell r="AL2270"/>
          <cell r="AM2270"/>
          <cell r="AN2270" t="str">
            <v/>
          </cell>
          <cell r="AO2270"/>
          <cell r="AP2270"/>
          <cell r="AQ2270"/>
          <cell r="AR2270"/>
          <cell r="AS2270"/>
          <cell r="AT2270"/>
          <cell r="AU2270" t="str">
            <v/>
          </cell>
          <cell r="AV2270"/>
        </row>
        <row r="2271">
          <cell r="Z2271" t="str">
            <v/>
          </cell>
          <cell r="AA2271"/>
          <cell r="AB2271"/>
          <cell r="AC2271"/>
          <cell r="AD2271"/>
          <cell r="AE2271"/>
          <cell r="AF2271"/>
          <cell r="AG2271"/>
          <cell r="AH2271" t="str">
            <v>en stock</v>
          </cell>
          <cell r="AI2271"/>
          <cell r="AJ2271"/>
          <cell r="AK2271"/>
          <cell r="AL2271"/>
          <cell r="AM2271"/>
          <cell r="AN2271" t="str">
            <v/>
          </cell>
          <cell r="AO2271"/>
          <cell r="AP2271"/>
          <cell r="AQ2271"/>
          <cell r="AR2271"/>
          <cell r="AS2271"/>
          <cell r="AT2271"/>
          <cell r="AU2271" t="str">
            <v/>
          </cell>
          <cell r="AV2271"/>
        </row>
        <row r="2272">
          <cell r="Z2272" t="str">
            <v/>
          </cell>
          <cell r="AA2272"/>
          <cell r="AB2272"/>
          <cell r="AC2272"/>
          <cell r="AD2272"/>
          <cell r="AE2272"/>
          <cell r="AF2272"/>
          <cell r="AG2272"/>
          <cell r="AH2272" t="str">
            <v>en stock</v>
          </cell>
          <cell r="AI2272"/>
          <cell r="AJ2272"/>
          <cell r="AK2272"/>
          <cell r="AL2272"/>
          <cell r="AM2272"/>
          <cell r="AN2272" t="str">
            <v/>
          </cell>
          <cell r="AO2272"/>
          <cell r="AP2272"/>
          <cell r="AQ2272"/>
          <cell r="AR2272"/>
          <cell r="AS2272"/>
          <cell r="AT2272"/>
          <cell r="AU2272" t="str">
            <v/>
          </cell>
          <cell r="AV2272"/>
        </row>
        <row r="2273">
          <cell r="Z2273" t="str">
            <v/>
          </cell>
          <cell r="AA2273"/>
          <cell r="AB2273"/>
          <cell r="AC2273"/>
          <cell r="AD2273"/>
          <cell r="AE2273"/>
          <cell r="AF2273"/>
          <cell r="AG2273"/>
          <cell r="AH2273" t="str">
            <v>en stock</v>
          </cell>
          <cell r="AI2273"/>
          <cell r="AJ2273"/>
          <cell r="AK2273"/>
          <cell r="AL2273"/>
          <cell r="AM2273"/>
          <cell r="AN2273" t="str">
            <v/>
          </cell>
          <cell r="AO2273"/>
          <cell r="AP2273"/>
          <cell r="AQ2273"/>
          <cell r="AR2273"/>
          <cell r="AS2273"/>
          <cell r="AT2273"/>
          <cell r="AU2273" t="str">
            <v/>
          </cell>
          <cell r="AV2273"/>
        </row>
        <row r="2274">
          <cell r="Z2274" t="str">
            <v/>
          </cell>
          <cell r="AA2274"/>
          <cell r="AB2274"/>
          <cell r="AC2274"/>
          <cell r="AD2274"/>
          <cell r="AE2274"/>
          <cell r="AF2274"/>
          <cell r="AG2274"/>
          <cell r="AH2274" t="str">
            <v>en stock</v>
          </cell>
          <cell r="AI2274"/>
          <cell r="AJ2274"/>
          <cell r="AK2274"/>
          <cell r="AL2274"/>
          <cell r="AM2274"/>
          <cell r="AN2274" t="str">
            <v/>
          </cell>
          <cell r="AO2274"/>
          <cell r="AP2274"/>
          <cell r="AQ2274"/>
          <cell r="AR2274"/>
          <cell r="AS2274"/>
          <cell r="AT2274"/>
          <cell r="AU2274" t="str">
            <v/>
          </cell>
          <cell r="AV2274"/>
        </row>
        <row r="2275">
          <cell r="Z2275" t="str">
            <v/>
          </cell>
          <cell r="AA2275"/>
          <cell r="AB2275"/>
          <cell r="AC2275"/>
          <cell r="AD2275"/>
          <cell r="AE2275"/>
          <cell r="AF2275"/>
          <cell r="AG2275"/>
          <cell r="AH2275" t="str">
            <v>en stock</v>
          </cell>
          <cell r="AI2275"/>
          <cell r="AJ2275"/>
          <cell r="AK2275"/>
          <cell r="AL2275"/>
          <cell r="AM2275"/>
          <cell r="AN2275" t="str">
            <v/>
          </cell>
          <cell r="AO2275"/>
          <cell r="AP2275"/>
          <cell r="AQ2275"/>
          <cell r="AR2275"/>
          <cell r="AS2275"/>
          <cell r="AT2275"/>
          <cell r="AU2275" t="str">
            <v/>
          </cell>
          <cell r="AV2275"/>
        </row>
        <row r="2276">
          <cell r="Z2276" t="str">
            <v/>
          </cell>
          <cell r="AA2276"/>
          <cell r="AB2276"/>
          <cell r="AC2276"/>
          <cell r="AD2276"/>
          <cell r="AE2276"/>
          <cell r="AF2276"/>
          <cell r="AG2276"/>
          <cell r="AH2276" t="str">
            <v>en stock</v>
          </cell>
          <cell r="AI2276"/>
          <cell r="AJ2276"/>
          <cell r="AK2276"/>
          <cell r="AL2276"/>
          <cell r="AM2276"/>
          <cell r="AN2276" t="str">
            <v/>
          </cell>
          <cell r="AO2276"/>
          <cell r="AP2276"/>
          <cell r="AQ2276"/>
          <cell r="AR2276"/>
          <cell r="AS2276"/>
          <cell r="AT2276"/>
          <cell r="AU2276" t="str">
            <v/>
          </cell>
          <cell r="AV2276"/>
        </row>
        <row r="2277">
          <cell r="Z2277" t="str">
            <v/>
          </cell>
          <cell r="AA2277"/>
          <cell r="AB2277"/>
          <cell r="AC2277"/>
          <cell r="AD2277"/>
          <cell r="AE2277"/>
          <cell r="AF2277"/>
          <cell r="AG2277"/>
          <cell r="AH2277" t="str">
            <v>en stock</v>
          </cell>
          <cell r="AI2277"/>
          <cell r="AJ2277"/>
          <cell r="AK2277"/>
          <cell r="AL2277"/>
          <cell r="AM2277"/>
          <cell r="AN2277" t="str">
            <v/>
          </cell>
          <cell r="AO2277"/>
          <cell r="AP2277"/>
          <cell r="AQ2277"/>
          <cell r="AR2277"/>
          <cell r="AS2277"/>
          <cell r="AT2277"/>
          <cell r="AU2277" t="str">
            <v/>
          </cell>
          <cell r="AV2277"/>
        </row>
        <row r="2278">
          <cell r="Z2278">
            <v>5111921</v>
          </cell>
          <cell r="AA2278" t="str">
            <v>WO Shoe
4-1/2" FJWP Box</v>
          </cell>
          <cell r="AB2278">
            <v>13.515014098950001</v>
          </cell>
          <cell r="AC2278">
            <v>0</v>
          </cell>
          <cell r="AD2278">
            <v>805</v>
          </cell>
          <cell r="AE2278" t="str">
            <v>4-1/2" FJWP Box</v>
          </cell>
          <cell r="AF2278"/>
          <cell r="AG2278" t="str">
            <v>BLANK</v>
          </cell>
          <cell r="AH2278" t="str">
            <v xml:space="preserve"> en stock </v>
          </cell>
          <cell r="AI2278" t="str">
            <v>blank</v>
          </cell>
          <cell r="AJ2278">
            <v>0</v>
          </cell>
          <cell r="AK2278">
            <v>0</v>
          </cell>
          <cell r="AL2278"/>
          <cell r="AM2278"/>
          <cell r="AN2278" t="str">
            <v/>
          </cell>
          <cell r="AO2278"/>
          <cell r="AP2278"/>
          <cell r="AQ2278"/>
          <cell r="AR2278"/>
          <cell r="AS2278">
            <v>79</v>
          </cell>
          <cell r="AT2278"/>
          <cell r="AU2278" t="str">
            <v/>
          </cell>
          <cell r="AV2278"/>
        </row>
        <row r="2279">
          <cell r="Z2279">
            <v>5111922</v>
          </cell>
          <cell r="AA2279" t="str">
            <v>WO Shoe
4-1/2" FJWP Box</v>
          </cell>
          <cell r="AB2279">
            <v>13.515014098950001</v>
          </cell>
          <cell r="AC2279">
            <v>0</v>
          </cell>
          <cell r="AD2279">
            <v>805</v>
          </cell>
          <cell r="AE2279" t="str">
            <v>4-1/2" FJWP Box</v>
          </cell>
          <cell r="AF2279"/>
          <cell r="AG2279" t="str">
            <v>BLANK</v>
          </cell>
          <cell r="AH2279" t="str">
            <v xml:space="preserve"> en stock </v>
          </cell>
          <cell r="AI2279" t="str">
            <v>blank</v>
          </cell>
          <cell r="AJ2279">
            <v>0</v>
          </cell>
          <cell r="AK2279">
            <v>0</v>
          </cell>
          <cell r="AL2279"/>
          <cell r="AM2279"/>
          <cell r="AN2279" t="str">
            <v/>
          </cell>
          <cell r="AO2279"/>
          <cell r="AP2279"/>
          <cell r="AQ2279"/>
          <cell r="AR2279"/>
          <cell r="AS2279">
            <v>80</v>
          </cell>
          <cell r="AT2279"/>
          <cell r="AU2279" t="str">
            <v/>
          </cell>
          <cell r="AV2279"/>
        </row>
        <row r="2280">
          <cell r="Z2280" t="str">
            <v/>
          </cell>
          <cell r="AA2280"/>
          <cell r="AB2280"/>
          <cell r="AC2280"/>
          <cell r="AD2280"/>
          <cell r="AE2280"/>
          <cell r="AF2280"/>
          <cell r="AG2280"/>
          <cell r="AH2280" t="str">
            <v>en stock</v>
          </cell>
          <cell r="AI2280"/>
          <cell r="AJ2280"/>
          <cell r="AK2280"/>
          <cell r="AL2280"/>
          <cell r="AM2280"/>
          <cell r="AN2280" t="str">
            <v/>
          </cell>
          <cell r="AO2280"/>
          <cell r="AP2280"/>
          <cell r="AQ2280"/>
          <cell r="AR2280"/>
          <cell r="AS2280"/>
          <cell r="AT2280"/>
          <cell r="AU2280" t="str">
            <v/>
          </cell>
          <cell r="AV2280"/>
        </row>
        <row r="2281">
          <cell r="Z2281">
            <v>5121924</v>
          </cell>
          <cell r="AA2281" t="str">
            <v xml:space="preserve">WO Top Sub 
2-3/8" IF Box x 3-3/4" FJWP Pin x 1-1/4" REG Box in </v>
          </cell>
          <cell r="AB2281">
            <v>0</v>
          </cell>
          <cell r="AC2281">
            <v>3.75</v>
          </cell>
          <cell r="AD2281">
            <v>652</v>
          </cell>
          <cell r="AE2281" t="str">
            <v>2-3/8" IF Box</v>
          </cell>
          <cell r="AF2281" t="str">
            <v>3-3/4" FJWP Pin</v>
          </cell>
          <cell r="AG2281" t="str">
            <v>1-1/4" REG Box</v>
          </cell>
          <cell r="AH2281" t="str">
            <v xml:space="preserve"> en stock </v>
          </cell>
          <cell r="AI2281">
            <v>1</v>
          </cell>
          <cell r="AJ2281">
            <v>0</v>
          </cell>
          <cell r="AK2281">
            <v>0</v>
          </cell>
          <cell r="AL2281"/>
          <cell r="AM2281"/>
          <cell r="AN2281">
            <v>5121924</v>
          </cell>
          <cell r="AO2281"/>
          <cell r="AP2281"/>
          <cell r="AQ2281"/>
          <cell r="AR2281"/>
          <cell r="AS2281">
            <v>8</v>
          </cell>
          <cell r="AT2281"/>
          <cell r="AU2281" t="str">
            <v>FR</v>
          </cell>
          <cell r="AV2281"/>
        </row>
        <row r="2282">
          <cell r="Z2282">
            <v>8131925</v>
          </cell>
          <cell r="AA2282" t="str">
            <v>XO
7-5/8" REG Pin x 6-5/8" REG Pin</v>
          </cell>
          <cell r="AB2282">
            <v>0</v>
          </cell>
          <cell r="AC2282">
            <v>9.5</v>
          </cell>
          <cell r="AD2282">
            <v>825</v>
          </cell>
          <cell r="AE2282" t="str">
            <v>7-5/8" REG Pin</v>
          </cell>
          <cell r="AF2282" t="str">
            <v>6-5/8" REG Pin</v>
          </cell>
          <cell r="AG2282"/>
          <cell r="AH2282" t="str">
            <v xml:space="preserve"> en stock </v>
          </cell>
          <cell r="AI2282">
            <v>1</v>
          </cell>
          <cell r="AJ2282">
            <v>0</v>
          </cell>
          <cell r="AK2282">
            <v>0</v>
          </cell>
          <cell r="AL2282"/>
          <cell r="AM2282"/>
          <cell r="AN2282">
            <v>8131925</v>
          </cell>
          <cell r="AO2282"/>
          <cell r="AP2282"/>
          <cell r="AQ2282"/>
          <cell r="AR2282"/>
          <cell r="AS2282">
            <v>230</v>
          </cell>
          <cell r="AT2282"/>
          <cell r="AU2282" t="str">
            <v>FR</v>
          </cell>
          <cell r="AV2282"/>
        </row>
        <row r="2283">
          <cell r="Z2283">
            <v>8131926</v>
          </cell>
          <cell r="AA2283" t="str">
            <v>XO
6-5/8" REG Pin x 4-1/2" IF Box</v>
          </cell>
          <cell r="AB2283">
            <v>162</v>
          </cell>
          <cell r="AC2283">
            <v>8</v>
          </cell>
          <cell r="AD2283">
            <v>800</v>
          </cell>
          <cell r="AE2283" t="str">
            <v>6-5/8" REG Pin</v>
          </cell>
          <cell r="AF2283" t="str">
            <v>4-1/2" IF Box</v>
          </cell>
          <cell r="AG2283"/>
          <cell r="AH2283" t="str">
            <v>maintenance</v>
          </cell>
          <cell r="AI2283" t="str">
            <v/>
          </cell>
          <cell r="AJ2283">
            <v>0</v>
          </cell>
          <cell r="AK2283">
            <v>1</v>
          </cell>
          <cell r="AL2283"/>
          <cell r="AM2283"/>
          <cell r="AN2283">
            <v>8131926</v>
          </cell>
          <cell r="AO2283"/>
          <cell r="AP2283"/>
          <cell r="AQ2283"/>
          <cell r="AR2283"/>
          <cell r="AS2283">
            <v>210</v>
          </cell>
          <cell r="AT2283"/>
          <cell r="AU2283" t="str">
            <v>FR</v>
          </cell>
          <cell r="AV2283"/>
        </row>
        <row r="2284">
          <cell r="Z2284">
            <v>5081927</v>
          </cell>
          <cell r="AA2284" t="str">
            <v>Taper Mill 
6-5/8" REG Pin</v>
          </cell>
          <cell r="AB2284">
            <v>0</v>
          </cell>
          <cell r="AC2284">
            <v>16</v>
          </cell>
          <cell r="AD2284">
            <v>0</v>
          </cell>
          <cell r="AE2284" t="str">
            <v>6-5/8" REG Pin</v>
          </cell>
          <cell r="AF2284"/>
          <cell r="AG2284"/>
          <cell r="AH2284" t="str">
            <v>maintenance</v>
          </cell>
          <cell r="AI2284" t="str">
            <v/>
          </cell>
          <cell r="AJ2284">
            <v>0</v>
          </cell>
          <cell r="AK2284">
            <v>1</v>
          </cell>
          <cell r="AL2284"/>
          <cell r="AM2284"/>
          <cell r="AN2284">
            <v>5081927</v>
          </cell>
          <cell r="AO2284"/>
          <cell r="AP2284"/>
          <cell r="AQ2284"/>
          <cell r="AR2284"/>
          <cell r="AS2284">
            <v>48</v>
          </cell>
          <cell r="AT2284" t="str">
            <v>508-</v>
          </cell>
          <cell r="AU2284" t="str">
            <v>FR</v>
          </cell>
          <cell r="AV2284"/>
        </row>
        <row r="2285">
          <cell r="Z2285">
            <v>5091928</v>
          </cell>
          <cell r="AA2285" t="str">
            <v>WO Extension Lg 1430 mm
4-1/2" FJWP Pin x Box</v>
          </cell>
          <cell r="AB2285">
            <v>114.39123734609998</v>
          </cell>
          <cell r="AC2285">
            <v>4.5</v>
          </cell>
          <cell r="AD2285">
            <v>1430</v>
          </cell>
          <cell r="AE2285" t="str">
            <v>4-1/2" FJWP Box</v>
          </cell>
          <cell r="AF2285" t="str">
            <v>4-1/2" FJWP Pin</v>
          </cell>
          <cell r="AG2285"/>
          <cell r="AH2285" t="str">
            <v xml:space="preserve"> en stock </v>
          </cell>
          <cell r="AI2285">
            <v>1</v>
          </cell>
          <cell r="AJ2285">
            <v>0</v>
          </cell>
          <cell r="AK2285">
            <v>0</v>
          </cell>
          <cell r="AL2285"/>
          <cell r="AM2285"/>
          <cell r="AN2285" t="str">
            <v/>
          </cell>
          <cell r="AO2285"/>
          <cell r="AP2285"/>
          <cell r="AQ2285"/>
          <cell r="AR2285"/>
          <cell r="AS2285">
            <v>28</v>
          </cell>
          <cell r="AT2285" t="str">
            <v>509-4,500FJWP</v>
          </cell>
          <cell r="AU2285" t="str">
            <v>FR</v>
          </cell>
          <cell r="AV2285"/>
        </row>
        <row r="2286">
          <cell r="Z2286">
            <v>5091929</v>
          </cell>
          <cell r="AA2286" t="str">
            <v>WO Extension Lg 1920 mm
4-1/2" FJWP Pin x Box</v>
          </cell>
          <cell r="AB2286">
            <v>153.58823475839998</v>
          </cell>
          <cell r="AC2286">
            <v>4.5</v>
          </cell>
          <cell r="AD2286">
            <v>1920</v>
          </cell>
          <cell r="AE2286" t="str">
            <v>4-1/2" FJWP Box</v>
          </cell>
          <cell r="AF2286" t="str">
            <v>4-1/2" FJWP Pin</v>
          </cell>
          <cell r="AG2286"/>
          <cell r="AH2286" t="str">
            <v xml:space="preserve"> en stock </v>
          </cell>
          <cell r="AI2286">
            <v>1</v>
          </cell>
          <cell r="AJ2286">
            <v>0</v>
          </cell>
          <cell r="AK2286">
            <v>0</v>
          </cell>
          <cell r="AL2286"/>
          <cell r="AM2286"/>
          <cell r="AN2286" t="str">
            <v/>
          </cell>
          <cell r="AO2286"/>
          <cell r="AP2286"/>
          <cell r="AQ2286"/>
          <cell r="AR2286"/>
          <cell r="AS2286">
            <v>29</v>
          </cell>
          <cell r="AT2286" t="str">
            <v>509-4,500FJWP</v>
          </cell>
          <cell r="AU2286" t="str">
            <v>FR</v>
          </cell>
          <cell r="AV2286"/>
        </row>
        <row r="2287">
          <cell r="Z2287">
            <v>5091930</v>
          </cell>
          <cell r="AA2287" t="str">
            <v>WO Extension Lg 1920 mm
4-1/2" FJWP Pin x Box</v>
          </cell>
          <cell r="AB2287">
            <v>153.58823475839998</v>
          </cell>
          <cell r="AC2287">
            <v>4.5</v>
          </cell>
          <cell r="AD2287">
            <v>1920</v>
          </cell>
          <cell r="AE2287" t="str">
            <v>4-1/2" FJWP Box</v>
          </cell>
          <cell r="AF2287" t="str">
            <v>4-1/2" FJWP Pin</v>
          </cell>
          <cell r="AG2287"/>
          <cell r="AH2287" t="str">
            <v xml:space="preserve"> en stock </v>
          </cell>
          <cell r="AI2287">
            <v>1</v>
          </cell>
          <cell r="AJ2287">
            <v>0</v>
          </cell>
          <cell r="AK2287">
            <v>0</v>
          </cell>
          <cell r="AL2287"/>
          <cell r="AM2287"/>
          <cell r="AN2287" t="str">
            <v/>
          </cell>
          <cell r="AO2287"/>
          <cell r="AP2287"/>
          <cell r="AQ2287"/>
          <cell r="AR2287"/>
          <cell r="AS2287">
            <v>30</v>
          </cell>
          <cell r="AT2287" t="str">
            <v>509-4,500FJWP</v>
          </cell>
          <cell r="AU2287" t="str">
            <v>FR</v>
          </cell>
          <cell r="AV2287"/>
        </row>
        <row r="2288">
          <cell r="Z2288">
            <v>5091931</v>
          </cell>
          <cell r="AA2288" t="str">
            <v>WO Extension Lg 2910 mm
4-1/2" FJWP Pin x Box</v>
          </cell>
          <cell r="AB2288">
            <v>232.78216830569997</v>
          </cell>
          <cell r="AC2288">
            <v>4.5</v>
          </cell>
          <cell r="AD2288">
            <v>2910</v>
          </cell>
          <cell r="AE2288" t="str">
            <v>4-1/2" FJWP Box</v>
          </cell>
          <cell r="AF2288" t="str">
            <v>4-1/2" FJWP Pin</v>
          </cell>
          <cell r="AG2288"/>
          <cell r="AH2288" t="str">
            <v xml:space="preserve"> en stock </v>
          </cell>
          <cell r="AI2288">
            <v>1</v>
          </cell>
          <cell r="AJ2288">
            <v>0</v>
          </cell>
          <cell r="AK2288">
            <v>0</v>
          </cell>
          <cell r="AL2288"/>
          <cell r="AM2288"/>
          <cell r="AN2288" t="str">
            <v/>
          </cell>
          <cell r="AO2288"/>
          <cell r="AP2288"/>
          <cell r="AQ2288"/>
          <cell r="AR2288"/>
          <cell r="AS2288">
            <v>35</v>
          </cell>
          <cell r="AT2288" t="str">
            <v>509-4,500FJWP</v>
          </cell>
          <cell r="AU2288" t="str">
            <v>FR</v>
          </cell>
          <cell r="AV2288"/>
        </row>
        <row r="2289">
          <cell r="Z2289">
            <v>5091932</v>
          </cell>
          <cell r="AA2289" t="str">
            <v>WO Extension Lg 2399 mm
4-1/2" FJWP Pin x Box</v>
          </cell>
          <cell r="AB2289">
            <v>191.90529957573</v>
          </cell>
          <cell r="AC2289">
            <v>4.5</v>
          </cell>
          <cell r="AD2289">
            <v>2399</v>
          </cell>
          <cell r="AE2289" t="str">
            <v>4-1/2" FJWP Box</v>
          </cell>
          <cell r="AF2289" t="str">
            <v>4-1/2" FJWP Pin</v>
          </cell>
          <cell r="AG2289"/>
          <cell r="AH2289" t="str">
            <v xml:space="preserve"> en stock </v>
          </cell>
          <cell r="AI2289">
            <v>1</v>
          </cell>
          <cell r="AJ2289">
            <v>0</v>
          </cell>
          <cell r="AK2289">
            <v>0</v>
          </cell>
          <cell r="AL2289"/>
          <cell r="AM2289"/>
          <cell r="AN2289" t="str">
            <v/>
          </cell>
          <cell r="AO2289"/>
          <cell r="AP2289"/>
          <cell r="AQ2289"/>
          <cell r="AR2289"/>
          <cell r="AS2289">
            <v>36</v>
          </cell>
          <cell r="AT2289" t="str">
            <v>509-4,500FJWP</v>
          </cell>
          <cell r="AU2289" t="str">
            <v>FR</v>
          </cell>
          <cell r="AV2289"/>
        </row>
        <row r="2290">
          <cell r="Z2290">
            <v>5071933</v>
          </cell>
          <cell r="AA2290" t="str">
            <v>Super Junk Mill 
6-5/8" REG Pin</v>
          </cell>
          <cell r="AB2290">
            <v>0</v>
          </cell>
          <cell r="AC2290">
            <v>12.25</v>
          </cell>
          <cell r="AD2290">
            <v>470</v>
          </cell>
          <cell r="AE2290" t="str">
            <v>6-5/8" REG Pin</v>
          </cell>
          <cell r="AF2290"/>
          <cell r="AG2290" t="str">
            <v>C</v>
          </cell>
          <cell r="AH2290" t="str">
            <v>maintenance</v>
          </cell>
          <cell r="AI2290" t="str">
            <v/>
          </cell>
          <cell r="AJ2290">
            <v>0</v>
          </cell>
          <cell r="AK2290">
            <v>1</v>
          </cell>
          <cell r="AL2290"/>
          <cell r="AM2290"/>
          <cell r="AN2290">
            <v>5071933</v>
          </cell>
          <cell r="AO2290"/>
          <cell r="AP2290"/>
          <cell r="AQ2290"/>
          <cell r="AR2290"/>
          <cell r="AS2290">
            <v>81</v>
          </cell>
          <cell r="AT2290" t="str">
            <v>507-</v>
          </cell>
          <cell r="AU2290" t="str">
            <v/>
          </cell>
          <cell r="AV2290"/>
        </row>
        <row r="2291">
          <cell r="Z2291">
            <v>5071934</v>
          </cell>
          <cell r="AA2291" t="str">
            <v>Super Junk Mill 
6-5/8" REG Pin</v>
          </cell>
          <cell r="AB2291">
            <v>0</v>
          </cell>
          <cell r="AC2291">
            <v>12</v>
          </cell>
          <cell r="AD2291">
            <v>640</v>
          </cell>
          <cell r="AE2291" t="str">
            <v>6-5/8" REG Pin</v>
          </cell>
          <cell r="AF2291"/>
          <cell r="AG2291" t="str">
            <v>C</v>
          </cell>
          <cell r="AH2291" t="str">
            <v xml:space="preserve"> en stock </v>
          </cell>
          <cell r="AI2291">
            <v>1</v>
          </cell>
          <cell r="AJ2291">
            <v>0</v>
          </cell>
          <cell r="AK2291">
            <v>0</v>
          </cell>
          <cell r="AL2291"/>
          <cell r="AM2291"/>
          <cell r="AN2291">
            <v>5071934</v>
          </cell>
          <cell r="AO2291"/>
          <cell r="AP2291"/>
          <cell r="AQ2291"/>
          <cell r="AR2291"/>
          <cell r="AS2291">
            <v>82</v>
          </cell>
          <cell r="AT2291" t="str">
            <v>507-</v>
          </cell>
          <cell r="AU2291" t="str">
            <v/>
          </cell>
          <cell r="AV2291"/>
        </row>
        <row r="2292">
          <cell r="Z2292">
            <v>5041935</v>
          </cell>
          <cell r="AA2292" t="str">
            <v>Viper Pilot Mill
7-5/8" REG Pin x 6-5/8" REG Box</v>
          </cell>
          <cell r="AB2292">
            <v>0</v>
          </cell>
          <cell r="AC2292">
            <v>20</v>
          </cell>
          <cell r="AD2292">
            <v>950</v>
          </cell>
          <cell r="AE2292" t="str">
            <v>7-5/8" REG Pin</v>
          </cell>
          <cell r="AF2292" t="str">
            <v>6-5/8" REG Box</v>
          </cell>
          <cell r="AG2292" t="str">
            <v>Insert</v>
          </cell>
          <cell r="AH2292" t="str">
            <v>maintenance</v>
          </cell>
          <cell r="AI2292" t="str">
            <v/>
          </cell>
          <cell r="AJ2292">
            <v>0</v>
          </cell>
          <cell r="AK2292">
            <v>1</v>
          </cell>
          <cell r="AL2292"/>
          <cell r="AM2292"/>
          <cell r="AN2292"/>
          <cell r="AO2292"/>
          <cell r="AP2292"/>
          <cell r="AQ2292"/>
          <cell r="AR2292"/>
          <cell r="AS2292">
            <v>36</v>
          </cell>
          <cell r="AT2292"/>
          <cell r="AU2292" t="str">
            <v>FR</v>
          </cell>
          <cell r="AV2292"/>
        </row>
        <row r="2293">
          <cell r="Z2293">
            <v>8081936</v>
          </cell>
          <cell r="AA2293" t="str">
            <v xml:space="preserve">Flex Collar 4-3/4" OD
3-1/2" IF Pin x Box
Set on : </v>
          </cell>
          <cell r="AB2293">
            <v>27.739310284877345</v>
          </cell>
          <cell r="AC2293">
            <v>4.75</v>
          </cell>
          <cell r="AD2293">
            <v>395</v>
          </cell>
          <cell r="AE2293" t="str">
            <v>3-1/2" IF Box</v>
          </cell>
          <cell r="AF2293" t="str">
            <v>3-1/2" IF Pin</v>
          </cell>
          <cell r="AG2293" t="str">
            <v>DJ</v>
          </cell>
          <cell r="AH2293" t="str">
            <v xml:space="preserve"> en stock </v>
          </cell>
          <cell r="AI2293">
            <v>1</v>
          </cell>
          <cell r="AJ2293">
            <v>0</v>
          </cell>
          <cell r="AK2293">
            <v>0</v>
          </cell>
          <cell r="AL2293"/>
          <cell r="AM2293"/>
          <cell r="AN2293" t="str">
            <v/>
          </cell>
          <cell r="AO2293"/>
          <cell r="AP2293"/>
          <cell r="AQ2293"/>
          <cell r="AR2293"/>
          <cell r="AS2293">
            <v>39</v>
          </cell>
          <cell r="AT2293"/>
          <cell r="AU2293" t="str">
            <v>FR</v>
          </cell>
          <cell r="AV2293"/>
        </row>
        <row r="2294">
          <cell r="Z2294">
            <v>7061937</v>
          </cell>
          <cell r="AA2294" t="str">
            <v>Oversize Guide 8 OD
5-3/4" FS Sellers Pin</v>
          </cell>
          <cell r="AB2294">
            <v>0</v>
          </cell>
          <cell r="AC2294">
            <v>8</v>
          </cell>
          <cell r="AD2294">
            <v>220</v>
          </cell>
          <cell r="AE2294" t="str">
            <v>5-3/4" FS Sellers Pin</v>
          </cell>
          <cell r="AF2294"/>
          <cell r="AG2294"/>
          <cell r="AH2294" t="str">
            <v xml:space="preserve"> en stock </v>
          </cell>
          <cell r="AI2294">
            <v>1</v>
          </cell>
          <cell r="AJ2294">
            <v>0</v>
          </cell>
          <cell r="AK2294">
            <v>0</v>
          </cell>
          <cell r="AL2294"/>
          <cell r="AM2294"/>
          <cell r="AN2294" t="str">
            <v/>
          </cell>
          <cell r="AO2294"/>
          <cell r="AP2294"/>
          <cell r="AQ2294"/>
          <cell r="AR2294"/>
          <cell r="AS2294">
            <v>6</v>
          </cell>
          <cell r="AT2294"/>
          <cell r="AU2294" t="str">
            <v>FR</v>
          </cell>
          <cell r="AV2294"/>
        </row>
        <row r="2295">
          <cell r="Z2295">
            <v>8081938</v>
          </cell>
          <cell r="AA2295" t="str">
            <v xml:space="preserve">Saver Sub 3-1/2" OD for NMDC
2-7/8" Pin x Box
Set on : </v>
          </cell>
          <cell r="AB2295">
            <v>0</v>
          </cell>
          <cell r="AC2295">
            <v>3.5</v>
          </cell>
          <cell r="AD2295">
            <v>350</v>
          </cell>
          <cell r="AE2295" t="str">
            <v>2-7/8" PH Box</v>
          </cell>
          <cell r="AF2295" t="str">
            <v>2''7/8 PH Pin</v>
          </cell>
          <cell r="AG2295" t="str">
            <v>NMDC</v>
          </cell>
          <cell r="AH2295" t="str">
            <v xml:space="preserve"> en stock </v>
          </cell>
          <cell r="AI2295">
            <v>1</v>
          </cell>
          <cell r="AJ2295">
            <v>0</v>
          </cell>
          <cell r="AK2295">
            <v>0</v>
          </cell>
          <cell r="AL2295"/>
          <cell r="AM2295"/>
          <cell r="AN2295">
            <v>8081938</v>
          </cell>
          <cell r="AO2295"/>
          <cell r="AP2295"/>
          <cell r="AQ2295"/>
          <cell r="AR2295"/>
          <cell r="AS2295">
            <v>9</v>
          </cell>
          <cell r="AT2295"/>
          <cell r="AU2295" t="str">
            <v/>
          </cell>
          <cell r="AV2295"/>
        </row>
        <row r="2296">
          <cell r="Z2296">
            <v>8081939</v>
          </cell>
          <cell r="AA2296" t="str">
            <v>Saver Sub 3-1/2" OD for NMDC
2-7/8" Pin x Box</v>
          </cell>
          <cell r="AB2296">
            <v>0</v>
          </cell>
          <cell r="AC2296">
            <v>3.5</v>
          </cell>
          <cell r="AD2296">
            <v>350</v>
          </cell>
          <cell r="AE2296" t="str">
            <v>2-7/8" PH Box</v>
          </cell>
          <cell r="AF2296" t="str">
            <v>2''7/8 PH Pin</v>
          </cell>
          <cell r="AG2296" t="str">
            <v>NMDC</v>
          </cell>
          <cell r="AH2296" t="str">
            <v xml:space="preserve"> en stock </v>
          </cell>
          <cell r="AI2296">
            <v>1</v>
          </cell>
          <cell r="AJ2296">
            <v>0</v>
          </cell>
          <cell r="AK2296">
            <v>0</v>
          </cell>
          <cell r="AL2296"/>
          <cell r="AM2296"/>
          <cell r="AN2296">
            <v>8081939</v>
          </cell>
          <cell r="AO2296"/>
          <cell r="AP2296"/>
          <cell r="AQ2296"/>
          <cell r="AR2296"/>
          <cell r="AS2296">
            <v>10</v>
          </cell>
          <cell r="AT2296"/>
          <cell r="AU2296" t="str">
            <v/>
          </cell>
          <cell r="AV2296"/>
        </row>
        <row r="2297">
          <cell r="Z2297">
            <v>8081940</v>
          </cell>
          <cell r="AA2297" t="str">
            <v xml:space="preserve">Saver Sub 4-3/4" OD for NMDC
3-1/2" IF Pin x Box
Set on : </v>
          </cell>
          <cell r="AB2297">
            <v>0</v>
          </cell>
          <cell r="AC2297">
            <v>4.75</v>
          </cell>
          <cell r="AD2297">
            <v>500</v>
          </cell>
          <cell r="AE2297" t="str">
            <v>3-1/2" IF Box</v>
          </cell>
          <cell r="AF2297" t="str">
            <v>3-1/2" IF Pin</v>
          </cell>
          <cell r="AG2297" t="str">
            <v>NMDC</v>
          </cell>
          <cell r="AH2297" t="str">
            <v xml:space="preserve"> en stock </v>
          </cell>
          <cell r="AI2297">
            <v>1</v>
          </cell>
          <cell r="AJ2297">
            <v>0</v>
          </cell>
          <cell r="AK2297">
            <v>0</v>
          </cell>
          <cell r="AL2297"/>
          <cell r="AM2297"/>
          <cell r="AN2297">
            <v>8081940</v>
          </cell>
          <cell r="AO2297"/>
          <cell r="AP2297"/>
          <cell r="AQ2297"/>
          <cell r="AR2297"/>
          <cell r="AS2297">
            <v>23</v>
          </cell>
          <cell r="AT2297"/>
          <cell r="AU2297" t="str">
            <v/>
          </cell>
          <cell r="AV2297"/>
        </row>
        <row r="2298">
          <cell r="Z2298">
            <v>8081941</v>
          </cell>
          <cell r="AA2298" t="str">
            <v>Saver Sub 4-3/4" OD for NMDC
3-1/2" IF Pin x Box</v>
          </cell>
          <cell r="AB2298">
            <v>0</v>
          </cell>
          <cell r="AC2298">
            <v>4.75</v>
          </cell>
          <cell r="AD2298">
            <v>500</v>
          </cell>
          <cell r="AE2298" t="str">
            <v>3-1/2" IF Box</v>
          </cell>
          <cell r="AF2298" t="str">
            <v>3-1/2" IF Pin</v>
          </cell>
          <cell r="AG2298" t="str">
            <v>NMDC</v>
          </cell>
          <cell r="AH2298" t="str">
            <v>maintenance</v>
          </cell>
          <cell r="AI2298" t="str">
            <v/>
          </cell>
          <cell r="AJ2298">
            <v>0</v>
          </cell>
          <cell r="AK2298">
            <v>1</v>
          </cell>
          <cell r="AL2298"/>
          <cell r="AM2298"/>
          <cell r="AN2298">
            <v>8081941</v>
          </cell>
          <cell r="AO2298"/>
          <cell r="AP2298"/>
          <cell r="AQ2298"/>
          <cell r="AR2298"/>
          <cell r="AS2298">
            <v>24</v>
          </cell>
          <cell r="AT2298"/>
          <cell r="AU2298" t="str">
            <v/>
          </cell>
          <cell r="AV2298"/>
        </row>
        <row r="2299">
          <cell r="Z2299">
            <v>8081942</v>
          </cell>
          <cell r="AA2299" t="str">
            <v xml:space="preserve">Saver Sub 6-3/4" OD for NMDC
4-1/2" IF Pin x Box
Set on : </v>
          </cell>
          <cell r="AB2299">
            <v>82.956608279999983</v>
          </cell>
          <cell r="AC2299">
            <v>6.75</v>
          </cell>
          <cell r="AD2299">
            <v>600</v>
          </cell>
          <cell r="AE2299" t="str">
            <v>4-1/2" IF Box</v>
          </cell>
          <cell r="AF2299" t="str">
            <v>4-1/2" IF Pin</v>
          </cell>
          <cell r="AG2299" t="str">
            <v>NMDC</v>
          </cell>
          <cell r="AH2299" t="str">
            <v>maintenance</v>
          </cell>
          <cell r="AI2299" t="str">
            <v/>
          </cell>
          <cell r="AJ2299">
            <v>0</v>
          </cell>
          <cell r="AK2299">
            <v>1</v>
          </cell>
          <cell r="AL2299"/>
          <cell r="AM2299"/>
          <cell r="AN2299">
            <v>8081942</v>
          </cell>
          <cell r="AO2299"/>
          <cell r="AP2299"/>
          <cell r="AQ2299"/>
          <cell r="AR2299"/>
          <cell r="AS2299">
            <v>46</v>
          </cell>
          <cell r="AT2299"/>
          <cell r="AU2299" t="str">
            <v/>
          </cell>
          <cell r="AV2299"/>
        </row>
        <row r="2300">
          <cell r="Z2300">
            <v>8081943</v>
          </cell>
          <cell r="AA2300" t="str">
            <v xml:space="preserve">Saver Sub 6-3/4" OD for NMDC
4-1/2" IF Pin x Box
Set on : </v>
          </cell>
          <cell r="AB2300">
            <v>82.956608279999983</v>
          </cell>
          <cell r="AC2300">
            <v>6.75</v>
          </cell>
          <cell r="AD2300">
            <v>600</v>
          </cell>
          <cell r="AE2300" t="str">
            <v>4-1/2" IF Box</v>
          </cell>
          <cell r="AF2300" t="str">
            <v>4-1/2" IF Pin</v>
          </cell>
          <cell r="AG2300" t="str">
            <v>NMDC</v>
          </cell>
          <cell r="AH2300" t="str">
            <v>maintenance</v>
          </cell>
          <cell r="AI2300" t="str">
            <v/>
          </cell>
          <cell r="AJ2300">
            <v>0</v>
          </cell>
          <cell r="AK2300">
            <v>1</v>
          </cell>
          <cell r="AL2300"/>
          <cell r="AM2300"/>
          <cell r="AN2300">
            <v>8081943</v>
          </cell>
          <cell r="AO2300"/>
          <cell r="AP2300"/>
          <cell r="AQ2300"/>
          <cell r="AR2300"/>
          <cell r="AS2300">
            <v>47</v>
          </cell>
          <cell r="AT2300"/>
          <cell r="AU2300" t="str">
            <v/>
          </cell>
          <cell r="AV2300"/>
        </row>
        <row r="2301">
          <cell r="Z2301">
            <v>8081944</v>
          </cell>
          <cell r="AA2301" t="str">
            <v xml:space="preserve">Saver Sub 8" OD for NMDC
6-5/8" REG Pin x Box
Set on : </v>
          </cell>
          <cell r="AB2301">
            <v>138.08818753274997</v>
          </cell>
          <cell r="AC2301">
            <v>8</v>
          </cell>
          <cell r="AD2301">
            <v>700</v>
          </cell>
          <cell r="AE2301" t="str">
            <v>6-5/8" REG Box</v>
          </cell>
          <cell r="AF2301" t="str">
            <v>6-5/8" REG Pin</v>
          </cell>
          <cell r="AG2301" t="str">
            <v>NMDC</v>
          </cell>
          <cell r="AH2301" t="str">
            <v>sur chantier</v>
          </cell>
          <cell r="AI2301" t="str">
            <v/>
          </cell>
          <cell r="AJ2301">
            <v>1</v>
          </cell>
          <cell r="AK2301">
            <v>0</v>
          </cell>
          <cell r="AL2301"/>
          <cell r="AM2301"/>
          <cell r="AN2301">
            <v>8081944</v>
          </cell>
          <cell r="AO2301"/>
          <cell r="AP2301"/>
          <cell r="AQ2301"/>
          <cell r="AR2301"/>
          <cell r="AS2301">
            <v>82</v>
          </cell>
          <cell r="AT2301"/>
          <cell r="AU2301" t="str">
            <v/>
          </cell>
          <cell r="AV2301"/>
        </row>
        <row r="2302">
          <cell r="Z2302">
            <v>8081945</v>
          </cell>
          <cell r="AA2302" t="str">
            <v xml:space="preserve">Saver Sub 8" OD for NMDC
6-5/8" REG Pin x Box
Set on : </v>
          </cell>
          <cell r="AB2302">
            <v>138.08818753274997</v>
          </cell>
          <cell r="AC2302">
            <v>8</v>
          </cell>
          <cell r="AD2302">
            <v>700</v>
          </cell>
          <cell r="AE2302" t="str">
            <v>6-5/8" REG Box</v>
          </cell>
          <cell r="AF2302" t="str">
            <v>6-5/8" REG Pin</v>
          </cell>
          <cell r="AG2302" t="str">
            <v>NMDC</v>
          </cell>
          <cell r="AH2302" t="str">
            <v xml:space="preserve"> en stock </v>
          </cell>
          <cell r="AI2302">
            <v>1</v>
          </cell>
          <cell r="AJ2302">
            <v>0</v>
          </cell>
          <cell r="AK2302">
            <v>0</v>
          </cell>
          <cell r="AL2302"/>
          <cell r="AM2302"/>
          <cell r="AN2302">
            <v>8081945</v>
          </cell>
          <cell r="AO2302"/>
          <cell r="AP2302"/>
          <cell r="AQ2302"/>
          <cell r="AR2302"/>
          <cell r="AS2302">
            <v>83</v>
          </cell>
          <cell r="AT2302"/>
          <cell r="AU2302" t="str">
            <v/>
          </cell>
          <cell r="AV2302"/>
        </row>
        <row r="2303">
          <cell r="Z2303">
            <v>8081946</v>
          </cell>
          <cell r="AA2303" t="str">
            <v xml:space="preserve">Saver Sub 9-1/2" OD for NMDC
7-5/8" REG Pin x Box
Set on : </v>
          </cell>
          <cell r="AB2303">
            <v>0</v>
          </cell>
          <cell r="AC2303">
            <v>9.5</v>
          </cell>
          <cell r="AD2303">
            <v>700</v>
          </cell>
          <cell r="AE2303" t="str">
            <v>7-5/8" REG Box</v>
          </cell>
          <cell r="AF2303" t="str">
            <v>7-5/8" REG Pin</v>
          </cell>
          <cell r="AG2303" t="str">
            <v>NMDC</v>
          </cell>
          <cell r="AH2303" t="str">
            <v xml:space="preserve"> en stock </v>
          </cell>
          <cell r="AI2303">
            <v>1</v>
          </cell>
          <cell r="AJ2303">
            <v>0</v>
          </cell>
          <cell r="AK2303">
            <v>0</v>
          </cell>
          <cell r="AL2303"/>
          <cell r="AM2303"/>
          <cell r="AN2303">
            <v>8081946</v>
          </cell>
          <cell r="AO2303"/>
          <cell r="AP2303"/>
          <cell r="AQ2303"/>
          <cell r="AR2303"/>
          <cell r="AS2303">
            <v>116</v>
          </cell>
          <cell r="AT2303"/>
          <cell r="AU2303" t="str">
            <v/>
          </cell>
          <cell r="AV2303"/>
        </row>
        <row r="2304">
          <cell r="Z2304">
            <v>8081947</v>
          </cell>
          <cell r="AA2304" t="str">
            <v xml:space="preserve">Saver Sub 9-1/2" OD for NMDC
7-5/8" REG Pin x Box
Set on : </v>
          </cell>
          <cell r="AB2304">
            <v>0</v>
          </cell>
          <cell r="AC2304">
            <v>9.5</v>
          </cell>
          <cell r="AD2304">
            <v>700</v>
          </cell>
          <cell r="AE2304" t="str">
            <v>7-5/8" REG Box</v>
          </cell>
          <cell r="AF2304" t="str">
            <v>7-5/8" REG Pin</v>
          </cell>
          <cell r="AG2304" t="str">
            <v>NMDC</v>
          </cell>
          <cell r="AH2304" t="str">
            <v xml:space="preserve"> en stock </v>
          </cell>
          <cell r="AI2304">
            <v>1</v>
          </cell>
          <cell r="AJ2304">
            <v>0</v>
          </cell>
          <cell r="AK2304">
            <v>0</v>
          </cell>
          <cell r="AL2304"/>
          <cell r="AM2304"/>
          <cell r="AN2304">
            <v>8081947</v>
          </cell>
          <cell r="AO2304"/>
          <cell r="AP2304"/>
          <cell r="AQ2304"/>
          <cell r="AR2304"/>
          <cell r="AS2304">
            <v>117</v>
          </cell>
          <cell r="AT2304"/>
          <cell r="AU2304" t="str">
            <v/>
          </cell>
          <cell r="AV2304"/>
        </row>
        <row r="2305">
          <cell r="Z2305">
            <v>8081948</v>
          </cell>
          <cell r="AA2305" t="str">
            <v xml:space="preserve">4-3/4" OD Saver Sub for DJ
3-1/2" IF Pin x Box
Set on : </v>
          </cell>
          <cell r="AB2305">
            <v>0</v>
          </cell>
          <cell r="AC2305">
            <v>4.75</v>
          </cell>
          <cell r="AD2305">
            <v>500</v>
          </cell>
          <cell r="AE2305" t="str">
            <v>3-1/2" IF Box</v>
          </cell>
          <cell r="AF2305" t="str">
            <v>3-1/2" IF Pin</v>
          </cell>
          <cell r="AG2305" t="str">
            <v>DJ</v>
          </cell>
          <cell r="AH2305" t="str">
            <v>maintenance</v>
          </cell>
          <cell r="AI2305" t="str">
            <v/>
          </cell>
          <cell r="AJ2305">
            <v>0</v>
          </cell>
          <cell r="AK2305">
            <v>1</v>
          </cell>
          <cell r="AL2305"/>
          <cell r="AM2305"/>
          <cell r="AN2305">
            <v>8081948</v>
          </cell>
          <cell r="AO2305"/>
          <cell r="AP2305"/>
          <cell r="AQ2305"/>
          <cell r="AR2305"/>
          <cell r="AS2305">
            <v>35</v>
          </cell>
          <cell r="AT2305"/>
          <cell r="AU2305" t="str">
            <v/>
          </cell>
          <cell r="AV2305"/>
        </row>
        <row r="2306">
          <cell r="Z2306">
            <v>8081949</v>
          </cell>
          <cell r="AA2306" t="str">
            <v xml:space="preserve">4-3/4" OD Saver Sub for DJ
3-1/2" IF Pin x Box
Set on : </v>
          </cell>
          <cell r="AB2306">
            <v>0</v>
          </cell>
          <cell r="AC2306">
            <v>4.75</v>
          </cell>
          <cell r="AD2306">
            <v>500</v>
          </cell>
          <cell r="AE2306" t="str">
            <v>3-1/2" IF Box</v>
          </cell>
          <cell r="AF2306" t="str">
            <v>3-1/2" IF Pin</v>
          </cell>
          <cell r="AG2306" t="str">
            <v>DJ</v>
          </cell>
          <cell r="AH2306" t="str">
            <v>maintenance</v>
          </cell>
          <cell r="AI2306" t="str">
            <v/>
          </cell>
          <cell r="AJ2306">
            <v>0</v>
          </cell>
          <cell r="AK2306">
            <v>1</v>
          </cell>
          <cell r="AL2306"/>
          <cell r="AM2306"/>
          <cell r="AN2306">
            <v>8081949</v>
          </cell>
          <cell r="AO2306"/>
          <cell r="AP2306"/>
          <cell r="AQ2306"/>
          <cell r="AR2306"/>
          <cell r="AS2306">
            <v>36</v>
          </cell>
          <cell r="AT2306"/>
          <cell r="AU2306" t="str">
            <v/>
          </cell>
          <cell r="AV2306"/>
        </row>
        <row r="2307">
          <cell r="Z2307">
            <v>8081950</v>
          </cell>
          <cell r="AA2307" t="str">
            <v xml:space="preserve">6-3/4" OD Saver Sub for DJ
4-1/2" IF Pin x Box
Set on : </v>
          </cell>
          <cell r="AB2307">
            <v>86.660028292499987</v>
          </cell>
          <cell r="AC2307">
            <v>6.75</v>
          </cell>
          <cell r="AD2307">
            <v>600</v>
          </cell>
          <cell r="AE2307" t="str">
            <v>4-1/2" IF Box</v>
          </cell>
          <cell r="AF2307" t="str">
            <v>4-1/2" IF Pin</v>
          </cell>
          <cell r="AG2307" t="str">
            <v>DJ</v>
          </cell>
          <cell r="AH2307" t="str">
            <v xml:space="preserve"> en stock </v>
          </cell>
          <cell r="AI2307">
            <v>1</v>
          </cell>
          <cell r="AJ2307">
            <v>0</v>
          </cell>
          <cell r="AK2307">
            <v>0</v>
          </cell>
          <cell r="AL2307"/>
          <cell r="AM2307"/>
          <cell r="AN2307">
            <v>8081950</v>
          </cell>
          <cell r="AO2307"/>
          <cell r="AP2307"/>
          <cell r="AQ2307"/>
          <cell r="AR2307"/>
          <cell r="AS2307">
            <v>70</v>
          </cell>
          <cell r="AT2307"/>
          <cell r="AU2307" t="str">
            <v/>
          </cell>
          <cell r="AV2307"/>
        </row>
        <row r="2308">
          <cell r="Z2308">
            <v>8081951</v>
          </cell>
          <cell r="AA2308" t="str">
            <v xml:space="preserve">6-3/4" OD Saver Sub for DJ
4-1/2" IF Pin x Box
Set on : </v>
          </cell>
          <cell r="AB2308">
            <v>86.660028292499987</v>
          </cell>
          <cell r="AC2308">
            <v>6.75</v>
          </cell>
          <cell r="AD2308">
            <v>600</v>
          </cell>
          <cell r="AE2308" t="str">
            <v>4-1/2" IF Box</v>
          </cell>
          <cell r="AF2308" t="str">
            <v>4-1/2" IF Pin</v>
          </cell>
          <cell r="AG2308" t="str">
            <v>DJ</v>
          </cell>
          <cell r="AH2308" t="str">
            <v xml:space="preserve"> en stock </v>
          </cell>
          <cell r="AI2308">
            <v>1</v>
          </cell>
          <cell r="AJ2308">
            <v>0</v>
          </cell>
          <cell r="AK2308">
            <v>0</v>
          </cell>
          <cell r="AL2308"/>
          <cell r="AM2308"/>
          <cell r="AN2308">
            <v>8081951</v>
          </cell>
          <cell r="AO2308"/>
          <cell r="AP2308"/>
          <cell r="AQ2308"/>
          <cell r="AR2308"/>
          <cell r="AS2308">
            <v>71</v>
          </cell>
          <cell r="AT2308"/>
          <cell r="AU2308" t="str">
            <v/>
          </cell>
          <cell r="AV2308"/>
        </row>
        <row r="2309">
          <cell r="Z2309">
            <v>8081952</v>
          </cell>
          <cell r="AA2309" t="str">
            <v xml:space="preserve">Flex Collar 4-3/4" OD
3-1/2" IF Pin x Box
Set on : </v>
          </cell>
          <cell r="AB2309">
            <v>0</v>
          </cell>
          <cell r="AC2309">
            <v>4.75</v>
          </cell>
          <cell r="AD2309">
            <v>3483</v>
          </cell>
          <cell r="AE2309" t="str">
            <v>3-1/2" IF Box</v>
          </cell>
          <cell r="AF2309" t="str">
            <v>3-1/2" IF Pin</v>
          </cell>
          <cell r="AG2309" t="str">
            <v>DJ</v>
          </cell>
          <cell r="AH2309" t="str">
            <v>maintenance</v>
          </cell>
          <cell r="AI2309" t="str">
            <v/>
          </cell>
          <cell r="AJ2309">
            <v>0</v>
          </cell>
          <cell r="AK2309">
            <v>1</v>
          </cell>
          <cell r="AL2309"/>
          <cell r="AM2309"/>
          <cell r="AN2309">
            <v>8081952</v>
          </cell>
          <cell r="AO2309"/>
          <cell r="AP2309"/>
          <cell r="AQ2309"/>
          <cell r="AR2309"/>
          <cell r="AS2309">
            <v>27</v>
          </cell>
          <cell r="AT2309"/>
          <cell r="AU2309" t="str">
            <v/>
          </cell>
          <cell r="AV2309"/>
        </row>
        <row r="2310">
          <cell r="Z2310">
            <v>8081953</v>
          </cell>
          <cell r="AA2310" t="str">
            <v xml:space="preserve">Flex Collar 4-3/4" OD
3-1/2" IF Pin x Box
Set on : </v>
          </cell>
          <cell r="AB2310">
            <v>0</v>
          </cell>
          <cell r="AC2310">
            <v>4.75</v>
          </cell>
          <cell r="AD2310">
            <v>3483</v>
          </cell>
          <cell r="AE2310" t="str">
            <v>3-1/2" IF Box</v>
          </cell>
          <cell r="AF2310" t="str">
            <v>3-1/2" IF Pin</v>
          </cell>
          <cell r="AG2310" t="str">
            <v>DJ</v>
          </cell>
          <cell r="AH2310" t="str">
            <v>maintenance</v>
          </cell>
          <cell r="AI2310" t="str">
            <v/>
          </cell>
          <cell r="AJ2310">
            <v>0</v>
          </cell>
          <cell r="AK2310">
            <v>1</v>
          </cell>
          <cell r="AL2310"/>
          <cell r="AM2310"/>
          <cell r="AN2310">
            <v>8081953</v>
          </cell>
          <cell r="AO2310"/>
          <cell r="AP2310"/>
          <cell r="AQ2310"/>
          <cell r="AR2310"/>
          <cell r="AS2310">
            <v>28</v>
          </cell>
          <cell r="AT2310"/>
          <cell r="AU2310" t="str">
            <v/>
          </cell>
          <cell r="AV2310"/>
        </row>
        <row r="2311">
          <cell r="Z2311">
            <v>8081954</v>
          </cell>
          <cell r="AA2311" t="str">
            <v xml:space="preserve">Flex Collar 6-3/4" OD
4-1/2" IF Pin x Box
Set on : </v>
          </cell>
          <cell r="AB2311">
            <v>300</v>
          </cell>
          <cell r="AC2311">
            <v>6.75</v>
          </cell>
          <cell r="AD2311">
            <v>3370</v>
          </cell>
          <cell r="AE2311" t="str">
            <v>4-1/2" IF Box</v>
          </cell>
          <cell r="AF2311" t="str">
            <v>4-1/2" IF Pin</v>
          </cell>
          <cell r="AG2311" t="str">
            <v>DJ</v>
          </cell>
          <cell r="AH2311" t="str">
            <v>maintenance</v>
          </cell>
          <cell r="AI2311" t="str">
            <v/>
          </cell>
          <cell r="AJ2311">
            <v>0</v>
          </cell>
          <cell r="AK2311">
            <v>1</v>
          </cell>
          <cell r="AL2311"/>
          <cell r="AM2311"/>
          <cell r="AN2311">
            <v>8081954</v>
          </cell>
          <cell r="AO2311"/>
          <cell r="AP2311"/>
          <cell r="AQ2311"/>
          <cell r="AR2311"/>
          <cell r="AS2311">
            <v>52</v>
          </cell>
          <cell r="AT2311"/>
          <cell r="AU2311" t="str">
            <v/>
          </cell>
          <cell r="AV2311"/>
        </row>
        <row r="2312">
          <cell r="Z2312">
            <v>8081955</v>
          </cell>
          <cell r="AA2312" t="str">
            <v xml:space="preserve">Flex Collar 6-3/4" OD
4-1/2" IF Pin x Box
Set on : </v>
          </cell>
          <cell r="AB2312">
            <v>300</v>
          </cell>
          <cell r="AC2312">
            <v>6.75</v>
          </cell>
          <cell r="AD2312">
            <v>3370</v>
          </cell>
          <cell r="AE2312" t="str">
            <v>4-1/2" IF Box</v>
          </cell>
          <cell r="AF2312" t="str">
            <v>4-1/2" IF Pin</v>
          </cell>
          <cell r="AG2312" t="str">
            <v>DJ</v>
          </cell>
          <cell r="AH2312" t="str">
            <v>maintenance</v>
          </cell>
          <cell r="AI2312" t="str">
            <v/>
          </cell>
          <cell r="AJ2312">
            <v>0</v>
          </cell>
          <cell r="AK2312">
            <v>1</v>
          </cell>
          <cell r="AL2312"/>
          <cell r="AM2312"/>
          <cell r="AN2312">
            <v>8081955</v>
          </cell>
          <cell r="AO2312"/>
          <cell r="AP2312"/>
          <cell r="AQ2312"/>
          <cell r="AR2312"/>
          <cell r="AS2312">
            <v>53</v>
          </cell>
          <cell r="AT2312"/>
          <cell r="AU2312" t="str">
            <v/>
          </cell>
          <cell r="AV2312"/>
        </row>
        <row r="2313">
          <cell r="Z2313">
            <v>8081956</v>
          </cell>
          <cell r="AA2313" t="str">
            <v xml:space="preserve">Flex Collar 8" OD for DJ HM
6-5/8" REG Pin x Box
Set on : </v>
          </cell>
          <cell r="AB2313">
            <v>0</v>
          </cell>
          <cell r="AC2313">
            <v>8</v>
          </cell>
          <cell r="AD2313">
            <v>3120</v>
          </cell>
          <cell r="AE2313" t="str">
            <v>6-5/8" REG Box</v>
          </cell>
          <cell r="AF2313" t="str">
            <v>6-5/8" REG Pin</v>
          </cell>
          <cell r="AG2313" t="str">
            <v>DJ</v>
          </cell>
          <cell r="AH2313" t="str">
            <v xml:space="preserve"> en stock </v>
          </cell>
          <cell r="AI2313">
            <v>1</v>
          </cell>
          <cell r="AJ2313">
            <v>0</v>
          </cell>
          <cell r="AK2313">
            <v>0</v>
          </cell>
          <cell r="AL2313"/>
          <cell r="AM2313"/>
          <cell r="AN2313">
            <v>8081956</v>
          </cell>
          <cell r="AO2313"/>
          <cell r="AP2313"/>
          <cell r="AQ2313"/>
          <cell r="AR2313"/>
          <cell r="AS2313">
            <v>88</v>
          </cell>
          <cell r="AT2313"/>
          <cell r="AU2313" t="str">
            <v/>
          </cell>
          <cell r="AV2313"/>
        </row>
        <row r="2314">
          <cell r="Z2314">
            <v>8081957</v>
          </cell>
          <cell r="AA2314" t="str">
            <v xml:space="preserve">Flex Collar 8" OD for DJ HM
6-5/8" REG Pin x Box
Set on : </v>
          </cell>
          <cell r="AB2314">
            <v>0</v>
          </cell>
          <cell r="AC2314">
            <v>8</v>
          </cell>
          <cell r="AD2314">
            <v>3120</v>
          </cell>
          <cell r="AE2314" t="str">
            <v>6-5/8" REG Box</v>
          </cell>
          <cell r="AF2314" t="str">
            <v>6-5/8" REG Pin</v>
          </cell>
          <cell r="AG2314" t="str">
            <v>DJ</v>
          </cell>
          <cell r="AH2314" t="str">
            <v>sur chantier</v>
          </cell>
          <cell r="AI2314" t="str">
            <v/>
          </cell>
          <cell r="AJ2314">
            <v>1</v>
          </cell>
          <cell r="AK2314">
            <v>0</v>
          </cell>
          <cell r="AL2314"/>
          <cell r="AM2314"/>
          <cell r="AN2314">
            <v>8081957</v>
          </cell>
          <cell r="AO2314"/>
          <cell r="AP2314"/>
          <cell r="AQ2314"/>
          <cell r="AR2314"/>
          <cell r="AS2314">
            <v>89</v>
          </cell>
          <cell r="AT2314"/>
          <cell r="AU2314" t="str">
            <v/>
          </cell>
          <cell r="AV2314"/>
        </row>
        <row r="2315">
          <cell r="Z2315">
            <v>8081958</v>
          </cell>
          <cell r="AA2315" t="str">
            <v xml:space="preserve">Flex Collar 8" OD for DJ Full Hydro
6-5/8" REG Pin x Box
Set on : </v>
          </cell>
          <cell r="AB2315">
            <v>0</v>
          </cell>
          <cell r="AC2315">
            <v>8</v>
          </cell>
          <cell r="AD2315">
            <v>2027</v>
          </cell>
          <cell r="AE2315" t="str">
            <v>6-5/8" REG Box</v>
          </cell>
          <cell r="AF2315" t="str">
            <v>6-5/8" REG Pin</v>
          </cell>
          <cell r="AG2315" t="str">
            <v>DJ</v>
          </cell>
          <cell r="AH2315" t="str">
            <v xml:space="preserve"> en stock </v>
          </cell>
          <cell r="AI2315">
            <v>1</v>
          </cell>
          <cell r="AJ2315">
            <v>0</v>
          </cell>
          <cell r="AK2315">
            <v>0</v>
          </cell>
          <cell r="AL2315"/>
          <cell r="AM2315"/>
          <cell r="AN2315">
            <v>8081958</v>
          </cell>
          <cell r="AO2315"/>
          <cell r="AP2315"/>
          <cell r="AQ2315"/>
          <cell r="AR2315"/>
          <cell r="AS2315">
            <v>90</v>
          </cell>
          <cell r="AT2315"/>
          <cell r="AU2315" t="str">
            <v/>
          </cell>
          <cell r="AV2315"/>
        </row>
        <row r="2316">
          <cell r="Z2316">
            <v>8081959</v>
          </cell>
          <cell r="AA2316" t="str">
            <v xml:space="preserve">Flex Collar 8" OD for DJ Full Hydro
6-5/8" REG Pin x Box
Set on : </v>
          </cell>
          <cell r="AB2316">
            <v>0</v>
          </cell>
          <cell r="AC2316">
            <v>8</v>
          </cell>
          <cell r="AD2316">
            <v>2027</v>
          </cell>
          <cell r="AE2316" t="str">
            <v>6-5/8" REG Box</v>
          </cell>
          <cell r="AF2316" t="str">
            <v>6-5/8" REG Pin</v>
          </cell>
          <cell r="AG2316" t="str">
            <v>DJ</v>
          </cell>
          <cell r="AH2316" t="str">
            <v xml:space="preserve"> en stock </v>
          </cell>
          <cell r="AI2316">
            <v>1</v>
          </cell>
          <cell r="AJ2316">
            <v>0</v>
          </cell>
          <cell r="AK2316">
            <v>0</v>
          </cell>
          <cell r="AL2316"/>
          <cell r="AM2316"/>
          <cell r="AN2316">
            <v>8081959</v>
          </cell>
          <cell r="AO2316"/>
          <cell r="AP2316"/>
          <cell r="AQ2316"/>
          <cell r="AR2316"/>
          <cell r="AS2316">
            <v>91</v>
          </cell>
          <cell r="AT2316"/>
          <cell r="AU2316" t="str">
            <v/>
          </cell>
          <cell r="AV2316"/>
        </row>
        <row r="2317">
          <cell r="Z2317">
            <v>8081960</v>
          </cell>
          <cell r="AA2317" t="str">
            <v>Float Sub 6-3/4" Lg 750 mm
4-1/2" IF Pin x 4-1/2" IF Box BF (4R)</v>
          </cell>
          <cell r="AB2317">
            <v>0</v>
          </cell>
          <cell r="AC2317">
            <v>6.5</v>
          </cell>
          <cell r="AD2317">
            <v>750</v>
          </cell>
          <cell r="AE2317" t="str">
            <v>4-1/2" IF Box BF</v>
          </cell>
          <cell r="AF2317" t="str">
            <v>4-1/2" IF Pin</v>
          </cell>
          <cell r="AG2317" t="str">
            <v>4R</v>
          </cell>
          <cell r="AH2317" t="str">
            <v>sur chantier</v>
          </cell>
          <cell r="AI2317" t="str">
            <v/>
          </cell>
          <cell r="AJ2317">
            <v>1</v>
          </cell>
          <cell r="AK2317">
            <v>0</v>
          </cell>
          <cell r="AL2317"/>
          <cell r="AM2317"/>
          <cell r="AN2317">
            <v>8081960</v>
          </cell>
          <cell r="AO2317"/>
          <cell r="AP2317"/>
          <cell r="AQ2317"/>
          <cell r="AR2317"/>
          <cell r="AS2317">
            <v>24</v>
          </cell>
          <cell r="AT2317"/>
          <cell r="AU2317" t="str">
            <v/>
          </cell>
          <cell r="AV2317"/>
        </row>
        <row r="2318">
          <cell r="Z2318">
            <v>8081961</v>
          </cell>
          <cell r="AA2318" t="str">
            <v>Float Sub 6-3/4" Lg 750 mm
4-1/2" IF Pin x 4-1/2" IF Box BF (4R)</v>
          </cell>
          <cell r="AB2318">
            <v>0</v>
          </cell>
          <cell r="AC2318">
            <v>6.75</v>
          </cell>
          <cell r="AD2318">
            <v>750</v>
          </cell>
          <cell r="AE2318" t="str">
            <v>4-1/2" IF Box BF</v>
          </cell>
          <cell r="AF2318" t="str">
            <v>4-1/2" IF Pin</v>
          </cell>
          <cell r="AG2318" t="str">
            <v>4R</v>
          </cell>
          <cell r="AH2318" t="str">
            <v xml:space="preserve"> en stock </v>
          </cell>
          <cell r="AI2318">
            <v>1</v>
          </cell>
          <cell r="AJ2318">
            <v>0</v>
          </cell>
          <cell r="AK2318">
            <v>0</v>
          </cell>
          <cell r="AL2318"/>
          <cell r="AM2318"/>
          <cell r="AN2318">
            <v>8081961</v>
          </cell>
          <cell r="AO2318"/>
          <cell r="AP2318"/>
          <cell r="AQ2318"/>
          <cell r="AR2318"/>
          <cell r="AS2318">
            <v>25</v>
          </cell>
          <cell r="AT2318"/>
          <cell r="AU2318" t="str">
            <v/>
          </cell>
          <cell r="AV2318"/>
        </row>
        <row r="2319">
          <cell r="Z2319">
            <v>8081962</v>
          </cell>
          <cell r="AA2319" t="str">
            <v>Float Sub 6-3/4" Lg 750 mm
4-1/2" IF Pin x 4-1/2" IF Box BF (4R)</v>
          </cell>
          <cell r="AB2319">
            <v>0</v>
          </cell>
          <cell r="AC2319">
            <v>6.75</v>
          </cell>
          <cell r="AD2319">
            <v>750</v>
          </cell>
          <cell r="AE2319" t="str">
            <v>4-1/2" IF Box BF</v>
          </cell>
          <cell r="AF2319" t="str">
            <v>4-1/2" IF Pin</v>
          </cell>
          <cell r="AG2319" t="str">
            <v>4R</v>
          </cell>
          <cell r="AH2319" t="str">
            <v xml:space="preserve"> en stock </v>
          </cell>
          <cell r="AI2319">
            <v>1</v>
          </cell>
          <cell r="AJ2319">
            <v>0</v>
          </cell>
          <cell r="AK2319">
            <v>0</v>
          </cell>
          <cell r="AL2319"/>
          <cell r="AM2319"/>
          <cell r="AN2319">
            <v>8081962</v>
          </cell>
          <cell r="AO2319"/>
          <cell r="AP2319"/>
          <cell r="AQ2319"/>
          <cell r="AR2319"/>
          <cell r="AS2319">
            <v>26</v>
          </cell>
          <cell r="AT2319"/>
          <cell r="AU2319" t="str">
            <v/>
          </cell>
          <cell r="AV2319"/>
        </row>
        <row r="2320">
          <cell r="Z2320">
            <v>8081963</v>
          </cell>
          <cell r="AA2320" t="str">
            <v>Float Sub 8" Lg 950 mm
6-5/8" REG Pin x 6-5/8" REG Box BF (5F-6R)</v>
          </cell>
          <cell r="AB2320">
            <v>194.20734545549996</v>
          </cell>
          <cell r="AC2320">
            <v>8</v>
          </cell>
          <cell r="AD2320">
            <v>950</v>
          </cell>
          <cell r="AE2320" t="str">
            <v>6-5/8" REG Box BF</v>
          </cell>
          <cell r="AF2320" t="str">
            <v>6-5/8" REG Pin</v>
          </cell>
          <cell r="AG2320" t="str">
            <v>5F-6R</v>
          </cell>
          <cell r="AH2320" t="str">
            <v>sur chantier</v>
          </cell>
          <cell r="AI2320" t="str">
            <v/>
          </cell>
          <cell r="AJ2320">
            <v>1</v>
          </cell>
          <cell r="AK2320">
            <v>0</v>
          </cell>
          <cell r="AL2320"/>
          <cell r="AM2320"/>
          <cell r="AN2320">
            <v>8081963</v>
          </cell>
          <cell r="AO2320"/>
          <cell r="AP2320"/>
          <cell r="AQ2320"/>
          <cell r="AR2320"/>
          <cell r="AS2320">
            <v>34</v>
          </cell>
          <cell r="AT2320"/>
          <cell r="AU2320" t="str">
            <v/>
          </cell>
          <cell r="AV2320"/>
        </row>
        <row r="2321">
          <cell r="Z2321">
            <v>8081964</v>
          </cell>
          <cell r="AA2321" t="str">
            <v>Float Sub 8" Lg 950 mm
6-5/8" REG Pin x 6-5/8" REG Box BF (5F-6R)</v>
          </cell>
          <cell r="AB2321">
            <v>194.20734545549996</v>
          </cell>
          <cell r="AC2321">
            <v>8</v>
          </cell>
          <cell r="AD2321">
            <v>950</v>
          </cell>
          <cell r="AE2321" t="str">
            <v>6-5/8" REG Box BF</v>
          </cell>
          <cell r="AF2321" t="str">
            <v>6-5/8" REG Pin</v>
          </cell>
          <cell r="AG2321" t="str">
            <v>5F-6R</v>
          </cell>
          <cell r="AH2321" t="str">
            <v xml:space="preserve"> en stock </v>
          </cell>
          <cell r="AI2321">
            <v>1</v>
          </cell>
          <cell r="AJ2321">
            <v>0</v>
          </cell>
          <cell r="AK2321">
            <v>0</v>
          </cell>
          <cell r="AL2321"/>
          <cell r="AM2321"/>
          <cell r="AN2321">
            <v>8081964</v>
          </cell>
          <cell r="AO2321"/>
          <cell r="AP2321"/>
          <cell r="AQ2321"/>
          <cell r="AR2321"/>
          <cell r="AS2321">
            <v>35</v>
          </cell>
          <cell r="AT2321"/>
          <cell r="AU2321" t="str">
            <v/>
          </cell>
          <cell r="AV2321"/>
        </row>
        <row r="2322">
          <cell r="Z2322">
            <v>8081990</v>
          </cell>
          <cell r="AA2322" t="str">
            <v>Float Sub 8" Lg 950 mm
6-5/8" REG Pin x 6-5/8" REG Box BF (5F-6R)</v>
          </cell>
          <cell r="AB2322">
            <v>194.20734545549996</v>
          </cell>
          <cell r="AC2322">
            <v>8</v>
          </cell>
          <cell r="AD2322">
            <v>950</v>
          </cell>
          <cell r="AE2322" t="str">
            <v>6-5/8" REG Box BF</v>
          </cell>
          <cell r="AF2322" t="str">
            <v>6-5/8" REG Pin</v>
          </cell>
          <cell r="AG2322" t="str">
            <v>5F-6R</v>
          </cell>
          <cell r="AH2322" t="str">
            <v xml:space="preserve"> en stock </v>
          </cell>
          <cell r="AI2322">
            <v>1</v>
          </cell>
          <cell r="AJ2322">
            <v>0</v>
          </cell>
          <cell r="AK2322">
            <v>0</v>
          </cell>
          <cell r="AL2322"/>
          <cell r="AM2322"/>
          <cell r="AN2322">
            <v>8081965</v>
          </cell>
          <cell r="AO2322"/>
          <cell r="AP2322"/>
          <cell r="AQ2322"/>
          <cell r="AR2322"/>
          <cell r="AS2322">
            <v>36</v>
          </cell>
          <cell r="AT2322"/>
          <cell r="AU2322" t="str">
            <v/>
          </cell>
          <cell r="AV2322"/>
        </row>
        <row r="2323">
          <cell r="Z2323">
            <v>8081966</v>
          </cell>
          <cell r="AA2323" t="str">
            <v>Float Sub 8" Lg 950 mm
6-5/8" REG Pin x 6-5/8" REG Box BF (5F-6R)</v>
          </cell>
          <cell r="AB2323">
            <v>194.20734545549996</v>
          </cell>
          <cell r="AC2323">
            <v>8</v>
          </cell>
          <cell r="AD2323">
            <v>950</v>
          </cell>
          <cell r="AE2323" t="str">
            <v>6-5/8" REG Box BF</v>
          </cell>
          <cell r="AF2323" t="str">
            <v>6-5/8" REG Pin</v>
          </cell>
          <cell r="AG2323" t="str">
            <v>5F-6R</v>
          </cell>
          <cell r="AH2323" t="str">
            <v>maintenance</v>
          </cell>
          <cell r="AI2323" t="str">
            <v/>
          </cell>
          <cell r="AJ2323">
            <v>0</v>
          </cell>
          <cell r="AK2323">
            <v>1</v>
          </cell>
          <cell r="AL2323"/>
          <cell r="AM2323"/>
          <cell r="AN2323">
            <v>8081966</v>
          </cell>
          <cell r="AO2323"/>
          <cell r="AP2323"/>
          <cell r="AQ2323"/>
          <cell r="AR2323"/>
          <cell r="AS2323">
            <v>37</v>
          </cell>
          <cell r="AT2323"/>
          <cell r="AU2323" t="str">
            <v/>
          </cell>
          <cell r="AV2323"/>
        </row>
        <row r="2324">
          <cell r="Z2324">
            <v>8081967</v>
          </cell>
          <cell r="AA2324" t="str">
            <v>Float Sub 9-1/2" Lg 1000 mm
7-5/8" REG Pin x 7-5/8" REG Box BF (5F-6R)</v>
          </cell>
          <cell r="AB2324">
            <v>300</v>
          </cell>
          <cell r="AC2324">
            <v>9.5</v>
          </cell>
          <cell r="AD2324">
            <v>1000</v>
          </cell>
          <cell r="AE2324" t="str">
            <v>7-5/8" REG Box BF</v>
          </cell>
          <cell r="AF2324" t="str">
            <v>7-5/8" REG Pin</v>
          </cell>
          <cell r="AG2324" t="str">
            <v>5F-6R</v>
          </cell>
          <cell r="AH2324" t="str">
            <v>sur chantier</v>
          </cell>
          <cell r="AI2324" t="str">
            <v/>
          </cell>
          <cell r="AJ2324">
            <v>1</v>
          </cell>
          <cell r="AK2324">
            <v>0</v>
          </cell>
          <cell r="AL2324"/>
          <cell r="AM2324"/>
          <cell r="AN2324">
            <v>8081967</v>
          </cell>
          <cell r="AO2324"/>
          <cell r="AP2324"/>
          <cell r="AQ2324"/>
          <cell r="AR2324"/>
          <cell r="AS2324">
            <v>47</v>
          </cell>
          <cell r="AT2324"/>
          <cell r="AU2324" t="str">
            <v/>
          </cell>
          <cell r="AV2324"/>
        </row>
        <row r="2325">
          <cell r="Z2325">
            <v>8081968</v>
          </cell>
          <cell r="AA2325" t="str">
            <v>Float Sub 9-1/2" Lg 1000 mm
7-5/8" REG Pin x 7-5/8" REG Box BF (5F-6R)</v>
          </cell>
          <cell r="AB2325">
            <v>300</v>
          </cell>
          <cell r="AC2325">
            <v>9.5</v>
          </cell>
          <cell r="AD2325">
            <v>1000</v>
          </cell>
          <cell r="AE2325" t="str">
            <v>7-5/8" REG Box BF</v>
          </cell>
          <cell r="AF2325" t="str">
            <v>7-5/8" REG Pin</v>
          </cell>
          <cell r="AG2325" t="str">
            <v>5F-6R</v>
          </cell>
          <cell r="AH2325" t="str">
            <v xml:space="preserve"> en stock </v>
          </cell>
          <cell r="AI2325">
            <v>1</v>
          </cell>
          <cell r="AJ2325">
            <v>0</v>
          </cell>
          <cell r="AK2325">
            <v>0</v>
          </cell>
          <cell r="AL2325"/>
          <cell r="AM2325"/>
          <cell r="AN2325">
            <v>8081968</v>
          </cell>
          <cell r="AO2325"/>
          <cell r="AP2325"/>
          <cell r="AQ2325"/>
          <cell r="AR2325"/>
          <cell r="AS2325">
            <v>48</v>
          </cell>
          <cell r="AT2325"/>
          <cell r="AU2325" t="str">
            <v/>
          </cell>
          <cell r="AV2325"/>
        </row>
        <row r="2326">
          <cell r="Z2326">
            <v>8081969</v>
          </cell>
          <cell r="AA2326" t="str">
            <v>Float Sub 9-1/2" Lg 1000 mm
7-5/8" REG Pin x 7-5/8" REG Box BF (5F-6R)</v>
          </cell>
          <cell r="AB2326">
            <v>300</v>
          </cell>
          <cell r="AC2326">
            <v>9.5</v>
          </cell>
          <cell r="AD2326">
            <v>1000</v>
          </cell>
          <cell r="AE2326" t="str">
            <v>7-5/8" REG Box BF</v>
          </cell>
          <cell r="AF2326" t="str">
            <v>7-5/8" REG Pin</v>
          </cell>
          <cell r="AG2326" t="str">
            <v>5F-6R</v>
          </cell>
          <cell r="AH2326" t="str">
            <v>maintenance</v>
          </cell>
          <cell r="AI2326" t="str">
            <v/>
          </cell>
          <cell r="AJ2326">
            <v>0</v>
          </cell>
          <cell r="AK2326">
            <v>1</v>
          </cell>
          <cell r="AL2326"/>
          <cell r="AM2326"/>
          <cell r="AN2326">
            <v>8081969</v>
          </cell>
          <cell r="AO2326"/>
          <cell r="AP2326"/>
          <cell r="AQ2326"/>
          <cell r="AR2326"/>
          <cell r="AS2326">
            <v>49</v>
          </cell>
          <cell r="AT2326"/>
          <cell r="AU2326" t="str">
            <v/>
          </cell>
          <cell r="AV2326"/>
        </row>
        <row r="2327">
          <cell r="Z2327">
            <v>8081970</v>
          </cell>
          <cell r="AA2327" t="str">
            <v>Float Sub 9-1/2" Lg 1000 mm
7-5/8" REG Pin x 7-5/8" REG Box BF (5F-6R)</v>
          </cell>
          <cell r="AB2327">
            <v>300</v>
          </cell>
          <cell r="AC2327">
            <v>9.5</v>
          </cell>
          <cell r="AD2327">
            <v>1000</v>
          </cell>
          <cell r="AE2327" t="str">
            <v>7-5/8" REG Box BF</v>
          </cell>
          <cell r="AF2327" t="str">
            <v>7-5/8" REG Pin</v>
          </cell>
          <cell r="AG2327" t="str">
            <v>5F-6R</v>
          </cell>
          <cell r="AH2327" t="str">
            <v>sur chantier</v>
          </cell>
          <cell r="AI2327" t="str">
            <v/>
          </cell>
          <cell r="AJ2327">
            <v>1</v>
          </cell>
          <cell r="AK2327">
            <v>0</v>
          </cell>
          <cell r="AL2327"/>
          <cell r="AM2327"/>
          <cell r="AN2327">
            <v>8081970</v>
          </cell>
          <cell r="AO2327"/>
          <cell r="AP2327"/>
          <cell r="AQ2327"/>
          <cell r="AR2327"/>
          <cell r="AS2327">
            <v>50</v>
          </cell>
          <cell r="AT2327"/>
          <cell r="AU2327" t="str">
            <v/>
          </cell>
          <cell r="AV2327"/>
        </row>
        <row r="2328">
          <cell r="Z2328">
            <v>6041971</v>
          </cell>
          <cell r="AA2328" t="str">
            <v>6-3/4" OD UBHO
4-1/2" IF Pin x Box</v>
          </cell>
          <cell r="AB2328">
            <v>120</v>
          </cell>
          <cell r="AC2328">
            <v>6.75</v>
          </cell>
          <cell r="AD2328">
            <v>850</v>
          </cell>
          <cell r="AE2328" t="str">
            <v>4-1/2" IF Box</v>
          </cell>
          <cell r="AF2328" t="str">
            <v>4-1/2" IF Pin</v>
          </cell>
          <cell r="AG2328"/>
          <cell r="AH2328" t="str">
            <v xml:space="preserve"> en stock </v>
          </cell>
          <cell r="AI2328">
            <v>1</v>
          </cell>
          <cell r="AJ2328">
            <v>0</v>
          </cell>
          <cell r="AK2328">
            <v>0</v>
          </cell>
          <cell r="AL2328"/>
          <cell r="AM2328"/>
          <cell r="AN2328">
            <v>6041971</v>
          </cell>
          <cell r="AO2328"/>
          <cell r="AP2328"/>
          <cell r="AQ2328"/>
          <cell r="AR2328"/>
          <cell r="AS2328">
            <v>23</v>
          </cell>
          <cell r="AT2328"/>
          <cell r="AU2328" t="str">
            <v/>
          </cell>
          <cell r="AV2328"/>
        </row>
        <row r="2329">
          <cell r="Z2329">
            <v>6041972</v>
          </cell>
          <cell r="AA2329" t="str">
            <v>6-3/4" OD UBHO
4-1/2" IF Pin x Box</v>
          </cell>
          <cell r="AB2329">
            <v>120</v>
          </cell>
          <cell r="AC2329">
            <v>6.75</v>
          </cell>
          <cell r="AD2329">
            <v>850</v>
          </cell>
          <cell r="AE2329" t="str">
            <v>4-1/2" IF Box</v>
          </cell>
          <cell r="AF2329" t="str">
            <v>4-1/2" IF Pin</v>
          </cell>
          <cell r="AG2329"/>
          <cell r="AH2329" t="str">
            <v>maintenance</v>
          </cell>
          <cell r="AI2329" t="str">
            <v/>
          </cell>
          <cell r="AJ2329">
            <v>0</v>
          </cell>
          <cell r="AK2329">
            <v>1</v>
          </cell>
          <cell r="AL2329"/>
          <cell r="AM2329"/>
          <cell r="AN2329">
            <v>6041972</v>
          </cell>
          <cell r="AO2329"/>
          <cell r="AP2329"/>
          <cell r="AQ2329"/>
          <cell r="AR2329"/>
          <cell r="AS2329">
            <v>24</v>
          </cell>
          <cell r="AT2329"/>
          <cell r="AU2329" t="str">
            <v/>
          </cell>
          <cell r="AV2329"/>
        </row>
        <row r="2330">
          <cell r="Z2330">
            <v>6041973</v>
          </cell>
          <cell r="AA2330" t="str">
            <v>8" OD UBHO
6-5/8" REG Pin x Box</v>
          </cell>
          <cell r="AB2330">
            <v>206.40394202999997</v>
          </cell>
          <cell r="AC2330">
            <v>8</v>
          </cell>
          <cell r="AD2330">
            <v>950</v>
          </cell>
          <cell r="AE2330" t="str">
            <v>6-5/8" REG Box</v>
          </cell>
          <cell r="AF2330" t="str">
            <v>6-5/8" REG Pin</v>
          </cell>
          <cell r="AG2330"/>
          <cell r="AH2330" t="str">
            <v>sur chantier</v>
          </cell>
          <cell r="AI2330" t="str">
            <v/>
          </cell>
          <cell r="AJ2330">
            <v>1</v>
          </cell>
          <cell r="AK2330">
            <v>0</v>
          </cell>
          <cell r="AL2330"/>
          <cell r="AM2330"/>
          <cell r="AN2330">
            <v>6041973</v>
          </cell>
          <cell r="AO2330"/>
          <cell r="AP2330"/>
          <cell r="AQ2330"/>
          <cell r="AR2330"/>
          <cell r="AS2330">
            <v>29</v>
          </cell>
          <cell r="AT2330"/>
          <cell r="AU2330" t="str">
            <v/>
          </cell>
          <cell r="AV2330"/>
        </row>
        <row r="2331">
          <cell r="Z2331">
            <v>6041974</v>
          </cell>
          <cell r="AA2331" t="str">
            <v>8" OD UBHO
6-5/8" REG Pin x Box</v>
          </cell>
          <cell r="AB2331">
            <v>206.40394202999997</v>
          </cell>
          <cell r="AC2331">
            <v>8</v>
          </cell>
          <cell r="AD2331">
            <v>950</v>
          </cell>
          <cell r="AE2331" t="str">
            <v>6-5/8" REG Box</v>
          </cell>
          <cell r="AF2331" t="str">
            <v>6-5/8" REG Pin</v>
          </cell>
          <cell r="AG2331"/>
          <cell r="AH2331" t="str">
            <v>sur chantier</v>
          </cell>
          <cell r="AI2331" t="str">
            <v/>
          </cell>
          <cell r="AJ2331">
            <v>1</v>
          </cell>
          <cell r="AK2331">
            <v>0</v>
          </cell>
          <cell r="AL2331"/>
          <cell r="AM2331"/>
          <cell r="AN2331">
            <v>6041974</v>
          </cell>
          <cell r="AO2331"/>
          <cell r="AP2331"/>
          <cell r="AQ2331"/>
          <cell r="AR2331"/>
          <cell r="AS2331">
            <v>30</v>
          </cell>
          <cell r="AT2331"/>
          <cell r="AU2331" t="str">
            <v/>
          </cell>
          <cell r="AV2331"/>
        </row>
        <row r="2332">
          <cell r="Z2332">
            <v>6041975</v>
          </cell>
          <cell r="AA2332" t="str">
            <v>8" OD UBHO
6-5/8" REG Pin x Box</v>
          </cell>
          <cell r="AB2332">
            <v>206.40394202999997</v>
          </cell>
          <cell r="AC2332">
            <v>8</v>
          </cell>
          <cell r="AD2332">
            <v>950</v>
          </cell>
          <cell r="AE2332" t="str">
            <v>6-5/8" REG Box</v>
          </cell>
          <cell r="AF2332" t="str">
            <v>6-5/8" REG Pin</v>
          </cell>
          <cell r="AG2332"/>
          <cell r="AH2332" t="str">
            <v>sur chantier</v>
          </cell>
          <cell r="AI2332" t="str">
            <v/>
          </cell>
          <cell r="AJ2332">
            <v>1</v>
          </cell>
          <cell r="AK2332">
            <v>0</v>
          </cell>
          <cell r="AL2332"/>
          <cell r="AM2332"/>
          <cell r="AN2332">
            <v>6041975</v>
          </cell>
          <cell r="AO2332"/>
          <cell r="AP2332"/>
          <cell r="AQ2332"/>
          <cell r="AR2332"/>
          <cell r="AS2332">
            <v>31</v>
          </cell>
          <cell r="AT2332"/>
          <cell r="AU2332" t="str">
            <v/>
          </cell>
          <cell r="AV2332"/>
        </row>
        <row r="2333">
          <cell r="Z2333">
            <v>6041976</v>
          </cell>
          <cell r="AA2333" t="str">
            <v>9-1/2" OD UBHO
7-5/8" REG Pin x Box</v>
          </cell>
          <cell r="AB2333">
            <v>320.96306774999999</v>
          </cell>
          <cell r="AC2333">
            <v>9.5</v>
          </cell>
          <cell r="AD2333">
            <v>1000</v>
          </cell>
          <cell r="AE2333" t="str">
            <v>7-5/8" REG Box</v>
          </cell>
          <cell r="AF2333" t="str">
            <v>7-5/8" REG Pin</v>
          </cell>
          <cell r="AG2333"/>
          <cell r="AH2333" t="str">
            <v xml:space="preserve"> en stock </v>
          </cell>
          <cell r="AI2333">
            <v>1</v>
          </cell>
          <cell r="AJ2333">
            <v>0</v>
          </cell>
          <cell r="AK2333">
            <v>0</v>
          </cell>
          <cell r="AL2333"/>
          <cell r="AM2333"/>
          <cell r="AN2333">
            <v>6041976</v>
          </cell>
          <cell r="AO2333"/>
          <cell r="AP2333"/>
          <cell r="AQ2333"/>
          <cell r="AR2333"/>
          <cell r="AS2333">
            <v>36</v>
          </cell>
          <cell r="AT2333"/>
          <cell r="AU2333" t="str">
            <v/>
          </cell>
          <cell r="AV2333"/>
        </row>
        <row r="2334">
          <cell r="Z2334">
            <v>6041977</v>
          </cell>
          <cell r="AA2334" t="str">
            <v>9-1/2" OD UBHO
7-5/8" REG Pin x Box</v>
          </cell>
          <cell r="AB2334">
            <v>320.96306774999999</v>
          </cell>
          <cell r="AC2334">
            <v>9.5</v>
          </cell>
          <cell r="AD2334">
            <v>1000</v>
          </cell>
          <cell r="AE2334" t="str">
            <v>7-5/8" REG Box</v>
          </cell>
          <cell r="AF2334" t="str">
            <v>7-5/8" REG Pin</v>
          </cell>
          <cell r="AG2334"/>
          <cell r="AH2334" t="str">
            <v>maintenance</v>
          </cell>
          <cell r="AI2334" t="str">
            <v/>
          </cell>
          <cell r="AJ2334">
            <v>0</v>
          </cell>
          <cell r="AK2334">
            <v>1</v>
          </cell>
          <cell r="AL2334"/>
          <cell r="AM2334"/>
          <cell r="AN2334">
            <v>6041977</v>
          </cell>
          <cell r="AO2334"/>
          <cell r="AP2334"/>
          <cell r="AQ2334"/>
          <cell r="AR2334"/>
          <cell r="AS2334">
            <v>37</v>
          </cell>
          <cell r="AT2334"/>
          <cell r="AU2334" t="str">
            <v/>
          </cell>
          <cell r="AV2334"/>
        </row>
        <row r="2335">
          <cell r="Z2335">
            <v>6041978</v>
          </cell>
          <cell r="AA2335" t="str">
            <v>9-1/2" OD UBHO
7-5/8" REG Pin x Box</v>
          </cell>
          <cell r="AB2335">
            <v>320.96306774999999</v>
          </cell>
          <cell r="AC2335">
            <v>9.5</v>
          </cell>
          <cell r="AD2335">
            <v>1000</v>
          </cell>
          <cell r="AE2335" t="str">
            <v>7-5/8" REG Box</v>
          </cell>
          <cell r="AF2335" t="str">
            <v>7-5/8" REG Pin</v>
          </cell>
          <cell r="AG2335"/>
          <cell r="AH2335" t="str">
            <v>maintenance</v>
          </cell>
          <cell r="AI2335" t="str">
            <v/>
          </cell>
          <cell r="AJ2335">
            <v>0</v>
          </cell>
          <cell r="AK2335">
            <v>1</v>
          </cell>
          <cell r="AL2335"/>
          <cell r="AM2335"/>
          <cell r="AN2335">
            <v>6041978</v>
          </cell>
          <cell r="AO2335"/>
          <cell r="AP2335"/>
          <cell r="AQ2335"/>
          <cell r="AR2335"/>
          <cell r="AS2335">
            <v>38</v>
          </cell>
          <cell r="AT2335"/>
          <cell r="AU2335" t="str">
            <v/>
          </cell>
          <cell r="AV2335"/>
        </row>
        <row r="2336">
          <cell r="Z2336">
            <v>6041979</v>
          </cell>
          <cell r="AA2336" t="str">
            <v>9-1/2" OD UBHO
7-5/8" REG Pin x Box</v>
          </cell>
          <cell r="AB2336">
            <v>320.96306774999999</v>
          </cell>
          <cell r="AC2336">
            <v>9.5</v>
          </cell>
          <cell r="AD2336">
            <v>1000</v>
          </cell>
          <cell r="AE2336" t="str">
            <v>7-5/8" REG Box</v>
          </cell>
          <cell r="AF2336" t="str">
            <v>7-5/8" REG Pin</v>
          </cell>
          <cell r="AG2336"/>
          <cell r="AH2336" t="str">
            <v>sur chantier</v>
          </cell>
          <cell r="AI2336" t="str">
            <v/>
          </cell>
          <cell r="AJ2336">
            <v>1</v>
          </cell>
          <cell r="AK2336">
            <v>0</v>
          </cell>
          <cell r="AL2336"/>
          <cell r="AM2336"/>
          <cell r="AN2336">
            <v>6041979</v>
          </cell>
          <cell r="AO2336"/>
          <cell r="AP2336"/>
          <cell r="AQ2336"/>
          <cell r="AR2336"/>
          <cell r="AS2336">
            <v>39</v>
          </cell>
          <cell r="AT2336"/>
          <cell r="AU2336" t="str">
            <v/>
          </cell>
          <cell r="AV2336"/>
        </row>
        <row r="2337">
          <cell r="Z2337">
            <v>8081980</v>
          </cell>
          <cell r="AA2337" t="str">
            <v xml:space="preserve">Saver Sub 8" OD for NMDC
4-1/2" IF Pin x Box
Set on : </v>
          </cell>
          <cell r="AB2337">
            <v>143.01990851606246</v>
          </cell>
          <cell r="AC2337">
            <v>8</v>
          </cell>
          <cell r="AD2337">
            <v>725</v>
          </cell>
          <cell r="AE2337" t="str">
            <v>6-5/8" REG Box</v>
          </cell>
          <cell r="AF2337" t="str">
            <v>6-5/8" REG Pin</v>
          </cell>
          <cell r="AG2337" t="str">
            <v>NMDC</v>
          </cell>
          <cell r="AH2337" t="str">
            <v xml:space="preserve"> en stock </v>
          </cell>
          <cell r="AI2337">
            <v>1</v>
          </cell>
          <cell r="AJ2337">
            <v>0</v>
          </cell>
          <cell r="AK2337">
            <v>0</v>
          </cell>
          <cell r="AL2337"/>
          <cell r="AM2337"/>
          <cell r="AN2337" t="str">
            <v/>
          </cell>
          <cell r="AO2337"/>
          <cell r="AP2337"/>
          <cell r="AQ2337"/>
          <cell r="AR2337"/>
          <cell r="AS2337">
            <v>80</v>
          </cell>
          <cell r="AT2337"/>
          <cell r="AU2337" t="str">
            <v/>
          </cell>
          <cell r="AV2337"/>
        </row>
        <row r="2338">
          <cell r="Z2338">
            <v>8081981</v>
          </cell>
          <cell r="AA2338" t="str">
            <v xml:space="preserve">Saver Sub 8" OD for NMDC
4-1/2" IF Pin x Box
Set on : </v>
          </cell>
          <cell r="AB2338">
            <v>143.01990851606246</v>
          </cell>
          <cell r="AC2338">
            <v>8</v>
          </cell>
          <cell r="AD2338">
            <v>725</v>
          </cell>
          <cell r="AE2338" t="str">
            <v>6-5/8" REG Box</v>
          </cell>
          <cell r="AF2338" t="str">
            <v>6-5/8" REG Pin</v>
          </cell>
          <cell r="AG2338" t="str">
            <v>NMDC</v>
          </cell>
          <cell r="AH2338" t="str">
            <v xml:space="preserve"> en stock </v>
          </cell>
          <cell r="AI2338">
            <v>1</v>
          </cell>
          <cell r="AJ2338">
            <v>0</v>
          </cell>
          <cell r="AK2338">
            <v>0</v>
          </cell>
          <cell r="AL2338"/>
          <cell r="AM2338"/>
          <cell r="AN2338" t="str">
            <v/>
          </cell>
          <cell r="AO2338"/>
          <cell r="AP2338"/>
          <cell r="AQ2338"/>
          <cell r="AR2338"/>
          <cell r="AS2338">
            <v>81</v>
          </cell>
          <cell r="AT2338"/>
          <cell r="AU2338" t="str">
            <v/>
          </cell>
          <cell r="AV2338"/>
        </row>
        <row r="2339">
          <cell r="Z2339">
            <v>8081982</v>
          </cell>
          <cell r="AA2339" t="str">
            <v xml:space="preserve">Saver Sub 9-1/2" OD for NMDC
4-1/2" IF Pin x Box
Set on : </v>
          </cell>
          <cell r="AB2339">
            <v>206.74342219781249</v>
          </cell>
          <cell r="AC2339">
            <v>9.5</v>
          </cell>
          <cell r="AD2339">
            <v>725</v>
          </cell>
          <cell r="AE2339" t="str">
            <v>7-5/8" REG Box</v>
          </cell>
          <cell r="AF2339" t="str">
            <v>7-5/8" REG Pin</v>
          </cell>
          <cell r="AG2339" t="str">
            <v>NMDC</v>
          </cell>
          <cell r="AH2339" t="str">
            <v xml:space="preserve"> en stock </v>
          </cell>
          <cell r="AI2339">
            <v>1</v>
          </cell>
          <cell r="AJ2339">
            <v>0</v>
          </cell>
          <cell r="AK2339">
            <v>0</v>
          </cell>
          <cell r="AL2339"/>
          <cell r="AM2339"/>
          <cell r="AN2339" t="str">
            <v/>
          </cell>
          <cell r="AO2339"/>
          <cell r="AP2339"/>
          <cell r="AQ2339"/>
          <cell r="AR2339"/>
          <cell r="AS2339">
            <v>114</v>
          </cell>
          <cell r="AT2339"/>
          <cell r="AU2339" t="str">
            <v/>
          </cell>
          <cell r="AV2339"/>
        </row>
        <row r="2340">
          <cell r="Z2340">
            <v>8081983</v>
          </cell>
          <cell r="AA2340" t="str">
            <v xml:space="preserve">Saver Sub 9-1/2" OD for NMDC
4-1/2" IF Pin x Box
Set on : </v>
          </cell>
          <cell r="AB2340">
            <v>206.74342219781249</v>
          </cell>
          <cell r="AC2340">
            <v>9.5</v>
          </cell>
          <cell r="AD2340">
            <v>725</v>
          </cell>
          <cell r="AE2340" t="str">
            <v>7-5/8" REG Box</v>
          </cell>
          <cell r="AF2340" t="str">
            <v>7-5/8" REG Pin</v>
          </cell>
          <cell r="AG2340" t="str">
            <v>NMDC</v>
          </cell>
          <cell r="AH2340" t="str">
            <v xml:space="preserve"> en stock </v>
          </cell>
          <cell r="AI2340">
            <v>1</v>
          </cell>
          <cell r="AJ2340">
            <v>0</v>
          </cell>
          <cell r="AK2340">
            <v>0</v>
          </cell>
          <cell r="AL2340"/>
          <cell r="AM2340"/>
          <cell r="AN2340" t="str">
            <v/>
          </cell>
          <cell r="AO2340"/>
          <cell r="AP2340"/>
          <cell r="AQ2340"/>
          <cell r="AR2340"/>
          <cell r="AS2340">
            <v>115</v>
          </cell>
          <cell r="AT2340"/>
          <cell r="AU2340" t="str">
            <v/>
          </cell>
          <cell r="AV2340"/>
        </row>
        <row r="2341">
          <cell r="Z2341">
            <v>8081984</v>
          </cell>
          <cell r="AA2341" t="str">
            <v xml:space="preserve">Saver Sub 6-3/4" OD for NMDC
4-1/2" IF Pin x Box
Set on : </v>
          </cell>
          <cell r="AB2341">
            <v>90.270862804687496</v>
          </cell>
          <cell r="AC2341">
            <v>6.75</v>
          </cell>
          <cell r="AD2341">
            <v>625</v>
          </cell>
          <cell r="AE2341" t="str">
            <v>4-1/2" IF Box</v>
          </cell>
          <cell r="AF2341" t="str">
            <v>4-1/2" IF Pin</v>
          </cell>
          <cell r="AG2341" t="str">
            <v>DJ</v>
          </cell>
          <cell r="AH2341" t="str">
            <v xml:space="preserve"> en stock </v>
          </cell>
          <cell r="AI2341">
            <v>1</v>
          </cell>
          <cell r="AJ2341">
            <v>0</v>
          </cell>
          <cell r="AK2341">
            <v>0</v>
          </cell>
          <cell r="AL2341"/>
          <cell r="AM2341"/>
          <cell r="AN2341" t="str">
            <v/>
          </cell>
          <cell r="AO2341"/>
          <cell r="AP2341"/>
          <cell r="AQ2341"/>
          <cell r="AR2341"/>
          <cell r="AS2341">
            <v>68</v>
          </cell>
          <cell r="AT2341"/>
          <cell r="AU2341" t="str">
            <v/>
          </cell>
          <cell r="AV2341"/>
        </row>
        <row r="2342">
          <cell r="Z2342">
            <v>8081985</v>
          </cell>
          <cell r="AA2342" t="str">
            <v xml:space="preserve">Saver Sub 6-3/4" OD for NMDC
4-1/2" IF Pin x Box
Set on : </v>
          </cell>
          <cell r="AB2342">
            <v>90.270862804687496</v>
          </cell>
          <cell r="AC2342">
            <v>6.75</v>
          </cell>
          <cell r="AD2342">
            <v>625</v>
          </cell>
          <cell r="AE2342" t="str">
            <v>4-1/2" IF Box</v>
          </cell>
          <cell r="AF2342" t="str">
            <v>4-1/2" IF Pin</v>
          </cell>
          <cell r="AG2342" t="str">
            <v>DJ</v>
          </cell>
          <cell r="AH2342" t="str">
            <v xml:space="preserve"> en stock </v>
          </cell>
          <cell r="AI2342">
            <v>1</v>
          </cell>
          <cell r="AJ2342">
            <v>0</v>
          </cell>
          <cell r="AK2342">
            <v>0</v>
          </cell>
          <cell r="AL2342"/>
          <cell r="AM2342"/>
          <cell r="AN2342" t="str">
            <v/>
          </cell>
          <cell r="AO2342"/>
          <cell r="AP2342"/>
          <cell r="AQ2342"/>
          <cell r="AR2342"/>
          <cell r="AS2342">
            <v>69</v>
          </cell>
          <cell r="AT2342"/>
          <cell r="AU2342" t="str">
            <v/>
          </cell>
          <cell r="AV2342"/>
        </row>
        <row r="2343">
          <cell r="Z2343">
            <v>8081986</v>
          </cell>
          <cell r="AA2343" t="str">
            <v xml:space="preserve">8" OD Saver Sub for DJ
4-1/2" IF Pin x Box
Set on : </v>
          </cell>
          <cell r="AB2343">
            <v>0</v>
          </cell>
          <cell r="AC2343">
            <v>8</v>
          </cell>
          <cell r="AD2343">
            <v>725</v>
          </cell>
          <cell r="AE2343" t="str">
            <v>6-5/8" REG Box</v>
          </cell>
          <cell r="AF2343" t="str">
            <v>6-5/8" REG Pin</v>
          </cell>
          <cell r="AG2343" t="str">
            <v>DJ</v>
          </cell>
          <cell r="AH2343" t="str">
            <v xml:space="preserve"> en stock </v>
          </cell>
          <cell r="AI2343">
            <v>1</v>
          </cell>
          <cell r="AJ2343">
            <v>0</v>
          </cell>
          <cell r="AK2343">
            <v>0</v>
          </cell>
          <cell r="AL2343"/>
          <cell r="AM2343"/>
          <cell r="AN2343" t="str">
            <v/>
          </cell>
          <cell r="AO2343"/>
          <cell r="AP2343"/>
          <cell r="AQ2343"/>
          <cell r="AR2343"/>
          <cell r="AS2343">
            <v>101</v>
          </cell>
          <cell r="AT2343"/>
          <cell r="AU2343" t="str">
            <v/>
          </cell>
          <cell r="AV2343"/>
        </row>
        <row r="2344">
          <cell r="Z2344">
            <v>8081987</v>
          </cell>
          <cell r="AA2344" t="str">
            <v>8" OD Saver Sub for DJ
4-1/2" IF Pin x Box</v>
          </cell>
          <cell r="AB2344">
            <v>0</v>
          </cell>
          <cell r="AC2344">
            <v>8</v>
          </cell>
          <cell r="AD2344">
            <v>725</v>
          </cell>
          <cell r="AE2344" t="str">
            <v>6-5/8" REG Box</v>
          </cell>
          <cell r="AF2344" t="str">
            <v>6-5/8" REG Pin</v>
          </cell>
          <cell r="AG2344" t="str">
            <v>DJ</v>
          </cell>
          <cell r="AH2344" t="str">
            <v xml:space="preserve"> en stock </v>
          </cell>
          <cell r="AI2344">
            <v>1</v>
          </cell>
          <cell r="AJ2344">
            <v>0</v>
          </cell>
          <cell r="AK2344">
            <v>0</v>
          </cell>
          <cell r="AL2344"/>
          <cell r="AM2344"/>
          <cell r="AN2344" t="str">
            <v/>
          </cell>
          <cell r="AO2344"/>
          <cell r="AP2344"/>
          <cell r="AQ2344"/>
          <cell r="AR2344"/>
          <cell r="AS2344">
            <v>102</v>
          </cell>
          <cell r="AT2344"/>
          <cell r="AU2344" t="str">
            <v/>
          </cell>
          <cell r="AV2344"/>
        </row>
        <row r="2345">
          <cell r="Z2345">
            <v>8081988</v>
          </cell>
          <cell r="AA2345" t="str">
            <v>Float Sub 6-3/4" Lg 774 mm
4-1/2" IF Pin x 4-1/2" IF Box BF (4R)</v>
          </cell>
          <cell r="AB2345">
            <v>0</v>
          </cell>
          <cell r="AC2345">
            <v>6.75</v>
          </cell>
          <cell r="AD2345">
            <v>774</v>
          </cell>
          <cell r="AE2345" t="str">
            <v>4-1/2" IF Box BF</v>
          </cell>
          <cell r="AF2345" t="str">
            <v>4-1/2" IF Pin</v>
          </cell>
          <cell r="AG2345" t="str">
            <v>4R</v>
          </cell>
          <cell r="AH2345" t="str">
            <v>sur chantier</v>
          </cell>
          <cell r="AI2345" t="str">
            <v/>
          </cell>
          <cell r="AJ2345">
            <v>1</v>
          </cell>
          <cell r="AK2345">
            <v>0</v>
          </cell>
          <cell r="AL2345"/>
          <cell r="AM2345"/>
          <cell r="AN2345">
            <v>8081988</v>
          </cell>
          <cell r="AO2345"/>
          <cell r="AP2345"/>
          <cell r="AQ2345"/>
          <cell r="AR2345"/>
          <cell r="AS2345">
            <v>21</v>
          </cell>
          <cell r="AT2345"/>
          <cell r="AU2345" t="str">
            <v/>
          </cell>
          <cell r="AV2345"/>
        </row>
        <row r="2346">
          <cell r="Z2346">
            <v>8081989</v>
          </cell>
          <cell r="AA2346" t="str">
            <v>Float Sub 6-3/4" Lg 774 mm
4-1/2" IF Pin x 4-1/2" IF Box BF (4R)</v>
          </cell>
          <cell r="AB2346">
            <v>0</v>
          </cell>
          <cell r="AC2346">
            <v>6.75</v>
          </cell>
          <cell r="AD2346">
            <v>774</v>
          </cell>
          <cell r="AE2346" t="str">
            <v>4-1/2" IF Box BF</v>
          </cell>
          <cell r="AF2346" t="str">
            <v>4-1/2" IF Pin</v>
          </cell>
          <cell r="AG2346" t="str">
            <v>4R</v>
          </cell>
          <cell r="AH2346" t="str">
            <v xml:space="preserve"> en stock </v>
          </cell>
          <cell r="AI2346">
            <v>1</v>
          </cell>
          <cell r="AJ2346">
            <v>0</v>
          </cell>
          <cell r="AK2346">
            <v>0</v>
          </cell>
          <cell r="AL2346"/>
          <cell r="AM2346"/>
          <cell r="AN2346">
            <v>8081989</v>
          </cell>
          <cell r="AO2346"/>
          <cell r="AP2346"/>
          <cell r="AQ2346"/>
          <cell r="AR2346"/>
          <cell r="AS2346">
            <v>22</v>
          </cell>
          <cell r="AT2346"/>
          <cell r="AU2346" t="str">
            <v/>
          </cell>
          <cell r="AV2346"/>
        </row>
        <row r="2347">
          <cell r="Z2347">
            <v>8081965</v>
          </cell>
          <cell r="AA2347" t="str">
            <v>Float Sub 6-3/4" Lg 774 mm
4-1/2" IF Pin x 4-1/2" IF Box BF (4R)</v>
          </cell>
          <cell r="AB2347">
            <v>0</v>
          </cell>
          <cell r="AC2347">
            <v>6.75</v>
          </cell>
          <cell r="AD2347">
            <v>774</v>
          </cell>
          <cell r="AE2347" t="str">
            <v>4-1/2" IF Box BF</v>
          </cell>
          <cell r="AF2347" t="str">
            <v>4-1/2" IF Pin</v>
          </cell>
          <cell r="AG2347" t="str">
            <v>4R</v>
          </cell>
          <cell r="AH2347" t="str">
            <v xml:space="preserve"> en stock </v>
          </cell>
          <cell r="AI2347">
            <v>1</v>
          </cell>
          <cell r="AJ2347">
            <v>0</v>
          </cell>
          <cell r="AK2347">
            <v>0</v>
          </cell>
          <cell r="AL2347"/>
          <cell r="AM2347"/>
          <cell r="AN2347">
            <v>8081990</v>
          </cell>
          <cell r="AO2347"/>
          <cell r="AP2347"/>
          <cell r="AQ2347"/>
          <cell r="AR2347"/>
          <cell r="AS2347">
            <v>23</v>
          </cell>
          <cell r="AT2347"/>
          <cell r="AU2347" t="str">
            <v/>
          </cell>
          <cell r="AV2347"/>
        </row>
        <row r="2348">
          <cell r="Z2348">
            <v>8081991</v>
          </cell>
          <cell r="AA2348" t="str">
            <v>Float Sub 8" Lg 970 mm
6-5/8" REG Pin x 6-5/8" REG Box BF (5F-6R)</v>
          </cell>
          <cell r="AB2348">
            <v>198.29592114929997</v>
          </cell>
          <cell r="AC2348">
            <v>8</v>
          </cell>
          <cell r="AD2348">
            <v>970</v>
          </cell>
          <cell r="AE2348" t="str">
            <v>6-5/8" REG Box BF</v>
          </cell>
          <cell r="AF2348" t="str">
            <v>6-5/8" REG Pin</v>
          </cell>
          <cell r="AG2348" t="str">
            <v>5F-6R</v>
          </cell>
          <cell r="AH2348" t="str">
            <v>maintenance</v>
          </cell>
          <cell r="AI2348" t="str">
            <v/>
          </cell>
          <cell r="AJ2348">
            <v>0</v>
          </cell>
          <cell r="AK2348">
            <v>1</v>
          </cell>
          <cell r="AL2348"/>
          <cell r="AM2348"/>
          <cell r="AN2348">
            <v>8081991</v>
          </cell>
          <cell r="AO2348"/>
          <cell r="AP2348"/>
          <cell r="AQ2348"/>
          <cell r="AR2348"/>
          <cell r="AS2348">
            <v>30</v>
          </cell>
          <cell r="AT2348"/>
          <cell r="AU2348" t="str">
            <v/>
          </cell>
          <cell r="AV2348"/>
        </row>
        <row r="2349">
          <cell r="Z2349">
            <v>8081992</v>
          </cell>
          <cell r="AA2349" t="str">
            <v>Float Sub 8" Lg 970 mm
6-5/8" REG Pin x 6-5/8" REG Box BF (5F-6R)</v>
          </cell>
          <cell r="AB2349">
            <v>198.29592114929997</v>
          </cell>
          <cell r="AC2349">
            <v>8</v>
          </cell>
          <cell r="AD2349">
            <v>970</v>
          </cell>
          <cell r="AE2349" t="str">
            <v>6-5/8" REG Box BF</v>
          </cell>
          <cell r="AF2349" t="str">
            <v>6-5/8" REG Pin</v>
          </cell>
          <cell r="AG2349" t="str">
            <v>5F-6R</v>
          </cell>
          <cell r="AH2349" t="str">
            <v>sur chantier</v>
          </cell>
          <cell r="AI2349" t="str">
            <v/>
          </cell>
          <cell r="AJ2349">
            <v>1</v>
          </cell>
          <cell r="AK2349">
            <v>0</v>
          </cell>
          <cell r="AL2349"/>
          <cell r="AM2349"/>
          <cell r="AN2349">
            <v>8081992</v>
          </cell>
          <cell r="AO2349"/>
          <cell r="AP2349"/>
          <cell r="AQ2349"/>
          <cell r="AR2349"/>
          <cell r="AS2349">
            <v>31</v>
          </cell>
          <cell r="AT2349"/>
          <cell r="AU2349" t="str">
            <v/>
          </cell>
          <cell r="AV2349"/>
        </row>
        <row r="2350">
          <cell r="Z2350">
            <v>8081993</v>
          </cell>
          <cell r="AA2350" t="str">
            <v>Float Sub 8" Lg 970 mm
6-5/8" REG Pin x 6-5/8" REG Box BF (5F-6R)</v>
          </cell>
          <cell r="AB2350">
            <v>198.29592114929997</v>
          </cell>
          <cell r="AC2350">
            <v>8</v>
          </cell>
          <cell r="AD2350">
            <v>970</v>
          </cell>
          <cell r="AE2350" t="str">
            <v>6-5/8" REG Box BF</v>
          </cell>
          <cell r="AF2350" t="str">
            <v>6-5/8" REG Pin</v>
          </cell>
          <cell r="AG2350" t="str">
            <v>5F-6R</v>
          </cell>
          <cell r="AH2350" t="str">
            <v>sur chantier</v>
          </cell>
          <cell r="AI2350" t="str">
            <v/>
          </cell>
          <cell r="AJ2350">
            <v>1</v>
          </cell>
          <cell r="AK2350">
            <v>0</v>
          </cell>
          <cell r="AL2350"/>
          <cell r="AM2350"/>
          <cell r="AN2350">
            <v>8081993</v>
          </cell>
          <cell r="AO2350"/>
          <cell r="AP2350"/>
          <cell r="AQ2350"/>
          <cell r="AR2350"/>
          <cell r="AS2350">
            <v>32</v>
          </cell>
          <cell r="AT2350"/>
          <cell r="AU2350" t="str">
            <v/>
          </cell>
          <cell r="AV2350"/>
        </row>
        <row r="2351">
          <cell r="Z2351">
            <v>8081994</v>
          </cell>
          <cell r="AA2351" t="str">
            <v>Float Sub 8" Lg 970 mm
6-5/8" REG Pin x 6-5/8" REG Box BF (5F-6R)</v>
          </cell>
          <cell r="AB2351">
            <v>198.29592114929997</v>
          </cell>
          <cell r="AC2351">
            <v>8</v>
          </cell>
          <cell r="AD2351">
            <v>970</v>
          </cell>
          <cell r="AE2351" t="str">
            <v>6-5/8" REG Box BF</v>
          </cell>
          <cell r="AF2351" t="str">
            <v>6-5/8" REG Pin</v>
          </cell>
          <cell r="AG2351" t="str">
            <v>5F-6R</v>
          </cell>
          <cell r="AH2351" t="str">
            <v>maintenance</v>
          </cell>
          <cell r="AI2351" t="str">
            <v/>
          </cell>
          <cell r="AJ2351">
            <v>0</v>
          </cell>
          <cell r="AK2351">
            <v>1</v>
          </cell>
          <cell r="AL2351"/>
          <cell r="AM2351"/>
          <cell r="AN2351">
            <v>8081994</v>
          </cell>
          <cell r="AO2351"/>
          <cell r="AP2351"/>
          <cell r="AQ2351"/>
          <cell r="AR2351"/>
          <cell r="AS2351">
            <v>33</v>
          </cell>
          <cell r="AT2351"/>
          <cell r="AU2351" t="str">
            <v/>
          </cell>
          <cell r="AV2351"/>
        </row>
        <row r="2352">
          <cell r="Z2352">
            <v>7021995</v>
          </cell>
          <cell r="AA2352" t="str">
            <v>Fishing Magnet 13-5/8"OD
6-5/8" REG Pin</v>
          </cell>
          <cell r="AB2352">
            <v>0</v>
          </cell>
          <cell r="AC2352">
            <v>13.5</v>
          </cell>
          <cell r="AD2352">
            <v>666</v>
          </cell>
          <cell r="AE2352" t="str">
            <v>6-5/8" REG Pin</v>
          </cell>
          <cell r="AF2352"/>
          <cell r="AG2352"/>
          <cell r="AH2352" t="str">
            <v xml:space="preserve"> en stock </v>
          </cell>
          <cell r="AI2352">
            <v>1</v>
          </cell>
          <cell r="AJ2352">
            <v>0</v>
          </cell>
          <cell r="AK2352">
            <v>0</v>
          </cell>
          <cell r="AL2352"/>
          <cell r="AM2352"/>
          <cell r="AN2352">
            <v>7021995</v>
          </cell>
          <cell r="AO2352"/>
          <cell r="AP2352"/>
          <cell r="AQ2352"/>
          <cell r="AR2352"/>
          <cell r="AS2352">
            <v>14</v>
          </cell>
          <cell r="AT2352"/>
          <cell r="AU2352" t="str">
            <v>FR</v>
          </cell>
          <cell r="AV2352"/>
        </row>
        <row r="2353">
          <cell r="Z2353">
            <v>7021996</v>
          </cell>
          <cell r="AA2353" t="str">
            <v>Fishing Magnet 13-5/8"OD
6-5/8" REG Pin</v>
          </cell>
          <cell r="AB2353">
            <v>0</v>
          </cell>
          <cell r="AC2353">
            <v>13.5</v>
          </cell>
          <cell r="AD2353">
            <v>666</v>
          </cell>
          <cell r="AE2353" t="str">
            <v>6-5/8" REG Pin</v>
          </cell>
          <cell r="AF2353"/>
          <cell r="AG2353"/>
          <cell r="AH2353" t="str">
            <v xml:space="preserve"> en stock </v>
          </cell>
          <cell r="AI2353">
            <v>1</v>
          </cell>
          <cell r="AJ2353">
            <v>0</v>
          </cell>
          <cell r="AK2353">
            <v>0</v>
          </cell>
          <cell r="AL2353"/>
          <cell r="AM2353"/>
          <cell r="AN2353">
            <v>7021996</v>
          </cell>
          <cell r="AO2353"/>
          <cell r="AP2353"/>
          <cell r="AQ2353"/>
          <cell r="AR2353"/>
          <cell r="AS2353">
            <v>15</v>
          </cell>
          <cell r="AT2353"/>
          <cell r="AU2353" t="str">
            <v>FR</v>
          </cell>
          <cell r="AV2353"/>
        </row>
        <row r="2354">
          <cell r="Z2354">
            <v>1061997</v>
          </cell>
          <cell r="AA2354" t="str">
            <v>Impression Block
6-5/8" REG Pin</v>
          </cell>
          <cell r="AB2354">
            <v>300</v>
          </cell>
          <cell r="AC2354">
            <v>13.5</v>
          </cell>
          <cell r="AD2354">
            <v>601</v>
          </cell>
          <cell r="AE2354" t="str">
            <v>6-5/8" REG Pin</v>
          </cell>
          <cell r="AF2354"/>
          <cell r="AG2354"/>
          <cell r="AH2354" t="str">
            <v xml:space="preserve"> en stock </v>
          </cell>
          <cell r="AI2354">
            <v>1</v>
          </cell>
          <cell r="AJ2354">
            <v>0</v>
          </cell>
          <cell r="AK2354">
            <v>0</v>
          </cell>
          <cell r="AL2354"/>
          <cell r="AM2354"/>
          <cell r="AN2354">
            <v>1061997</v>
          </cell>
          <cell r="AO2354"/>
          <cell r="AP2354"/>
          <cell r="AQ2354"/>
          <cell r="AR2354"/>
          <cell r="AS2354">
            <v>28</v>
          </cell>
          <cell r="AT2354"/>
          <cell r="AU2354" t="str">
            <v>FR</v>
          </cell>
          <cell r="AV2354"/>
        </row>
        <row r="2355">
          <cell r="Z2355">
            <v>1061998</v>
          </cell>
          <cell r="AA2355" t="str">
            <v>Impression Block
6-5/8" REG Pin</v>
          </cell>
          <cell r="AB2355">
            <v>300</v>
          </cell>
          <cell r="AC2355">
            <v>13.5</v>
          </cell>
          <cell r="AD2355">
            <v>601</v>
          </cell>
          <cell r="AE2355" t="str">
            <v>6-5/8" REG Pin</v>
          </cell>
          <cell r="AF2355"/>
          <cell r="AG2355"/>
          <cell r="AH2355" t="str">
            <v xml:space="preserve"> en stock </v>
          </cell>
          <cell r="AI2355">
            <v>1</v>
          </cell>
          <cell r="AJ2355">
            <v>0</v>
          </cell>
          <cell r="AK2355">
            <v>0</v>
          </cell>
          <cell r="AL2355"/>
          <cell r="AM2355"/>
          <cell r="AN2355">
            <v>1061998</v>
          </cell>
          <cell r="AO2355"/>
          <cell r="AP2355"/>
          <cell r="AQ2355"/>
          <cell r="AR2355"/>
          <cell r="AS2355">
            <v>29</v>
          </cell>
          <cell r="AT2355"/>
          <cell r="AU2355" t="str">
            <v>FR</v>
          </cell>
          <cell r="AV2355"/>
        </row>
        <row r="2356">
          <cell r="Z2356">
            <v>5121999</v>
          </cell>
          <cell r="AA2356" t="str">
            <v xml:space="preserve">WO Top Sub 
2-3/8" IF Box x 3-3/4" FJWP Pin x 1-1/4" REG Box in </v>
          </cell>
          <cell r="AB2356">
            <v>0</v>
          </cell>
          <cell r="AC2356">
            <v>8.125</v>
          </cell>
          <cell r="AD2356">
            <v>600</v>
          </cell>
          <cell r="AE2356" t="str">
            <v>4-1/2" IF Box</v>
          </cell>
          <cell r="AF2356" t="str">
            <v>8-1/8" FJWP Pin</v>
          </cell>
          <cell r="AG2356" t="str">
            <v>4-1/2" REG Box</v>
          </cell>
          <cell r="AH2356" t="str">
            <v xml:space="preserve"> en stock </v>
          </cell>
          <cell r="AI2356">
            <v>1</v>
          </cell>
          <cell r="AJ2356">
            <v>0</v>
          </cell>
          <cell r="AK2356">
            <v>0</v>
          </cell>
          <cell r="AL2356"/>
          <cell r="AM2356"/>
          <cell r="AN2356">
            <v>5121999</v>
          </cell>
          <cell r="AO2356"/>
          <cell r="AP2356"/>
          <cell r="AQ2356"/>
          <cell r="AR2356"/>
          <cell r="AS2356">
            <v>41</v>
          </cell>
          <cell r="AT2356"/>
          <cell r="AU2356" t="str">
            <v>FR</v>
          </cell>
          <cell r="AV2356"/>
        </row>
        <row r="2357">
          <cell r="Z2357">
            <v>5122000</v>
          </cell>
          <cell r="AA2357" t="str">
            <v xml:space="preserve">WO Top Sub 
2-3/8" IF Box x 3-3/4" FJWP Pin x 1-1/4" REG Box in </v>
          </cell>
          <cell r="AB2357">
            <v>0</v>
          </cell>
          <cell r="AC2357">
            <v>8.125</v>
          </cell>
          <cell r="AD2357">
            <v>600</v>
          </cell>
          <cell r="AE2357" t="str">
            <v>4-1/2" IF Box</v>
          </cell>
          <cell r="AF2357" t="str">
            <v>8-1/8" FJWP Pin</v>
          </cell>
          <cell r="AG2357" t="str">
            <v>4-1/2" REG Box</v>
          </cell>
          <cell r="AH2357" t="str">
            <v xml:space="preserve"> en stock </v>
          </cell>
          <cell r="AI2357">
            <v>1</v>
          </cell>
          <cell r="AJ2357">
            <v>0</v>
          </cell>
          <cell r="AK2357">
            <v>0</v>
          </cell>
          <cell r="AL2357"/>
          <cell r="AM2357"/>
          <cell r="AN2357">
            <v>5122000</v>
          </cell>
          <cell r="AO2357"/>
          <cell r="AP2357"/>
          <cell r="AQ2357"/>
          <cell r="AR2357"/>
          <cell r="AS2357">
            <v>42</v>
          </cell>
          <cell r="AT2357"/>
          <cell r="AU2357" t="str">
            <v>FR</v>
          </cell>
          <cell r="AV2357"/>
        </row>
        <row r="2358">
          <cell r="Z2358">
            <v>7042001</v>
          </cell>
          <cell r="AA2358" t="str">
            <v>8-1/8" FS Overshont - CA C5342
4-1/2" IF Box</v>
          </cell>
          <cell r="AB2358">
            <v>0</v>
          </cell>
          <cell r="AC2358" t="str">
            <v>5-3/4" FS</v>
          </cell>
          <cell r="AD2358">
            <v>0</v>
          </cell>
          <cell r="AE2358" t="str">
            <v>bowl</v>
          </cell>
          <cell r="AF2358" t="str">
            <v>n°125</v>
          </cell>
          <cell r="AG2358">
            <v>8975</v>
          </cell>
          <cell r="AH2358" t="str">
            <v xml:space="preserve"> en stock </v>
          </cell>
          <cell r="AI2358">
            <v>1</v>
          </cell>
          <cell r="AJ2358">
            <v>0</v>
          </cell>
          <cell r="AK2358">
            <v>0</v>
          </cell>
          <cell r="AL2358"/>
          <cell r="AM2358"/>
          <cell r="AN2358" t="str">
            <v/>
          </cell>
          <cell r="AO2358"/>
          <cell r="AP2358"/>
          <cell r="AQ2358"/>
          <cell r="AR2358"/>
          <cell r="AS2358">
            <v>38</v>
          </cell>
          <cell r="AT2358" t="str">
            <v>704-8975</v>
          </cell>
          <cell r="AU2358" t="str">
            <v/>
          </cell>
          <cell r="AV2358"/>
        </row>
        <row r="2359">
          <cell r="Z2359">
            <v>7052002</v>
          </cell>
          <cell r="AA2359" t="str">
            <v>Extension 5-3/4" FS Lg 900mm CA 8975
5-3/4" FS Sellers Pin x Box</v>
          </cell>
          <cell r="AB2359">
            <v>51.426616148578113</v>
          </cell>
          <cell r="AC2359" t="str">
            <v>5-3/4" FS</v>
          </cell>
          <cell r="AD2359">
            <v>900</v>
          </cell>
          <cell r="AE2359" t="str">
            <v>5-3/4" FS Sellers Box</v>
          </cell>
          <cell r="AF2359" t="str">
            <v>5-3/4" FS Sellers Pin</v>
          </cell>
          <cell r="AG2359">
            <v>8975</v>
          </cell>
          <cell r="AH2359" t="str">
            <v xml:space="preserve"> en stock </v>
          </cell>
          <cell r="AI2359">
            <v>1</v>
          </cell>
          <cell r="AJ2359">
            <v>0</v>
          </cell>
          <cell r="AK2359">
            <v>0</v>
          </cell>
          <cell r="AL2359"/>
          <cell r="AM2359"/>
          <cell r="AN2359">
            <v>7052002</v>
          </cell>
          <cell r="AO2359"/>
          <cell r="AP2359"/>
          <cell r="AQ2359"/>
          <cell r="AR2359"/>
          <cell r="AS2359">
            <v>26</v>
          </cell>
          <cell r="AT2359" t="str">
            <v>705-8975</v>
          </cell>
          <cell r="AU2359" t="str">
            <v>US</v>
          </cell>
          <cell r="AV2359"/>
        </row>
        <row r="2360">
          <cell r="Z2360">
            <v>7052003</v>
          </cell>
          <cell r="AA2360" t="str">
            <v>Extension 5-3/4" FS Lg 900mm CA 8975
5-3/4" FS Sellers Pin x Box</v>
          </cell>
          <cell r="AB2360">
            <v>51.426616148578113</v>
          </cell>
          <cell r="AC2360" t="str">
            <v>5-3/4" FS</v>
          </cell>
          <cell r="AD2360">
            <v>900</v>
          </cell>
          <cell r="AE2360" t="str">
            <v>5-3/4" FS Sellers Box</v>
          </cell>
          <cell r="AF2360" t="str">
            <v>5-3/4" FS Sellers Pin</v>
          </cell>
          <cell r="AG2360">
            <v>8975</v>
          </cell>
          <cell r="AH2360" t="str">
            <v xml:space="preserve"> en stock </v>
          </cell>
          <cell r="AI2360">
            <v>1</v>
          </cell>
          <cell r="AJ2360">
            <v>0</v>
          </cell>
          <cell r="AK2360">
            <v>0</v>
          </cell>
          <cell r="AL2360"/>
          <cell r="AM2360"/>
          <cell r="AN2360">
            <v>7052003</v>
          </cell>
          <cell r="AO2360"/>
          <cell r="AP2360"/>
          <cell r="AQ2360"/>
          <cell r="AR2360"/>
          <cell r="AS2360">
            <v>27</v>
          </cell>
          <cell r="AT2360" t="str">
            <v>705-8975</v>
          </cell>
          <cell r="AU2360" t="str">
            <v>US</v>
          </cell>
          <cell r="AV2360"/>
        </row>
        <row r="2361">
          <cell r="Z2361">
            <v>8132004</v>
          </cell>
          <cell r="AA2361" t="str">
            <v>XO
4-1/2" IF Pin x 3-1/2" IF Box</v>
          </cell>
          <cell r="AB2361">
            <v>168.72164340281245</v>
          </cell>
          <cell r="AC2361">
            <v>6.625</v>
          </cell>
          <cell r="AD2361">
            <v>1100</v>
          </cell>
          <cell r="AE2361" t="str">
            <v>4-1/2" IF Pin</v>
          </cell>
          <cell r="AF2361" t="str">
            <v>3-1/2" IF Box</v>
          </cell>
          <cell r="AG2361"/>
          <cell r="AH2361" t="str">
            <v>maintenance</v>
          </cell>
          <cell r="AI2361" t="str">
            <v/>
          </cell>
          <cell r="AJ2361">
            <v>0</v>
          </cell>
          <cell r="AK2361">
            <v>1</v>
          </cell>
          <cell r="AL2361"/>
          <cell r="AM2361"/>
          <cell r="AN2361">
            <v>8132004</v>
          </cell>
          <cell r="AO2361"/>
          <cell r="AP2361"/>
          <cell r="AQ2361"/>
          <cell r="AR2361"/>
          <cell r="AS2361">
            <v>163</v>
          </cell>
          <cell r="AT2361"/>
          <cell r="AU2361" t="str">
            <v>FR</v>
          </cell>
          <cell r="AV2361"/>
        </row>
        <row r="2362">
          <cell r="Z2362">
            <v>8132005</v>
          </cell>
          <cell r="AA2362" t="str">
            <v>XO
4-1/2" IF Pin x 3-1/2" IF Box</v>
          </cell>
          <cell r="AB2362">
            <v>168.72164340281245</v>
          </cell>
          <cell r="AC2362">
            <v>6.625</v>
          </cell>
          <cell r="AD2362">
            <v>1100</v>
          </cell>
          <cell r="AE2362" t="str">
            <v>4-1/2" IF Pin</v>
          </cell>
          <cell r="AF2362" t="str">
            <v>3-1/2" IF Box</v>
          </cell>
          <cell r="AG2362"/>
          <cell r="AH2362" t="str">
            <v>maintenance</v>
          </cell>
          <cell r="AI2362" t="str">
            <v/>
          </cell>
          <cell r="AJ2362">
            <v>0</v>
          </cell>
          <cell r="AK2362">
            <v>1</v>
          </cell>
          <cell r="AL2362"/>
          <cell r="AM2362"/>
          <cell r="AN2362">
            <v>8132005</v>
          </cell>
          <cell r="AO2362"/>
          <cell r="AP2362"/>
          <cell r="AQ2362"/>
          <cell r="AR2362"/>
          <cell r="AS2362">
            <v>164</v>
          </cell>
          <cell r="AT2362"/>
          <cell r="AU2362" t="str">
            <v>FR</v>
          </cell>
          <cell r="AV2362"/>
        </row>
        <row r="2363">
          <cell r="Z2363">
            <v>8132006</v>
          </cell>
          <cell r="AA2363" t="str">
            <v>XO
3-1/2" IF Pin x 4-1/2" IF Box</v>
          </cell>
          <cell r="AB2363">
            <v>168.72164340281245</v>
          </cell>
          <cell r="AC2363">
            <v>6.625</v>
          </cell>
          <cell r="AD2363">
            <v>1100</v>
          </cell>
          <cell r="AE2363" t="str">
            <v>3-1/2" IF Pin</v>
          </cell>
          <cell r="AF2363" t="str">
            <v>4-1/2" IF Box</v>
          </cell>
          <cell r="AG2363"/>
          <cell r="AH2363" t="str">
            <v xml:space="preserve"> en stock </v>
          </cell>
          <cell r="AI2363">
            <v>1</v>
          </cell>
          <cell r="AJ2363">
            <v>0</v>
          </cell>
          <cell r="AK2363">
            <v>0</v>
          </cell>
          <cell r="AL2363"/>
          <cell r="AM2363"/>
          <cell r="AN2363">
            <v>8132006</v>
          </cell>
          <cell r="AO2363"/>
          <cell r="AP2363"/>
          <cell r="AQ2363"/>
          <cell r="AR2363"/>
          <cell r="AS2363">
            <v>128</v>
          </cell>
          <cell r="AT2363"/>
          <cell r="AU2363" t="str">
            <v>FR</v>
          </cell>
          <cell r="AV2363"/>
        </row>
        <row r="2364">
          <cell r="Z2364">
            <v>8132007</v>
          </cell>
          <cell r="AA2364" t="str">
            <v>XO
3-1/2" IF Pin x 4-1/2" IF Box</v>
          </cell>
          <cell r="AB2364">
            <v>168.72164340281245</v>
          </cell>
          <cell r="AC2364">
            <v>6.625</v>
          </cell>
          <cell r="AD2364">
            <v>1100</v>
          </cell>
          <cell r="AE2364" t="str">
            <v>3-1/2" IF Pin</v>
          </cell>
          <cell r="AF2364" t="str">
            <v>4-1/2" IF Box</v>
          </cell>
          <cell r="AG2364"/>
          <cell r="AH2364" t="str">
            <v>maintenance</v>
          </cell>
          <cell r="AI2364" t="str">
            <v/>
          </cell>
          <cell r="AJ2364">
            <v>0</v>
          </cell>
          <cell r="AK2364">
            <v>1</v>
          </cell>
          <cell r="AL2364"/>
          <cell r="AM2364"/>
          <cell r="AN2364">
            <v>8132007</v>
          </cell>
          <cell r="AO2364"/>
          <cell r="AP2364"/>
          <cell r="AQ2364"/>
          <cell r="AR2364"/>
          <cell r="AS2364">
            <v>129</v>
          </cell>
          <cell r="AT2364"/>
          <cell r="AU2364" t="str">
            <v>FR</v>
          </cell>
          <cell r="AV2364"/>
        </row>
        <row r="2365">
          <cell r="Z2365">
            <v>5102008</v>
          </cell>
          <cell r="AA2365" t="str">
            <v>WO Pipe
5-1/2" FJWP Pin x Box</v>
          </cell>
          <cell r="AB2365">
            <v>1135.2216811649998</v>
          </cell>
          <cell r="AC2365">
            <v>5.5</v>
          </cell>
          <cell r="AD2365">
            <v>9500</v>
          </cell>
          <cell r="AE2365" t="str">
            <v>5-1/2" FJWP Box</v>
          </cell>
          <cell r="AF2365" t="str">
            <v>5-1/2" FJWP Pin</v>
          </cell>
          <cell r="AG2365"/>
          <cell r="AH2365" t="str">
            <v xml:space="preserve"> en stock </v>
          </cell>
          <cell r="AI2365">
            <v>1</v>
          </cell>
          <cell r="AJ2365">
            <v>0</v>
          </cell>
          <cell r="AK2365">
            <v>0</v>
          </cell>
          <cell r="AL2365"/>
          <cell r="AM2365"/>
          <cell r="AN2365">
            <v>5102008</v>
          </cell>
          <cell r="AO2365"/>
          <cell r="AP2365"/>
          <cell r="AQ2365"/>
          <cell r="AR2365"/>
          <cell r="AS2365">
            <v>78</v>
          </cell>
          <cell r="AT2365" t="str">
            <v>509-5,500FJWP</v>
          </cell>
          <cell r="AU2365" t="str">
            <v/>
          </cell>
          <cell r="AV2365"/>
        </row>
        <row r="2366">
          <cell r="Z2366">
            <v>5102009</v>
          </cell>
          <cell r="AA2366" t="str">
            <v>WO Pipe
5-1/2" FJWP Pin x Box</v>
          </cell>
          <cell r="AB2366">
            <v>1135.2216811649998</v>
          </cell>
          <cell r="AC2366">
            <v>5.5</v>
          </cell>
          <cell r="AD2366">
            <v>9500</v>
          </cell>
          <cell r="AE2366" t="str">
            <v>5-1/2" FJWP Box</v>
          </cell>
          <cell r="AF2366" t="str">
            <v>5-1/2" FJWP Pin</v>
          </cell>
          <cell r="AG2366"/>
          <cell r="AH2366" t="str">
            <v xml:space="preserve"> en stock </v>
          </cell>
          <cell r="AI2366">
            <v>1</v>
          </cell>
          <cell r="AJ2366">
            <v>0</v>
          </cell>
          <cell r="AK2366">
            <v>0</v>
          </cell>
          <cell r="AL2366"/>
          <cell r="AM2366"/>
          <cell r="AN2366">
            <v>5102009</v>
          </cell>
          <cell r="AO2366"/>
          <cell r="AP2366"/>
          <cell r="AQ2366"/>
          <cell r="AR2366"/>
          <cell r="AS2366">
            <v>79</v>
          </cell>
          <cell r="AT2366" t="str">
            <v>509-5,500FJWP</v>
          </cell>
          <cell r="AU2366" t="str">
            <v/>
          </cell>
          <cell r="AV2366"/>
        </row>
        <row r="2367">
          <cell r="Z2367">
            <v>5102010</v>
          </cell>
          <cell r="AA2367" t="str">
            <v>WO Pipe
5-1/2" FJWP Pin x Box</v>
          </cell>
          <cell r="AB2367">
            <v>1135.2216811649998</v>
          </cell>
          <cell r="AC2367">
            <v>5.5</v>
          </cell>
          <cell r="AD2367">
            <v>9500</v>
          </cell>
          <cell r="AE2367" t="str">
            <v>5-1/2" FJWP Box</v>
          </cell>
          <cell r="AF2367" t="str">
            <v>5-1/2" FJWP Pin</v>
          </cell>
          <cell r="AG2367"/>
          <cell r="AH2367" t="str">
            <v xml:space="preserve"> en stock </v>
          </cell>
          <cell r="AI2367">
            <v>1</v>
          </cell>
          <cell r="AJ2367">
            <v>0</v>
          </cell>
          <cell r="AK2367">
            <v>0</v>
          </cell>
          <cell r="AL2367"/>
          <cell r="AM2367"/>
          <cell r="AN2367">
            <v>5102010</v>
          </cell>
          <cell r="AO2367"/>
          <cell r="AP2367"/>
          <cell r="AQ2367"/>
          <cell r="AR2367"/>
          <cell r="AS2367">
            <v>80</v>
          </cell>
          <cell r="AT2367" t="str">
            <v>509-5,500FJWP</v>
          </cell>
          <cell r="AU2367" t="str">
            <v/>
          </cell>
          <cell r="AV2367"/>
        </row>
        <row r="2368">
          <cell r="Z2368">
            <v>5102011</v>
          </cell>
          <cell r="AA2368" t="str">
            <v>WO Pipe
5-1/2" FJWP Pin x Box</v>
          </cell>
          <cell r="AB2368">
            <v>1135.2216811649998</v>
          </cell>
          <cell r="AC2368">
            <v>5.5</v>
          </cell>
          <cell r="AD2368">
            <v>9500</v>
          </cell>
          <cell r="AE2368" t="str">
            <v>5-1/2" FJWP Box</v>
          </cell>
          <cell r="AF2368" t="str">
            <v>5-1/2" FJWP Pin</v>
          </cell>
          <cell r="AG2368"/>
          <cell r="AH2368" t="str">
            <v xml:space="preserve"> en stock </v>
          </cell>
          <cell r="AI2368">
            <v>1</v>
          </cell>
          <cell r="AJ2368">
            <v>0</v>
          </cell>
          <cell r="AK2368">
            <v>0</v>
          </cell>
          <cell r="AL2368"/>
          <cell r="AM2368"/>
          <cell r="AN2368">
            <v>5102011</v>
          </cell>
          <cell r="AO2368"/>
          <cell r="AP2368"/>
          <cell r="AQ2368"/>
          <cell r="AR2368"/>
          <cell r="AS2368">
            <v>81</v>
          </cell>
          <cell r="AT2368" t="str">
            <v>509-5,500FJWP</v>
          </cell>
          <cell r="AU2368" t="str">
            <v/>
          </cell>
          <cell r="AV2368"/>
        </row>
        <row r="2369">
          <cell r="Z2369">
            <v>5102012</v>
          </cell>
          <cell r="AA2369" t="str">
            <v>WO Pipe
5-1/2" FJWP Pin x Box</v>
          </cell>
          <cell r="AB2369">
            <v>1135.2216811649998</v>
          </cell>
          <cell r="AC2369">
            <v>5.5</v>
          </cell>
          <cell r="AD2369">
            <v>9500</v>
          </cell>
          <cell r="AE2369" t="str">
            <v>5-1/2" FJWP Box</v>
          </cell>
          <cell r="AF2369" t="str">
            <v>5-1/2" FJWP Pin</v>
          </cell>
          <cell r="AG2369"/>
          <cell r="AH2369" t="str">
            <v xml:space="preserve"> en stock </v>
          </cell>
          <cell r="AI2369">
            <v>1</v>
          </cell>
          <cell r="AJ2369">
            <v>0</v>
          </cell>
          <cell r="AK2369">
            <v>0</v>
          </cell>
          <cell r="AL2369"/>
          <cell r="AM2369"/>
          <cell r="AN2369">
            <v>5102012</v>
          </cell>
          <cell r="AO2369"/>
          <cell r="AP2369"/>
          <cell r="AQ2369"/>
          <cell r="AR2369"/>
          <cell r="AS2369">
            <v>82</v>
          </cell>
          <cell r="AT2369" t="str">
            <v>509-5,500FJWP</v>
          </cell>
          <cell r="AU2369" t="str">
            <v/>
          </cell>
          <cell r="AV2369"/>
        </row>
        <row r="2370">
          <cell r="Z2370">
            <v>5092013</v>
          </cell>
          <cell r="AA2370" t="str">
            <v>WO Extension Lg 2930 mm
5-1/2" FJWP Pin x Box</v>
          </cell>
          <cell r="AB2370">
            <v>75.052892736656233</v>
          </cell>
          <cell r="AC2370">
            <v>5.5</v>
          </cell>
          <cell r="AD2370">
            <v>2930</v>
          </cell>
          <cell r="AE2370" t="str">
            <v>5-1/2" FJWP Box</v>
          </cell>
          <cell r="AF2370" t="str">
            <v>5-1/2" FJWP Pin</v>
          </cell>
          <cell r="AG2370"/>
          <cell r="AH2370" t="str">
            <v xml:space="preserve"> en stock </v>
          </cell>
          <cell r="AI2370">
            <v>1</v>
          </cell>
          <cell r="AJ2370">
            <v>0</v>
          </cell>
          <cell r="AK2370">
            <v>0</v>
          </cell>
          <cell r="AL2370"/>
          <cell r="AM2370"/>
          <cell r="AN2370">
            <v>5092013</v>
          </cell>
          <cell r="AO2370"/>
          <cell r="AP2370"/>
          <cell r="AQ2370"/>
          <cell r="AR2370"/>
          <cell r="AS2370">
            <v>62</v>
          </cell>
          <cell r="AT2370" t="str">
            <v>509-5,500FJWP</v>
          </cell>
          <cell r="AU2370" t="str">
            <v/>
          </cell>
          <cell r="AV2370"/>
        </row>
        <row r="2371">
          <cell r="Z2371">
            <v>5092014</v>
          </cell>
          <cell r="AA2371" t="str">
            <v>WO Extension Lg 2950 mm
5-1/2" FJWP Pin x Box</v>
          </cell>
          <cell r="AB2371">
            <v>75.565199171718731</v>
          </cell>
          <cell r="AC2371">
            <v>5.5</v>
          </cell>
          <cell r="AD2371">
            <v>2950</v>
          </cell>
          <cell r="AE2371" t="str">
            <v>5-1/2" FJWP Box</v>
          </cell>
          <cell r="AF2371" t="str">
            <v>5-1/2" FJWP Pin</v>
          </cell>
          <cell r="AG2371"/>
          <cell r="AH2371" t="str">
            <v xml:space="preserve"> en stock </v>
          </cell>
          <cell r="AI2371">
            <v>1</v>
          </cell>
          <cell r="AJ2371">
            <v>0</v>
          </cell>
          <cell r="AK2371">
            <v>0</v>
          </cell>
          <cell r="AL2371"/>
          <cell r="AM2371"/>
          <cell r="AN2371">
            <v>5092014</v>
          </cell>
          <cell r="AO2371"/>
          <cell r="AP2371"/>
          <cell r="AQ2371"/>
          <cell r="AR2371"/>
          <cell r="AS2371">
            <v>63</v>
          </cell>
          <cell r="AT2371" t="str">
            <v>509-5,500FJWP</v>
          </cell>
          <cell r="AU2371" t="str">
            <v/>
          </cell>
          <cell r="AV2371"/>
        </row>
        <row r="2372">
          <cell r="Z2372">
            <v>5092015</v>
          </cell>
          <cell r="AA2372" t="str">
            <v>WO Extension Lg 3915 mm
5-1/2" FJWP Pin x Box</v>
          </cell>
          <cell r="AB2372">
            <v>100.28398466348438</v>
          </cell>
          <cell r="AC2372">
            <v>5.5</v>
          </cell>
          <cell r="AD2372">
            <v>3915</v>
          </cell>
          <cell r="AE2372" t="str">
            <v>5-1/2" FJWP Box</v>
          </cell>
          <cell r="AF2372" t="str">
            <v>5-1/2" FJWP Pin</v>
          </cell>
          <cell r="AG2372"/>
          <cell r="AH2372" t="str">
            <v xml:space="preserve"> en stock </v>
          </cell>
          <cell r="AI2372">
            <v>1</v>
          </cell>
          <cell r="AJ2372">
            <v>0</v>
          </cell>
          <cell r="AK2372">
            <v>0</v>
          </cell>
          <cell r="AL2372"/>
          <cell r="AM2372"/>
          <cell r="AN2372">
            <v>5092015</v>
          </cell>
          <cell r="AO2372"/>
          <cell r="AP2372"/>
          <cell r="AQ2372"/>
          <cell r="AR2372"/>
          <cell r="AS2372">
            <v>64</v>
          </cell>
          <cell r="AT2372" t="str">
            <v>509-5,500FJWP</v>
          </cell>
          <cell r="AU2372" t="str">
            <v/>
          </cell>
          <cell r="AV2372"/>
        </row>
        <row r="2373">
          <cell r="Z2373">
            <v>5092016</v>
          </cell>
          <cell r="AA2373" t="str">
            <v>WO Extension Lg 5460 mm
5-1/2" FJWP Pin x Box</v>
          </cell>
          <cell r="AB2373">
            <v>139.85965677206249</v>
          </cell>
          <cell r="AC2373">
            <v>5.5</v>
          </cell>
          <cell r="AD2373">
            <v>5460</v>
          </cell>
          <cell r="AE2373" t="str">
            <v>5-1/2" FJWP Box</v>
          </cell>
          <cell r="AF2373" t="str">
            <v>5-1/2" FJWP Pin</v>
          </cell>
          <cell r="AG2373"/>
          <cell r="AH2373" t="str">
            <v xml:space="preserve"> en stock </v>
          </cell>
          <cell r="AI2373">
            <v>1</v>
          </cell>
          <cell r="AJ2373">
            <v>0</v>
          </cell>
          <cell r="AK2373">
            <v>0</v>
          </cell>
          <cell r="AL2373"/>
          <cell r="AM2373"/>
          <cell r="AN2373">
            <v>5092016</v>
          </cell>
          <cell r="AO2373"/>
          <cell r="AP2373"/>
          <cell r="AQ2373"/>
          <cell r="AR2373"/>
          <cell r="AS2373">
            <v>65</v>
          </cell>
          <cell r="AT2373" t="str">
            <v>509-5,500FJWP</v>
          </cell>
          <cell r="AU2373" t="str">
            <v/>
          </cell>
          <cell r="AV2373"/>
        </row>
        <row r="2374">
          <cell r="Z2374">
            <v>5092017</v>
          </cell>
          <cell r="AA2374" t="str">
            <v>WO Extension Lg 1500 mm
5-1/2" FJWP Pin x Box</v>
          </cell>
          <cell r="AB2374">
            <v>38.422982629687496</v>
          </cell>
          <cell r="AC2374">
            <v>5.5</v>
          </cell>
          <cell r="AD2374">
            <v>1500</v>
          </cell>
          <cell r="AE2374" t="str">
            <v>5-1/2" FJWP Box</v>
          </cell>
          <cell r="AF2374" t="str">
            <v>5-1/2" FJWP Pin</v>
          </cell>
          <cell r="AG2374"/>
          <cell r="AH2374" t="str">
            <v xml:space="preserve"> en stock </v>
          </cell>
          <cell r="AI2374">
            <v>1</v>
          </cell>
          <cell r="AJ2374">
            <v>0</v>
          </cell>
          <cell r="AK2374">
            <v>0</v>
          </cell>
          <cell r="AL2374"/>
          <cell r="AM2374"/>
          <cell r="AN2374" t="str">
            <v/>
          </cell>
          <cell r="AO2374"/>
          <cell r="AP2374"/>
          <cell r="AQ2374"/>
          <cell r="AR2374"/>
          <cell r="AS2374">
            <v>43</v>
          </cell>
          <cell r="AT2374" t="str">
            <v>509-5,500FJWP</v>
          </cell>
          <cell r="AU2374" t="str">
            <v/>
          </cell>
          <cell r="AV2374"/>
        </row>
        <row r="2375">
          <cell r="Z2375">
            <v>5092018</v>
          </cell>
          <cell r="AA2375" t="str">
            <v>WO Extension Lg 2040 mm
5-1/2" FJWP Pin x Box</v>
          </cell>
          <cell r="AB2375">
            <v>52.255256376374994</v>
          </cell>
          <cell r="AC2375">
            <v>5.5</v>
          </cell>
          <cell r="AD2375">
            <v>2040</v>
          </cell>
          <cell r="AE2375" t="str">
            <v>5-1/2" FJWP Box</v>
          </cell>
          <cell r="AF2375" t="str">
            <v>5-1/2" FJWP Pin</v>
          </cell>
          <cell r="AG2375"/>
          <cell r="AH2375" t="str">
            <v xml:space="preserve"> en stock </v>
          </cell>
          <cell r="AI2375">
            <v>1</v>
          </cell>
          <cell r="AJ2375">
            <v>0</v>
          </cell>
          <cell r="AK2375">
            <v>0</v>
          </cell>
          <cell r="AL2375"/>
          <cell r="AM2375"/>
          <cell r="AN2375" t="str">
            <v/>
          </cell>
          <cell r="AO2375"/>
          <cell r="AP2375"/>
          <cell r="AQ2375"/>
          <cell r="AR2375"/>
          <cell r="AS2375">
            <v>46</v>
          </cell>
          <cell r="AT2375" t="str">
            <v>509-5,500FJWP</v>
          </cell>
          <cell r="AU2375" t="str">
            <v/>
          </cell>
          <cell r="AV2375"/>
        </row>
        <row r="2376">
          <cell r="Z2376">
            <v>5092019</v>
          </cell>
          <cell r="AA2376" t="str">
            <v>WO Extension Lg 2730 mm
5-1/2" FJWP Pin x Box</v>
          </cell>
          <cell r="AB2376">
            <v>69.929828386031247</v>
          </cell>
          <cell r="AC2376">
            <v>5.5</v>
          </cell>
          <cell r="AD2376">
            <v>2730</v>
          </cell>
          <cell r="AE2376" t="str">
            <v>5-1/2" FJWP Box</v>
          </cell>
          <cell r="AF2376" t="str">
            <v>5-1/2" FJWP Pin</v>
          </cell>
          <cell r="AG2376"/>
          <cell r="AH2376" t="str">
            <v xml:space="preserve"> en stock </v>
          </cell>
          <cell r="AI2376">
            <v>1</v>
          </cell>
          <cell r="AJ2376">
            <v>0</v>
          </cell>
          <cell r="AK2376">
            <v>0</v>
          </cell>
          <cell r="AL2376"/>
          <cell r="AM2376"/>
          <cell r="AN2376" t="str">
            <v/>
          </cell>
          <cell r="AO2376"/>
          <cell r="AP2376"/>
          <cell r="AQ2376"/>
          <cell r="AR2376"/>
          <cell r="AS2376">
            <v>47</v>
          </cell>
          <cell r="AT2376" t="str">
            <v>509-5,500FJWP</v>
          </cell>
          <cell r="AU2376" t="str">
            <v/>
          </cell>
          <cell r="AV2376"/>
        </row>
        <row r="2377">
          <cell r="Z2377">
            <v>5092020</v>
          </cell>
          <cell r="AA2377" t="str">
            <v>WO Extension Lg 2730 mm
5-1/2" FJWP Pin x Box</v>
          </cell>
          <cell r="AB2377">
            <v>69.929828386031247</v>
          </cell>
          <cell r="AC2377">
            <v>5.5</v>
          </cell>
          <cell r="AD2377">
            <v>2730</v>
          </cell>
          <cell r="AE2377" t="str">
            <v>5-1/2" FJWP Box</v>
          </cell>
          <cell r="AF2377" t="str">
            <v>5-1/2" FJWP Pin</v>
          </cell>
          <cell r="AG2377"/>
          <cell r="AH2377" t="str">
            <v xml:space="preserve"> en stock </v>
          </cell>
          <cell r="AI2377">
            <v>1</v>
          </cell>
          <cell r="AJ2377">
            <v>0</v>
          </cell>
          <cell r="AK2377">
            <v>0</v>
          </cell>
          <cell r="AL2377"/>
          <cell r="AM2377"/>
          <cell r="AN2377" t="str">
            <v/>
          </cell>
          <cell r="AO2377"/>
          <cell r="AP2377"/>
          <cell r="AQ2377"/>
          <cell r="AR2377"/>
          <cell r="AS2377">
            <v>48</v>
          </cell>
          <cell r="AT2377" t="str">
            <v>509-5,500FJWP</v>
          </cell>
          <cell r="AU2377" t="str">
            <v/>
          </cell>
          <cell r="AV2377"/>
        </row>
        <row r="2378">
          <cell r="Z2378">
            <v>8092021</v>
          </cell>
          <cell r="AA2378" t="str">
            <v>Near Bit Stab
3-1/2" IF Box x 3-1/2" REG Box BF</v>
          </cell>
          <cell r="AB2378">
            <v>129</v>
          </cell>
          <cell r="AC2378">
            <v>6.125</v>
          </cell>
          <cell r="AD2378">
            <v>1574.8</v>
          </cell>
          <cell r="AE2378" t="str">
            <v>3-1/2" IF Box</v>
          </cell>
          <cell r="AF2378" t="str">
            <v>3-1/2" REG Box BF</v>
          </cell>
          <cell r="AG2378" t="str">
            <v>PTA</v>
          </cell>
          <cell r="AH2378" t="str">
            <v xml:space="preserve"> en stock </v>
          </cell>
          <cell r="AI2378">
            <v>1</v>
          </cell>
          <cell r="AJ2378">
            <v>0</v>
          </cell>
          <cell r="AK2378">
            <v>0</v>
          </cell>
          <cell r="AL2378"/>
          <cell r="AM2378"/>
          <cell r="AN2378">
            <v>8092021</v>
          </cell>
          <cell r="AO2378"/>
          <cell r="AP2378"/>
          <cell r="AQ2378"/>
          <cell r="AR2378"/>
          <cell r="AS2378">
            <v>9</v>
          </cell>
          <cell r="AT2378"/>
          <cell r="AU2378" t="str">
            <v/>
          </cell>
          <cell r="AV2378"/>
        </row>
        <row r="2379">
          <cell r="Z2379">
            <v>8092022</v>
          </cell>
          <cell r="AA2379" t="str">
            <v>Near Bit Stab
3-1/2" IF Box x 3-1/2" REG Box BF</v>
          </cell>
          <cell r="AB2379">
            <v>129</v>
          </cell>
          <cell r="AC2379">
            <v>6.25</v>
          </cell>
          <cell r="AD2379">
            <v>1574.8</v>
          </cell>
          <cell r="AE2379" t="str">
            <v>3-1/2" IF Box</v>
          </cell>
          <cell r="AF2379" t="str">
            <v>3-1/2" REG Box BF</v>
          </cell>
          <cell r="AG2379" t="str">
            <v>PTA</v>
          </cell>
          <cell r="AH2379" t="str">
            <v xml:space="preserve"> en stock </v>
          </cell>
          <cell r="AI2379">
            <v>1</v>
          </cell>
          <cell r="AJ2379">
            <v>0</v>
          </cell>
          <cell r="AK2379">
            <v>0</v>
          </cell>
          <cell r="AL2379"/>
          <cell r="AM2379"/>
          <cell r="AN2379">
            <v>8092022</v>
          </cell>
          <cell r="AO2379"/>
          <cell r="AP2379"/>
          <cell r="AQ2379"/>
          <cell r="AR2379"/>
          <cell r="AS2379">
            <v>11</v>
          </cell>
          <cell r="AT2379"/>
          <cell r="AU2379" t="str">
            <v/>
          </cell>
          <cell r="AV2379"/>
        </row>
        <row r="2380">
          <cell r="Z2380">
            <v>8092023</v>
          </cell>
          <cell r="AA2380" t="str">
            <v>Near Bit Stab
3-1/2" IF Box x 3-1/2" REG Box BF</v>
          </cell>
          <cell r="AB2380">
            <v>129</v>
          </cell>
          <cell r="AC2380">
            <v>6.125</v>
          </cell>
          <cell r="AD2380">
            <v>1574.8</v>
          </cell>
          <cell r="AE2380" t="str">
            <v>3-1/2" IF Box</v>
          </cell>
          <cell r="AF2380" t="str">
            <v>3-1/2" REG Box BF</v>
          </cell>
          <cell r="AG2380" t="str">
            <v>PTA</v>
          </cell>
          <cell r="AH2380" t="str">
            <v xml:space="preserve"> en stock </v>
          </cell>
          <cell r="AI2380">
            <v>1</v>
          </cell>
          <cell r="AJ2380">
            <v>0</v>
          </cell>
          <cell r="AK2380">
            <v>0</v>
          </cell>
          <cell r="AL2380"/>
          <cell r="AM2380"/>
          <cell r="AN2380">
            <v>8092023</v>
          </cell>
          <cell r="AO2380"/>
          <cell r="AP2380"/>
          <cell r="AQ2380"/>
          <cell r="AR2380"/>
          <cell r="AS2380">
            <v>10</v>
          </cell>
          <cell r="AT2380"/>
          <cell r="AU2380" t="str">
            <v/>
          </cell>
          <cell r="AV2380"/>
        </row>
        <row r="2381">
          <cell r="Z2381">
            <v>8112024</v>
          </cell>
          <cell r="AA2381" t="str">
            <v>String Stab
3-1/2" IF Pin x 3-1/2" IF Box</v>
          </cell>
          <cell r="AB2381">
            <v>129</v>
          </cell>
          <cell r="AC2381">
            <v>6.1875</v>
          </cell>
          <cell r="AD2381">
            <v>1480</v>
          </cell>
          <cell r="AE2381" t="str">
            <v>3-1/2" IF Box</v>
          </cell>
          <cell r="AF2381" t="str">
            <v>3-1/2" IF Pin</v>
          </cell>
          <cell r="AG2381" t="str">
            <v>PTA</v>
          </cell>
          <cell r="AH2381" t="str">
            <v xml:space="preserve"> en stock </v>
          </cell>
          <cell r="AI2381">
            <v>1</v>
          </cell>
          <cell r="AJ2381">
            <v>0</v>
          </cell>
          <cell r="AK2381">
            <v>0</v>
          </cell>
          <cell r="AL2381"/>
          <cell r="AM2381"/>
          <cell r="AN2381">
            <v>8112024</v>
          </cell>
          <cell r="AO2381"/>
          <cell r="AP2381"/>
          <cell r="AQ2381"/>
          <cell r="AR2381"/>
          <cell r="AS2381">
            <v>16</v>
          </cell>
          <cell r="AT2381" t="str">
            <v>811-</v>
          </cell>
          <cell r="AU2381" t="str">
            <v/>
          </cell>
          <cell r="AV2381"/>
        </row>
        <row r="2382">
          <cell r="Z2382">
            <v>8112025</v>
          </cell>
          <cell r="AA2382" t="str">
            <v>String Stab
3-1/2" IF Pin x 3-1/2" IF Box</v>
          </cell>
          <cell r="AB2382">
            <v>129</v>
          </cell>
          <cell r="AC2382">
            <v>6.125</v>
          </cell>
          <cell r="AD2382">
            <v>1480</v>
          </cell>
          <cell r="AE2382" t="str">
            <v>3-1/2" IF Box</v>
          </cell>
          <cell r="AF2382" t="str">
            <v>3-1/2" IF Pin</v>
          </cell>
          <cell r="AG2382" t="str">
            <v>PTA</v>
          </cell>
          <cell r="AH2382" t="str">
            <v xml:space="preserve"> en stock </v>
          </cell>
          <cell r="AI2382">
            <v>1</v>
          </cell>
          <cell r="AJ2382">
            <v>0</v>
          </cell>
          <cell r="AK2382">
            <v>0</v>
          </cell>
          <cell r="AL2382"/>
          <cell r="AM2382"/>
          <cell r="AN2382">
            <v>8112025</v>
          </cell>
          <cell r="AO2382"/>
          <cell r="AP2382"/>
          <cell r="AQ2382"/>
          <cell r="AR2382"/>
          <cell r="AS2382">
            <v>17</v>
          </cell>
          <cell r="AT2382" t="str">
            <v>811-</v>
          </cell>
          <cell r="AU2382" t="str">
            <v/>
          </cell>
          <cell r="AV2382"/>
        </row>
        <row r="2383">
          <cell r="Z2383">
            <v>8112026</v>
          </cell>
          <cell r="AA2383" t="str">
            <v>String Stab
3-1/2" IF Pin x 3-1/2" IF Box</v>
          </cell>
          <cell r="AB2383">
            <v>129</v>
          </cell>
          <cell r="AC2383">
            <v>6.3125</v>
          </cell>
          <cell r="AD2383">
            <v>1480</v>
          </cell>
          <cell r="AE2383" t="str">
            <v>3-1/2" IF Box</v>
          </cell>
          <cell r="AF2383" t="str">
            <v>3-1/2" IF Pin</v>
          </cell>
          <cell r="AG2383" t="str">
            <v>PTA</v>
          </cell>
          <cell r="AH2383" t="str">
            <v xml:space="preserve"> en stock </v>
          </cell>
          <cell r="AI2383">
            <v>1</v>
          </cell>
          <cell r="AJ2383">
            <v>0</v>
          </cell>
          <cell r="AK2383">
            <v>0</v>
          </cell>
          <cell r="AL2383"/>
          <cell r="AM2383"/>
          <cell r="AN2383">
            <v>8112026</v>
          </cell>
          <cell r="AO2383"/>
          <cell r="AP2383"/>
          <cell r="AQ2383"/>
          <cell r="AR2383"/>
          <cell r="AS2383">
            <v>18</v>
          </cell>
          <cell r="AT2383" t="str">
            <v>811-</v>
          </cell>
          <cell r="AU2383" t="str">
            <v/>
          </cell>
          <cell r="AV2383"/>
        </row>
        <row r="2384">
          <cell r="Z2384">
            <v>8092027</v>
          </cell>
          <cell r="AA2384" t="str">
            <v>Near Bit Stab
4-1/2" IF Box x 4-1/2" REG Box BF</v>
          </cell>
          <cell r="AB2384">
            <v>275</v>
          </cell>
          <cell r="AC2384">
            <v>8.5625</v>
          </cell>
          <cell r="AD2384">
            <v>1879.6</v>
          </cell>
          <cell r="AE2384" t="str">
            <v>4-1/2" IF Box</v>
          </cell>
          <cell r="AF2384" t="str">
            <v>4-1/2" REG Box BF</v>
          </cell>
          <cell r="AG2384" t="str">
            <v>TGG</v>
          </cell>
          <cell r="AH2384" t="str">
            <v xml:space="preserve"> en stock </v>
          </cell>
          <cell r="AI2384">
            <v>1</v>
          </cell>
          <cell r="AJ2384">
            <v>0</v>
          </cell>
          <cell r="AK2384">
            <v>0</v>
          </cell>
          <cell r="AL2384"/>
          <cell r="AM2384"/>
          <cell r="AN2384">
            <v>8092027</v>
          </cell>
          <cell r="AO2384"/>
          <cell r="AP2384"/>
          <cell r="AQ2384"/>
          <cell r="AR2384"/>
          <cell r="AS2384">
            <v>18</v>
          </cell>
          <cell r="AT2384"/>
          <cell r="AU2384" t="str">
            <v/>
          </cell>
          <cell r="AV2384"/>
        </row>
        <row r="2385">
          <cell r="Z2385">
            <v>8092028</v>
          </cell>
          <cell r="AA2385" t="str">
            <v>Near Bit Stab
4-1/2" IF Box x 4-1/2" REG Box BF</v>
          </cell>
          <cell r="AB2385">
            <v>275</v>
          </cell>
          <cell r="AC2385">
            <v>8.25</v>
          </cell>
          <cell r="AD2385">
            <v>1879.6</v>
          </cell>
          <cell r="AE2385" t="str">
            <v>4-1/2" IF Box</v>
          </cell>
          <cell r="AF2385" t="str">
            <v>4-1/2" REG Box BF</v>
          </cell>
          <cell r="AG2385" t="str">
            <v>BLANK</v>
          </cell>
          <cell r="AH2385" t="str">
            <v xml:space="preserve"> en stock </v>
          </cell>
          <cell r="AI2385">
            <v>1</v>
          </cell>
          <cell r="AJ2385">
            <v>0</v>
          </cell>
          <cell r="AK2385">
            <v>0</v>
          </cell>
          <cell r="AL2385"/>
          <cell r="AM2385"/>
          <cell r="AN2385">
            <v>8092028</v>
          </cell>
          <cell r="AO2385"/>
          <cell r="AP2385"/>
          <cell r="AQ2385"/>
          <cell r="AR2385"/>
          <cell r="AS2385">
            <v>12</v>
          </cell>
          <cell r="AT2385"/>
          <cell r="AU2385" t="str">
            <v/>
          </cell>
          <cell r="AV2385"/>
        </row>
        <row r="2386">
          <cell r="Z2386">
            <v>8112029</v>
          </cell>
          <cell r="AA2386" t="str">
            <v>String Stab
4-1/2" IF Pin SRG x 4-1/2" IF Box BB</v>
          </cell>
          <cell r="AB2386">
            <v>273</v>
          </cell>
          <cell r="AC2386">
            <v>8.4375</v>
          </cell>
          <cell r="AD2386">
            <v>1780</v>
          </cell>
          <cell r="AE2386" t="str">
            <v>4-1/2" IF Box BB</v>
          </cell>
          <cell r="AF2386" t="str">
            <v>4-1/2" IF Pin SRG</v>
          </cell>
          <cell r="AG2386" t="str">
            <v>TGG</v>
          </cell>
          <cell r="AH2386" t="str">
            <v>maintenance</v>
          </cell>
          <cell r="AI2386" t="str">
            <v/>
          </cell>
          <cell r="AJ2386">
            <v>0</v>
          </cell>
          <cell r="AK2386">
            <v>1</v>
          </cell>
          <cell r="AL2386"/>
          <cell r="AM2386"/>
          <cell r="AN2386">
            <v>8112029</v>
          </cell>
          <cell r="AO2386"/>
          <cell r="AP2386"/>
          <cell r="AQ2386"/>
          <cell r="AR2386"/>
          <cell r="AS2386">
            <v>26</v>
          </cell>
          <cell r="AT2386" t="str">
            <v>811-</v>
          </cell>
          <cell r="AU2386" t="str">
            <v/>
          </cell>
          <cell r="AV2386"/>
        </row>
        <row r="2387">
          <cell r="Z2387">
            <v>8112030</v>
          </cell>
          <cell r="AA2387" t="str">
            <v>String Stab
4-1/2" IF Pin SRG x 4-1/2" IF Box BB</v>
          </cell>
          <cell r="AB2387">
            <v>273</v>
          </cell>
          <cell r="AC2387">
            <v>8.375</v>
          </cell>
          <cell r="AD2387">
            <v>1780</v>
          </cell>
          <cell r="AE2387" t="str">
            <v>4-1/2" IF Box BB</v>
          </cell>
          <cell r="AF2387" t="str">
            <v>4-1/2" IF Pin SRG</v>
          </cell>
          <cell r="AG2387" t="str">
            <v>TGG</v>
          </cell>
          <cell r="AH2387" t="str">
            <v>maintenance</v>
          </cell>
          <cell r="AI2387" t="str">
            <v/>
          </cell>
          <cell r="AJ2387">
            <v>0</v>
          </cell>
          <cell r="AK2387">
            <v>1</v>
          </cell>
          <cell r="AL2387"/>
          <cell r="AM2387"/>
          <cell r="AN2387">
            <v>8112030</v>
          </cell>
          <cell r="AO2387"/>
          <cell r="AP2387"/>
          <cell r="AQ2387"/>
          <cell r="AR2387"/>
          <cell r="AS2387">
            <v>27</v>
          </cell>
          <cell r="AT2387" t="str">
            <v>811-</v>
          </cell>
          <cell r="AU2387" t="str">
            <v/>
          </cell>
          <cell r="AV2387"/>
        </row>
        <row r="2388">
          <cell r="Z2388">
            <v>8112031</v>
          </cell>
          <cell r="AA2388" t="str">
            <v>String Stab
4-1/2" IF Pin SRG x 4-1/2" IF Box BB</v>
          </cell>
          <cell r="AB2388">
            <v>273</v>
          </cell>
          <cell r="AC2388">
            <v>8.5</v>
          </cell>
          <cell r="AD2388">
            <v>1780</v>
          </cell>
          <cell r="AE2388" t="str">
            <v>4-1/2" IF Box BB</v>
          </cell>
          <cell r="AF2388" t="str">
            <v>4-1/2" IF Pin SRG</v>
          </cell>
          <cell r="AG2388" t="str">
            <v>PTA</v>
          </cell>
          <cell r="AH2388" t="str">
            <v>maintenance</v>
          </cell>
          <cell r="AI2388" t="str">
            <v/>
          </cell>
          <cell r="AJ2388">
            <v>0</v>
          </cell>
          <cell r="AK2388">
            <v>1</v>
          </cell>
          <cell r="AL2388"/>
          <cell r="AM2388"/>
          <cell r="AN2388">
            <v>8112031</v>
          </cell>
          <cell r="AO2388"/>
          <cell r="AP2388"/>
          <cell r="AQ2388"/>
          <cell r="AR2388"/>
          <cell r="AS2388">
            <v>28</v>
          </cell>
          <cell r="AT2388" t="str">
            <v>811-</v>
          </cell>
          <cell r="AU2388" t="str">
            <v/>
          </cell>
          <cell r="AV2388"/>
        </row>
        <row r="2389">
          <cell r="Z2389">
            <v>8112032</v>
          </cell>
          <cell r="AA2389" t="str">
            <v>String Stab
4-1/2" IF Pin SRG x 4-1/2" IF Box BB</v>
          </cell>
          <cell r="AB2389">
            <v>273</v>
          </cell>
          <cell r="AC2389">
            <v>8.5</v>
          </cell>
          <cell r="AD2389">
            <v>1780</v>
          </cell>
          <cell r="AE2389" t="str">
            <v>4-1/2" IF Box BB</v>
          </cell>
          <cell r="AF2389" t="str">
            <v>4-1/2" IF Pin SRG</v>
          </cell>
          <cell r="AG2389" t="str">
            <v>PTA</v>
          </cell>
          <cell r="AH2389" t="str">
            <v>sur chantier</v>
          </cell>
          <cell r="AI2389" t="str">
            <v/>
          </cell>
          <cell r="AJ2389">
            <v>1</v>
          </cell>
          <cell r="AK2389">
            <v>0</v>
          </cell>
          <cell r="AL2389"/>
          <cell r="AM2389"/>
          <cell r="AN2389">
            <v>8112032</v>
          </cell>
          <cell r="AO2389"/>
          <cell r="AP2389"/>
          <cell r="AQ2389"/>
          <cell r="AR2389"/>
          <cell r="AS2389">
            <v>29</v>
          </cell>
          <cell r="AT2389" t="str">
            <v>811-</v>
          </cell>
          <cell r="AU2389" t="str">
            <v/>
          </cell>
          <cell r="AV2389"/>
        </row>
        <row r="2390">
          <cell r="Z2390">
            <v>8092033</v>
          </cell>
          <cell r="AA2390" t="str">
            <v>Near Bit Stab
4-1/2" IF Box x 4-1/2" REG Box BF</v>
          </cell>
          <cell r="AB2390">
            <v>277</v>
          </cell>
          <cell r="AC2390">
            <v>9.4375</v>
          </cell>
          <cell r="AD2390">
            <v>1930.3999999999999</v>
          </cell>
          <cell r="AE2390" t="str">
            <v>4-1/2" IF Box</v>
          </cell>
          <cell r="AF2390" t="str">
            <v>4-1/2" REG Box BF</v>
          </cell>
          <cell r="AG2390" t="str">
            <v>Carbure</v>
          </cell>
          <cell r="AH2390" t="str">
            <v xml:space="preserve"> en stock </v>
          </cell>
          <cell r="AI2390">
            <v>1</v>
          </cell>
          <cell r="AJ2390">
            <v>0</v>
          </cell>
          <cell r="AK2390">
            <v>0</v>
          </cell>
          <cell r="AL2390"/>
          <cell r="AM2390"/>
          <cell r="AN2390">
            <v>8092033</v>
          </cell>
          <cell r="AO2390"/>
          <cell r="AP2390"/>
          <cell r="AQ2390"/>
          <cell r="AR2390"/>
          <cell r="AS2390">
            <v>19</v>
          </cell>
          <cell r="AT2390"/>
          <cell r="AU2390" t="str">
            <v/>
          </cell>
          <cell r="AV2390"/>
        </row>
        <row r="2391">
          <cell r="Z2391">
            <v>8112034</v>
          </cell>
          <cell r="AA2391" t="str">
            <v>String Stab
4-1/2" IF Pin SRG x 4-1/2" IF Box BBB</v>
          </cell>
          <cell r="AB2391">
            <v>306</v>
          </cell>
          <cell r="AC2391">
            <v>9.5</v>
          </cell>
          <cell r="AD2391">
            <v>1830</v>
          </cell>
          <cell r="AE2391" t="str">
            <v>4-1/2" IF Box BBB</v>
          </cell>
          <cell r="AF2391" t="str">
            <v>4-1/2" IF Pin SRG</v>
          </cell>
          <cell r="AG2391" t="str">
            <v>PTA</v>
          </cell>
          <cell r="AH2391" t="str">
            <v xml:space="preserve"> en stock </v>
          </cell>
          <cell r="AI2391">
            <v>1</v>
          </cell>
          <cell r="AJ2391">
            <v>0</v>
          </cell>
          <cell r="AK2391">
            <v>0</v>
          </cell>
          <cell r="AL2391"/>
          <cell r="AM2391"/>
          <cell r="AN2391">
            <v>8112034</v>
          </cell>
          <cell r="AO2391"/>
          <cell r="AP2391"/>
          <cell r="AQ2391"/>
          <cell r="AR2391"/>
          <cell r="AS2391">
            <v>41</v>
          </cell>
          <cell r="AT2391" t="str">
            <v>811-</v>
          </cell>
          <cell r="AU2391" t="str">
            <v/>
          </cell>
          <cell r="AV2391"/>
        </row>
        <row r="2392">
          <cell r="Z2392">
            <v>8112035</v>
          </cell>
          <cell r="AA2392" t="str">
            <v>String Stab
4-1/2" IF Pin SRG x 4-1/2" IF Box BBB</v>
          </cell>
          <cell r="AB2392">
            <v>306</v>
          </cell>
          <cell r="AC2392">
            <v>9.375</v>
          </cell>
          <cell r="AD2392">
            <v>1830</v>
          </cell>
          <cell r="AE2392" t="str">
            <v>4-1/2" IF Box BBB</v>
          </cell>
          <cell r="AF2392" t="str">
            <v>4-1/2" IF Pin SRG</v>
          </cell>
          <cell r="AG2392" t="str">
            <v>Carbure</v>
          </cell>
          <cell r="AH2392" t="str">
            <v xml:space="preserve"> en stock </v>
          </cell>
          <cell r="AI2392">
            <v>1</v>
          </cell>
          <cell r="AJ2392">
            <v>0</v>
          </cell>
          <cell r="AK2392">
            <v>0</v>
          </cell>
          <cell r="AL2392"/>
          <cell r="AM2392"/>
          <cell r="AN2392">
            <v>8112035</v>
          </cell>
          <cell r="AO2392"/>
          <cell r="AP2392"/>
          <cell r="AQ2392"/>
          <cell r="AR2392"/>
          <cell r="AS2392">
            <v>42</v>
          </cell>
          <cell r="AT2392" t="str">
            <v>811-</v>
          </cell>
          <cell r="AU2392" t="str">
            <v/>
          </cell>
          <cell r="AV2392"/>
        </row>
        <row r="2393">
          <cell r="Z2393">
            <v>8092036</v>
          </cell>
          <cell r="AA2393" t="str">
            <v>Near Bit Stab
6-5/8" REG Box x 6-5/8" REG Box BF</v>
          </cell>
          <cell r="AB2393">
            <v>545</v>
          </cell>
          <cell r="AC2393">
            <v>12</v>
          </cell>
          <cell r="AD2393">
            <v>2184.4</v>
          </cell>
          <cell r="AE2393" t="str">
            <v>6-5/8" REG Box</v>
          </cell>
          <cell r="AF2393" t="str">
            <v>6-5/8" REG Box BF</v>
          </cell>
          <cell r="AG2393" t="str">
            <v>BLANK</v>
          </cell>
          <cell r="AH2393" t="str">
            <v xml:space="preserve"> en stock </v>
          </cell>
          <cell r="AI2393">
            <v>1</v>
          </cell>
          <cell r="AJ2393">
            <v>0</v>
          </cell>
          <cell r="AK2393">
            <v>0</v>
          </cell>
          <cell r="AL2393"/>
          <cell r="AM2393"/>
          <cell r="AN2393">
            <v>8092036</v>
          </cell>
          <cell r="AO2393"/>
          <cell r="AP2393"/>
          <cell r="AQ2393"/>
          <cell r="AR2393"/>
          <cell r="AS2393">
            <v>24</v>
          </cell>
          <cell r="AT2393"/>
          <cell r="AU2393" t="str">
            <v/>
          </cell>
          <cell r="AV2393"/>
        </row>
        <row r="2394">
          <cell r="Z2394">
            <v>8112037</v>
          </cell>
          <cell r="AA2394" t="str">
            <v>String Stab
6-5/8" REG Pin SRG x 6-5/8" REG Box BB</v>
          </cell>
          <cell r="AB2394">
            <v>540</v>
          </cell>
          <cell r="AC2394">
            <v>12.25</v>
          </cell>
          <cell r="AD2394">
            <v>2080</v>
          </cell>
          <cell r="AE2394" t="str">
            <v>6-5/8" REG Box BB</v>
          </cell>
          <cell r="AF2394" t="str">
            <v>6-5/8" REG Pin SRG</v>
          </cell>
          <cell r="AG2394" t="str">
            <v>Carbure</v>
          </cell>
          <cell r="AH2394" t="str">
            <v>maintenance</v>
          </cell>
          <cell r="AI2394" t="str">
            <v/>
          </cell>
          <cell r="AJ2394">
            <v>0</v>
          </cell>
          <cell r="AK2394">
            <v>1</v>
          </cell>
          <cell r="AL2394"/>
          <cell r="AM2394"/>
          <cell r="AN2394">
            <v>8112037</v>
          </cell>
          <cell r="AO2394"/>
          <cell r="AP2394"/>
          <cell r="AQ2394"/>
          <cell r="AR2394"/>
          <cell r="AS2394">
            <v>59</v>
          </cell>
          <cell r="AT2394" t="str">
            <v>811-</v>
          </cell>
          <cell r="AU2394" t="str">
            <v/>
          </cell>
          <cell r="AV2394"/>
        </row>
        <row r="2395">
          <cell r="Z2395">
            <v>8112038</v>
          </cell>
          <cell r="AA2395" t="str">
            <v>String Stab
6-5/8" REG Pin SRG x 6-5/8" REG Box BB</v>
          </cell>
          <cell r="AB2395">
            <v>540</v>
          </cell>
          <cell r="AC2395">
            <v>12.25</v>
          </cell>
          <cell r="AD2395">
            <v>2080</v>
          </cell>
          <cell r="AE2395" t="str">
            <v>6-5/8" REG Box BB</v>
          </cell>
          <cell r="AF2395" t="str">
            <v>6-5/8" REG Pin SRG</v>
          </cell>
          <cell r="AG2395">
            <v>0</v>
          </cell>
          <cell r="AH2395" t="str">
            <v xml:space="preserve"> en stock </v>
          </cell>
          <cell r="AI2395">
            <v>1</v>
          </cell>
          <cell r="AJ2395">
            <v>0</v>
          </cell>
          <cell r="AK2395">
            <v>0</v>
          </cell>
          <cell r="AL2395"/>
          <cell r="AM2395"/>
          <cell r="AN2395">
            <v>8112038</v>
          </cell>
          <cell r="AO2395"/>
          <cell r="AP2395"/>
          <cell r="AQ2395"/>
          <cell r="AR2395"/>
          <cell r="AS2395">
            <v>60</v>
          </cell>
          <cell r="AT2395" t="str">
            <v>811-</v>
          </cell>
          <cell r="AU2395" t="str">
            <v/>
          </cell>
          <cell r="AV2395"/>
        </row>
        <row r="2396">
          <cell r="Z2396">
            <v>8092039</v>
          </cell>
          <cell r="AA2396" t="str">
            <v>Near Bit Stab
7-5/8" REG Box x 7-5/8" REG Box BF</v>
          </cell>
          <cell r="AB2396">
            <v>1049</v>
          </cell>
          <cell r="AC2396">
            <v>17.375</v>
          </cell>
          <cell r="AD2396">
            <v>2388</v>
          </cell>
          <cell r="AE2396" t="str">
            <v>7-5/8" REG Box</v>
          </cell>
          <cell r="AF2396" t="str">
            <v>7-5/8" REG Box BF</v>
          </cell>
          <cell r="AG2396" t="str">
            <v>BLANK</v>
          </cell>
          <cell r="AH2396" t="str">
            <v xml:space="preserve"> en stock </v>
          </cell>
          <cell r="AI2396">
            <v>1</v>
          </cell>
          <cell r="AJ2396">
            <v>0</v>
          </cell>
          <cell r="AK2396">
            <v>0</v>
          </cell>
          <cell r="AL2396"/>
          <cell r="AM2396"/>
          <cell r="AN2396">
            <v>8092039</v>
          </cell>
          <cell r="AO2396"/>
          <cell r="AP2396"/>
          <cell r="AQ2396"/>
          <cell r="AR2396"/>
          <cell r="AS2396">
            <v>38</v>
          </cell>
          <cell r="AT2396"/>
          <cell r="AU2396" t="str">
            <v/>
          </cell>
          <cell r="AV2396"/>
        </row>
        <row r="2397">
          <cell r="Z2397">
            <v>8092040</v>
          </cell>
          <cell r="AA2397" t="str">
            <v>Near Bit Stab
7-5/8" REG Box x 7-5/8" REG Box BF</v>
          </cell>
          <cell r="AB2397">
            <v>1049</v>
          </cell>
          <cell r="AC2397">
            <v>17.4375</v>
          </cell>
          <cell r="AD2397">
            <v>2388</v>
          </cell>
          <cell r="AE2397" t="str">
            <v>7-5/8" REG Box</v>
          </cell>
          <cell r="AF2397" t="str">
            <v>7-5/8" REG Box BF</v>
          </cell>
          <cell r="AG2397" t="str">
            <v>BLANK</v>
          </cell>
          <cell r="AH2397" t="str">
            <v>sur chantier</v>
          </cell>
          <cell r="AI2397" t="str">
            <v/>
          </cell>
          <cell r="AJ2397">
            <v>1</v>
          </cell>
          <cell r="AK2397">
            <v>0</v>
          </cell>
          <cell r="AL2397"/>
          <cell r="AM2397"/>
          <cell r="AN2397">
            <v>8092040</v>
          </cell>
          <cell r="AO2397"/>
          <cell r="AP2397"/>
          <cell r="AQ2397"/>
          <cell r="AR2397"/>
          <cell r="AS2397">
            <v>39</v>
          </cell>
          <cell r="AT2397"/>
          <cell r="AU2397" t="str">
            <v/>
          </cell>
          <cell r="AV2397"/>
        </row>
        <row r="2398">
          <cell r="Z2398">
            <v>8112041</v>
          </cell>
          <cell r="AA2398" t="str">
            <v>String Stab
7-5/8" REG Pin SRG x 7-5/8" REG Box BB</v>
          </cell>
          <cell r="AB2398">
            <v>1030</v>
          </cell>
          <cell r="AC2398">
            <v>17.4375</v>
          </cell>
          <cell r="AD2398">
            <v>2250</v>
          </cell>
          <cell r="AE2398" t="str">
            <v>7-5/8" REG Box BB</v>
          </cell>
          <cell r="AF2398" t="str">
            <v>7-5/8" REG Pin SRG</v>
          </cell>
          <cell r="AG2398" t="str">
            <v>TGG</v>
          </cell>
          <cell r="AH2398" t="str">
            <v xml:space="preserve"> en stock </v>
          </cell>
          <cell r="AI2398">
            <v>1</v>
          </cell>
          <cell r="AJ2398">
            <v>0</v>
          </cell>
          <cell r="AK2398">
            <v>0</v>
          </cell>
          <cell r="AL2398"/>
          <cell r="AM2398"/>
          <cell r="AN2398">
            <v>8112041</v>
          </cell>
          <cell r="AO2398"/>
          <cell r="AP2398"/>
          <cell r="AQ2398"/>
          <cell r="AR2398"/>
          <cell r="AS2398">
            <v>91</v>
          </cell>
          <cell r="AT2398" t="str">
            <v>811-</v>
          </cell>
          <cell r="AU2398" t="str">
            <v/>
          </cell>
          <cell r="AV2398"/>
        </row>
        <row r="2399">
          <cell r="Z2399">
            <v>8112042</v>
          </cell>
          <cell r="AA2399" t="str">
            <v>String Stab
7-5/8" REG Pin SRG x 7-5/8" REG Box BB</v>
          </cell>
          <cell r="AB2399">
            <v>1030</v>
          </cell>
          <cell r="AC2399">
            <v>17.125</v>
          </cell>
          <cell r="AD2399">
            <v>2250</v>
          </cell>
          <cell r="AE2399" t="str">
            <v>7-5/8" REG Box BB</v>
          </cell>
          <cell r="AF2399" t="str">
            <v>7-5/8" REG Pin SRG</v>
          </cell>
          <cell r="AG2399" t="str">
            <v>PTA</v>
          </cell>
          <cell r="AH2399" t="str">
            <v xml:space="preserve"> en stock </v>
          </cell>
          <cell r="AI2399">
            <v>1</v>
          </cell>
          <cell r="AJ2399">
            <v>0</v>
          </cell>
          <cell r="AK2399">
            <v>0</v>
          </cell>
          <cell r="AL2399"/>
          <cell r="AM2399"/>
          <cell r="AN2399">
            <v>8112042</v>
          </cell>
          <cell r="AO2399"/>
          <cell r="AP2399"/>
          <cell r="AQ2399"/>
          <cell r="AR2399"/>
          <cell r="AS2399">
            <v>92</v>
          </cell>
          <cell r="AT2399" t="str">
            <v>811-</v>
          </cell>
          <cell r="AU2399" t="str">
            <v/>
          </cell>
          <cell r="AV2399"/>
        </row>
        <row r="2400">
          <cell r="Z2400">
            <v>8112043</v>
          </cell>
          <cell r="AA2400" t="str">
            <v>String Stab
7-5/8" REG Pin SRG x 7-5/8" REG Box BB</v>
          </cell>
          <cell r="AB2400">
            <v>1030</v>
          </cell>
          <cell r="AC2400">
            <v>17.25</v>
          </cell>
          <cell r="AD2400">
            <v>2250</v>
          </cell>
          <cell r="AE2400" t="str">
            <v>7-5/8" REG Box BB</v>
          </cell>
          <cell r="AF2400" t="str">
            <v>7-5/8" REG Pin SRG</v>
          </cell>
          <cell r="AG2400" t="str">
            <v>TGG</v>
          </cell>
          <cell r="AH2400" t="str">
            <v xml:space="preserve"> en stock </v>
          </cell>
          <cell r="AI2400">
            <v>1</v>
          </cell>
          <cell r="AJ2400">
            <v>0</v>
          </cell>
          <cell r="AK2400">
            <v>0</v>
          </cell>
          <cell r="AL2400"/>
          <cell r="AM2400"/>
          <cell r="AN2400">
            <v>8112043</v>
          </cell>
          <cell r="AO2400"/>
          <cell r="AP2400"/>
          <cell r="AQ2400"/>
          <cell r="AR2400"/>
          <cell r="AS2400">
            <v>93</v>
          </cell>
          <cell r="AT2400" t="str">
            <v>811-</v>
          </cell>
          <cell r="AU2400" t="str">
            <v/>
          </cell>
          <cell r="AV2400"/>
        </row>
        <row r="2401">
          <cell r="Z2401">
            <v>8112044</v>
          </cell>
          <cell r="AA2401" t="str">
            <v>String Stab
7-5/8" REG Pin SRG x 7-5/8" REG Box BB</v>
          </cell>
          <cell r="AB2401">
            <v>1100</v>
          </cell>
          <cell r="AC2401">
            <v>18</v>
          </cell>
          <cell r="AD2401">
            <v>2250</v>
          </cell>
          <cell r="AE2401" t="str">
            <v>7-5/8" REG Box BB</v>
          </cell>
          <cell r="AF2401" t="str">
            <v>7-5/8" REG Pin SRG</v>
          </cell>
          <cell r="AG2401" t="str">
            <v>BLANK</v>
          </cell>
          <cell r="AH2401" t="str">
            <v xml:space="preserve"> en stock </v>
          </cell>
          <cell r="AI2401">
            <v>1</v>
          </cell>
          <cell r="AJ2401">
            <v>0</v>
          </cell>
          <cell r="AK2401">
            <v>0</v>
          </cell>
          <cell r="AL2401"/>
          <cell r="AM2401"/>
          <cell r="AN2401">
            <v>8112044</v>
          </cell>
          <cell r="AO2401"/>
          <cell r="AP2401"/>
          <cell r="AQ2401"/>
          <cell r="AR2401"/>
          <cell r="AS2401">
            <v>100</v>
          </cell>
          <cell r="AT2401" t="str">
            <v>811-</v>
          </cell>
          <cell r="AU2401" t="str">
            <v/>
          </cell>
          <cell r="AV2401"/>
        </row>
        <row r="2402">
          <cell r="Z2402">
            <v>8112045</v>
          </cell>
          <cell r="AA2402" t="str">
            <v>String Stab
7-5/8" REG Pin SRG x 7-5/8" REG Box BB</v>
          </cell>
          <cell r="AB2402">
            <v>1100</v>
          </cell>
          <cell r="AC2402">
            <v>18</v>
          </cell>
          <cell r="AD2402">
            <v>2250</v>
          </cell>
          <cell r="AE2402" t="str">
            <v>7-5/8" REG Box BB</v>
          </cell>
          <cell r="AF2402" t="str">
            <v>7-5/8" REG Pin SRG</v>
          </cell>
          <cell r="AG2402" t="str">
            <v>BLANK</v>
          </cell>
          <cell r="AH2402" t="str">
            <v xml:space="preserve"> en stock </v>
          </cell>
          <cell r="AI2402">
            <v>1</v>
          </cell>
          <cell r="AJ2402">
            <v>0</v>
          </cell>
          <cell r="AK2402">
            <v>0</v>
          </cell>
          <cell r="AL2402"/>
          <cell r="AM2402"/>
          <cell r="AN2402">
            <v>8112045</v>
          </cell>
          <cell r="AO2402"/>
          <cell r="AP2402"/>
          <cell r="AQ2402"/>
          <cell r="AR2402"/>
          <cell r="AS2402">
            <v>101</v>
          </cell>
          <cell r="AT2402" t="str">
            <v>811-</v>
          </cell>
          <cell r="AU2402" t="str">
            <v/>
          </cell>
          <cell r="AV2402"/>
        </row>
        <row r="2403">
          <cell r="Z2403">
            <v>8112046</v>
          </cell>
          <cell r="AA2403" t="str">
            <v>String Stab
7-5/8" REG Pin SRG x 7-5/8" REG Box BB</v>
          </cell>
          <cell r="AB2403">
            <v>2750</v>
          </cell>
          <cell r="AC2403">
            <v>25.625</v>
          </cell>
          <cell r="AD2403">
            <v>2750</v>
          </cell>
          <cell r="AE2403" t="str">
            <v>7-5/8" REG Box BB</v>
          </cell>
          <cell r="AF2403" t="str">
            <v>7-5/8" REG Pin SRG</v>
          </cell>
          <cell r="AG2403" t="str">
            <v>BLANK</v>
          </cell>
          <cell r="AH2403" t="str">
            <v xml:space="preserve"> en stock </v>
          </cell>
          <cell r="AI2403">
            <v>1</v>
          </cell>
          <cell r="AJ2403">
            <v>0</v>
          </cell>
          <cell r="AK2403">
            <v>0</v>
          </cell>
          <cell r="AL2403"/>
          <cell r="AM2403"/>
          <cell r="AN2403">
            <v>8112046</v>
          </cell>
          <cell r="AO2403"/>
          <cell r="AP2403"/>
          <cell r="AQ2403"/>
          <cell r="AR2403"/>
          <cell r="AS2403">
            <v>111</v>
          </cell>
          <cell r="AT2403" t="str">
            <v>811-</v>
          </cell>
          <cell r="AU2403" t="str">
            <v/>
          </cell>
          <cell r="AV2403"/>
        </row>
        <row r="2404">
          <cell r="Z2404">
            <v>8092047</v>
          </cell>
          <cell r="AA2404" t="str">
            <v>Near Bit Stab
7-5/8" REG Box x 7-5/8" REG Box BB</v>
          </cell>
          <cell r="AB2404">
            <v>2343</v>
          </cell>
          <cell r="AC2404">
            <v>25.75</v>
          </cell>
          <cell r="AD2404">
            <v>2850</v>
          </cell>
          <cell r="AE2404" t="str">
            <v>7-5/8" REG Box</v>
          </cell>
          <cell r="AF2404" t="str">
            <v>7-5/8" REG Box BB</v>
          </cell>
          <cell r="AG2404" t="str">
            <v>BLANK</v>
          </cell>
          <cell r="AH2404" t="str">
            <v xml:space="preserve"> en stock </v>
          </cell>
          <cell r="AI2404">
            <v>1</v>
          </cell>
          <cell r="AJ2404">
            <v>0</v>
          </cell>
          <cell r="AK2404">
            <v>0</v>
          </cell>
          <cell r="AL2404"/>
          <cell r="AM2404"/>
          <cell r="AN2404">
            <v>8092047</v>
          </cell>
          <cell r="AO2404"/>
          <cell r="AP2404"/>
          <cell r="AQ2404"/>
          <cell r="AR2404"/>
          <cell r="AS2404">
            <v>51</v>
          </cell>
          <cell r="AT2404"/>
          <cell r="AU2404" t="str">
            <v/>
          </cell>
          <cell r="AV2404"/>
        </row>
        <row r="2405">
          <cell r="Z2405">
            <v>8092048</v>
          </cell>
          <cell r="AA2405" t="str">
            <v>Near Bit Stab
7-5/8" REG Box x 7-5/8" REG Box BB</v>
          </cell>
          <cell r="AB2405">
            <v>2343</v>
          </cell>
          <cell r="AC2405">
            <v>25.75</v>
          </cell>
          <cell r="AD2405">
            <v>2850</v>
          </cell>
          <cell r="AE2405" t="str">
            <v>7-5/8" REG Box</v>
          </cell>
          <cell r="AF2405" t="str">
            <v>7-5/8" REG Box BB</v>
          </cell>
          <cell r="AG2405" t="str">
            <v>BLANK</v>
          </cell>
          <cell r="AH2405" t="str">
            <v xml:space="preserve"> en stock </v>
          </cell>
          <cell r="AI2405">
            <v>1</v>
          </cell>
          <cell r="AJ2405">
            <v>0</v>
          </cell>
          <cell r="AK2405">
            <v>0</v>
          </cell>
          <cell r="AL2405"/>
          <cell r="AM2405"/>
          <cell r="AN2405">
            <v>8092048</v>
          </cell>
          <cell r="AO2405"/>
          <cell r="AP2405"/>
          <cell r="AQ2405"/>
          <cell r="AR2405"/>
          <cell r="AS2405">
            <v>52</v>
          </cell>
          <cell r="AT2405"/>
          <cell r="AU2405" t="str">
            <v/>
          </cell>
          <cell r="AV2405"/>
        </row>
        <row r="2406">
          <cell r="Z2406">
            <v>8112049</v>
          </cell>
          <cell r="AA2406" t="str">
            <v>String Stab
7-5/8" REG Pin SRG x 7-5/8" REG Box BB</v>
          </cell>
          <cell r="AB2406">
            <v>2750</v>
          </cell>
          <cell r="AC2406" t="str">
            <v>27 15 16</v>
          </cell>
          <cell r="AD2406">
            <v>2750</v>
          </cell>
          <cell r="AE2406" t="str">
            <v>7-5/8" REG Box BB</v>
          </cell>
          <cell r="AF2406" t="str">
            <v>7-5/8" REG Pin SRG</v>
          </cell>
          <cell r="AG2406" t="str">
            <v>TGG</v>
          </cell>
          <cell r="AH2406" t="str">
            <v>maintenance</v>
          </cell>
          <cell r="AI2406" t="str">
            <v/>
          </cell>
          <cell r="AJ2406">
            <v>0</v>
          </cell>
          <cell r="AK2406">
            <v>1</v>
          </cell>
          <cell r="AL2406"/>
          <cell r="AM2406"/>
          <cell r="AN2406">
            <v>8112049</v>
          </cell>
          <cell r="AO2406"/>
          <cell r="AP2406"/>
          <cell r="AQ2406"/>
          <cell r="AR2406"/>
          <cell r="AS2406">
            <v>112</v>
          </cell>
          <cell r="AT2406" t="str">
            <v>811-</v>
          </cell>
          <cell r="AU2406" t="str">
            <v/>
          </cell>
          <cell r="AV2406"/>
        </row>
        <row r="2407">
          <cell r="Z2407">
            <v>8092050</v>
          </cell>
          <cell r="AA2407" t="str">
            <v>Near Bit Stab
7-5/8" REG Box x 7-5/8" REG Box BB</v>
          </cell>
          <cell r="AB2407">
            <v>2726</v>
          </cell>
          <cell r="AC2407">
            <v>27.9375</v>
          </cell>
          <cell r="AD2407">
            <v>2850</v>
          </cell>
          <cell r="AE2407" t="str">
            <v>7-5/8" REG Box</v>
          </cell>
          <cell r="AF2407" t="str">
            <v>7-5/8" REG Box BB</v>
          </cell>
          <cell r="AG2407" t="str">
            <v>TGG</v>
          </cell>
          <cell r="AH2407" t="str">
            <v>maintenance</v>
          </cell>
          <cell r="AI2407" t="str">
            <v/>
          </cell>
          <cell r="AJ2407">
            <v>0</v>
          </cell>
          <cell r="AK2407">
            <v>1</v>
          </cell>
          <cell r="AL2407"/>
          <cell r="AM2407"/>
          <cell r="AN2407">
            <v>8092050</v>
          </cell>
          <cell r="AO2407"/>
          <cell r="AP2407"/>
          <cell r="AQ2407"/>
          <cell r="AR2407"/>
          <cell r="AS2407">
            <v>55</v>
          </cell>
          <cell r="AT2407"/>
          <cell r="AU2407" t="str">
            <v/>
          </cell>
          <cell r="AV2407"/>
        </row>
        <row r="2408">
          <cell r="Z2408" t="str">
            <v/>
          </cell>
          <cell r="AA2408"/>
          <cell r="AB2408"/>
          <cell r="AC2408"/>
          <cell r="AD2408"/>
          <cell r="AE2408"/>
          <cell r="AF2408"/>
          <cell r="AG2408"/>
          <cell r="AH2408" t="str">
            <v>en stock</v>
          </cell>
          <cell r="AI2408"/>
          <cell r="AJ2408"/>
          <cell r="AK2408"/>
          <cell r="AL2408"/>
          <cell r="AM2408"/>
          <cell r="AN2408">
            <v>2025</v>
          </cell>
          <cell r="AO2408"/>
          <cell r="AP2408"/>
          <cell r="AQ2408"/>
          <cell r="AR2408"/>
          <cell r="AS2408"/>
          <cell r="AT2408"/>
          <cell r="AU2408" t="str">
            <v/>
          </cell>
          <cell r="AV2408"/>
        </row>
        <row r="2409">
          <cell r="Z2409">
            <v>5082051</v>
          </cell>
          <cell r="AA2409" t="str">
            <v>Taper Mill 
4-1/2" REG Pin</v>
          </cell>
          <cell r="AB2409">
            <v>0</v>
          </cell>
          <cell r="AC2409">
            <v>8.875</v>
          </cell>
          <cell r="AD2409">
            <v>0</v>
          </cell>
          <cell r="AE2409" t="str">
            <v>4-1/2" REG Pin</v>
          </cell>
          <cell r="AF2409"/>
          <cell r="AG2409"/>
          <cell r="AH2409" t="str">
            <v xml:space="preserve"> en stock </v>
          </cell>
          <cell r="AI2409">
            <v>1</v>
          </cell>
          <cell r="AJ2409">
            <v>0</v>
          </cell>
          <cell r="AK2409">
            <v>0</v>
          </cell>
          <cell r="AL2409"/>
          <cell r="AM2409"/>
          <cell r="AN2409">
            <v>5082051</v>
          </cell>
          <cell r="AO2409"/>
          <cell r="AP2409"/>
          <cell r="AQ2409"/>
          <cell r="AR2409"/>
          <cell r="AS2409">
            <v>41</v>
          </cell>
          <cell r="AT2409" t="str">
            <v>508-</v>
          </cell>
          <cell r="AU2409" t="str">
            <v/>
          </cell>
          <cell r="AV2409"/>
        </row>
        <row r="2410">
          <cell r="Z2410">
            <v>7132052</v>
          </cell>
          <cell r="AA2410" t="str">
            <v>Pack Off 5-11/16 OD body CA 9615
3-1/2" IF Pin down x Box up</v>
          </cell>
          <cell r="AB2410">
            <v>0</v>
          </cell>
          <cell r="AC2410">
            <v>5.6875</v>
          </cell>
          <cell r="AD2410" t="str">
            <v>CA 9615</v>
          </cell>
          <cell r="AE2410" t="str">
            <v>3-1/2" IF Box</v>
          </cell>
          <cell r="AF2410" t="str">
            <v>3-1/2" IF Pin</v>
          </cell>
          <cell r="AG2410"/>
          <cell r="AH2410" t="str">
            <v xml:space="preserve"> en stock </v>
          </cell>
          <cell r="AI2410">
            <v>1</v>
          </cell>
          <cell r="AJ2410">
            <v>0</v>
          </cell>
          <cell r="AK2410">
            <v>0</v>
          </cell>
          <cell r="AL2410"/>
          <cell r="AM2410"/>
          <cell r="AN2410">
            <v>7132052</v>
          </cell>
          <cell r="AO2410"/>
          <cell r="AP2410"/>
          <cell r="AQ2410"/>
          <cell r="AR2410"/>
          <cell r="AS2410">
            <v>9</v>
          </cell>
          <cell r="AT2410"/>
          <cell r="AU2410" t="str">
            <v>FR</v>
          </cell>
          <cell r="AV2410"/>
        </row>
        <row r="2411">
          <cell r="Z2411">
            <v>8062053</v>
          </cell>
          <cell r="AA2411" t="str">
            <v>Drill Collar 8"
6-5/8" REG Pin x Box</v>
          </cell>
          <cell r="AB2411">
            <v>2065.0560090934309</v>
          </cell>
          <cell r="AC2411">
            <v>8</v>
          </cell>
          <cell r="AD2411">
            <v>9320</v>
          </cell>
          <cell r="AE2411" t="str">
            <v>6-5/8" REG Box</v>
          </cell>
          <cell r="AF2411" t="str">
            <v>6-5/8" REG Pin</v>
          </cell>
          <cell r="AG2411"/>
          <cell r="AH2411" t="str">
            <v xml:space="preserve"> en stock </v>
          </cell>
          <cell r="AI2411">
            <v>1</v>
          </cell>
          <cell r="AJ2411">
            <v>0</v>
          </cell>
          <cell r="AK2411">
            <v>0</v>
          </cell>
          <cell r="AL2411"/>
          <cell r="AM2411"/>
          <cell r="AN2411">
            <v>8062053</v>
          </cell>
          <cell r="AO2411"/>
          <cell r="AP2411"/>
          <cell r="AQ2411"/>
          <cell r="AR2411"/>
          <cell r="AS2411">
            <v>50</v>
          </cell>
          <cell r="AT2411"/>
          <cell r="AU2411" t="str">
            <v/>
          </cell>
          <cell r="AV2411"/>
        </row>
        <row r="2412">
          <cell r="Z2412">
            <v>8062054</v>
          </cell>
          <cell r="AA2412" t="str">
            <v>Drill Collar 8"
6-5/8" REG Pin x Box</v>
          </cell>
          <cell r="AB2412">
            <v>2143.8558370277347</v>
          </cell>
          <cell r="AC2412">
            <v>8.125</v>
          </cell>
          <cell r="AD2412">
            <v>9340</v>
          </cell>
          <cell r="AE2412" t="str">
            <v>6-5/8" REG Box</v>
          </cell>
          <cell r="AF2412" t="str">
            <v>6-5/8" REG Pin</v>
          </cell>
          <cell r="AG2412"/>
          <cell r="AH2412" t="str">
            <v xml:space="preserve"> en stock </v>
          </cell>
          <cell r="AI2412">
            <v>1</v>
          </cell>
          <cell r="AJ2412">
            <v>0</v>
          </cell>
          <cell r="AK2412">
            <v>0</v>
          </cell>
          <cell r="AL2412"/>
          <cell r="AM2412"/>
          <cell r="AN2412">
            <v>8062054</v>
          </cell>
          <cell r="AO2412"/>
          <cell r="AP2412"/>
          <cell r="AQ2412"/>
          <cell r="AR2412"/>
          <cell r="AS2412">
            <v>51</v>
          </cell>
          <cell r="AT2412"/>
          <cell r="AU2412" t="str">
            <v/>
          </cell>
          <cell r="AV2412"/>
        </row>
        <row r="2413">
          <cell r="Z2413">
            <v>8062055</v>
          </cell>
          <cell r="AA2413" t="str">
            <v>Drill Collar 8"
6-5/8" REG Pin x Box</v>
          </cell>
          <cell r="AB2413">
            <v>2025.1729531238154</v>
          </cell>
          <cell r="AC2413">
            <v>8</v>
          </cell>
          <cell r="AD2413">
            <v>9140</v>
          </cell>
          <cell r="AE2413" t="str">
            <v>6-5/8" REG Box</v>
          </cell>
          <cell r="AF2413" t="str">
            <v>6-5/8" REG Pin</v>
          </cell>
          <cell r="AG2413"/>
          <cell r="AH2413" t="str">
            <v xml:space="preserve"> en stock </v>
          </cell>
          <cell r="AI2413">
            <v>1</v>
          </cell>
          <cell r="AJ2413">
            <v>0</v>
          </cell>
          <cell r="AK2413">
            <v>0</v>
          </cell>
          <cell r="AL2413"/>
          <cell r="AM2413"/>
          <cell r="AN2413">
            <v>8062055</v>
          </cell>
          <cell r="AO2413"/>
          <cell r="AP2413"/>
          <cell r="AQ2413"/>
          <cell r="AR2413"/>
          <cell r="AS2413">
            <v>52</v>
          </cell>
          <cell r="AT2413"/>
          <cell r="AU2413" t="str">
            <v/>
          </cell>
          <cell r="AV2413"/>
        </row>
        <row r="2414">
          <cell r="Z2414">
            <v>8132056</v>
          </cell>
          <cell r="AA2414" t="str">
            <v>XO
6-5/8" REG Pin x 4" FH Box</v>
          </cell>
          <cell r="AB2414">
            <v>138.48283322783203</v>
          </cell>
          <cell r="AC2414">
            <v>8</v>
          </cell>
          <cell r="AD2414">
            <v>625</v>
          </cell>
          <cell r="AE2414" t="str">
            <v>6-5/8" REG Pin</v>
          </cell>
          <cell r="AF2414" t="str">
            <v>4" FH Box</v>
          </cell>
          <cell r="AG2414"/>
          <cell r="AH2414" t="str">
            <v xml:space="preserve"> en stock </v>
          </cell>
          <cell r="AI2414">
            <v>1</v>
          </cell>
          <cell r="AJ2414">
            <v>0</v>
          </cell>
          <cell r="AK2414">
            <v>0</v>
          </cell>
          <cell r="AL2414"/>
          <cell r="AM2414"/>
          <cell r="AN2414">
            <v>8132056</v>
          </cell>
          <cell r="AO2414"/>
          <cell r="AP2414"/>
          <cell r="AQ2414"/>
          <cell r="AR2414"/>
          <cell r="AS2414">
            <v>203</v>
          </cell>
          <cell r="AT2414"/>
          <cell r="AU2414" t="str">
            <v>FR</v>
          </cell>
          <cell r="AV2414"/>
        </row>
        <row r="2415">
          <cell r="Z2415">
            <v>8132057</v>
          </cell>
          <cell r="AA2415" t="str">
            <v>XO
6-5/8" REG Pin x 4" FH Box</v>
          </cell>
          <cell r="AB2415">
            <v>138.48283322783203</v>
          </cell>
          <cell r="AC2415">
            <v>8</v>
          </cell>
          <cell r="AD2415">
            <v>625</v>
          </cell>
          <cell r="AE2415" t="str">
            <v>6-5/8" REG Pin</v>
          </cell>
          <cell r="AF2415" t="str">
            <v>4" FH Box</v>
          </cell>
          <cell r="AG2415"/>
          <cell r="AH2415" t="str">
            <v xml:space="preserve"> en stock </v>
          </cell>
          <cell r="AI2415">
            <v>1</v>
          </cell>
          <cell r="AJ2415">
            <v>0</v>
          </cell>
          <cell r="AK2415">
            <v>0</v>
          </cell>
          <cell r="AL2415"/>
          <cell r="AM2415"/>
          <cell r="AN2415">
            <v>8132057</v>
          </cell>
          <cell r="AO2415"/>
          <cell r="AP2415"/>
          <cell r="AQ2415"/>
          <cell r="AR2415"/>
          <cell r="AS2415">
            <v>204</v>
          </cell>
          <cell r="AT2415"/>
          <cell r="AU2415" t="str">
            <v>FR</v>
          </cell>
          <cell r="AV2415"/>
        </row>
        <row r="2416">
          <cell r="Z2416">
            <v>8132058</v>
          </cell>
          <cell r="AA2416" t="str">
            <v>XO
6-5/8" REG Pin x 4" IF Box</v>
          </cell>
          <cell r="AB2416">
            <v>131.93433794531248</v>
          </cell>
          <cell r="AC2416">
            <v>8</v>
          </cell>
          <cell r="AD2416">
            <v>625</v>
          </cell>
          <cell r="AE2416" t="str">
            <v>6-5/8" REG Pin</v>
          </cell>
          <cell r="AF2416" t="str">
            <v>4" IF Box</v>
          </cell>
          <cell r="AG2416"/>
          <cell r="AH2416" t="str">
            <v xml:space="preserve"> en stock </v>
          </cell>
          <cell r="AI2416">
            <v>1</v>
          </cell>
          <cell r="AJ2416">
            <v>0</v>
          </cell>
          <cell r="AK2416">
            <v>0</v>
          </cell>
          <cell r="AL2416"/>
          <cell r="AM2416"/>
          <cell r="AN2416">
            <v>8132058</v>
          </cell>
          <cell r="AO2416"/>
          <cell r="AP2416"/>
          <cell r="AQ2416"/>
          <cell r="AR2416"/>
          <cell r="AS2416">
            <v>206</v>
          </cell>
          <cell r="AT2416"/>
          <cell r="AU2416" t="str">
            <v>FR</v>
          </cell>
          <cell r="AV2416"/>
        </row>
        <row r="2417">
          <cell r="Z2417">
            <v>8132059</v>
          </cell>
          <cell r="AA2417" t="str">
            <v>XO
4" IF Pin x 4" FH Box</v>
          </cell>
          <cell r="AB2417">
            <v>76.913475520019531</v>
          </cell>
          <cell r="AC2417">
            <v>6.25</v>
          </cell>
          <cell r="AD2417">
            <v>625</v>
          </cell>
          <cell r="AE2417" t="str">
            <v>4" IF Pin</v>
          </cell>
          <cell r="AF2417" t="str">
            <v>4" FH Box</v>
          </cell>
          <cell r="AG2417"/>
          <cell r="AH2417" t="str">
            <v xml:space="preserve"> en stock </v>
          </cell>
          <cell r="AI2417">
            <v>1</v>
          </cell>
          <cell r="AJ2417">
            <v>0</v>
          </cell>
          <cell r="AK2417">
            <v>0</v>
          </cell>
          <cell r="AL2417"/>
          <cell r="AM2417"/>
          <cell r="AN2417">
            <v>8132059</v>
          </cell>
          <cell r="AO2417"/>
          <cell r="AP2417"/>
          <cell r="AQ2417"/>
          <cell r="AR2417"/>
          <cell r="AS2417">
            <v>139</v>
          </cell>
          <cell r="AT2417"/>
          <cell r="AU2417" t="str">
            <v>FR</v>
          </cell>
          <cell r="AV2417"/>
        </row>
        <row r="2418">
          <cell r="Z2418">
            <v>8132060</v>
          </cell>
          <cell r="AA2418" t="str">
            <v>XO
4" IF Pin x 4" FH Box</v>
          </cell>
          <cell r="AB2418">
            <v>76.913475520019531</v>
          </cell>
          <cell r="AC2418">
            <v>6.25</v>
          </cell>
          <cell r="AD2418">
            <v>625</v>
          </cell>
          <cell r="AE2418" t="str">
            <v>4" IF Pin</v>
          </cell>
          <cell r="AF2418" t="str">
            <v>4" FH Box</v>
          </cell>
          <cell r="AG2418"/>
          <cell r="AH2418" t="str">
            <v xml:space="preserve"> en stock </v>
          </cell>
          <cell r="AI2418">
            <v>1</v>
          </cell>
          <cell r="AJ2418">
            <v>0</v>
          </cell>
          <cell r="AK2418">
            <v>0</v>
          </cell>
          <cell r="AL2418"/>
          <cell r="AM2418"/>
          <cell r="AN2418">
            <v>8132060</v>
          </cell>
          <cell r="AO2418"/>
          <cell r="AP2418"/>
          <cell r="AQ2418"/>
          <cell r="AR2418"/>
          <cell r="AS2418">
            <v>140</v>
          </cell>
          <cell r="AT2418"/>
          <cell r="AU2418" t="str">
            <v>FR</v>
          </cell>
          <cell r="AV2418"/>
        </row>
        <row r="2419">
          <cell r="Z2419">
            <v>8042061</v>
          </cell>
          <cell r="AA2419" t="str">
            <v>Lift Sub 6-5/8" REG Pin down x 4" IF Box up
5" OD body for Elevator DP 18°</v>
          </cell>
          <cell r="AB2419">
            <v>235</v>
          </cell>
          <cell r="AC2419" t="str">
            <v>5"</v>
          </cell>
          <cell r="AD2419">
            <v>2100</v>
          </cell>
          <cell r="AE2419" t="str">
            <v>18°</v>
          </cell>
          <cell r="AF2419" t="str">
            <v>6-5/8" REG Pin down x 4" IF Box up</v>
          </cell>
          <cell r="AG2419"/>
          <cell r="AH2419" t="str">
            <v xml:space="preserve"> en stock </v>
          </cell>
          <cell r="AI2419">
            <v>1</v>
          </cell>
          <cell r="AJ2419">
            <v>0</v>
          </cell>
          <cell r="AK2419">
            <v>0</v>
          </cell>
          <cell r="AL2419"/>
          <cell r="AM2419"/>
          <cell r="AN2419">
            <v>8042061</v>
          </cell>
          <cell r="AO2419"/>
          <cell r="AP2419"/>
          <cell r="AQ2419"/>
          <cell r="AR2419"/>
          <cell r="AS2419">
            <v>5</v>
          </cell>
          <cell r="AT2419"/>
          <cell r="AU2419" t="str">
            <v>FR</v>
          </cell>
          <cell r="AV2419"/>
        </row>
        <row r="2420">
          <cell r="Z2420">
            <v>8042062</v>
          </cell>
          <cell r="AA2420" t="str">
            <v>Lift Sub 6-5/8" REG Pin down x 4" IF Box up
5" OD body for Elevator DP 18°</v>
          </cell>
          <cell r="AB2420">
            <v>235</v>
          </cell>
          <cell r="AC2420" t="str">
            <v>5"</v>
          </cell>
          <cell r="AD2420">
            <v>2100</v>
          </cell>
          <cell r="AE2420" t="str">
            <v>18°</v>
          </cell>
          <cell r="AF2420" t="str">
            <v>6-5/8" REG Pin down x 4" IF Box up</v>
          </cell>
          <cell r="AG2420"/>
          <cell r="AH2420" t="str">
            <v xml:space="preserve"> en stock </v>
          </cell>
          <cell r="AI2420">
            <v>1</v>
          </cell>
          <cell r="AJ2420">
            <v>0</v>
          </cell>
          <cell r="AK2420">
            <v>0</v>
          </cell>
          <cell r="AL2420"/>
          <cell r="AM2420"/>
          <cell r="AN2420">
            <v>8042062</v>
          </cell>
          <cell r="AO2420"/>
          <cell r="AP2420"/>
          <cell r="AQ2420"/>
          <cell r="AR2420"/>
          <cell r="AS2420">
            <v>6</v>
          </cell>
          <cell r="AT2420"/>
          <cell r="AU2420" t="str">
            <v>FR</v>
          </cell>
          <cell r="AV2420"/>
        </row>
        <row r="2421">
          <cell r="Z2421">
            <v>7042063</v>
          </cell>
          <cell r="AA2421" t="str">
            <v>5-3/4" FS Overshot - CA 8975
3-1/2" IF Box</v>
          </cell>
          <cell r="AB2421">
            <v>70</v>
          </cell>
          <cell r="AC2421" t="str">
            <v>5-3/4" FS</v>
          </cell>
          <cell r="AD2421">
            <v>1035</v>
          </cell>
          <cell r="AE2421" t="str">
            <v>3-1/2" IF Box</v>
          </cell>
          <cell r="AF2421">
            <v>0</v>
          </cell>
          <cell r="AG2421">
            <v>8975</v>
          </cell>
          <cell r="AH2421" t="str">
            <v>maintenance</v>
          </cell>
          <cell r="AI2421" t="str">
            <v/>
          </cell>
          <cell r="AJ2421">
            <v>0</v>
          </cell>
          <cell r="AK2421">
            <v>1</v>
          </cell>
          <cell r="AL2421"/>
          <cell r="AM2421"/>
          <cell r="AN2421">
            <v>7042063</v>
          </cell>
          <cell r="AO2421"/>
          <cell r="AP2421"/>
          <cell r="AQ2421"/>
          <cell r="AR2421"/>
          <cell r="AS2421">
            <v>37</v>
          </cell>
          <cell r="AT2421" t="str">
            <v>704-8975</v>
          </cell>
          <cell r="AU2421" t="str">
            <v/>
          </cell>
          <cell r="AV2421"/>
        </row>
        <row r="2422">
          <cell r="Z2422">
            <v>7052064</v>
          </cell>
          <cell r="AA2422" t="str">
            <v>Extension 5-3/4" FS Lg 900mm CA 8975
5-3/4" FS Sellers Pin x Box</v>
          </cell>
          <cell r="AB2422">
            <v>45.552066153749983</v>
          </cell>
          <cell r="AC2422" t="str">
            <v>5-3/4" FS</v>
          </cell>
          <cell r="AD2422">
            <v>900</v>
          </cell>
          <cell r="AE2422" t="str">
            <v>5-3/4" FS Sellers Box</v>
          </cell>
          <cell r="AF2422" t="str">
            <v>5-3/4" FS Sellers Pin</v>
          </cell>
          <cell r="AG2422">
            <v>8975</v>
          </cell>
          <cell r="AH2422" t="str">
            <v xml:space="preserve"> en stock </v>
          </cell>
          <cell r="AI2422">
            <v>1</v>
          </cell>
          <cell r="AJ2422">
            <v>0</v>
          </cell>
          <cell r="AK2422">
            <v>0</v>
          </cell>
          <cell r="AL2422"/>
          <cell r="AM2422"/>
          <cell r="AN2422">
            <v>7052064</v>
          </cell>
          <cell r="AO2422"/>
          <cell r="AP2422"/>
          <cell r="AQ2422"/>
          <cell r="AR2422"/>
          <cell r="AS2422">
            <v>28</v>
          </cell>
          <cell r="AT2422" t="str">
            <v>705-8975</v>
          </cell>
          <cell r="AU2422" t="str">
            <v/>
          </cell>
          <cell r="AV2422"/>
        </row>
        <row r="2423">
          <cell r="Z2423">
            <v>7042065</v>
          </cell>
          <cell r="AA2423" t="str">
            <v>8-1/8" FS Overshot - CA C-5342
4-1/2" IF Box</v>
          </cell>
          <cell r="AB2423">
            <v>142</v>
          </cell>
          <cell r="AC2423" t="str">
            <v>8-1/8" FS</v>
          </cell>
          <cell r="AD2423">
            <v>1210</v>
          </cell>
          <cell r="AE2423" t="str">
            <v>4-1/2" IF Box</v>
          </cell>
          <cell r="AF2423">
            <v>0</v>
          </cell>
          <cell r="AG2423" t="str">
            <v>C-5342</v>
          </cell>
          <cell r="AH2423" t="str">
            <v>en stock</v>
          </cell>
          <cell r="AI2423">
            <v>0</v>
          </cell>
          <cell r="AJ2423">
            <v>1</v>
          </cell>
          <cell r="AK2423">
            <v>0</v>
          </cell>
          <cell r="AL2423"/>
          <cell r="AM2423"/>
          <cell r="AN2423">
            <v>7042065</v>
          </cell>
          <cell r="AO2423"/>
          <cell r="AP2423"/>
          <cell r="AQ2423"/>
          <cell r="AR2423"/>
          <cell r="AS2423">
            <v>61</v>
          </cell>
          <cell r="AT2423" t="str">
            <v>704-5342</v>
          </cell>
          <cell r="AU2423" t="str">
            <v/>
          </cell>
          <cell r="AV2423"/>
        </row>
        <row r="2424">
          <cell r="Z2424">
            <v>7052066</v>
          </cell>
          <cell r="AA2424" t="str">
            <v>Extension 8-1/8" FS Lg 830mm CA C-5342
8-1/8" FS Sellers Pin x Box</v>
          </cell>
          <cell r="AB2424">
            <v>61.476772207500019</v>
          </cell>
          <cell r="AC2424" t="str">
            <v>8-1/8" FS</v>
          </cell>
          <cell r="AD2424">
            <v>830</v>
          </cell>
          <cell r="AE2424" t="str">
            <v>8-1/8" FS Sellers Box</v>
          </cell>
          <cell r="AF2424" t="str">
            <v>8-1/8" FS Sellers Pin</v>
          </cell>
          <cell r="AG2424" t="str">
            <v>C-5342</v>
          </cell>
          <cell r="AH2424" t="str">
            <v>sur chantier</v>
          </cell>
          <cell r="AI2424" t="str">
            <v/>
          </cell>
          <cell r="AJ2424">
            <v>1</v>
          </cell>
          <cell r="AK2424">
            <v>0</v>
          </cell>
          <cell r="AL2424"/>
          <cell r="AM2424"/>
          <cell r="AN2424">
            <v>7052066</v>
          </cell>
          <cell r="AO2424"/>
          <cell r="AP2424"/>
          <cell r="AQ2424"/>
          <cell r="AR2424"/>
          <cell r="AS2424">
            <v>47</v>
          </cell>
          <cell r="AT2424" t="str">
            <v>705-5342</v>
          </cell>
          <cell r="AU2424" t="str">
            <v/>
          </cell>
          <cell r="AV2424"/>
        </row>
        <row r="2425">
          <cell r="Z2425">
            <v>3022068</v>
          </cell>
          <cell r="AA2425" t="str">
            <v>DTU 18000
7-5/8" REG Pin up x 7-5/8" REG Box down</v>
          </cell>
          <cell r="AB2425">
            <v>0</v>
          </cell>
          <cell r="AC2425">
            <v>18000</v>
          </cell>
          <cell r="AD2425">
            <v>3550</v>
          </cell>
          <cell r="AE2425" t="str">
            <v>7-5/8" REG Pin</v>
          </cell>
          <cell r="AF2425" t="str">
            <v>7-5/8" REG Box</v>
          </cell>
          <cell r="AG2425"/>
          <cell r="AH2425" t="str">
            <v>maintenance</v>
          </cell>
          <cell r="AI2425" t="str">
            <v/>
          </cell>
          <cell r="AJ2425">
            <v>0</v>
          </cell>
          <cell r="AK2425">
            <v>1</v>
          </cell>
          <cell r="AL2425"/>
          <cell r="AM2425"/>
          <cell r="AN2425">
            <v>3022068</v>
          </cell>
          <cell r="AO2425"/>
          <cell r="AP2425"/>
          <cell r="AQ2425"/>
          <cell r="AR2425"/>
          <cell r="AS2425">
            <v>10</v>
          </cell>
          <cell r="AT2425" t="str">
            <v>302-5700</v>
          </cell>
          <cell r="AU2425" t="str">
            <v/>
          </cell>
          <cell r="AV2425"/>
        </row>
        <row r="2426">
          <cell r="Z2426">
            <v>5112069</v>
          </cell>
          <cell r="AA2426" t="str">
            <v>WO Shoe
11-3/4" FJWP Box</v>
          </cell>
          <cell r="AB2426">
            <v>0</v>
          </cell>
          <cell r="AC2426">
            <v>12.5</v>
          </cell>
          <cell r="AD2426">
            <v>770</v>
          </cell>
          <cell r="AE2426" t="str">
            <v>11-3/4" FJWP Box</v>
          </cell>
          <cell r="AF2426"/>
          <cell r="AG2426" t="str">
            <v>CC</v>
          </cell>
          <cell r="AH2426" t="str">
            <v xml:space="preserve"> en stock </v>
          </cell>
          <cell r="AI2426">
            <v>1</v>
          </cell>
          <cell r="AJ2426">
            <v>0</v>
          </cell>
          <cell r="AK2426">
            <v>0</v>
          </cell>
          <cell r="AL2426"/>
          <cell r="AM2426"/>
          <cell r="AN2426" t="str">
            <v/>
          </cell>
          <cell r="AO2426"/>
          <cell r="AP2426"/>
          <cell r="AQ2426"/>
          <cell r="AR2426"/>
          <cell r="AS2426">
            <v>221</v>
          </cell>
          <cell r="AT2426"/>
          <cell r="AU2426" t="str">
            <v/>
          </cell>
          <cell r="AV2426"/>
        </row>
        <row r="2427">
          <cell r="Z2427">
            <v>20</v>
          </cell>
          <cell r="AA2427" t="str">
            <v>Loading Basket 4160mm x 1100mm L</v>
          </cell>
          <cell r="AB2427">
            <v>660</v>
          </cell>
          <cell r="AC2427">
            <v>1100</v>
          </cell>
          <cell r="AD2427">
            <v>4160</v>
          </cell>
          <cell r="AE2427"/>
          <cell r="AF2427"/>
          <cell r="AG2427" t="str">
            <v>L</v>
          </cell>
          <cell r="AH2427" t="str">
            <v xml:space="preserve"> en stock </v>
          </cell>
          <cell r="AI2427">
            <v>1</v>
          </cell>
          <cell r="AJ2427">
            <v>0</v>
          </cell>
          <cell r="AK2427">
            <v>0</v>
          </cell>
          <cell r="AL2427"/>
          <cell r="AM2427"/>
          <cell r="AN2427" t="str">
            <v/>
          </cell>
          <cell r="AO2427"/>
          <cell r="AP2427"/>
          <cell r="AQ2427"/>
          <cell r="AR2427"/>
          <cell r="AS2427">
            <v>15</v>
          </cell>
          <cell r="AT2427"/>
          <cell r="AU2427" t="str">
            <v>FR</v>
          </cell>
          <cell r="AV2427">
            <v>86090090</v>
          </cell>
        </row>
        <row r="2428">
          <cell r="Z2428">
            <v>21</v>
          </cell>
          <cell r="AA2428" t="str">
            <v>Loading Basket 4160mm x 1100mm L</v>
          </cell>
          <cell r="AB2428">
            <v>660</v>
          </cell>
          <cell r="AC2428">
            <v>1100</v>
          </cell>
          <cell r="AD2428">
            <v>4160</v>
          </cell>
          <cell r="AE2428"/>
          <cell r="AF2428"/>
          <cell r="AG2428" t="str">
            <v>L</v>
          </cell>
          <cell r="AH2428" t="str">
            <v xml:space="preserve"> en stock </v>
          </cell>
          <cell r="AI2428">
            <v>1</v>
          </cell>
          <cell r="AJ2428">
            <v>0</v>
          </cell>
          <cell r="AK2428">
            <v>0</v>
          </cell>
          <cell r="AL2428"/>
          <cell r="AM2428"/>
          <cell r="AN2428" t="str">
            <v/>
          </cell>
          <cell r="AO2428"/>
          <cell r="AP2428"/>
          <cell r="AQ2428"/>
          <cell r="AR2428"/>
          <cell r="AS2428">
            <v>16</v>
          </cell>
          <cell r="AT2428"/>
          <cell r="AU2428" t="str">
            <v>FR</v>
          </cell>
          <cell r="AV2428">
            <v>86090090</v>
          </cell>
        </row>
        <row r="2429">
          <cell r="Z2429">
            <v>22</v>
          </cell>
          <cell r="AA2429" t="str">
            <v>Loading Basket 4160mm x 1100mm L</v>
          </cell>
          <cell r="AB2429">
            <v>660</v>
          </cell>
          <cell r="AC2429">
            <v>1100</v>
          </cell>
          <cell r="AD2429">
            <v>4160</v>
          </cell>
          <cell r="AE2429"/>
          <cell r="AF2429"/>
          <cell r="AG2429" t="str">
            <v>L</v>
          </cell>
          <cell r="AH2429" t="str">
            <v>sur chantier</v>
          </cell>
          <cell r="AI2429" t="str">
            <v/>
          </cell>
          <cell r="AJ2429">
            <v>1</v>
          </cell>
          <cell r="AK2429">
            <v>0</v>
          </cell>
          <cell r="AL2429"/>
          <cell r="AM2429"/>
          <cell r="AN2429" t="str">
            <v/>
          </cell>
          <cell r="AO2429"/>
          <cell r="AP2429"/>
          <cell r="AQ2429"/>
          <cell r="AR2429"/>
          <cell r="AS2429">
            <v>17</v>
          </cell>
          <cell r="AT2429"/>
          <cell r="AU2429" t="str">
            <v>FR</v>
          </cell>
          <cell r="AV2429">
            <v>86090090</v>
          </cell>
        </row>
        <row r="2430">
          <cell r="Z2430">
            <v>23</v>
          </cell>
          <cell r="AA2430" t="str">
            <v>Loading Basket 4160mm x 1100mm L</v>
          </cell>
          <cell r="AB2430">
            <v>660</v>
          </cell>
          <cell r="AC2430">
            <v>1100</v>
          </cell>
          <cell r="AD2430">
            <v>4160</v>
          </cell>
          <cell r="AE2430"/>
          <cell r="AF2430"/>
          <cell r="AG2430" t="str">
            <v>L</v>
          </cell>
          <cell r="AH2430" t="str">
            <v xml:space="preserve"> en stock </v>
          </cell>
          <cell r="AI2430">
            <v>1</v>
          </cell>
          <cell r="AJ2430">
            <v>0</v>
          </cell>
          <cell r="AK2430">
            <v>0</v>
          </cell>
          <cell r="AL2430"/>
          <cell r="AM2430"/>
          <cell r="AN2430" t="str">
            <v/>
          </cell>
          <cell r="AO2430"/>
          <cell r="AP2430"/>
          <cell r="AQ2430"/>
          <cell r="AR2430"/>
          <cell r="AS2430">
            <v>18</v>
          </cell>
          <cell r="AT2430"/>
          <cell r="AU2430" t="str">
            <v>FR</v>
          </cell>
          <cell r="AV2430">
            <v>86090090</v>
          </cell>
        </row>
        <row r="2431">
          <cell r="Z2431">
            <v>24</v>
          </cell>
          <cell r="AA2431" t="str">
            <v>Loading Basket 3200mm x 1100mm M</v>
          </cell>
          <cell r="AB2431">
            <v>550</v>
          </cell>
          <cell r="AC2431">
            <v>1100</v>
          </cell>
          <cell r="AD2431">
            <v>3200</v>
          </cell>
          <cell r="AE2431"/>
          <cell r="AF2431"/>
          <cell r="AG2431" t="str">
            <v>M</v>
          </cell>
          <cell r="AH2431" t="str">
            <v xml:space="preserve"> en stock </v>
          </cell>
          <cell r="AI2431">
            <v>1</v>
          </cell>
          <cell r="AJ2431">
            <v>0</v>
          </cell>
          <cell r="AK2431">
            <v>0</v>
          </cell>
          <cell r="AL2431"/>
          <cell r="AM2431"/>
          <cell r="AN2431" t="str">
            <v/>
          </cell>
          <cell r="AO2431"/>
          <cell r="AP2431"/>
          <cell r="AQ2431"/>
          <cell r="AR2431"/>
          <cell r="AS2431">
            <v>19</v>
          </cell>
          <cell r="AT2431"/>
          <cell r="AU2431" t="str">
            <v>FR</v>
          </cell>
          <cell r="AV2431">
            <v>86090090</v>
          </cell>
        </row>
        <row r="2432">
          <cell r="Z2432">
            <v>25</v>
          </cell>
          <cell r="AA2432" t="str">
            <v>Loading Basket 3200mm x 1100mm M</v>
          </cell>
          <cell r="AB2432">
            <v>550</v>
          </cell>
          <cell r="AC2432">
            <v>1100</v>
          </cell>
          <cell r="AD2432">
            <v>3200</v>
          </cell>
          <cell r="AE2432"/>
          <cell r="AF2432"/>
          <cell r="AG2432" t="str">
            <v>M</v>
          </cell>
          <cell r="AH2432" t="str">
            <v xml:space="preserve"> en stock </v>
          </cell>
          <cell r="AI2432">
            <v>1</v>
          </cell>
          <cell r="AJ2432">
            <v>0</v>
          </cell>
          <cell r="AK2432">
            <v>0</v>
          </cell>
          <cell r="AL2432"/>
          <cell r="AM2432"/>
          <cell r="AN2432" t="str">
            <v/>
          </cell>
          <cell r="AO2432"/>
          <cell r="AP2432"/>
          <cell r="AQ2432"/>
          <cell r="AR2432"/>
          <cell r="AS2432">
            <v>20</v>
          </cell>
          <cell r="AT2432"/>
          <cell r="AU2432" t="str">
            <v>FR</v>
          </cell>
          <cell r="AV2432">
            <v>86090090</v>
          </cell>
        </row>
        <row r="2433">
          <cell r="Z2433">
            <v>26</v>
          </cell>
          <cell r="AA2433" t="str">
            <v>Loading Basket 3200mm x 1100mm M</v>
          </cell>
          <cell r="AB2433">
            <v>550</v>
          </cell>
          <cell r="AC2433">
            <v>1100</v>
          </cell>
          <cell r="AD2433">
            <v>3200</v>
          </cell>
          <cell r="AE2433"/>
          <cell r="AF2433"/>
          <cell r="AG2433" t="str">
            <v>M</v>
          </cell>
          <cell r="AH2433" t="str">
            <v>sur chantier</v>
          </cell>
          <cell r="AI2433" t="str">
            <v/>
          </cell>
          <cell r="AJ2433">
            <v>1</v>
          </cell>
          <cell r="AK2433">
            <v>0</v>
          </cell>
          <cell r="AL2433"/>
          <cell r="AM2433"/>
          <cell r="AN2433" t="str">
            <v/>
          </cell>
          <cell r="AO2433"/>
          <cell r="AP2433"/>
          <cell r="AQ2433"/>
          <cell r="AR2433"/>
          <cell r="AS2433">
            <v>21</v>
          </cell>
          <cell r="AT2433"/>
          <cell r="AU2433" t="str">
            <v>FR</v>
          </cell>
          <cell r="AV2433">
            <v>86090090</v>
          </cell>
        </row>
        <row r="2434">
          <cell r="Z2434">
            <v>27</v>
          </cell>
          <cell r="AA2434" t="str">
            <v>Loading Basket 3200mm x 1100mm M</v>
          </cell>
          <cell r="AB2434">
            <v>550</v>
          </cell>
          <cell r="AC2434">
            <v>1100</v>
          </cell>
          <cell r="AD2434">
            <v>3200</v>
          </cell>
          <cell r="AE2434"/>
          <cell r="AF2434"/>
          <cell r="AG2434" t="str">
            <v>M</v>
          </cell>
          <cell r="AH2434" t="str">
            <v>sur chantier</v>
          </cell>
          <cell r="AI2434" t="str">
            <v/>
          </cell>
          <cell r="AJ2434">
            <v>1</v>
          </cell>
          <cell r="AK2434">
            <v>0</v>
          </cell>
          <cell r="AL2434"/>
          <cell r="AM2434"/>
          <cell r="AN2434" t="str">
            <v/>
          </cell>
          <cell r="AO2434"/>
          <cell r="AP2434"/>
          <cell r="AQ2434"/>
          <cell r="AR2434"/>
          <cell r="AS2434">
            <v>22</v>
          </cell>
          <cell r="AT2434"/>
          <cell r="AU2434" t="str">
            <v>FR</v>
          </cell>
          <cell r="AV2434">
            <v>86090090</v>
          </cell>
        </row>
        <row r="2435">
          <cell r="Z2435">
            <v>8132069</v>
          </cell>
          <cell r="AA2435" t="str">
            <v>XO
6-5/8" REG Pin x 4-1/2" IF Box</v>
          </cell>
          <cell r="AB2435">
            <v>0</v>
          </cell>
          <cell r="AC2435">
            <v>8</v>
          </cell>
          <cell r="AD2435">
            <v>910</v>
          </cell>
          <cell r="AE2435" t="str">
            <v>6-5/8" REG Pin</v>
          </cell>
          <cell r="AF2435" t="str">
            <v>4-1/2" IF Box</v>
          </cell>
          <cell r="AG2435"/>
          <cell r="AH2435" t="str">
            <v>sur chantier</v>
          </cell>
          <cell r="AI2435" t="str">
            <v/>
          </cell>
          <cell r="AJ2435">
            <v>1</v>
          </cell>
          <cell r="AK2435">
            <v>0</v>
          </cell>
          <cell r="AL2435"/>
          <cell r="AM2435"/>
          <cell r="AN2435">
            <v>8132069</v>
          </cell>
          <cell r="AO2435"/>
          <cell r="AP2435"/>
          <cell r="AQ2435"/>
          <cell r="AR2435"/>
          <cell r="AS2435">
            <v>211</v>
          </cell>
          <cell r="AT2435"/>
          <cell r="AU2435" t="str">
            <v>FR</v>
          </cell>
          <cell r="AV2435"/>
        </row>
        <row r="2436">
          <cell r="Z2436">
            <v>8132070</v>
          </cell>
          <cell r="AA2436" t="str">
            <v>XO
6-5/8" REG Pin x 4-1/2" IF Box</v>
          </cell>
          <cell r="AB2436">
            <v>0</v>
          </cell>
          <cell r="AC2436">
            <v>8</v>
          </cell>
          <cell r="AD2436">
            <v>910</v>
          </cell>
          <cell r="AE2436" t="str">
            <v>6-5/8" REG Pin</v>
          </cell>
          <cell r="AF2436" t="str">
            <v>4-1/2" IF Box</v>
          </cell>
          <cell r="AG2436"/>
          <cell r="AH2436" t="str">
            <v>maintenance</v>
          </cell>
          <cell r="AI2436" t="str">
            <v/>
          </cell>
          <cell r="AJ2436">
            <v>0</v>
          </cell>
          <cell r="AK2436">
            <v>1</v>
          </cell>
          <cell r="AL2436"/>
          <cell r="AM2436"/>
          <cell r="AN2436">
            <v>8132070</v>
          </cell>
          <cell r="AO2436"/>
          <cell r="AP2436"/>
          <cell r="AQ2436"/>
          <cell r="AR2436"/>
          <cell r="AS2436">
            <v>212</v>
          </cell>
          <cell r="AT2436"/>
          <cell r="AU2436" t="str">
            <v>FR</v>
          </cell>
          <cell r="AV2436"/>
        </row>
        <row r="2437">
          <cell r="Z2437">
            <v>8132071</v>
          </cell>
          <cell r="AA2437" t="str">
            <v>XO
6-5/8" REG Pin x 4-1/2" IF Box</v>
          </cell>
          <cell r="AB2437">
            <v>0</v>
          </cell>
          <cell r="AC2437">
            <v>8</v>
          </cell>
          <cell r="AD2437">
            <v>910</v>
          </cell>
          <cell r="AE2437" t="str">
            <v>6-5/8" REG Pin</v>
          </cell>
          <cell r="AF2437" t="str">
            <v>4-1/2" IF Box</v>
          </cell>
          <cell r="AG2437"/>
          <cell r="AH2437" t="str">
            <v xml:space="preserve"> en stock </v>
          </cell>
          <cell r="AI2437">
            <v>1</v>
          </cell>
          <cell r="AJ2437">
            <v>0</v>
          </cell>
          <cell r="AK2437">
            <v>0</v>
          </cell>
          <cell r="AL2437"/>
          <cell r="AM2437"/>
          <cell r="AN2437">
            <v>8132071</v>
          </cell>
          <cell r="AO2437"/>
          <cell r="AP2437"/>
          <cell r="AQ2437"/>
          <cell r="AR2437"/>
          <cell r="AS2437">
            <v>213</v>
          </cell>
          <cell r="AT2437"/>
          <cell r="AU2437" t="str">
            <v>FR</v>
          </cell>
          <cell r="AV2437"/>
        </row>
        <row r="2438">
          <cell r="Z2438">
            <v>8132072</v>
          </cell>
          <cell r="AA2438" t="str">
            <v>XO
4-1/2" IF Pin x 6-5/8" REG Box</v>
          </cell>
          <cell r="AB2438">
            <v>0</v>
          </cell>
          <cell r="AC2438">
            <v>8</v>
          </cell>
          <cell r="AD2438">
            <v>915</v>
          </cell>
          <cell r="AE2438" t="str">
            <v>4-1/2" IF Pin</v>
          </cell>
          <cell r="AF2438" t="str">
            <v>6-5/8" REG Box</v>
          </cell>
          <cell r="AG2438"/>
          <cell r="AH2438" t="str">
            <v>maintenance</v>
          </cell>
          <cell r="AI2438" t="str">
            <v/>
          </cell>
          <cell r="AJ2438">
            <v>0</v>
          </cell>
          <cell r="AK2438">
            <v>1</v>
          </cell>
          <cell r="AL2438"/>
          <cell r="AM2438"/>
          <cell r="AN2438">
            <v>8132072</v>
          </cell>
          <cell r="AO2438"/>
          <cell r="AP2438"/>
          <cell r="AQ2438"/>
          <cell r="AR2438"/>
          <cell r="AS2438">
            <v>176</v>
          </cell>
          <cell r="AT2438"/>
          <cell r="AU2438" t="str">
            <v>FR</v>
          </cell>
          <cell r="AV2438"/>
        </row>
        <row r="2439">
          <cell r="Z2439">
            <v>8132073</v>
          </cell>
          <cell r="AA2439" t="str">
            <v>XO
4-1/2" IF Pin x 6-5/8" REG Box</v>
          </cell>
          <cell r="AB2439">
            <v>0</v>
          </cell>
          <cell r="AC2439">
            <v>8</v>
          </cell>
          <cell r="AD2439">
            <v>915</v>
          </cell>
          <cell r="AE2439" t="str">
            <v>4-1/2" IF Pin</v>
          </cell>
          <cell r="AF2439" t="str">
            <v>6-5/8" REG Box</v>
          </cell>
          <cell r="AG2439"/>
          <cell r="AH2439" t="str">
            <v>maintenance</v>
          </cell>
          <cell r="AI2439" t="str">
            <v/>
          </cell>
          <cell r="AJ2439">
            <v>0</v>
          </cell>
          <cell r="AK2439">
            <v>1</v>
          </cell>
          <cell r="AL2439"/>
          <cell r="AM2439"/>
          <cell r="AN2439">
            <v>8132073</v>
          </cell>
          <cell r="AO2439"/>
          <cell r="AP2439"/>
          <cell r="AQ2439"/>
          <cell r="AR2439"/>
          <cell r="AS2439">
            <v>177</v>
          </cell>
          <cell r="AT2439"/>
          <cell r="AU2439" t="str">
            <v>FR</v>
          </cell>
          <cell r="AV2439"/>
        </row>
        <row r="2440">
          <cell r="Z2440">
            <v>4022074</v>
          </cell>
          <cell r="AA2440" t="str">
            <v>Bumper Sub 3-5/32" OD 
2-3/8" REG Pin down x Box up</v>
          </cell>
          <cell r="AB2440" t="e">
            <v>#N/A</v>
          </cell>
          <cell r="AC2440" t="e">
            <v>#N/A</v>
          </cell>
          <cell r="AD2440" t="e">
            <v>#N/A</v>
          </cell>
          <cell r="AE2440" t="e">
            <v>#N/A</v>
          </cell>
          <cell r="AF2440" t="e">
            <v>#N/A</v>
          </cell>
          <cell r="AG2440"/>
          <cell r="AH2440" t="e">
            <v>#N/A</v>
          </cell>
          <cell r="AI2440" t="e">
            <v>#N/A</v>
          </cell>
          <cell r="AJ2440" t="e">
            <v>#N/A</v>
          </cell>
          <cell r="AK2440" t="e">
            <v>#N/A</v>
          </cell>
          <cell r="AL2440"/>
          <cell r="AM2440"/>
          <cell r="AN2440" t="str">
            <v/>
          </cell>
          <cell r="AO2440"/>
          <cell r="AP2440"/>
          <cell r="AQ2440"/>
          <cell r="AR2440"/>
          <cell r="AS2440" t="e">
            <v>#N/A</v>
          </cell>
          <cell r="AT2440" t="str">
            <v>402-3,156</v>
          </cell>
          <cell r="AU2440" t="str">
            <v/>
          </cell>
          <cell r="AV2440"/>
        </row>
        <row r="2441">
          <cell r="Z2441">
            <v>4022075</v>
          </cell>
          <cell r="AA2441" t="str">
            <v>Bumper Sub 4-3/4" OD
3-1/2" IF Pin down x Box up</v>
          </cell>
          <cell r="AB2441" t="e">
            <v>#N/A</v>
          </cell>
          <cell r="AC2441" t="e">
            <v>#N/A</v>
          </cell>
          <cell r="AD2441" t="e">
            <v>#N/A</v>
          </cell>
          <cell r="AE2441" t="e">
            <v>#N/A</v>
          </cell>
          <cell r="AF2441" t="e">
            <v>#N/A</v>
          </cell>
          <cell r="AG2441"/>
          <cell r="AH2441" t="e">
            <v>#N/A</v>
          </cell>
          <cell r="AI2441" t="e">
            <v>#N/A</v>
          </cell>
          <cell r="AJ2441" t="e">
            <v>#N/A</v>
          </cell>
          <cell r="AK2441" t="e">
            <v>#N/A</v>
          </cell>
          <cell r="AL2441"/>
          <cell r="AM2441"/>
          <cell r="AN2441" t="str">
            <v/>
          </cell>
          <cell r="AO2441"/>
          <cell r="AP2441"/>
          <cell r="AQ2441"/>
          <cell r="AR2441"/>
          <cell r="AS2441" t="e">
            <v>#N/A</v>
          </cell>
          <cell r="AT2441" t="str">
            <v>402-4,750</v>
          </cell>
          <cell r="AU2441" t="str">
            <v/>
          </cell>
          <cell r="AV2441"/>
        </row>
        <row r="2442">
          <cell r="Z2442">
            <v>4022076</v>
          </cell>
          <cell r="AA2442" t="str">
            <v>Bumper Sub 6-1/4" OD
4-1/2" IF Pin down x Box up</v>
          </cell>
          <cell r="AB2442" t="e">
            <v>#N/A</v>
          </cell>
          <cell r="AC2442" t="e">
            <v>#N/A</v>
          </cell>
          <cell r="AD2442" t="e">
            <v>#N/A</v>
          </cell>
          <cell r="AE2442" t="e">
            <v>#N/A</v>
          </cell>
          <cell r="AF2442" t="e">
            <v>#N/A</v>
          </cell>
          <cell r="AG2442"/>
          <cell r="AH2442" t="e">
            <v>#N/A</v>
          </cell>
          <cell r="AI2442" t="e">
            <v>#N/A</v>
          </cell>
          <cell r="AJ2442" t="e">
            <v>#N/A</v>
          </cell>
          <cell r="AK2442" t="e">
            <v>#N/A</v>
          </cell>
          <cell r="AL2442"/>
          <cell r="AM2442"/>
          <cell r="AN2442" t="str">
            <v/>
          </cell>
          <cell r="AO2442"/>
          <cell r="AP2442"/>
          <cell r="AQ2442"/>
          <cell r="AR2442"/>
          <cell r="AS2442" t="e">
            <v>#N/A</v>
          </cell>
          <cell r="AT2442" t="str">
            <v>402-6,250</v>
          </cell>
          <cell r="AU2442" t="str">
            <v/>
          </cell>
          <cell r="AV2442"/>
        </row>
        <row r="2443">
          <cell r="Z2443">
            <v>4022077</v>
          </cell>
          <cell r="AA2443" t="str">
            <v>Bumper Sub 6-1/4" OD
4-1/2" IF Pin down x Box up</v>
          </cell>
          <cell r="AB2443" t="e">
            <v>#N/A</v>
          </cell>
          <cell r="AC2443" t="e">
            <v>#N/A</v>
          </cell>
          <cell r="AD2443" t="e">
            <v>#N/A</v>
          </cell>
          <cell r="AE2443" t="e">
            <v>#N/A</v>
          </cell>
          <cell r="AF2443" t="e">
            <v>#N/A</v>
          </cell>
          <cell r="AG2443"/>
          <cell r="AH2443" t="e">
            <v>#N/A</v>
          </cell>
          <cell r="AI2443" t="e">
            <v>#N/A</v>
          </cell>
          <cell r="AJ2443" t="e">
            <v>#N/A</v>
          </cell>
          <cell r="AK2443" t="e">
            <v>#N/A</v>
          </cell>
          <cell r="AL2443"/>
          <cell r="AM2443"/>
          <cell r="AN2443" t="str">
            <v/>
          </cell>
          <cell r="AO2443"/>
          <cell r="AP2443"/>
          <cell r="AQ2443"/>
          <cell r="AR2443"/>
          <cell r="AS2443" t="e">
            <v>#N/A</v>
          </cell>
          <cell r="AT2443" t="str">
            <v>402-6,250</v>
          </cell>
          <cell r="AU2443" t="str">
            <v/>
          </cell>
          <cell r="AV2443"/>
        </row>
        <row r="2444">
          <cell r="Z2444">
            <v>4022078</v>
          </cell>
          <cell r="AA2444" t="str">
            <v xml:space="preserve">Bumper Sub 8" OD
6-5/8" REG Pin down x Box up </v>
          </cell>
          <cell r="AB2444">
            <v>277</v>
          </cell>
          <cell r="AC2444">
            <v>8</v>
          </cell>
          <cell r="AD2444">
            <v>1570</v>
          </cell>
          <cell r="AE2444" t="str">
            <v>6-5/8" REG Box</v>
          </cell>
          <cell r="AF2444" t="str">
            <v>6-5/8" REG Pin</v>
          </cell>
          <cell r="AG2444"/>
          <cell r="AH2444" t="str">
            <v>sur chantier</v>
          </cell>
          <cell r="AI2444" t="str">
            <v/>
          </cell>
          <cell r="AJ2444">
            <v>1</v>
          </cell>
          <cell r="AK2444">
            <v>0</v>
          </cell>
          <cell r="AL2444"/>
          <cell r="AM2444"/>
          <cell r="AN2444">
            <v>4022078</v>
          </cell>
          <cell r="AO2444"/>
          <cell r="AP2444"/>
          <cell r="AQ2444"/>
          <cell r="AR2444"/>
          <cell r="AS2444">
            <v>25</v>
          </cell>
          <cell r="AT2444" t="str">
            <v>402-8,000</v>
          </cell>
          <cell r="AU2444" t="str">
            <v/>
          </cell>
          <cell r="AV2444"/>
        </row>
        <row r="2445">
          <cell r="Z2445">
            <v>4022079</v>
          </cell>
          <cell r="AA2445" t="str">
            <v xml:space="preserve">Bumper Sub 8" OD
6-5/8" REG Pin down x Box up </v>
          </cell>
          <cell r="AB2445" t="e">
            <v>#N/A</v>
          </cell>
          <cell r="AC2445" t="e">
            <v>#N/A</v>
          </cell>
          <cell r="AD2445" t="e">
            <v>#N/A</v>
          </cell>
          <cell r="AE2445" t="e">
            <v>#N/A</v>
          </cell>
          <cell r="AF2445" t="e">
            <v>#N/A</v>
          </cell>
          <cell r="AG2445"/>
          <cell r="AH2445" t="e">
            <v>#N/A</v>
          </cell>
          <cell r="AI2445" t="e">
            <v>#N/A</v>
          </cell>
          <cell r="AJ2445" t="e">
            <v>#N/A</v>
          </cell>
          <cell r="AK2445" t="e">
            <v>#N/A</v>
          </cell>
          <cell r="AL2445"/>
          <cell r="AM2445"/>
          <cell r="AN2445" t="str">
            <v/>
          </cell>
          <cell r="AO2445"/>
          <cell r="AP2445"/>
          <cell r="AQ2445"/>
          <cell r="AR2445"/>
          <cell r="AS2445" t="e">
            <v>#N/A</v>
          </cell>
          <cell r="AT2445" t="str">
            <v>402-8,000</v>
          </cell>
          <cell r="AU2445" t="str">
            <v/>
          </cell>
          <cell r="AV2445"/>
        </row>
        <row r="2446">
          <cell r="Z2446">
            <v>4032080</v>
          </cell>
          <cell r="AA2446" t="str">
            <v>Jar Z 3-1/8" 
2-3/8" REG Pin down x Box up</v>
          </cell>
          <cell r="AB2446">
            <v>60</v>
          </cell>
          <cell r="AC2446">
            <v>3.125</v>
          </cell>
          <cell r="AD2446">
            <v>1900</v>
          </cell>
          <cell r="AE2446" t="str">
            <v>2-3/8" REG Box</v>
          </cell>
          <cell r="AF2446" t="str">
            <v>2-3/8" REG Pin</v>
          </cell>
          <cell r="AG2446"/>
          <cell r="AH2446" t="str">
            <v xml:space="preserve"> en stock </v>
          </cell>
          <cell r="AI2446">
            <v>1</v>
          </cell>
          <cell r="AJ2446">
            <v>0</v>
          </cell>
          <cell r="AK2446">
            <v>0</v>
          </cell>
          <cell r="AL2446"/>
          <cell r="AM2446"/>
          <cell r="AN2446">
            <v>4032080</v>
          </cell>
          <cell r="AO2446"/>
          <cell r="AP2446"/>
          <cell r="AQ2446"/>
          <cell r="AR2446"/>
          <cell r="AS2446">
            <v>8</v>
          </cell>
          <cell r="AT2446" t="str">
            <v>403-3,125</v>
          </cell>
          <cell r="AU2446" t="str">
            <v/>
          </cell>
          <cell r="AV2446"/>
        </row>
        <row r="2447">
          <cell r="Z2447">
            <v>4032081</v>
          </cell>
          <cell r="AA2447" t="str">
            <v>Jar Z 4-3/4" 
3-1/2" IF Pin down x Box up</v>
          </cell>
          <cell r="AB2447">
            <v>180</v>
          </cell>
          <cell r="AC2447">
            <v>4.75</v>
          </cell>
          <cell r="AD2447">
            <v>2140</v>
          </cell>
          <cell r="AE2447" t="str">
            <v>3-1/2" IF Box</v>
          </cell>
          <cell r="AF2447" t="str">
            <v>3-1/2" IF Pin</v>
          </cell>
          <cell r="AG2447"/>
          <cell r="AH2447" t="str">
            <v>maintenance</v>
          </cell>
          <cell r="AI2447" t="str">
            <v/>
          </cell>
          <cell r="AJ2447">
            <v>0</v>
          </cell>
          <cell r="AK2447">
            <v>1</v>
          </cell>
          <cell r="AL2447"/>
          <cell r="AM2447"/>
          <cell r="AN2447">
            <v>4032081</v>
          </cell>
          <cell r="AO2447"/>
          <cell r="AP2447"/>
          <cell r="AQ2447"/>
          <cell r="AR2447"/>
          <cell r="AS2447">
            <v>13</v>
          </cell>
          <cell r="AT2447" t="str">
            <v>403-4,750</v>
          </cell>
          <cell r="AU2447" t="str">
            <v/>
          </cell>
          <cell r="AV2447"/>
        </row>
        <row r="2448">
          <cell r="Z2448">
            <v>4082082</v>
          </cell>
          <cell r="AA2448" t="str">
            <v>Super Fishing Jar 8" OD 
6-5/8" REG Pin down x Box up</v>
          </cell>
          <cell r="AB2448" t="e">
            <v>#N/A</v>
          </cell>
          <cell r="AC2448" t="e">
            <v>#N/A</v>
          </cell>
          <cell r="AD2448" t="e">
            <v>#N/A</v>
          </cell>
          <cell r="AE2448" t="e">
            <v>#N/A</v>
          </cell>
          <cell r="AF2448" t="e">
            <v>#N/A</v>
          </cell>
          <cell r="AG2448"/>
          <cell r="AH2448" t="e">
            <v>#N/A</v>
          </cell>
          <cell r="AI2448" t="e">
            <v>#N/A</v>
          </cell>
          <cell r="AJ2448" t="e">
            <v>#N/A</v>
          </cell>
          <cell r="AK2448" t="e">
            <v>#N/A</v>
          </cell>
          <cell r="AL2448"/>
          <cell r="AM2448"/>
          <cell r="AN2448" t="str">
            <v/>
          </cell>
          <cell r="AO2448"/>
          <cell r="AP2448"/>
          <cell r="AQ2448"/>
          <cell r="AR2448"/>
          <cell r="AS2448" t="e">
            <v>#N/A</v>
          </cell>
          <cell r="AT2448" t="str">
            <v>408-8,000</v>
          </cell>
          <cell r="AU2448" t="str">
            <v/>
          </cell>
          <cell r="AV2448"/>
        </row>
        <row r="2449">
          <cell r="Z2449">
            <v>4042083</v>
          </cell>
          <cell r="AA2449" t="str">
            <v>Intensifier 3-1/8" OD 
2-3/8" REG Pin x Box</v>
          </cell>
          <cell r="AB2449">
            <v>53</v>
          </cell>
          <cell r="AC2449">
            <v>3.125</v>
          </cell>
          <cell r="AD2449">
            <v>2630</v>
          </cell>
          <cell r="AE2449" t="str">
            <v>2-3/8" REG Box</v>
          </cell>
          <cell r="AF2449" t="str">
            <v>2-3/8" REG Pin</v>
          </cell>
          <cell r="AG2449"/>
          <cell r="AH2449" t="str">
            <v xml:space="preserve"> en stock </v>
          </cell>
          <cell r="AI2449">
            <v>1</v>
          </cell>
          <cell r="AJ2449">
            <v>0</v>
          </cell>
          <cell r="AK2449">
            <v>0</v>
          </cell>
          <cell r="AL2449"/>
          <cell r="AM2449"/>
          <cell r="AN2449">
            <v>4042083</v>
          </cell>
          <cell r="AO2449"/>
          <cell r="AP2449"/>
          <cell r="AQ2449"/>
          <cell r="AR2449"/>
          <cell r="AS2449">
            <v>6</v>
          </cell>
          <cell r="AT2449" t="str">
            <v>404-3,125</v>
          </cell>
          <cell r="AU2449" t="str">
            <v/>
          </cell>
          <cell r="AV2449"/>
        </row>
        <row r="2450">
          <cell r="Z2450">
            <v>4042084</v>
          </cell>
          <cell r="AA2450" t="str">
            <v>Intensifier 4-3/4" OD 
3-1/2" IF Pin x Box</v>
          </cell>
          <cell r="AB2450">
            <v>200</v>
          </cell>
          <cell r="AC2450">
            <v>4.75</v>
          </cell>
          <cell r="AD2450">
            <v>3300</v>
          </cell>
          <cell r="AE2450" t="str">
            <v>3-1/2" IF Box</v>
          </cell>
          <cell r="AF2450" t="str">
            <v>3-1/2" IF Pin</v>
          </cell>
          <cell r="AG2450"/>
          <cell r="AH2450" t="str">
            <v>maintenance</v>
          </cell>
          <cell r="AI2450" t="str">
            <v/>
          </cell>
          <cell r="AJ2450">
            <v>0</v>
          </cell>
          <cell r="AK2450">
            <v>1</v>
          </cell>
          <cell r="AL2450"/>
          <cell r="AM2450"/>
          <cell r="AN2450">
            <v>4042084</v>
          </cell>
          <cell r="AO2450"/>
          <cell r="AP2450"/>
          <cell r="AQ2450"/>
          <cell r="AR2450"/>
          <cell r="AS2450">
            <v>10</v>
          </cell>
          <cell r="AT2450" t="str">
            <v>404-4,750</v>
          </cell>
          <cell r="AU2450" t="str">
            <v/>
          </cell>
          <cell r="AV2450"/>
        </row>
        <row r="2451">
          <cell r="Z2451">
            <v>4042085</v>
          </cell>
          <cell r="AA2451" t="str">
            <v>Intensifier 6-1/2" OD 
4-1/2" IF Pin x Box</v>
          </cell>
          <cell r="AB2451">
            <v>460</v>
          </cell>
          <cell r="AC2451">
            <v>6.5</v>
          </cell>
          <cell r="AD2451">
            <v>3980</v>
          </cell>
          <cell r="AE2451" t="str">
            <v>4-1/2" IF Box</v>
          </cell>
          <cell r="AF2451" t="str">
            <v>4-1/2" IF Pin</v>
          </cell>
          <cell r="AG2451"/>
          <cell r="AH2451" t="str">
            <v xml:space="preserve"> en stock </v>
          </cell>
          <cell r="AI2451">
            <v>1</v>
          </cell>
          <cell r="AJ2451">
            <v>0</v>
          </cell>
          <cell r="AK2451">
            <v>0</v>
          </cell>
          <cell r="AL2451"/>
          <cell r="AM2451"/>
          <cell r="AN2451">
            <v>4042085</v>
          </cell>
          <cell r="AO2451"/>
          <cell r="AP2451"/>
          <cell r="AQ2451"/>
          <cell r="AR2451"/>
          <cell r="AS2451">
            <v>14</v>
          </cell>
          <cell r="AT2451" t="str">
            <v>404-6,500</v>
          </cell>
          <cell r="AU2451" t="str">
            <v/>
          </cell>
          <cell r="AV2451"/>
        </row>
        <row r="2452">
          <cell r="Z2452">
            <v>1062086</v>
          </cell>
          <cell r="AA2452" t="str">
            <v>Impression Block
6-5/8" REG Box</v>
          </cell>
          <cell r="AB2452">
            <v>165</v>
          </cell>
          <cell r="AC2452">
            <v>11.25</v>
          </cell>
          <cell r="AD2452">
            <v>791</v>
          </cell>
          <cell r="AE2452" t="str">
            <v>6-5/8" REG Box</v>
          </cell>
          <cell r="AF2452"/>
          <cell r="AG2452"/>
          <cell r="AH2452" t="str">
            <v>maintenance</v>
          </cell>
          <cell r="AI2452" t="str">
            <v/>
          </cell>
          <cell r="AJ2452">
            <v>0</v>
          </cell>
          <cell r="AK2452">
            <v>1</v>
          </cell>
          <cell r="AL2452"/>
          <cell r="AM2452"/>
          <cell r="AN2452">
            <v>1062086</v>
          </cell>
          <cell r="AO2452"/>
          <cell r="AP2452"/>
          <cell r="AQ2452"/>
          <cell r="AR2452"/>
          <cell r="AS2452">
            <v>25</v>
          </cell>
          <cell r="AT2452"/>
          <cell r="AU2452" t="str">
            <v>FR</v>
          </cell>
          <cell r="AV2452"/>
        </row>
        <row r="2453">
          <cell r="Z2453">
            <v>1062087</v>
          </cell>
          <cell r="AA2453" t="str">
            <v>Impression Block
4-1/2" IF Box</v>
          </cell>
          <cell r="AB2453">
            <v>150</v>
          </cell>
          <cell r="AC2453">
            <v>9.125</v>
          </cell>
          <cell r="AD2453">
            <v>785</v>
          </cell>
          <cell r="AE2453" t="str">
            <v>4-1/2" IF Box</v>
          </cell>
          <cell r="AF2453"/>
          <cell r="AG2453"/>
          <cell r="AH2453" t="str">
            <v xml:space="preserve"> en stock </v>
          </cell>
          <cell r="AI2453">
            <v>1</v>
          </cell>
          <cell r="AJ2453">
            <v>0</v>
          </cell>
          <cell r="AK2453">
            <v>0</v>
          </cell>
          <cell r="AL2453"/>
          <cell r="AM2453"/>
          <cell r="AN2453">
            <v>1062087</v>
          </cell>
          <cell r="AO2453"/>
          <cell r="AP2453"/>
          <cell r="AQ2453"/>
          <cell r="AR2453"/>
          <cell r="AS2453">
            <v>21</v>
          </cell>
          <cell r="AT2453"/>
          <cell r="AU2453" t="str">
            <v>FR</v>
          </cell>
          <cell r="AV2453"/>
        </row>
        <row r="2454">
          <cell r="Z2454">
            <v>1062088</v>
          </cell>
          <cell r="AA2454" t="str">
            <v>Impression Block
4-1/2" IF Box</v>
          </cell>
          <cell r="AB2454">
            <v>155</v>
          </cell>
          <cell r="AC2454">
            <v>9.375</v>
          </cell>
          <cell r="AD2454">
            <v>785</v>
          </cell>
          <cell r="AE2454" t="str">
            <v>4-1/2" IF Box</v>
          </cell>
          <cell r="AF2454"/>
          <cell r="AG2454"/>
          <cell r="AH2454" t="str">
            <v xml:space="preserve"> en stock </v>
          </cell>
          <cell r="AI2454">
            <v>1</v>
          </cell>
          <cell r="AJ2454">
            <v>0</v>
          </cell>
          <cell r="AK2454">
            <v>0</v>
          </cell>
          <cell r="AL2454"/>
          <cell r="AM2454"/>
          <cell r="AN2454">
            <v>1062088</v>
          </cell>
          <cell r="AO2454"/>
          <cell r="AP2454"/>
          <cell r="AQ2454"/>
          <cell r="AR2454"/>
          <cell r="AS2454">
            <v>22</v>
          </cell>
          <cell r="AT2454"/>
          <cell r="AU2454" t="str">
            <v>FR</v>
          </cell>
          <cell r="AV2454"/>
        </row>
        <row r="2455">
          <cell r="Z2455">
            <v>5072089</v>
          </cell>
          <cell r="AA2455" t="str">
            <v>Super Junk Mill 
3-1/2" REG Pin</v>
          </cell>
          <cell r="AB2455">
            <v>0</v>
          </cell>
          <cell r="AC2455">
            <v>6.125</v>
          </cell>
          <cell r="AD2455">
            <v>670</v>
          </cell>
          <cell r="AE2455" t="str">
            <v>3-1/2" REG Pin</v>
          </cell>
          <cell r="AF2455"/>
          <cell r="AG2455" t="str">
            <v>Piranha</v>
          </cell>
          <cell r="AH2455" t="str">
            <v xml:space="preserve"> en stock </v>
          </cell>
          <cell r="AI2455" t="str">
            <v>blank</v>
          </cell>
          <cell r="AJ2455">
            <v>0</v>
          </cell>
          <cell r="AK2455">
            <v>0</v>
          </cell>
          <cell r="AL2455"/>
          <cell r="AM2455"/>
          <cell r="AN2455">
            <v>5072089</v>
          </cell>
          <cell r="AO2455"/>
          <cell r="AP2455"/>
          <cell r="AQ2455"/>
          <cell r="AR2455"/>
          <cell r="AS2455">
            <v>48</v>
          </cell>
          <cell r="AT2455" t="str">
            <v>507-</v>
          </cell>
          <cell r="AU2455" t="str">
            <v>FR</v>
          </cell>
          <cell r="AV2455"/>
        </row>
        <row r="2456">
          <cell r="Z2456">
            <v>5072090</v>
          </cell>
          <cell r="AA2456" t="str">
            <v>Super Junk Mill 
3-1/2" REG Pin</v>
          </cell>
          <cell r="AB2456">
            <v>0</v>
          </cell>
          <cell r="AC2456">
            <v>6.0625</v>
          </cell>
          <cell r="AD2456">
            <v>670</v>
          </cell>
          <cell r="AE2456" t="str">
            <v>3-1/2" REG Pin</v>
          </cell>
          <cell r="AF2456"/>
          <cell r="AG2456" t="str">
            <v>Piranha</v>
          </cell>
          <cell r="AH2456" t="str">
            <v xml:space="preserve"> en stock </v>
          </cell>
          <cell r="AI2456">
            <v>1</v>
          </cell>
          <cell r="AJ2456">
            <v>0</v>
          </cell>
          <cell r="AK2456">
            <v>0</v>
          </cell>
          <cell r="AL2456"/>
          <cell r="AM2456"/>
          <cell r="AN2456">
            <v>5072090</v>
          </cell>
          <cell r="AO2456"/>
          <cell r="AP2456"/>
          <cell r="AQ2456"/>
          <cell r="AR2456"/>
          <cell r="AS2456">
            <v>49</v>
          </cell>
          <cell r="AT2456" t="str">
            <v>507-</v>
          </cell>
          <cell r="AU2456" t="str">
            <v>FR</v>
          </cell>
          <cell r="AV2456"/>
        </row>
        <row r="2457">
          <cell r="Z2457">
            <v>5072091</v>
          </cell>
          <cell r="AA2457" t="str">
            <v>Super Junk Mill 
3-1/2" REG Pin</v>
          </cell>
          <cell r="AB2457">
            <v>0</v>
          </cell>
          <cell r="AC2457">
            <v>5.875</v>
          </cell>
          <cell r="AD2457">
            <v>670</v>
          </cell>
          <cell r="AE2457" t="str">
            <v>3-1/2" REG Pin</v>
          </cell>
          <cell r="AF2457"/>
          <cell r="AG2457" t="str">
            <v>Piranha</v>
          </cell>
          <cell r="AH2457" t="str">
            <v xml:space="preserve"> en stock </v>
          </cell>
          <cell r="AI2457" t="str">
            <v>blank</v>
          </cell>
          <cell r="AJ2457">
            <v>0</v>
          </cell>
          <cell r="AK2457">
            <v>0</v>
          </cell>
          <cell r="AL2457"/>
          <cell r="AM2457"/>
          <cell r="AN2457">
            <v>5072091</v>
          </cell>
          <cell r="AO2457"/>
          <cell r="AP2457"/>
          <cell r="AQ2457"/>
          <cell r="AR2457"/>
          <cell r="AS2457">
            <v>31</v>
          </cell>
          <cell r="AT2457" t="str">
            <v>507-</v>
          </cell>
          <cell r="AU2457" t="str">
            <v>FR</v>
          </cell>
          <cell r="AV2457"/>
        </row>
        <row r="2458">
          <cell r="Z2458">
            <v>5072092</v>
          </cell>
          <cell r="AA2458" t="str">
            <v>Super Junk Mill 
3-1/2" REG Pin</v>
          </cell>
          <cell r="AB2458">
            <v>0</v>
          </cell>
          <cell r="AC2458">
            <v>5.875</v>
          </cell>
          <cell r="AD2458">
            <v>670</v>
          </cell>
          <cell r="AE2458" t="str">
            <v>3-1/2" REG Pin</v>
          </cell>
          <cell r="AF2458"/>
          <cell r="AG2458" t="str">
            <v>Piranha</v>
          </cell>
          <cell r="AH2458" t="str">
            <v xml:space="preserve"> en stock </v>
          </cell>
          <cell r="AI2458" t="str">
            <v>blank</v>
          </cell>
          <cell r="AJ2458">
            <v>0</v>
          </cell>
          <cell r="AK2458">
            <v>0</v>
          </cell>
          <cell r="AL2458"/>
          <cell r="AM2458"/>
          <cell r="AN2458">
            <v>5072092</v>
          </cell>
          <cell r="AO2458"/>
          <cell r="AP2458"/>
          <cell r="AQ2458"/>
          <cell r="AR2458"/>
          <cell r="AS2458">
            <v>32</v>
          </cell>
          <cell r="AT2458" t="str">
            <v>507-</v>
          </cell>
          <cell r="AU2458" t="str">
            <v>FR</v>
          </cell>
          <cell r="AV2458"/>
        </row>
        <row r="2459">
          <cell r="Z2459">
            <v>5022093</v>
          </cell>
          <cell r="AA2459" t="str">
            <v>Economill 
3-1/2" REG Pin</v>
          </cell>
          <cell r="AB2459">
            <v>0</v>
          </cell>
          <cell r="AC2459">
            <v>6.125</v>
          </cell>
          <cell r="AD2459">
            <v>405</v>
          </cell>
          <cell r="AE2459" t="str">
            <v>3-1/2" REG Pin</v>
          </cell>
          <cell r="AF2459"/>
          <cell r="AG2459" t="str">
            <v>Insert + CC</v>
          </cell>
          <cell r="AH2459" t="str">
            <v xml:space="preserve"> en stock </v>
          </cell>
          <cell r="AI2459" t="str">
            <v>blank</v>
          </cell>
          <cell r="AJ2459">
            <v>0</v>
          </cell>
          <cell r="AK2459">
            <v>0</v>
          </cell>
          <cell r="AL2459"/>
          <cell r="AM2459"/>
          <cell r="AN2459">
            <v>5022093</v>
          </cell>
          <cell r="AO2459"/>
          <cell r="AP2459"/>
          <cell r="AQ2459"/>
          <cell r="AR2459"/>
          <cell r="AS2459">
            <v>33</v>
          </cell>
          <cell r="AT2459"/>
          <cell r="AU2459" t="str">
            <v>FR</v>
          </cell>
          <cell r="AV2459"/>
        </row>
        <row r="2460">
          <cell r="Z2460">
            <v>5022094</v>
          </cell>
          <cell r="AA2460" t="str">
            <v>Economill 
3-1/2" REG Pin</v>
          </cell>
          <cell r="AB2460">
            <v>0</v>
          </cell>
          <cell r="AC2460">
            <v>6.125</v>
          </cell>
          <cell r="AD2460">
            <v>405</v>
          </cell>
          <cell r="AE2460" t="str">
            <v>3-1/2" REG Pin</v>
          </cell>
          <cell r="AF2460"/>
          <cell r="AG2460" t="str">
            <v>Insert + CC</v>
          </cell>
          <cell r="AH2460" t="str">
            <v xml:space="preserve"> en stock </v>
          </cell>
          <cell r="AI2460" t="str">
            <v>blank</v>
          </cell>
          <cell r="AJ2460">
            <v>0</v>
          </cell>
          <cell r="AK2460">
            <v>0</v>
          </cell>
          <cell r="AL2460"/>
          <cell r="AM2460"/>
          <cell r="AN2460">
            <v>5022094</v>
          </cell>
          <cell r="AO2460"/>
          <cell r="AP2460"/>
          <cell r="AQ2460"/>
          <cell r="AR2460"/>
          <cell r="AS2460">
            <v>34</v>
          </cell>
          <cell r="AT2460"/>
          <cell r="AU2460" t="str">
            <v>FR</v>
          </cell>
          <cell r="AV2460"/>
        </row>
        <row r="2461">
          <cell r="Z2461">
            <v>5022095</v>
          </cell>
          <cell r="AA2461" t="str">
            <v>Economill 
3-1/2" REG Pin</v>
          </cell>
          <cell r="AB2461">
            <v>0</v>
          </cell>
          <cell r="AC2461">
            <v>5.875</v>
          </cell>
          <cell r="AD2461">
            <v>405</v>
          </cell>
          <cell r="AE2461" t="str">
            <v>3-1/2" REG Pin</v>
          </cell>
          <cell r="AF2461"/>
          <cell r="AG2461" t="str">
            <v>Insert + CC</v>
          </cell>
          <cell r="AH2461" t="str">
            <v xml:space="preserve"> en stock </v>
          </cell>
          <cell r="AI2461" t="str">
            <v>blank</v>
          </cell>
          <cell r="AJ2461">
            <v>0</v>
          </cell>
          <cell r="AK2461">
            <v>0</v>
          </cell>
          <cell r="AL2461"/>
          <cell r="AM2461"/>
          <cell r="AN2461">
            <v>5022095</v>
          </cell>
          <cell r="AO2461"/>
          <cell r="AP2461"/>
          <cell r="AQ2461"/>
          <cell r="AR2461"/>
          <cell r="AS2461">
            <v>27</v>
          </cell>
          <cell r="AT2461"/>
          <cell r="AU2461" t="str">
            <v>FR</v>
          </cell>
          <cell r="AV2461"/>
        </row>
        <row r="2462">
          <cell r="Z2462">
            <v>5022096</v>
          </cell>
          <cell r="AA2462" t="str">
            <v>Economill 
3-1/2" REG Pin</v>
          </cell>
          <cell r="AB2462">
            <v>0</v>
          </cell>
          <cell r="AC2462">
            <v>5.875</v>
          </cell>
          <cell r="AD2462">
            <v>405</v>
          </cell>
          <cell r="AE2462" t="str">
            <v>3-1/2" REG Pin</v>
          </cell>
          <cell r="AF2462"/>
          <cell r="AG2462" t="str">
            <v>Insert + CC</v>
          </cell>
          <cell r="AH2462" t="str">
            <v xml:space="preserve"> en stock </v>
          </cell>
          <cell r="AI2462" t="str">
            <v>blank</v>
          </cell>
          <cell r="AJ2462">
            <v>0</v>
          </cell>
          <cell r="AK2462">
            <v>0</v>
          </cell>
          <cell r="AL2462"/>
          <cell r="AM2462"/>
          <cell r="AN2462">
            <v>5022096</v>
          </cell>
          <cell r="AO2462"/>
          <cell r="AP2462"/>
          <cell r="AQ2462"/>
          <cell r="AR2462"/>
          <cell r="AS2462">
            <v>28</v>
          </cell>
          <cell r="AT2462"/>
          <cell r="AU2462" t="str">
            <v>FR</v>
          </cell>
          <cell r="AV2462"/>
        </row>
        <row r="2463">
          <cell r="Z2463">
            <v>5122097</v>
          </cell>
          <cell r="AA2463" t="str">
            <v xml:space="preserve">WO Top Sub 
6-5/8" REG Box x 13-3/8" FJWP Pin x 6-5/8" REG Box in </v>
          </cell>
          <cell r="AB2463">
            <v>0</v>
          </cell>
          <cell r="AC2463">
            <v>13.375</v>
          </cell>
          <cell r="AD2463">
            <v>1218</v>
          </cell>
          <cell r="AE2463" t="str">
            <v>6-5/8" REG Box</v>
          </cell>
          <cell r="AF2463" t="str">
            <v>13-3/8" FJWP Pin</v>
          </cell>
          <cell r="AG2463" t="str">
            <v>6-5/8" REG Box</v>
          </cell>
          <cell r="AH2463" t="str">
            <v xml:space="preserve"> en stock </v>
          </cell>
          <cell r="AI2463">
            <v>1</v>
          </cell>
          <cell r="AJ2463">
            <v>0</v>
          </cell>
          <cell r="AK2463">
            <v>0</v>
          </cell>
          <cell r="AL2463"/>
          <cell r="AM2463"/>
          <cell r="AN2463">
            <v>5122097</v>
          </cell>
          <cell r="AO2463"/>
          <cell r="AP2463"/>
          <cell r="AQ2463"/>
          <cell r="AR2463"/>
          <cell r="AS2463">
            <v>48</v>
          </cell>
          <cell r="AT2463"/>
          <cell r="AU2463" t="str">
            <v>FR</v>
          </cell>
          <cell r="AV2463"/>
        </row>
        <row r="2464">
          <cell r="Z2464">
            <v>5122098</v>
          </cell>
          <cell r="AA2464" t="str">
            <v xml:space="preserve">WO Top Sub 
6-5/8" REG Box x 13-3/8" FJWP Pin x 6-5/8" REG Box in </v>
          </cell>
          <cell r="AB2464">
            <v>0</v>
          </cell>
          <cell r="AC2464">
            <v>13.375</v>
          </cell>
          <cell r="AD2464">
            <v>1218</v>
          </cell>
          <cell r="AE2464" t="str">
            <v>6-5/8" REG Box</v>
          </cell>
          <cell r="AF2464" t="str">
            <v>13-3/8" FJWP Pin</v>
          </cell>
          <cell r="AG2464" t="str">
            <v>6-5/8" REG Box</v>
          </cell>
          <cell r="AH2464" t="str">
            <v xml:space="preserve"> en stock </v>
          </cell>
          <cell r="AI2464">
            <v>1</v>
          </cell>
          <cell r="AJ2464">
            <v>0</v>
          </cell>
          <cell r="AK2464">
            <v>0</v>
          </cell>
          <cell r="AL2464"/>
          <cell r="AM2464"/>
          <cell r="AN2464">
            <v>5122098</v>
          </cell>
          <cell r="AO2464"/>
          <cell r="AP2464"/>
          <cell r="AQ2464"/>
          <cell r="AR2464"/>
          <cell r="AS2464">
            <v>49</v>
          </cell>
          <cell r="AT2464"/>
          <cell r="AU2464" t="str">
            <v>FR</v>
          </cell>
          <cell r="AV2464"/>
        </row>
        <row r="2465">
          <cell r="Z2465">
            <v>8022099</v>
          </cell>
          <cell r="AA2465" t="str">
            <v>Bit Sub
6-5/8" REG Box x 7-5/8" REG Box BF</v>
          </cell>
          <cell r="AB2465">
            <v>256.77045420000007</v>
          </cell>
          <cell r="AC2465">
            <v>9.5</v>
          </cell>
          <cell r="AD2465">
            <v>800</v>
          </cell>
          <cell r="AE2465" t="str">
            <v>6-5/8" REG Box</v>
          </cell>
          <cell r="AF2465" t="str">
            <v>7-5/8" REG Box BF</v>
          </cell>
          <cell r="AG2465"/>
          <cell r="AH2465" t="str">
            <v xml:space="preserve"> en stock </v>
          </cell>
          <cell r="AI2465">
            <v>1</v>
          </cell>
          <cell r="AJ2465">
            <v>0</v>
          </cell>
          <cell r="AK2465">
            <v>0</v>
          </cell>
          <cell r="AL2465"/>
          <cell r="AM2465"/>
          <cell r="AN2465">
            <v>8022099</v>
          </cell>
          <cell r="AO2465"/>
          <cell r="AP2465"/>
          <cell r="AQ2465"/>
          <cell r="AR2465"/>
          <cell r="AS2465">
            <v>62</v>
          </cell>
          <cell r="AT2465"/>
          <cell r="AU2465" t="str">
            <v>FR</v>
          </cell>
          <cell r="AV2465"/>
        </row>
        <row r="2466">
          <cell r="Z2466">
            <v>8022100</v>
          </cell>
          <cell r="AA2466" t="str">
            <v>Bit Sub
6-5/8" REG Box x 6-5/8" REG Box BF</v>
          </cell>
          <cell r="AB2466">
            <v>199.41527984807811</v>
          </cell>
          <cell r="AC2466">
            <v>8</v>
          </cell>
          <cell r="AD2466">
            <v>900</v>
          </cell>
          <cell r="AE2466" t="str">
            <v>6-5/8" REG Box</v>
          </cell>
          <cell r="AF2466" t="str">
            <v>6-5/8" REG Box BF</v>
          </cell>
          <cell r="AG2466"/>
          <cell r="AH2466" t="str">
            <v xml:space="preserve"> en stock </v>
          </cell>
          <cell r="AI2466">
            <v>1</v>
          </cell>
          <cell r="AJ2466">
            <v>0</v>
          </cell>
          <cell r="AK2466">
            <v>0</v>
          </cell>
          <cell r="AL2466"/>
          <cell r="AM2466"/>
          <cell r="AN2466">
            <v>8022100</v>
          </cell>
          <cell r="AO2466"/>
          <cell r="AP2466"/>
          <cell r="AQ2466"/>
          <cell r="AR2466"/>
          <cell r="AS2466">
            <v>59</v>
          </cell>
          <cell r="AT2466"/>
          <cell r="AU2466" t="str">
            <v>FR</v>
          </cell>
          <cell r="AV2466"/>
        </row>
        <row r="2467">
          <cell r="Z2467">
            <v>8022101</v>
          </cell>
          <cell r="AA2467" t="str">
            <v>Bit Sub
6-5/8" REG Box x 6-5/8" REG Box BF</v>
          </cell>
          <cell r="AB2467">
            <v>199.41527984807811</v>
          </cell>
          <cell r="AC2467">
            <v>8</v>
          </cell>
          <cell r="AD2467">
            <v>900</v>
          </cell>
          <cell r="AE2467" t="str">
            <v>6-5/8" REG Box</v>
          </cell>
          <cell r="AF2467" t="str">
            <v>6-5/8" REG Box BF</v>
          </cell>
          <cell r="AG2467"/>
          <cell r="AH2467" t="str">
            <v>sur chantier</v>
          </cell>
          <cell r="AI2467" t="str">
            <v/>
          </cell>
          <cell r="AJ2467">
            <v>1</v>
          </cell>
          <cell r="AK2467">
            <v>0</v>
          </cell>
          <cell r="AL2467"/>
          <cell r="AM2467"/>
          <cell r="AN2467">
            <v>8022101</v>
          </cell>
          <cell r="AO2467"/>
          <cell r="AP2467"/>
          <cell r="AQ2467"/>
          <cell r="AR2467"/>
          <cell r="AS2467">
            <v>60</v>
          </cell>
          <cell r="AT2467"/>
          <cell r="AU2467" t="str">
            <v>FR</v>
          </cell>
          <cell r="AV2467"/>
        </row>
        <row r="2468">
          <cell r="Z2468">
            <v>8022102</v>
          </cell>
          <cell r="AA2468" t="str">
            <v>Bit Sub
4-1/2" IF Box x 4-1/2" REG Box BF</v>
          </cell>
          <cell r="AB2468">
            <v>95.936401032560141</v>
          </cell>
          <cell r="AC2468">
            <v>6.75</v>
          </cell>
          <cell r="AD2468">
            <v>645</v>
          </cell>
          <cell r="AE2468" t="str">
            <v>4-1/2" IF Box</v>
          </cell>
          <cell r="AF2468" t="str">
            <v>4-1/2" REG Box BF</v>
          </cell>
          <cell r="AG2468"/>
          <cell r="AH2468" t="str">
            <v xml:space="preserve"> en stock </v>
          </cell>
          <cell r="AI2468">
            <v>1</v>
          </cell>
          <cell r="AJ2468">
            <v>0</v>
          </cell>
          <cell r="AK2468">
            <v>0</v>
          </cell>
          <cell r="AL2468"/>
          <cell r="AM2468"/>
          <cell r="AN2468">
            <v>8022102</v>
          </cell>
          <cell r="AO2468"/>
          <cell r="AP2468"/>
          <cell r="AQ2468"/>
          <cell r="AR2468"/>
          <cell r="AS2468">
            <v>52</v>
          </cell>
          <cell r="AT2468"/>
          <cell r="AU2468" t="str">
            <v>FR</v>
          </cell>
          <cell r="AV2468"/>
        </row>
        <row r="2469">
          <cell r="Z2469">
            <v>8022103</v>
          </cell>
          <cell r="AA2469" t="str">
            <v>Bit Sub
4-1/2" IF Box x 4-1/2" REG Box BF</v>
          </cell>
          <cell r="AB2469">
            <v>48.340047031910153</v>
          </cell>
          <cell r="AC2469">
            <v>6.75</v>
          </cell>
          <cell r="AD2469">
            <v>325</v>
          </cell>
          <cell r="AE2469" t="str">
            <v>4-1/2" IF Box</v>
          </cell>
          <cell r="AF2469" t="str">
            <v>4-1/2" REG Box BF</v>
          </cell>
          <cell r="AG2469"/>
          <cell r="AH2469" t="str">
            <v xml:space="preserve"> en stock </v>
          </cell>
          <cell r="AI2469">
            <v>1</v>
          </cell>
          <cell r="AJ2469">
            <v>0</v>
          </cell>
          <cell r="AK2469">
            <v>0</v>
          </cell>
          <cell r="AL2469"/>
          <cell r="AM2469"/>
          <cell r="AN2469">
            <v>8022103</v>
          </cell>
          <cell r="AO2469"/>
          <cell r="AP2469"/>
          <cell r="AQ2469"/>
          <cell r="AR2469"/>
          <cell r="AS2469">
            <v>53</v>
          </cell>
          <cell r="AT2469"/>
          <cell r="AU2469" t="str">
            <v>FR</v>
          </cell>
          <cell r="AV2469"/>
        </row>
        <row r="2470">
          <cell r="Z2470">
            <v>4032104</v>
          </cell>
          <cell r="AA2470" t="str">
            <v>Jar Z 6-1/4" 
4-1/2" IF Pin down x Box up</v>
          </cell>
          <cell r="AB2470">
            <v>300</v>
          </cell>
          <cell r="AC2470">
            <v>6.25</v>
          </cell>
          <cell r="AD2470">
            <v>2380</v>
          </cell>
          <cell r="AE2470" t="str">
            <v>4-1/2" IF Box</v>
          </cell>
          <cell r="AF2470" t="str">
            <v>4-1/2" IF Pin</v>
          </cell>
          <cell r="AG2470"/>
          <cell r="AH2470" t="str">
            <v xml:space="preserve"> en stock </v>
          </cell>
          <cell r="AI2470">
            <v>1</v>
          </cell>
          <cell r="AJ2470">
            <v>0</v>
          </cell>
          <cell r="AK2470">
            <v>0</v>
          </cell>
          <cell r="AL2470"/>
          <cell r="AM2470"/>
          <cell r="AN2470" t="str">
            <v/>
          </cell>
          <cell r="AO2470"/>
          <cell r="AP2470"/>
          <cell r="AQ2470"/>
          <cell r="AR2470"/>
          <cell r="AS2470">
            <v>15</v>
          </cell>
          <cell r="AT2470" t="str">
            <v>403-6,125</v>
          </cell>
          <cell r="AU2470" t="str">
            <v/>
          </cell>
          <cell r="AV2470"/>
        </row>
        <row r="2471">
          <cell r="Z2471">
            <v>1082105</v>
          </cell>
          <cell r="AA2471" t="str">
            <v>Reverse Circulating Junk Basket 10" OD Barrel 
6-5/8" REG Box</v>
          </cell>
          <cell r="AB2471">
            <v>394</v>
          </cell>
          <cell r="AC2471">
            <v>10</v>
          </cell>
          <cell r="AD2471">
            <v>1840</v>
          </cell>
          <cell r="AE2471" t="str">
            <v>6-5/8" REG Box</v>
          </cell>
          <cell r="AF2471">
            <v>11.625</v>
          </cell>
          <cell r="AG2471"/>
          <cell r="AH2471" t="str">
            <v xml:space="preserve"> en stock </v>
          </cell>
          <cell r="AI2471">
            <v>1</v>
          </cell>
          <cell r="AJ2471">
            <v>0</v>
          </cell>
          <cell r="AK2471">
            <v>0</v>
          </cell>
          <cell r="AL2471"/>
          <cell r="AM2471"/>
          <cell r="AN2471" t="str">
            <v/>
          </cell>
          <cell r="AO2471"/>
          <cell r="AP2471"/>
          <cell r="AQ2471"/>
          <cell r="AR2471"/>
          <cell r="AS2471">
            <v>11</v>
          </cell>
          <cell r="AT2471"/>
          <cell r="AU2471" t="str">
            <v/>
          </cell>
          <cell r="AV2471"/>
        </row>
        <row r="2472">
          <cell r="Z2472">
            <v>1082106</v>
          </cell>
          <cell r="AA2472" t="str">
            <v>Reverse Circulating Junk Basket 7" OD Barrel 
6-5/8" REG Box</v>
          </cell>
          <cell r="AB2472">
            <v>120</v>
          </cell>
          <cell r="AC2472">
            <v>7</v>
          </cell>
          <cell r="AD2472">
            <v>1130</v>
          </cell>
          <cell r="AE2472" t="str">
            <v>4" IF Box</v>
          </cell>
          <cell r="AF2472">
            <v>7.5</v>
          </cell>
          <cell r="AG2472"/>
          <cell r="AH2472" t="str">
            <v xml:space="preserve"> en stock </v>
          </cell>
          <cell r="AI2472">
            <v>1</v>
          </cell>
          <cell r="AJ2472">
            <v>0</v>
          </cell>
          <cell r="AK2472">
            <v>0</v>
          </cell>
          <cell r="AL2472"/>
          <cell r="AM2472"/>
          <cell r="AN2472" t="str">
            <v/>
          </cell>
          <cell r="AO2472"/>
          <cell r="AP2472"/>
          <cell r="AQ2472"/>
          <cell r="AR2472"/>
          <cell r="AS2472">
            <v>7</v>
          </cell>
          <cell r="AT2472"/>
          <cell r="AU2472" t="str">
            <v/>
          </cell>
          <cell r="AV2472"/>
        </row>
        <row r="2473">
          <cell r="Z2473">
            <v>8081535</v>
          </cell>
          <cell r="AA2473" t="str">
            <v>Pony Collar 4-3/4"
3-1/2" IF Pin x Box</v>
          </cell>
          <cell r="AB2473">
            <v>107.24178501196876</v>
          </cell>
          <cell r="AC2473">
            <v>4.625</v>
          </cell>
          <cell r="AD2473">
            <v>2970</v>
          </cell>
          <cell r="AE2473" t="str">
            <v>3-1/2" IF Box</v>
          </cell>
          <cell r="AF2473" t="str">
            <v>3-1/2" IF Pin</v>
          </cell>
          <cell r="AG2473"/>
          <cell r="AH2473" t="str">
            <v xml:space="preserve"> en stock </v>
          </cell>
          <cell r="AI2473">
            <v>1</v>
          </cell>
          <cell r="AJ2473">
            <v>0</v>
          </cell>
          <cell r="AK2473">
            <v>0</v>
          </cell>
          <cell r="AL2473"/>
          <cell r="AM2473"/>
          <cell r="AN2473">
            <v>8081535</v>
          </cell>
          <cell r="AO2473"/>
          <cell r="AP2473"/>
          <cell r="AQ2473"/>
          <cell r="AR2473"/>
          <cell r="AS2473">
            <v>15</v>
          </cell>
          <cell r="AT2473"/>
          <cell r="AU2473" t="str">
            <v>FR</v>
          </cell>
          <cell r="AV2473"/>
        </row>
        <row r="2474">
          <cell r="Z2474">
            <v>8081536</v>
          </cell>
          <cell r="AA2474" t="str">
            <v>Pony Collar 4-3/4"
3-1/2" IF Pin x Box</v>
          </cell>
          <cell r="AB2474">
            <v>176.41086920376563</v>
          </cell>
          <cell r="AC2474">
            <v>4.625</v>
          </cell>
          <cell r="AD2474">
            <v>2735</v>
          </cell>
          <cell r="AE2474" t="str">
            <v>3-1/2" IF Box</v>
          </cell>
          <cell r="AF2474" t="str">
            <v>3-1/2" IF Pin</v>
          </cell>
          <cell r="AG2474"/>
          <cell r="AH2474" t="str">
            <v xml:space="preserve"> en stock </v>
          </cell>
          <cell r="AI2474">
            <v>1</v>
          </cell>
          <cell r="AJ2474">
            <v>0</v>
          </cell>
          <cell r="AK2474">
            <v>0</v>
          </cell>
          <cell r="AL2474"/>
          <cell r="AM2474"/>
          <cell r="AN2474">
            <v>8081536</v>
          </cell>
          <cell r="AO2474"/>
          <cell r="AP2474"/>
          <cell r="AQ2474"/>
          <cell r="AR2474"/>
          <cell r="AS2474">
            <v>14</v>
          </cell>
          <cell r="AT2474"/>
          <cell r="AU2474" t="str">
            <v>FR</v>
          </cell>
          <cell r="AV2474"/>
        </row>
        <row r="2475">
          <cell r="Z2475">
            <v>8081534</v>
          </cell>
          <cell r="AA2475" t="str">
            <v>Pony Collar 6-3/4"
4-1/2 IF Pin x Box</v>
          </cell>
          <cell r="AB2475">
            <v>500.70238569000003</v>
          </cell>
          <cell r="AC2475">
            <v>6.5</v>
          </cell>
          <cell r="AD2475">
            <v>3000</v>
          </cell>
          <cell r="AE2475" t="str">
            <v>4-1/2" IF Box</v>
          </cell>
          <cell r="AF2475" t="str">
            <v>4-1/2" IF Pin</v>
          </cell>
          <cell r="AG2475"/>
          <cell r="AH2475" t="str">
            <v>maintenance</v>
          </cell>
          <cell r="AI2475" t="str">
            <v/>
          </cell>
          <cell r="AJ2475">
            <v>0</v>
          </cell>
          <cell r="AK2475">
            <v>1</v>
          </cell>
          <cell r="AL2475"/>
          <cell r="AM2475"/>
          <cell r="AN2475">
            <v>8081534</v>
          </cell>
          <cell r="AO2475"/>
          <cell r="AP2475"/>
          <cell r="AQ2475"/>
          <cell r="AR2475"/>
          <cell r="AS2475">
            <v>22</v>
          </cell>
          <cell r="AT2475"/>
          <cell r="AU2475" t="str">
            <v>FR</v>
          </cell>
          <cell r="AV2475"/>
        </row>
        <row r="2476">
          <cell r="Z2476">
            <v>8082107</v>
          </cell>
          <cell r="AA2476" t="str">
            <v>Pony Collar 6-3/8"
4-1/2 IF Pin x Box</v>
          </cell>
          <cell r="AB2476">
            <v>394.78457333249992</v>
          </cell>
          <cell r="AC2476">
            <v>6.75</v>
          </cell>
          <cell r="AD2476">
            <v>3000</v>
          </cell>
          <cell r="AE2476" t="str">
            <v>4-1/2" IF Box</v>
          </cell>
          <cell r="AF2476" t="str">
            <v>4-1/2" IF Pin</v>
          </cell>
          <cell r="AG2476"/>
          <cell r="AH2476" t="str">
            <v>sur chantier</v>
          </cell>
          <cell r="AI2476" t="str">
            <v/>
          </cell>
          <cell r="AJ2476">
            <v>1</v>
          </cell>
          <cell r="AK2476">
            <v>0</v>
          </cell>
          <cell r="AL2476"/>
          <cell r="AM2476"/>
          <cell r="AN2476">
            <v>8082107</v>
          </cell>
          <cell r="AO2476"/>
          <cell r="AP2476"/>
          <cell r="AQ2476"/>
          <cell r="AR2476"/>
          <cell r="AS2476">
            <v>23</v>
          </cell>
          <cell r="AT2476"/>
          <cell r="AU2476" t="str">
            <v>FR</v>
          </cell>
          <cell r="AV2476"/>
        </row>
        <row r="2477">
          <cell r="Z2477" t="str">
            <v>Cabine n°4</v>
          </cell>
          <cell r="AA2477" t="str">
            <v>Cabine de chantier n°4 (Container RJMU 013170-2)</v>
          </cell>
          <cell r="AB2477">
            <v>2500</v>
          </cell>
          <cell r="AC2477"/>
          <cell r="AD2477" t="str">
            <v>20ft</v>
          </cell>
          <cell r="AE2477"/>
          <cell r="AF2477"/>
          <cell r="AG2477"/>
          <cell r="AH2477" t="str">
            <v xml:space="preserve"> en stock </v>
          </cell>
          <cell r="AI2477">
            <v>1</v>
          </cell>
          <cell r="AJ2477">
            <v>0</v>
          </cell>
          <cell r="AK2477">
            <v>0</v>
          </cell>
          <cell r="AL2477"/>
          <cell r="AM2477"/>
          <cell r="AN2477" t="str">
            <v/>
          </cell>
          <cell r="AO2477"/>
          <cell r="AP2477"/>
          <cell r="AQ2477"/>
          <cell r="AR2477"/>
          <cell r="AS2477">
            <v>8</v>
          </cell>
          <cell r="AT2477"/>
          <cell r="AU2477" t="str">
            <v>FR</v>
          </cell>
          <cell r="AV2477"/>
        </row>
        <row r="2478">
          <cell r="Z2478" t="str">
            <v>Kit MWD n°01</v>
          </cell>
          <cell r="AA2478" t="str">
            <v>MWD kit n°01</v>
          </cell>
          <cell r="AB2478" t="str">
            <v>Poids</v>
          </cell>
          <cell r="AC2478"/>
          <cell r="AD2478" t="str">
            <v>Lg</v>
          </cell>
          <cell r="AE2478"/>
          <cell r="AF2478"/>
          <cell r="AG2478"/>
          <cell r="AH2478" t="str">
            <v>en stock</v>
          </cell>
          <cell r="AI2478">
            <v>0</v>
          </cell>
          <cell r="AJ2478">
            <v>0</v>
          </cell>
          <cell r="AK2478">
            <v>0</v>
          </cell>
          <cell r="AL2478"/>
          <cell r="AM2478"/>
          <cell r="AN2478"/>
          <cell r="AO2478"/>
          <cell r="AP2478"/>
          <cell r="AQ2478"/>
          <cell r="AR2478"/>
          <cell r="AS2478">
            <v>8</v>
          </cell>
          <cell r="AT2478"/>
          <cell r="AU2478" t="str">
            <v>CA</v>
          </cell>
          <cell r="AV2478">
            <v>9015808000</v>
          </cell>
        </row>
        <row r="2479">
          <cell r="Z2479" t="str">
            <v>UL1</v>
          </cell>
          <cell r="AA2479" t="str">
            <v>Ultralight (String Pulser + DM + Surface Kit)</v>
          </cell>
          <cell r="AB2479">
            <v>0</v>
          </cell>
          <cell r="AC2479"/>
          <cell r="AD2479">
            <v>0</v>
          </cell>
          <cell r="AE2479"/>
          <cell r="AF2479"/>
          <cell r="AG2479"/>
          <cell r="AH2479" t="str">
            <v>en stock</v>
          </cell>
          <cell r="AI2479">
            <v>0</v>
          </cell>
          <cell r="AJ2479">
            <v>0</v>
          </cell>
          <cell r="AK2479">
            <v>0</v>
          </cell>
          <cell r="AL2479"/>
          <cell r="AM2479"/>
          <cell r="AN2479"/>
          <cell r="AO2479"/>
          <cell r="AP2479"/>
          <cell r="AQ2479"/>
          <cell r="AR2479"/>
          <cell r="AS2479">
            <v>11</v>
          </cell>
          <cell r="AT2479"/>
          <cell r="AU2479" t="str">
            <v>CA</v>
          </cell>
          <cell r="AV2479">
            <v>9015808000</v>
          </cell>
        </row>
        <row r="2480">
          <cell r="Z2480" t="str">
            <v>UL2</v>
          </cell>
          <cell r="AA2480" t="str">
            <v>Ultralight (String Pulser + DM + Surface Kit)</v>
          </cell>
          <cell r="AB2480">
            <v>700</v>
          </cell>
          <cell r="AC2480"/>
          <cell r="AD2480" t="str">
            <v>268x100x96
(244sans les oreilles de levage)</v>
          </cell>
          <cell r="AE2480"/>
          <cell r="AF2480"/>
          <cell r="AG2480"/>
          <cell r="AH2480" t="str">
            <v>sur chantier</v>
          </cell>
          <cell r="AI2480" t="str">
            <v/>
          </cell>
          <cell r="AJ2480">
            <v>1</v>
          </cell>
          <cell r="AK2480">
            <v>0</v>
          </cell>
          <cell r="AL2480"/>
          <cell r="AM2480"/>
          <cell r="AN2480"/>
          <cell r="AO2480"/>
          <cell r="AP2480"/>
          <cell r="AQ2480"/>
          <cell r="AR2480"/>
          <cell r="AS2480">
            <v>12</v>
          </cell>
          <cell r="AT2480"/>
          <cell r="AU2480" t="str">
            <v>CA</v>
          </cell>
          <cell r="AV2480">
            <v>9015808000</v>
          </cell>
        </row>
        <row r="2481">
          <cell r="Z2481">
            <v>4032110</v>
          </cell>
          <cell r="AA2481" t="str">
            <v>Jar Z 6-1/4" 
4-1/2" IF Pin down x Box up</v>
          </cell>
          <cell r="AB2481">
            <v>300</v>
          </cell>
          <cell r="AC2481">
            <v>6.25</v>
          </cell>
          <cell r="AD2481">
            <v>2300</v>
          </cell>
          <cell r="AE2481" t="str">
            <v>4-1/2" IF Box</v>
          </cell>
          <cell r="AF2481" t="str">
            <v>4-1/2" IF Pin</v>
          </cell>
          <cell r="AG2481"/>
          <cell r="AH2481" t="str">
            <v xml:space="preserve"> en stock </v>
          </cell>
          <cell r="AI2481">
            <v>1</v>
          </cell>
          <cell r="AJ2481">
            <v>0</v>
          </cell>
          <cell r="AK2481">
            <v>0</v>
          </cell>
          <cell r="AL2481"/>
          <cell r="AM2481"/>
          <cell r="AN2481" t="str">
            <v/>
          </cell>
          <cell r="AO2481"/>
          <cell r="AP2481"/>
          <cell r="AQ2481"/>
          <cell r="AR2481"/>
          <cell r="AS2481">
            <v>16</v>
          </cell>
          <cell r="AT2481" t="str">
            <v>403-6,125</v>
          </cell>
          <cell r="AU2481" t="str">
            <v/>
          </cell>
          <cell r="AV2481"/>
        </row>
        <row r="2482">
          <cell r="Z2482">
            <v>8081532</v>
          </cell>
          <cell r="AA2482" t="str">
            <v>Pony Collar 8"
6-5/8" REG Pin x Box</v>
          </cell>
          <cell r="AB2482">
            <v>630.21098352712499</v>
          </cell>
          <cell r="AC2482">
            <v>7.75</v>
          </cell>
          <cell r="AD2482">
            <v>3080</v>
          </cell>
          <cell r="AE2482" t="str">
            <v>6-5/8" REG Box</v>
          </cell>
          <cell r="AF2482" t="str">
            <v>6-5/8" REG Pin</v>
          </cell>
          <cell r="AG2482"/>
          <cell r="AH2482" t="str">
            <v>maintenance</v>
          </cell>
          <cell r="AI2482" t="str">
            <v/>
          </cell>
          <cell r="AJ2482">
            <v>0</v>
          </cell>
          <cell r="AK2482">
            <v>1</v>
          </cell>
          <cell r="AL2482"/>
          <cell r="AM2482"/>
          <cell r="AN2482">
            <v>8081532</v>
          </cell>
          <cell r="AO2482"/>
          <cell r="AP2482"/>
          <cell r="AQ2482"/>
          <cell r="AR2482"/>
          <cell r="AS2482">
            <v>26</v>
          </cell>
          <cell r="AT2482"/>
          <cell r="AU2482" t="str">
            <v>FR</v>
          </cell>
          <cell r="AV2482"/>
        </row>
        <row r="2483">
          <cell r="Z2483">
            <v>8081533</v>
          </cell>
          <cell r="AA2483" t="str">
            <v>Pony Collar 8"
6-5/8" REG Pin x Box</v>
          </cell>
          <cell r="AB2483">
            <v>680.73489104765622</v>
          </cell>
          <cell r="AC2483">
            <v>8.0625</v>
          </cell>
          <cell r="AD2483">
            <v>3000</v>
          </cell>
          <cell r="AE2483" t="str">
            <v>6-5/8" REG Box</v>
          </cell>
          <cell r="AF2483" t="str">
            <v>6-5/8" REG Pin</v>
          </cell>
          <cell r="AG2483"/>
          <cell r="AH2483" t="str">
            <v xml:space="preserve"> en stock </v>
          </cell>
          <cell r="AI2483">
            <v>1</v>
          </cell>
          <cell r="AJ2483">
            <v>0</v>
          </cell>
          <cell r="AK2483">
            <v>0</v>
          </cell>
          <cell r="AL2483"/>
          <cell r="AM2483"/>
          <cell r="AN2483">
            <v>8081533</v>
          </cell>
          <cell r="AO2483"/>
          <cell r="AP2483"/>
          <cell r="AQ2483"/>
          <cell r="AR2483"/>
          <cell r="AS2483">
            <v>27</v>
          </cell>
          <cell r="AT2483"/>
          <cell r="AU2483" t="str">
            <v>FR</v>
          </cell>
          <cell r="AV2483"/>
        </row>
        <row r="2484">
          <cell r="Z2484">
            <v>8081531</v>
          </cell>
          <cell r="AA2484" t="str">
            <v>Pony Collar 9-1/2"
7-5/8" REG Pin x Box</v>
          </cell>
          <cell r="AB2484">
            <v>1038.31552417125</v>
          </cell>
          <cell r="AC2484">
            <v>9.5</v>
          </cell>
          <cell r="AD2484">
            <v>3235</v>
          </cell>
          <cell r="AE2484" t="str">
            <v>7-5/8" REG Box</v>
          </cell>
          <cell r="AF2484" t="str">
            <v>7-5/8" REG Pin</v>
          </cell>
          <cell r="AG2484"/>
          <cell r="AH2484" t="str">
            <v>maintenance</v>
          </cell>
          <cell r="AI2484" t="str">
            <v/>
          </cell>
          <cell r="AJ2484">
            <v>0</v>
          </cell>
          <cell r="AK2484">
            <v>1</v>
          </cell>
          <cell r="AL2484"/>
          <cell r="AM2484"/>
          <cell r="AN2484">
            <v>8081531</v>
          </cell>
          <cell r="AO2484"/>
          <cell r="AP2484"/>
          <cell r="AQ2484"/>
          <cell r="AR2484"/>
          <cell r="AS2484">
            <v>31</v>
          </cell>
          <cell r="AT2484"/>
          <cell r="AU2484" t="str">
            <v>FR</v>
          </cell>
          <cell r="AV2484"/>
        </row>
        <row r="2485">
          <cell r="Z2485">
            <v>8082111</v>
          </cell>
          <cell r="AA2485" t="str">
            <v>Pony Collar 8"
7-5/8" REG Pin x Box</v>
          </cell>
          <cell r="AB2485">
            <v>943.63141918499991</v>
          </cell>
          <cell r="AC2485">
            <v>9.5</v>
          </cell>
          <cell r="AD2485">
            <v>2940</v>
          </cell>
          <cell r="AE2485" t="str">
            <v>7-5/8" REG Box</v>
          </cell>
          <cell r="AF2485" t="str">
            <v>7-5/8" REG Pin</v>
          </cell>
          <cell r="AG2485"/>
          <cell r="AH2485" t="str">
            <v xml:space="preserve"> en stock </v>
          </cell>
          <cell r="AI2485">
            <v>1</v>
          </cell>
          <cell r="AJ2485">
            <v>0</v>
          </cell>
          <cell r="AK2485">
            <v>0</v>
          </cell>
          <cell r="AL2485"/>
          <cell r="AM2485"/>
          <cell r="AN2485">
            <v>8082111</v>
          </cell>
          <cell r="AO2485"/>
          <cell r="AP2485"/>
          <cell r="AQ2485"/>
          <cell r="AR2485"/>
          <cell r="AS2485">
            <v>32</v>
          </cell>
          <cell r="AT2485"/>
          <cell r="AU2485" t="str">
            <v>FR</v>
          </cell>
          <cell r="AV2485"/>
        </row>
        <row r="2486">
          <cell r="Z2486">
            <v>8132112</v>
          </cell>
          <cell r="AA2486" t="str">
            <v>XO
2-3/8" REG Pin x 3-1/2" IF Box</v>
          </cell>
          <cell r="AB2486">
            <v>47</v>
          </cell>
          <cell r="AC2486">
            <v>4.75</v>
          </cell>
          <cell r="AD2486">
            <v>825</v>
          </cell>
          <cell r="AE2486" t="str">
            <v>2-3/8" REG Pin</v>
          </cell>
          <cell r="AF2486" t="str">
            <v>3-1/2" IF Box</v>
          </cell>
          <cell r="AG2486"/>
          <cell r="AH2486" t="str">
            <v xml:space="preserve"> en stock </v>
          </cell>
          <cell r="AI2486">
            <v>1</v>
          </cell>
          <cell r="AJ2486">
            <v>0</v>
          </cell>
          <cell r="AK2486">
            <v>0</v>
          </cell>
          <cell r="AL2486"/>
          <cell r="AM2486"/>
          <cell r="AN2486">
            <v>8132112</v>
          </cell>
          <cell r="AO2486"/>
          <cell r="AP2486"/>
          <cell r="AQ2486"/>
          <cell r="AR2486"/>
          <cell r="AS2486">
            <v>61</v>
          </cell>
          <cell r="AT2486"/>
          <cell r="AU2486" t="str">
            <v>FR</v>
          </cell>
          <cell r="AV2486"/>
        </row>
        <row r="2487">
          <cell r="Z2487">
            <v>8132113</v>
          </cell>
          <cell r="AA2487" t="str">
            <v>XO
2-3/8" REG Pin x 3-1/2" IF Box</v>
          </cell>
          <cell r="AB2487">
            <v>47</v>
          </cell>
          <cell r="AC2487">
            <v>4.75</v>
          </cell>
          <cell r="AD2487">
            <v>825</v>
          </cell>
          <cell r="AE2487" t="str">
            <v>2-3/8" REG Pin</v>
          </cell>
          <cell r="AF2487" t="str">
            <v>3-1/2" IF Box</v>
          </cell>
          <cell r="AG2487"/>
          <cell r="AH2487" t="str">
            <v>maintenance</v>
          </cell>
          <cell r="AI2487" t="str">
            <v/>
          </cell>
          <cell r="AJ2487">
            <v>0</v>
          </cell>
          <cell r="AK2487">
            <v>1</v>
          </cell>
          <cell r="AL2487"/>
          <cell r="AM2487"/>
          <cell r="AN2487">
            <v>8132113</v>
          </cell>
          <cell r="AO2487"/>
          <cell r="AP2487"/>
          <cell r="AQ2487"/>
          <cell r="AR2487"/>
          <cell r="AS2487">
            <v>62</v>
          </cell>
          <cell r="AT2487"/>
          <cell r="AU2487" t="str">
            <v>FR</v>
          </cell>
          <cell r="AV2487"/>
        </row>
        <row r="2488">
          <cell r="Z2488">
            <v>1082114</v>
          </cell>
          <cell r="AA2488" t="str">
            <v>Reverse Circulating Junk Basket 7" OD Barrel 
4-1/2" IF Box</v>
          </cell>
          <cell r="AB2488">
            <v>110</v>
          </cell>
          <cell r="AC2488">
            <v>7</v>
          </cell>
          <cell r="AD2488">
            <v>1140</v>
          </cell>
          <cell r="AE2488" t="str">
            <v>4-1/2" IF Box</v>
          </cell>
          <cell r="AF2488">
            <v>7.375</v>
          </cell>
          <cell r="AG2488"/>
          <cell r="AH2488" t="str">
            <v xml:space="preserve"> en stock </v>
          </cell>
          <cell r="AI2488">
            <v>1</v>
          </cell>
          <cell r="AJ2488">
            <v>0</v>
          </cell>
          <cell r="AK2488">
            <v>0</v>
          </cell>
          <cell r="AL2488"/>
          <cell r="AM2488"/>
          <cell r="AN2488" t="str">
            <v/>
          </cell>
          <cell r="AO2488"/>
          <cell r="AP2488"/>
          <cell r="AQ2488"/>
          <cell r="AR2488"/>
          <cell r="AS2488">
            <v>6</v>
          </cell>
          <cell r="AT2488"/>
          <cell r="AU2488" t="str">
            <v/>
          </cell>
          <cell r="AV2488"/>
        </row>
        <row r="2489">
          <cell r="Z2489">
            <v>2032115</v>
          </cell>
          <cell r="AA2489" t="str">
            <v>Pipe Cutter 11700s
6-5/8" REG Box up x Box down</v>
          </cell>
          <cell r="AB2489">
            <v>0</v>
          </cell>
          <cell r="AC2489">
            <v>11700</v>
          </cell>
          <cell r="AD2489">
            <v>0</v>
          </cell>
          <cell r="AE2489" t="str">
            <v>6-5/8" REG Box</v>
          </cell>
          <cell r="AF2489" t="str">
            <v>6-5/8" REG Box</v>
          </cell>
          <cell r="AG2489"/>
          <cell r="AH2489" t="str">
            <v>maintenance</v>
          </cell>
          <cell r="AI2489" t="str">
            <v/>
          </cell>
          <cell r="AJ2489">
            <v>0</v>
          </cell>
          <cell r="AK2489">
            <v>1</v>
          </cell>
          <cell r="AL2489"/>
          <cell r="AM2489"/>
          <cell r="AN2489">
            <v>2032115</v>
          </cell>
          <cell r="AO2489"/>
          <cell r="AP2489"/>
          <cell r="AQ2489"/>
          <cell r="AR2489"/>
          <cell r="AS2489">
            <v>16</v>
          </cell>
          <cell r="AT2489" t="str">
            <v>203-5700</v>
          </cell>
          <cell r="AU2489" t="str">
            <v>FR</v>
          </cell>
          <cell r="AV2489"/>
        </row>
        <row r="2490">
          <cell r="Z2490">
            <v>2052116</v>
          </cell>
          <cell r="AA2490" t="str">
            <v>Section Mill 11700
6-5/8" REG Pin up</v>
          </cell>
          <cell r="AB2490">
            <v>0</v>
          </cell>
          <cell r="AC2490">
            <v>11700</v>
          </cell>
          <cell r="AD2490">
            <v>0</v>
          </cell>
          <cell r="AE2490" t="str">
            <v>6-5/8" REG Pin</v>
          </cell>
          <cell r="AF2490" t="str">
            <v>6-5/8" REG Box</v>
          </cell>
          <cell r="AG2490"/>
          <cell r="AH2490" t="str">
            <v>Fabrication en cours</v>
          </cell>
          <cell r="AI2490" t="e">
            <v>#VALUE!</v>
          </cell>
          <cell r="AJ2490">
            <v>0</v>
          </cell>
          <cell r="AK2490" t="str">
            <v>F</v>
          </cell>
          <cell r="AL2490"/>
          <cell r="AM2490"/>
          <cell r="AN2490">
            <v>2052116</v>
          </cell>
          <cell r="AO2490"/>
          <cell r="AP2490"/>
          <cell r="AQ2490"/>
          <cell r="AR2490"/>
          <cell r="AS2490">
            <v>12</v>
          </cell>
          <cell r="AT2490" t="str">
            <v>205-8200</v>
          </cell>
          <cell r="AU2490" t="str">
            <v>FR</v>
          </cell>
          <cell r="AV2490"/>
        </row>
        <row r="2491">
          <cell r="Z2491">
            <v>2052117</v>
          </cell>
          <cell r="AA2491" t="str">
            <v>Section Mill 11700
6-5/8" REG Pin up</v>
          </cell>
          <cell r="AB2491">
            <v>0</v>
          </cell>
          <cell r="AC2491">
            <v>11700</v>
          </cell>
          <cell r="AD2491">
            <v>0</v>
          </cell>
          <cell r="AE2491" t="str">
            <v>6-5/8" REG Pin</v>
          </cell>
          <cell r="AF2491" t="str">
            <v>6-5/8" REG Box</v>
          </cell>
          <cell r="AG2491"/>
          <cell r="AH2491" t="str">
            <v>Fabrication en cours</v>
          </cell>
          <cell r="AI2491" t="e">
            <v>#VALUE!</v>
          </cell>
          <cell r="AJ2491">
            <v>0</v>
          </cell>
          <cell r="AK2491" t="str">
            <v>F</v>
          </cell>
          <cell r="AL2491"/>
          <cell r="AM2491"/>
          <cell r="AN2491">
            <v>2052117</v>
          </cell>
          <cell r="AO2491"/>
          <cell r="AP2491"/>
          <cell r="AQ2491"/>
          <cell r="AR2491"/>
          <cell r="AS2491">
            <v>13</v>
          </cell>
          <cell r="AT2491" t="str">
            <v>205-8200</v>
          </cell>
          <cell r="AU2491" t="str">
            <v>FR</v>
          </cell>
          <cell r="AV2491"/>
        </row>
        <row r="2492">
          <cell r="Z2492">
            <v>5102118</v>
          </cell>
          <cell r="AA2492" t="str">
            <v>WO Pipe
5-1/2" FJWP Pin x Box</v>
          </cell>
          <cell r="AB2492">
            <v>464.40886956750035</v>
          </cell>
          <cell r="AC2492">
            <v>8.625</v>
          </cell>
          <cell r="AD2492">
            <v>9500</v>
          </cell>
          <cell r="AE2492" t="str">
            <v>8-5/8" FJWP Box</v>
          </cell>
          <cell r="AF2492" t="str">
            <v>8-5/8" FJWP Pin</v>
          </cell>
          <cell r="AG2492"/>
          <cell r="AH2492" t="str">
            <v>Fabrication en cours</v>
          </cell>
          <cell r="AI2492" t="e">
            <v>#VALUE!</v>
          </cell>
          <cell r="AJ2492">
            <v>0</v>
          </cell>
          <cell r="AK2492" t="str">
            <v>F</v>
          </cell>
          <cell r="AL2492"/>
          <cell r="AM2492"/>
          <cell r="AN2492">
            <v>5102118</v>
          </cell>
          <cell r="AO2492"/>
          <cell r="AP2492"/>
          <cell r="AQ2492"/>
          <cell r="AR2492"/>
          <cell r="AS2492">
            <v>136</v>
          </cell>
          <cell r="AT2492" t="str">
            <v>509-8,625FJWP</v>
          </cell>
          <cell r="AU2492" t="str">
            <v>FR</v>
          </cell>
          <cell r="AV2492"/>
        </row>
        <row r="2493">
          <cell r="Z2493">
            <v>5102119</v>
          </cell>
          <cell r="AA2493" t="str">
            <v>WO Pipe 
8-5/8" FJWP Pin x Box</v>
          </cell>
          <cell r="AB2493">
            <v>464.40886956750035</v>
          </cell>
          <cell r="AC2493">
            <v>8.625</v>
          </cell>
          <cell r="AD2493">
            <v>9500</v>
          </cell>
          <cell r="AE2493" t="str">
            <v>8-5/8" FJWP Box</v>
          </cell>
          <cell r="AF2493" t="str">
            <v>8-5/8" FJWP Pin</v>
          </cell>
          <cell r="AG2493"/>
          <cell r="AH2493" t="str">
            <v>Fabrication en cours</v>
          </cell>
          <cell r="AI2493" t="e">
            <v>#VALUE!</v>
          </cell>
          <cell r="AJ2493">
            <v>0</v>
          </cell>
          <cell r="AK2493" t="str">
            <v>F</v>
          </cell>
          <cell r="AL2493"/>
          <cell r="AM2493"/>
          <cell r="AN2493">
            <v>5102119</v>
          </cell>
          <cell r="AO2493"/>
          <cell r="AP2493"/>
          <cell r="AQ2493"/>
          <cell r="AR2493"/>
          <cell r="AS2493">
            <v>137</v>
          </cell>
          <cell r="AT2493" t="str">
            <v>509-8,625FJWP</v>
          </cell>
          <cell r="AU2493" t="str">
            <v>FR</v>
          </cell>
          <cell r="AV2493"/>
        </row>
        <row r="2494">
          <cell r="Z2494">
            <v>5102120</v>
          </cell>
          <cell r="AA2494" t="str">
            <v>WO Pipe 
8-5/8" FJWP Pin x Box</v>
          </cell>
          <cell r="AB2494">
            <v>464.40886956750035</v>
          </cell>
          <cell r="AC2494">
            <v>8.625</v>
          </cell>
          <cell r="AD2494">
            <v>9500</v>
          </cell>
          <cell r="AE2494" t="str">
            <v>8-5/8" FJWP Box</v>
          </cell>
          <cell r="AF2494" t="str">
            <v>8-5/8" FJWP Pin</v>
          </cell>
          <cell r="AG2494"/>
          <cell r="AH2494" t="str">
            <v>Fabrication en cours</v>
          </cell>
          <cell r="AI2494" t="e">
            <v>#VALUE!</v>
          </cell>
          <cell r="AJ2494">
            <v>0</v>
          </cell>
          <cell r="AK2494" t="str">
            <v>F</v>
          </cell>
          <cell r="AL2494"/>
          <cell r="AM2494"/>
          <cell r="AN2494">
            <v>5102120</v>
          </cell>
          <cell r="AO2494"/>
          <cell r="AP2494"/>
          <cell r="AQ2494"/>
          <cell r="AR2494"/>
          <cell r="AS2494">
            <v>138</v>
          </cell>
          <cell r="AT2494" t="str">
            <v>509-8,625FJWP</v>
          </cell>
          <cell r="AU2494" t="str">
            <v>FR</v>
          </cell>
          <cell r="AV2494"/>
        </row>
        <row r="2495">
          <cell r="Z2495">
            <v>5102121</v>
          </cell>
          <cell r="AA2495" t="str">
            <v>WO Pipe 
8-5/8" FJWP Pin x Box</v>
          </cell>
          <cell r="AB2495">
            <v>464.40886956750035</v>
          </cell>
          <cell r="AC2495">
            <v>8.625</v>
          </cell>
          <cell r="AD2495">
            <v>9500</v>
          </cell>
          <cell r="AE2495" t="str">
            <v>8-5/8" FJWP Box</v>
          </cell>
          <cell r="AF2495" t="str">
            <v>8-5/8" FJWP Pin</v>
          </cell>
          <cell r="AG2495"/>
          <cell r="AH2495" t="str">
            <v>Fabrication en cours</v>
          </cell>
          <cell r="AI2495" t="e">
            <v>#VALUE!</v>
          </cell>
          <cell r="AJ2495">
            <v>0</v>
          </cell>
          <cell r="AK2495" t="str">
            <v>F</v>
          </cell>
          <cell r="AL2495"/>
          <cell r="AM2495"/>
          <cell r="AN2495">
            <v>5102121</v>
          </cell>
          <cell r="AO2495"/>
          <cell r="AP2495"/>
          <cell r="AQ2495"/>
          <cell r="AR2495"/>
          <cell r="AS2495">
            <v>139</v>
          </cell>
          <cell r="AT2495" t="str">
            <v>509-8,625FJWP</v>
          </cell>
          <cell r="AU2495" t="str">
            <v>FR</v>
          </cell>
          <cell r="AV2495"/>
        </row>
        <row r="2496">
          <cell r="Z2496">
            <v>5102122</v>
          </cell>
          <cell r="AA2496" t="str">
            <v>WO Pipe 
8-5/8" FJWP Pin x Box</v>
          </cell>
          <cell r="AB2496">
            <v>464.40886956750035</v>
          </cell>
          <cell r="AC2496">
            <v>8.625</v>
          </cell>
          <cell r="AD2496">
            <v>9500</v>
          </cell>
          <cell r="AE2496" t="str">
            <v>8-5/8" FJWP Box</v>
          </cell>
          <cell r="AF2496" t="str">
            <v>8-5/8" FJWP Pin</v>
          </cell>
          <cell r="AG2496"/>
          <cell r="AH2496" t="str">
            <v>Fabrication en cours</v>
          </cell>
          <cell r="AI2496" t="e">
            <v>#VALUE!</v>
          </cell>
          <cell r="AJ2496">
            <v>0</v>
          </cell>
          <cell r="AK2496" t="str">
            <v>F</v>
          </cell>
          <cell r="AL2496"/>
          <cell r="AM2496"/>
          <cell r="AN2496">
            <v>5102122</v>
          </cell>
          <cell r="AO2496"/>
          <cell r="AP2496"/>
          <cell r="AQ2496"/>
          <cell r="AR2496"/>
          <cell r="AS2496">
            <v>140</v>
          </cell>
          <cell r="AT2496" t="str">
            <v>509-8,625FJWP</v>
          </cell>
          <cell r="AU2496" t="str">
            <v>FR</v>
          </cell>
          <cell r="AV2496"/>
        </row>
        <row r="2497">
          <cell r="Z2497">
            <v>5102123</v>
          </cell>
          <cell r="AA2497" t="str">
            <v>WO Pipe 
8-5/8" FJWP Pin x Box</v>
          </cell>
          <cell r="AB2497">
            <v>464.40886956750035</v>
          </cell>
          <cell r="AC2497">
            <v>8.625</v>
          </cell>
          <cell r="AD2497">
            <v>9500</v>
          </cell>
          <cell r="AE2497" t="str">
            <v>8-5/8" FJWP Box</v>
          </cell>
          <cell r="AF2497" t="str">
            <v>8-5/8" FJWP Pin</v>
          </cell>
          <cell r="AG2497"/>
          <cell r="AH2497" t="str">
            <v>Fabrication en cours</v>
          </cell>
          <cell r="AI2497" t="e">
            <v>#VALUE!</v>
          </cell>
          <cell r="AJ2497">
            <v>0</v>
          </cell>
          <cell r="AK2497" t="str">
            <v>F</v>
          </cell>
          <cell r="AL2497"/>
          <cell r="AM2497"/>
          <cell r="AN2497">
            <v>5102123</v>
          </cell>
          <cell r="AO2497"/>
          <cell r="AP2497"/>
          <cell r="AQ2497"/>
          <cell r="AR2497"/>
          <cell r="AS2497">
            <v>141</v>
          </cell>
          <cell r="AT2497" t="str">
            <v>509-8,625FJWP</v>
          </cell>
          <cell r="AU2497" t="str">
            <v>FR</v>
          </cell>
          <cell r="AV2497"/>
        </row>
        <row r="2498">
          <cell r="Z2498">
            <v>5102124</v>
          </cell>
          <cell r="AA2498" t="str">
            <v>WO Pipe 
8-5/8" FJWP Pin x Box</v>
          </cell>
          <cell r="AB2498">
            <v>464.40886956750035</v>
          </cell>
          <cell r="AC2498">
            <v>8.625</v>
          </cell>
          <cell r="AD2498">
            <v>9500</v>
          </cell>
          <cell r="AE2498" t="str">
            <v>8-5/8" FJWP Box</v>
          </cell>
          <cell r="AF2498" t="str">
            <v>8-5/8" FJWP Pin</v>
          </cell>
          <cell r="AG2498"/>
          <cell r="AH2498" t="str">
            <v>Fabrication en cours</v>
          </cell>
          <cell r="AI2498" t="e">
            <v>#VALUE!</v>
          </cell>
          <cell r="AJ2498">
            <v>0</v>
          </cell>
          <cell r="AK2498" t="str">
            <v>F</v>
          </cell>
          <cell r="AL2498"/>
          <cell r="AM2498"/>
          <cell r="AN2498">
            <v>5102124</v>
          </cell>
          <cell r="AO2498"/>
          <cell r="AP2498"/>
          <cell r="AQ2498"/>
          <cell r="AR2498"/>
          <cell r="AS2498">
            <v>142</v>
          </cell>
          <cell r="AT2498" t="str">
            <v>509-8,625FJWP</v>
          </cell>
          <cell r="AU2498" t="str">
            <v>FR</v>
          </cell>
          <cell r="AV2498"/>
        </row>
        <row r="2499">
          <cell r="Z2499">
            <v>5102125</v>
          </cell>
          <cell r="AA2499" t="str">
            <v>WO Pipe 
8-5/8" FJWP Pin x Box</v>
          </cell>
          <cell r="AB2499">
            <v>464.40886956750035</v>
          </cell>
          <cell r="AC2499">
            <v>8.625</v>
          </cell>
          <cell r="AD2499">
            <v>9500</v>
          </cell>
          <cell r="AE2499" t="str">
            <v>8-5/8" FJWP Box</v>
          </cell>
          <cell r="AF2499" t="str">
            <v>8-5/8" FJWP Pin</v>
          </cell>
          <cell r="AG2499"/>
          <cell r="AH2499" t="str">
            <v>Fabrication en cours</v>
          </cell>
          <cell r="AI2499" t="e">
            <v>#VALUE!</v>
          </cell>
          <cell r="AJ2499">
            <v>0</v>
          </cell>
          <cell r="AK2499" t="str">
            <v>F</v>
          </cell>
          <cell r="AL2499"/>
          <cell r="AM2499"/>
          <cell r="AN2499">
            <v>5102125</v>
          </cell>
          <cell r="AO2499"/>
          <cell r="AP2499"/>
          <cell r="AQ2499"/>
          <cell r="AR2499"/>
          <cell r="AS2499">
            <v>143</v>
          </cell>
          <cell r="AT2499" t="str">
            <v>509-8,625FJWP</v>
          </cell>
          <cell r="AU2499" t="str">
            <v>FR</v>
          </cell>
          <cell r="AV2499"/>
        </row>
        <row r="2500">
          <cell r="Z2500">
            <v>5102126</v>
          </cell>
          <cell r="AA2500" t="str">
            <v>WO Pipe 
8-5/8" FJWP Pin x Box</v>
          </cell>
          <cell r="AB2500">
            <v>464.40886956750035</v>
          </cell>
          <cell r="AC2500">
            <v>8.625</v>
          </cell>
          <cell r="AD2500">
            <v>9500</v>
          </cell>
          <cell r="AE2500" t="str">
            <v>8-5/8" FJWP Box</v>
          </cell>
          <cell r="AF2500" t="str">
            <v>8-5/8" FJWP Pin</v>
          </cell>
          <cell r="AG2500"/>
          <cell r="AH2500" t="str">
            <v>Fabrication en cours</v>
          </cell>
          <cell r="AI2500" t="e">
            <v>#VALUE!</v>
          </cell>
          <cell r="AJ2500">
            <v>0</v>
          </cell>
          <cell r="AK2500" t="str">
            <v>F</v>
          </cell>
          <cell r="AL2500"/>
          <cell r="AM2500"/>
          <cell r="AN2500">
            <v>5102126</v>
          </cell>
          <cell r="AO2500"/>
          <cell r="AP2500"/>
          <cell r="AQ2500"/>
          <cell r="AR2500"/>
          <cell r="AS2500">
            <v>144</v>
          </cell>
          <cell r="AT2500" t="str">
            <v>509-8,625FJWP</v>
          </cell>
          <cell r="AU2500" t="str">
            <v>FR</v>
          </cell>
          <cell r="AV2500"/>
        </row>
        <row r="2501">
          <cell r="Z2501">
            <v>5092127</v>
          </cell>
          <cell r="AA2501" t="str">
            <v>WO Extension Lg 4050 mm
8-5/8" FJWP Pin x Box</v>
          </cell>
          <cell r="AB2501">
            <v>197.98483386825015</v>
          </cell>
          <cell r="AC2501">
            <v>8.625</v>
          </cell>
          <cell r="AD2501">
            <v>4050</v>
          </cell>
          <cell r="AE2501" t="str">
            <v>8-5/8" FJWP Box</v>
          </cell>
          <cell r="AF2501" t="str">
            <v>8-5/8" FJWP Pin</v>
          </cell>
          <cell r="AG2501"/>
          <cell r="AH2501" t="str">
            <v xml:space="preserve"> en stock </v>
          </cell>
          <cell r="AI2501">
            <v>1</v>
          </cell>
          <cell r="AJ2501">
            <v>0</v>
          </cell>
          <cell r="AK2501">
            <v>0</v>
          </cell>
          <cell r="AL2501"/>
          <cell r="AM2501"/>
          <cell r="AN2501">
            <v>5092127</v>
          </cell>
          <cell r="AO2501"/>
          <cell r="AP2501"/>
          <cell r="AQ2501"/>
          <cell r="AR2501"/>
          <cell r="AS2501">
            <v>117</v>
          </cell>
          <cell r="AT2501" t="str">
            <v>509-8,625FJWP</v>
          </cell>
          <cell r="AU2501" t="str">
            <v>FR</v>
          </cell>
          <cell r="AV2501"/>
        </row>
        <row r="2502">
          <cell r="Z2502">
            <v>5092128</v>
          </cell>
          <cell r="AA2502" t="str">
            <v>WO Extension Lg 4050 mm
8-5/8" FJWP Pin x Box</v>
          </cell>
          <cell r="AB2502">
            <v>197.98483386825015</v>
          </cell>
          <cell r="AC2502">
            <v>8.625</v>
          </cell>
          <cell r="AD2502">
            <v>4050</v>
          </cell>
          <cell r="AE2502" t="str">
            <v>8-5/8" FJWP Box</v>
          </cell>
          <cell r="AF2502" t="str">
            <v>8-5/8" FJWP Pin</v>
          </cell>
          <cell r="AG2502"/>
          <cell r="AH2502" t="str">
            <v xml:space="preserve"> en stock </v>
          </cell>
          <cell r="AI2502">
            <v>1</v>
          </cell>
          <cell r="AJ2502">
            <v>0</v>
          </cell>
          <cell r="AK2502">
            <v>0</v>
          </cell>
          <cell r="AL2502"/>
          <cell r="AM2502"/>
          <cell r="AN2502">
            <v>5092128</v>
          </cell>
          <cell r="AO2502"/>
          <cell r="AP2502"/>
          <cell r="AQ2502"/>
          <cell r="AR2502"/>
          <cell r="AS2502">
            <v>118</v>
          </cell>
          <cell r="AT2502" t="str">
            <v>509-8,625FJWP</v>
          </cell>
          <cell r="AU2502" t="str">
            <v>FR</v>
          </cell>
          <cell r="AV2502"/>
        </row>
        <row r="2503">
          <cell r="Z2503">
            <v>5092129</v>
          </cell>
          <cell r="AA2503" t="str">
            <v>WO Extension Lg 4060 mm
8-5/8" FJWP Pin x Box</v>
          </cell>
          <cell r="AB2503">
            <v>198.47368530990008</v>
          </cell>
          <cell r="AC2503">
            <v>8.625</v>
          </cell>
          <cell r="AD2503">
            <v>4060</v>
          </cell>
          <cell r="AE2503" t="str">
            <v>8-5/8" FJWP Box</v>
          </cell>
          <cell r="AF2503" t="str">
            <v>8-5/8" FJWP Pin</v>
          </cell>
          <cell r="AG2503"/>
          <cell r="AH2503" t="str">
            <v xml:space="preserve"> en stock </v>
          </cell>
          <cell r="AI2503">
            <v>1</v>
          </cell>
          <cell r="AJ2503">
            <v>0</v>
          </cell>
          <cell r="AK2503">
            <v>0</v>
          </cell>
          <cell r="AL2503"/>
          <cell r="AM2503"/>
          <cell r="AN2503">
            <v>5092129</v>
          </cell>
          <cell r="AO2503"/>
          <cell r="AP2503"/>
          <cell r="AQ2503"/>
          <cell r="AR2503"/>
          <cell r="AS2503">
            <v>119</v>
          </cell>
          <cell r="AT2503" t="str">
            <v>509-8,625FJWP</v>
          </cell>
          <cell r="AU2503" t="str">
            <v>FR</v>
          </cell>
          <cell r="AV2503"/>
        </row>
        <row r="2504">
          <cell r="Z2504">
            <v>5092130</v>
          </cell>
          <cell r="AA2504" t="str">
            <v>WO Extension Lg 4050 mm
8-5/8" FJWP Pin x Box</v>
          </cell>
          <cell r="AB2504">
            <v>197.98483386825015</v>
          </cell>
          <cell r="AC2504">
            <v>8.625</v>
          </cell>
          <cell r="AD2504">
            <v>4050</v>
          </cell>
          <cell r="AE2504" t="str">
            <v>8-5/8" FJWP Box</v>
          </cell>
          <cell r="AF2504" t="str">
            <v>8-5/8" FJWP Pin</v>
          </cell>
          <cell r="AG2504"/>
          <cell r="AH2504" t="str">
            <v xml:space="preserve"> en stock </v>
          </cell>
          <cell r="AI2504">
            <v>1</v>
          </cell>
          <cell r="AJ2504">
            <v>0</v>
          </cell>
          <cell r="AK2504">
            <v>0</v>
          </cell>
          <cell r="AL2504"/>
          <cell r="AM2504"/>
          <cell r="AN2504">
            <v>5092130</v>
          </cell>
          <cell r="AO2504"/>
          <cell r="AP2504"/>
          <cell r="AQ2504"/>
          <cell r="AR2504"/>
          <cell r="AS2504">
            <v>120</v>
          </cell>
          <cell r="AT2504" t="str">
            <v>509-8,625FJWP</v>
          </cell>
          <cell r="AU2504" t="str">
            <v>FR</v>
          </cell>
          <cell r="AV2504"/>
        </row>
        <row r="2505">
          <cell r="Z2505">
            <v>5092131</v>
          </cell>
          <cell r="AA2505" t="str">
            <v>WO Extension Lg 3000 mm
8-5/8" FJWP Pin x Box</v>
          </cell>
          <cell r="AB2505">
            <v>146.6554324950001</v>
          </cell>
          <cell r="AC2505">
            <v>8.625</v>
          </cell>
          <cell r="AD2505">
            <v>3000</v>
          </cell>
          <cell r="AE2505" t="str">
            <v>8-5/8" FJWP Box</v>
          </cell>
          <cell r="AF2505" t="str">
            <v>8-5/8" FJWP Pin</v>
          </cell>
          <cell r="AG2505"/>
          <cell r="AH2505" t="str">
            <v>Fabrication en cours</v>
          </cell>
          <cell r="AI2505" t="e">
            <v>#VALUE!</v>
          </cell>
          <cell r="AJ2505">
            <v>0</v>
          </cell>
          <cell r="AK2505" t="str">
            <v>F</v>
          </cell>
          <cell r="AL2505"/>
          <cell r="AM2505"/>
          <cell r="AN2505">
            <v>5092131</v>
          </cell>
          <cell r="AO2505"/>
          <cell r="AP2505"/>
          <cell r="AQ2505"/>
          <cell r="AR2505"/>
          <cell r="AS2505">
            <v>114</v>
          </cell>
          <cell r="AT2505" t="str">
            <v>509-8,625FJWP</v>
          </cell>
          <cell r="AU2505" t="str">
            <v>FR</v>
          </cell>
          <cell r="AV2505"/>
        </row>
        <row r="2506">
          <cell r="Z2506">
            <v>5092132</v>
          </cell>
          <cell r="AA2506" t="str">
            <v>WO Extension Lg 3000 mm
8-5/8" FJWP Pin x Box</v>
          </cell>
          <cell r="AB2506">
            <v>146.6554324950001</v>
          </cell>
          <cell r="AC2506">
            <v>8.625</v>
          </cell>
          <cell r="AD2506">
            <v>3000</v>
          </cell>
          <cell r="AE2506" t="str">
            <v>8-5/8" FJWP Box</v>
          </cell>
          <cell r="AF2506" t="str">
            <v>8-5/8" FJWP Pin</v>
          </cell>
          <cell r="AG2506"/>
          <cell r="AH2506" t="str">
            <v>Fabrication en cours</v>
          </cell>
          <cell r="AI2506" t="e">
            <v>#VALUE!</v>
          </cell>
          <cell r="AJ2506">
            <v>0</v>
          </cell>
          <cell r="AK2506" t="str">
            <v>F</v>
          </cell>
          <cell r="AL2506"/>
          <cell r="AM2506"/>
          <cell r="AN2506">
            <v>5092132</v>
          </cell>
          <cell r="AO2506"/>
          <cell r="AP2506"/>
          <cell r="AQ2506"/>
          <cell r="AR2506"/>
          <cell r="AS2506">
            <v>115</v>
          </cell>
          <cell r="AT2506" t="str">
            <v>509-8,625FJWP</v>
          </cell>
          <cell r="AU2506" t="str">
            <v>FR</v>
          </cell>
          <cell r="AV2506"/>
        </row>
        <row r="2507">
          <cell r="Z2507">
            <v>5892133</v>
          </cell>
          <cell r="AA2507" t="str">
            <v>WO Internal Hook Lg 2300 mm
8-5/8" FJWP Pin x Box</v>
          </cell>
          <cell r="AB2507">
            <v>0</v>
          </cell>
          <cell r="AC2507">
            <v>8.625</v>
          </cell>
          <cell r="AD2507">
            <v>2300</v>
          </cell>
          <cell r="AE2507" t="str">
            <v>8-5/8" FJWP Box</v>
          </cell>
          <cell r="AF2507" t="str">
            <v>8-5/8" FJWP Pin</v>
          </cell>
          <cell r="AG2507"/>
          <cell r="AH2507" t="str">
            <v>Fabrication en cours</v>
          </cell>
          <cell r="AI2507" t="e">
            <v>#VALUE!</v>
          </cell>
          <cell r="AJ2507">
            <v>0</v>
          </cell>
          <cell r="AK2507" t="str">
            <v>F</v>
          </cell>
          <cell r="AL2507"/>
          <cell r="AM2507"/>
          <cell r="AN2507">
            <v>5892133</v>
          </cell>
          <cell r="AO2507"/>
          <cell r="AP2507"/>
          <cell r="AQ2507"/>
          <cell r="AR2507"/>
          <cell r="AS2507">
            <v>19</v>
          </cell>
          <cell r="AT2507" t="str">
            <v>509-8,625FJWP</v>
          </cell>
          <cell r="AU2507" t="str">
            <v>FR</v>
          </cell>
          <cell r="AV2507"/>
        </row>
        <row r="2508">
          <cell r="Z2508">
            <v>5092134</v>
          </cell>
          <cell r="AA2508" t="str">
            <v>WO Extension Lg 970 mm
8-5/8" FJWP Pin x Box</v>
          </cell>
          <cell r="AB2508">
            <v>47.418589840050025</v>
          </cell>
          <cell r="AC2508">
            <v>8.625</v>
          </cell>
          <cell r="AD2508">
            <v>970</v>
          </cell>
          <cell r="AE2508" t="str">
            <v>8-5/8" FJWP Box</v>
          </cell>
          <cell r="AF2508" t="str">
            <v>8-5/8" FJWP Pin</v>
          </cell>
          <cell r="AG2508"/>
          <cell r="AH2508" t="str">
            <v xml:space="preserve"> en stock </v>
          </cell>
          <cell r="AI2508">
            <v>1</v>
          </cell>
          <cell r="AJ2508">
            <v>0</v>
          </cell>
          <cell r="AK2508">
            <v>0</v>
          </cell>
          <cell r="AL2508"/>
          <cell r="AM2508"/>
          <cell r="AN2508">
            <v>5092134</v>
          </cell>
          <cell r="AO2508"/>
          <cell r="AP2508"/>
          <cell r="AQ2508"/>
          <cell r="AR2508"/>
          <cell r="AS2508">
            <v>107</v>
          </cell>
          <cell r="AT2508" t="str">
            <v>509-8,625FJWP</v>
          </cell>
          <cell r="AU2508" t="str">
            <v>FR</v>
          </cell>
          <cell r="AV2508"/>
        </row>
        <row r="2509">
          <cell r="Z2509">
            <v>5092135</v>
          </cell>
          <cell r="AA2509" t="str">
            <v>WO Extension Lg 2000 mm
8-5/8" FJWP Pin x Box</v>
          </cell>
          <cell r="AB2509">
            <v>97.770288330000071</v>
          </cell>
          <cell r="AC2509">
            <v>8.625</v>
          </cell>
          <cell r="AD2509">
            <v>2000</v>
          </cell>
          <cell r="AE2509" t="str">
            <v>8-5/8" FJWP Box</v>
          </cell>
          <cell r="AF2509" t="str">
            <v>8-5/8" FJWP Pin</v>
          </cell>
          <cell r="AG2509"/>
          <cell r="AH2509" t="str">
            <v>Fabrication en cours</v>
          </cell>
          <cell r="AI2509" t="e">
            <v>#VALUE!</v>
          </cell>
          <cell r="AJ2509">
            <v>0</v>
          </cell>
          <cell r="AK2509" t="str">
            <v>F</v>
          </cell>
          <cell r="AL2509"/>
          <cell r="AM2509"/>
          <cell r="AN2509">
            <v>5092135</v>
          </cell>
          <cell r="AO2509"/>
          <cell r="AP2509"/>
          <cell r="AQ2509"/>
          <cell r="AR2509"/>
          <cell r="AS2509">
            <v>108</v>
          </cell>
          <cell r="AT2509" t="str">
            <v>509-8,625FJWP</v>
          </cell>
          <cell r="AU2509" t="str">
            <v>FR</v>
          </cell>
          <cell r="AV2509"/>
        </row>
        <row r="2510">
          <cell r="Z2510">
            <v>5092136</v>
          </cell>
          <cell r="AA2510" t="str">
            <v>WO Extension Lg 2000 mm
8-5/8" FJWP Pin x Box</v>
          </cell>
          <cell r="AB2510">
            <v>97.770288330000071</v>
          </cell>
          <cell r="AC2510">
            <v>8.625</v>
          </cell>
          <cell r="AD2510">
            <v>2000</v>
          </cell>
          <cell r="AE2510" t="str">
            <v>8-5/8" FJWP Box</v>
          </cell>
          <cell r="AF2510" t="str">
            <v>8-5/8" FJWP Pin</v>
          </cell>
          <cell r="AG2510"/>
          <cell r="AH2510" t="str">
            <v>Fabrication en cours</v>
          </cell>
          <cell r="AI2510" t="e">
            <v>#VALUE!</v>
          </cell>
          <cell r="AJ2510">
            <v>0</v>
          </cell>
          <cell r="AK2510" t="str">
            <v>F</v>
          </cell>
          <cell r="AL2510"/>
          <cell r="AM2510"/>
          <cell r="AN2510">
            <v>5092136</v>
          </cell>
          <cell r="AO2510"/>
          <cell r="AP2510"/>
          <cell r="AQ2510"/>
          <cell r="AR2510"/>
          <cell r="AS2510">
            <v>109</v>
          </cell>
          <cell r="AT2510" t="str">
            <v>509-8,625FJWP</v>
          </cell>
          <cell r="AU2510" t="str">
            <v>FR</v>
          </cell>
          <cell r="AV2510"/>
        </row>
        <row r="2511">
          <cell r="Z2511">
            <v>5092137</v>
          </cell>
          <cell r="AA2511" t="str">
            <v>WO Extension Lg 2000 mm
8-5/8" FJWP Pin x Box</v>
          </cell>
          <cell r="AB2511">
            <v>97.770288330000071</v>
          </cell>
          <cell r="AC2511">
            <v>8.625</v>
          </cell>
          <cell r="AD2511">
            <v>2000</v>
          </cell>
          <cell r="AE2511" t="str">
            <v>8-5/8" FJWP Box</v>
          </cell>
          <cell r="AF2511" t="str">
            <v>8-5/8" FJWP Pin</v>
          </cell>
          <cell r="AG2511"/>
          <cell r="AH2511" t="str">
            <v>Fabrication en cours</v>
          </cell>
          <cell r="AI2511" t="e">
            <v>#VALUE!</v>
          </cell>
          <cell r="AJ2511">
            <v>0</v>
          </cell>
          <cell r="AK2511" t="str">
            <v>F</v>
          </cell>
          <cell r="AL2511"/>
          <cell r="AM2511"/>
          <cell r="AN2511">
            <v>5092137</v>
          </cell>
          <cell r="AO2511"/>
          <cell r="AP2511"/>
          <cell r="AQ2511"/>
          <cell r="AR2511"/>
          <cell r="AS2511">
            <v>110</v>
          </cell>
          <cell r="AT2511" t="str">
            <v>509-8,625FJWP</v>
          </cell>
          <cell r="AU2511" t="str">
            <v>FR</v>
          </cell>
          <cell r="AV2511"/>
        </row>
        <row r="2512">
          <cell r="Z2512">
            <v>5092138</v>
          </cell>
          <cell r="AA2512" t="str">
            <v>WO Extension Lg 2000 mm
8-5/8" FJWP Pin x Box</v>
          </cell>
          <cell r="AB2512">
            <v>97.770288330000071</v>
          </cell>
          <cell r="AC2512">
            <v>8.625</v>
          </cell>
          <cell r="AD2512">
            <v>2000</v>
          </cell>
          <cell r="AE2512" t="str">
            <v>8-5/8" FJWP Box</v>
          </cell>
          <cell r="AF2512" t="str">
            <v>8-5/8" FJWP Pin</v>
          </cell>
          <cell r="AG2512"/>
          <cell r="AH2512" t="str">
            <v>Fabrication en cours</v>
          </cell>
          <cell r="AI2512" t="e">
            <v>#VALUE!</v>
          </cell>
          <cell r="AJ2512">
            <v>0</v>
          </cell>
          <cell r="AK2512" t="str">
            <v>F</v>
          </cell>
          <cell r="AL2512"/>
          <cell r="AM2512"/>
          <cell r="AN2512">
            <v>5092138</v>
          </cell>
          <cell r="AO2512"/>
          <cell r="AP2512"/>
          <cell r="AQ2512"/>
          <cell r="AR2512"/>
          <cell r="AS2512">
            <v>111</v>
          </cell>
          <cell r="AT2512" t="str">
            <v>509-8,625FJWP</v>
          </cell>
          <cell r="AU2512" t="str">
            <v>FR</v>
          </cell>
          <cell r="AV2512"/>
        </row>
        <row r="2513">
          <cell r="Z2513">
            <v>5102139</v>
          </cell>
          <cell r="AA2513" t="str">
            <v>WO Pipe 
13-3/8" FJWP Pin x Box</v>
          </cell>
          <cell r="AB2513">
            <v>946.00160799299874</v>
          </cell>
          <cell r="AC2513">
            <v>13.375</v>
          </cell>
          <cell r="AD2513">
            <v>9300</v>
          </cell>
          <cell r="AE2513" t="str">
            <v>13-3/8" FJWP Box</v>
          </cell>
          <cell r="AF2513" t="str">
            <v>13-3/8" FJWP Pin</v>
          </cell>
          <cell r="AG2513"/>
          <cell r="AH2513" t="str">
            <v xml:space="preserve"> en stock </v>
          </cell>
          <cell r="AI2513">
            <v>1</v>
          </cell>
          <cell r="AJ2513">
            <v>0</v>
          </cell>
          <cell r="AK2513">
            <v>0</v>
          </cell>
          <cell r="AL2513"/>
          <cell r="AM2513"/>
          <cell r="AN2513">
            <v>5102139</v>
          </cell>
          <cell r="AO2513"/>
          <cell r="AP2513"/>
          <cell r="AQ2513"/>
          <cell r="AR2513"/>
          <cell r="AS2513">
            <v>160</v>
          </cell>
          <cell r="AT2513" t="str">
            <v>509-13,375FJWP</v>
          </cell>
          <cell r="AU2513" t="str">
            <v>FR</v>
          </cell>
          <cell r="AV2513"/>
        </row>
        <row r="2514">
          <cell r="Z2514">
            <v>5102140</v>
          </cell>
          <cell r="AA2514" t="str">
            <v>WO Pipe 
13-3/8" FJWP Pin x Box</v>
          </cell>
          <cell r="AB2514">
            <v>946.00160799299874</v>
          </cell>
          <cell r="AC2514">
            <v>13.375</v>
          </cell>
          <cell r="AD2514">
            <v>9300</v>
          </cell>
          <cell r="AE2514" t="str">
            <v>13-3/8" FJWP Box</v>
          </cell>
          <cell r="AF2514" t="str">
            <v>13-3/8" FJWP Pin</v>
          </cell>
          <cell r="AG2514"/>
          <cell r="AH2514" t="str">
            <v xml:space="preserve"> en stock </v>
          </cell>
          <cell r="AI2514">
            <v>1</v>
          </cell>
          <cell r="AJ2514">
            <v>0</v>
          </cell>
          <cell r="AK2514">
            <v>0</v>
          </cell>
          <cell r="AL2514"/>
          <cell r="AM2514"/>
          <cell r="AN2514">
            <v>5102140</v>
          </cell>
          <cell r="AO2514"/>
          <cell r="AP2514"/>
          <cell r="AQ2514"/>
          <cell r="AR2514"/>
          <cell r="AS2514">
            <v>161</v>
          </cell>
          <cell r="AT2514" t="str">
            <v>509-13,375FJWP</v>
          </cell>
          <cell r="AU2514" t="str">
            <v>FR</v>
          </cell>
          <cell r="AV2514"/>
        </row>
        <row r="2515">
          <cell r="Z2515">
            <v>5102141</v>
          </cell>
          <cell r="AA2515" t="str">
            <v>WO Pipe 
13-3/8" FJWP Pin x Box</v>
          </cell>
          <cell r="AB2515">
            <v>946.00160799299874</v>
          </cell>
          <cell r="AC2515">
            <v>13.375</v>
          </cell>
          <cell r="AD2515">
            <v>9300</v>
          </cell>
          <cell r="AE2515" t="str">
            <v>13-3/8" FJWP Box</v>
          </cell>
          <cell r="AF2515" t="str">
            <v>13-3/8" FJWP Pin</v>
          </cell>
          <cell r="AG2515"/>
          <cell r="AH2515" t="str">
            <v xml:space="preserve"> en stock </v>
          </cell>
          <cell r="AI2515">
            <v>1</v>
          </cell>
          <cell r="AJ2515">
            <v>0</v>
          </cell>
          <cell r="AK2515">
            <v>0</v>
          </cell>
          <cell r="AL2515"/>
          <cell r="AM2515"/>
          <cell r="AN2515">
            <v>5102141</v>
          </cell>
          <cell r="AO2515"/>
          <cell r="AP2515"/>
          <cell r="AQ2515"/>
          <cell r="AR2515"/>
          <cell r="AS2515">
            <v>162</v>
          </cell>
          <cell r="AT2515" t="str">
            <v>509-13,375FJWP</v>
          </cell>
          <cell r="AU2515" t="str">
            <v>FR</v>
          </cell>
          <cell r="AV2515"/>
        </row>
        <row r="2516">
          <cell r="Z2516">
            <v>5102142</v>
          </cell>
          <cell r="AA2516" t="str">
            <v>WO Pipe 
13-3/8" FJWP Pin x Box</v>
          </cell>
          <cell r="AB2516">
            <v>946.00160799299874</v>
          </cell>
          <cell r="AC2516">
            <v>13.375</v>
          </cell>
          <cell r="AD2516">
            <v>9300</v>
          </cell>
          <cell r="AE2516" t="str">
            <v>13-3/8" FJWP Box</v>
          </cell>
          <cell r="AF2516" t="str">
            <v>13-3/8" FJWP Pin</v>
          </cell>
          <cell r="AG2516"/>
          <cell r="AH2516" t="str">
            <v xml:space="preserve"> en stock </v>
          </cell>
          <cell r="AI2516">
            <v>1</v>
          </cell>
          <cell r="AJ2516">
            <v>0</v>
          </cell>
          <cell r="AK2516">
            <v>0</v>
          </cell>
          <cell r="AL2516"/>
          <cell r="AM2516"/>
          <cell r="AN2516">
            <v>5102142</v>
          </cell>
          <cell r="AO2516"/>
          <cell r="AP2516"/>
          <cell r="AQ2516"/>
          <cell r="AR2516"/>
          <cell r="AS2516">
            <v>163</v>
          </cell>
          <cell r="AT2516" t="str">
            <v>509-13,375FJWP</v>
          </cell>
          <cell r="AU2516" t="str">
            <v>FR</v>
          </cell>
          <cell r="AV2516"/>
        </row>
        <row r="2517">
          <cell r="Z2517">
            <v>5102143</v>
          </cell>
          <cell r="AA2517" t="str">
            <v>WO Pipe 
13-3/8" FJWP Pin x Box</v>
          </cell>
          <cell r="AB2517">
            <v>946.00160799299874</v>
          </cell>
          <cell r="AC2517">
            <v>13.375</v>
          </cell>
          <cell r="AD2517">
            <v>9300</v>
          </cell>
          <cell r="AE2517" t="str">
            <v>13-3/8" FJWP Box</v>
          </cell>
          <cell r="AF2517" t="str">
            <v>13-3/8" FJWP Pin</v>
          </cell>
          <cell r="AG2517"/>
          <cell r="AH2517" t="str">
            <v xml:space="preserve"> en stock </v>
          </cell>
          <cell r="AI2517">
            <v>1</v>
          </cell>
          <cell r="AJ2517">
            <v>0</v>
          </cell>
          <cell r="AK2517">
            <v>0</v>
          </cell>
          <cell r="AL2517"/>
          <cell r="AM2517"/>
          <cell r="AN2517">
            <v>5102143</v>
          </cell>
          <cell r="AO2517"/>
          <cell r="AP2517"/>
          <cell r="AQ2517"/>
          <cell r="AR2517"/>
          <cell r="AS2517">
            <v>164</v>
          </cell>
          <cell r="AT2517" t="str">
            <v>509-13,375FJWP</v>
          </cell>
          <cell r="AU2517" t="str">
            <v>FR</v>
          </cell>
          <cell r="AV2517"/>
        </row>
        <row r="2518">
          <cell r="Z2518">
            <v>5092144</v>
          </cell>
          <cell r="AA2518" t="str">
            <v>WO Extension Lg 2930 mm
13-3/8" FJWP Pin x Box</v>
          </cell>
          <cell r="AB2518">
            <v>472.56194872501817</v>
          </cell>
          <cell r="AC2518">
            <v>13.375</v>
          </cell>
          <cell r="AD2518">
            <v>2930</v>
          </cell>
          <cell r="AE2518" t="str">
            <v>13-3/8" FJWP Box</v>
          </cell>
          <cell r="AF2518" t="str">
            <v>13-3/8" FJWP Pin</v>
          </cell>
          <cell r="AG2518"/>
          <cell r="AH2518" t="str">
            <v xml:space="preserve"> en stock </v>
          </cell>
          <cell r="AI2518">
            <v>1</v>
          </cell>
          <cell r="AJ2518">
            <v>0</v>
          </cell>
          <cell r="AK2518">
            <v>0</v>
          </cell>
          <cell r="AL2518"/>
          <cell r="AM2518"/>
          <cell r="AN2518">
            <v>5092144</v>
          </cell>
          <cell r="AO2518"/>
          <cell r="AP2518"/>
          <cell r="AQ2518"/>
          <cell r="AR2518"/>
          <cell r="AS2518">
            <v>137</v>
          </cell>
          <cell r="AT2518" t="str">
            <v>509-13,375FJWP</v>
          </cell>
          <cell r="AU2518" t="str">
            <v>FR</v>
          </cell>
          <cell r="AV2518"/>
        </row>
        <row r="2519">
          <cell r="Z2519">
            <v>5092145</v>
          </cell>
          <cell r="AA2519" t="str">
            <v>WO Extension Lg 2910 mm
13-3/8" FJWP Pin x Box</v>
          </cell>
          <cell r="AB2519">
            <v>469.33626989413068</v>
          </cell>
          <cell r="AC2519">
            <v>13.375</v>
          </cell>
          <cell r="AD2519">
            <v>2910</v>
          </cell>
          <cell r="AE2519" t="str">
            <v>13-3/8" FJWP Box</v>
          </cell>
          <cell r="AF2519" t="str">
            <v>13-3/8" FJWP Pin</v>
          </cell>
          <cell r="AG2519"/>
          <cell r="AH2519" t="str">
            <v xml:space="preserve"> en stock </v>
          </cell>
          <cell r="AI2519">
            <v>1</v>
          </cell>
          <cell r="AJ2519">
            <v>0</v>
          </cell>
          <cell r="AK2519">
            <v>0</v>
          </cell>
          <cell r="AL2519"/>
          <cell r="AM2519"/>
          <cell r="AN2519">
            <v>5092145</v>
          </cell>
          <cell r="AO2519"/>
          <cell r="AP2519"/>
          <cell r="AQ2519"/>
          <cell r="AR2519"/>
          <cell r="AS2519">
            <v>138</v>
          </cell>
          <cell r="AT2519" t="str">
            <v>509-13,375FJWP</v>
          </cell>
          <cell r="AU2519" t="str">
            <v>FR</v>
          </cell>
          <cell r="AV2519"/>
        </row>
        <row r="2520">
          <cell r="Z2520">
            <v>5092146</v>
          </cell>
          <cell r="AA2520" t="str">
            <v>WO Extension Lg 3000 mm
13-3/8" FJWP Pin x Box</v>
          </cell>
          <cell r="AB2520">
            <v>483.85182463312441</v>
          </cell>
          <cell r="AC2520">
            <v>13.375</v>
          </cell>
          <cell r="AD2520">
            <v>3000</v>
          </cell>
          <cell r="AE2520" t="str">
            <v>13-3/8" FJWP Box</v>
          </cell>
          <cell r="AF2520" t="str">
            <v>13-3/8" FJWP Pin</v>
          </cell>
          <cell r="AG2520"/>
          <cell r="AH2520" t="str">
            <v xml:space="preserve"> en stock </v>
          </cell>
          <cell r="AI2520">
            <v>1</v>
          </cell>
          <cell r="AJ2520">
            <v>0</v>
          </cell>
          <cell r="AK2520">
            <v>0</v>
          </cell>
          <cell r="AL2520"/>
          <cell r="AM2520"/>
          <cell r="AN2520">
            <v>5092146</v>
          </cell>
          <cell r="AO2520"/>
          <cell r="AP2520"/>
          <cell r="AQ2520"/>
          <cell r="AR2520"/>
          <cell r="AS2520">
            <v>139</v>
          </cell>
          <cell r="AT2520" t="str">
            <v>509-13,375FJWP</v>
          </cell>
          <cell r="AU2520" t="str">
            <v>FR</v>
          </cell>
          <cell r="AV2520"/>
        </row>
        <row r="2521">
          <cell r="Z2521">
            <v>5092147</v>
          </cell>
          <cell r="AA2521" t="str">
            <v>WO Extension Lg 2000 mm
13-3/8" FJWP Pin x Box</v>
          </cell>
          <cell r="AB2521">
            <v>322.56788308874962</v>
          </cell>
          <cell r="AC2521">
            <v>13.375</v>
          </cell>
          <cell r="AD2521">
            <v>2000</v>
          </cell>
          <cell r="AE2521" t="str">
            <v>13-3/8" FJWP Box</v>
          </cell>
          <cell r="AF2521" t="str">
            <v>13-3/8" FJWP Pin</v>
          </cell>
          <cell r="AG2521"/>
          <cell r="AH2521" t="str">
            <v>Fabrication en cours</v>
          </cell>
          <cell r="AI2521" t="e">
            <v>#VALUE!</v>
          </cell>
          <cell r="AJ2521">
            <v>0</v>
          </cell>
          <cell r="AK2521" t="str">
            <v>F</v>
          </cell>
          <cell r="AL2521"/>
          <cell r="AM2521"/>
          <cell r="AN2521">
            <v>5092147</v>
          </cell>
          <cell r="AO2521"/>
          <cell r="AP2521"/>
          <cell r="AQ2521"/>
          <cell r="AR2521"/>
          <cell r="AS2521">
            <v>140</v>
          </cell>
          <cell r="AT2521" t="str">
            <v>509-13,375FJWP</v>
          </cell>
          <cell r="AU2521" t="str">
            <v>FR</v>
          </cell>
          <cell r="AV2521"/>
        </row>
        <row r="2522">
          <cell r="Z2522">
            <v>5112148</v>
          </cell>
          <cell r="AA2522" t="str">
            <v>WO Shoe
13-3/8" FJWP Pin</v>
          </cell>
          <cell r="AB2522">
            <v>0</v>
          </cell>
          <cell r="AC2522">
            <v>0</v>
          </cell>
          <cell r="AD2522">
            <v>1000</v>
          </cell>
          <cell r="AE2522" t="str">
            <v>13-3/8" FJWP Pin</v>
          </cell>
          <cell r="AF2522"/>
          <cell r="AG2522" t="str">
            <v>BLANK</v>
          </cell>
          <cell r="AH2522" t="str">
            <v xml:space="preserve"> en stock </v>
          </cell>
          <cell r="AI2522" t="str">
            <v>blank</v>
          </cell>
          <cell r="AJ2522">
            <v>0</v>
          </cell>
          <cell r="AK2522">
            <v>0</v>
          </cell>
          <cell r="AL2522"/>
          <cell r="AM2522"/>
          <cell r="AN2522">
            <v>5112148</v>
          </cell>
          <cell r="AO2522"/>
          <cell r="AP2522"/>
          <cell r="AQ2522"/>
          <cell r="AR2522"/>
          <cell r="AS2522">
            <v>224</v>
          </cell>
          <cell r="AT2522"/>
          <cell r="AU2522" t="str">
            <v>FR</v>
          </cell>
          <cell r="AV2522"/>
        </row>
        <row r="2523">
          <cell r="Z2523">
            <v>5112149</v>
          </cell>
          <cell r="AA2523" t="str">
            <v>WO Shoe
13-3/8" FJWP Pin</v>
          </cell>
          <cell r="AB2523">
            <v>0</v>
          </cell>
          <cell r="AC2523">
            <v>0</v>
          </cell>
          <cell r="AD2523">
            <v>1000</v>
          </cell>
          <cell r="AE2523" t="str">
            <v>13-3/8" FJWP Pin</v>
          </cell>
          <cell r="AF2523"/>
          <cell r="AG2523" t="str">
            <v>BLANK</v>
          </cell>
          <cell r="AH2523" t="str">
            <v xml:space="preserve"> en stock </v>
          </cell>
          <cell r="AI2523" t="str">
            <v>blank</v>
          </cell>
          <cell r="AJ2523">
            <v>0</v>
          </cell>
          <cell r="AK2523">
            <v>0</v>
          </cell>
          <cell r="AL2523"/>
          <cell r="AM2523"/>
          <cell r="AN2523">
            <v>5112149</v>
          </cell>
          <cell r="AO2523"/>
          <cell r="AP2523"/>
          <cell r="AQ2523"/>
          <cell r="AR2523"/>
          <cell r="AS2523">
            <v>225</v>
          </cell>
          <cell r="AT2523"/>
          <cell r="AU2523" t="str">
            <v>FR</v>
          </cell>
          <cell r="AV2523"/>
        </row>
        <row r="2524">
          <cell r="Z2524">
            <v>5112150</v>
          </cell>
          <cell r="AA2524" t="str">
            <v>WO Shoe
13-3/8" FJWP Pin</v>
          </cell>
          <cell r="AB2524">
            <v>0</v>
          </cell>
          <cell r="AC2524">
            <v>0</v>
          </cell>
          <cell r="AD2524">
            <v>1000</v>
          </cell>
          <cell r="AE2524" t="str">
            <v>13-3/8" FJWP Pin</v>
          </cell>
          <cell r="AF2524"/>
          <cell r="AG2524" t="str">
            <v>BLANK</v>
          </cell>
          <cell r="AH2524" t="str">
            <v xml:space="preserve"> en stock </v>
          </cell>
          <cell r="AI2524" t="str">
            <v>blank</v>
          </cell>
          <cell r="AJ2524">
            <v>0</v>
          </cell>
          <cell r="AK2524">
            <v>0</v>
          </cell>
          <cell r="AL2524"/>
          <cell r="AM2524"/>
          <cell r="AN2524">
            <v>5112150</v>
          </cell>
          <cell r="AO2524"/>
          <cell r="AP2524"/>
          <cell r="AQ2524"/>
          <cell r="AR2524"/>
          <cell r="AS2524">
            <v>226</v>
          </cell>
          <cell r="AT2524"/>
          <cell r="AU2524" t="str">
            <v>FR</v>
          </cell>
          <cell r="AV2524"/>
        </row>
        <row r="2525">
          <cell r="Z2525">
            <v>5112151</v>
          </cell>
          <cell r="AA2525" t="str">
            <v>WO Shoe
13-3/8" FJWP Pin</v>
          </cell>
          <cell r="AB2525">
            <v>0</v>
          </cell>
          <cell r="AC2525">
            <v>0</v>
          </cell>
          <cell r="AD2525">
            <v>1000</v>
          </cell>
          <cell r="AE2525" t="str">
            <v>13-3/8" FJWP Pin</v>
          </cell>
          <cell r="AF2525"/>
          <cell r="AG2525" t="str">
            <v>BLANK</v>
          </cell>
          <cell r="AH2525" t="str">
            <v xml:space="preserve"> en stock </v>
          </cell>
          <cell r="AI2525" t="str">
            <v>blank</v>
          </cell>
          <cell r="AJ2525">
            <v>0</v>
          </cell>
          <cell r="AK2525">
            <v>0</v>
          </cell>
          <cell r="AL2525"/>
          <cell r="AM2525"/>
          <cell r="AN2525">
            <v>5112151</v>
          </cell>
          <cell r="AO2525"/>
          <cell r="AP2525"/>
          <cell r="AQ2525"/>
          <cell r="AR2525"/>
          <cell r="AS2525">
            <v>227</v>
          </cell>
          <cell r="AT2525"/>
          <cell r="AU2525" t="str">
            <v>FR</v>
          </cell>
          <cell r="AV2525"/>
        </row>
        <row r="2526">
          <cell r="Z2526">
            <v>1062152</v>
          </cell>
          <cell r="AA2526" t="str">
            <v>Impression Block
1-1/2" AMMT Box</v>
          </cell>
          <cell r="AB2526">
            <v>0</v>
          </cell>
          <cell r="AC2526">
            <v>2.125</v>
          </cell>
          <cell r="AD2526">
            <v>164</v>
          </cell>
          <cell r="AE2526" t="str">
            <v>1-1/2" AMMT Box</v>
          </cell>
          <cell r="AF2526"/>
          <cell r="AG2526"/>
          <cell r="AH2526" t="str">
            <v>maintenance</v>
          </cell>
          <cell r="AI2526" t="str">
            <v/>
          </cell>
          <cell r="AJ2526">
            <v>0</v>
          </cell>
          <cell r="AK2526">
            <v>1</v>
          </cell>
          <cell r="AL2526"/>
          <cell r="AM2526"/>
          <cell r="AN2526">
            <v>1062152</v>
          </cell>
          <cell r="AO2526"/>
          <cell r="AP2526"/>
          <cell r="AQ2526"/>
          <cell r="AR2526"/>
          <cell r="AS2526">
            <v>5</v>
          </cell>
          <cell r="AT2526"/>
          <cell r="AU2526" t="str">
            <v/>
          </cell>
          <cell r="AV2526"/>
        </row>
        <row r="2527">
          <cell r="Z2527">
            <v>5032153</v>
          </cell>
          <cell r="AA2527" t="str">
            <v>Junk Mill 
1" AMMT Pin</v>
          </cell>
          <cell r="AB2527">
            <v>0</v>
          </cell>
          <cell r="AC2527">
            <v>2.125</v>
          </cell>
          <cell r="AD2527">
            <v>0</v>
          </cell>
          <cell r="AE2527" t="str">
            <v>1" AMMT Pin</v>
          </cell>
          <cell r="AF2527"/>
          <cell r="AG2527" t="str">
            <v>Insert + C</v>
          </cell>
          <cell r="AH2527" t="str">
            <v>sur chantier</v>
          </cell>
          <cell r="AI2527" t="str">
            <v/>
          </cell>
          <cell r="AJ2527">
            <v>1</v>
          </cell>
          <cell r="AK2527">
            <v>0</v>
          </cell>
          <cell r="AL2527"/>
          <cell r="AM2527"/>
          <cell r="AN2527">
            <v>5032153</v>
          </cell>
          <cell r="AO2527"/>
          <cell r="AP2527"/>
          <cell r="AQ2527"/>
          <cell r="AR2527"/>
          <cell r="AS2527">
            <v>5</v>
          </cell>
          <cell r="AT2527" t="str">
            <v>503-</v>
          </cell>
          <cell r="AU2527" t="str">
            <v/>
          </cell>
          <cell r="AV2527"/>
        </row>
        <row r="2528">
          <cell r="Z2528">
            <v>8782154</v>
          </cell>
          <cell r="AA2528" t="str">
            <v>Short NMDC 3-1/2" Lg 3060mm
2-7/8" PH6 Pin x 2-7/8" PH6 Box</v>
          </cell>
          <cell r="AB2528">
            <v>86.882233493249998</v>
          </cell>
          <cell r="AC2528">
            <v>3.5</v>
          </cell>
          <cell r="AD2528">
            <v>3060</v>
          </cell>
          <cell r="AE2528" t="str">
            <v>2-7/8" PH6 Box</v>
          </cell>
          <cell r="AF2528" t="str">
            <v>2-7/8" PH6 Pin</v>
          </cell>
          <cell r="AG2528"/>
          <cell r="AH2528" t="str">
            <v>sur chantier</v>
          </cell>
          <cell r="AI2528" t="str">
            <v/>
          </cell>
          <cell r="AJ2528">
            <v>1</v>
          </cell>
          <cell r="AK2528">
            <v>0</v>
          </cell>
          <cell r="AL2528"/>
          <cell r="AM2528"/>
          <cell r="AN2528">
            <v>6882154</v>
          </cell>
          <cell r="AO2528"/>
          <cell r="AP2528"/>
          <cell r="AQ2528"/>
          <cell r="AR2528"/>
          <cell r="AS2528">
            <v>50</v>
          </cell>
          <cell r="AT2528"/>
          <cell r="AU2528" t="str">
            <v>CH</v>
          </cell>
          <cell r="AV2528"/>
        </row>
        <row r="2529">
          <cell r="Z2529">
            <v>8782155</v>
          </cell>
          <cell r="AA2529" t="str">
            <v>Short NMDC 3-1/2" Lg 3060mm
2-7/8" PH6 Pin x 2-7/8" PH6 Box</v>
          </cell>
          <cell r="AB2529">
            <v>86.882233493249998</v>
          </cell>
          <cell r="AC2529">
            <v>3.5</v>
          </cell>
          <cell r="AD2529">
            <v>3060</v>
          </cell>
          <cell r="AE2529" t="str">
            <v>2-7/8" PH6 Box</v>
          </cell>
          <cell r="AF2529" t="str">
            <v>2-7/8" PH6 Pin</v>
          </cell>
          <cell r="AG2529"/>
          <cell r="AH2529" t="str">
            <v>sur chantier</v>
          </cell>
          <cell r="AI2529" t="str">
            <v/>
          </cell>
          <cell r="AJ2529">
            <v>1</v>
          </cell>
          <cell r="AK2529">
            <v>0</v>
          </cell>
          <cell r="AL2529"/>
          <cell r="AM2529"/>
          <cell r="AN2529">
            <v>6882155</v>
          </cell>
          <cell r="AO2529"/>
          <cell r="AP2529"/>
          <cell r="AQ2529"/>
          <cell r="AR2529"/>
          <cell r="AS2529">
            <v>51</v>
          </cell>
          <cell r="AT2529"/>
          <cell r="AU2529" t="str">
            <v>CH</v>
          </cell>
          <cell r="AV2529"/>
        </row>
        <row r="2530">
          <cell r="Z2530">
            <v>8772156</v>
          </cell>
          <cell r="AA2530" t="str">
            <v>Non Mag HWDP Range 2
2-7/8" PH6 Pin x Box</v>
          </cell>
          <cell r="AB2530" t="str">
            <v>HWDP</v>
          </cell>
          <cell r="AC2530">
            <v>2.875</v>
          </cell>
          <cell r="AD2530">
            <v>9130</v>
          </cell>
          <cell r="AE2530" t="str">
            <v>2-7/8" PH6 Box</v>
          </cell>
          <cell r="AF2530" t="str">
            <v>2-7/8" PH6 Pin</v>
          </cell>
          <cell r="AG2530"/>
          <cell r="AH2530" t="str">
            <v>en stock</v>
          </cell>
          <cell r="AI2530" t="str">
            <v/>
          </cell>
          <cell r="AJ2530">
            <v>1</v>
          </cell>
          <cell r="AK2530">
            <v>0</v>
          </cell>
          <cell r="AL2530"/>
          <cell r="AM2530"/>
          <cell r="AN2530">
            <v>8772156</v>
          </cell>
          <cell r="AO2530">
            <v>0</v>
          </cell>
          <cell r="AP2530"/>
          <cell r="AQ2530"/>
          <cell r="AR2530"/>
          <cell r="AS2530">
            <v>24</v>
          </cell>
          <cell r="AT2530"/>
          <cell r="AU2530" t="str">
            <v>CH</v>
          </cell>
          <cell r="AV2530"/>
        </row>
        <row r="2531">
          <cell r="Z2531">
            <v>8772157</v>
          </cell>
          <cell r="AA2531" t="str">
            <v>Non Mag HWDP Range 2
2-7/8" PH6 Pin x Box</v>
          </cell>
          <cell r="AB2531" t="str">
            <v>HWDP</v>
          </cell>
          <cell r="AC2531">
            <v>2.875</v>
          </cell>
          <cell r="AD2531">
            <v>9130</v>
          </cell>
          <cell r="AE2531" t="str">
            <v>2-7/8" PH6 Box</v>
          </cell>
          <cell r="AF2531" t="str">
            <v>2-7/8" PH6 Pin</v>
          </cell>
          <cell r="AG2531"/>
          <cell r="AH2531" t="str">
            <v>en stock</v>
          </cell>
          <cell r="AI2531" t="str">
            <v/>
          </cell>
          <cell r="AJ2531">
            <v>1</v>
          </cell>
          <cell r="AK2531">
            <v>0</v>
          </cell>
          <cell r="AL2531"/>
          <cell r="AM2531"/>
          <cell r="AN2531">
            <v>8772157</v>
          </cell>
          <cell r="AO2531">
            <v>0</v>
          </cell>
          <cell r="AP2531"/>
          <cell r="AQ2531"/>
          <cell r="AR2531"/>
          <cell r="AS2531">
            <v>25</v>
          </cell>
          <cell r="AT2531"/>
          <cell r="AU2531" t="str">
            <v>CH</v>
          </cell>
          <cell r="AV2531"/>
        </row>
        <row r="2532">
          <cell r="Z2532">
            <v>8712158</v>
          </cell>
          <cell r="AA2532" t="str">
            <v>String Stab
2-7/8" PH6 Pin x 2-7/8" PH6 Box</v>
          </cell>
          <cell r="AB2532">
            <v>0</v>
          </cell>
          <cell r="AC2532">
            <v>4</v>
          </cell>
          <cell r="AD2532">
            <v>1775</v>
          </cell>
          <cell r="AE2532" t="str">
            <v>2-7/8" PH6 Box</v>
          </cell>
          <cell r="AF2532" t="str">
            <v>2-7/8" PH6 Pin</v>
          </cell>
          <cell r="AG2532" t="str">
            <v>BLANK</v>
          </cell>
          <cell r="AH2532" t="str">
            <v>sur chantier</v>
          </cell>
          <cell r="AI2532" t="str">
            <v/>
          </cell>
          <cell r="AJ2532">
            <v>1</v>
          </cell>
          <cell r="AK2532">
            <v>0</v>
          </cell>
          <cell r="AL2532"/>
          <cell r="AM2532"/>
          <cell r="AN2532">
            <v>8712158</v>
          </cell>
          <cell r="AO2532"/>
          <cell r="AP2532"/>
          <cell r="AQ2532"/>
          <cell r="AR2532"/>
          <cell r="AS2532">
            <v>7</v>
          </cell>
          <cell r="AT2532" t="str">
            <v>811-</v>
          </cell>
          <cell r="AU2532" t="str">
            <v>CH</v>
          </cell>
          <cell r="AV2532"/>
        </row>
        <row r="2533">
          <cell r="Z2533">
            <v>8712159</v>
          </cell>
          <cell r="AA2533" t="str">
            <v>String Stab
2-7/8" PH6 Pin x 2-7/8" PH6 Box</v>
          </cell>
          <cell r="AB2533">
            <v>0</v>
          </cell>
          <cell r="AC2533">
            <v>4</v>
          </cell>
          <cell r="AD2533">
            <v>1775</v>
          </cell>
          <cell r="AE2533" t="str">
            <v>2-7/8" PH6 Box</v>
          </cell>
          <cell r="AF2533" t="str">
            <v>2-7/8" PH6 Pin</v>
          </cell>
          <cell r="AG2533" t="str">
            <v>BLANK</v>
          </cell>
          <cell r="AH2533" t="str">
            <v>sur chantier</v>
          </cell>
          <cell r="AI2533" t="str">
            <v/>
          </cell>
          <cell r="AJ2533">
            <v>1</v>
          </cell>
          <cell r="AK2533">
            <v>0</v>
          </cell>
          <cell r="AL2533"/>
          <cell r="AM2533"/>
          <cell r="AN2533">
            <v>8712159</v>
          </cell>
          <cell r="AO2533"/>
          <cell r="AP2533"/>
          <cell r="AQ2533"/>
          <cell r="AR2533"/>
          <cell r="AS2533">
            <v>8</v>
          </cell>
          <cell r="AT2533" t="str">
            <v>811-</v>
          </cell>
          <cell r="AU2533" t="str">
            <v>CH</v>
          </cell>
          <cell r="AV2533"/>
        </row>
        <row r="2534">
          <cell r="Z2534" t="str">
            <v>6082160M</v>
          </cell>
          <cell r="AA2534" t="str">
            <v>NMDC 3-1/2" for MWD
2-7/8" PH-6 Pin x Box</v>
          </cell>
          <cell r="AB2534">
            <v>259.22705614162498</v>
          </cell>
          <cell r="AC2534">
            <v>3.5</v>
          </cell>
          <cell r="AD2534">
            <v>9130</v>
          </cell>
          <cell r="AE2534" t="str">
            <v>2-7/8" PH-6 Box</v>
          </cell>
          <cell r="AF2534" t="str">
            <v>2-7/8" PH-6 Pin</v>
          </cell>
          <cell r="AG2534"/>
          <cell r="AH2534" t="str">
            <v>sur chantier</v>
          </cell>
          <cell r="AI2534" t="str">
            <v/>
          </cell>
          <cell r="AJ2534">
            <v>1</v>
          </cell>
          <cell r="AK2534">
            <v>0</v>
          </cell>
          <cell r="AL2534"/>
          <cell r="AM2534"/>
          <cell r="AN2534">
            <v>6082160</v>
          </cell>
          <cell r="AO2534"/>
          <cell r="AP2534"/>
          <cell r="AQ2534"/>
          <cell r="AR2534"/>
          <cell r="AS2534">
            <v>9</v>
          </cell>
          <cell r="AT2534"/>
          <cell r="AU2534" t="str">
            <v>CH</v>
          </cell>
          <cell r="AV2534"/>
        </row>
        <row r="2535">
          <cell r="Z2535" t="str">
            <v>6082161M</v>
          </cell>
          <cell r="AA2535" t="str">
            <v>NMDC 3-1/2" for MWD
2-7/8" PH-6 Pin x Box</v>
          </cell>
          <cell r="AB2535">
            <v>259.22705614162498</v>
          </cell>
          <cell r="AC2535">
            <v>3.5</v>
          </cell>
          <cell r="AD2535">
            <v>9130</v>
          </cell>
          <cell r="AE2535" t="str">
            <v>2-7/8" PH-6 Box</v>
          </cell>
          <cell r="AF2535" t="str">
            <v>2-7/8" PH-6 Pin</v>
          </cell>
          <cell r="AG2535"/>
          <cell r="AH2535" t="str">
            <v>maintenance</v>
          </cell>
          <cell r="AI2535" t="str">
            <v/>
          </cell>
          <cell r="AJ2535">
            <v>0</v>
          </cell>
          <cell r="AK2535">
            <v>1</v>
          </cell>
          <cell r="AL2535"/>
          <cell r="AM2535"/>
          <cell r="AN2535">
            <v>6082161</v>
          </cell>
          <cell r="AO2535"/>
          <cell r="AP2535"/>
          <cell r="AQ2535"/>
          <cell r="AR2535"/>
          <cell r="AS2535">
            <v>10</v>
          </cell>
          <cell r="AT2535"/>
          <cell r="AU2535" t="str">
            <v>CH</v>
          </cell>
          <cell r="AV2535"/>
        </row>
        <row r="2536">
          <cell r="Z2536">
            <v>8072162</v>
          </cell>
          <cell r="AA2536" t="str">
            <v>Drill Pipe 2-3/8" OD Range 2
2-3/8" IF Pin x Box</v>
          </cell>
          <cell r="AB2536">
            <v>6.65</v>
          </cell>
          <cell r="AC2536">
            <v>2.375</v>
          </cell>
          <cell r="AD2536" t="str">
            <v>R2</v>
          </cell>
          <cell r="AE2536" t="str">
            <v>2-3/8" IF Box</v>
          </cell>
          <cell r="AF2536" t="str">
            <v>2-3/8" IF Pin</v>
          </cell>
          <cell r="AG2536"/>
          <cell r="AH2536" t="str">
            <v>maintenance</v>
          </cell>
          <cell r="AI2536">
            <v>0</v>
          </cell>
          <cell r="AJ2536">
            <v>0</v>
          </cell>
          <cell r="AK2536" t="str">
            <v>F</v>
          </cell>
          <cell r="AL2536"/>
          <cell r="AM2536"/>
          <cell r="AN2536" t="str">
            <v/>
          </cell>
          <cell r="AO2536">
            <v>0</v>
          </cell>
          <cell r="AP2536"/>
          <cell r="AQ2536"/>
          <cell r="AR2536"/>
          <cell r="AS2536">
            <v>6</v>
          </cell>
          <cell r="AT2536"/>
          <cell r="AU2536" t="str">
            <v>CH</v>
          </cell>
          <cell r="AV2536"/>
        </row>
        <row r="2537">
          <cell r="Z2537">
            <v>8072163</v>
          </cell>
          <cell r="AA2537" t="str">
            <v>Drill Pipe 2-3/8" OD Range 2
2-3/8" IF Pin x Box</v>
          </cell>
          <cell r="AB2537">
            <v>6.65</v>
          </cell>
          <cell r="AC2537">
            <v>2.375</v>
          </cell>
          <cell r="AD2537" t="str">
            <v>R2</v>
          </cell>
          <cell r="AE2537" t="str">
            <v>2-3/8" IF Box</v>
          </cell>
          <cell r="AF2537" t="str">
            <v>2-3/8" IF Pin</v>
          </cell>
          <cell r="AG2537"/>
          <cell r="AH2537" t="str">
            <v>Fabrication en cours</v>
          </cell>
          <cell r="AI2537">
            <v>0</v>
          </cell>
          <cell r="AJ2537">
            <v>0</v>
          </cell>
          <cell r="AK2537" t="str">
            <v>F</v>
          </cell>
          <cell r="AL2537"/>
          <cell r="AM2537"/>
          <cell r="AN2537" t="str">
            <v/>
          </cell>
          <cell r="AO2537">
            <v>0</v>
          </cell>
          <cell r="AP2537"/>
          <cell r="AQ2537"/>
          <cell r="AR2537"/>
          <cell r="AS2537">
            <v>7</v>
          </cell>
          <cell r="AT2537"/>
          <cell r="AU2537" t="str">
            <v>CH</v>
          </cell>
          <cell r="AV2537"/>
        </row>
        <row r="2538">
          <cell r="Z2538">
            <v>8072164</v>
          </cell>
          <cell r="AA2538" t="str">
            <v>Drill Pipe 2-3/8" OD Range 2
2-3/8" IF Pin x Box</v>
          </cell>
          <cell r="AB2538">
            <v>6.65</v>
          </cell>
          <cell r="AC2538">
            <v>2.375</v>
          </cell>
          <cell r="AD2538" t="str">
            <v>R2</v>
          </cell>
          <cell r="AE2538" t="str">
            <v>2-3/8" IF Box</v>
          </cell>
          <cell r="AF2538" t="str">
            <v>2-3/8" IF Pin</v>
          </cell>
          <cell r="AG2538"/>
          <cell r="AH2538" t="str">
            <v>Fabrication en cours</v>
          </cell>
          <cell r="AI2538">
            <v>0</v>
          </cell>
          <cell r="AJ2538">
            <v>0</v>
          </cell>
          <cell r="AK2538" t="str">
            <v>F</v>
          </cell>
          <cell r="AL2538"/>
          <cell r="AM2538"/>
          <cell r="AN2538" t="str">
            <v/>
          </cell>
          <cell r="AO2538">
            <v>0</v>
          </cell>
          <cell r="AP2538"/>
          <cell r="AQ2538"/>
          <cell r="AR2538"/>
          <cell r="AS2538">
            <v>8</v>
          </cell>
          <cell r="AT2538"/>
          <cell r="AU2538" t="str">
            <v>CH</v>
          </cell>
          <cell r="AV2538"/>
        </row>
        <row r="2539">
          <cell r="Z2539">
            <v>8072165</v>
          </cell>
          <cell r="AA2539" t="str">
            <v>Drill Pipe 2-3/8" OD Range 2
2-3/8" IF Pin x Box</v>
          </cell>
          <cell r="AB2539">
            <v>6.65</v>
          </cell>
          <cell r="AC2539">
            <v>2.375</v>
          </cell>
          <cell r="AD2539" t="str">
            <v>R2</v>
          </cell>
          <cell r="AE2539" t="str">
            <v>2-3/8" IF Box</v>
          </cell>
          <cell r="AF2539" t="str">
            <v>2-3/8" IF Pin</v>
          </cell>
          <cell r="AG2539"/>
          <cell r="AH2539" t="str">
            <v>Fabrication en cours</v>
          </cell>
          <cell r="AI2539">
            <v>0</v>
          </cell>
          <cell r="AJ2539">
            <v>0</v>
          </cell>
          <cell r="AK2539" t="str">
            <v>F</v>
          </cell>
          <cell r="AL2539"/>
          <cell r="AM2539"/>
          <cell r="AN2539" t="str">
            <v/>
          </cell>
          <cell r="AO2539">
            <v>0</v>
          </cell>
          <cell r="AP2539"/>
          <cell r="AQ2539"/>
          <cell r="AR2539"/>
          <cell r="AS2539">
            <v>9</v>
          </cell>
          <cell r="AT2539"/>
          <cell r="AU2539" t="str">
            <v>CH</v>
          </cell>
          <cell r="AV2539"/>
        </row>
        <row r="2540">
          <cell r="Z2540">
            <v>8072166</v>
          </cell>
          <cell r="AA2540" t="str">
            <v>Drill Pipe 3-1/2" OD Range 2
3-1/2" IF Pin x Box</v>
          </cell>
          <cell r="AB2540">
            <v>15.5</v>
          </cell>
          <cell r="AC2540">
            <v>3.5</v>
          </cell>
          <cell r="AD2540" t="str">
            <v>R2</v>
          </cell>
          <cell r="AE2540" t="str">
            <v>3-1/2" IF Box</v>
          </cell>
          <cell r="AF2540" t="str">
            <v>3-1/2" IF Pin</v>
          </cell>
          <cell r="AG2540"/>
          <cell r="AH2540" t="str">
            <v>Fabrication en cours</v>
          </cell>
          <cell r="AI2540">
            <v>0</v>
          </cell>
          <cell r="AJ2540">
            <v>0</v>
          </cell>
          <cell r="AK2540" t="str">
            <v>F</v>
          </cell>
          <cell r="AL2540"/>
          <cell r="AM2540"/>
          <cell r="AN2540" t="str">
            <v/>
          </cell>
          <cell r="AO2540">
            <v>0</v>
          </cell>
          <cell r="AP2540"/>
          <cell r="AQ2540"/>
          <cell r="AR2540"/>
          <cell r="AS2540">
            <v>14</v>
          </cell>
          <cell r="AT2540"/>
          <cell r="AU2540" t="str">
            <v>CH</v>
          </cell>
          <cell r="AV2540"/>
        </row>
        <row r="2541">
          <cell r="Z2541">
            <v>8072167</v>
          </cell>
          <cell r="AA2541" t="str">
            <v>Drill Pipe 3-1/2" OD Range 2
3-1/2" IF Pin x Box</v>
          </cell>
          <cell r="AB2541">
            <v>15.5</v>
          </cell>
          <cell r="AC2541">
            <v>3.5</v>
          </cell>
          <cell r="AD2541" t="str">
            <v>R2</v>
          </cell>
          <cell r="AE2541" t="str">
            <v>3-1/2" IF Box</v>
          </cell>
          <cell r="AF2541" t="str">
            <v>3-1/2" IF Pin</v>
          </cell>
          <cell r="AG2541"/>
          <cell r="AH2541" t="str">
            <v>Fabrication en cours</v>
          </cell>
          <cell r="AI2541">
            <v>0</v>
          </cell>
          <cell r="AJ2541">
            <v>0</v>
          </cell>
          <cell r="AK2541" t="str">
            <v>F</v>
          </cell>
          <cell r="AL2541"/>
          <cell r="AM2541"/>
          <cell r="AN2541" t="str">
            <v/>
          </cell>
          <cell r="AO2541">
            <v>0</v>
          </cell>
          <cell r="AP2541"/>
          <cell r="AQ2541"/>
          <cell r="AR2541"/>
          <cell r="AS2541">
            <v>15</v>
          </cell>
          <cell r="AT2541"/>
          <cell r="AU2541" t="str">
            <v>CH</v>
          </cell>
          <cell r="AV2541"/>
        </row>
        <row r="2542">
          <cell r="Z2542">
            <v>8072168</v>
          </cell>
          <cell r="AA2542" t="str">
            <v>Drill Pipe 3-1/2" OD Range 2
3-1/2" IF Pin x Box</v>
          </cell>
          <cell r="AB2542">
            <v>15.5</v>
          </cell>
          <cell r="AC2542">
            <v>3.5</v>
          </cell>
          <cell r="AD2542" t="str">
            <v>R2</v>
          </cell>
          <cell r="AE2542" t="str">
            <v>3-1/2" IF Box</v>
          </cell>
          <cell r="AF2542" t="str">
            <v>3-1/2" IF Pin</v>
          </cell>
          <cell r="AG2542"/>
          <cell r="AH2542" t="str">
            <v>Fabrication en cours</v>
          </cell>
          <cell r="AI2542">
            <v>0</v>
          </cell>
          <cell r="AJ2542">
            <v>0</v>
          </cell>
          <cell r="AK2542" t="str">
            <v>F</v>
          </cell>
          <cell r="AL2542"/>
          <cell r="AM2542"/>
          <cell r="AN2542" t="str">
            <v/>
          </cell>
          <cell r="AO2542">
            <v>0</v>
          </cell>
          <cell r="AP2542"/>
          <cell r="AQ2542"/>
          <cell r="AR2542"/>
          <cell r="AS2542">
            <v>16</v>
          </cell>
          <cell r="AT2542"/>
          <cell r="AU2542" t="str">
            <v>CH</v>
          </cell>
          <cell r="AV2542"/>
        </row>
        <row r="2543">
          <cell r="Z2543">
            <v>8072169</v>
          </cell>
          <cell r="AA2543" t="str">
            <v>Drill Pipe 3-1/2" OD Range 2
3-1/2" IF Pin x Box</v>
          </cell>
          <cell r="AB2543">
            <v>15.5</v>
          </cell>
          <cell r="AC2543">
            <v>3.5</v>
          </cell>
          <cell r="AD2543" t="str">
            <v>R2</v>
          </cell>
          <cell r="AE2543" t="str">
            <v>3-1/2" IF Box</v>
          </cell>
          <cell r="AF2543" t="str">
            <v>3-1/2" IF Pin</v>
          </cell>
          <cell r="AG2543"/>
          <cell r="AH2543" t="str">
            <v>Fabrication en cours</v>
          </cell>
          <cell r="AI2543">
            <v>0</v>
          </cell>
          <cell r="AJ2543">
            <v>0</v>
          </cell>
          <cell r="AK2543" t="str">
            <v>F</v>
          </cell>
          <cell r="AL2543"/>
          <cell r="AM2543"/>
          <cell r="AN2543" t="str">
            <v/>
          </cell>
          <cell r="AO2543">
            <v>0</v>
          </cell>
          <cell r="AP2543"/>
          <cell r="AQ2543"/>
          <cell r="AR2543"/>
          <cell r="AS2543">
            <v>17</v>
          </cell>
          <cell r="AT2543"/>
          <cell r="AU2543" t="str">
            <v>CH</v>
          </cell>
          <cell r="AV2543"/>
        </row>
        <row r="2544">
          <cell r="Z2544">
            <v>5162170</v>
          </cell>
          <cell r="AA2544" t="str">
            <v>WO Lift Sub for 5" DP 18"
10-3/4" FJWP Pin</v>
          </cell>
          <cell r="AB2544">
            <v>0</v>
          </cell>
          <cell r="AC2544">
            <v>10.75</v>
          </cell>
          <cell r="AD2544">
            <v>1120</v>
          </cell>
          <cell r="AE2544" t="str">
            <v>10-3/4" FJWP Pin</v>
          </cell>
          <cell r="AF2544"/>
          <cell r="AG2544" t="str">
            <v>5" DP 18"</v>
          </cell>
          <cell r="AH2544" t="str">
            <v xml:space="preserve"> en stock </v>
          </cell>
          <cell r="AI2544">
            <v>1</v>
          </cell>
          <cell r="AJ2544">
            <v>0</v>
          </cell>
          <cell r="AK2544">
            <v>0</v>
          </cell>
          <cell r="AL2544"/>
          <cell r="AM2544"/>
          <cell r="AN2544">
            <v>5162170</v>
          </cell>
          <cell r="AO2544"/>
          <cell r="AP2544"/>
          <cell r="AQ2544"/>
          <cell r="AR2544"/>
          <cell r="AS2544">
            <v>18</v>
          </cell>
          <cell r="AT2544" t="str">
            <v>516-10,750FJWP</v>
          </cell>
          <cell r="AU2544" t="str">
            <v>FR</v>
          </cell>
          <cell r="AV2544"/>
        </row>
        <row r="2545">
          <cell r="Z2545">
            <v>5112171</v>
          </cell>
          <cell r="AA2545" t="str">
            <v>WO Shoe
11-3/4" FJWP Box</v>
          </cell>
          <cell r="AB2545">
            <v>0</v>
          </cell>
          <cell r="AC2545">
            <v>12</v>
          </cell>
          <cell r="AD2545">
            <v>770</v>
          </cell>
          <cell r="AE2545" t="str">
            <v>11-3/4" FJWP Box</v>
          </cell>
          <cell r="AF2545"/>
          <cell r="AG2545" t="str">
            <v>CC</v>
          </cell>
          <cell r="AH2545" t="str">
            <v xml:space="preserve"> en stock </v>
          </cell>
          <cell r="AI2545">
            <v>1</v>
          </cell>
          <cell r="AJ2545">
            <v>0</v>
          </cell>
          <cell r="AK2545">
            <v>0</v>
          </cell>
          <cell r="AL2545"/>
          <cell r="AM2545"/>
          <cell r="AN2545" t="str">
            <v/>
          </cell>
          <cell r="AO2545"/>
          <cell r="AP2545"/>
          <cell r="AQ2545"/>
          <cell r="AR2545"/>
          <cell r="AS2545">
            <v>222</v>
          </cell>
          <cell r="AT2545"/>
          <cell r="AU2545" t="str">
            <v>FR</v>
          </cell>
          <cell r="AV2545"/>
        </row>
        <row r="2546">
          <cell r="Z2546">
            <v>6092172</v>
          </cell>
          <cell r="AA2546" t="str">
            <v>Whipstock Hydraulic 9-5/8"</v>
          </cell>
          <cell r="AB2546"/>
          <cell r="AC2546"/>
          <cell r="AD2546"/>
          <cell r="AE2546"/>
          <cell r="AF2546"/>
          <cell r="AG2546"/>
          <cell r="AH2546" t="str">
            <v xml:space="preserve"> en stock </v>
          </cell>
          <cell r="AI2546">
            <v>1</v>
          </cell>
          <cell r="AJ2546">
            <v>0</v>
          </cell>
          <cell r="AK2546">
            <v>0</v>
          </cell>
          <cell r="AL2546"/>
          <cell r="AM2546"/>
          <cell r="AN2546"/>
          <cell r="AO2546"/>
          <cell r="AP2546"/>
          <cell r="AQ2546"/>
          <cell r="AR2546"/>
          <cell r="AS2546">
            <v>7</v>
          </cell>
          <cell r="AT2546"/>
          <cell r="AU2546" t="str">
            <v/>
          </cell>
          <cell r="AV2546"/>
        </row>
        <row r="2547">
          <cell r="Z2547">
            <v>6092173</v>
          </cell>
          <cell r="AA2547" t="str">
            <v>Whipstock Hydraulic 9-5/8"</v>
          </cell>
          <cell r="AB2547"/>
          <cell r="AC2547"/>
          <cell r="AD2547"/>
          <cell r="AE2547"/>
          <cell r="AF2547"/>
          <cell r="AG2547"/>
          <cell r="AH2547" t="str">
            <v xml:space="preserve"> en stock </v>
          </cell>
          <cell r="AI2547">
            <v>1</v>
          </cell>
          <cell r="AJ2547">
            <v>0</v>
          </cell>
          <cell r="AK2547">
            <v>0</v>
          </cell>
          <cell r="AL2547"/>
          <cell r="AM2547"/>
          <cell r="AN2547"/>
          <cell r="AO2547"/>
          <cell r="AP2547"/>
          <cell r="AQ2547"/>
          <cell r="AR2547"/>
          <cell r="AS2547">
            <v>8</v>
          </cell>
          <cell r="AT2547"/>
          <cell r="AU2547" t="str">
            <v/>
          </cell>
          <cell r="AV2547"/>
        </row>
        <row r="2548">
          <cell r="Z2548">
            <v>6092174</v>
          </cell>
          <cell r="AA2548" t="str">
            <v>Whipstock Hydraulic 9-5/8"</v>
          </cell>
          <cell r="AB2548"/>
          <cell r="AC2548"/>
          <cell r="AD2548"/>
          <cell r="AE2548"/>
          <cell r="AF2548"/>
          <cell r="AG2548"/>
          <cell r="AH2548" t="str">
            <v xml:space="preserve"> en stock </v>
          </cell>
          <cell r="AI2548">
            <v>1</v>
          </cell>
          <cell r="AJ2548">
            <v>0</v>
          </cell>
          <cell r="AK2548">
            <v>0</v>
          </cell>
          <cell r="AL2548"/>
          <cell r="AM2548"/>
          <cell r="AN2548"/>
          <cell r="AO2548"/>
          <cell r="AP2548"/>
          <cell r="AQ2548"/>
          <cell r="AR2548"/>
          <cell r="AS2548">
            <v>9</v>
          </cell>
          <cell r="AT2548"/>
          <cell r="AU2548" t="str">
            <v/>
          </cell>
          <cell r="AV2548"/>
        </row>
        <row r="2549">
          <cell r="Z2549">
            <v>6092175</v>
          </cell>
          <cell r="AA2549" t="str">
            <v>Whipstock Hydraulic 7"</v>
          </cell>
          <cell r="AB2549"/>
          <cell r="AC2549"/>
          <cell r="AD2549"/>
          <cell r="AE2549"/>
          <cell r="AF2549"/>
          <cell r="AG2549"/>
          <cell r="AH2549" t="str">
            <v xml:space="preserve"> en stock </v>
          </cell>
          <cell r="AI2549">
            <v>1</v>
          </cell>
          <cell r="AJ2549">
            <v>0</v>
          </cell>
          <cell r="AK2549">
            <v>0</v>
          </cell>
          <cell r="AL2549"/>
          <cell r="AM2549"/>
          <cell r="AN2549"/>
          <cell r="AO2549"/>
          <cell r="AP2549"/>
          <cell r="AQ2549"/>
          <cell r="AR2549"/>
          <cell r="AS2549">
            <v>5</v>
          </cell>
          <cell r="AT2549"/>
          <cell r="AU2549" t="str">
            <v/>
          </cell>
          <cell r="AV2549"/>
        </row>
        <row r="2550">
          <cell r="Z2550">
            <v>6092176</v>
          </cell>
          <cell r="AA2550" t="str">
            <v>Whipstock Hydraulic 7"</v>
          </cell>
          <cell r="AB2550"/>
          <cell r="AC2550"/>
          <cell r="AD2550"/>
          <cell r="AE2550"/>
          <cell r="AF2550"/>
          <cell r="AG2550"/>
          <cell r="AH2550" t="str">
            <v xml:space="preserve"> en stock </v>
          </cell>
          <cell r="AI2550">
            <v>1</v>
          </cell>
          <cell r="AJ2550">
            <v>0</v>
          </cell>
          <cell r="AK2550">
            <v>0</v>
          </cell>
          <cell r="AL2550"/>
          <cell r="AM2550"/>
          <cell r="AN2550"/>
          <cell r="AO2550"/>
          <cell r="AP2550"/>
          <cell r="AQ2550"/>
          <cell r="AR2550"/>
          <cell r="AS2550">
            <v>6</v>
          </cell>
          <cell r="AT2550"/>
          <cell r="AU2550" t="str">
            <v/>
          </cell>
          <cell r="AV2550"/>
        </row>
        <row r="2551">
          <cell r="Z2551">
            <v>6102177</v>
          </cell>
          <cell r="AA2551" t="str">
            <v>Secondary Mill 13-3/8"</v>
          </cell>
          <cell r="AB2551"/>
          <cell r="AC2551"/>
          <cell r="AD2551"/>
          <cell r="AE2551"/>
          <cell r="AF2551"/>
          <cell r="AG2551"/>
          <cell r="AH2551" t="str">
            <v xml:space="preserve"> en stock </v>
          </cell>
          <cell r="AI2551">
            <v>1</v>
          </cell>
          <cell r="AJ2551">
            <v>0</v>
          </cell>
          <cell r="AK2551">
            <v>0</v>
          </cell>
          <cell r="AL2551"/>
          <cell r="AM2551"/>
          <cell r="AN2551"/>
          <cell r="AO2551"/>
          <cell r="AP2551"/>
          <cell r="AQ2551"/>
          <cell r="AR2551"/>
          <cell r="AS2551">
            <v>24</v>
          </cell>
          <cell r="AT2551"/>
          <cell r="AU2551" t="str">
            <v/>
          </cell>
          <cell r="AV2551"/>
        </row>
        <row r="2552">
          <cell r="Z2552">
            <v>6102178</v>
          </cell>
          <cell r="AA2552" t="str">
            <v xml:space="preserve">Secondary Mill 13-3/8" </v>
          </cell>
          <cell r="AB2552"/>
          <cell r="AC2552"/>
          <cell r="AD2552"/>
          <cell r="AE2552"/>
          <cell r="AF2552"/>
          <cell r="AG2552"/>
          <cell r="AH2552" t="str">
            <v xml:space="preserve"> en stock </v>
          </cell>
          <cell r="AI2552">
            <v>1</v>
          </cell>
          <cell r="AJ2552">
            <v>0</v>
          </cell>
          <cell r="AK2552">
            <v>0</v>
          </cell>
          <cell r="AL2552"/>
          <cell r="AM2552"/>
          <cell r="AN2552"/>
          <cell r="AO2552"/>
          <cell r="AP2552"/>
          <cell r="AQ2552"/>
          <cell r="AR2552"/>
          <cell r="AS2552">
            <v>25</v>
          </cell>
          <cell r="AT2552"/>
          <cell r="AU2552" t="str">
            <v/>
          </cell>
          <cell r="AV2552"/>
        </row>
        <row r="2553">
          <cell r="Z2553">
            <v>6102179</v>
          </cell>
          <cell r="AA2553" t="str">
            <v>Secondary Mill 13-3/8"</v>
          </cell>
          <cell r="AB2553"/>
          <cell r="AC2553"/>
          <cell r="AD2553"/>
          <cell r="AE2553"/>
          <cell r="AF2553"/>
          <cell r="AG2553"/>
          <cell r="AH2553" t="str">
            <v xml:space="preserve"> en stock </v>
          </cell>
          <cell r="AI2553">
            <v>1</v>
          </cell>
          <cell r="AJ2553">
            <v>0</v>
          </cell>
          <cell r="AK2553">
            <v>0</v>
          </cell>
          <cell r="AL2553"/>
          <cell r="AM2553"/>
          <cell r="AN2553"/>
          <cell r="AO2553"/>
          <cell r="AP2553"/>
          <cell r="AQ2553"/>
          <cell r="AR2553"/>
          <cell r="AS2553">
            <v>26</v>
          </cell>
          <cell r="AT2553"/>
          <cell r="AU2553" t="str">
            <v/>
          </cell>
          <cell r="AV2553"/>
        </row>
        <row r="2554">
          <cell r="Z2554">
            <v>6102180</v>
          </cell>
          <cell r="AA2554" t="str">
            <v xml:space="preserve">Steering Mill 9-5/8" </v>
          </cell>
          <cell r="AB2554"/>
          <cell r="AC2554"/>
          <cell r="AD2554"/>
          <cell r="AE2554"/>
          <cell r="AF2554"/>
          <cell r="AG2554"/>
          <cell r="AH2554" t="str">
            <v xml:space="preserve"> en stock </v>
          </cell>
          <cell r="AI2554">
            <v>1</v>
          </cell>
          <cell r="AJ2554">
            <v>0</v>
          </cell>
          <cell r="AK2554">
            <v>0</v>
          </cell>
          <cell r="AL2554"/>
          <cell r="AM2554"/>
          <cell r="AN2554"/>
          <cell r="AO2554"/>
          <cell r="AP2554"/>
          <cell r="AQ2554"/>
          <cell r="AR2554"/>
          <cell r="AS2554">
            <v>15</v>
          </cell>
          <cell r="AT2554"/>
          <cell r="AU2554" t="str">
            <v/>
          </cell>
          <cell r="AV2554"/>
        </row>
        <row r="2555">
          <cell r="Z2555">
            <v>6102181</v>
          </cell>
          <cell r="AA2555" t="str">
            <v>Steering Mill 9-5/8"</v>
          </cell>
          <cell r="AB2555"/>
          <cell r="AC2555"/>
          <cell r="AD2555"/>
          <cell r="AE2555"/>
          <cell r="AF2555"/>
          <cell r="AG2555"/>
          <cell r="AH2555" t="str">
            <v xml:space="preserve"> en stock </v>
          </cell>
          <cell r="AI2555">
            <v>1</v>
          </cell>
          <cell r="AJ2555">
            <v>0</v>
          </cell>
          <cell r="AK2555">
            <v>0</v>
          </cell>
          <cell r="AL2555"/>
          <cell r="AM2555"/>
          <cell r="AN2555"/>
          <cell r="AO2555"/>
          <cell r="AP2555"/>
          <cell r="AQ2555"/>
          <cell r="AR2555"/>
          <cell r="AS2555">
            <v>16</v>
          </cell>
          <cell r="AT2555"/>
          <cell r="AU2555" t="str">
            <v/>
          </cell>
          <cell r="AV2555"/>
        </row>
        <row r="2556">
          <cell r="Z2556">
            <v>6102182</v>
          </cell>
          <cell r="AA2556" t="str">
            <v>Steering Mill 13-3/8"</v>
          </cell>
          <cell r="AB2556"/>
          <cell r="AC2556"/>
          <cell r="AD2556"/>
          <cell r="AE2556"/>
          <cell r="AF2556"/>
          <cell r="AG2556"/>
          <cell r="AH2556" t="str">
            <v xml:space="preserve"> en stock </v>
          </cell>
          <cell r="AI2556">
            <v>1</v>
          </cell>
          <cell r="AJ2556">
            <v>0</v>
          </cell>
          <cell r="AK2556">
            <v>0</v>
          </cell>
          <cell r="AL2556"/>
          <cell r="AM2556"/>
          <cell r="AN2556"/>
          <cell r="AO2556"/>
          <cell r="AP2556"/>
          <cell r="AQ2556"/>
          <cell r="AR2556"/>
          <cell r="AS2556">
            <v>17</v>
          </cell>
          <cell r="AT2556"/>
          <cell r="AU2556" t="str">
            <v/>
          </cell>
          <cell r="AV2556"/>
        </row>
        <row r="2557">
          <cell r="Z2557">
            <v>6102183</v>
          </cell>
          <cell r="AA2557" t="str">
            <v>Steering Mill 13-3/8"</v>
          </cell>
          <cell r="AB2557"/>
          <cell r="AC2557"/>
          <cell r="AD2557"/>
          <cell r="AE2557"/>
          <cell r="AF2557"/>
          <cell r="AG2557"/>
          <cell r="AH2557" t="str">
            <v xml:space="preserve"> en stock </v>
          </cell>
          <cell r="AI2557">
            <v>1</v>
          </cell>
          <cell r="AJ2557">
            <v>0</v>
          </cell>
          <cell r="AK2557">
            <v>0</v>
          </cell>
          <cell r="AL2557"/>
          <cell r="AM2557"/>
          <cell r="AN2557"/>
          <cell r="AO2557"/>
          <cell r="AP2557"/>
          <cell r="AQ2557"/>
          <cell r="AR2557"/>
          <cell r="AS2557">
            <v>18</v>
          </cell>
          <cell r="AT2557"/>
          <cell r="AU2557" t="str">
            <v/>
          </cell>
          <cell r="AV2557"/>
        </row>
        <row r="2558">
          <cell r="Z2558">
            <v>7052184</v>
          </cell>
          <cell r="AA2558" t="str">
            <v>Extension 7-7/8" SH Lg 0mm CA C5222
7-7/8" SH Sellers Pin x Box</v>
          </cell>
          <cell r="AB2558">
            <v>0</v>
          </cell>
          <cell r="AC2558" t="str">
            <v>7-7/8" SH</v>
          </cell>
          <cell r="AD2558">
            <v>0</v>
          </cell>
          <cell r="AE2558" t="str">
            <v>7-7/8" SH Sellers Box</v>
          </cell>
          <cell r="AF2558" t="str">
            <v>7-7/8" SH Sellers Pin</v>
          </cell>
          <cell r="AG2558" t="str">
            <v>C5222</v>
          </cell>
          <cell r="AH2558" t="str">
            <v xml:space="preserve"> en stock </v>
          </cell>
          <cell r="AI2558">
            <v>1</v>
          </cell>
          <cell r="AJ2558">
            <v>0</v>
          </cell>
          <cell r="AK2558">
            <v>0</v>
          </cell>
          <cell r="AL2558"/>
          <cell r="AM2558"/>
          <cell r="AN2558" t="str">
            <v/>
          </cell>
          <cell r="AO2558"/>
          <cell r="AP2558"/>
          <cell r="AQ2558"/>
          <cell r="AR2558"/>
          <cell r="AS2558">
            <v>39</v>
          </cell>
          <cell r="AT2558" t="str">
            <v>705-5222</v>
          </cell>
          <cell r="AU2558" t="str">
            <v/>
          </cell>
          <cell r="AV2558"/>
        </row>
        <row r="2559">
          <cell r="Z2559">
            <v>7052185</v>
          </cell>
          <cell r="AA2559" t="str">
            <v>Extension 10-5/8" FS Lg 0mm CA C5321
10-5/8" FS Sellers Pin x Box</v>
          </cell>
          <cell r="AB2559">
            <v>0</v>
          </cell>
          <cell r="AC2559" t="str">
            <v>10-5/8" FS</v>
          </cell>
          <cell r="AD2559">
            <v>0</v>
          </cell>
          <cell r="AE2559" t="str">
            <v>10-5/8" FS Sellers Box</v>
          </cell>
          <cell r="AF2559" t="str">
            <v>10-5/8" FS Sellers Pin</v>
          </cell>
          <cell r="AG2559" t="str">
            <v>C5321</v>
          </cell>
          <cell r="AH2559" t="str">
            <v xml:space="preserve"> en stock </v>
          </cell>
          <cell r="AI2559">
            <v>1</v>
          </cell>
          <cell r="AJ2559">
            <v>0</v>
          </cell>
          <cell r="AK2559">
            <v>0</v>
          </cell>
          <cell r="AL2559"/>
          <cell r="AM2559"/>
          <cell r="AN2559" t="str">
            <v/>
          </cell>
          <cell r="AO2559"/>
          <cell r="AP2559"/>
          <cell r="AQ2559"/>
          <cell r="AR2559"/>
          <cell r="AS2559">
            <v>65</v>
          </cell>
          <cell r="AT2559" t="str">
            <v>705-5321</v>
          </cell>
          <cell r="AU2559" t="str">
            <v/>
          </cell>
          <cell r="AV2559"/>
        </row>
        <row r="2560">
          <cell r="Z2560">
            <v>5072186</v>
          </cell>
          <cell r="AA2560" t="str">
            <v>Super Junk Mill 
6-5/8" REG Pin</v>
          </cell>
          <cell r="AB2560">
            <v>166</v>
          </cell>
          <cell r="AC2560">
            <v>12</v>
          </cell>
          <cell r="AD2560">
            <v>530</v>
          </cell>
          <cell r="AE2560" t="str">
            <v>6-5/8" REG Pin</v>
          </cell>
          <cell r="AF2560"/>
          <cell r="AG2560" t="str">
            <v>C</v>
          </cell>
          <cell r="AH2560" t="str">
            <v>sur chantier</v>
          </cell>
          <cell r="AI2560" t="str">
            <v/>
          </cell>
          <cell r="AJ2560">
            <v>1</v>
          </cell>
          <cell r="AK2560">
            <v>0</v>
          </cell>
          <cell r="AL2560"/>
          <cell r="AM2560"/>
          <cell r="AN2560" t="str">
            <v/>
          </cell>
          <cell r="AO2560"/>
          <cell r="AP2560"/>
          <cell r="AQ2560"/>
          <cell r="AR2560"/>
          <cell r="AS2560">
            <v>84</v>
          </cell>
          <cell r="AT2560"/>
          <cell r="AU2560" t="str">
            <v/>
          </cell>
          <cell r="AV2560"/>
        </row>
        <row r="2561">
          <cell r="Z2561" t="str">
            <v>605-962-025</v>
          </cell>
          <cell r="AA2561" t="str">
            <v xml:space="preserve">Sleeve 0 for PDM 9-5/8"
Set on : </v>
          </cell>
          <cell r="AB2561">
            <v>140</v>
          </cell>
          <cell r="AC2561">
            <v>0</v>
          </cell>
          <cell r="AD2561"/>
          <cell r="AE2561" t="str">
            <v xml:space="preserve">for PDM </v>
          </cell>
          <cell r="AF2561" t="str">
            <v xml:space="preserve">on </v>
          </cell>
          <cell r="AG2561"/>
          <cell r="AH2561" t="str">
            <v>maintenance</v>
          </cell>
          <cell r="AI2561" t="str">
            <v/>
          </cell>
          <cell r="AJ2561">
            <v>0</v>
          </cell>
          <cell r="AK2561">
            <v>1</v>
          </cell>
          <cell r="AL2561"/>
          <cell r="AM2561"/>
          <cell r="AN2561" t="str">
            <v>605-962-025</v>
          </cell>
          <cell r="AO2561"/>
          <cell r="AP2561"/>
          <cell r="AQ2561"/>
          <cell r="AR2561"/>
          <cell r="AS2561">
            <v>45</v>
          </cell>
          <cell r="AT2561"/>
          <cell r="AU2561" t="str">
            <v/>
          </cell>
          <cell r="AV2561"/>
        </row>
        <row r="2562">
          <cell r="Z2562" t="str">
            <v>605-962-026</v>
          </cell>
          <cell r="AA2562" t="str">
            <v xml:space="preserve">Sleeve 0 for PDM 9-5/8"
Set on : </v>
          </cell>
          <cell r="AB2562">
            <v>131</v>
          </cell>
          <cell r="AC2562">
            <v>0</v>
          </cell>
          <cell r="AD2562"/>
          <cell r="AE2562" t="str">
            <v xml:space="preserve">for PDM </v>
          </cell>
          <cell r="AF2562" t="str">
            <v xml:space="preserve">on </v>
          </cell>
          <cell r="AG2562"/>
          <cell r="AH2562" t="str">
            <v>maintenance</v>
          </cell>
          <cell r="AI2562" t="str">
            <v/>
          </cell>
          <cell r="AJ2562">
            <v>0</v>
          </cell>
          <cell r="AK2562">
            <v>1</v>
          </cell>
          <cell r="AL2562"/>
          <cell r="AM2562"/>
          <cell r="AN2562" t="str">
            <v>605-962-026</v>
          </cell>
          <cell r="AO2562"/>
          <cell r="AP2562"/>
          <cell r="AQ2562"/>
          <cell r="AR2562"/>
          <cell r="AS2562">
            <v>50</v>
          </cell>
          <cell r="AT2562"/>
          <cell r="AU2562" t="str">
            <v/>
          </cell>
          <cell r="AV2562"/>
        </row>
        <row r="2563">
          <cell r="Z2563" t="str">
            <v>605-850-027</v>
          </cell>
          <cell r="AA2563" t="str">
            <v xml:space="preserve">Sleeve 0 for PDM 8-1/2"
Set on : </v>
          </cell>
          <cell r="AB2563">
            <v>40</v>
          </cell>
          <cell r="AC2563">
            <v>0</v>
          </cell>
          <cell r="AD2563"/>
          <cell r="AE2563" t="str">
            <v xml:space="preserve">for PDM </v>
          </cell>
          <cell r="AF2563" t="str">
            <v xml:space="preserve">on </v>
          </cell>
          <cell r="AG2563"/>
          <cell r="AH2563" t="str">
            <v>sur chantier</v>
          </cell>
          <cell r="AI2563" t="str">
            <v/>
          </cell>
          <cell r="AJ2563">
            <v>1</v>
          </cell>
          <cell r="AK2563">
            <v>0</v>
          </cell>
          <cell r="AL2563"/>
          <cell r="AM2563"/>
          <cell r="AN2563" t="str">
            <v>605-850-027</v>
          </cell>
          <cell r="AO2563"/>
          <cell r="AP2563"/>
          <cell r="AQ2563"/>
          <cell r="AR2563"/>
          <cell r="AS2563">
            <v>71</v>
          </cell>
          <cell r="AT2563"/>
          <cell r="AU2563" t="str">
            <v/>
          </cell>
          <cell r="AV2563"/>
        </row>
        <row r="2564">
          <cell r="Z2564" t="str">
            <v>605-850-028</v>
          </cell>
          <cell r="AA2564" t="str">
            <v xml:space="preserve">Sleeve 0 for PDM 8-1/2"
Set on : </v>
          </cell>
          <cell r="AB2564">
            <v>40</v>
          </cell>
          <cell r="AC2564">
            <v>0</v>
          </cell>
          <cell r="AD2564"/>
          <cell r="AE2564" t="str">
            <v xml:space="preserve">for PDM </v>
          </cell>
          <cell r="AF2564" t="str">
            <v xml:space="preserve">on </v>
          </cell>
          <cell r="AG2564"/>
          <cell r="AH2564" t="str">
            <v>Fabrication en cours</v>
          </cell>
          <cell r="AI2564" t="e">
            <v>#VALUE!</v>
          </cell>
          <cell r="AJ2564">
            <v>0</v>
          </cell>
          <cell r="AK2564" t="str">
            <v>F</v>
          </cell>
          <cell r="AL2564"/>
          <cell r="AM2564"/>
          <cell r="AN2564" t="str">
            <v>605-850-028</v>
          </cell>
          <cell r="AO2564"/>
          <cell r="AP2564"/>
          <cell r="AQ2564"/>
          <cell r="AR2564"/>
          <cell r="AS2564">
            <v>72</v>
          </cell>
          <cell r="AT2564"/>
          <cell r="AU2564" t="str">
            <v/>
          </cell>
          <cell r="AV2564"/>
        </row>
        <row r="2565">
          <cell r="Z2565" t="str">
            <v>605-675-029</v>
          </cell>
          <cell r="AA2565" t="str">
            <v xml:space="preserve">Sleeve 0 for PDM 6-3/4"
Set on : </v>
          </cell>
          <cell r="AB2565">
            <v>18</v>
          </cell>
          <cell r="AC2565">
            <v>0</v>
          </cell>
          <cell r="AD2565"/>
          <cell r="AE2565" t="str">
            <v xml:space="preserve">for PDM </v>
          </cell>
          <cell r="AF2565" t="str">
            <v xml:space="preserve">on </v>
          </cell>
          <cell r="AG2565"/>
          <cell r="AH2565" t="str">
            <v>Fabrication en cours</v>
          </cell>
          <cell r="AI2565" t="e">
            <v>#VALUE!</v>
          </cell>
          <cell r="AJ2565">
            <v>0</v>
          </cell>
          <cell r="AK2565" t="str">
            <v>F</v>
          </cell>
          <cell r="AL2565"/>
          <cell r="AM2565"/>
          <cell r="AN2565" t="str">
            <v>605-675-029</v>
          </cell>
          <cell r="AO2565"/>
          <cell r="AP2565"/>
          <cell r="AQ2565"/>
          <cell r="AR2565"/>
          <cell r="AS2565">
            <v>88</v>
          </cell>
          <cell r="AT2565"/>
          <cell r="AU2565" t="str">
            <v/>
          </cell>
          <cell r="AV2565"/>
        </row>
        <row r="2566">
          <cell r="Z2566" t="str">
            <v>605-675-030</v>
          </cell>
          <cell r="AA2566" t="str">
            <v xml:space="preserve">Sleeve 0 for PDM 6-3/4"
Set on : </v>
          </cell>
          <cell r="AB2566">
            <v>18</v>
          </cell>
          <cell r="AC2566">
            <v>0</v>
          </cell>
          <cell r="AD2566"/>
          <cell r="AE2566" t="str">
            <v xml:space="preserve">for PDM </v>
          </cell>
          <cell r="AF2566" t="str">
            <v xml:space="preserve">on </v>
          </cell>
          <cell r="AG2566"/>
          <cell r="AH2566" t="str">
            <v>Fabrication en cours</v>
          </cell>
          <cell r="AI2566" t="e">
            <v>#VALUE!</v>
          </cell>
          <cell r="AJ2566">
            <v>0</v>
          </cell>
          <cell r="AK2566" t="str">
            <v>F</v>
          </cell>
          <cell r="AL2566"/>
          <cell r="AM2566"/>
          <cell r="AN2566" t="str">
            <v>605-675-030</v>
          </cell>
          <cell r="AO2566"/>
          <cell r="AP2566"/>
          <cell r="AQ2566"/>
          <cell r="AR2566"/>
          <cell r="AS2566">
            <v>89</v>
          </cell>
          <cell r="AT2566"/>
          <cell r="AU2566" t="str">
            <v/>
          </cell>
          <cell r="AV2566"/>
        </row>
        <row r="2567">
          <cell r="Z2567" t="str">
            <v>605-675-031</v>
          </cell>
          <cell r="AA2567" t="str">
            <v xml:space="preserve">Sleeve 0 for PDM 6-3/4"
Set on : </v>
          </cell>
          <cell r="AB2567">
            <v>18</v>
          </cell>
          <cell r="AC2567">
            <v>0</v>
          </cell>
          <cell r="AD2567"/>
          <cell r="AE2567" t="str">
            <v xml:space="preserve">for PDM </v>
          </cell>
          <cell r="AF2567" t="str">
            <v xml:space="preserve">on </v>
          </cell>
          <cell r="AG2567"/>
          <cell r="AH2567" t="str">
            <v>Fabrication en cours</v>
          </cell>
          <cell r="AI2567" t="e">
            <v>#VALUE!</v>
          </cell>
          <cell r="AJ2567">
            <v>0</v>
          </cell>
          <cell r="AK2567" t="str">
            <v>F</v>
          </cell>
          <cell r="AL2567"/>
          <cell r="AM2567"/>
          <cell r="AN2567" t="str">
            <v>605-675-031</v>
          </cell>
          <cell r="AO2567"/>
          <cell r="AP2567"/>
          <cell r="AQ2567"/>
          <cell r="AR2567"/>
          <cell r="AS2567">
            <v>90</v>
          </cell>
          <cell r="AT2567"/>
          <cell r="AU2567" t="str">
            <v/>
          </cell>
          <cell r="AV2567"/>
        </row>
        <row r="2568">
          <cell r="Z2568" t="str">
            <v>605-475-032</v>
          </cell>
          <cell r="AA2568" t="str">
            <v xml:space="preserve">Sleeve 0 for PDM 4-3/4"
Set on : </v>
          </cell>
          <cell r="AB2568">
            <v>8</v>
          </cell>
          <cell r="AC2568">
            <v>0</v>
          </cell>
          <cell r="AD2568"/>
          <cell r="AE2568" t="str">
            <v xml:space="preserve">for PDM </v>
          </cell>
          <cell r="AF2568" t="str">
            <v xml:space="preserve">on </v>
          </cell>
          <cell r="AG2568"/>
          <cell r="AH2568" t="str">
            <v xml:space="preserve"> en stock </v>
          </cell>
          <cell r="AI2568">
            <v>1</v>
          </cell>
          <cell r="AJ2568">
            <v>0</v>
          </cell>
          <cell r="AK2568">
            <v>0</v>
          </cell>
          <cell r="AL2568"/>
          <cell r="AM2568"/>
          <cell r="AN2568" t="str">
            <v>605-475-032</v>
          </cell>
          <cell r="AO2568"/>
          <cell r="AP2568"/>
          <cell r="AQ2568"/>
          <cell r="AR2568"/>
          <cell r="AS2568">
            <v>101</v>
          </cell>
          <cell r="AT2568"/>
          <cell r="AU2568" t="str">
            <v/>
          </cell>
          <cell r="AV2568"/>
        </row>
        <row r="2569">
          <cell r="Z2569" t="str">
            <v>605-475-033</v>
          </cell>
          <cell r="AA2569" t="str">
            <v xml:space="preserve">Sleeve 0 for PDM 4-3/4"
Set on : </v>
          </cell>
          <cell r="AB2569">
            <v>8</v>
          </cell>
          <cell r="AC2569">
            <v>0</v>
          </cell>
          <cell r="AD2569"/>
          <cell r="AE2569" t="str">
            <v xml:space="preserve">for PDM </v>
          </cell>
          <cell r="AF2569" t="str">
            <v xml:space="preserve">on </v>
          </cell>
          <cell r="AG2569"/>
          <cell r="AH2569" t="str">
            <v>Fabrication en cours</v>
          </cell>
          <cell r="AI2569" t="e">
            <v>#VALUE!</v>
          </cell>
          <cell r="AJ2569">
            <v>0</v>
          </cell>
          <cell r="AK2569" t="str">
            <v>F</v>
          </cell>
          <cell r="AL2569"/>
          <cell r="AM2569"/>
          <cell r="AN2569" t="str">
            <v>605-475-033</v>
          </cell>
          <cell r="AO2569"/>
          <cell r="AP2569"/>
          <cell r="AQ2569"/>
          <cell r="AR2569"/>
          <cell r="AS2569">
            <v>102</v>
          </cell>
          <cell r="AT2569"/>
          <cell r="AU2569" t="str">
            <v/>
          </cell>
          <cell r="AV2569"/>
        </row>
        <row r="2570">
          <cell r="Z2570" t="str">
            <v>605-475-034</v>
          </cell>
          <cell r="AA2570" t="str">
            <v xml:space="preserve">Sleeve 0 for PDM 4-3/4"
Set on : </v>
          </cell>
          <cell r="AB2570">
            <v>8</v>
          </cell>
          <cell r="AC2570">
            <v>0</v>
          </cell>
          <cell r="AD2570"/>
          <cell r="AE2570" t="str">
            <v xml:space="preserve">for PDM </v>
          </cell>
          <cell r="AF2570" t="str">
            <v xml:space="preserve">on </v>
          </cell>
          <cell r="AG2570"/>
          <cell r="AH2570" t="str">
            <v>Fabrication en cours</v>
          </cell>
          <cell r="AI2570" t="e">
            <v>#VALUE!</v>
          </cell>
          <cell r="AJ2570">
            <v>0</v>
          </cell>
          <cell r="AK2570" t="str">
            <v>F</v>
          </cell>
          <cell r="AL2570"/>
          <cell r="AM2570"/>
          <cell r="AN2570" t="str">
            <v>605-475-034</v>
          </cell>
          <cell r="AO2570"/>
          <cell r="AP2570"/>
          <cell r="AQ2570"/>
          <cell r="AR2570"/>
          <cell r="AS2570">
            <v>103</v>
          </cell>
          <cell r="AT2570"/>
          <cell r="AU2570" t="str">
            <v/>
          </cell>
          <cell r="AV2570"/>
        </row>
        <row r="2571">
          <cell r="Z2571" t="str">
            <v>605-475-035</v>
          </cell>
          <cell r="AA2571" t="str">
            <v xml:space="preserve">Sleeve 0 for PDM 4-3/4"
Set on : </v>
          </cell>
          <cell r="AB2571">
            <v>8</v>
          </cell>
          <cell r="AC2571">
            <v>0</v>
          </cell>
          <cell r="AD2571"/>
          <cell r="AE2571" t="str">
            <v xml:space="preserve">for PDM </v>
          </cell>
          <cell r="AF2571" t="str">
            <v xml:space="preserve">on </v>
          </cell>
          <cell r="AG2571"/>
          <cell r="AH2571" t="str">
            <v>Fabrication en cours</v>
          </cell>
          <cell r="AI2571" t="e">
            <v>#VALUE!</v>
          </cell>
          <cell r="AJ2571">
            <v>0</v>
          </cell>
          <cell r="AK2571" t="str">
            <v>F</v>
          </cell>
          <cell r="AL2571"/>
          <cell r="AM2571"/>
          <cell r="AN2571" t="str">
            <v>605-475-035</v>
          </cell>
          <cell r="AO2571"/>
          <cell r="AP2571"/>
          <cell r="AQ2571"/>
          <cell r="AR2571"/>
          <cell r="AS2571">
            <v>104</v>
          </cell>
          <cell r="AT2571"/>
          <cell r="AU2571" t="str">
            <v/>
          </cell>
          <cell r="AV2571"/>
        </row>
        <row r="2572">
          <cell r="Z2572">
            <v>5032187</v>
          </cell>
          <cell r="AA2572" t="str">
            <v>Junk Mill 
6-5/8" REG Pin</v>
          </cell>
          <cell r="AB2572">
            <v>0</v>
          </cell>
          <cell r="AC2572">
            <v>12.4375</v>
          </cell>
          <cell r="AD2572">
            <v>0</v>
          </cell>
          <cell r="AE2572" t="str">
            <v>6-5/8" REG Pin</v>
          </cell>
          <cell r="AF2572"/>
          <cell r="AG2572" t="str">
            <v>C</v>
          </cell>
          <cell r="AH2572" t="str">
            <v xml:space="preserve"> en stock </v>
          </cell>
          <cell r="AI2572">
            <v>1</v>
          </cell>
          <cell r="AJ2572">
            <v>0</v>
          </cell>
          <cell r="AK2572">
            <v>0</v>
          </cell>
          <cell r="AL2572"/>
          <cell r="AM2572"/>
          <cell r="AN2572" t="str">
            <v/>
          </cell>
          <cell r="AO2572"/>
          <cell r="AP2572"/>
          <cell r="AQ2572"/>
          <cell r="AR2572"/>
          <cell r="AS2572">
            <v>90</v>
          </cell>
          <cell r="AT2572" t="str">
            <v>503-</v>
          </cell>
          <cell r="AU2572" t="str">
            <v/>
          </cell>
          <cell r="AV2572"/>
        </row>
        <row r="2573">
          <cell r="Z2573">
            <v>8022187</v>
          </cell>
          <cell r="AA2573" t="str">
            <v>Bit Sub
7-5/8" REG Box x 7-5/8" REG Box BF</v>
          </cell>
          <cell r="AB2573">
            <v>247.14156216750001</v>
          </cell>
          <cell r="AC2573">
            <v>9.5</v>
          </cell>
          <cell r="AD2573">
            <v>770</v>
          </cell>
          <cell r="AE2573" t="str">
            <v>7-5/8" REG Box</v>
          </cell>
          <cell r="AF2573" t="str">
            <v>7-5/8" REG Box BF</v>
          </cell>
          <cell r="AG2573"/>
          <cell r="AH2573" t="str">
            <v xml:space="preserve"> en stock </v>
          </cell>
          <cell r="AI2573">
            <v>1</v>
          </cell>
          <cell r="AJ2573">
            <v>0</v>
          </cell>
          <cell r="AK2573">
            <v>0</v>
          </cell>
          <cell r="AL2573"/>
          <cell r="AM2573"/>
          <cell r="AN2573" t="str">
            <v/>
          </cell>
          <cell r="AO2573"/>
          <cell r="AP2573"/>
          <cell r="AQ2573"/>
          <cell r="AR2573"/>
          <cell r="AS2573">
            <v>66</v>
          </cell>
          <cell r="AT2573"/>
          <cell r="AU2573" t="str">
            <v/>
          </cell>
          <cell r="AV2573"/>
        </row>
        <row r="2574">
          <cell r="Z2574">
            <v>8132188</v>
          </cell>
          <cell r="AA2574" t="str">
            <v>XO
7-5/8" REG Pin x 6-5/8" REG Box</v>
          </cell>
          <cell r="AB2574">
            <v>394.78457333249997</v>
          </cell>
          <cell r="AC2574">
            <v>9.5</v>
          </cell>
          <cell r="AD2574">
            <v>1230</v>
          </cell>
          <cell r="AE2574" t="str">
            <v>7-5/8" REG Pin</v>
          </cell>
          <cell r="AF2574" t="str">
            <v>6-5/8" REG Box</v>
          </cell>
          <cell r="AG2574"/>
          <cell r="AH2574" t="str">
            <v>maintenance</v>
          </cell>
          <cell r="AI2574" t="str">
            <v/>
          </cell>
          <cell r="AJ2574">
            <v>0</v>
          </cell>
          <cell r="AK2574">
            <v>1</v>
          </cell>
          <cell r="AL2574"/>
          <cell r="AM2574"/>
          <cell r="AN2574" t="str">
            <v/>
          </cell>
          <cell r="AO2574"/>
          <cell r="AP2574"/>
          <cell r="AQ2574"/>
          <cell r="AR2574"/>
          <cell r="AS2574">
            <v>229</v>
          </cell>
          <cell r="AT2574"/>
          <cell r="AU2574" t="str">
            <v/>
          </cell>
          <cell r="AV2574"/>
        </row>
        <row r="2575">
          <cell r="Z2575">
            <v>8132189</v>
          </cell>
          <cell r="AA2575" t="str">
            <v>XO
4-1/2" IF Pin x 6-5/8" REG Box</v>
          </cell>
          <cell r="AB2575">
            <v>271.58413424999998</v>
          </cell>
          <cell r="AC2575">
            <v>8</v>
          </cell>
          <cell r="AD2575">
            <v>1250</v>
          </cell>
          <cell r="AE2575" t="str">
            <v>4-1/2" IF Pin</v>
          </cell>
          <cell r="AF2575" t="str">
            <v>6-5/8" REG Box</v>
          </cell>
          <cell r="AG2575"/>
          <cell r="AH2575" t="str">
            <v xml:space="preserve"> en stock </v>
          </cell>
          <cell r="AI2575">
            <v>1</v>
          </cell>
          <cell r="AJ2575">
            <v>0</v>
          </cell>
          <cell r="AK2575">
            <v>0</v>
          </cell>
          <cell r="AL2575"/>
          <cell r="AM2575"/>
          <cell r="AN2575" t="str">
            <v/>
          </cell>
          <cell r="AO2575"/>
          <cell r="AP2575"/>
          <cell r="AQ2575"/>
          <cell r="AR2575"/>
          <cell r="AS2575">
            <v>178</v>
          </cell>
          <cell r="AT2575"/>
          <cell r="AU2575" t="str">
            <v/>
          </cell>
          <cell r="AV2575"/>
        </row>
        <row r="2576">
          <cell r="Z2576">
            <v>8042190</v>
          </cell>
          <cell r="AA2576" t="str">
            <v>Lift Sub 0
0 OD body for Elevator DP 0</v>
          </cell>
          <cell r="AB2576">
            <v>0</v>
          </cell>
          <cell r="AC2576">
            <v>0</v>
          </cell>
          <cell r="AD2576">
            <v>0</v>
          </cell>
          <cell r="AE2576">
            <v>0</v>
          </cell>
          <cell r="AF2576">
            <v>0</v>
          </cell>
          <cell r="AG2576"/>
          <cell r="AH2576" t="str">
            <v xml:space="preserve"> en stock </v>
          </cell>
          <cell r="AI2576">
            <v>1</v>
          </cell>
          <cell r="AJ2576">
            <v>0</v>
          </cell>
          <cell r="AK2576">
            <v>0</v>
          </cell>
          <cell r="AL2576"/>
          <cell r="AM2576"/>
          <cell r="AN2576" t="str">
            <v/>
          </cell>
          <cell r="AO2576"/>
          <cell r="AP2576"/>
          <cell r="AQ2576"/>
          <cell r="AR2576"/>
          <cell r="AS2576">
            <v>80</v>
          </cell>
          <cell r="AT2576"/>
          <cell r="AU2576" t="str">
            <v/>
          </cell>
          <cell r="AV2576"/>
        </row>
        <row r="2577">
          <cell r="Z2577">
            <v>8042191</v>
          </cell>
          <cell r="AA2577" t="str">
            <v>Lift Sub 0
0 OD body for Elevator DP 0</v>
          </cell>
          <cell r="AB2577">
            <v>0</v>
          </cell>
          <cell r="AC2577">
            <v>0</v>
          </cell>
          <cell r="AD2577">
            <v>0</v>
          </cell>
          <cell r="AE2577">
            <v>0</v>
          </cell>
          <cell r="AF2577">
            <v>0</v>
          </cell>
          <cell r="AG2577"/>
          <cell r="AH2577" t="str">
            <v xml:space="preserve"> en stock </v>
          </cell>
          <cell r="AI2577">
            <v>1</v>
          </cell>
          <cell r="AJ2577">
            <v>0</v>
          </cell>
          <cell r="AK2577">
            <v>0</v>
          </cell>
          <cell r="AL2577"/>
          <cell r="AM2577"/>
          <cell r="AN2577" t="str">
            <v/>
          </cell>
          <cell r="AO2577"/>
          <cell r="AP2577"/>
          <cell r="AQ2577"/>
          <cell r="AR2577"/>
          <cell r="AS2577">
            <v>81</v>
          </cell>
          <cell r="AT2577"/>
          <cell r="AU2577" t="str">
            <v/>
          </cell>
          <cell r="AV2577"/>
        </row>
        <row r="2578">
          <cell r="Z2578">
            <v>8042192</v>
          </cell>
          <cell r="AA2578" t="str">
            <v>Lift Sub 0
0 OD body for Elevator DP 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/>
          <cell r="AH2578" t="str">
            <v xml:space="preserve"> en stock </v>
          </cell>
          <cell r="AI2578">
            <v>1</v>
          </cell>
          <cell r="AJ2578">
            <v>0</v>
          </cell>
          <cell r="AK2578">
            <v>0</v>
          </cell>
          <cell r="AL2578"/>
          <cell r="AM2578"/>
          <cell r="AN2578" t="str">
            <v/>
          </cell>
          <cell r="AO2578"/>
          <cell r="AP2578"/>
          <cell r="AQ2578"/>
          <cell r="AR2578"/>
          <cell r="AS2578">
            <v>82</v>
          </cell>
          <cell r="AT2578"/>
          <cell r="AU2578" t="str">
            <v/>
          </cell>
          <cell r="AV2578"/>
        </row>
        <row r="2579">
          <cell r="Z2579">
            <v>8132193</v>
          </cell>
          <cell r="AA2579" t="str">
            <v>XO
4-1/2" IF Pin x SPC Box</v>
          </cell>
          <cell r="AB2579">
            <v>0</v>
          </cell>
          <cell r="AC2579">
            <v>0</v>
          </cell>
          <cell r="AD2579">
            <v>0</v>
          </cell>
          <cell r="AE2579" t="str">
            <v>4-1/2" IF Pin</v>
          </cell>
          <cell r="AF2579" t="str">
            <v>SPC Box</v>
          </cell>
          <cell r="AG2579"/>
          <cell r="AH2579" t="str">
            <v>maintenance</v>
          </cell>
          <cell r="AI2579" t="str">
            <v/>
          </cell>
          <cell r="AJ2579">
            <v>0</v>
          </cell>
          <cell r="AK2579">
            <v>1</v>
          </cell>
          <cell r="AL2579"/>
          <cell r="AM2579"/>
          <cell r="AN2579" t="str">
            <v/>
          </cell>
          <cell r="AO2579"/>
          <cell r="AP2579"/>
          <cell r="AQ2579"/>
          <cell r="AR2579"/>
          <cell r="AS2579">
            <v>180</v>
          </cell>
          <cell r="AT2579"/>
          <cell r="AU2579" t="str">
            <v/>
          </cell>
          <cell r="AV2579"/>
        </row>
        <row r="2580">
          <cell r="Z2580">
            <v>8132194</v>
          </cell>
          <cell r="AA2580" t="str">
            <v>XO
3-1/2" EU Pin x 3-1/2" IF Box</v>
          </cell>
          <cell r="AB2580">
            <v>0</v>
          </cell>
          <cell r="AC2580">
            <v>4.75</v>
          </cell>
          <cell r="AD2580">
            <v>660</v>
          </cell>
          <cell r="AE2580" t="str">
            <v>3-1/2" EU Pin</v>
          </cell>
          <cell r="AF2580" t="str">
            <v>3-1/2" IF Box</v>
          </cell>
          <cell r="AG2580"/>
          <cell r="AH2580" t="str">
            <v xml:space="preserve"> en stock </v>
          </cell>
          <cell r="AI2580">
            <v>1</v>
          </cell>
          <cell r="AJ2580">
            <v>0</v>
          </cell>
          <cell r="AK2580">
            <v>0</v>
          </cell>
          <cell r="AL2580"/>
          <cell r="AM2580"/>
          <cell r="AN2580">
            <v>8132194</v>
          </cell>
          <cell r="AO2580"/>
          <cell r="AP2580"/>
          <cell r="AQ2580"/>
          <cell r="AR2580"/>
          <cell r="AS2580">
            <v>101</v>
          </cell>
          <cell r="AT2580"/>
          <cell r="AU2580" t="str">
            <v>FR</v>
          </cell>
          <cell r="AV2580"/>
        </row>
        <row r="2581">
          <cell r="Z2581">
            <v>5092195</v>
          </cell>
          <cell r="AA2581" t="str">
            <v>WO Extension Lg 3000 mm
7-5/8" FJWP Pin x Box</v>
          </cell>
          <cell r="AB2581">
            <v>128.87901643499984</v>
          </cell>
          <cell r="AC2581">
            <v>7.625</v>
          </cell>
          <cell r="AD2581">
            <v>3000</v>
          </cell>
          <cell r="AE2581" t="str">
            <v>7-5/8" FJWP Box</v>
          </cell>
          <cell r="AF2581" t="str">
            <v>7-5/8" FJWP Pin</v>
          </cell>
          <cell r="AG2581"/>
          <cell r="AH2581" t="str">
            <v xml:space="preserve"> en stock </v>
          </cell>
          <cell r="AI2581">
            <v>1</v>
          </cell>
          <cell r="AJ2581">
            <v>0</v>
          </cell>
          <cell r="AK2581">
            <v>0</v>
          </cell>
          <cell r="AL2581"/>
          <cell r="AM2581"/>
          <cell r="AN2581">
            <v>5092195</v>
          </cell>
          <cell r="AO2581"/>
          <cell r="AP2581"/>
          <cell r="AQ2581"/>
          <cell r="AR2581"/>
          <cell r="AS2581">
            <v>80</v>
          </cell>
          <cell r="AT2581" t="str">
            <v>509-7,675FJWP</v>
          </cell>
          <cell r="AU2581" t="str">
            <v/>
          </cell>
          <cell r="AV2581"/>
        </row>
        <row r="2582">
          <cell r="Z2582">
            <v>5092196</v>
          </cell>
          <cell r="AA2582" t="str">
            <v>WO Extension Lg 4000 mm
7-5/8" FJWP Pin x Box</v>
          </cell>
          <cell r="AB2582">
            <v>171.83868857999983</v>
          </cell>
          <cell r="AC2582">
            <v>7.625</v>
          </cell>
          <cell r="AD2582">
            <v>4000</v>
          </cell>
          <cell r="AE2582" t="str">
            <v>7-5/8" FJWP Box</v>
          </cell>
          <cell r="AF2582" t="str">
            <v>7-5/8" FJWP Pin</v>
          </cell>
          <cell r="AG2582"/>
          <cell r="AH2582" t="str">
            <v xml:space="preserve"> en stock </v>
          </cell>
          <cell r="AI2582">
            <v>1</v>
          </cell>
          <cell r="AJ2582">
            <v>0</v>
          </cell>
          <cell r="AK2582">
            <v>0</v>
          </cell>
          <cell r="AL2582"/>
          <cell r="AM2582"/>
          <cell r="AN2582">
            <v>5092196</v>
          </cell>
          <cell r="AO2582"/>
          <cell r="AP2582"/>
          <cell r="AQ2582"/>
          <cell r="AR2582"/>
          <cell r="AS2582">
            <v>81</v>
          </cell>
          <cell r="AT2582" t="str">
            <v>509-7,675FJWP</v>
          </cell>
          <cell r="AU2582" t="str">
            <v/>
          </cell>
          <cell r="AV2582"/>
        </row>
        <row r="2583">
          <cell r="Z2583">
            <v>5892197</v>
          </cell>
          <cell r="AA2583" t="str">
            <v>WO Internal Hook Lg 2300 mm
7-5/8" FJWP Pin x Box</v>
          </cell>
          <cell r="AB2583">
            <v>0</v>
          </cell>
          <cell r="AC2583">
            <v>7.625</v>
          </cell>
          <cell r="AD2583">
            <v>2300</v>
          </cell>
          <cell r="AE2583" t="str">
            <v>7-5/8" FJWP Box</v>
          </cell>
          <cell r="AF2583" t="str">
            <v>7-5/8" FJWP Pin</v>
          </cell>
          <cell r="AG2583"/>
          <cell r="AH2583" t="str">
            <v>maintenance</v>
          </cell>
          <cell r="AI2583" t="str">
            <v/>
          </cell>
          <cell r="AJ2583">
            <v>0</v>
          </cell>
          <cell r="AK2583">
            <v>1</v>
          </cell>
          <cell r="AL2583"/>
          <cell r="AM2583"/>
          <cell r="AN2583" t="str">
            <v/>
          </cell>
          <cell r="AO2583"/>
          <cell r="AP2583"/>
          <cell r="AQ2583"/>
          <cell r="AR2583"/>
          <cell r="AS2583">
            <v>15</v>
          </cell>
          <cell r="AT2583" t="str">
            <v>509-7,675FJWP</v>
          </cell>
          <cell r="AU2583" t="str">
            <v/>
          </cell>
          <cell r="AV2583"/>
        </row>
        <row r="2584">
          <cell r="Z2584">
            <v>8012198</v>
          </cell>
          <cell r="AA2584"/>
          <cell r="AB2584"/>
          <cell r="AC2584"/>
          <cell r="AD2584"/>
          <cell r="AE2584"/>
          <cell r="AF2584"/>
          <cell r="AG2584"/>
          <cell r="AH2584" t="str">
            <v>en stock</v>
          </cell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 t="str">
            <v/>
          </cell>
          <cell r="AV2584"/>
        </row>
        <row r="2585">
          <cell r="Z2585">
            <v>5092199</v>
          </cell>
          <cell r="AA2585" t="str">
            <v>WO Extension Lg 2000 mm
8-5/8" FJWP Pin x Box</v>
          </cell>
          <cell r="AB2585">
            <v>97.770288330000071</v>
          </cell>
          <cell r="AC2585">
            <v>8.625</v>
          </cell>
          <cell r="AD2585">
            <v>2000</v>
          </cell>
          <cell r="AE2585" t="str">
            <v>8-5/8" FJWP Box</v>
          </cell>
          <cell r="AF2585" t="str">
            <v>8-5/8" FJWP Pin</v>
          </cell>
          <cell r="AG2585"/>
          <cell r="AH2585" t="str">
            <v>Fabrication en cours</v>
          </cell>
          <cell r="AI2585" t="e">
            <v>#VALUE!</v>
          </cell>
          <cell r="AJ2585">
            <v>0</v>
          </cell>
          <cell r="AK2585" t="str">
            <v>F</v>
          </cell>
          <cell r="AL2585"/>
          <cell r="AM2585"/>
          <cell r="AN2585">
            <v>5092199</v>
          </cell>
          <cell r="AO2585"/>
          <cell r="AP2585"/>
          <cell r="AQ2585"/>
          <cell r="AR2585"/>
          <cell r="AS2585">
            <v>112</v>
          </cell>
          <cell r="AT2585" t="str">
            <v>509-8,675FJWP</v>
          </cell>
          <cell r="AU2585" t="str">
            <v/>
          </cell>
          <cell r="AV2585"/>
        </row>
        <row r="2586">
          <cell r="Z2586">
            <v>8132200</v>
          </cell>
          <cell r="AA2586" t="str">
            <v>XO
4-1/2" IF Pin x 7-5/8" REG Box</v>
          </cell>
          <cell r="AB2586">
            <v>0</v>
          </cell>
          <cell r="AC2586">
            <v>9.5</v>
          </cell>
          <cell r="AD2586">
            <v>1170</v>
          </cell>
          <cell r="AE2586" t="str">
            <v>4-1/2" IF Pin</v>
          </cell>
          <cell r="AF2586" t="str">
            <v>7-5/8" REG Box</v>
          </cell>
          <cell r="AG2586"/>
          <cell r="AH2586" t="str">
            <v xml:space="preserve"> en stock </v>
          </cell>
          <cell r="AI2586">
            <v>1</v>
          </cell>
          <cell r="AJ2586">
            <v>0</v>
          </cell>
          <cell r="AK2586">
            <v>0</v>
          </cell>
          <cell r="AL2586"/>
          <cell r="AM2586"/>
          <cell r="AN2586" t="str">
            <v/>
          </cell>
          <cell r="AO2586"/>
          <cell r="AP2586"/>
          <cell r="AQ2586"/>
          <cell r="AR2586"/>
          <cell r="AS2586">
            <v>179</v>
          </cell>
          <cell r="AT2586"/>
          <cell r="AU2586" t="str">
            <v/>
          </cell>
          <cell r="AV2586"/>
        </row>
        <row r="2587">
          <cell r="Z2587">
            <v>5092201</v>
          </cell>
          <cell r="AA2587" t="str">
            <v>WO Extension Lg 1000 mm
7-5/8" FJWP Pin x Box</v>
          </cell>
          <cell r="AB2587">
            <v>42.959672144999956</v>
          </cell>
          <cell r="AC2587">
            <v>7.625</v>
          </cell>
          <cell r="AD2587">
            <v>1000</v>
          </cell>
          <cell r="AE2587" t="str">
            <v>7-5/8" FJWP Box</v>
          </cell>
          <cell r="AF2587" t="str">
            <v>7-5/8" FJWP Pin</v>
          </cell>
          <cell r="AG2587"/>
          <cell r="AH2587" t="str">
            <v>maintenance</v>
          </cell>
          <cell r="AI2587" t="str">
            <v/>
          </cell>
          <cell r="AJ2587">
            <v>0</v>
          </cell>
          <cell r="AK2587">
            <v>1</v>
          </cell>
          <cell r="AL2587"/>
          <cell r="AM2587"/>
          <cell r="AN2587" t="str">
            <v/>
          </cell>
          <cell r="AO2587"/>
          <cell r="AP2587"/>
          <cell r="AQ2587"/>
          <cell r="AR2587"/>
          <cell r="AS2587">
            <v>77</v>
          </cell>
          <cell r="AT2587" t="str">
            <v>509-7,675FJWP</v>
          </cell>
          <cell r="AU2587" t="str">
            <v/>
          </cell>
          <cell r="AV2587"/>
        </row>
        <row r="2588">
          <cell r="Z2588">
            <v>5092202</v>
          </cell>
          <cell r="AA2588" t="str">
            <v>WO Extension Lg 2500 mm
7-5/8" FJWP Pin x Box</v>
          </cell>
          <cell r="AB2588">
            <v>107.39918036249989</v>
          </cell>
          <cell r="AC2588">
            <v>7.625</v>
          </cell>
          <cell r="AD2588">
            <v>2500</v>
          </cell>
          <cell r="AE2588" t="str">
            <v>7-5/8" FJWP Box</v>
          </cell>
          <cell r="AF2588" t="str">
            <v>7-5/8" FJWP Pin</v>
          </cell>
          <cell r="AG2588"/>
          <cell r="AH2588" t="str">
            <v xml:space="preserve"> en stock </v>
          </cell>
          <cell r="AI2588">
            <v>1</v>
          </cell>
          <cell r="AJ2588">
            <v>0</v>
          </cell>
          <cell r="AK2588">
            <v>0</v>
          </cell>
          <cell r="AL2588"/>
          <cell r="AM2588"/>
          <cell r="AN2588" t="str">
            <v/>
          </cell>
          <cell r="AO2588"/>
          <cell r="AP2588"/>
          <cell r="AQ2588"/>
          <cell r="AR2588"/>
          <cell r="AS2588">
            <v>78</v>
          </cell>
          <cell r="AT2588" t="str">
            <v>509-7,675FJWP</v>
          </cell>
          <cell r="AU2588" t="str">
            <v/>
          </cell>
          <cell r="AV2588"/>
        </row>
        <row r="2589">
          <cell r="Z2589">
            <v>28</v>
          </cell>
          <cell r="AA2589" t="str">
            <v>Loading Basket 2200mm x 1100mm S</v>
          </cell>
          <cell r="AB2589">
            <v>440</v>
          </cell>
          <cell r="AC2589">
            <v>1100</v>
          </cell>
          <cell r="AD2589">
            <v>2200</v>
          </cell>
          <cell r="AE2589"/>
          <cell r="AF2589"/>
          <cell r="AG2589" t="str">
            <v>S</v>
          </cell>
          <cell r="AH2589" t="str">
            <v xml:space="preserve"> en stock </v>
          </cell>
          <cell r="AI2589">
            <v>1</v>
          </cell>
          <cell r="AJ2589">
            <v>0</v>
          </cell>
          <cell r="AK2589">
            <v>0</v>
          </cell>
          <cell r="AL2589"/>
          <cell r="AM2589"/>
          <cell r="AN2589" t="str">
            <v/>
          </cell>
          <cell r="AO2589"/>
          <cell r="AP2589"/>
          <cell r="AQ2589"/>
          <cell r="AR2589"/>
          <cell r="AS2589">
            <v>23</v>
          </cell>
          <cell r="AT2589"/>
          <cell r="AU2589" t="str">
            <v>FR</v>
          </cell>
          <cell r="AV2589">
            <v>86090090</v>
          </cell>
        </row>
        <row r="2590">
          <cell r="Z2590">
            <v>29</v>
          </cell>
          <cell r="AA2590" t="str">
            <v>Loading Basket 2200mm x 1100mm S</v>
          </cell>
          <cell r="AB2590">
            <v>440</v>
          </cell>
          <cell r="AC2590">
            <v>1100</v>
          </cell>
          <cell r="AD2590">
            <v>2200</v>
          </cell>
          <cell r="AE2590"/>
          <cell r="AF2590"/>
          <cell r="AG2590" t="str">
            <v>S</v>
          </cell>
          <cell r="AH2590" t="str">
            <v xml:space="preserve"> en stock </v>
          </cell>
          <cell r="AI2590">
            <v>1</v>
          </cell>
          <cell r="AJ2590">
            <v>0</v>
          </cell>
          <cell r="AK2590">
            <v>0</v>
          </cell>
          <cell r="AL2590"/>
          <cell r="AM2590"/>
          <cell r="AN2590" t="str">
            <v/>
          </cell>
          <cell r="AO2590"/>
          <cell r="AP2590"/>
          <cell r="AQ2590"/>
          <cell r="AR2590"/>
          <cell r="AS2590">
            <v>24</v>
          </cell>
          <cell r="AT2590"/>
          <cell r="AU2590" t="str">
            <v>FR</v>
          </cell>
          <cell r="AV2590">
            <v>86090090</v>
          </cell>
        </row>
        <row r="2591">
          <cell r="Z2591">
            <v>30</v>
          </cell>
          <cell r="AA2591" t="str">
            <v>Loading Basket 2200mm x 1100mm S</v>
          </cell>
          <cell r="AB2591">
            <v>440</v>
          </cell>
          <cell r="AC2591">
            <v>1100</v>
          </cell>
          <cell r="AD2591">
            <v>2200</v>
          </cell>
          <cell r="AE2591"/>
          <cell r="AF2591"/>
          <cell r="AG2591" t="str">
            <v>S</v>
          </cell>
          <cell r="AH2591" t="str">
            <v xml:space="preserve"> en stock </v>
          </cell>
          <cell r="AI2591">
            <v>1</v>
          </cell>
          <cell r="AJ2591">
            <v>0</v>
          </cell>
          <cell r="AK2591">
            <v>0</v>
          </cell>
          <cell r="AL2591"/>
          <cell r="AM2591"/>
          <cell r="AN2591" t="str">
            <v/>
          </cell>
          <cell r="AO2591"/>
          <cell r="AP2591"/>
          <cell r="AQ2591"/>
          <cell r="AR2591"/>
          <cell r="AS2591">
            <v>25</v>
          </cell>
          <cell r="AT2591"/>
          <cell r="AU2591" t="str">
            <v>FR</v>
          </cell>
          <cell r="AV2591">
            <v>86090090</v>
          </cell>
        </row>
        <row r="2592">
          <cell r="Z2592">
            <v>31</v>
          </cell>
          <cell r="AA2592" t="str">
            <v>Loading Basket 2200mm x 1100mm S</v>
          </cell>
          <cell r="AB2592">
            <v>440</v>
          </cell>
          <cell r="AC2592">
            <v>1100</v>
          </cell>
          <cell r="AD2592">
            <v>2200</v>
          </cell>
          <cell r="AE2592"/>
          <cell r="AF2592"/>
          <cell r="AG2592" t="str">
            <v>S</v>
          </cell>
          <cell r="AH2592" t="str">
            <v>sur chantier</v>
          </cell>
          <cell r="AI2592" t="str">
            <v/>
          </cell>
          <cell r="AJ2592">
            <v>1</v>
          </cell>
          <cell r="AK2592">
            <v>0</v>
          </cell>
          <cell r="AL2592"/>
          <cell r="AM2592"/>
          <cell r="AN2592" t="str">
            <v/>
          </cell>
          <cell r="AO2592"/>
          <cell r="AP2592"/>
          <cell r="AQ2592"/>
          <cell r="AR2592"/>
          <cell r="AS2592">
            <v>26</v>
          </cell>
          <cell r="AT2592"/>
          <cell r="AU2592" t="str">
            <v>FR</v>
          </cell>
          <cell r="AV2592">
            <v>86090090</v>
          </cell>
        </row>
        <row r="2593">
          <cell r="Z2593">
            <v>5102204</v>
          </cell>
          <cell r="AA2593" t="str">
            <v>WO Pipe 
8-1/8" FJWP Pin x Box</v>
          </cell>
          <cell r="AB2593">
            <v>439.01822196180063</v>
          </cell>
          <cell r="AC2593">
            <v>8.125</v>
          </cell>
          <cell r="AD2593">
            <v>9560</v>
          </cell>
          <cell r="AE2593" t="str">
            <v>8-1/8" FJWP Box</v>
          </cell>
          <cell r="AF2593" t="str">
            <v>8-1/8" FJWP Pin</v>
          </cell>
          <cell r="AG2593"/>
          <cell r="AH2593" t="str">
            <v xml:space="preserve"> en stock </v>
          </cell>
          <cell r="AI2593">
            <v>1</v>
          </cell>
          <cell r="AJ2593">
            <v>0</v>
          </cell>
          <cell r="AK2593">
            <v>0</v>
          </cell>
          <cell r="AL2593"/>
          <cell r="AM2593"/>
          <cell r="AN2593" t="str">
            <v/>
          </cell>
          <cell r="AO2593"/>
          <cell r="AP2593"/>
          <cell r="AQ2593"/>
          <cell r="AR2593"/>
          <cell r="AS2593">
            <v>127</v>
          </cell>
          <cell r="AT2593" t="str">
            <v>509-8,125FJWP</v>
          </cell>
          <cell r="AU2593" t="str">
            <v/>
          </cell>
          <cell r="AV2593"/>
        </row>
        <row r="2594">
          <cell r="Z2594">
            <v>7042205</v>
          </cell>
          <cell r="AA2594" t="str">
            <v>11-3/4" FS Overshot - CA C-5329
6-5/8" REG Box</v>
          </cell>
          <cell r="AB2594">
            <v>224</v>
          </cell>
          <cell r="AC2594" t="str">
            <v>11-3/4" FS</v>
          </cell>
          <cell r="AD2594">
            <v>1340</v>
          </cell>
          <cell r="AE2594" t="str">
            <v>6-5/8" REG Box</v>
          </cell>
          <cell r="AF2594" t="str">
            <v>TX USD 1,1745 - Date début amortissement 07/02/2026</v>
          </cell>
          <cell r="AG2594" t="str">
            <v>C-5329</v>
          </cell>
          <cell r="AH2594" t="str">
            <v xml:space="preserve"> en stock </v>
          </cell>
          <cell r="AI2594">
            <v>1</v>
          </cell>
          <cell r="AJ2594">
            <v>0</v>
          </cell>
          <cell r="AK2594">
            <v>0</v>
          </cell>
          <cell r="AL2594"/>
          <cell r="AM2594"/>
          <cell r="AN2594">
            <v>7042205</v>
          </cell>
          <cell r="AO2594"/>
          <cell r="AP2594"/>
          <cell r="AQ2594"/>
          <cell r="AR2594"/>
          <cell r="AS2594">
            <v>93</v>
          </cell>
          <cell r="AT2594" t="str">
            <v>704-5329</v>
          </cell>
          <cell r="AU2594" t="str">
            <v/>
          </cell>
          <cell r="AV2594"/>
        </row>
        <row r="2595">
          <cell r="Z2595">
            <v>4032206</v>
          </cell>
          <cell r="AA2595" t="str">
            <v>Jar Z 7-3/4" 
6-5/8" REG Pin down  x Box up</v>
          </cell>
          <cell r="AB2595">
            <v>448</v>
          </cell>
          <cell r="AC2595">
            <v>8</v>
          </cell>
          <cell r="AD2595">
            <v>2280</v>
          </cell>
          <cell r="AE2595" t="str">
            <v>6-5/8" REG Box</v>
          </cell>
          <cell r="AF2595" t="str">
            <v>6-5/8" REG Pin</v>
          </cell>
          <cell r="AG2595"/>
          <cell r="AH2595" t="str">
            <v xml:space="preserve"> en stock </v>
          </cell>
          <cell r="AI2595">
            <v>1</v>
          </cell>
          <cell r="AJ2595">
            <v>0</v>
          </cell>
          <cell r="AK2595">
            <v>0</v>
          </cell>
          <cell r="AL2595"/>
          <cell r="AM2595"/>
          <cell r="AN2595" t="str">
            <v/>
          </cell>
          <cell r="AO2595"/>
          <cell r="AP2595"/>
          <cell r="AQ2595"/>
          <cell r="AR2595"/>
          <cell r="AS2595">
            <v>25</v>
          </cell>
          <cell r="AT2595" t="str">
            <v>403-8,000</v>
          </cell>
          <cell r="AU2595" t="str">
            <v/>
          </cell>
          <cell r="AV2595"/>
        </row>
        <row r="2596">
          <cell r="Z2596">
            <v>8081850</v>
          </cell>
          <cell r="AA2596" t="str">
            <v xml:space="preserve">Saver Sub 8" for DJ
6-5/8" REG Pin x Box
Set on : </v>
          </cell>
          <cell r="AB2596">
            <v>0</v>
          </cell>
          <cell r="AC2596">
            <v>8</v>
          </cell>
          <cell r="AD2596">
            <v>700</v>
          </cell>
          <cell r="AE2596" t="str">
            <v>6-5/8" REG Box</v>
          </cell>
          <cell r="AF2596" t="str">
            <v>6-5/8" REG Pin</v>
          </cell>
          <cell r="AG2596" t="str">
            <v>DJ</v>
          </cell>
          <cell r="AH2596" t="str">
            <v xml:space="preserve"> en stock </v>
          </cell>
          <cell r="AI2596">
            <v>1</v>
          </cell>
          <cell r="AJ2596">
            <v>0</v>
          </cell>
          <cell r="AK2596">
            <v>0</v>
          </cell>
          <cell r="AL2596"/>
          <cell r="AM2596"/>
          <cell r="AN2596">
            <v>8082207</v>
          </cell>
          <cell r="AO2596"/>
          <cell r="AP2596"/>
          <cell r="AQ2596"/>
          <cell r="AR2596"/>
          <cell r="AS2596">
            <v>103</v>
          </cell>
          <cell r="AT2596"/>
          <cell r="AU2596" t="str">
            <v/>
          </cell>
          <cell r="AV2596"/>
        </row>
        <row r="2597">
          <cell r="Z2597">
            <v>8082208</v>
          </cell>
          <cell r="AA2597" t="str">
            <v xml:space="preserve">Saver Sub 8" for DJ
6-5/8" REG Pin x Box
Set on : </v>
          </cell>
          <cell r="AB2597" t="e">
            <v>#N/A</v>
          </cell>
          <cell r="AC2597" t="e">
            <v>#N/A</v>
          </cell>
          <cell r="AD2597" t="e">
            <v>#N/A</v>
          </cell>
          <cell r="AE2597" t="e">
            <v>#N/A</v>
          </cell>
          <cell r="AF2597" t="e">
            <v>#N/A</v>
          </cell>
          <cell r="AG2597" t="e">
            <v>#N/A</v>
          </cell>
          <cell r="AH2597" t="e">
            <v>#N/A</v>
          </cell>
          <cell r="AI2597" t="e">
            <v>#N/A</v>
          </cell>
          <cell r="AJ2597" t="e">
            <v>#N/A</v>
          </cell>
          <cell r="AK2597" t="e">
            <v>#N/A</v>
          </cell>
          <cell r="AL2597"/>
          <cell r="AM2597"/>
          <cell r="AN2597">
            <v>8082208</v>
          </cell>
          <cell r="AO2597"/>
          <cell r="AP2597"/>
          <cell r="AQ2597"/>
          <cell r="AR2597"/>
          <cell r="AS2597" t="e">
            <v>#N/A</v>
          </cell>
          <cell r="AT2597"/>
          <cell r="AU2597" t="str">
            <v/>
          </cell>
          <cell r="AV2597"/>
        </row>
        <row r="2598">
          <cell r="Z2598">
            <v>7042209</v>
          </cell>
          <cell r="AA2598" t="str">
            <v>12-3/4" FS Overshot - CA 15800
6-5/8" REG Box</v>
          </cell>
          <cell r="AB2598">
            <v>0</v>
          </cell>
          <cell r="AC2598" t="str">
            <v>12-3/4"FS</v>
          </cell>
          <cell r="AD2598">
            <v>0</v>
          </cell>
          <cell r="AE2598" t="str">
            <v>6-5/8" FH Box</v>
          </cell>
          <cell r="AF2598" t="str">
            <v>bowl only</v>
          </cell>
          <cell r="AG2598">
            <v>15800</v>
          </cell>
          <cell r="AH2598" t="str">
            <v xml:space="preserve"> en stock </v>
          </cell>
          <cell r="AI2598">
            <v>1</v>
          </cell>
          <cell r="AJ2598">
            <v>0</v>
          </cell>
          <cell r="AK2598">
            <v>0</v>
          </cell>
          <cell r="AL2598"/>
          <cell r="AM2598"/>
          <cell r="AN2598" t="str">
            <v/>
          </cell>
          <cell r="AO2598"/>
          <cell r="AP2598"/>
          <cell r="AQ2598"/>
          <cell r="AR2598"/>
          <cell r="AS2598">
            <v>97</v>
          </cell>
          <cell r="AT2598" t="str">
            <v>704-15800</v>
          </cell>
          <cell r="AU2598" t="str">
            <v>US</v>
          </cell>
          <cell r="AV2598"/>
        </row>
        <row r="2599">
          <cell r="Z2599">
            <v>5102210</v>
          </cell>
          <cell r="AA2599" t="str">
            <v>WO Pipe 
8" FJWP Pin x Box</v>
          </cell>
          <cell r="AB2599">
            <v>410.70187254622527</v>
          </cell>
          <cell r="AC2599">
            <v>8</v>
          </cell>
          <cell r="AD2599">
            <v>9090</v>
          </cell>
          <cell r="AE2599" t="str">
            <v>8" FJWP Box</v>
          </cell>
          <cell r="AF2599" t="str">
            <v>8" FJWP Pin</v>
          </cell>
          <cell r="AG2599"/>
          <cell r="AH2599" t="str">
            <v xml:space="preserve"> en stock </v>
          </cell>
          <cell r="AI2599">
            <v>1</v>
          </cell>
          <cell r="AJ2599">
            <v>0</v>
          </cell>
          <cell r="AK2599">
            <v>0</v>
          </cell>
          <cell r="AL2599"/>
          <cell r="AM2599"/>
          <cell r="AN2599">
            <v>5102210</v>
          </cell>
          <cell r="AO2599"/>
          <cell r="AP2599"/>
          <cell r="AQ2599"/>
          <cell r="AR2599"/>
          <cell r="AS2599">
            <v>103</v>
          </cell>
          <cell r="AT2599" t="str">
            <v>509-8,000FJWP</v>
          </cell>
          <cell r="AU2599" t="str">
            <v>FR</v>
          </cell>
          <cell r="AV2599"/>
        </row>
        <row r="2600">
          <cell r="Z2600">
            <v>5102211</v>
          </cell>
          <cell r="AA2600" t="str">
            <v>WO Pipe 
8" FJWP Pin x Box</v>
          </cell>
          <cell r="AB2600">
            <v>401.2137104742003</v>
          </cell>
          <cell r="AC2600">
            <v>8</v>
          </cell>
          <cell r="AD2600">
            <v>8880</v>
          </cell>
          <cell r="AE2600" t="str">
            <v>8" FJWP Box</v>
          </cell>
          <cell r="AF2600" t="str">
            <v>8" FJWP Pin</v>
          </cell>
          <cell r="AG2600"/>
          <cell r="AH2600" t="str">
            <v xml:space="preserve"> en stock </v>
          </cell>
          <cell r="AI2600">
            <v>1</v>
          </cell>
          <cell r="AJ2600">
            <v>0</v>
          </cell>
          <cell r="AK2600">
            <v>0</v>
          </cell>
          <cell r="AL2600"/>
          <cell r="AM2600"/>
          <cell r="AN2600">
            <v>5102211</v>
          </cell>
          <cell r="AO2600"/>
          <cell r="AP2600"/>
          <cell r="AQ2600"/>
          <cell r="AR2600"/>
          <cell r="AS2600">
            <v>104</v>
          </cell>
          <cell r="AT2600" t="str">
            <v>509-8,000FJWP</v>
          </cell>
          <cell r="AU2600" t="str">
            <v>FR</v>
          </cell>
          <cell r="AV2600"/>
        </row>
        <row r="2601">
          <cell r="Z2601">
            <v>5102212</v>
          </cell>
          <cell r="AA2601" t="str">
            <v>WO Pipe 
8" FJWP Pin x Box</v>
          </cell>
          <cell r="AB2601">
            <v>417.47913116910024</v>
          </cell>
          <cell r="AC2601">
            <v>8</v>
          </cell>
          <cell r="AD2601">
            <v>9240</v>
          </cell>
          <cell r="AE2601" t="str">
            <v>8" FJWP Box</v>
          </cell>
          <cell r="AF2601" t="str">
            <v>8" FJWP Pin</v>
          </cell>
          <cell r="AG2601"/>
          <cell r="AH2601" t="str">
            <v xml:space="preserve"> en stock </v>
          </cell>
          <cell r="AI2601">
            <v>1</v>
          </cell>
          <cell r="AJ2601">
            <v>0</v>
          </cell>
          <cell r="AK2601">
            <v>0</v>
          </cell>
          <cell r="AL2601"/>
          <cell r="AM2601"/>
          <cell r="AN2601">
            <v>5102212</v>
          </cell>
          <cell r="AO2601"/>
          <cell r="AP2601"/>
          <cell r="AQ2601"/>
          <cell r="AR2601"/>
          <cell r="AS2601">
            <v>105</v>
          </cell>
          <cell r="AT2601" t="str">
            <v>509-8,000FJWP</v>
          </cell>
          <cell r="AU2601" t="str">
            <v>FR</v>
          </cell>
          <cell r="AV2601"/>
        </row>
        <row r="2602">
          <cell r="Z2602">
            <v>5102213</v>
          </cell>
          <cell r="AA2602" t="str">
            <v>WO Pipe 
8" FJWP Pin x Box</v>
          </cell>
          <cell r="AB2602">
            <v>413.41277599537523</v>
          </cell>
          <cell r="AC2602">
            <v>8</v>
          </cell>
          <cell r="AD2602">
            <v>9150</v>
          </cell>
          <cell r="AE2602" t="str">
            <v>8" FJWP Box</v>
          </cell>
          <cell r="AF2602" t="str">
            <v>8" FJWP Pin</v>
          </cell>
          <cell r="AG2602"/>
          <cell r="AH2602" t="str">
            <v xml:space="preserve"> en stock </v>
          </cell>
          <cell r="AI2602">
            <v>1</v>
          </cell>
          <cell r="AJ2602">
            <v>0</v>
          </cell>
          <cell r="AK2602">
            <v>0</v>
          </cell>
          <cell r="AL2602"/>
          <cell r="AM2602"/>
          <cell r="AN2602">
            <v>5102213</v>
          </cell>
          <cell r="AO2602"/>
          <cell r="AP2602"/>
          <cell r="AQ2602"/>
          <cell r="AR2602"/>
          <cell r="AS2602">
            <v>106</v>
          </cell>
          <cell r="AT2602" t="str">
            <v>509-8,000FJWP</v>
          </cell>
          <cell r="AU2602" t="str">
            <v>FR</v>
          </cell>
          <cell r="AV2602"/>
        </row>
        <row r="2603">
          <cell r="Z2603">
            <v>5102214</v>
          </cell>
          <cell r="AA2603" t="str">
            <v>WO Pipe 
8" FJWP Pin x Box</v>
          </cell>
          <cell r="AB2603">
            <v>377.71921391490019</v>
          </cell>
          <cell r="AC2603">
            <v>8</v>
          </cell>
          <cell r="AD2603">
            <v>8360</v>
          </cell>
          <cell r="AE2603" t="str">
            <v>8" FJWP Box</v>
          </cell>
          <cell r="AF2603" t="str">
            <v>8" FJWP Pin</v>
          </cell>
          <cell r="AG2603"/>
          <cell r="AH2603" t="str">
            <v xml:space="preserve"> en stock </v>
          </cell>
          <cell r="AI2603">
            <v>1</v>
          </cell>
          <cell r="AJ2603">
            <v>0</v>
          </cell>
          <cell r="AK2603">
            <v>0</v>
          </cell>
          <cell r="AL2603"/>
          <cell r="AM2603"/>
          <cell r="AN2603">
            <v>5102214</v>
          </cell>
          <cell r="AO2603"/>
          <cell r="AP2603"/>
          <cell r="AQ2603"/>
          <cell r="AR2603"/>
          <cell r="AS2603">
            <v>107</v>
          </cell>
          <cell r="AT2603" t="str">
            <v>509-8,000FJWP</v>
          </cell>
          <cell r="AU2603" t="str">
            <v>FR</v>
          </cell>
          <cell r="AV2603"/>
        </row>
        <row r="2604">
          <cell r="Z2604">
            <v>5102215</v>
          </cell>
          <cell r="AA2604" t="str">
            <v>WO Pipe 
8" FJWP Pin x Box</v>
          </cell>
          <cell r="AB2604">
            <v>407.31324323478782</v>
          </cell>
          <cell r="AC2604">
            <v>8</v>
          </cell>
          <cell r="AD2604">
            <v>9015</v>
          </cell>
          <cell r="AE2604" t="str">
            <v>8" FJWP Box</v>
          </cell>
          <cell r="AF2604" t="str">
            <v>8" FJWP Pin</v>
          </cell>
          <cell r="AG2604"/>
          <cell r="AH2604" t="str">
            <v xml:space="preserve"> en stock </v>
          </cell>
          <cell r="AI2604">
            <v>1</v>
          </cell>
          <cell r="AJ2604">
            <v>0</v>
          </cell>
          <cell r="AK2604">
            <v>0</v>
          </cell>
          <cell r="AL2604"/>
          <cell r="AM2604"/>
          <cell r="AN2604">
            <v>5102215</v>
          </cell>
          <cell r="AO2604"/>
          <cell r="AP2604"/>
          <cell r="AQ2604"/>
          <cell r="AR2604"/>
          <cell r="AS2604">
            <v>108</v>
          </cell>
          <cell r="AT2604" t="str">
            <v>509-8,000FJWP</v>
          </cell>
          <cell r="AU2604" t="str">
            <v>FR</v>
          </cell>
          <cell r="AV2604"/>
        </row>
        <row r="2605">
          <cell r="Z2605">
            <v>5102216</v>
          </cell>
          <cell r="AA2605" t="str">
            <v>WO Pipe 
8" FJWP Pin x Box</v>
          </cell>
          <cell r="AB2605">
            <v>425.74738668900773</v>
          </cell>
          <cell r="AC2605">
            <v>8</v>
          </cell>
          <cell r="AD2605">
            <v>9423</v>
          </cell>
          <cell r="AE2605" t="str">
            <v>8" FJWP Box</v>
          </cell>
          <cell r="AF2605" t="str">
            <v>8" FJWP Pin</v>
          </cell>
          <cell r="AG2605"/>
          <cell r="AH2605" t="str">
            <v xml:space="preserve"> en stock </v>
          </cell>
          <cell r="AI2605">
            <v>1</v>
          </cell>
          <cell r="AJ2605">
            <v>0</v>
          </cell>
          <cell r="AK2605">
            <v>0</v>
          </cell>
          <cell r="AL2605"/>
          <cell r="AM2605"/>
          <cell r="AN2605">
            <v>5102216</v>
          </cell>
          <cell r="AO2605"/>
          <cell r="AP2605"/>
          <cell r="AQ2605"/>
          <cell r="AR2605"/>
          <cell r="AS2605">
            <v>109</v>
          </cell>
          <cell r="AT2605" t="str">
            <v>509-8,000FJWP</v>
          </cell>
          <cell r="AU2605" t="str">
            <v>FR</v>
          </cell>
          <cell r="AV2605"/>
        </row>
        <row r="2606">
          <cell r="Z2606">
            <v>5102217</v>
          </cell>
          <cell r="AA2606" t="str">
            <v>WO Pipe 
8" FJWP Pin x Box</v>
          </cell>
          <cell r="AB2606">
            <v>379.07466563947526</v>
          </cell>
          <cell r="AC2606">
            <v>8</v>
          </cell>
          <cell r="AD2606">
            <v>8390</v>
          </cell>
          <cell r="AE2606" t="str">
            <v>8" FJWP Box</v>
          </cell>
          <cell r="AF2606" t="str">
            <v>8" FJWP Pin</v>
          </cell>
          <cell r="AG2606"/>
          <cell r="AH2606" t="str">
            <v xml:space="preserve"> en stock </v>
          </cell>
          <cell r="AI2606">
            <v>1</v>
          </cell>
          <cell r="AJ2606">
            <v>0</v>
          </cell>
          <cell r="AK2606">
            <v>0</v>
          </cell>
          <cell r="AL2606"/>
          <cell r="AM2606"/>
          <cell r="AN2606">
            <v>5102217</v>
          </cell>
          <cell r="AO2606"/>
          <cell r="AP2606"/>
          <cell r="AQ2606"/>
          <cell r="AR2606"/>
          <cell r="AS2606">
            <v>110</v>
          </cell>
          <cell r="AT2606" t="str">
            <v>509-8,000FJWP</v>
          </cell>
          <cell r="AU2606" t="str">
            <v>FR</v>
          </cell>
          <cell r="AV2606"/>
        </row>
        <row r="2607">
          <cell r="Z2607">
            <v>5102218</v>
          </cell>
          <cell r="AA2607" t="str">
            <v>WO Pipe 
8" FJWP Pin x Box</v>
          </cell>
          <cell r="AB2607">
            <v>399.85825874962524</v>
          </cell>
          <cell r="AC2607">
            <v>8</v>
          </cell>
          <cell r="AD2607">
            <v>8850</v>
          </cell>
          <cell r="AE2607" t="str">
            <v>8" FJWP Box</v>
          </cell>
          <cell r="AF2607" t="str">
            <v>8" FJWP Pin</v>
          </cell>
          <cell r="AG2607"/>
          <cell r="AH2607" t="str">
            <v xml:space="preserve"> en stock </v>
          </cell>
          <cell r="AI2607">
            <v>1</v>
          </cell>
          <cell r="AJ2607">
            <v>0</v>
          </cell>
          <cell r="AK2607">
            <v>0</v>
          </cell>
          <cell r="AL2607"/>
          <cell r="AM2607"/>
          <cell r="AN2607">
            <v>5102218</v>
          </cell>
          <cell r="AO2607"/>
          <cell r="AP2607"/>
          <cell r="AQ2607"/>
          <cell r="AR2607"/>
          <cell r="AS2607">
            <v>111</v>
          </cell>
          <cell r="AT2607" t="str">
            <v>509-8,000FJWP</v>
          </cell>
          <cell r="AU2607" t="str">
            <v>FR</v>
          </cell>
          <cell r="AV2607"/>
        </row>
        <row r="2608">
          <cell r="Z2608">
            <v>5102219</v>
          </cell>
          <cell r="AA2608" t="str">
            <v>WO Pipe 
8" FJWP Pin x Box</v>
          </cell>
          <cell r="AB2608">
            <v>388.11101046997527</v>
          </cell>
          <cell r="AC2608">
            <v>8</v>
          </cell>
          <cell r="AD2608">
            <v>8590</v>
          </cell>
          <cell r="AE2608" t="str">
            <v>8" FJWP Box</v>
          </cell>
          <cell r="AF2608" t="str">
            <v>8" FJWP Pin</v>
          </cell>
          <cell r="AG2608"/>
          <cell r="AH2608" t="str">
            <v xml:space="preserve"> en stock </v>
          </cell>
          <cell r="AI2608">
            <v>1</v>
          </cell>
          <cell r="AJ2608">
            <v>0</v>
          </cell>
          <cell r="AK2608">
            <v>0</v>
          </cell>
          <cell r="AL2608"/>
          <cell r="AM2608"/>
          <cell r="AN2608">
            <v>5102219</v>
          </cell>
          <cell r="AO2608"/>
          <cell r="AP2608"/>
          <cell r="AQ2608"/>
          <cell r="AR2608"/>
          <cell r="AS2608">
            <v>112</v>
          </cell>
          <cell r="AT2608" t="str">
            <v>509-8,000FJWP</v>
          </cell>
          <cell r="AU2608" t="str">
            <v>FR</v>
          </cell>
          <cell r="AV2608"/>
        </row>
        <row r="2609">
          <cell r="Z2609">
            <v>5102220</v>
          </cell>
          <cell r="AA2609" t="str">
            <v>WO Pipe 
8" FJWP Pin x Box</v>
          </cell>
          <cell r="AB2609">
            <v>392.62918288522525</v>
          </cell>
          <cell r="AC2609">
            <v>8</v>
          </cell>
          <cell r="AD2609">
            <v>8690</v>
          </cell>
          <cell r="AE2609" t="str">
            <v>8" FJWP Box</v>
          </cell>
          <cell r="AF2609" t="str">
            <v>8" FJWP Pin</v>
          </cell>
          <cell r="AG2609"/>
          <cell r="AH2609" t="str">
            <v xml:space="preserve"> en stock </v>
          </cell>
          <cell r="AI2609">
            <v>1</v>
          </cell>
          <cell r="AJ2609">
            <v>0</v>
          </cell>
          <cell r="AK2609">
            <v>0</v>
          </cell>
          <cell r="AL2609"/>
          <cell r="AM2609"/>
          <cell r="AN2609">
            <v>5102220</v>
          </cell>
          <cell r="AO2609"/>
          <cell r="AP2609"/>
          <cell r="AQ2609"/>
          <cell r="AR2609"/>
          <cell r="AS2609">
            <v>113</v>
          </cell>
          <cell r="AT2609" t="str">
            <v>509-8,000FJWP</v>
          </cell>
          <cell r="AU2609" t="str">
            <v>FR</v>
          </cell>
          <cell r="AV2609"/>
        </row>
        <row r="2610">
          <cell r="Z2610">
            <v>5102221</v>
          </cell>
          <cell r="AA2610" t="str">
            <v>WO Pipe 
8" FJWP Pin x Box</v>
          </cell>
          <cell r="AB2610">
            <v>370.49013805050021</v>
          </cell>
          <cell r="AC2610">
            <v>8</v>
          </cell>
          <cell r="AD2610">
            <v>8200</v>
          </cell>
          <cell r="AE2610" t="str">
            <v>8" FJWP Box</v>
          </cell>
          <cell r="AF2610" t="str">
            <v>8" FJWP Pin</v>
          </cell>
          <cell r="AG2610"/>
          <cell r="AH2610" t="str">
            <v xml:space="preserve"> en stock </v>
          </cell>
          <cell r="AI2610">
            <v>1</v>
          </cell>
          <cell r="AJ2610">
            <v>0</v>
          </cell>
          <cell r="AK2610">
            <v>0</v>
          </cell>
          <cell r="AL2610"/>
          <cell r="AM2610"/>
          <cell r="AN2610">
            <v>5102221</v>
          </cell>
          <cell r="AO2610"/>
          <cell r="AP2610"/>
          <cell r="AQ2610"/>
          <cell r="AR2610"/>
          <cell r="AS2610">
            <v>114</v>
          </cell>
          <cell r="AT2610" t="str">
            <v>509-8,000FJWP</v>
          </cell>
          <cell r="AU2610" t="str">
            <v>FR</v>
          </cell>
          <cell r="AV2610"/>
        </row>
        <row r="2611">
          <cell r="Z2611">
            <v>5102222</v>
          </cell>
          <cell r="AA2611" t="str">
            <v>WO Pipe 
8" FJWP Pin x Box</v>
          </cell>
          <cell r="AB2611">
            <v>415.67186220300022</v>
          </cell>
          <cell r="AC2611">
            <v>8</v>
          </cell>
          <cell r="AD2611">
            <v>9200</v>
          </cell>
          <cell r="AE2611" t="str">
            <v>8" FJWP Box</v>
          </cell>
          <cell r="AF2611" t="str">
            <v>8" FJWP Pin</v>
          </cell>
          <cell r="AG2611"/>
          <cell r="AH2611" t="str">
            <v xml:space="preserve"> en stock </v>
          </cell>
          <cell r="AI2611">
            <v>1</v>
          </cell>
          <cell r="AJ2611">
            <v>0</v>
          </cell>
          <cell r="AK2611">
            <v>0</v>
          </cell>
          <cell r="AL2611"/>
          <cell r="AM2611"/>
          <cell r="AN2611">
            <v>5102222</v>
          </cell>
          <cell r="AO2611"/>
          <cell r="AP2611"/>
          <cell r="AQ2611"/>
          <cell r="AR2611"/>
          <cell r="AS2611">
            <v>115</v>
          </cell>
          <cell r="AT2611" t="str">
            <v>509-8,000FJWP</v>
          </cell>
          <cell r="AU2611" t="str">
            <v>FR</v>
          </cell>
          <cell r="AV2611"/>
        </row>
        <row r="2612">
          <cell r="Z2612">
            <v>5102223</v>
          </cell>
          <cell r="AA2612" t="str">
            <v>WO Pipe 
8" FJWP Pin x Box</v>
          </cell>
          <cell r="AB2612">
            <v>415.67186220300022</v>
          </cell>
          <cell r="AC2612">
            <v>8</v>
          </cell>
          <cell r="AD2612">
            <v>9200</v>
          </cell>
          <cell r="AE2612" t="str">
            <v>8" FJWP Box</v>
          </cell>
          <cell r="AF2612" t="str">
            <v>8" FJWP Pin</v>
          </cell>
          <cell r="AG2612"/>
          <cell r="AH2612" t="str">
            <v xml:space="preserve"> en stock </v>
          </cell>
          <cell r="AI2612">
            <v>1</v>
          </cell>
          <cell r="AJ2612">
            <v>0</v>
          </cell>
          <cell r="AK2612">
            <v>0</v>
          </cell>
          <cell r="AL2612"/>
          <cell r="AM2612"/>
          <cell r="AN2612">
            <v>5102223</v>
          </cell>
          <cell r="AO2612"/>
          <cell r="AP2612"/>
          <cell r="AQ2612"/>
          <cell r="AR2612"/>
          <cell r="AS2612">
            <v>116</v>
          </cell>
          <cell r="AT2612" t="str">
            <v>509-8,000FJWP</v>
          </cell>
          <cell r="AU2612" t="str">
            <v>FR</v>
          </cell>
          <cell r="AV2612"/>
        </row>
        <row r="2613">
          <cell r="Z2613">
            <v>5102224</v>
          </cell>
          <cell r="AA2613" t="str">
            <v>WO Pipe 
8" FJWP Pin x Box</v>
          </cell>
          <cell r="AB2613">
            <v>267.47580698280018</v>
          </cell>
          <cell r="AC2613">
            <v>8</v>
          </cell>
          <cell r="AD2613">
            <v>5920</v>
          </cell>
          <cell r="AE2613" t="str">
            <v>8" FJWP Box</v>
          </cell>
          <cell r="AF2613" t="str">
            <v>8" FJWP Pin</v>
          </cell>
          <cell r="AG2613"/>
          <cell r="AH2613" t="str">
            <v xml:space="preserve"> en stock </v>
          </cell>
          <cell r="AI2613">
            <v>1</v>
          </cell>
          <cell r="AJ2613">
            <v>0</v>
          </cell>
          <cell r="AK2613">
            <v>0</v>
          </cell>
          <cell r="AL2613"/>
          <cell r="AM2613"/>
          <cell r="AN2613">
            <v>5102224</v>
          </cell>
          <cell r="AO2613"/>
          <cell r="AP2613"/>
          <cell r="AQ2613"/>
          <cell r="AR2613"/>
          <cell r="AS2613">
            <v>117</v>
          </cell>
          <cell r="AT2613" t="str">
            <v>509-8,000FJWP</v>
          </cell>
          <cell r="AU2613" t="str">
            <v>FR</v>
          </cell>
          <cell r="AV2613"/>
        </row>
        <row r="2614">
          <cell r="Z2614">
            <v>5102225</v>
          </cell>
          <cell r="AA2614" t="str">
            <v>WO Pipe 
8" FJWP Pin x Box</v>
          </cell>
          <cell r="AB2614">
            <v>393.08100012675021</v>
          </cell>
          <cell r="AC2614">
            <v>8</v>
          </cell>
          <cell r="AD2614">
            <v>8700</v>
          </cell>
          <cell r="AE2614" t="str">
            <v>8" FJWP Box</v>
          </cell>
          <cell r="AF2614" t="str">
            <v>8" FJWP Pin</v>
          </cell>
          <cell r="AG2614"/>
          <cell r="AH2614" t="str">
            <v xml:space="preserve"> en stock </v>
          </cell>
          <cell r="AI2614">
            <v>1</v>
          </cell>
          <cell r="AJ2614">
            <v>0</v>
          </cell>
          <cell r="AK2614">
            <v>0</v>
          </cell>
          <cell r="AL2614"/>
          <cell r="AM2614"/>
          <cell r="AN2614">
            <v>5102225</v>
          </cell>
          <cell r="AO2614"/>
          <cell r="AP2614"/>
          <cell r="AQ2614"/>
          <cell r="AR2614"/>
          <cell r="AS2614">
            <v>118</v>
          </cell>
          <cell r="AT2614" t="str">
            <v>509-8,000FJWP</v>
          </cell>
          <cell r="AU2614" t="str">
            <v>FR</v>
          </cell>
          <cell r="AV2614"/>
        </row>
        <row r="2615">
          <cell r="Z2615">
            <v>5092277</v>
          </cell>
          <cell r="AA2615" t="str">
            <v>WO Extension Lg 3050 mm
8" FJWP Pin x Box</v>
          </cell>
          <cell r="AB2615">
            <v>137.80425866512508</v>
          </cell>
          <cell r="AC2615">
            <v>8</v>
          </cell>
          <cell r="AD2615">
            <v>3050</v>
          </cell>
          <cell r="AE2615" t="str">
            <v>8" FJWP Box</v>
          </cell>
          <cell r="AF2615" t="str">
            <v>8" FJWP Pin</v>
          </cell>
          <cell r="AG2615"/>
          <cell r="AH2615" t="str">
            <v xml:space="preserve"> en stock </v>
          </cell>
          <cell r="AI2615">
            <v>1</v>
          </cell>
          <cell r="AJ2615">
            <v>0</v>
          </cell>
          <cell r="AK2615">
            <v>0</v>
          </cell>
          <cell r="AL2615"/>
          <cell r="AM2615"/>
          <cell r="AN2615">
            <v>5092277</v>
          </cell>
          <cell r="AO2615"/>
          <cell r="AP2615"/>
          <cell r="AQ2615"/>
          <cell r="AR2615"/>
          <cell r="AS2615">
            <v>84</v>
          </cell>
          <cell r="AT2615" t="str">
            <v>509-8,000FJWP</v>
          </cell>
          <cell r="AU2615" t="str">
            <v>FR</v>
          </cell>
          <cell r="AV2615"/>
        </row>
        <row r="2616">
          <cell r="Z2616">
            <v>5092278</v>
          </cell>
          <cell r="AA2616" t="str">
            <v>WO Extension Lg 3000 mm
8" FJWP Pin x Box</v>
          </cell>
          <cell r="AB2616">
            <v>135.54517245750009</v>
          </cell>
          <cell r="AC2616">
            <v>8</v>
          </cell>
          <cell r="AD2616">
            <v>3000</v>
          </cell>
          <cell r="AE2616" t="str">
            <v>8" FJWP Box</v>
          </cell>
          <cell r="AF2616" t="str">
            <v>8" FJWP Pin</v>
          </cell>
          <cell r="AG2616"/>
          <cell r="AH2616" t="str">
            <v xml:space="preserve"> en stock </v>
          </cell>
          <cell r="AI2616">
            <v>1</v>
          </cell>
          <cell r="AJ2616">
            <v>0</v>
          </cell>
          <cell r="AK2616">
            <v>0</v>
          </cell>
          <cell r="AL2616"/>
          <cell r="AM2616"/>
          <cell r="AN2616">
            <v>5092278</v>
          </cell>
          <cell r="AO2616"/>
          <cell r="AP2616"/>
          <cell r="AQ2616"/>
          <cell r="AR2616"/>
          <cell r="AS2616">
            <v>85</v>
          </cell>
          <cell r="AT2616" t="str">
            <v>509-8,000FJWP</v>
          </cell>
          <cell r="AU2616" t="str">
            <v>FR</v>
          </cell>
          <cell r="AV2616"/>
        </row>
        <row r="2617">
          <cell r="Z2617">
            <v>5092279</v>
          </cell>
          <cell r="AA2617" t="str">
            <v>WO Extension Lg 3035 mm
8" FJWP Pin x Box</v>
          </cell>
          <cell r="AB2617">
            <v>137.1265328028376</v>
          </cell>
          <cell r="AC2617">
            <v>8</v>
          </cell>
          <cell r="AD2617">
            <v>3035</v>
          </cell>
          <cell r="AE2617" t="str">
            <v>8" FJWP Box</v>
          </cell>
          <cell r="AF2617" t="str">
            <v>8" FJWP Pin</v>
          </cell>
          <cell r="AG2617"/>
          <cell r="AH2617" t="str">
            <v xml:space="preserve"> en stock </v>
          </cell>
          <cell r="AI2617">
            <v>1</v>
          </cell>
          <cell r="AJ2617">
            <v>0</v>
          </cell>
          <cell r="AK2617">
            <v>0</v>
          </cell>
          <cell r="AL2617"/>
          <cell r="AM2617"/>
          <cell r="AN2617">
            <v>5092279</v>
          </cell>
          <cell r="AO2617"/>
          <cell r="AP2617"/>
          <cell r="AQ2617"/>
          <cell r="AR2617"/>
          <cell r="AS2617">
            <v>86</v>
          </cell>
          <cell r="AT2617" t="str">
            <v>509-8,000FJWP</v>
          </cell>
          <cell r="AU2617" t="str">
            <v>FR</v>
          </cell>
          <cell r="AV2617"/>
        </row>
        <row r="2618">
          <cell r="Z2618">
            <v>5092280</v>
          </cell>
          <cell r="AA2618" t="str">
            <v>WO Extension Lg 2910 mm
8" FJWP Pin x Box</v>
          </cell>
          <cell r="AB2618">
            <v>131.47881728377507</v>
          </cell>
          <cell r="AC2618">
            <v>8</v>
          </cell>
          <cell r="AD2618">
            <v>2910</v>
          </cell>
          <cell r="AE2618" t="str">
            <v>8" FJWP Box</v>
          </cell>
          <cell r="AF2618" t="str">
            <v>8" FJWP Pin</v>
          </cell>
          <cell r="AG2618"/>
          <cell r="AH2618" t="str">
            <v xml:space="preserve"> en stock </v>
          </cell>
          <cell r="AI2618">
            <v>1</v>
          </cell>
          <cell r="AJ2618">
            <v>0</v>
          </cell>
          <cell r="AK2618">
            <v>0</v>
          </cell>
          <cell r="AL2618"/>
          <cell r="AM2618"/>
          <cell r="AN2618">
            <v>5092280</v>
          </cell>
          <cell r="AO2618"/>
          <cell r="AP2618"/>
          <cell r="AQ2618"/>
          <cell r="AR2618"/>
          <cell r="AS2618">
            <v>87</v>
          </cell>
          <cell r="AT2618" t="str">
            <v>509-8,000FJWP</v>
          </cell>
          <cell r="AU2618" t="str">
            <v>FR</v>
          </cell>
          <cell r="AV2618"/>
        </row>
        <row r="2619">
          <cell r="Z2619">
            <v>5892230</v>
          </cell>
          <cell r="AA2619" t="str">
            <v>WO Internal Hook Lg 3000 mm
8" FJWP Pin x Box</v>
          </cell>
          <cell r="AB2619">
            <v>0</v>
          </cell>
          <cell r="AC2619" t="e">
            <v>#REF!</v>
          </cell>
          <cell r="AD2619">
            <v>3000</v>
          </cell>
          <cell r="AE2619" t="str">
            <v>8" FJWP Box</v>
          </cell>
          <cell r="AF2619" t="str">
            <v>8" FJWP Pin</v>
          </cell>
          <cell r="AG2619"/>
          <cell r="AH2619" t="str">
            <v>maintenance</v>
          </cell>
          <cell r="AI2619" t="str">
            <v/>
          </cell>
          <cell r="AJ2619">
            <v>0</v>
          </cell>
          <cell r="AK2619">
            <v>1</v>
          </cell>
          <cell r="AL2619"/>
          <cell r="AM2619"/>
          <cell r="AN2619">
            <v>5892230</v>
          </cell>
          <cell r="AO2619"/>
          <cell r="AP2619"/>
          <cell r="AQ2619"/>
          <cell r="AR2619"/>
          <cell r="AS2619">
            <v>16</v>
          </cell>
          <cell r="AT2619"/>
          <cell r="AU2619" t="str">
            <v>FR</v>
          </cell>
          <cell r="AV2619"/>
        </row>
        <row r="2620">
          <cell r="Z2620">
            <v>5892231</v>
          </cell>
          <cell r="AA2620" t="str">
            <v>WO Internal Hook Lg 3000 mm
8" FJWP Pin x Box</v>
          </cell>
          <cell r="AB2620">
            <v>0</v>
          </cell>
          <cell r="AC2620">
            <v>8</v>
          </cell>
          <cell r="AD2620">
            <v>3000</v>
          </cell>
          <cell r="AE2620" t="str">
            <v>8" FJWP Box</v>
          </cell>
          <cell r="AF2620" t="str">
            <v>8" FJWP Pin</v>
          </cell>
          <cell r="AG2620"/>
          <cell r="AH2620" t="str">
            <v>maintenance</v>
          </cell>
          <cell r="AI2620" t="str">
            <v/>
          </cell>
          <cell r="AJ2620">
            <v>0</v>
          </cell>
          <cell r="AK2620">
            <v>1</v>
          </cell>
          <cell r="AL2620"/>
          <cell r="AM2620"/>
          <cell r="AN2620">
            <v>5892231</v>
          </cell>
          <cell r="AO2620"/>
          <cell r="AP2620"/>
          <cell r="AQ2620"/>
          <cell r="AR2620"/>
          <cell r="AS2620">
            <v>17</v>
          </cell>
          <cell r="AT2620"/>
          <cell r="AU2620" t="str">
            <v>FR</v>
          </cell>
          <cell r="AV2620"/>
        </row>
        <row r="2621">
          <cell r="Z2621">
            <v>5112232</v>
          </cell>
          <cell r="AA2621" t="str">
            <v>WO Shoe
8" FJWP Box</v>
          </cell>
          <cell r="AB2621">
            <v>0</v>
          </cell>
          <cell r="AC2621">
            <v>0</v>
          </cell>
          <cell r="AD2621">
            <v>710</v>
          </cell>
          <cell r="AE2621" t="str">
            <v>8" FJWP Box</v>
          </cell>
          <cell r="AF2621"/>
          <cell r="AG2621" t="str">
            <v>BLANK</v>
          </cell>
          <cell r="AH2621" t="str">
            <v xml:space="preserve"> en stock </v>
          </cell>
          <cell r="AI2621">
            <v>1</v>
          </cell>
          <cell r="AJ2621">
            <v>0</v>
          </cell>
          <cell r="AK2621">
            <v>0</v>
          </cell>
          <cell r="AL2621"/>
          <cell r="AM2621"/>
          <cell r="AN2621">
            <v>5112232</v>
          </cell>
          <cell r="AO2621"/>
          <cell r="AP2621"/>
          <cell r="AQ2621"/>
          <cell r="AR2621"/>
          <cell r="AS2621">
            <v>165</v>
          </cell>
          <cell r="AT2621"/>
          <cell r="AU2621" t="str">
            <v>FR</v>
          </cell>
          <cell r="AV2621"/>
        </row>
        <row r="2622">
          <cell r="Z2622">
            <v>5112233</v>
          </cell>
          <cell r="AA2622" t="str">
            <v>WO Shoe
8" FJWP Box</v>
          </cell>
          <cell r="AB2622">
            <v>0</v>
          </cell>
          <cell r="AC2622">
            <v>0</v>
          </cell>
          <cell r="AD2622">
            <v>710</v>
          </cell>
          <cell r="AE2622" t="str">
            <v>8" FJWP Box</v>
          </cell>
          <cell r="AF2622"/>
          <cell r="AG2622" t="str">
            <v>BLANK</v>
          </cell>
          <cell r="AH2622" t="str">
            <v xml:space="preserve"> en stock </v>
          </cell>
          <cell r="AI2622">
            <v>1</v>
          </cell>
          <cell r="AJ2622">
            <v>0</v>
          </cell>
          <cell r="AK2622">
            <v>0</v>
          </cell>
          <cell r="AL2622"/>
          <cell r="AM2622"/>
          <cell r="AN2622">
            <v>5112233</v>
          </cell>
          <cell r="AO2622"/>
          <cell r="AP2622"/>
          <cell r="AQ2622"/>
          <cell r="AR2622"/>
          <cell r="AS2622">
            <v>166</v>
          </cell>
          <cell r="AT2622"/>
          <cell r="AU2622" t="str">
            <v>FR</v>
          </cell>
          <cell r="AV2622"/>
        </row>
        <row r="2623">
          <cell r="Z2623">
            <v>5112234</v>
          </cell>
          <cell r="AA2623" t="str">
            <v>WO Shoe
8" FJWP Box</v>
          </cell>
          <cell r="AB2623">
            <v>0</v>
          </cell>
          <cell r="AC2623">
            <v>0</v>
          </cell>
          <cell r="AD2623">
            <v>710</v>
          </cell>
          <cell r="AE2623" t="str">
            <v>8" FJWP Box</v>
          </cell>
          <cell r="AF2623"/>
          <cell r="AG2623" t="str">
            <v>BLANK</v>
          </cell>
          <cell r="AH2623" t="str">
            <v xml:space="preserve"> en stock </v>
          </cell>
          <cell r="AI2623">
            <v>1</v>
          </cell>
          <cell r="AJ2623">
            <v>0</v>
          </cell>
          <cell r="AK2623">
            <v>0</v>
          </cell>
          <cell r="AL2623"/>
          <cell r="AM2623"/>
          <cell r="AN2623">
            <v>5112234</v>
          </cell>
          <cell r="AO2623"/>
          <cell r="AP2623"/>
          <cell r="AQ2623"/>
          <cell r="AR2623"/>
          <cell r="AS2623">
            <v>167</v>
          </cell>
          <cell r="AT2623"/>
          <cell r="AU2623" t="str">
            <v>FR</v>
          </cell>
          <cell r="AV2623"/>
        </row>
        <row r="2624">
          <cell r="Z2624">
            <v>5112235</v>
          </cell>
          <cell r="AA2624" t="str">
            <v>WO Shoe
8" FJWP Box</v>
          </cell>
          <cell r="AB2624">
            <v>0</v>
          </cell>
          <cell r="AC2624">
            <v>0</v>
          </cell>
          <cell r="AD2624">
            <v>710</v>
          </cell>
          <cell r="AE2624" t="str">
            <v>8" FJWP Box</v>
          </cell>
          <cell r="AF2624"/>
          <cell r="AG2624" t="str">
            <v>BLANK</v>
          </cell>
          <cell r="AH2624" t="str">
            <v xml:space="preserve"> en stock </v>
          </cell>
          <cell r="AI2624">
            <v>1</v>
          </cell>
          <cell r="AJ2624">
            <v>0</v>
          </cell>
          <cell r="AK2624">
            <v>0</v>
          </cell>
          <cell r="AL2624"/>
          <cell r="AM2624"/>
          <cell r="AN2624">
            <v>5112235</v>
          </cell>
          <cell r="AO2624"/>
          <cell r="AP2624"/>
          <cell r="AQ2624"/>
          <cell r="AR2624"/>
          <cell r="AS2624">
            <v>168</v>
          </cell>
          <cell r="AT2624"/>
          <cell r="AU2624" t="str">
            <v>FR</v>
          </cell>
          <cell r="AV2624"/>
        </row>
        <row r="2625">
          <cell r="Z2625">
            <v>5112236</v>
          </cell>
          <cell r="AA2625" t="str">
            <v>WO Shoe
8" FJWP Box</v>
          </cell>
          <cell r="AB2625">
            <v>0</v>
          </cell>
          <cell r="AC2625">
            <v>0</v>
          </cell>
          <cell r="AD2625">
            <v>710</v>
          </cell>
          <cell r="AE2625" t="str">
            <v>8" FJWP Box</v>
          </cell>
          <cell r="AF2625"/>
          <cell r="AG2625" t="str">
            <v>BLANK</v>
          </cell>
          <cell r="AH2625" t="str">
            <v xml:space="preserve"> en stock </v>
          </cell>
          <cell r="AI2625">
            <v>1</v>
          </cell>
          <cell r="AJ2625">
            <v>0</v>
          </cell>
          <cell r="AK2625">
            <v>0</v>
          </cell>
          <cell r="AL2625"/>
          <cell r="AM2625"/>
          <cell r="AN2625">
            <v>5112236</v>
          </cell>
          <cell r="AO2625"/>
          <cell r="AP2625"/>
          <cell r="AQ2625"/>
          <cell r="AR2625"/>
          <cell r="AS2625">
            <v>169</v>
          </cell>
          <cell r="AT2625"/>
          <cell r="AU2625" t="str">
            <v>FR</v>
          </cell>
          <cell r="AV2625"/>
        </row>
        <row r="2626">
          <cell r="Z2626">
            <v>5112237</v>
          </cell>
          <cell r="AA2626" t="str">
            <v>WO Shoe
8" FJWP Box</v>
          </cell>
          <cell r="AB2626">
            <v>0</v>
          </cell>
          <cell r="AC2626">
            <v>0</v>
          </cell>
          <cell r="AD2626">
            <v>710</v>
          </cell>
          <cell r="AE2626" t="str">
            <v>8" FJWP Box</v>
          </cell>
          <cell r="AF2626"/>
          <cell r="AG2626" t="str">
            <v>BLANK</v>
          </cell>
          <cell r="AH2626" t="str">
            <v xml:space="preserve"> en stock </v>
          </cell>
          <cell r="AI2626">
            <v>1</v>
          </cell>
          <cell r="AJ2626">
            <v>0</v>
          </cell>
          <cell r="AK2626">
            <v>0</v>
          </cell>
          <cell r="AL2626"/>
          <cell r="AM2626"/>
          <cell r="AN2626">
            <v>5112237</v>
          </cell>
          <cell r="AO2626"/>
          <cell r="AP2626"/>
          <cell r="AQ2626"/>
          <cell r="AR2626"/>
          <cell r="AS2626">
            <v>170</v>
          </cell>
          <cell r="AT2626"/>
          <cell r="AU2626" t="str">
            <v>FR</v>
          </cell>
          <cell r="AV2626"/>
        </row>
        <row r="2627">
          <cell r="Z2627">
            <v>5112238</v>
          </cell>
          <cell r="AA2627" t="str">
            <v>WO Shoe
8" FJWP Box</v>
          </cell>
          <cell r="AB2627">
            <v>0</v>
          </cell>
          <cell r="AC2627">
            <v>0</v>
          </cell>
          <cell r="AD2627">
            <v>710</v>
          </cell>
          <cell r="AE2627" t="str">
            <v>8" FJWP Box</v>
          </cell>
          <cell r="AF2627"/>
          <cell r="AG2627" t="str">
            <v>BLANK</v>
          </cell>
          <cell r="AH2627" t="str">
            <v xml:space="preserve"> en stock </v>
          </cell>
          <cell r="AI2627">
            <v>1</v>
          </cell>
          <cell r="AJ2627">
            <v>0</v>
          </cell>
          <cell r="AK2627">
            <v>0</v>
          </cell>
          <cell r="AL2627"/>
          <cell r="AM2627"/>
          <cell r="AN2627">
            <v>5112238</v>
          </cell>
          <cell r="AO2627"/>
          <cell r="AP2627"/>
          <cell r="AQ2627"/>
          <cell r="AR2627"/>
          <cell r="AS2627">
            <v>171</v>
          </cell>
          <cell r="AT2627"/>
          <cell r="AU2627" t="str">
            <v>FR</v>
          </cell>
          <cell r="AV2627"/>
        </row>
        <row r="2628">
          <cell r="Z2628">
            <v>5112239</v>
          </cell>
          <cell r="AA2628" t="str">
            <v>WO Shoe
8" FJWP Box</v>
          </cell>
          <cell r="AB2628">
            <v>0</v>
          </cell>
          <cell r="AC2628">
            <v>0</v>
          </cell>
          <cell r="AD2628">
            <v>710</v>
          </cell>
          <cell r="AE2628" t="str">
            <v>8" FJWP Box</v>
          </cell>
          <cell r="AF2628"/>
          <cell r="AG2628" t="str">
            <v>BLANK</v>
          </cell>
          <cell r="AH2628" t="str">
            <v xml:space="preserve"> en stock </v>
          </cell>
          <cell r="AI2628">
            <v>1</v>
          </cell>
          <cell r="AJ2628">
            <v>0</v>
          </cell>
          <cell r="AK2628">
            <v>0</v>
          </cell>
          <cell r="AL2628"/>
          <cell r="AM2628"/>
          <cell r="AN2628">
            <v>5112239</v>
          </cell>
          <cell r="AO2628"/>
          <cell r="AP2628"/>
          <cell r="AQ2628"/>
          <cell r="AR2628"/>
          <cell r="AS2628">
            <v>172</v>
          </cell>
          <cell r="AT2628"/>
          <cell r="AU2628" t="str">
            <v>FR</v>
          </cell>
          <cell r="AV2628"/>
        </row>
        <row r="2629">
          <cell r="Z2629">
            <v>5112240</v>
          </cell>
          <cell r="AA2629" t="str">
            <v>WO Shoe
8" FJWP Box</v>
          </cell>
          <cell r="AB2629">
            <v>0</v>
          </cell>
          <cell r="AC2629">
            <v>0</v>
          </cell>
          <cell r="AD2629">
            <v>710</v>
          </cell>
          <cell r="AE2629" t="str">
            <v>8" FJWP Box</v>
          </cell>
          <cell r="AF2629"/>
          <cell r="AG2629" t="str">
            <v>BLANK</v>
          </cell>
          <cell r="AH2629" t="str">
            <v xml:space="preserve"> en stock </v>
          </cell>
          <cell r="AI2629">
            <v>1</v>
          </cell>
          <cell r="AJ2629">
            <v>0</v>
          </cell>
          <cell r="AK2629">
            <v>0</v>
          </cell>
          <cell r="AL2629"/>
          <cell r="AM2629"/>
          <cell r="AN2629">
            <v>5112240</v>
          </cell>
          <cell r="AO2629"/>
          <cell r="AP2629"/>
          <cell r="AQ2629"/>
          <cell r="AR2629"/>
          <cell r="AS2629">
            <v>173</v>
          </cell>
          <cell r="AT2629"/>
          <cell r="AU2629" t="str">
            <v>FR</v>
          </cell>
          <cell r="AV2629"/>
        </row>
        <row r="2630">
          <cell r="Z2630">
            <v>4032241</v>
          </cell>
          <cell r="AA2630" t="str">
            <v>Jar Z 6-11/32"
4-1/2" IF Pin down  x Box up</v>
          </cell>
          <cell r="AB2630">
            <v>448</v>
          </cell>
          <cell r="AC2630">
            <v>6.34375</v>
          </cell>
          <cell r="AD2630">
            <v>2390</v>
          </cell>
          <cell r="AE2630" t="str">
            <v>4" IF Box</v>
          </cell>
          <cell r="AF2630" t="str">
            <v>4" IF Pin</v>
          </cell>
          <cell r="AG2630"/>
          <cell r="AH2630" t="str">
            <v>en stock</v>
          </cell>
          <cell r="AI2630">
            <v>0</v>
          </cell>
          <cell r="AJ2630">
            <v>1</v>
          </cell>
          <cell r="AK2630">
            <v>0</v>
          </cell>
          <cell r="AL2630"/>
          <cell r="AM2630"/>
          <cell r="AN2630" t="str">
            <v/>
          </cell>
          <cell r="AO2630"/>
          <cell r="AP2630"/>
          <cell r="AQ2630"/>
          <cell r="AR2630"/>
          <cell r="AS2630">
            <v>22</v>
          </cell>
          <cell r="AT2630" t="str">
            <v>403-6,250</v>
          </cell>
          <cell r="AU2630" t="str">
            <v/>
          </cell>
          <cell r="AV2630"/>
        </row>
        <row r="2631">
          <cell r="Z2631">
            <v>5152242</v>
          </cell>
          <cell r="AA2631" t="str">
            <v>WO Lift Plug 
8" FJWP Pin</v>
          </cell>
          <cell r="AB2631">
            <v>0</v>
          </cell>
          <cell r="AC2631">
            <v>10.125</v>
          </cell>
          <cell r="AD2631"/>
          <cell r="AE2631" t="str">
            <v>8" FJWP Pin</v>
          </cell>
          <cell r="AF2631"/>
          <cell r="AG2631"/>
          <cell r="AH2631" t="str">
            <v xml:space="preserve"> en stock </v>
          </cell>
          <cell r="AI2631">
            <v>1</v>
          </cell>
          <cell r="AJ2631">
            <v>0</v>
          </cell>
          <cell r="AK2631">
            <v>0</v>
          </cell>
          <cell r="AL2631"/>
          <cell r="AM2631"/>
          <cell r="AN2631">
            <v>5152242</v>
          </cell>
          <cell r="AO2631"/>
          <cell r="AP2631"/>
          <cell r="AQ2631"/>
          <cell r="AR2631"/>
          <cell r="AS2631">
            <v>23</v>
          </cell>
          <cell r="AT2631"/>
          <cell r="AU2631" t="str">
            <v>FR</v>
          </cell>
          <cell r="AV2631"/>
        </row>
        <row r="2632">
          <cell r="Z2632">
            <v>5152243</v>
          </cell>
          <cell r="AA2632" t="str">
            <v>WO Lift Plug 
8" FJWP Pin</v>
          </cell>
          <cell r="AB2632">
            <v>0</v>
          </cell>
          <cell r="AC2632">
            <v>10.125</v>
          </cell>
          <cell r="AD2632"/>
          <cell r="AE2632" t="str">
            <v>8" FJWP Pin</v>
          </cell>
          <cell r="AF2632"/>
          <cell r="AG2632"/>
          <cell r="AH2632" t="str">
            <v xml:space="preserve"> en stock </v>
          </cell>
          <cell r="AI2632">
            <v>1</v>
          </cell>
          <cell r="AJ2632">
            <v>0</v>
          </cell>
          <cell r="AK2632">
            <v>0</v>
          </cell>
          <cell r="AL2632"/>
          <cell r="AM2632"/>
          <cell r="AN2632">
            <v>5152243</v>
          </cell>
          <cell r="AO2632"/>
          <cell r="AP2632"/>
          <cell r="AQ2632"/>
          <cell r="AR2632"/>
          <cell r="AS2632">
            <v>24</v>
          </cell>
          <cell r="AT2632"/>
          <cell r="AU2632" t="str">
            <v>FR</v>
          </cell>
          <cell r="AV2632"/>
        </row>
        <row r="2633">
          <cell r="Z2633">
            <v>5162244</v>
          </cell>
          <cell r="AA2633" t="str">
            <v>WO Lift Sub for 5" DP 18"
8" FJWP Pin</v>
          </cell>
          <cell r="AB2633">
            <v>0</v>
          </cell>
          <cell r="AC2633">
            <v>0</v>
          </cell>
          <cell r="AD2633">
            <v>0</v>
          </cell>
          <cell r="AE2633" t="str">
            <v>8" FJWP Pin</v>
          </cell>
          <cell r="AF2633"/>
          <cell r="AG2633" t="str">
            <v>5" DP 18"</v>
          </cell>
          <cell r="AH2633" t="str">
            <v xml:space="preserve"> en stock </v>
          </cell>
          <cell r="AI2633">
            <v>1</v>
          </cell>
          <cell r="AJ2633">
            <v>0</v>
          </cell>
          <cell r="AK2633">
            <v>0</v>
          </cell>
          <cell r="AL2633"/>
          <cell r="AM2633"/>
          <cell r="AN2633">
            <v>5162244</v>
          </cell>
          <cell r="AO2633"/>
          <cell r="AP2633"/>
          <cell r="AQ2633"/>
          <cell r="AR2633"/>
          <cell r="AS2633">
            <v>13</v>
          </cell>
          <cell r="AT2633" t="str">
            <v>516-8,000FJWP</v>
          </cell>
          <cell r="AU2633" t="str">
            <v>FR</v>
          </cell>
          <cell r="AV2633"/>
        </row>
        <row r="2634">
          <cell r="Z2634">
            <v>5162245</v>
          </cell>
          <cell r="AA2634" t="str">
            <v>WO Lift Sub for 5" DP 18"
8" FJWP Pin</v>
          </cell>
          <cell r="AB2634">
            <v>0</v>
          </cell>
          <cell r="AC2634">
            <v>0</v>
          </cell>
          <cell r="AD2634">
            <v>0</v>
          </cell>
          <cell r="AE2634" t="str">
            <v>8" FJWP Pin</v>
          </cell>
          <cell r="AF2634"/>
          <cell r="AG2634" t="str">
            <v>5" DP 18"</v>
          </cell>
          <cell r="AH2634" t="str">
            <v xml:space="preserve"> en stock </v>
          </cell>
          <cell r="AI2634">
            <v>1</v>
          </cell>
          <cell r="AJ2634">
            <v>0</v>
          </cell>
          <cell r="AK2634">
            <v>0</v>
          </cell>
          <cell r="AL2634"/>
          <cell r="AM2634"/>
          <cell r="AN2634">
            <v>5162245</v>
          </cell>
          <cell r="AO2634"/>
          <cell r="AP2634"/>
          <cell r="AQ2634"/>
          <cell r="AR2634"/>
          <cell r="AS2634">
            <v>14</v>
          </cell>
          <cell r="AT2634" t="str">
            <v>516-8,000FJWP</v>
          </cell>
          <cell r="AU2634" t="str">
            <v>FR</v>
          </cell>
          <cell r="AV2634"/>
          <cell r="AW2634"/>
        </row>
        <row r="2635">
          <cell r="Z2635">
            <v>5152246</v>
          </cell>
          <cell r="AA2635" t="str">
            <v>WO Lift Plug 
8" FJWP Pin</v>
          </cell>
          <cell r="AB2635">
            <v>0</v>
          </cell>
          <cell r="AC2635" t="str">
            <v>Flush w/ Handle</v>
          </cell>
          <cell r="AD2635"/>
          <cell r="AE2635" t="str">
            <v>8" FJWP Pin</v>
          </cell>
          <cell r="AF2635"/>
          <cell r="AG2635"/>
          <cell r="AH2635" t="str">
            <v xml:space="preserve"> en stock </v>
          </cell>
          <cell r="AI2635">
            <v>1</v>
          </cell>
          <cell r="AJ2635">
            <v>0</v>
          </cell>
          <cell r="AK2635">
            <v>0</v>
          </cell>
          <cell r="AL2635"/>
          <cell r="AM2635"/>
          <cell r="AN2635">
            <v>5152246</v>
          </cell>
          <cell r="AO2635"/>
          <cell r="AP2635"/>
          <cell r="AQ2635"/>
          <cell r="AR2635"/>
          <cell r="AS2635">
            <v>25</v>
          </cell>
          <cell r="AT2635"/>
          <cell r="AU2635" t="str">
            <v>FR</v>
          </cell>
          <cell r="AV2635"/>
        </row>
        <row r="2636">
          <cell r="Z2636">
            <v>5152247</v>
          </cell>
          <cell r="AA2636" t="str">
            <v>WO Lift Plug 
8" FJWP Pin</v>
          </cell>
          <cell r="AB2636">
            <v>0</v>
          </cell>
          <cell r="AC2636" t="str">
            <v>Flush w/ Handle</v>
          </cell>
          <cell r="AD2636"/>
          <cell r="AE2636" t="str">
            <v>8" FJWP Pin</v>
          </cell>
          <cell r="AF2636"/>
          <cell r="AG2636"/>
          <cell r="AH2636" t="str">
            <v xml:space="preserve"> en stock </v>
          </cell>
          <cell r="AI2636">
            <v>1</v>
          </cell>
          <cell r="AJ2636">
            <v>0</v>
          </cell>
          <cell r="AK2636">
            <v>0</v>
          </cell>
          <cell r="AL2636"/>
          <cell r="AM2636"/>
          <cell r="AN2636">
            <v>5152247</v>
          </cell>
          <cell r="AO2636"/>
          <cell r="AP2636"/>
          <cell r="AQ2636"/>
          <cell r="AR2636"/>
          <cell r="AS2636">
            <v>26</v>
          </cell>
          <cell r="AT2636"/>
          <cell r="AU2636" t="str">
            <v>FR</v>
          </cell>
          <cell r="AV2636"/>
        </row>
        <row r="2637">
          <cell r="Z2637">
            <v>5122248</v>
          </cell>
          <cell r="AA2637" t="str">
            <v>WO Top Sub 
4-1/2" IF Box x 8" FJWP Pin x 4-1/2" REG Box in</v>
          </cell>
          <cell r="AB2637">
            <v>0</v>
          </cell>
          <cell r="AC2637">
            <v>8</v>
          </cell>
          <cell r="AD2637">
            <v>750</v>
          </cell>
          <cell r="AE2637" t="str">
            <v>4-1/2" IF Box</v>
          </cell>
          <cell r="AF2637" t="str">
            <v>8" FJWP Pin</v>
          </cell>
          <cell r="AG2637" t="str">
            <v>4-1/2" REG Box</v>
          </cell>
          <cell r="AH2637" t="str">
            <v xml:space="preserve"> en stock </v>
          </cell>
          <cell r="AI2637">
            <v>1</v>
          </cell>
          <cell r="AJ2637">
            <v>0</v>
          </cell>
          <cell r="AK2637">
            <v>0</v>
          </cell>
          <cell r="AL2637"/>
          <cell r="AM2637"/>
          <cell r="AN2637">
            <v>5122248</v>
          </cell>
          <cell r="AO2637"/>
          <cell r="AP2637"/>
          <cell r="AQ2637"/>
          <cell r="AR2637"/>
          <cell r="AS2637">
            <v>34</v>
          </cell>
          <cell r="AT2637"/>
          <cell r="AU2637" t="str">
            <v>FR</v>
          </cell>
          <cell r="AV2637"/>
        </row>
        <row r="2638">
          <cell r="Z2638">
            <v>5122249</v>
          </cell>
          <cell r="AA2638" t="str">
            <v>WO Top Sub 
4-1/2" IF Box x 8" FJWP Pin x 4-1/2" REG Box in</v>
          </cell>
          <cell r="AB2638">
            <v>0</v>
          </cell>
          <cell r="AC2638">
            <v>8</v>
          </cell>
          <cell r="AD2638">
            <v>750</v>
          </cell>
          <cell r="AE2638" t="str">
            <v>4-1/2" IF Box</v>
          </cell>
          <cell r="AF2638" t="str">
            <v>8" FJWP Pin</v>
          </cell>
          <cell r="AG2638" t="str">
            <v>4-1/2" REG Box</v>
          </cell>
          <cell r="AH2638" t="str">
            <v xml:space="preserve"> en stock </v>
          </cell>
          <cell r="AI2638">
            <v>1</v>
          </cell>
          <cell r="AJ2638">
            <v>0</v>
          </cell>
          <cell r="AK2638">
            <v>0</v>
          </cell>
          <cell r="AL2638"/>
          <cell r="AM2638"/>
          <cell r="AN2638">
            <v>5122249</v>
          </cell>
          <cell r="AO2638"/>
          <cell r="AP2638"/>
          <cell r="AQ2638"/>
          <cell r="AR2638"/>
          <cell r="AS2638">
            <v>35</v>
          </cell>
          <cell r="AT2638"/>
          <cell r="AU2638" t="str">
            <v>FR</v>
          </cell>
          <cell r="AV2638"/>
        </row>
        <row r="2639">
          <cell r="Z2639">
            <v>5122250</v>
          </cell>
          <cell r="AA2639" t="str">
            <v>WO Top Sub 
4-1/2" IF Box x 8" FJWP Pin x 4-1/2" REG Box in</v>
          </cell>
          <cell r="AB2639">
            <v>0</v>
          </cell>
          <cell r="AC2639">
            <v>8</v>
          </cell>
          <cell r="AD2639">
            <v>750</v>
          </cell>
          <cell r="AE2639" t="str">
            <v>4-1/2" IF Box</v>
          </cell>
          <cell r="AF2639" t="str">
            <v>8" FJWP Pin</v>
          </cell>
          <cell r="AG2639" t="str">
            <v>4-1/2" REG Box</v>
          </cell>
          <cell r="AH2639" t="str">
            <v xml:space="preserve"> en stock </v>
          </cell>
          <cell r="AI2639">
            <v>1</v>
          </cell>
          <cell r="AJ2639">
            <v>0</v>
          </cell>
          <cell r="AK2639">
            <v>0</v>
          </cell>
          <cell r="AL2639"/>
          <cell r="AM2639"/>
          <cell r="AN2639">
            <v>5122250</v>
          </cell>
          <cell r="AO2639"/>
          <cell r="AP2639"/>
          <cell r="AQ2639"/>
          <cell r="AR2639"/>
          <cell r="AS2639">
            <v>36</v>
          </cell>
          <cell r="AT2639"/>
          <cell r="AU2639" t="str">
            <v>FR</v>
          </cell>
          <cell r="AV2639"/>
        </row>
        <row r="2640">
          <cell r="Z2640">
            <v>5122251</v>
          </cell>
          <cell r="AA2640" t="str">
            <v>WO Top Sub 
4-1/2" IF Box x 8" FJWP Pin x 4-1/2" REG Box in</v>
          </cell>
          <cell r="AB2640">
            <v>0</v>
          </cell>
          <cell r="AC2640">
            <v>8</v>
          </cell>
          <cell r="AD2640">
            <v>750</v>
          </cell>
          <cell r="AE2640" t="str">
            <v>4-1/2" IF Box</v>
          </cell>
          <cell r="AF2640" t="str">
            <v>8" FJWP Pin</v>
          </cell>
          <cell r="AG2640" t="str">
            <v>4-1/2" REG Box</v>
          </cell>
          <cell r="AH2640" t="str">
            <v xml:space="preserve"> en stock </v>
          </cell>
          <cell r="AI2640">
            <v>1</v>
          </cell>
          <cell r="AJ2640">
            <v>0</v>
          </cell>
          <cell r="AK2640">
            <v>0</v>
          </cell>
          <cell r="AL2640"/>
          <cell r="AM2640"/>
          <cell r="AN2640">
            <v>5122251</v>
          </cell>
          <cell r="AO2640"/>
          <cell r="AP2640"/>
          <cell r="AQ2640"/>
          <cell r="AR2640"/>
          <cell r="AS2640">
            <v>37</v>
          </cell>
          <cell r="AT2640"/>
          <cell r="AU2640" t="str">
            <v>FR</v>
          </cell>
          <cell r="AV2640"/>
        </row>
        <row r="2641">
          <cell r="Z2641">
            <v>8132252</v>
          </cell>
          <cell r="AA2641" t="str">
            <v>XO
8" FJWP Pin x 8-1/8" FJWP Box</v>
          </cell>
          <cell r="AB2641">
            <v>35.075090938387561</v>
          </cell>
          <cell r="AC2641">
            <v>8.125</v>
          </cell>
          <cell r="AD2641">
            <v>660</v>
          </cell>
          <cell r="AE2641" t="str">
            <v>8" FJWP Pin</v>
          </cell>
          <cell r="AF2641" t="str">
            <v>8-1/8" FJWP Box</v>
          </cell>
          <cell r="AG2641"/>
          <cell r="AH2641" t="str">
            <v xml:space="preserve"> en stock </v>
          </cell>
          <cell r="AI2641">
            <v>1</v>
          </cell>
          <cell r="AJ2641">
            <v>0</v>
          </cell>
          <cell r="AK2641">
            <v>0</v>
          </cell>
          <cell r="AL2641"/>
          <cell r="AM2641"/>
          <cell r="AN2641">
            <v>8132252</v>
          </cell>
          <cell r="AO2641"/>
          <cell r="AP2641"/>
          <cell r="AQ2641"/>
          <cell r="AR2641"/>
          <cell r="AS2641">
            <v>234</v>
          </cell>
          <cell r="AT2641"/>
          <cell r="AU2641" t="str">
            <v>FR</v>
          </cell>
          <cell r="AV2641"/>
        </row>
        <row r="2642">
          <cell r="Z2642">
            <v>8132253</v>
          </cell>
          <cell r="AA2642" t="str">
            <v>XO
8" FJWP Pin x 8-1/8" FJWP Box</v>
          </cell>
          <cell r="AB2642">
            <v>37.200854025562563</v>
          </cell>
          <cell r="AC2642">
            <v>8.125</v>
          </cell>
          <cell r="AD2642">
            <v>700</v>
          </cell>
          <cell r="AE2642" t="str">
            <v>8" FJWP Pin</v>
          </cell>
          <cell r="AF2642" t="str">
            <v>8-1/8" FJWP Box</v>
          </cell>
          <cell r="AG2642"/>
          <cell r="AH2642" t="str">
            <v xml:space="preserve"> en stock </v>
          </cell>
          <cell r="AI2642">
            <v>1</v>
          </cell>
          <cell r="AJ2642">
            <v>0</v>
          </cell>
          <cell r="AK2642">
            <v>0</v>
          </cell>
          <cell r="AL2642"/>
          <cell r="AM2642"/>
          <cell r="AN2642">
            <v>8132253</v>
          </cell>
          <cell r="AO2642"/>
          <cell r="AP2642"/>
          <cell r="AQ2642"/>
          <cell r="AR2642"/>
          <cell r="AS2642">
            <v>235</v>
          </cell>
          <cell r="AT2642"/>
          <cell r="AU2642" t="str">
            <v>FR</v>
          </cell>
          <cell r="AV2642"/>
        </row>
        <row r="2643">
          <cell r="Z2643">
            <v>8132254</v>
          </cell>
          <cell r="AA2643" t="str">
            <v>XO
8-1/8" FJWP Pin x 8" FJWP Box</v>
          </cell>
          <cell r="AB2643">
            <v>42.780982129396946</v>
          </cell>
          <cell r="AC2643">
            <v>8.125</v>
          </cell>
          <cell r="AD2643">
            <v>805</v>
          </cell>
          <cell r="AE2643" t="str">
            <v>8-1/8" FJWP Pin</v>
          </cell>
          <cell r="AF2643" t="str">
            <v>8" FJWP Box</v>
          </cell>
          <cell r="AG2643"/>
          <cell r="AH2643" t="str">
            <v xml:space="preserve"> en stock </v>
          </cell>
          <cell r="AI2643">
            <v>1</v>
          </cell>
          <cell r="AJ2643">
            <v>0</v>
          </cell>
          <cell r="AK2643">
            <v>0</v>
          </cell>
          <cell r="AL2643"/>
          <cell r="AM2643"/>
          <cell r="AN2643">
            <v>8132254</v>
          </cell>
          <cell r="AO2643"/>
          <cell r="AP2643"/>
          <cell r="AQ2643"/>
          <cell r="AR2643"/>
          <cell r="AS2643">
            <v>236</v>
          </cell>
          <cell r="AT2643"/>
          <cell r="AU2643" t="str">
            <v>FR</v>
          </cell>
          <cell r="AV2643"/>
        </row>
        <row r="2644">
          <cell r="Z2644">
            <v>8132255</v>
          </cell>
          <cell r="AA2644" t="str">
            <v>XO
8-1/8" FJWP Pin x 8" FJWP Box</v>
          </cell>
          <cell r="AB2644">
            <v>42.780982129396946</v>
          </cell>
          <cell r="AC2644">
            <v>8.125</v>
          </cell>
          <cell r="AD2644">
            <v>805</v>
          </cell>
          <cell r="AE2644" t="str">
            <v>8-1/8" FJWP Pin</v>
          </cell>
          <cell r="AF2644" t="str">
            <v>8" FJWP Box</v>
          </cell>
          <cell r="AG2644"/>
          <cell r="AH2644" t="str">
            <v xml:space="preserve"> en stock </v>
          </cell>
          <cell r="AI2644">
            <v>1</v>
          </cell>
          <cell r="AJ2644">
            <v>0</v>
          </cell>
          <cell r="AK2644">
            <v>0</v>
          </cell>
          <cell r="AL2644"/>
          <cell r="AM2644"/>
          <cell r="AN2644">
            <v>8132255</v>
          </cell>
          <cell r="AO2644"/>
          <cell r="AP2644"/>
          <cell r="AQ2644"/>
          <cell r="AR2644"/>
          <cell r="AS2644">
            <v>237</v>
          </cell>
          <cell r="AT2644"/>
          <cell r="AU2644" t="str">
            <v>FR</v>
          </cell>
          <cell r="AV2644"/>
        </row>
        <row r="2645">
          <cell r="Z2645">
            <v>8132256</v>
          </cell>
          <cell r="AA2645" t="str">
            <v>XO
3-1/2" IF Pin x 2-7/8" EU Box</v>
          </cell>
          <cell r="AB2645">
            <v>0</v>
          </cell>
          <cell r="AC2645">
            <v>4.75</v>
          </cell>
          <cell r="AD2645">
            <v>400</v>
          </cell>
          <cell r="AE2645" t="str">
            <v>3-1/2" IF Pin</v>
          </cell>
          <cell r="AF2645" t="str">
            <v>2-7/8" EU Box</v>
          </cell>
          <cell r="AG2645"/>
          <cell r="AH2645" t="str">
            <v xml:space="preserve"> en stock </v>
          </cell>
          <cell r="AI2645">
            <v>1</v>
          </cell>
          <cell r="AJ2645">
            <v>0</v>
          </cell>
          <cell r="AK2645">
            <v>0</v>
          </cell>
          <cell r="AL2645"/>
          <cell r="AM2645"/>
          <cell r="AN2645">
            <v>8132256</v>
          </cell>
          <cell r="AO2645"/>
          <cell r="AP2645"/>
          <cell r="AQ2645"/>
          <cell r="AR2645"/>
          <cell r="AS2645">
            <v>110</v>
          </cell>
          <cell r="AT2645"/>
          <cell r="AU2645" t="str">
            <v>FR</v>
          </cell>
          <cell r="AV2645"/>
        </row>
        <row r="2646">
          <cell r="Z2646">
            <v>8132257</v>
          </cell>
          <cell r="AA2646" t="str">
            <v>XO
3-1/2" IF Pin x 2-7/8" EU Box</v>
          </cell>
          <cell r="AB2646">
            <v>0</v>
          </cell>
          <cell r="AC2646">
            <v>4.75</v>
          </cell>
          <cell r="AD2646">
            <v>400</v>
          </cell>
          <cell r="AE2646" t="str">
            <v>3-1/2" IF Pin</v>
          </cell>
          <cell r="AF2646" t="str">
            <v>2-7/8" EU Box</v>
          </cell>
          <cell r="AG2646"/>
          <cell r="AH2646" t="str">
            <v xml:space="preserve"> en stock </v>
          </cell>
          <cell r="AI2646">
            <v>1</v>
          </cell>
          <cell r="AJ2646">
            <v>0</v>
          </cell>
          <cell r="AK2646">
            <v>0</v>
          </cell>
          <cell r="AL2646"/>
          <cell r="AM2646"/>
          <cell r="AN2646">
            <v>8132257</v>
          </cell>
          <cell r="AO2646"/>
          <cell r="AP2646"/>
          <cell r="AQ2646"/>
          <cell r="AR2646"/>
          <cell r="AS2646">
            <v>111</v>
          </cell>
          <cell r="AT2646"/>
          <cell r="AU2646" t="str">
            <v>FR</v>
          </cell>
          <cell r="AV2646"/>
        </row>
        <row r="2647">
          <cell r="Z2647">
            <v>5112258</v>
          </cell>
          <cell r="AA2647" t="str">
            <v>WO Shoe
13-3/8" FJWP Pin</v>
          </cell>
          <cell r="AB2647">
            <v>0</v>
          </cell>
          <cell r="AC2647">
            <v>0</v>
          </cell>
          <cell r="AD2647">
            <v>1000</v>
          </cell>
          <cell r="AE2647" t="str">
            <v>13-3/8" FJWP Pin</v>
          </cell>
          <cell r="AF2647"/>
          <cell r="AG2647" t="str">
            <v>BLANK</v>
          </cell>
          <cell r="AH2647" t="str">
            <v xml:space="preserve"> en stock </v>
          </cell>
          <cell r="AI2647" t="str">
            <v>blank</v>
          </cell>
          <cell r="AJ2647">
            <v>0</v>
          </cell>
          <cell r="AK2647">
            <v>0</v>
          </cell>
          <cell r="AL2647"/>
          <cell r="AM2647"/>
          <cell r="AN2647">
            <v>5112258</v>
          </cell>
          <cell r="AO2647"/>
          <cell r="AP2647"/>
          <cell r="AQ2647"/>
          <cell r="AR2647"/>
          <cell r="AS2647">
            <v>228</v>
          </cell>
          <cell r="AT2647"/>
          <cell r="AU2647" t="str">
            <v>FR</v>
          </cell>
          <cell r="AV2647"/>
        </row>
        <row r="2648">
          <cell r="Z2648">
            <v>5092259</v>
          </cell>
          <cell r="AA2648" t="str">
            <v>WO Extension Lg 2860 mm
8-1/8" FJWP Pin x Box</v>
          </cell>
          <cell r="AB2648">
            <v>131.33808732330016</v>
          </cell>
          <cell r="AC2648">
            <v>8.125</v>
          </cell>
          <cell r="AD2648">
            <v>2860</v>
          </cell>
          <cell r="AE2648" t="str">
            <v>8-1/8" FJWP Box</v>
          </cell>
          <cell r="AF2648" t="str">
            <v>8-1/8" FJWP Pin</v>
          </cell>
          <cell r="AG2648"/>
          <cell r="AH2648" t="str">
            <v>Fabrication en cours</v>
          </cell>
          <cell r="AI2648" t="e">
            <v>#VALUE!</v>
          </cell>
          <cell r="AJ2648">
            <v>0</v>
          </cell>
          <cell r="AK2648" t="str">
            <v>F</v>
          </cell>
          <cell r="AL2648"/>
          <cell r="AM2648"/>
          <cell r="AN2648">
            <v>5092259</v>
          </cell>
          <cell r="AO2648"/>
          <cell r="AP2648"/>
          <cell r="AQ2648"/>
          <cell r="AR2648"/>
          <cell r="AS2648">
            <v>99</v>
          </cell>
          <cell r="AT2648" t="str">
            <v>509-8,125FJWP</v>
          </cell>
          <cell r="AU2648" t="str">
            <v>FR</v>
          </cell>
          <cell r="AV2648"/>
        </row>
        <row r="2649">
          <cell r="Z2649">
            <v>5092260</v>
          </cell>
          <cell r="AA2649" t="str">
            <v>WO Extension Lg 4000 mm
8-1/8" FJWP Pin x Box</v>
          </cell>
          <cell r="AB2649">
            <v>183.68963262000022</v>
          </cell>
          <cell r="AC2649">
            <v>8.125</v>
          </cell>
          <cell r="AD2649">
            <v>4000</v>
          </cell>
          <cell r="AE2649" t="str">
            <v>8-1/8" FJWP Box</v>
          </cell>
          <cell r="AF2649" t="str">
            <v>8-1/8" FJWP Pin</v>
          </cell>
          <cell r="AG2649"/>
          <cell r="AH2649" t="str">
            <v xml:space="preserve"> en stock </v>
          </cell>
          <cell r="AI2649">
            <v>1</v>
          </cell>
          <cell r="AJ2649">
            <v>0</v>
          </cell>
          <cell r="AK2649">
            <v>0</v>
          </cell>
          <cell r="AL2649"/>
          <cell r="AM2649"/>
          <cell r="AN2649">
            <v>5092260</v>
          </cell>
          <cell r="AO2649"/>
          <cell r="AP2649"/>
          <cell r="AQ2649"/>
          <cell r="AR2649"/>
          <cell r="AS2649">
            <v>100</v>
          </cell>
          <cell r="AT2649" t="str">
            <v>509-8,125FJWP</v>
          </cell>
          <cell r="AU2649" t="str">
            <v>FR</v>
          </cell>
          <cell r="AV2649"/>
        </row>
        <row r="2650">
          <cell r="Z2650">
            <v>4032261</v>
          </cell>
          <cell r="AA2650" t="str">
            <v>Jar Z 7-3/4" 
6-5/8" REG Pin down  x Box up</v>
          </cell>
          <cell r="AB2650">
            <v>448</v>
          </cell>
          <cell r="AC2650">
            <v>7.75</v>
          </cell>
          <cell r="AD2650">
            <v>2290</v>
          </cell>
          <cell r="AE2650" t="str">
            <v>6-5/8" REG Box</v>
          </cell>
          <cell r="AF2650" t="str">
            <v>6-5/8" REG Pin</v>
          </cell>
          <cell r="AG2650"/>
          <cell r="AH2650" t="str">
            <v xml:space="preserve"> en stock </v>
          </cell>
          <cell r="AI2650">
            <v>1</v>
          </cell>
          <cell r="AJ2650">
            <v>0</v>
          </cell>
          <cell r="AK2650">
            <v>0</v>
          </cell>
          <cell r="AL2650"/>
          <cell r="AM2650"/>
          <cell r="AN2650" t="str">
            <v/>
          </cell>
          <cell r="AO2650"/>
          <cell r="AP2650"/>
          <cell r="AQ2650"/>
          <cell r="AR2650"/>
          <cell r="AS2650">
            <v>24</v>
          </cell>
          <cell r="AT2650" t="str">
            <v>403-8,000</v>
          </cell>
          <cell r="AU2650" t="str">
            <v/>
          </cell>
          <cell r="AV2650"/>
        </row>
        <row r="2651">
          <cell r="Z2651">
            <v>4032262</v>
          </cell>
          <cell r="AA2651" t="str">
            <v>Jar Z 6-11/32"
4-1/2" IF Pin down  x Box up</v>
          </cell>
          <cell r="AB2651">
            <v>448</v>
          </cell>
          <cell r="AC2651">
            <v>6.34375</v>
          </cell>
          <cell r="AD2651">
            <v>2260</v>
          </cell>
          <cell r="AE2651" t="str">
            <v>4-1/2" IF Box</v>
          </cell>
          <cell r="AF2651" t="str">
            <v>4-1/2" IF Pin</v>
          </cell>
          <cell r="AG2651"/>
          <cell r="AH2651" t="str">
            <v xml:space="preserve"> en stock </v>
          </cell>
          <cell r="AI2651">
            <v>1</v>
          </cell>
          <cell r="AJ2651">
            <v>0</v>
          </cell>
          <cell r="AK2651">
            <v>0</v>
          </cell>
          <cell r="AL2651"/>
          <cell r="AM2651"/>
          <cell r="AN2651" t="str">
            <v/>
          </cell>
          <cell r="AO2651"/>
          <cell r="AP2651"/>
          <cell r="AQ2651"/>
          <cell r="AR2651"/>
          <cell r="AS2651">
            <v>21</v>
          </cell>
          <cell r="AT2651" t="str">
            <v>403-6,250</v>
          </cell>
          <cell r="AU2651" t="str">
            <v/>
          </cell>
          <cell r="AV2651"/>
        </row>
        <row r="2652">
          <cell r="Z2652">
            <v>5112263</v>
          </cell>
          <cell r="AA2652" t="str">
            <v>WO Shoe
8-1/8" FJWP Box</v>
          </cell>
          <cell r="AB2652">
            <v>0</v>
          </cell>
          <cell r="AC2652">
            <v>0</v>
          </cell>
          <cell r="AD2652">
            <v>0</v>
          </cell>
          <cell r="AE2652" t="str">
            <v>8-1/8" FJWP Box</v>
          </cell>
          <cell r="AF2652"/>
          <cell r="AG2652">
            <v>0</v>
          </cell>
          <cell r="AH2652" t="str">
            <v xml:space="preserve"> en stock </v>
          </cell>
          <cell r="AI2652">
            <v>1</v>
          </cell>
          <cell r="AJ2652">
            <v>0</v>
          </cell>
          <cell r="AK2652">
            <v>0</v>
          </cell>
          <cell r="AL2652"/>
          <cell r="AM2652"/>
          <cell r="AN2652" t="str">
            <v/>
          </cell>
          <cell r="AO2652"/>
          <cell r="AP2652"/>
          <cell r="AQ2652"/>
          <cell r="AR2652"/>
          <cell r="AS2652">
            <v>182</v>
          </cell>
          <cell r="AT2652"/>
          <cell r="AU2652" t="str">
            <v>FR</v>
          </cell>
          <cell r="AV2652"/>
        </row>
        <row r="2653">
          <cell r="Z2653">
            <v>5112264</v>
          </cell>
          <cell r="AA2653" t="str">
            <v>WO Shoe
8-1/8" FJWP Box</v>
          </cell>
          <cell r="AB2653">
            <v>38</v>
          </cell>
          <cell r="AC2653" t="str">
            <v>flush</v>
          </cell>
          <cell r="AD2653">
            <v>695</v>
          </cell>
          <cell r="AE2653" t="str">
            <v>8-1/8" FJWP Box</v>
          </cell>
          <cell r="AF2653"/>
          <cell r="AG2653">
            <v>0</v>
          </cell>
          <cell r="AH2653" t="str">
            <v xml:space="preserve"> en stock </v>
          </cell>
          <cell r="AI2653">
            <v>1</v>
          </cell>
          <cell r="AJ2653">
            <v>0</v>
          </cell>
          <cell r="AK2653">
            <v>0</v>
          </cell>
          <cell r="AL2653"/>
          <cell r="AM2653"/>
          <cell r="AN2653" t="str">
            <v/>
          </cell>
          <cell r="AO2653"/>
          <cell r="AP2653"/>
          <cell r="AQ2653"/>
          <cell r="AR2653"/>
          <cell r="AS2653">
            <v>183</v>
          </cell>
          <cell r="AT2653"/>
          <cell r="AU2653" t="str">
            <v>FR</v>
          </cell>
          <cell r="AV2653"/>
        </row>
        <row r="2654">
          <cell r="Z2654">
            <v>5112265</v>
          </cell>
          <cell r="AA2654" t="str">
            <v>WO Shoe
8-1/8" FJWP Box</v>
          </cell>
          <cell r="AB2654">
            <v>38</v>
          </cell>
          <cell r="AC2654" t="str">
            <v>flush</v>
          </cell>
          <cell r="AD2654">
            <v>700</v>
          </cell>
          <cell r="AE2654" t="str">
            <v>8-1/8" FJWP Box</v>
          </cell>
          <cell r="AF2654"/>
          <cell r="AG2654">
            <v>0</v>
          </cell>
          <cell r="AH2654" t="str">
            <v xml:space="preserve"> en stock </v>
          </cell>
          <cell r="AI2654">
            <v>1</v>
          </cell>
          <cell r="AJ2654">
            <v>0</v>
          </cell>
          <cell r="AK2654">
            <v>0</v>
          </cell>
          <cell r="AL2654"/>
          <cell r="AM2654"/>
          <cell r="AN2654" t="str">
            <v/>
          </cell>
          <cell r="AO2654"/>
          <cell r="AP2654"/>
          <cell r="AQ2654"/>
          <cell r="AR2654"/>
          <cell r="AS2654">
            <v>184</v>
          </cell>
          <cell r="AT2654"/>
          <cell r="AU2654" t="str">
            <v>FR</v>
          </cell>
          <cell r="AV2654"/>
        </row>
        <row r="2655">
          <cell r="Z2655">
            <v>5112266</v>
          </cell>
          <cell r="AA2655" t="str">
            <v>WO Shoe
7-5/8" FJWP Box</v>
          </cell>
          <cell r="AB2655">
            <v>0</v>
          </cell>
          <cell r="AC2655">
            <v>8.125</v>
          </cell>
          <cell r="AD2655">
            <v>720</v>
          </cell>
          <cell r="AE2655" t="str">
            <v>7-5/8" FJWP Box</v>
          </cell>
          <cell r="AF2655"/>
          <cell r="AG2655" t="str">
            <v>CC</v>
          </cell>
          <cell r="AH2655" t="str">
            <v>Fabrication en cours</v>
          </cell>
          <cell r="AI2655" t="e">
            <v>#VALUE!</v>
          </cell>
          <cell r="AJ2655">
            <v>0</v>
          </cell>
          <cell r="AK2655" t="str">
            <v>F</v>
          </cell>
          <cell r="AL2655"/>
          <cell r="AM2655"/>
          <cell r="AN2655" t="str">
            <v/>
          </cell>
          <cell r="AO2655"/>
          <cell r="AP2655"/>
          <cell r="AQ2655"/>
          <cell r="AR2655"/>
          <cell r="AS2655">
            <v>161</v>
          </cell>
          <cell r="AT2655"/>
          <cell r="AU2655" t="str">
            <v>FR</v>
          </cell>
          <cell r="AV2655"/>
        </row>
        <row r="2656">
          <cell r="Z2656">
            <v>5112267</v>
          </cell>
          <cell r="AA2656" t="str">
            <v>WO Shoe
7-5/8" FJWP Box</v>
          </cell>
          <cell r="AB2656">
            <v>0</v>
          </cell>
          <cell r="AC2656">
            <v>8.125</v>
          </cell>
          <cell r="AD2656">
            <v>690</v>
          </cell>
          <cell r="AE2656" t="str">
            <v>7-5/8" FJWP Box</v>
          </cell>
          <cell r="AF2656"/>
          <cell r="AG2656" t="str">
            <v>CC</v>
          </cell>
          <cell r="AH2656" t="str">
            <v>Fabrication en cours</v>
          </cell>
          <cell r="AI2656" t="e">
            <v>#VALUE!</v>
          </cell>
          <cell r="AJ2656">
            <v>0</v>
          </cell>
          <cell r="AK2656" t="str">
            <v>F</v>
          </cell>
          <cell r="AL2656"/>
          <cell r="AM2656"/>
          <cell r="AN2656" t="str">
            <v/>
          </cell>
          <cell r="AO2656"/>
          <cell r="AP2656"/>
          <cell r="AQ2656"/>
          <cell r="AR2656"/>
          <cell r="AS2656">
            <v>162</v>
          </cell>
          <cell r="AT2656"/>
          <cell r="AU2656" t="str">
            <v>FR</v>
          </cell>
          <cell r="AV2656"/>
        </row>
        <row r="2657">
          <cell r="Z2657">
            <v>5112268</v>
          </cell>
          <cell r="AA2657" t="str">
            <v>WO Shoe
7-5/8" FJWP Box</v>
          </cell>
          <cell r="AB2657">
            <v>0</v>
          </cell>
          <cell r="AC2657">
            <v>8.125</v>
          </cell>
          <cell r="AD2657">
            <v>840</v>
          </cell>
          <cell r="AE2657" t="str">
            <v>7-5/8" FJWP Box</v>
          </cell>
          <cell r="AF2657"/>
          <cell r="AG2657" t="str">
            <v>CC</v>
          </cell>
          <cell r="AH2657" t="str">
            <v>Fabrication en cours</v>
          </cell>
          <cell r="AI2657" t="e">
            <v>#VALUE!</v>
          </cell>
          <cell r="AJ2657">
            <v>0</v>
          </cell>
          <cell r="AK2657" t="str">
            <v>F</v>
          </cell>
          <cell r="AL2657"/>
          <cell r="AM2657"/>
          <cell r="AN2657" t="str">
            <v/>
          </cell>
          <cell r="AO2657"/>
          <cell r="AP2657"/>
          <cell r="AQ2657"/>
          <cell r="AR2657"/>
          <cell r="AS2657">
            <v>163</v>
          </cell>
          <cell r="AT2657"/>
          <cell r="AU2657" t="str">
            <v>FR</v>
          </cell>
          <cell r="AV2657"/>
        </row>
        <row r="2658">
          <cell r="Z2658">
            <v>5092269</v>
          </cell>
          <cell r="AA2658" t="str">
            <v>WO Extension Lg 2890 mm
7-5/8" FJWP Pin x Box</v>
          </cell>
          <cell r="AB2658">
            <v>0</v>
          </cell>
          <cell r="AC2658">
            <v>7.625</v>
          </cell>
          <cell r="AD2658">
            <v>2890</v>
          </cell>
          <cell r="AE2658" t="str">
            <v>7-5/8" FJWP Box</v>
          </cell>
          <cell r="AF2658" t="str">
            <v>7-5/8" FJWP Pin</v>
          </cell>
          <cell r="AG2658"/>
          <cell r="AH2658" t="str">
            <v xml:space="preserve"> en stock </v>
          </cell>
          <cell r="AI2658">
            <v>1</v>
          </cell>
          <cell r="AJ2658">
            <v>0</v>
          </cell>
          <cell r="AK2658">
            <v>0</v>
          </cell>
          <cell r="AL2658"/>
          <cell r="AM2658"/>
          <cell r="AN2658" t="str">
            <v/>
          </cell>
          <cell r="AO2658"/>
          <cell r="AP2658"/>
          <cell r="AQ2658"/>
          <cell r="AR2658"/>
          <cell r="AS2658">
            <v>79</v>
          </cell>
          <cell r="AT2658" t="str">
            <v>509-7,625FJWP</v>
          </cell>
          <cell r="AU2658" t="str">
            <v>FR</v>
          </cell>
          <cell r="AV2658"/>
        </row>
        <row r="2659">
          <cell r="Z2659">
            <v>8082270</v>
          </cell>
          <cell r="AA2659" t="str">
            <v xml:space="preserve">Saver Sub 8" for DJ
6-5/8" REG Pin x Box
Set on : </v>
          </cell>
          <cell r="AB2659">
            <v>0</v>
          </cell>
          <cell r="AC2659">
            <v>8</v>
          </cell>
          <cell r="AD2659">
            <v>0</v>
          </cell>
          <cell r="AE2659" t="str">
            <v>6-5/8" REG Box</v>
          </cell>
          <cell r="AF2659" t="str">
            <v>6-5/8" REG Pin</v>
          </cell>
          <cell r="AG2659" t="str">
            <v>DJ</v>
          </cell>
          <cell r="AH2659" t="str">
            <v xml:space="preserve"> en stock </v>
          </cell>
          <cell r="AI2659">
            <v>1</v>
          </cell>
          <cell r="AJ2659">
            <v>0</v>
          </cell>
          <cell r="AK2659">
            <v>0</v>
          </cell>
          <cell r="AL2659"/>
          <cell r="AM2659"/>
          <cell r="AN2659" t="str">
            <v/>
          </cell>
          <cell r="AO2659"/>
          <cell r="AP2659"/>
          <cell r="AQ2659"/>
          <cell r="AR2659"/>
          <cell r="AS2659">
            <v>105</v>
          </cell>
          <cell r="AT2659"/>
          <cell r="AU2659" t="str">
            <v/>
          </cell>
          <cell r="AV2659"/>
        </row>
        <row r="2660">
          <cell r="Z2660">
            <v>5072271</v>
          </cell>
          <cell r="AA2660" t="str">
            <v>Super Junk Mill 
4-1/2" REG Pin</v>
          </cell>
          <cell r="AB2660">
            <v>0</v>
          </cell>
          <cell r="AC2660">
            <v>8.5</v>
          </cell>
          <cell r="AD2660">
            <v>0</v>
          </cell>
          <cell r="AE2660" t="str">
            <v>4-1/2" REG Pin</v>
          </cell>
          <cell r="AF2660"/>
          <cell r="AG2660">
            <v>0</v>
          </cell>
          <cell r="AH2660" t="str">
            <v xml:space="preserve"> en stock </v>
          </cell>
          <cell r="AI2660">
            <v>1</v>
          </cell>
          <cell r="AJ2660">
            <v>0</v>
          </cell>
          <cell r="AK2660">
            <v>0</v>
          </cell>
          <cell r="AL2660"/>
          <cell r="AM2660"/>
          <cell r="AN2660">
            <v>5072271</v>
          </cell>
          <cell r="AO2660"/>
          <cell r="AP2660"/>
          <cell r="AQ2660"/>
          <cell r="AR2660"/>
          <cell r="AS2660">
            <v>67</v>
          </cell>
          <cell r="AT2660"/>
          <cell r="AU2660" t="str">
            <v>FR</v>
          </cell>
          <cell r="AV2660"/>
        </row>
        <row r="2661">
          <cell r="Z2661">
            <v>5072272</v>
          </cell>
          <cell r="AA2661" t="str">
            <v>Super Junk Mill 
4-1/2" REG Pin</v>
          </cell>
          <cell r="AB2661">
            <v>0</v>
          </cell>
          <cell r="AC2661">
            <v>8.5</v>
          </cell>
          <cell r="AD2661">
            <v>0</v>
          </cell>
          <cell r="AE2661" t="str">
            <v>4-1/2" REG Pin</v>
          </cell>
          <cell r="AF2661"/>
          <cell r="AG2661">
            <v>0</v>
          </cell>
          <cell r="AH2661" t="str">
            <v xml:space="preserve"> en stock </v>
          </cell>
          <cell r="AI2661">
            <v>1</v>
          </cell>
          <cell r="AJ2661">
            <v>0</v>
          </cell>
          <cell r="AK2661">
            <v>0</v>
          </cell>
          <cell r="AL2661"/>
          <cell r="AM2661"/>
          <cell r="AN2661">
            <v>5072272</v>
          </cell>
          <cell r="AO2661"/>
          <cell r="AP2661"/>
          <cell r="AQ2661"/>
          <cell r="AR2661"/>
          <cell r="AS2661">
            <v>68</v>
          </cell>
          <cell r="AT2661"/>
          <cell r="AU2661" t="str">
            <v>FR</v>
          </cell>
          <cell r="AV2661"/>
        </row>
        <row r="2662">
          <cell r="Z2662">
            <v>5032273</v>
          </cell>
          <cell r="AA2662" t="str">
            <v>Junk Mill 
4-1/2" REG Pin</v>
          </cell>
          <cell r="AB2662">
            <v>110</v>
          </cell>
          <cell r="AC2662">
            <v>8.5</v>
          </cell>
          <cell r="AD2662">
            <v>0</v>
          </cell>
          <cell r="AE2662" t="str">
            <v>4-1/2" REG Pin</v>
          </cell>
          <cell r="AF2662"/>
          <cell r="AG2662" t="str">
            <v>Insert + C</v>
          </cell>
          <cell r="AH2662" t="str">
            <v xml:space="preserve"> en stock </v>
          </cell>
          <cell r="AI2662">
            <v>1</v>
          </cell>
          <cell r="AJ2662">
            <v>0</v>
          </cell>
          <cell r="AK2662">
            <v>0</v>
          </cell>
          <cell r="AL2662"/>
          <cell r="AM2662"/>
          <cell r="AN2662">
            <v>5032273</v>
          </cell>
          <cell r="AO2662"/>
          <cell r="AP2662"/>
          <cell r="AQ2662"/>
          <cell r="AR2662"/>
          <cell r="AS2662">
            <v>77</v>
          </cell>
          <cell r="AT2662" t="str">
            <v>503-</v>
          </cell>
          <cell r="AU2662" t="str">
            <v/>
          </cell>
          <cell r="AV2662"/>
        </row>
        <row r="2663">
          <cell r="Z2663">
            <v>5032274</v>
          </cell>
          <cell r="AA2663" t="str">
            <v>Junk Mill 
4-1/2" REG Pin</v>
          </cell>
          <cell r="AB2663">
            <v>110</v>
          </cell>
          <cell r="AC2663">
            <v>8.5</v>
          </cell>
          <cell r="AD2663">
            <v>0</v>
          </cell>
          <cell r="AE2663" t="str">
            <v>4-1/2" REG Pin</v>
          </cell>
          <cell r="AF2663"/>
          <cell r="AG2663" t="str">
            <v>Insert + C</v>
          </cell>
          <cell r="AH2663" t="str">
            <v xml:space="preserve"> en stock </v>
          </cell>
          <cell r="AI2663">
            <v>1</v>
          </cell>
          <cell r="AJ2663">
            <v>0</v>
          </cell>
          <cell r="AK2663">
            <v>0</v>
          </cell>
          <cell r="AL2663"/>
          <cell r="AM2663"/>
          <cell r="AN2663">
            <v>5032274</v>
          </cell>
          <cell r="AO2663"/>
          <cell r="AP2663"/>
          <cell r="AQ2663"/>
          <cell r="AR2663"/>
          <cell r="AS2663">
            <v>78</v>
          </cell>
          <cell r="AT2663" t="str">
            <v>503-</v>
          </cell>
          <cell r="AU2663" t="str">
            <v/>
          </cell>
          <cell r="AV2663"/>
        </row>
        <row r="2664">
          <cell r="Z2664" t="str">
            <v>6882275M</v>
          </cell>
          <cell r="AA2664" t="str">
            <v>Short NMDC 9-1/2" Lg 4590mm
7-5/8" REG Pin SRG x 7-5/8" Reg Box BB</v>
          </cell>
          <cell r="AB2664">
            <v>1308.8997350178749</v>
          </cell>
          <cell r="AC2664">
            <v>9.5</v>
          </cell>
          <cell r="AD2664">
            <v>4590</v>
          </cell>
          <cell r="AE2664" t="str">
            <v>7-5/8" Reg Box BB</v>
          </cell>
          <cell r="AF2664" t="str">
            <v>7-5/8" REG Pin SRG</v>
          </cell>
          <cell r="AG2664"/>
          <cell r="AH2664" t="str">
            <v xml:space="preserve"> en stock </v>
          </cell>
          <cell r="AI2664">
            <v>1</v>
          </cell>
          <cell r="AJ2664">
            <v>0</v>
          </cell>
          <cell r="AK2664">
            <v>0</v>
          </cell>
          <cell r="AL2664"/>
          <cell r="AM2664"/>
          <cell r="AN2664" t="str">
            <v>6882275M</v>
          </cell>
          <cell r="AO2664"/>
          <cell r="AP2664"/>
          <cell r="AQ2664"/>
          <cell r="AR2664"/>
          <cell r="AS2664">
            <v>56</v>
          </cell>
          <cell r="AT2664"/>
          <cell r="AU2664" t="str">
            <v/>
          </cell>
          <cell r="AV2664"/>
        </row>
        <row r="2665">
          <cell r="Z2665" t="str">
            <v>6882276M</v>
          </cell>
          <cell r="AA2665" t="str">
            <v>Short NMDC 9-1/2" Lg 4590mm
7-5/8" REG Pin SRG x 7-5/8" Reg Box BB</v>
          </cell>
          <cell r="AB2665">
            <v>1308.8997350178749</v>
          </cell>
          <cell r="AC2665">
            <v>9.5</v>
          </cell>
          <cell r="AD2665">
            <v>4590</v>
          </cell>
          <cell r="AE2665" t="str">
            <v>7-5/8" Reg Box BB</v>
          </cell>
          <cell r="AF2665" t="str">
            <v>7-5/8" REG Pin SRG</v>
          </cell>
          <cell r="AG2665"/>
          <cell r="AH2665" t="str">
            <v xml:space="preserve"> en stock </v>
          </cell>
          <cell r="AI2665">
            <v>1</v>
          </cell>
          <cell r="AJ2665">
            <v>0</v>
          </cell>
          <cell r="AK2665">
            <v>0</v>
          </cell>
          <cell r="AL2665"/>
          <cell r="AM2665"/>
          <cell r="AN2665">
            <v>6081093</v>
          </cell>
          <cell r="AO2665"/>
          <cell r="AP2665"/>
          <cell r="AQ2665"/>
          <cell r="AR2665"/>
          <cell r="AS2665">
            <v>57</v>
          </cell>
          <cell r="AT2665"/>
          <cell r="AU2665" t="str">
            <v/>
          </cell>
          <cell r="AV2665"/>
        </row>
        <row r="2666">
          <cell r="Z2666">
            <v>5092226</v>
          </cell>
          <cell r="AA2666" t="str">
            <v>WO Extension Lg 4020 mm
8" FJWP Pin x Box</v>
          </cell>
          <cell r="AB2666">
            <v>181.63053109305011</v>
          </cell>
          <cell r="AC2666">
            <v>8</v>
          </cell>
          <cell r="AD2666">
            <v>4020</v>
          </cell>
          <cell r="AE2666" t="str">
            <v>8" FJWP Box</v>
          </cell>
          <cell r="AF2666" t="str">
            <v>8" FJWP Pin</v>
          </cell>
          <cell r="AG2666"/>
          <cell r="AH2666" t="str">
            <v xml:space="preserve"> en stock </v>
          </cell>
          <cell r="AI2666">
            <v>1</v>
          </cell>
          <cell r="AJ2666">
            <v>0</v>
          </cell>
          <cell r="AK2666">
            <v>0</v>
          </cell>
          <cell r="AL2666"/>
          <cell r="AM2666"/>
          <cell r="AN2666">
            <v>5092226</v>
          </cell>
          <cell r="AO2666"/>
          <cell r="AP2666"/>
          <cell r="AQ2666"/>
          <cell r="AR2666"/>
          <cell r="AS2666">
            <v>88</v>
          </cell>
          <cell r="AT2666" t="str">
            <v>509-8,000FJWP</v>
          </cell>
          <cell r="AU2666" t="str">
            <v/>
          </cell>
          <cell r="AV2666"/>
        </row>
        <row r="2667">
          <cell r="Z2667">
            <v>5092227</v>
          </cell>
          <cell r="AA2667" t="str">
            <v>WO Extension Lg 4040 mm
8" FJWP Pin x Box</v>
          </cell>
          <cell r="AB2667">
            <v>182.53416557610012</v>
          </cell>
          <cell r="AC2667">
            <v>8</v>
          </cell>
          <cell r="AD2667">
            <v>4040</v>
          </cell>
          <cell r="AE2667" t="str">
            <v>8" FJWP Box</v>
          </cell>
          <cell r="AF2667" t="str">
            <v>8" FJWP Pin</v>
          </cell>
          <cell r="AG2667"/>
          <cell r="AH2667" t="str">
            <v xml:space="preserve"> en stock </v>
          </cell>
          <cell r="AI2667">
            <v>1</v>
          </cell>
          <cell r="AJ2667">
            <v>0</v>
          </cell>
          <cell r="AK2667">
            <v>0</v>
          </cell>
          <cell r="AL2667"/>
          <cell r="AM2667"/>
          <cell r="AN2667">
            <v>5092227</v>
          </cell>
          <cell r="AO2667"/>
          <cell r="AP2667"/>
          <cell r="AQ2667"/>
          <cell r="AR2667"/>
          <cell r="AS2667">
            <v>89</v>
          </cell>
          <cell r="AT2667" t="str">
            <v>509-8,000FJWP</v>
          </cell>
          <cell r="AU2667" t="str">
            <v/>
          </cell>
          <cell r="AV2667"/>
        </row>
        <row r="2668">
          <cell r="Z2668">
            <v>5092228</v>
          </cell>
          <cell r="AA2668" t="str">
            <v>WO Extension Lg 4010 mm
8" FJWP Pin x Box</v>
          </cell>
          <cell r="AB2668">
            <v>181.17871385152509</v>
          </cell>
          <cell r="AC2668">
            <v>8</v>
          </cell>
          <cell r="AD2668">
            <v>4010</v>
          </cell>
          <cell r="AE2668" t="str">
            <v>8" FJWP Box</v>
          </cell>
          <cell r="AF2668" t="str">
            <v>8" FJWP Pin</v>
          </cell>
          <cell r="AG2668"/>
          <cell r="AH2668" t="str">
            <v xml:space="preserve"> en stock </v>
          </cell>
          <cell r="AI2668">
            <v>1</v>
          </cell>
          <cell r="AJ2668">
            <v>0</v>
          </cell>
          <cell r="AK2668">
            <v>0</v>
          </cell>
          <cell r="AL2668"/>
          <cell r="AM2668"/>
          <cell r="AN2668">
            <v>5092228</v>
          </cell>
          <cell r="AO2668"/>
          <cell r="AP2668"/>
          <cell r="AQ2668"/>
          <cell r="AR2668"/>
          <cell r="AS2668">
            <v>90</v>
          </cell>
          <cell r="AT2668" t="str">
            <v>509-8,000FJWP</v>
          </cell>
          <cell r="AU2668" t="str">
            <v/>
          </cell>
          <cell r="AV2668"/>
        </row>
        <row r="2669">
          <cell r="Z2669">
            <v>5092229</v>
          </cell>
          <cell r="AA2669" t="str">
            <v>WO Extension Lg 3990 mm
8" FJWP Pin x Box</v>
          </cell>
          <cell r="AB2669">
            <v>180.2750793684751</v>
          </cell>
          <cell r="AC2669">
            <v>8</v>
          </cell>
          <cell r="AD2669">
            <v>3990</v>
          </cell>
          <cell r="AE2669" t="str">
            <v>8" FJWP Box</v>
          </cell>
          <cell r="AF2669" t="str">
            <v>8" FJWP Pin</v>
          </cell>
          <cell r="AG2669"/>
          <cell r="AH2669" t="str">
            <v xml:space="preserve"> en stock </v>
          </cell>
          <cell r="AI2669">
            <v>1</v>
          </cell>
          <cell r="AJ2669">
            <v>0</v>
          </cell>
          <cell r="AK2669">
            <v>0</v>
          </cell>
          <cell r="AL2669"/>
          <cell r="AM2669"/>
          <cell r="AN2669">
            <v>5092229</v>
          </cell>
          <cell r="AO2669"/>
          <cell r="AP2669"/>
          <cell r="AQ2669"/>
          <cell r="AR2669"/>
          <cell r="AS2669">
            <v>91</v>
          </cell>
          <cell r="AT2669" t="str">
            <v>509-8,000FJWP</v>
          </cell>
          <cell r="AU2669" t="str">
            <v/>
          </cell>
          <cell r="AV2669"/>
        </row>
        <row r="2670">
          <cell r="Z2670" t="str">
            <v>6082281M</v>
          </cell>
          <cell r="AA2670" t="str">
            <v>NMDC 9-1/2" OD
7-5/8" REG Pin x Box</v>
          </cell>
          <cell r="AB2670">
            <v>2580.7282357106255</v>
          </cell>
          <cell r="AC2670">
            <v>9.5</v>
          </cell>
          <cell r="AD2670">
            <v>9050</v>
          </cell>
          <cell r="AE2670" t="str">
            <v>7-5/8" REG Box</v>
          </cell>
          <cell r="AF2670" t="str">
            <v>7-5/8" REG Pin</v>
          </cell>
          <cell r="AG2670"/>
          <cell r="AH2670" t="str">
            <v xml:space="preserve"> en stock </v>
          </cell>
          <cell r="AI2670">
            <v>1</v>
          </cell>
          <cell r="AJ2670">
            <v>0</v>
          </cell>
          <cell r="AK2670">
            <v>0</v>
          </cell>
          <cell r="AL2670"/>
          <cell r="AM2670"/>
          <cell r="AN2670" t="str">
            <v/>
          </cell>
          <cell r="AO2670"/>
          <cell r="AP2670"/>
          <cell r="AQ2670"/>
          <cell r="AR2670"/>
          <cell r="AS2670">
            <v>40</v>
          </cell>
          <cell r="AT2670"/>
          <cell r="AU2670" t="str">
            <v/>
          </cell>
          <cell r="AV2670"/>
        </row>
        <row r="2671">
          <cell r="Z2671" t="str">
            <v>6082282M</v>
          </cell>
          <cell r="AA2671" t="str">
            <v>NMDC 9-1/2" OD
7-5/8" REG Pin x Box</v>
          </cell>
          <cell r="AB2671">
            <v>2580.7282357106255</v>
          </cell>
          <cell r="AC2671">
            <v>9.5</v>
          </cell>
          <cell r="AD2671">
            <v>9050</v>
          </cell>
          <cell r="AE2671" t="str">
            <v>7-5/8" REG Box</v>
          </cell>
          <cell r="AF2671" t="str">
            <v>7-5/8" REG Pin</v>
          </cell>
          <cell r="AG2671"/>
          <cell r="AH2671" t="str">
            <v xml:space="preserve"> en stock </v>
          </cell>
          <cell r="AI2671">
            <v>1</v>
          </cell>
          <cell r="AJ2671">
            <v>0</v>
          </cell>
          <cell r="AK2671">
            <v>0</v>
          </cell>
          <cell r="AL2671"/>
          <cell r="AM2671"/>
          <cell r="AN2671" t="str">
            <v/>
          </cell>
          <cell r="AO2671"/>
          <cell r="AP2671"/>
          <cell r="AQ2671"/>
          <cell r="AR2671"/>
          <cell r="AS2671">
            <v>41</v>
          </cell>
          <cell r="AT2671"/>
          <cell r="AU2671" t="str">
            <v/>
          </cell>
          <cell r="AV2671"/>
        </row>
        <row r="2672">
          <cell r="Z2672" t="str">
            <v>6082283M</v>
          </cell>
          <cell r="AA2672" t="str">
            <v>NMDC 9-1/2" OD
7-5/8" REG Pin x Box</v>
          </cell>
          <cell r="AB2672">
            <v>2580.7282357106255</v>
          </cell>
          <cell r="AC2672">
            <v>9.5</v>
          </cell>
          <cell r="AD2672">
            <v>9050</v>
          </cell>
          <cell r="AE2672" t="str">
            <v>7-5/8" REG Box</v>
          </cell>
          <cell r="AF2672" t="str">
            <v>7-5/8" REG Pin</v>
          </cell>
          <cell r="AG2672"/>
          <cell r="AH2672" t="str">
            <v xml:space="preserve"> en stock </v>
          </cell>
          <cell r="AI2672">
            <v>1</v>
          </cell>
          <cell r="AJ2672">
            <v>0</v>
          </cell>
          <cell r="AK2672">
            <v>0</v>
          </cell>
          <cell r="AL2672"/>
          <cell r="AM2672"/>
          <cell r="AN2672" t="str">
            <v/>
          </cell>
          <cell r="AO2672"/>
          <cell r="AP2672"/>
          <cell r="AQ2672"/>
          <cell r="AR2672"/>
          <cell r="AS2672">
            <v>42</v>
          </cell>
          <cell r="AT2672"/>
          <cell r="AU2672" t="str">
            <v/>
          </cell>
          <cell r="AV2672"/>
        </row>
        <row r="2673">
          <cell r="Z2673" t="str">
            <v>6082284M</v>
          </cell>
          <cell r="AA2673" t="str">
            <v>NMDC 9-1/2" OD
7-5/8" REG Pin x Box</v>
          </cell>
          <cell r="AB2673">
            <v>2580.7282357106255</v>
          </cell>
          <cell r="AC2673">
            <v>9.5</v>
          </cell>
          <cell r="AD2673">
            <v>9050</v>
          </cell>
          <cell r="AE2673" t="str">
            <v>7-5/8" REG Box</v>
          </cell>
          <cell r="AF2673" t="str">
            <v>7-5/8" REG Pin</v>
          </cell>
          <cell r="AG2673"/>
          <cell r="AH2673" t="str">
            <v xml:space="preserve"> en stock </v>
          </cell>
          <cell r="AI2673">
            <v>1</v>
          </cell>
          <cell r="AJ2673">
            <v>0</v>
          </cell>
          <cell r="AK2673">
            <v>0</v>
          </cell>
          <cell r="AL2673"/>
          <cell r="AM2673"/>
          <cell r="AN2673" t="str">
            <v/>
          </cell>
          <cell r="AO2673"/>
          <cell r="AP2673"/>
          <cell r="AQ2673"/>
          <cell r="AR2673"/>
          <cell r="AS2673">
            <v>43</v>
          </cell>
          <cell r="AT2673"/>
          <cell r="AU2673" t="str">
            <v/>
          </cell>
          <cell r="AV2673"/>
        </row>
        <row r="2674">
          <cell r="Z2674" t="str">
            <v>6082285M</v>
          </cell>
          <cell r="AA2674" t="str">
            <v>NMDC 9-1/2" OD
7-5/8" REG Pin x Box</v>
          </cell>
          <cell r="AB2674">
            <v>2580.7282357106255</v>
          </cell>
          <cell r="AC2674">
            <v>9.5</v>
          </cell>
          <cell r="AD2674">
            <v>9050</v>
          </cell>
          <cell r="AE2674" t="str">
            <v>7-5/8" REG Box</v>
          </cell>
          <cell r="AF2674" t="str">
            <v>7-5/8" REG Pin</v>
          </cell>
          <cell r="AG2674"/>
          <cell r="AH2674" t="str">
            <v xml:space="preserve"> en stock </v>
          </cell>
          <cell r="AI2674">
            <v>1</v>
          </cell>
          <cell r="AJ2674">
            <v>0</v>
          </cell>
          <cell r="AK2674">
            <v>0</v>
          </cell>
          <cell r="AL2674"/>
          <cell r="AM2674"/>
          <cell r="AN2674" t="str">
            <v/>
          </cell>
          <cell r="AO2674"/>
          <cell r="AP2674"/>
          <cell r="AQ2674"/>
          <cell r="AR2674"/>
          <cell r="AS2674">
            <v>44</v>
          </cell>
          <cell r="AT2674"/>
          <cell r="AU2674" t="str">
            <v/>
          </cell>
          <cell r="AV2674"/>
        </row>
        <row r="2675">
          <cell r="Z2675" t="str">
            <v>6082286M</v>
          </cell>
          <cell r="AA2675" t="str">
            <v>NMDC 8" OD
6-5/8" REG Pin x Box</v>
          </cell>
          <cell r="AB2675">
            <v>1789.2283727457748</v>
          </cell>
          <cell r="AC2675">
            <v>8</v>
          </cell>
          <cell r="AD2675">
            <v>9070</v>
          </cell>
          <cell r="AE2675" t="str">
            <v>6-5/8" REG Box</v>
          </cell>
          <cell r="AF2675" t="str">
            <v>6-5/8" REG Pin</v>
          </cell>
          <cell r="AG2675"/>
          <cell r="AH2675" t="str">
            <v xml:space="preserve"> en stock </v>
          </cell>
          <cell r="AI2675">
            <v>1</v>
          </cell>
          <cell r="AJ2675">
            <v>0</v>
          </cell>
          <cell r="AK2675">
            <v>0</v>
          </cell>
          <cell r="AL2675"/>
          <cell r="AM2675"/>
          <cell r="AN2675" t="str">
            <v/>
          </cell>
          <cell r="AO2675"/>
          <cell r="AP2675"/>
          <cell r="AQ2675"/>
          <cell r="AR2675"/>
          <cell r="AS2675">
            <v>31</v>
          </cell>
          <cell r="AT2675"/>
          <cell r="AU2675" t="str">
            <v/>
          </cell>
          <cell r="AV2675"/>
        </row>
        <row r="2676">
          <cell r="Z2676" t="str">
            <v>6082287M</v>
          </cell>
          <cell r="AA2676" t="str">
            <v>NMDC 8" OD
6-5/8" REG Pin x Box</v>
          </cell>
          <cell r="AB2676">
            <v>1789.2283727457748</v>
          </cell>
          <cell r="AC2676">
            <v>8</v>
          </cell>
          <cell r="AD2676">
            <v>9070</v>
          </cell>
          <cell r="AE2676" t="str">
            <v>6-5/8" REG Box</v>
          </cell>
          <cell r="AF2676" t="str">
            <v>6-5/8" REG Pin</v>
          </cell>
          <cell r="AG2676"/>
          <cell r="AH2676" t="str">
            <v xml:space="preserve"> en stock </v>
          </cell>
          <cell r="AI2676">
            <v>1</v>
          </cell>
          <cell r="AJ2676">
            <v>0</v>
          </cell>
          <cell r="AK2676">
            <v>0</v>
          </cell>
          <cell r="AL2676"/>
          <cell r="AM2676"/>
          <cell r="AN2676" t="str">
            <v/>
          </cell>
          <cell r="AO2676"/>
          <cell r="AP2676"/>
          <cell r="AQ2676"/>
          <cell r="AR2676"/>
          <cell r="AS2676">
            <v>32</v>
          </cell>
          <cell r="AT2676"/>
          <cell r="AU2676" t="str">
            <v/>
          </cell>
          <cell r="AV2676"/>
        </row>
        <row r="2677">
          <cell r="Z2677" t="str">
            <v>6082288M</v>
          </cell>
          <cell r="AA2677" t="str">
            <v>NMDC 8" OD
6-5/8" REG Pin x Box</v>
          </cell>
          <cell r="AB2677">
            <v>1789.2283727457748</v>
          </cell>
          <cell r="AC2677">
            <v>8</v>
          </cell>
          <cell r="AD2677">
            <v>9070</v>
          </cell>
          <cell r="AE2677" t="str">
            <v>6-5/8" REG Box</v>
          </cell>
          <cell r="AF2677" t="str">
            <v>6-5/8" REG Pin</v>
          </cell>
          <cell r="AG2677"/>
          <cell r="AH2677" t="str">
            <v xml:space="preserve"> en stock </v>
          </cell>
          <cell r="AI2677">
            <v>1</v>
          </cell>
          <cell r="AJ2677">
            <v>0</v>
          </cell>
          <cell r="AK2677">
            <v>0</v>
          </cell>
          <cell r="AL2677"/>
          <cell r="AM2677"/>
          <cell r="AN2677" t="str">
            <v/>
          </cell>
          <cell r="AO2677"/>
          <cell r="AP2677"/>
          <cell r="AQ2677"/>
          <cell r="AR2677"/>
          <cell r="AS2677">
            <v>33</v>
          </cell>
          <cell r="AT2677"/>
          <cell r="AU2677" t="str">
            <v/>
          </cell>
          <cell r="AV2677"/>
        </row>
        <row r="2678">
          <cell r="Z2678" t="str">
            <v>6082289M</v>
          </cell>
          <cell r="AA2678" t="str">
            <v>NMDC 8" OD
6-5/8" REG Pin x Box</v>
          </cell>
          <cell r="AB2678">
            <v>1789.2283727457748</v>
          </cell>
          <cell r="AC2678">
            <v>8</v>
          </cell>
          <cell r="AD2678">
            <v>9070</v>
          </cell>
          <cell r="AE2678" t="str">
            <v>6-5/8" REG Box</v>
          </cell>
          <cell r="AF2678" t="str">
            <v>6-5/8" REG Pin</v>
          </cell>
          <cell r="AG2678"/>
          <cell r="AH2678" t="str">
            <v xml:space="preserve"> en stock </v>
          </cell>
          <cell r="AI2678">
            <v>1</v>
          </cell>
          <cell r="AJ2678">
            <v>0</v>
          </cell>
          <cell r="AK2678">
            <v>0</v>
          </cell>
          <cell r="AL2678"/>
          <cell r="AM2678"/>
          <cell r="AN2678" t="str">
            <v/>
          </cell>
          <cell r="AO2678"/>
          <cell r="AP2678"/>
          <cell r="AQ2678"/>
          <cell r="AR2678"/>
          <cell r="AS2678">
            <v>34</v>
          </cell>
          <cell r="AT2678"/>
          <cell r="AU2678" t="str">
            <v/>
          </cell>
          <cell r="AV2678"/>
        </row>
        <row r="2679">
          <cell r="Z2679" t="str">
            <v>6082290M</v>
          </cell>
          <cell r="AA2679" t="str">
            <v>NMDC 8" OD
6-5/8" REG Pin x Box</v>
          </cell>
          <cell r="AB2679">
            <v>1789.2283727457748</v>
          </cell>
          <cell r="AC2679">
            <v>8</v>
          </cell>
          <cell r="AD2679">
            <v>9070</v>
          </cell>
          <cell r="AE2679" t="str">
            <v>6-5/8" REG Box</v>
          </cell>
          <cell r="AF2679" t="str">
            <v>6-5/8" REG Pin</v>
          </cell>
          <cell r="AG2679"/>
          <cell r="AH2679" t="str">
            <v xml:space="preserve"> en stock </v>
          </cell>
          <cell r="AI2679">
            <v>1</v>
          </cell>
          <cell r="AJ2679">
            <v>0</v>
          </cell>
          <cell r="AK2679">
            <v>0</v>
          </cell>
          <cell r="AL2679"/>
          <cell r="AM2679"/>
          <cell r="AN2679" t="str">
            <v/>
          </cell>
          <cell r="AO2679"/>
          <cell r="AP2679"/>
          <cell r="AQ2679"/>
          <cell r="AR2679"/>
          <cell r="AS2679">
            <v>35</v>
          </cell>
          <cell r="AT2679"/>
          <cell r="AU2679" t="str">
            <v/>
          </cell>
          <cell r="AV2679"/>
        </row>
        <row r="2680">
          <cell r="Z2680" t="str">
            <v>6082291M</v>
          </cell>
          <cell r="AA2680" t="str">
            <v>NMDC 8" OD
6-5/8" REG Pin x Box</v>
          </cell>
          <cell r="AB2680">
            <v>1789.2283727457748</v>
          </cell>
          <cell r="AC2680">
            <v>8</v>
          </cell>
          <cell r="AD2680">
            <v>9070</v>
          </cell>
          <cell r="AE2680" t="str">
            <v>6-5/8" REG Box</v>
          </cell>
          <cell r="AF2680" t="str">
            <v>6-5/8" REG Pin</v>
          </cell>
          <cell r="AG2680"/>
          <cell r="AH2680" t="str">
            <v xml:space="preserve"> en stock </v>
          </cell>
          <cell r="AI2680">
            <v>1</v>
          </cell>
          <cell r="AJ2680">
            <v>0</v>
          </cell>
          <cell r="AK2680">
            <v>0</v>
          </cell>
          <cell r="AL2680"/>
          <cell r="AM2680"/>
          <cell r="AN2680" t="str">
            <v/>
          </cell>
          <cell r="AO2680"/>
          <cell r="AP2680"/>
          <cell r="AQ2680"/>
          <cell r="AR2680"/>
          <cell r="AS2680">
            <v>36</v>
          </cell>
          <cell r="AT2680"/>
          <cell r="AU2680" t="str">
            <v/>
          </cell>
          <cell r="AV2680"/>
        </row>
        <row r="2681">
          <cell r="Z2681" t="str">
            <v>6082292M</v>
          </cell>
          <cell r="AA2681" t="str">
            <v>NMDC 6-1/2" OD
4-1/2" REG Pin x Box</v>
          </cell>
          <cell r="AB2681">
            <v>1135.342659552075</v>
          </cell>
          <cell r="AC2681">
            <v>6.5</v>
          </cell>
          <cell r="AD2681">
            <v>9070</v>
          </cell>
          <cell r="AE2681" t="str">
            <v>4-1/2" IF Box</v>
          </cell>
          <cell r="AF2681" t="str">
            <v>4-1/2" IF Pin</v>
          </cell>
          <cell r="AG2681"/>
          <cell r="AH2681" t="str">
            <v xml:space="preserve"> en stock </v>
          </cell>
          <cell r="AI2681">
            <v>1</v>
          </cell>
          <cell r="AJ2681">
            <v>0</v>
          </cell>
          <cell r="AK2681">
            <v>0</v>
          </cell>
          <cell r="AL2681"/>
          <cell r="AM2681"/>
          <cell r="AN2681" t="str">
            <v/>
          </cell>
          <cell r="AO2681"/>
          <cell r="AP2681"/>
          <cell r="AQ2681"/>
          <cell r="AR2681"/>
          <cell r="AS2681">
            <v>26</v>
          </cell>
          <cell r="AT2681"/>
          <cell r="AU2681" t="str">
            <v/>
          </cell>
          <cell r="AV2681"/>
        </row>
        <row r="2682">
          <cell r="Z2682" t="str">
            <v>6082293M</v>
          </cell>
          <cell r="AA2682" t="str">
            <v>NMDC 4-3/4" OD
3-1/2" IF Pin x Box</v>
          </cell>
          <cell r="AB2682">
            <v>550.2226663871437</v>
          </cell>
          <cell r="AC2682">
            <v>4.75</v>
          </cell>
          <cell r="AD2682">
            <v>9080</v>
          </cell>
          <cell r="AE2682" t="str">
            <v>3-1/2" IF Box</v>
          </cell>
          <cell r="AF2682" t="str">
            <v>3-1/2" IF Pin</v>
          </cell>
          <cell r="AG2682"/>
          <cell r="AH2682" t="str">
            <v xml:space="preserve"> en stock </v>
          </cell>
          <cell r="AI2682">
            <v>1</v>
          </cell>
          <cell r="AJ2682">
            <v>0</v>
          </cell>
          <cell r="AK2682">
            <v>0</v>
          </cell>
          <cell r="AL2682"/>
          <cell r="AM2682"/>
          <cell r="AN2682" t="str">
            <v/>
          </cell>
          <cell r="AO2682"/>
          <cell r="AP2682"/>
          <cell r="AQ2682"/>
          <cell r="AR2682"/>
          <cell r="AS2682">
            <v>18</v>
          </cell>
          <cell r="AT2682"/>
          <cell r="AU2682" t="str">
            <v/>
          </cell>
          <cell r="AV2682"/>
        </row>
        <row r="2683">
          <cell r="Z2683" t="str">
            <v>6082294M</v>
          </cell>
          <cell r="AA2683" t="str">
            <v>NMDC 4-3/4" OD
3-1/2" IF Pin x Box</v>
          </cell>
          <cell r="AB2683">
            <v>550.2226663871437</v>
          </cell>
          <cell r="AC2683">
            <v>4.75</v>
          </cell>
          <cell r="AD2683">
            <v>9080</v>
          </cell>
          <cell r="AE2683" t="str">
            <v>3-1/2" IF Box</v>
          </cell>
          <cell r="AF2683" t="str">
            <v>3-1/2" IF Pin</v>
          </cell>
          <cell r="AG2683"/>
          <cell r="AH2683" t="str">
            <v xml:space="preserve"> en stock </v>
          </cell>
          <cell r="AI2683">
            <v>1</v>
          </cell>
          <cell r="AJ2683">
            <v>0</v>
          </cell>
          <cell r="AK2683">
            <v>0</v>
          </cell>
          <cell r="AL2683"/>
          <cell r="AM2683"/>
          <cell r="AN2683" t="str">
            <v/>
          </cell>
          <cell r="AO2683"/>
          <cell r="AP2683"/>
          <cell r="AQ2683"/>
          <cell r="AR2683"/>
          <cell r="AS2683">
            <v>19</v>
          </cell>
          <cell r="AT2683"/>
          <cell r="AU2683" t="str">
            <v/>
          </cell>
          <cell r="AV2683"/>
        </row>
        <row r="2684">
          <cell r="Z2684" t="str">
            <v>6882295M</v>
          </cell>
          <cell r="AA2684" t="str">
            <v>Flex Short NMDC 6-3/4" Lg 3000mm
4-1/2" IF Pin x 4-1/2" IF Box</v>
          </cell>
          <cell r="AB2684">
            <v>433.30014146249988</v>
          </cell>
          <cell r="AC2684">
            <v>6.75</v>
          </cell>
          <cell r="AD2684">
            <v>3000</v>
          </cell>
          <cell r="AE2684" t="str">
            <v>4-1/2" IF Box</v>
          </cell>
          <cell r="AF2684" t="str">
            <v>4-1/2" IF Pin</v>
          </cell>
          <cell r="AG2684"/>
          <cell r="AH2684" t="str">
            <v xml:space="preserve"> en stock </v>
          </cell>
          <cell r="AI2684">
            <v>1</v>
          </cell>
          <cell r="AJ2684">
            <v>0</v>
          </cell>
          <cell r="AK2684">
            <v>0</v>
          </cell>
          <cell r="AL2684"/>
          <cell r="AM2684"/>
          <cell r="AN2684" t="str">
            <v/>
          </cell>
          <cell r="AO2684"/>
          <cell r="AP2684"/>
          <cell r="AQ2684"/>
          <cell r="AR2684"/>
          <cell r="AS2684">
            <v>52</v>
          </cell>
          <cell r="AT2684"/>
          <cell r="AU2684" t="str">
            <v/>
          </cell>
          <cell r="AV2684"/>
        </row>
        <row r="2685">
          <cell r="Z2685" t="str">
            <v>6882296M</v>
          </cell>
          <cell r="AA2685" t="str">
            <v>Flex Short NMDC 6-3/4" Lg 3000mm
4-1/2" IF Pin x 4-1/2" IF Box</v>
          </cell>
          <cell r="AB2685">
            <v>433.30014146249988</v>
          </cell>
          <cell r="AC2685">
            <v>6.75</v>
          </cell>
          <cell r="AD2685">
            <v>3000</v>
          </cell>
          <cell r="AE2685" t="str">
            <v>4-1/2" IF Box</v>
          </cell>
          <cell r="AF2685" t="str">
            <v>4-1/2" IF Pin</v>
          </cell>
          <cell r="AG2685"/>
          <cell r="AH2685" t="str">
            <v xml:space="preserve"> en stock </v>
          </cell>
          <cell r="AI2685">
            <v>1</v>
          </cell>
          <cell r="AJ2685">
            <v>0</v>
          </cell>
          <cell r="AK2685">
            <v>0</v>
          </cell>
          <cell r="AL2685"/>
          <cell r="AM2685"/>
          <cell r="AN2685" t="str">
            <v/>
          </cell>
          <cell r="AO2685"/>
          <cell r="AP2685"/>
          <cell r="AQ2685"/>
          <cell r="AR2685"/>
          <cell r="AS2685">
            <v>53</v>
          </cell>
          <cell r="AT2685"/>
          <cell r="AU2685" t="str">
            <v/>
          </cell>
          <cell r="AV2685"/>
        </row>
        <row r="2686">
          <cell r="Z2686" t="str">
            <v>6882297M</v>
          </cell>
          <cell r="AA2686" t="str">
            <v>Flex Short NMDC 8-1/4" Lg 3000mm
6-5/8" REG Pin x 6-5/8" REG Box</v>
          </cell>
          <cell r="AB2686">
            <v>661.43081423249998</v>
          </cell>
          <cell r="AC2686">
            <v>8.25</v>
          </cell>
          <cell r="AD2686">
            <v>3000</v>
          </cell>
          <cell r="AE2686" t="str">
            <v>6-5/8" REG Box</v>
          </cell>
          <cell r="AF2686" t="str">
            <v>6-5/8" REG Pin</v>
          </cell>
          <cell r="AG2686"/>
          <cell r="AH2686" t="str">
            <v xml:space="preserve"> en stock </v>
          </cell>
          <cell r="AI2686">
            <v>1</v>
          </cell>
          <cell r="AJ2686">
            <v>0</v>
          </cell>
          <cell r="AK2686">
            <v>0</v>
          </cell>
          <cell r="AL2686"/>
          <cell r="AM2686"/>
          <cell r="AN2686" t="str">
            <v/>
          </cell>
          <cell r="AO2686"/>
          <cell r="AP2686"/>
          <cell r="AQ2686"/>
          <cell r="AR2686"/>
          <cell r="AS2686">
            <v>54</v>
          </cell>
          <cell r="AT2686"/>
          <cell r="AU2686" t="str">
            <v/>
          </cell>
          <cell r="AV2686"/>
        </row>
        <row r="2687">
          <cell r="Z2687" t="str">
            <v>6882298M</v>
          </cell>
          <cell r="AA2687" t="str">
            <v>Flex Short NMDC 8-1/4" Lg 3000mm
6-5/8" REG Pin x 6-5/8" REG Box</v>
          </cell>
          <cell r="AB2687">
            <v>661.43081423249998</v>
          </cell>
          <cell r="AC2687">
            <v>8.25</v>
          </cell>
          <cell r="AD2687">
            <v>3000</v>
          </cell>
          <cell r="AE2687" t="str">
            <v>6-5/8" REG Box</v>
          </cell>
          <cell r="AF2687" t="str">
            <v>6-5/8" REG Pin</v>
          </cell>
          <cell r="AG2687"/>
          <cell r="AH2687" t="str">
            <v xml:space="preserve"> en stock </v>
          </cell>
          <cell r="AI2687">
            <v>1</v>
          </cell>
          <cell r="AJ2687">
            <v>0</v>
          </cell>
          <cell r="AK2687">
            <v>0</v>
          </cell>
          <cell r="AL2687"/>
          <cell r="AM2687"/>
          <cell r="AN2687" t="str">
            <v/>
          </cell>
          <cell r="AO2687"/>
          <cell r="AP2687"/>
          <cell r="AQ2687"/>
          <cell r="AR2687"/>
          <cell r="AS2687">
            <v>55</v>
          </cell>
          <cell r="AT2687"/>
          <cell r="AU2687" t="str">
            <v/>
          </cell>
          <cell r="AV2687"/>
        </row>
        <row r="2688">
          <cell r="Z2688">
            <v>8132299</v>
          </cell>
          <cell r="AA2688" t="str">
            <v>XO
2-7/8" IF Pin x 3-1/2" IF Pin</v>
          </cell>
          <cell r="AB2688">
            <v>36.663858123749996</v>
          </cell>
          <cell r="AC2688">
            <v>4.75</v>
          </cell>
          <cell r="AD2688">
            <v>500</v>
          </cell>
          <cell r="AE2688" t="str">
            <v>2-7/8" IF Pin</v>
          </cell>
          <cell r="AF2688" t="str">
            <v>3-1/2" IF Pin</v>
          </cell>
          <cell r="AG2688"/>
          <cell r="AH2688" t="str">
            <v xml:space="preserve"> en stock </v>
          </cell>
          <cell r="AI2688">
            <v>1</v>
          </cell>
          <cell r="AJ2688">
            <v>0</v>
          </cell>
          <cell r="AK2688">
            <v>0</v>
          </cell>
          <cell r="AL2688"/>
          <cell r="AM2688"/>
          <cell r="AN2688" t="str">
            <v/>
          </cell>
          <cell r="AO2688"/>
          <cell r="AP2688"/>
          <cell r="AQ2688"/>
          <cell r="AR2688"/>
          <cell r="AS2688">
            <v>89</v>
          </cell>
          <cell r="AT2688"/>
          <cell r="AU2688" t="str">
            <v>FR</v>
          </cell>
          <cell r="AV2688"/>
        </row>
        <row r="2689">
          <cell r="Z2689">
            <v>5092300</v>
          </cell>
          <cell r="AA2689" t="str">
            <v>WO Extension Lg 2990 mm
5-1/2" FJWP Pin x Box</v>
          </cell>
          <cell r="AB2689">
            <v>76.589812041843743</v>
          </cell>
          <cell r="AC2689">
            <v>5.5</v>
          </cell>
          <cell r="AD2689">
            <v>2990</v>
          </cell>
          <cell r="AE2689" t="str">
            <v>5-1/2" FJWP Box</v>
          </cell>
          <cell r="AF2689" t="str">
            <v>5-1/2" FJWP Pin</v>
          </cell>
          <cell r="AG2689"/>
          <cell r="AH2689" t="str">
            <v xml:space="preserve"> en stock </v>
          </cell>
          <cell r="AI2689">
            <v>1</v>
          </cell>
          <cell r="AJ2689">
            <v>0</v>
          </cell>
          <cell r="AK2689">
            <v>0</v>
          </cell>
          <cell r="AL2689"/>
          <cell r="AM2689"/>
          <cell r="AN2689" t="str">
            <v/>
          </cell>
          <cell r="AO2689"/>
          <cell r="AP2689"/>
          <cell r="AQ2689"/>
          <cell r="AR2689"/>
          <cell r="AS2689">
            <v>53</v>
          </cell>
          <cell r="AT2689" t="str">
            <v>509-5,500FJWP</v>
          </cell>
          <cell r="AU2689" t="str">
            <v/>
          </cell>
          <cell r="AV2689"/>
        </row>
        <row r="2690">
          <cell r="Z2690">
            <v>5092301</v>
          </cell>
          <cell r="AA2690" t="str">
            <v>WO Extension Lg 3000 mm
5-1/2" FJWP Pin x Box</v>
          </cell>
          <cell r="AB2690">
            <v>76.845965259374992</v>
          </cell>
          <cell r="AC2690">
            <v>5.5</v>
          </cell>
          <cell r="AD2690">
            <v>3000</v>
          </cell>
          <cell r="AE2690" t="str">
            <v>5-1/2" FJWP Box</v>
          </cell>
          <cell r="AF2690" t="str">
            <v>5-1/2" FJWP Pin</v>
          </cell>
          <cell r="AG2690"/>
          <cell r="AH2690" t="str">
            <v xml:space="preserve"> en stock </v>
          </cell>
          <cell r="AI2690">
            <v>1</v>
          </cell>
          <cell r="AJ2690">
            <v>0</v>
          </cell>
          <cell r="AK2690">
            <v>0</v>
          </cell>
          <cell r="AL2690"/>
          <cell r="AM2690"/>
          <cell r="AN2690" t="str">
            <v/>
          </cell>
          <cell r="AO2690"/>
          <cell r="AP2690"/>
          <cell r="AQ2690"/>
          <cell r="AR2690"/>
          <cell r="AS2690">
            <v>54</v>
          </cell>
          <cell r="AT2690" t="str">
            <v>509-5,500FJWP</v>
          </cell>
          <cell r="AU2690" t="str">
            <v/>
          </cell>
          <cell r="AV2690"/>
        </row>
        <row r="2691">
          <cell r="Z2691">
            <v>5092302</v>
          </cell>
          <cell r="AA2691" t="str">
            <v>WO Extension Lg 3000 mm
5-1/2" FJWP Pin x Box</v>
          </cell>
          <cell r="AB2691">
            <v>76.845965259374992</v>
          </cell>
          <cell r="AC2691">
            <v>5.5</v>
          </cell>
          <cell r="AD2691">
            <v>3000</v>
          </cell>
          <cell r="AE2691" t="str">
            <v>5-1/2" FJWP Box</v>
          </cell>
          <cell r="AF2691" t="str">
            <v>5-1/2" FJWP Pin</v>
          </cell>
          <cell r="AG2691"/>
          <cell r="AH2691" t="str">
            <v xml:space="preserve"> en stock </v>
          </cell>
          <cell r="AI2691">
            <v>1</v>
          </cell>
          <cell r="AJ2691">
            <v>0</v>
          </cell>
          <cell r="AK2691">
            <v>0</v>
          </cell>
          <cell r="AL2691"/>
          <cell r="AM2691"/>
          <cell r="AN2691" t="str">
            <v/>
          </cell>
          <cell r="AO2691"/>
          <cell r="AP2691"/>
          <cell r="AQ2691"/>
          <cell r="AR2691"/>
          <cell r="AS2691">
            <v>55</v>
          </cell>
          <cell r="AT2691" t="str">
            <v>509-5,500FJWP</v>
          </cell>
          <cell r="AU2691" t="str">
            <v/>
          </cell>
          <cell r="AV2691"/>
        </row>
        <row r="2692">
          <cell r="Z2692" t="str">
            <v>6015140T3</v>
          </cell>
          <cell r="AA2692"/>
          <cell r="AB2692"/>
          <cell r="AC2692"/>
          <cell r="AD2692"/>
          <cell r="AE2692"/>
          <cell r="AF2692"/>
          <cell r="AG2692"/>
          <cell r="AH2692" t="str">
            <v>en stock</v>
          </cell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 t="str">
            <v/>
          </cell>
          <cell r="AV2692"/>
        </row>
        <row r="2693">
          <cell r="Z2693" t="str">
            <v>6016837T2</v>
          </cell>
          <cell r="AA2693"/>
          <cell r="AB2693"/>
          <cell r="AC2693"/>
          <cell r="AD2693"/>
          <cell r="AE2693"/>
          <cell r="AF2693"/>
          <cell r="AG2693"/>
          <cell r="AH2693" t="str">
            <v>en stock</v>
          </cell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 t="str">
            <v/>
          </cell>
          <cell r="AV2693"/>
        </row>
        <row r="2694">
          <cell r="Z2694" t="str">
            <v>SK1</v>
          </cell>
          <cell r="AA2694" t="str">
            <v>Skid Stabilizer 1740mm x 760mm L</v>
          </cell>
          <cell r="AB2694">
            <v>120</v>
          </cell>
          <cell r="AC2694">
            <v>760</v>
          </cell>
          <cell r="AD2694">
            <v>1740</v>
          </cell>
          <cell r="AE2694"/>
          <cell r="AF2694"/>
          <cell r="AG2694" t="str">
            <v>L</v>
          </cell>
          <cell r="AH2694" t="str">
            <v xml:space="preserve"> en stock </v>
          </cell>
          <cell r="AI2694">
            <v>1</v>
          </cell>
          <cell r="AJ2694">
            <v>0</v>
          </cell>
          <cell r="AK2694">
            <v>0</v>
          </cell>
          <cell r="AL2694"/>
          <cell r="AM2694"/>
          <cell r="AN2694" t="str">
            <v xml:space="preserve"> - </v>
          </cell>
          <cell r="AO2694"/>
          <cell r="AP2694"/>
          <cell r="AQ2694"/>
          <cell r="AR2694"/>
          <cell r="AS2694">
            <v>31</v>
          </cell>
          <cell r="AT2694"/>
          <cell r="AU2694" t="str">
            <v>FR</v>
          </cell>
          <cell r="AV2694">
            <v>86090090</v>
          </cell>
        </row>
        <row r="2695">
          <cell r="Z2695" t="str">
            <v>SK2</v>
          </cell>
          <cell r="AA2695" t="str">
            <v>Skid Stabilizer 1740mm x 760mm L</v>
          </cell>
          <cell r="AB2695">
            <v>120</v>
          </cell>
          <cell r="AC2695">
            <v>760</v>
          </cell>
          <cell r="AD2695">
            <v>1740</v>
          </cell>
          <cell r="AE2695"/>
          <cell r="AF2695"/>
          <cell r="AG2695" t="str">
            <v>L</v>
          </cell>
          <cell r="AH2695" t="str">
            <v xml:space="preserve"> en stock </v>
          </cell>
          <cell r="AI2695">
            <v>1</v>
          </cell>
          <cell r="AJ2695">
            <v>0</v>
          </cell>
          <cell r="AK2695">
            <v>0</v>
          </cell>
          <cell r="AL2695"/>
          <cell r="AM2695"/>
          <cell r="AN2695" t="str">
            <v xml:space="preserve"> - </v>
          </cell>
          <cell r="AO2695"/>
          <cell r="AP2695"/>
          <cell r="AQ2695"/>
          <cell r="AR2695"/>
          <cell r="AS2695">
            <v>32</v>
          </cell>
          <cell r="AT2695"/>
          <cell r="AU2695" t="str">
            <v>FR</v>
          </cell>
          <cell r="AV2695">
            <v>86090090</v>
          </cell>
        </row>
        <row r="2696">
          <cell r="Z2696" t="str">
            <v>SK3</v>
          </cell>
          <cell r="AA2696" t="str">
            <v>Skid Stabilizer 1740mm x 760mm L</v>
          </cell>
          <cell r="AB2696">
            <v>120</v>
          </cell>
          <cell r="AC2696">
            <v>760</v>
          </cell>
          <cell r="AD2696">
            <v>1740</v>
          </cell>
          <cell r="AE2696"/>
          <cell r="AF2696"/>
          <cell r="AG2696" t="str">
            <v>L</v>
          </cell>
          <cell r="AH2696" t="str">
            <v xml:space="preserve"> en stock </v>
          </cell>
          <cell r="AI2696">
            <v>1</v>
          </cell>
          <cell r="AJ2696">
            <v>0</v>
          </cell>
          <cell r="AK2696">
            <v>0</v>
          </cell>
          <cell r="AL2696"/>
          <cell r="AM2696"/>
          <cell r="AN2696" t="str">
            <v xml:space="preserve"> - </v>
          </cell>
          <cell r="AO2696"/>
          <cell r="AP2696"/>
          <cell r="AQ2696"/>
          <cell r="AR2696"/>
          <cell r="AS2696">
            <v>33</v>
          </cell>
          <cell r="AT2696"/>
          <cell r="AU2696" t="str">
            <v>FR</v>
          </cell>
          <cell r="AV2696">
            <v>86090090</v>
          </cell>
        </row>
        <row r="2697">
          <cell r="Z2697" t="str">
            <v>SK4</v>
          </cell>
          <cell r="AA2697" t="str">
            <v>Skid Stabilizer 1740mm x 760mm L</v>
          </cell>
          <cell r="AB2697">
            <v>120</v>
          </cell>
          <cell r="AC2697">
            <v>760</v>
          </cell>
          <cell r="AD2697">
            <v>1740</v>
          </cell>
          <cell r="AE2697"/>
          <cell r="AF2697"/>
          <cell r="AG2697" t="str">
            <v>L</v>
          </cell>
          <cell r="AH2697" t="str">
            <v xml:space="preserve"> en stock </v>
          </cell>
          <cell r="AI2697">
            <v>1</v>
          </cell>
          <cell r="AJ2697">
            <v>0</v>
          </cell>
          <cell r="AK2697">
            <v>0</v>
          </cell>
          <cell r="AL2697"/>
          <cell r="AM2697"/>
          <cell r="AN2697" t="str">
            <v xml:space="preserve"> - </v>
          </cell>
          <cell r="AO2697"/>
          <cell r="AP2697"/>
          <cell r="AQ2697"/>
          <cell r="AR2697"/>
          <cell r="AS2697">
            <v>34</v>
          </cell>
          <cell r="AT2697"/>
          <cell r="AU2697" t="str">
            <v>FR</v>
          </cell>
          <cell r="AV2697">
            <v>86090090</v>
          </cell>
        </row>
        <row r="2698">
          <cell r="Z2698" t="str">
            <v>SK5</v>
          </cell>
          <cell r="AA2698" t="str">
            <v>Skid Stabilizer 1740mm x 760mm L</v>
          </cell>
          <cell r="AB2698">
            <v>120</v>
          </cell>
          <cell r="AC2698">
            <v>760</v>
          </cell>
          <cell r="AD2698">
            <v>1740</v>
          </cell>
          <cell r="AE2698"/>
          <cell r="AF2698"/>
          <cell r="AG2698" t="str">
            <v>L</v>
          </cell>
          <cell r="AH2698" t="str">
            <v xml:space="preserve"> en stock </v>
          </cell>
          <cell r="AI2698">
            <v>1</v>
          </cell>
          <cell r="AJ2698">
            <v>0</v>
          </cell>
          <cell r="AK2698">
            <v>0</v>
          </cell>
          <cell r="AL2698"/>
          <cell r="AM2698"/>
          <cell r="AN2698" t="str">
            <v xml:space="preserve"> - </v>
          </cell>
          <cell r="AO2698"/>
          <cell r="AP2698"/>
          <cell r="AQ2698"/>
          <cell r="AR2698"/>
          <cell r="AS2698">
            <v>35</v>
          </cell>
          <cell r="AT2698"/>
          <cell r="AU2698" t="str">
            <v>FR</v>
          </cell>
          <cell r="AV2698">
            <v>86090090</v>
          </cell>
        </row>
        <row r="2699">
          <cell r="Z2699" t="str">
            <v>SK6</v>
          </cell>
          <cell r="AA2699" t="str">
            <v>Skid Stabilizer 1740mm x 760mm L</v>
          </cell>
          <cell r="AB2699">
            <v>120</v>
          </cell>
          <cell r="AC2699">
            <v>760</v>
          </cell>
          <cell r="AD2699">
            <v>1740</v>
          </cell>
          <cell r="AE2699"/>
          <cell r="AF2699"/>
          <cell r="AG2699" t="str">
            <v>L</v>
          </cell>
          <cell r="AH2699" t="str">
            <v xml:space="preserve"> en stock </v>
          </cell>
          <cell r="AI2699">
            <v>1</v>
          </cell>
          <cell r="AJ2699">
            <v>0</v>
          </cell>
          <cell r="AK2699">
            <v>0</v>
          </cell>
          <cell r="AL2699"/>
          <cell r="AM2699"/>
          <cell r="AN2699" t="str">
            <v xml:space="preserve"> - </v>
          </cell>
          <cell r="AO2699"/>
          <cell r="AP2699"/>
          <cell r="AQ2699"/>
          <cell r="AR2699"/>
          <cell r="AS2699">
            <v>36</v>
          </cell>
          <cell r="AT2699"/>
          <cell r="AU2699" t="str">
            <v>FR</v>
          </cell>
          <cell r="AV2699">
            <v>86090090</v>
          </cell>
        </row>
        <row r="2700">
          <cell r="Z2700" t="str">
            <v>SK7</v>
          </cell>
          <cell r="AA2700" t="str">
            <v>Skid Stabilizer 1240mm x 760mm M</v>
          </cell>
          <cell r="AB2700">
            <v>100</v>
          </cell>
          <cell r="AC2700">
            <v>760</v>
          </cell>
          <cell r="AD2700">
            <v>1240</v>
          </cell>
          <cell r="AE2700"/>
          <cell r="AF2700"/>
          <cell r="AG2700" t="str">
            <v>M</v>
          </cell>
          <cell r="AH2700" t="str">
            <v xml:space="preserve"> en stock </v>
          </cell>
          <cell r="AI2700">
            <v>1</v>
          </cell>
          <cell r="AJ2700">
            <v>0</v>
          </cell>
          <cell r="AK2700">
            <v>0</v>
          </cell>
          <cell r="AL2700"/>
          <cell r="AM2700"/>
          <cell r="AN2700" t="str">
            <v xml:space="preserve"> - </v>
          </cell>
          <cell r="AO2700"/>
          <cell r="AP2700"/>
          <cell r="AQ2700"/>
          <cell r="AR2700"/>
          <cell r="AS2700">
            <v>39</v>
          </cell>
          <cell r="AT2700"/>
          <cell r="AU2700" t="str">
            <v>FR</v>
          </cell>
          <cell r="AV2700">
            <v>86090090</v>
          </cell>
        </row>
        <row r="2701">
          <cell r="Z2701" t="str">
            <v>SK8</v>
          </cell>
          <cell r="AA2701" t="str">
            <v>Skid Stabilizer 1240mm x 760mm M</v>
          </cell>
          <cell r="AB2701">
            <v>100</v>
          </cell>
          <cell r="AC2701">
            <v>760</v>
          </cell>
          <cell r="AD2701">
            <v>1240</v>
          </cell>
          <cell r="AE2701"/>
          <cell r="AF2701"/>
          <cell r="AG2701" t="str">
            <v>M</v>
          </cell>
          <cell r="AH2701" t="str">
            <v xml:space="preserve"> en stock </v>
          </cell>
          <cell r="AI2701">
            <v>1</v>
          </cell>
          <cell r="AJ2701">
            <v>0</v>
          </cell>
          <cell r="AK2701">
            <v>0</v>
          </cell>
          <cell r="AL2701"/>
          <cell r="AM2701"/>
          <cell r="AN2701" t="str">
            <v xml:space="preserve"> - </v>
          </cell>
          <cell r="AO2701"/>
          <cell r="AP2701"/>
          <cell r="AQ2701"/>
          <cell r="AR2701"/>
          <cell r="AS2701">
            <v>40</v>
          </cell>
          <cell r="AT2701"/>
          <cell r="AU2701" t="str">
            <v>FR</v>
          </cell>
          <cell r="AV2701">
            <v>86090090</v>
          </cell>
        </row>
        <row r="2702">
          <cell r="Z2702" t="str">
            <v>SK9</v>
          </cell>
          <cell r="AA2702" t="str">
            <v>Skid Stabilizer 1240mm x 760mm M</v>
          </cell>
          <cell r="AB2702">
            <v>100</v>
          </cell>
          <cell r="AC2702">
            <v>760</v>
          </cell>
          <cell r="AD2702">
            <v>1240</v>
          </cell>
          <cell r="AE2702"/>
          <cell r="AF2702"/>
          <cell r="AG2702" t="str">
            <v>M</v>
          </cell>
          <cell r="AH2702" t="str">
            <v xml:space="preserve"> en stock </v>
          </cell>
          <cell r="AI2702">
            <v>1</v>
          </cell>
          <cell r="AJ2702">
            <v>0</v>
          </cell>
          <cell r="AK2702">
            <v>0</v>
          </cell>
          <cell r="AL2702"/>
          <cell r="AM2702"/>
          <cell r="AN2702" t="str">
            <v xml:space="preserve"> - </v>
          </cell>
          <cell r="AO2702"/>
          <cell r="AP2702"/>
          <cell r="AQ2702"/>
          <cell r="AR2702"/>
          <cell r="AS2702">
            <v>41</v>
          </cell>
          <cell r="AT2702"/>
          <cell r="AU2702" t="str">
            <v>FR</v>
          </cell>
          <cell r="AV2702">
            <v>86090090</v>
          </cell>
        </row>
        <row r="2703">
          <cell r="Z2703" t="str">
            <v>SK10</v>
          </cell>
          <cell r="AA2703" t="str">
            <v>Skid Stabilizer 1240mm x 760mm M</v>
          </cell>
          <cell r="AB2703">
            <v>100</v>
          </cell>
          <cell r="AC2703">
            <v>760</v>
          </cell>
          <cell r="AD2703">
            <v>1240</v>
          </cell>
          <cell r="AE2703"/>
          <cell r="AF2703"/>
          <cell r="AG2703" t="str">
            <v>M</v>
          </cell>
          <cell r="AH2703" t="str">
            <v xml:space="preserve"> en stock </v>
          </cell>
          <cell r="AI2703">
            <v>1</v>
          </cell>
          <cell r="AJ2703">
            <v>0</v>
          </cell>
          <cell r="AK2703">
            <v>0</v>
          </cell>
          <cell r="AL2703"/>
          <cell r="AM2703"/>
          <cell r="AN2703" t="str">
            <v xml:space="preserve"> - </v>
          </cell>
          <cell r="AO2703"/>
          <cell r="AP2703"/>
          <cell r="AQ2703"/>
          <cell r="AR2703"/>
          <cell r="AS2703">
            <v>42</v>
          </cell>
          <cell r="AT2703"/>
          <cell r="AU2703" t="str">
            <v>FR</v>
          </cell>
          <cell r="AV2703">
            <v>86090090</v>
          </cell>
        </row>
        <row r="2704">
          <cell r="Z2704" t="str">
            <v>SK11</v>
          </cell>
          <cell r="AA2704" t="str">
            <v>Skid Stabilizer 1240mm x 760mm M</v>
          </cell>
          <cell r="AB2704">
            <v>100</v>
          </cell>
          <cell r="AC2704">
            <v>760</v>
          </cell>
          <cell r="AD2704">
            <v>1240</v>
          </cell>
          <cell r="AE2704"/>
          <cell r="AF2704"/>
          <cell r="AG2704" t="str">
            <v>M</v>
          </cell>
          <cell r="AH2704" t="str">
            <v xml:space="preserve"> en stock </v>
          </cell>
          <cell r="AI2704">
            <v>1</v>
          </cell>
          <cell r="AJ2704">
            <v>0</v>
          </cell>
          <cell r="AK2704">
            <v>0</v>
          </cell>
          <cell r="AL2704"/>
          <cell r="AM2704"/>
          <cell r="AN2704" t="str">
            <v xml:space="preserve"> - </v>
          </cell>
          <cell r="AO2704"/>
          <cell r="AP2704"/>
          <cell r="AQ2704"/>
          <cell r="AR2704"/>
          <cell r="AS2704">
            <v>43</v>
          </cell>
          <cell r="AT2704"/>
          <cell r="AU2704" t="str">
            <v>FR</v>
          </cell>
          <cell r="AV2704">
            <v>86090090</v>
          </cell>
        </row>
        <row r="2705">
          <cell r="Z2705" t="str">
            <v>SK12</v>
          </cell>
          <cell r="AA2705" t="str">
            <v>Skid Stabilizer 1240mm x 760mm M</v>
          </cell>
          <cell r="AB2705">
            <v>100</v>
          </cell>
          <cell r="AC2705">
            <v>760</v>
          </cell>
          <cell r="AD2705">
            <v>1240</v>
          </cell>
          <cell r="AE2705"/>
          <cell r="AF2705"/>
          <cell r="AG2705" t="str">
            <v>M</v>
          </cell>
          <cell r="AH2705" t="str">
            <v xml:space="preserve"> en stock </v>
          </cell>
          <cell r="AI2705">
            <v>1</v>
          </cell>
          <cell r="AJ2705">
            <v>0</v>
          </cell>
          <cell r="AK2705">
            <v>0</v>
          </cell>
          <cell r="AL2705"/>
          <cell r="AM2705"/>
          <cell r="AN2705" t="str">
            <v xml:space="preserve"> - </v>
          </cell>
          <cell r="AO2705"/>
          <cell r="AP2705"/>
          <cell r="AQ2705"/>
          <cell r="AR2705"/>
          <cell r="AS2705">
            <v>44</v>
          </cell>
          <cell r="AT2705"/>
          <cell r="AU2705" t="str">
            <v>FR</v>
          </cell>
          <cell r="AV2705">
            <v>86090090</v>
          </cell>
        </row>
        <row r="2706">
          <cell r="Z2706" t="str">
            <v>SK13</v>
          </cell>
          <cell r="AA2706" t="str">
            <v>Skid Stabilizer 1240mm x 760mm M</v>
          </cell>
          <cell r="AB2706">
            <v>100</v>
          </cell>
          <cell r="AC2706">
            <v>760</v>
          </cell>
          <cell r="AD2706">
            <v>1240</v>
          </cell>
          <cell r="AE2706"/>
          <cell r="AF2706"/>
          <cell r="AG2706" t="str">
            <v>M</v>
          </cell>
          <cell r="AH2706" t="str">
            <v xml:space="preserve"> en stock </v>
          </cell>
          <cell r="AI2706">
            <v>1</v>
          </cell>
          <cell r="AJ2706">
            <v>0</v>
          </cell>
          <cell r="AK2706">
            <v>0</v>
          </cell>
          <cell r="AL2706"/>
          <cell r="AM2706"/>
          <cell r="AN2706" t="str">
            <v xml:space="preserve"> - </v>
          </cell>
          <cell r="AO2706"/>
          <cell r="AP2706"/>
          <cell r="AQ2706"/>
          <cell r="AR2706"/>
          <cell r="AS2706">
            <v>45</v>
          </cell>
          <cell r="AT2706"/>
          <cell r="AU2706" t="str">
            <v>FR</v>
          </cell>
          <cell r="AV2706">
            <v>86090090</v>
          </cell>
        </row>
        <row r="2707">
          <cell r="Z2707" t="str">
            <v>SK14</v>
          </cell>
          <cell r="AA2707" t="str">
            <v>Skid Stabilizer 1240mm x 760mm M</v>
          </cell>
          <cell r="AB2707">
            <v>100</v>
          </cell>
          <cell r="AC2707">
            <v>760</v>
          </cell>
          <cell r="AD2707">
            <v>1240</v>
          </cell>
          <cell r="AE2707"/>
          <cell r="AF2707"/>
          <cell r="AG2707" t="str">
            <v>M</v>
          </cell>
          <cell r="AH2707" t="str">
            <v xml:space="preserve"> en stock </v>
          </cell>
          <cell r="AI2707">
            <v>1</v>
          </cell>
          <cell r="AJ2707">
            <v>0</v>
          </cell>
          <cell r="AK2707">
            <v>0</v>
          </cell>
          <cell r="AL2707"/>
          <cell r="AM2707"/>
          <cell r="AN2707" t="str">
            <v xml:space="preserve"> - </v>
          </cell>
          <cell r="AO2707"/>
          <cell r="AP2707"/>
          <cell r="AQ2707"/>
          <cell r="AR2707"/>
          <cell r="AS2707">
            <v>46</v>
          </cell>
          <cell r="AT2707"/>
          <cell r="AU2707" t="str">
            <v>FR</v>
          </cell>
          <cell r="AV2707">
            <v>86090090</v>
          </cell>
        </row>
        <row r="2708">
          <cell r="Z2708" t="str">
            <v>SK15</v>
          </cell>
          <cell r="AA2708" t="str">
            <v>Skid Stabilizer 1240mm x 760mm M</v>
          </cell>
          <cell r="AB2708">
            <v>100</v>
          </cell>
          <cell r="AC2708">
            <v>760</v>
          </cell>
          <cell r="AD2708">
            <v>1240</v>
          </cell>
          <cell r="AE2708"/>
          <cell r="AF2708"/>
          <cell r="AG2708" t="str">
            <v>M</v>
          </cell>
          <cell r="AH2708" t="str">
            <v xml:space="preserve"> en stock </v>
          </cell>
          <cell r="AI2708">
            <v>1</v>
          </cell>
          <cell r="AJ2708">
            <v>0</v>
          </cell>
          <cell r="AK2708">
            <v>0</v>
          </cell>
          <cell r="AL2708"/>
          <cell r="AM2708"/>
          <cell r="AN2708" t="str">
            <v xml:space="preserve"> - </v>
          </cell>
          <cell r="AO2708"/>
          <cell r="AP2708"/>
          <cell r="AQ2708"/>
          <cell r="AR2708"/>
          <cell r="AS2708">
            <v>47</v>
          </cell>
          <cell r="AT2708"/>
          <cell r="AU2708" t="str">
            <v>FR</v>
          </cell>
          <cell r="AV2708">
            <v>86090090</v>
          </cell>
        </row>
        <row r="2709">
          <cell r="Z2709" t="str">
            <v>SK16</v>
          </cell>
          <cell r="AA2709" t="str">
            <v>Skid Stabilizer 1240mm x 760mm M</v>
          </cell>
          <cell r="AB2709">
            <v>100</v>
          </cell>
          <cell r="AC2709">
            <v>760</v>
          </cell>
          <cell r="AD2709">
            <v>1240</v>
          </cell>
          <cell r="AE2709"/>
          <cell r="AF2709"/>
          <cell r="AG2709" t="str">
            <v>M</v>
          </cell>
          <cell r="AH2709" t="str">
            <v xml:space="preserve"> en stock </v>
          </cell>
          <cell r="AI2709">
            <v>1</v>
          </cell>
          <cell r="AJ2709">
            <v>0</v>
          </cell>
          <cell r="AK2709">
            <v>0</v>
          </cell>
          <cell r="AL2709"/>
          <cell r="AM2709"/>
          <cell r="AN2709" t="str">
            <v xml:space="preserve"> - </v>
          </cell>
          <cell r="AO2709"/>
          <cell r="AP2709"/>
          <cell r="AQ2709"/>
          <cell r="AR2709"/>
          <cell r="AS2709">
            <v>48</v>
          </cell>
          <cell r="AT2709"/>
          <cell r="AU2709" t="str">
            <v>FR</v>
          </cell>
          <cell r="AV2709">
            <v>86090090</v>
          </cell>
        </row>
        <row r="2710">
          <cell r="Z2710" t="str">
            <v>SK17</v>
          </cell>
          <cell r="AA2710" t="str">
            <v>Skid Stabilizer 1240mm x 760mm M</v>
          </cell>
          <cell r="AB2710">
            <v>100</v>
          </cell>
          <cell r="AC2710">
            <v>760</v>
          </cell>
          <cell r="AD2710">
            <v>1240</v>
          </cell>
          <cell r="AE2710"/>
          <cell r="AF2710"/>
          <cell r="AG2710" t="str">
            <v>M</v>
          </cell>
          <cell r="AH2710" t="str">
            <v xml:space="preserve"> en stock </v>
          </cell>
          <cell r="AI2710">
            <v>1</v>
          </cell>
          <cell r="AJ2710">
            <v>0</v>
          </cell>
          <cell r="AK2710">
            <v>0</v>
          </cell>
          <cell r="AL2710"/>
          <cell r="AM2710"/>
          <cell r="AN2710" t="str">
            <v xml:space="preserve"> - </v>
          </cell>
          <cell r="AO2710"/>
          <cell r="AP2710"/>
          <cell r="AQ2710"/>
          <cell r="AR2710"/>
          <cell r="AS2710">
            <v>49</v>
          </cell>
          <cell r="AT2710"/>
          <cell r="AU2710" t="str">
            <v>FR</v>
          </cell>
          <cell r="AV2710">
            <v>86090090</v>
          </cell>
        </row>
        <row r="2711">
          <cell r="Z2711" t="str">
            <v>SK18</v>
          </cell>
          <cell r="AA2711" t="str">
            <v>Skid Stabilizer 1240mm x 760mm M</v>
          </cell>
          <cell r="AB2711">
            <v>100</v>
          </cell>
          <cell r="AC2711">
            <v>760</v>
          </cell>
          <cell r="AD2711">
            <v>1240</v>
          </cell>
          <cell r="AE2711"/>
          <cell r="AF2711"/>
          <cell r="AG2711" t="str">
            <v>M</v>
          </cell>
          <cell r="AH2711" t="str">
            <v xml:space="preserve"> en stock </v>
          </cell>
          <cell r="AI2711">
            <v>1</v>
          </cell>
          <cell r="AJ2711">
            <v>0</v>
          </cell>
          <cell r="AK2711">
            <v>0</v>
          </cell>
          <cell r="AL2711"/>
          <cell r="AM2711"/>
          <cell r="AN2711" t="str">
            <v xml:space="preserve"> - </v>
          </cell>
          <cell r="AO2711"/>
          <cell r="AP2711"/>
          <cell r="AQ2711"/>
          <cell r="AR2711"/>
          <cell r="AS2711">
            <v>50</v>
          </cell>
          <cell r="AT2711"/>
          <cell r="AU2711" t="str">
            <v>FR</v>
          </cell>
          <cell r="AV2711">
            <v>86090090</v>
          </cell>
        </row>
        <row r="2712">
          <cell r="Z2712" t="str">
            <v>SK19</v>
          </cell>
          <cell r="AA2712" t="str">
            <v>Skid Stabilizer 1240mm x 760mm M</v>
          </cell>
          <cell r="AB2712">
            <v>100</v>
          </cell>
          <cell r="AC2712">
            <v>760</v>
          </cell>
          <cell r="AD2712">
            <v>1240</v>
          </cell>
          <cell r="AE2712"/>
          <cell r="AF2712"/>
          <cell r="AG2712" t="str">
            <v>M</v>
          </cell>
          <cell r="AH2712" t="str">
            <v xml:space="preserve"> en stock </v>
          </cell>
          <cell r="AI2712">
            <v>1</v>
          </cell>
          <cell r="AJ2712">
            <v>0</v>
          </cell>
          <cell r="AK2712">
            <v>0</v>
          </cell>
          <cell r="AL2712"/>
          <cell r="AM2712"/>
          <cell r="AN2712" t="str">
            <v xml:space="preserve"> - </v>
          </cell>
          <cell r="AO2712"/>
          <cell r="AP2712"/>
          <cell r="AQ2712"/>
          <cell r="AR2712"/>
          <cell r="AS2712">
            <v>51</v>
          </cell>
          <cell r="AT2712"/>
          <cell r="AU2712" t="str">
            <v>FR</v>
          </cell>
          <cell r="AV2712">
            <v>86090090</v>
          </cell>
        </row>
        <row r="2713">
          <cell r="Z2713" t="str">
            <v>SK20</v>
          </cell>
          <cell r="AA2713" t="str">
            <v>Skid Stabilizer 1240mm x 760mm M</v>
          </cell>
          <cell r="AB2713">
            <v>100</v>
          </cell>
          <cell r="AC2713">
            <v>760</v>
          </cell>
          <cell r="AD2713">
            <v>1240</v>
          </cell>
          <cell r="AE2713"/>
          <cell r="AF2713"/>
          <cell r="AG2713" t="str">
            <v>M</v>
          </cell>
          <cell r="AH2713" t="str">
            <v xml:space="preserve"> en stock </v>
          </cell>
          <cell r="AI2713">
            <v>1</v>
          </cell>
          <cell r="AJ2713">
            <v>0</v>
          </cell>
          <cell r="AK2713">
            <v>0</v>
          </cell>
          <cell r="AL2713"/>
          <cell r="AM2713"/>
          <cell r="AN2713" t="str">
            <v xml:space="preserve"> - </v>
          </cell>
          <cell r="AO2713"/>
          <cell r="AP2713"/>
          <cell r="AQ2713"/>
          <cell r="AR2713"/>
          <cell r="AS2713">
            <v>52</v>
          </cell>
          <cell r="AT2713"/>
          <cell r="AU2713" t="str">
            <v>FR</v>
          </cell>
          <cell r="AV2713">
            <v>86090090</v>
          </cell>
        </row>
        <row r="2714">
          <cell r="Z2714" t="str">
            <v>SK21</v>
          </cell>
          <cell r="AA2714" t="str">
            <v>Skid Stabilizer 1240mm x 760mm M</v>
          </cell>
          <cell r="AB2714">
            <v>100</v>
          </cell>
          <cell r="AC2714">
            <v>760</v>
          </cell>
          <cell r="AD2714">
            <v>1240</v>
          </cell>
          <cell r="AE2714"/>
          <cell r="AF2714"/>
          <cell r="AG2714" t="str">
            <v>M</v>
          </cell>
          <cell r="AH2714" t="str">
            <v xml:space="preserve"> en stock </v>
          </cell>
          <cell r="AI2714">
            <v>1</v>
          </cell>
          <cell r="AJ2714">
            <v>0</v>
          </cell>
          <cell r="AK2714">
            <v>0</v>
          </cell>
          <cell r="AL2714"/>
          <cell r="AM2714"/>
          <cell r="AN2714" t="str">
            <v xml:space="preserve"> - </v>
          </cell>
          <cell r="AO2714"/>
          <cell r="AP2714"/>
          <cell r="AQ2714"/>
          <cell r="AR2714"/>
          <cell r="AS2714">
            <v>53</v>
          </cell>
          <cell r="AT2714"/>
          <cell r="AU2714" t="str">
            <v>FR</v>
          </cell>
          <cell r="AV2714">
            <v>86090090</v>
          </cell>
        </row>
        <row r="2715">
          <cell r="Z2715" t="str">
            <v>SK22</v>
          </cell>
          <cell r="AA2715" t="str">
            <v>Skid Stabilizer 1240mm x 760mm M</v>
          </cell>
          <cell r="AB2715">
            <v>100</v>
          </cell>
          <cell r="AC2715">
            <v>760</v>
          </cell>
          <cell r="AD2715">
            <v>1240</v>
          </cell>
          <cell r="AE2715"/>
          <cell r="AF2715"/>
          <cell r="AG2715" t="str">
            <v>M</v>
          </cell>
          <cell r="AH2715" t="str">
            <v xml:space="preserve"> en stock </v>
          </cell>
          <cell r="AI2715">
            <v>1</v>
          </cell>
          <cell r="AJ2715">
            <v>0</v>
          </cell>
          <cell r="AK2715">
            <v>0</v>
          </cell>
          <cell r="AL2715"/>
          <cell r="AM2715"/>
          <cell r="AN2715" t="str">
            <v xml:space="preserve"> - </v>
          </cell>
          <cell r="AO2715"/>
          <cell r="AP2715"/>
          <cell r="AQ2715"/>
          <cell r="AR2715"/>
          <cell r="AS2715">
            <v>54</v>
          </cell>
          <cell r="AT2715"/>
          <cell r="AU2715" t="str">
            <v>FR</v>
          </cell>
          <cell r="AV2715">
            <v>86090090</v>
          </cell>
        </row>
        <row r="2716">
          <cell r="Z2716" t="str">
            <v>SK23</v>
          </cell>
          <cell r="AA2716" t="str">
            <v>Skid Stabilizer 1740mm x 760mm L</v>
          </cell>
          <cell r="AB2716">
            <v>120</v>
          </cell>
          <cell r="AC2716">
            <v>760</v>
          </cell>
          <cell r="AD2716">
            <v>1740</v>
          </cell>
          <cell r="AE2716"/>
          <cell r="AF2716"/>
          <cell r="AG2716" t="str">
            <v>L</v>
          </cell>
          <cell r="AH2716" t="str">
            <v xml:space="preserve"> en stock </v>
          </cell>
          <cell r="AI2716">
            <v>1</v>
          </cell>
          <cell r="AJ2716">
            <v>0</v>
          </cell>
          <cell r="AK2716">
            <v>0</v>
          </cell>
          <cell r="AL2716"/>
          <cell r="AM2716"/>
          <cell r="AN2716" t="str">
            <v xml:space="preserve"> - </v>
          </cell>
          <cell r="AO2716"/>
          <cell r="AP2716"/>
          <cell r="AQ2716"/>
          <cell r="AR2716"/>
          <cell r="AS2716">
            <v>37</v>
          </cell>
          <cell r="AT2716"/>
          <cell r="AU2716" t="str">
            <v>FR</v>
          </cell>
          <cell r="AV2716">
            <v>86090090</v>
          </cell>
        </row>
        <row r="2717">
          <cell r="Z2717" t="str">
            <v>SK24</v>
          </cell>
          <cell r="AA2717" t="str">
            <v>Skid Stabilizer 1740mm x 760mm L</v>
          </cell>
          <cell r="AB2717">
            <v>120</v>
          </cell>
          <cell r="AC2717">
            <v>760</v>
          </cell>
          <cell r="AD2717">
            <v>1740</v>
          </cell>
          <cell r="AE2717"/>
          <cell r="AF2717"/>
          <cell r="AG2717" t="str">
            <v>L</v>
          </cell>
          <cell r="AH2717" t="str">
            <v xml:space="preserve"> en stock </v>
          </cell>
          <cell r="AI2717">
            <v>1</v>
          </cell>
          <cell r="AJ2717">
            <v>0</v>
          </cell>
          <cell r="AK2717">
            <v>0</v>
          </cell>
          <cell r="AL2717"/>
          <cell r="AM2717"/>
          <cell r="AN2717" t="str">
            <v xml:space="preserve"> - </v>
          </cell>
          <cell r="AO2717"/>
          <cell r="AP2717"/>
          <cell r="AQ2717"/>
          <cell r="AR2717"/>
          <cell r="AS2717">
            <v>38</v>
          </cell>
          <cell r="AT2717"/>
          <cell r="AU2717" t="str">
            <v>FR</v>
          </cell>
          <cell r="AV2717">
            <v>86090090</v>
          </cell>
        </row>
        <row r="2718">
          <cell r="Z2718" t="str">
            <v/>
          </cell>
          <cell r="AA2718"/>
          <cell r="AB2718"/>
          <cell r="AC2718"/>
          <cell r="AD2718"/>
          <cell r="AE2718"/>
          <cell r="AF2718"/>
          <cell r="AG2718"/>
          <cell r="AH2718" t="str">
            <v>en stock</v>
          </cell>
          <cell r="AI2718"/>
          <cell r="AJ2718"/>
          <cell r="AK2718"/>
          <cell r="AL2718"/>
          <cell r="AM2718"/>
          <cell r="AN2718">
            <v>2026</v>
          </cell>
          <cell r="AO2718"/>
          <cell r="AP2718"/>
          <cell r="AQ2718"/>
          <cell r="AR2718"/>
          <cell r="AS2718"/>
          <cell r="AT2718"/>
          <cell r="AU2718" t="str">
            <v/>
          </cell>
          <cell r="AV2718"/>
        </row>
        <row r="2719">
          <cell r="Z2719">
            <v>5082305</v>
          </cell>
          <cell r="AA2719" t="str">
            <v>Taper Mill 
1" AMMT Pin</v>
          </cell>
          <cell r="AB2719">
            <v>0</v>
          </cell>
          <cell r="AC2719">
            <v>2.5</v>
          </cell>
          <cell r="AD2719">
            <v>0</v>
          </cell>
          <cell r="AE2719" t="str">
            <v>1" AMMT Pin</v>
          </cell>
          <cell r="AF2719"/>
          <cell r="AG2719"/>
          <cell r="AH2719" t="str">
            <v>maintenance</v>
          </cell>
          <cell r="AI2719" t="str">
            <v/>
          </cell>
          <cell r="AJ2719">
            <v>0</v>
          </cell>
          <cell r="AK2719">
            <v>1</v>
          </cell>
          <cell r="AL2719"/>
          <cell r="AM2719"/>
          <cell r="AN2719">
            <v>5082305</v>
          </cell>
          <cell r="AO2719"/>
          <cell r="AP2719"/>
          <cell r="AQ2719"/>
          <cell r="AR2719"/>
          <cell r="AS2719">
            <v>5</v>
          </cell>
          <cell r="AT2719" t="str">
            <v>508-</v>
          </cell>
          <cell r="AU2719" t="str">
            <v>FR</v>
          </cell>
          <cell r="AV2719"/>
        </row>
        <row r="2720">
          <cell r="Z2720">
            <v>8022306</v>
          </cell>
          <cell r="AA2720" t="str">
            <v>Bit Sub
1" AMMT Box x BQ Box</v>
          </cell>
          <cell r="AB2720">
            <v>5.0042462918906256</v>
          </cell>
          <cell r="AC2720">
            <v>2.1875</v>
          </cell>
          <cell r="AD2720">
            <v>300</v>
          </cell>
          <cell r="AE2720" t="str">
            <v>1" AMMT Box</v>
          </cell>
          <cell r="AF2720" t="str">
            <v>BQ Box</v>
          </cell>
          <cell r="AG2720"/>
          <cell r="AH2720" t="str">
            <v>maintenance</v>
          </cell>
          <cell r="AI2720" t="str">
            <v/>
          </cell>
          <cell r="AJ2720">
            <v>0</v>
          </cell>
          <cell r="AK2720">
            <v>1</v>
          </cell>
          <cell r="AL2720"/>
          <cell r="AM2720"/>
          <cell r="AN2720">
            <v>8022306</v>
          </cell>
          <cell r="AO2720"/>
          <cell r="AP2720"/>
          <cell r="AQ2720"/>
          <cell r="AR2720"/>
          <cell r="AS2720">
            <v>5</v>
          </cell>
          <cell r="AT2720"/>
          <cell r="AU2720" t="str">
            <v>FR</v>
          </cell>
          <cell r="AV2720"/>
        </row>
        <row r="2721">
          <cell r="Z2721">
            <v>5072307</v>
          </cell>
          <cell r="AA2721" t="str">
            <v>Super Junk Mill 
6-5/8" REG Pin</v>
          </cell>
          <cell r="AB2721">
            <v>287</v>
          </cell>
          <cell r="AC2721">
            <v>10.75</v>
          </cell>
          <cell r="AD2721">
            <v>1070</v>
          </cell>
          <cell r="AE2721" t="str">
            <v>6-5/8" REG Pin</v>
          </cell>
          <cell r="AF2721"/>
          <cell r="AG2721" t="str">
            <v>blank</v>
          </cell>
          <cell r="AH2721" t="str">
            <v xml:space="preserve"> en stock </v>
          </cell>
          <cell r="AI2721" t="str">
            <v>blank</v>
          </cell>
          <cell r="AJ2721">
            <v>0</v>
          </cell>
          <cell r="AK2721">
            <v>0</v>
          </cell>
          <cell r="AL2721"/>
          <cell r="AM2721"/>
          <cell r="AN2721">
            <v>5072307</v>
          </cell>
          <cell r="AO2721"/>
          <cell r="AP2721"/>
          <cell r="AQ2721"/>
          <cell r="AR2721"/>
          <cell r="AS2721">
            <v>76</v>
          </cell>
          <cell r="AT2721"/>
          <cell r="AU2721" t="str">
            <v>FR</v>
          </cell>
          <cell r="AV2721"/>
        </row>
        <row r="2722">
          <cell r="Z2722">
            <v>5072308</v>
          </cell>
          <cell r="AA2722" t="str">
            <v>Super Junk Mill 
6-5/8" REG Pin</v>
          </cell>
          <cell r="AB2722">
            <v>270</v>
          </cell>
          <cell r="AC2722">
            <v>10.75</v>
          </cell>
          <cell r="AD2722">
            <v>1070</v>
          </cell>
          <cell r="AE2722" t="str">
            <v>6-5/8" REG Pin</v>
          </cell>
          <cell r="AF2722"/>
          <cell r="AG2722" t="str">
            <v>blank</v>
          </cell>
          <cell r="AH2722" t="str">
            <v xml:space="preserve"> en stock </v>
          </cell>
          <cell r="AI2722" t="str">
            <v>blank</v>
          </cell>
          <cell r="AJ2722">
            <v>0</v>
          </cell>
          <cell r="AK2722">
            <v>0</v>
          </cell>
          <cell r="AL2722"/>
          <cell r="AM2722"/>
          <cell r="AN2722">
            <v>5072308</v>
          </cell>
          <cell r="AO2722"/>
          <cell r="AP2722"/>
          <cell r="AQ2722"/>
          <cell r="AR2722"/>
          <cell r="AS2722">
            <v>77</v>
          </cell>
          <cell r="AT2722"/>
          <cell r="AU2722" t="str">
            <v>FR</v>
          </cell>
          <cell r="AV2722"/>
        </row>
        <row r="2723">
          <cell r="Z2723">
            <v>8082309</v>
          </cell>
          <cell r="AA2723" t="str">
            <v xml:space="preserve">Flex Collar 3-1/8" OD for DJ FH
2-3/8" REG Pin x Box
Set on : </v>
          </cell>
          <cell r="AB2723">
            <v>0</v>
          </cell>
          <cell r="AC2723">
            <v>3.125</v>
          </cell>
          <cell r="AD2723">
            <v>0</v>
          </cell>
          <cell r="AE2723" t="str">
            <v>2-3/8" REG Box</v>
          </cell>
          <cell r="AF2723" t="str">
            <v>2-3/8" REG Pin</v>
          </cell>
          <cell r="AG2723" t="str">
            <v>DJ</v>
          </cell>
          <cell r="AH2723" t="str">
            <v>Fabrication en cours</v>
          </cell>
          <cell r="AI2723" t="e">
            <v>#VALUE!</v>
          </cell>
          <cell r="AJ2723">
            <v>0</v>
          </cell>
          <cell r="AK2723" t="str">
            <v>F</v>
          </cell>
          <cell r="AL2723"/>
          <cell r="AM2723"/>
          <cell r="AN2723" t="str">
            <v/>
          </cell>
          <cell r="AO2723"/>
          <cell r="AP2723"/>
          <cell r="AQ2723"/>
          <cell r="AR2723"/>
          <cell r="AS2723">
            <v>11</v>
          </cell>
          <cell r="AT2723"/>
          <cell r="AU2723" t="str">
            <v>CH</v>
          </cell>
          <cell r="AV2723"/>
        </row>
        <row r="2724">
          <cell r="Z2724">
            <v>8082310</v>
          </cell>
          <cell r="AA2724" t="str">
            <v xml:space="preserve">Flex Collar 3-1/8" OD for DJ FH
2-3/8" REG Pin x Box
Set on : </v>
          </cell>
          <cell r="AB2724">
            <v>0</v>
          </cell>
          <cell r="AC2724">
            <v>3.125</v>
          </cell>
          <cell r="AD2724">
            <v>0</v>
          </cell>
          <cell r="AE2724" t="str">
            <v>2-3/8" REG Box</v>
          </cell>
          <cell r="AF2724" t="str">
            <v>2-3/8" REG Pin</v>
          </cell>
          <cell r="AG2724" t="str">
            <v>DJ</v>
          </cell>
          <cell r="AH2724" t="str">
            <v>Fabrication en cours</v>
          </cell>
          <cell r="AI2724" t="e">
            <v>#VALUE!</v>
          </cell>
          <cell r="AJ2724">
            <v>0</v>
          </cell>
          <cell r="AK2724" t="str">
            <v>F</v>
          </cell>
          <cell r="AL2724"/>
          <cell r="AM2724"/>
          <cell r="AN2724" t="str">
            <v/>
          </cell>
          <cell r="AO2724"/>
          <cell r="AP2724"/>
          <cell r="AQ2724"/>
          <cell r="AR2724"/>
          <cell r="AS2724">
            <v>12</v>
          </cell>
          <cell r="AT2724"/>
          <cell r="AU2724" t="str">
            <v>CH</v>
          </cell>
          <cell r="AV2724"/>
        </row>
        <row r="2725">
          <cell r="Z2725">
            <v>8082311</v>
          </cell>
          <cell r="AA2725" t="str">
            <v xml:space="preserve">Flex Collar 3-1/8" OD for DJ FH
2-3/8" REG Pin x Box
Set on : </v>
          </cell>
          <cell r="AB2725">
            <v>0</v>
          </cell>
          <cell r="AC2725">
            <v>3.125</v>
          </cell>
          <cell r="AD2725">
            <v>0</v>
          </cell>
          <cell r="AE2725" t="str">
            <v>2-3/8" REG Box</v>
          </cell>
          <cell r="AF2725" t="str">
            <v>2-3/8" REG Pin</v>
          </cell>
          <cell r="AG2725" t="str">
            <v>DJ</v>
          </cell>
          <cell r="AH2725" t="str">
            <v>Fabrication en cours</v>
          </cell>
          <cell r="AI2725" t="e">
            <v>#VALUE!</v>
          </cell>
          <cell r="AJ2725">
            <v>0</v>
          </cell>
          <cell r="AK2725" t="str">
            <v>F</v>
          </cell>
          <cell r="AL2725"/>
          <cell r="AM2725"/>
          <cell r="AN2725" t="str">
            <v/>
          </cell>
          <cell r="AO2725"/>
          <cell r="AP2725"/>
          <cell r="AQ2725"/>
          <cell r="AR2725"/>
          <cell r="AS2725">
            <v>13</v>
          </cell>
          <cell r="AT2725"/>
          <cell r="AU2725" t="str">
            <v>CH</v>
          </cell>
          <cell r="AV2725"/>
        </row>
        <row r="2726">
          <cell r="Z2726">
            <v>8082312</v>
          </cell>
          <cell r="AA2726" t="str">
            <v xml:space="preserve">Flex Collar 3-1/8" OD for DJ FH
2-3/8" REG Pin x Box
Set on : </v>
          </cell>
          <cell r="AB2726">
            <v>0</v>
          </cell>
          <cell r="AC2726">
            <v>3.125</v>
          </cell>
          <cell r="AD2726">
            <v>0</v>
          </cell>
          <cell r="AE2726" t="str">
            <v>2-3/8" REG Box</v>
          </cell>
          <cell r="AF2726" t="str">
            <v>2-3/8" REG Pin</v>
          </cell>
          <cell r="AG2726" t="str">
            <v>DJ</v>
          </cell>
          <cell r="AH2726" t="str">
            <v>Fabrication en cours</v>
          </cell>
          <cell r="AI2726" t="e">
            <v>#VALUE!</v>
          </cell>
          <cell r="AJ2726">
            <v>0</v>
          </cell>
          <cell r="AK2726" t="str">
            <v>F</v>
          </cell>
          <cell r="AL2726"/>
          <cell r="AM2726"/>
          <cell r="AN2726" t="str">
            <v/>
          </cell>
          <cell r="AO2726"/>
          <cell r="AP2726"/>
          <cell r="AQ2726"/>
          <cell r="AR2726"/>
          <cell r="AS2726">
            <v>14</v>
          </cell>
          <cell r="AT2726"/>
          <cell r="AU2726" t="str">
            <v>CH</v>
          </cell>
          <cell r="AV2726"/>
        </row>
        <row r="2727">
          <cell r="Z2727">
            <v>8082313</v>
          </cell>
          <cell r="AA2727" t="str">
            <v xml:space="preserve">Saver Sub 3-1/8" OD for DJ
2-3/8" REG Pin x Box
Set on : </v>
          </cell>
          <cell r="AB2727">
            <v>0</v>
          </cell>
          <cell r="AC2727">
            <v>3.125</v>
          </cell>
          <cell r="AD2727">
            <v>0</v>
          </cell>
          <cell r="AE2727" t="str">
            <v>2-3/8" REG Box</v>
          </cell>
          <cell r="AF2727" t="str">
            <v>2-3/8" REG Pin</v>
          </cell>
          <cell r="AG2727" t="str">
            <v>DJ</v>
          </cell>
          <cell r="AH2727" t="str">
            <v>Fabrication en cours</v>
          </cell>
          <cell r="AI2727" t="e">
            <v>#VALUE!</v>
          </cell>
          <cell r="AJ2727">
            <v>0</v>
          </cell>
          <cell r="AK2727" t="str">
            <v>F</v>
          </cell>
          <cell r="AL2727"/>
          <cell r="AM2727"/>
          <cell r="AN2727" t="str">
            <v/>
          </cell>
          <cell r="AO2727"/>
          <cell r="AP2727"/>
          <cell r="AQ2727"/>
          <cell r="AR2727"/>
          <cell r="AS2727">
            <v>15</v>
          </cell>
          <cell r="AT2727"/>
          <cell r="AU2727" t="str">
            <v>CH</v>
          </cell>
          <cell r="AV2727"/>
        </row>
        <row r="2728">
          <cell r="Z2728">
            <v>8082314</v>
          </cell>
          <cell r="AA2728" t="str">
            <v xml:space="preserve">Saver Sub 3-1/8" OD for DJ
2-3/8" REG Pin x Box
Set on : </v>
          </cell>
          <cell r="AB2728">
            <v>0</v>
          </cell>
          <cell r="AC2728">
            <v>3.125</v>
          </cell>
          <cell r="AD2728">
            <v>0</v>
          </cell>
          <cell r="AE2728" t="str">
            <v>2-3/8" REG Box</v>
          </cell>
          <cell r="AF2728" t="str">
            <v>2-3/8" REG Pin</v>
          </cell>
          <cell r="AG2728" t="str">
            <v>DJ</v>
          </cell>
          <cell r="AH2728" t="str">
            <v>Fabrication en cours</v>
          </cell>
          <cell r="AI2728" t="e">
            <v>#VALUE!</v>
          </cell>
          <cell r="AJ2728">
            <v>0</v>
          </cell>
          <cell r="AK2728" t="str">
            <v>F</v>
          </cell>
          <cell r="AL2728"/>
          <cell r="AM2728"/>
          <cell r="AN2728" t="str">
            <v/>
          </cell>
          <cell r="AO2728"/>
          <cell r="AP2728"/>
          <cell r="AQ2728"/>
          <cell r="AR2728"/>
          <cell r="AS2728">
            <v>16</v>
          </cell>
          <cell r="AT2728"/>
          <cell r="AU2728" t="str">
            <v>CH</v>
          </cell>
          <cell r="AV2728"/>
        </row>
        <row r="2729">
          <cell r="Z2729">
            <v>8082315</v>
          </cell>
          <cell r="AA2729" t="str">
            <v xml:space="preserve">Saver Sub 3-1/8" OD for DJ
2-3/8" REG Pin x Box
Set on : </v>
          </cell>
          <cell r="AB2729">
            <v>0</v>
          </cell>
          <cell r="AC2729">
            <v>3.125</v>
          </cell>
          <cell r="AD2729">
            <v>0</v>
          </cell>
          <cell r="AE2729" t="str">
            <v>2-3/8" REG Box</v>
          </cell>
          <cell r="AF2729" t="str">
            <v>2-3/8" REG Pin</v>
          </cell>
          <cell r="AG2729" t="str">
            <v>DJ</v>
          </cell>
          <cell r="AH2729" t="str">
            <v>Fabrication en cours</v>
          </cell>
          <cell r="AI2729" t="e">
            <v>#VALUE!</v>
          </cell>
          <cell r="AJ2729">
            <v>0</v>
          </cell>
          <cell r="AK2729" t="str">
            <v>F</v>
          </cell>
          <cell r="AL2729"/>
          <cell r="AM2729"/>
          <cell r="AN2729" t="str">
            <v/>
          </cell>
          <cell r="AO2729"/>
          <cell r="AP2729"/>
          <cell r="AQ2729"/>
          <cell r="AR2729"/>
          <cell r="AS2729">
            <v>17</v>
          </cell>
          <cell r="AT2729"/>
          <cell r="AU2729" t="str">
            <v>CH</v>
          </cell>
          <cell r="AV2729"/>
        </row>
        <row r="2730">
          <cell r="Z2730">
            <v>8082316</v>
          </cell>
          <cell r="AA2730" t="str">
            <v xml:space="preserve">Saver Sub 3-1/8" OD for DJ
2-3/8" REG Pin x Box
Set on : </v>
          </cell>
          <cell r="AB2730">
            <v>0</v>
          </cell>
          <cell r="AC2730">
            <v>3.125</v>
          </cell>
          <cell r="AD2730">
            <v>0</v>
          </cell>
          <cell r="AE2730" t="str">
            <v>2-3/8" REG Box</v>
          </cell>
          <cell r="AF2730" t="str">
            <v>2-3/8" REG Pin</v>
          </cell>
          <cell r="AG2730" t="str">
            <v>DJ</v>
          </cell>
          <cell r="AH2730" t="str">
            <v>Fabrication en cours</v>
          </cell>
          <cell r="AI2730" t="e">
            <v>#VALUE!</v>
          </cell>
          <cell r="AJ2730">
            <v>0</v>
          </cell>
          <cell r="AK2730" t="str">
            <v>F</v>
          </cell>
          <cell r="AL2730"/>
          <cell r="AM2730"/>
          <cell r="AN2730" t="str">
            <v/>
          </cell>
          <cell r="AO2730"/>
          <cell r="AP2730"/>
          <cell r="AQ2730"/>
          <cell r="AR2730"/>
          <cell r="AS2730">
            <v>18</v>
          </cell>
          <cell r="AT2730"/>
          <cell r="AU2730" t="str">
            <v>CH</v>
          </cell>
          <cell r="AV2730"/>
        </row>
        <row r="2731">
          <cell r="Z2731">
            <v>8082317</v>
          </cell>
          <cell r="AA2731" t="str">
            <v xml:space="preserve">Flex Collar 4-3/4" OD for DJ FH
3-1/2" IF Pin x Box
Set on : </v>
          </cell>
          <cell r="AB2731">
            <v>0</v>
          </cell>
          <cell r="AC2731">
            <v>4.75</v>
          </cell>
          <cell r="AD2731">
            <v>0</v>
          </cell>
          <cell r="AE2731" t="str">
            <v>3-1/2" IF Box</v>
          </cell>
          <cell r="AF2731" t="str">
            <v>3-1/2" IF Pin</v>
          </cell>
          <cell r="AG2731" t="str">
            <v>DJ</v>
          </cell>
          <cell r="AH2731" t="str">
            <v>Fabrication en cours</v>
          </cell>
          <cell r="AI2731" t="e">
            <v>#VALUE!</v>
          </cell>
          <cell r="AJ2731">
            <v>0</v>
          </cell>
          <cell r="AK2731" t="str">
            <v>F</v>
          </cell>
          <cell r="AL2731"/>
          <cell r="AM2731"/>
          <cell r="AN2731" t="str">
            <v/>
          </cell>
          <cell r="AO2731"/>
          <cell r="AP2731"/>
          <cell r="AQ2731"/>
          <cell r="AR2731"/>
          <cell r="AS2731">
            <v>29</v>
          </cell>
          <cell r="AT2731"/>
          <cell r="AU2731" t="str">
            <v>CH</v>
          </cell>
          <cell r="AV2731"/>
        </row>
        <row r="2732">
          <cell r="Z2732">
            <v>8082318</v>
          </cell>
          <cell r="AA2732" t="str">
            <v xml:space="preserve">Flex Collar 4-3/4" OD for DJ FH
3-1/2" IF Pin x Box
Set on : </v>
          </cell>
          <cell r="AB2732">
            <v>0</v>
          </cell>
          <cell r="AC2732">
            <v>4.75</v>
          </cell>
          <cell r="AD2732">
            <v>0</v>
          </cell>
          <cell r="AE2732" t="str">
            <v>3-1/2" IF Box</v>
          </cell>
          <cell r="AF2732" t="str">
            <v>3-1/2" IF Pin</v>
          </cell>
          <cell r="AG2732" t="str">
            <v>DJ</v>
          </cell>
          <cell r="AH2732" t="str">
            <v>Fabrication en cours</v>
          </cell>
          <cell r="AI2732" t="e">
            <v>#VALUE!</v>
          </cell>
          <cell r="AJ2732">
            <v>0</v>
          </cell>
          <cell r="AK2732" t="str">
            <v>F</v>
          </cell>
          <cell r="AL2732"/>
          <cell r="AM2732"/>
          <cell r="AN2732" t="str">
            <v/>
          </cell>
          <cell r="AO2732"/>
          <cell r="AP2732"/>
          <cell r="AQ2732"/>
          <cell r="AR2732"/>
          <cell r="AS2732">
            <v>30</v>
          </cell>
          <cell r="AT2732"/>
          <cell r="AU2732" t="str">
            <v>CH</v>
          </cell>
          <cell r="AV2732"/>
        </row>
        <row r="2733">
          <cell r="Z2733">
            <v>8082319</v>
          </cell>
          <cell r="AA2733" t="str">
            <v xml:space="preserve">Flex Collar 6-3/4" OD for DJ FH
4-1/2" IF Pin x Box
Set on : </v>
          </cell>
          <cell r="AB2733">
            <v>0</v>
          </cell>
          <cell r="AC2733">
            <v>6.75</v>
          </cell>
          <cell r="AD2733">
            <v>0</v>
          </cell>
          <cell r="AE2733" t="str">
            <v>4-1/2" IF Box</v>
          </cell>
          <cell r="AF2733" t="str">
            <v>4-1/2" IF Pin</v>
          </cell>
          <cell r="AG2733" t="str">
            <v>DJ</v>
          </cell>
          <cell r="AH2733" t="str">
            <v>Fabrication en cours</v>
          </cell>
          <cell r="AI2733" t="e">
            <v>#VALUE!</v>
          </cell>
          <cell r="AJ2733">
            <v>0</v>
          </cell>
          <cell r="AK2733" t="str">
            <v>F</v>
          </cell>
          <cell r="AL2733"/>
          <cell r="AM2733"/>
          <cell r="AN2733" t="str">
            <v/>
          </cell>
          <cell r="AO2733"/>
          <cell r="AP2733"/>
          <cell r="AQ2733"/>
          <cell r="AR2733"/>
          <cell r="AS2733">
            <v>54</v>
          </cell>
          <cell r="AT2733"/>
          <cell r="AU2733" t="str">
            <v>CH</v>
          </cell>
          <cell r="AV2733"/>
        </row>
        <row r="2734">
          <cell r="Z2734">
            <v>8082320</v>
          </cell>
          <cell r="AA2734" t="str">
            <v xml:space="preserve">Flex Collar 6-3/4" OD for DJ FH
4-1/2" IF Pin x Box
Set on : </v>
          </cell>
          <cell r="AB2734">
            <v>0</v>
          </cell>
          <cell r="AC2734">
            <v>6.75</v>
          </cell>
          <cell r="AD2734">
            <v>0</v>
          </cell>
          <cell r="AE2734" t="str">
            <v>4-1/2" IF Box</v>
          </cell>
          <cell r="AF2734" t="str">
            <v>4-1/2" IF Pin</v>
          </cell>
          <cell r="AG2734" t="str">
            <v>DJ</v>
          </cell>
          <cell r="AH2734" t="str">
            <v>Fabrication en cours</v>
          </cell>
          <cell r="AI2734" t="e">
            <v>#VALUE!</v>
          </cell>
          <cell r="AJ2734">
            <v>0</v>
          </cell>
          <cell r="AK2734" t="str">
            <v>F</v>
          </cell>
          <cell r="AL2734"/>
          <cell r="AM2734"/>
          <cell r="AN2734" t="str">
            <v/>
          </cell>
          <cell r="AO2734"/>
          <cell r="AP2734"/>
          <cell r="AQ2734"/>
          <cell r="AR2734"/>
          <cell r="AS2734">
            <v>55</v>
          </cell>
          <cell r="AT2734"/>
          <cell r="AU2734" t="str">
            <v>CH</v>
          </cell>
          <cell r="AV2734"/>
        </row>
        <row r="2735">
          <cell r="Z2735">
            <v>8082321</v>
          </cell>
          <cell r="AA2735" t="str">
            <v xml:space="preserve">Flex Collar 6-3/4" OD for DJ FH
4-1/2" IF Pin x Box
Set on : </v>
          </cell>
          <cell r="AB2735">
            <v>0</v>
          </cell>
          <cell r="AC2735">
            <v>6.75</v>
          </cell>
          <cell r="AD2735">
            <v>0</v>
          </cell>
          <cell r="AE2735" t="str">
            <v>4-1/2" IF Box</v>
          </cell>
          <cell r="AF2735" t="str">
            <v>4-1/2" IF Pin</v>
          </cell>
          <cell r="AG2735" t="str">
            <v>DJ</v>
          </cell>
          <cell r="AH2735" t="str">
            <v>Fabrication en cours</v>
          </cell>
          <cell r="AI2735" t="e">
            <v>#VALUE!</v>
          </cell>
          <cell r="AJ2735">
            <v>0</v>
          </cell>
          <cell r="AK2735" t="str">
            <v>F</v>
          </cell>
          <cell r="AL2735"/>
          <cell r="AM2735"/>
          <cell r="AN2735" t="str">
            <v/>
          </cell>
          <cell r="AO2735"/>
          <cell r="AP2735"/>
          <cell r="AQ2735"/>
          <cell r="AR2735"/>
          <cell r="AS2735">
            <v>56</v>
          </cell>
          <cell r="AT2735"/>
          <cell r="AU2735" t="str">
            <v>CH</v>
          </cell>
          <cell r="AV2735"/>
        </row>
        <row r="2736">
          <cell r="Z2736">
            <v>8082322</v>
          </cell>
          <cell r="AA2736" t="str">
            <v xml:space="preserve">Flex Collar 6-3/4" OD for DJ FH
4-1/2" IF Pin x Box
Set on : </v>
          </cell>
          <cell r="AB2736">
            <v>0</v>
          </cell>
          <cell r="AC2736">
            <v>6.75</v>
          </cell>
          <cell r="AD2736">
            <v>0</v>
          </cell>
          <cell r="AE2736" t="str">
            <v>4-1/2" IF Box</v>
          </cell>
          <cell r="AF2736" t="str">
            <v>4-1/2" IF Pin</v>
          </cell>
          <cell r="AG2736" t="str">
            <v>DJ</v>
          </cell>
          <cell r="AH2736" t="str">
            <v>Fabrication en cours</v>
          </cell>
          <cell r="AI2736" t="e">
            <v>#VALUE!</v>
          </cell>
          <cell r="AJ2736">
            <v>0</v>
          </cell>
          <cell r="AK2736" t="str">
            <v>F</v>
          </cell>
          <cell r="AL2736"/>
          <cell r="AM2736"/>
          <cell r="AN2736" t="str">
            <v/>
          </cell>
          <cell r="AO2736"/>
          <cell r="AP2736"/>
          <cell r="AQ2736"/>
          <cell r="AR2736"/>
          <cell r="AS2736">
            <v>57</v>
          </cell>
          <cell r="AT2736"/>
          <cell r="AU2736" t="str">
            <v>CH</v>
          </cell>
          <cell r="AV2736"/>
        </row>
        <row r="2737">
          <cell r="Z2737">
            <v>8082323</v>
          </cell>
          <cell r="AA2737" t="str">
            <v>Flex Collar 6-3/4" OD for DJ FH
4-1/2" IF Pin x Box</v>
          </cell>
          <cell r="AB2737">
            <v>0</v>
          </cell>
          <cell r="AC2737">
            <v>6.75</v>
          </cell>
          <cell r="AD2737">
            <v>0</v>
          </cell>
          <cell r="AE2737" t="str">
            <v>4-1/2" IF Box</v>
          </cell>
          <cell r="AF2737" t="str">
            <v>4-1/2" IF Pin</v>
          </cell>
          <cell r="AG2737" t="str">
            <v>DJ</v>
          </cell>
          <cell r="AH2737" t="str">
            <v>Fabrication en cours</v>
          </cell>
          <cell r="AI2737" t="e">
            <v>#VALUE!</v>
          </cell>
          <cell r="AJ2737">
            <v>0</v>
          </cell>
          <cell r="AK2737" t="str">
            <v>F</v>
          </cell>
          <cell r="AL2737"/>
          <cell r="AM2737"/>
          <cell r="AN2737" t="str">
            <v/>
          </cell>
          <cell r="AO2737"/>
          <cell r="AP2737"/>
          <cell r="AQ2737"/>
          <cell r="AR2737"/>
          <cell r="AS2737">
            <v>58</v>
          </cell>
          <cell r="AT2737"/>
          <cell r="AU2737" t="str">
            <v>CH</v>
          </cell>
          <cell r="AV2737"/>
        </row>
        <row r="2738">
          <cell r="Z2738">
            <v>8082324</v>
          </cell>
          <cell r="AA2738" t="str">
            <v xml:space="preserve">Flex Collar 6-3/4" OD for DJ FH
4-1/2" IF Pin x Box
Set on : </v>
          </cell>
          <cell r="AB2738">
            <v>0</v>
          </cell>
          <cell r="AC2738">
            <v>6.75</v>
          </cell>
          <cell r="AD2738">
            <v>0</v>
          </cell>
          <cell r="AE2738" t="str">
            <v>4-1/2" IF Box</v>
          </cell>
          <cell r="AF2738" t="str">
            <v>4-1/2" IF Pin</v>
          </cell>
          <cell r="AG2738" t="str">
            <v>DJ</v>
          </cell>
          <cell r="AH2738" t="str">
            <v>Fabrication en cours</v>
          </cell>
          <cell r="AI2738" t="e">
            <v>#VALUE!</v>
          </cell>
          <cell r="AJ2738">
            <v>0</v>
          </cell>
          <cell r="AK2738" t="str">
            <v>F</v>
          </cell>
          <cell r="AL2738"/>
          <cell r="AM2738"/>
          <cell r="AN2738" t="str">
            <v/>
          </cell>
          <cell r="AO2738"/>
          <cell r="AP2738"/>
          <cell r="AQ2738"/>
          <cell r="AR2738"/>
          <cell r="AS2738">
            <v>59</v>
          </cell>
          <cell r="AT2738"/>
          <cell r="AU2738" t="str">
            <v>CH</v>
          </cell>
          <cell r="AV2738"/>
        </row>
        <row r="2739">
          <cell r="Z2739">
            <v>8082325</v>
          </cell>
          <cell r="AA2739" t="str">
            <v xml:space="preserve">Saver Sub 6-3/4" OD for DJ
4-1/2" IF Pin x Box
Set on : </v>
          </cell>
          <cell r="AB2739">
            <v>0</v>
          </cell>
          <cell r="AC2739">
            <v>6.75</v>
          </cell>
          <cell r="AD2739">
            <v>0</v>
          </cell>
          <cell r="AE2739" t="str">
            <v>4-1/2" IF Box</v>
          </cell>
          <cell r="AF2739" t="str">
            <v>4-1/2" IF Pin</v>
          </cell>
          <cell r="AG2739" t="str">
            <v>DJ</v>
          </cell>
          <cell r="AH2739" t="str">
            <v>Fabrication en cours</v>
          </cell>
          <cell r="AI2739" t="e">
            <v>#VALUE!</v>
          </cell>
          <cell r="AJ2739">
            <v>0</v>
          </cell>
          <cell r="AK2739" t="str">
            <v>F</v>
          </cell>
          <cell r="AL2739"/>
          <cell r="AM2739"/>
          <cell r="AN2739" t="str">
            <v/>
          </cell>
          <cell r="AO2739"/>
          <cell r="AP2739"/>
          <cell r="AQ2739"/>
          <cell r="AR2739"/>
          <cell r="AS2739">
            <v>60</v>
          </cell>
          <cell r="AT2739"/>
          <cell r="AU2739" t="str">
            <v>CH</v>
          </cell>
          <cell r="AV2739"/>
        </row>
        <row r="2740">
          <cell r="Z2740">
            <v>8082326</v>
          </cell>
          <cell r="AA2740" t="str">
            <v xml:space="preserve">Saver Sub 6-3/4" OD for DJ
4-1/2" IF Pin x Box
Set on : </v>
          </cell>
          <cell r="AB2740">
            <v>0</v>
          </cell>
          <cell r="AC2740">
            <v>6.75</v>
          </cell>
          <cell r="AD2740">
            <v>0</v>
          </cell>
          <cell r="AE2740" t="str">
            <v>4-1/2" IF Box</v>
          </cell>
          <cell r="AF2740" t="str">
            <v>4-1/2" IF Pin</v>
          </cell>
          <cell r="AG2740" t="str">
            <v>DJ</v>
          </cell>
          <cell r="AH2740" t="str">
            <v>Fabrication en cours</v>
          </cell>
          <cell r="AI2740" t="e">
            <v>#VALUE!</v>
          </cell>
          <cell r="AJ2740">
            <v>0</v>
          </cell>
          <cell r="AK2740" t="str">
            <v>F</v>
          </cell>
          <cell r="AL2740"/>
          <cell r="AM2740"/>
          <cell r="AN2740" t="str">
            <v/>
          </cell>
          <cell r="AO2740"/>
          <cell r="AP2740"/>
          <cell r="AQ2740"/>
          <cell r="AR2740"/>
          <cell r="AS2740">
            <v>61</v>
          </cell>
          <cell r="AT2740"/>
          <cell r="AU2740" t="str">
            <v>CH</v>
          </cell>
          <cell r="AV2740"/>
        </row>
        <row r="2741">
          <cell r="Z2741">
            <v>8082327</v>
          </cell>
          <cell r="AA2741" t="str">
            <v xml:space="preserve">Saver Sub 6-3/4" OD for DJ
4-1/2" IF Pin x Box
Set on : </v>
          </cell>
          <cell r="AB2741">
            <v>0</v>
          </cell>
          <cell r="AC2741">
            <v>6.75</v>
          </cell>
          <cell r="AD2741">
            <v>0</v>
          </cell>
          <cell r="AE2741" t="str">
            <v>4-1/2" IF Box</v>
          </cell>
          <cell r="AF2741" t="str">
            <v>4-1/2" IF Pin</v>
          </cell>
          <cell r="AG2741" t="str">
            <v>DJ</v>
          </cell>
          <cell r="AH2741" t="str">
            <v>Fabrication en cours</v>
          </cell>
          <cell r="AI2741" t="e">
            <v>#VALUE!</v>
          </cell>
          <cell r="AJ2741">
            <v>0</v>
          </cell>
          <cell r="AK2741" t="str">
            <v>F</v>
          </cell>
          <cell r="AL2741"/>
          <cell r="AM2741"/>
          <cell r="AN2741" t="str">
            <v/>
          </cell>
          <cell r="AO2741"/>
          <cell r="AP2741"/>
          <cell r="AQ2741"/>
          <cell r="AR2741"/>
          <cell r="AS2741">
            <v>62</v>
          </cell>
          <cell r="AT2741"/>
          <cell r="AU2741" t="str">
            <v>CH</v>
          </cell>
          <cell r="AV2741"/>
        </row>
        <row r="2742">
          <cell r="Z2742">
            <v>8082328</v>
          </cell>
          <cell r="AA2742" t="str">
            <v xml:space="preserve">Saver Sub 6-3/4" OD for DJ
4-1/2" IF Pin x Box
Set on : </v>
          </cell>
          <cell r="AB2742">
            <v>0</v>
          </cell>
          <cell r="AC2742">
            <v>6.75</v>
          </cell>
          <cell r="AD2742">
            <v>0</v>
          </cell>
          <cell r="AE2742" t="str">
            <v>4-1/2" IF Box</v>
          </cell>
          <cell r="AF2742" t="str">
            <v>4-1/2" IF Pin</v>
          </cell>
          <cell r="AG2742" t="str">
            <v>DJ</v>
          </cell>
          <cell r="AH2742" t="str">
            <v>Fabrication en cours</v>
          </cell>
          <cell r="AI2742" t="e">
            <v>#VALUE!</v>
          </cell>
          <cell r="AJ2742">
            <v>0</v>
          </cell>
          <cell r="AK2742" t="str">
            <v>F</v>
          </cell>
          <cell r="AL2742"/>
          <cell r="AM2742"/>
          <cell r="AN2742" t="str">
            <v/>
          </cell>
          <cell r="AO2742"/>
          <cell r="AP2742"/>
          <cell r="AQ2742"/>
          <cell r="AR2742"/>
          <cell r="AS2742">
            <v>63</v>
          </cell>
          <cell r="AT2742"/>
          <cell r="AU2742" t="str">
            <v>CH</v>
          </cell>
          <cell r="AV2742"/>
        </row>
        <row r="2743">
          <cell r="Z2743">
            <v>8082329</v>
          </cell>
          <cell r="AA2743" t="str">
            <v xml:space="preserve">Flex Collar 8" OD for DJ HM
6-5/8" REG Pin x Box
Set on : </v>
          </cell>
          <cell r="AB2743">
            <v>0</v>
          </cell>
          <cell r="AC2743">
            <v>8</v>
          </cell>
          <cell r="AD2743">
            <v>0</v>
          </cell>
          <cell r="AE2743" t="str">
            <v>6-5/8" REG Box</v>
          </cell>
          <cell r="AF2743" t="str">
            <v>6-5/8" REG Pin</v>
          </cell>
          <cell r="AG2743" t="str">
            <v>DJ</v>
          </cell>
          <cell r="AH2743" t="str">
            <v>Fabrication en cours</v>
          </cell>
          <cell r="AI2743" t="e">
            <v>#VALUE!</v>
          </cell>
          <cell r="AJ2743">
            <v>0</v>
          </cell>
          <cell r="AK2743" t="str">
            <v>F</v>
          </cell>
          <cell r="AL2743"/>
          <cell r="AM2743"/>
          <cell r="AN2743" t="str">
            <v/>
          </cell>
          <cell r="AO2743"/>
          <cell r="AP2743"/>
          <cell r="AQ2743"/>
          <cell r="AR2743"/>
          <cell r="AS2743">
            <v>92</v>
          </cell>
          <cell r="AT2743"/>
          <cell r="AU2743" t="str">
            <v>CH</v>
          </cell>
          <cell r="AV2743"/>
        </row>
        <row r="2744">
          <cell r="Z2744">
            <v>8082330</v>
          </cell>
          <cell r="AA2744" t="str">
            <v xml:space="preserve">Flex Collar 8" OD for DJ HM
6-5/8" REG Pin x Box
Set on : </v>
          </cell>
          <cell r="AB2744">
            <v>0</v>
          </cell>
          <cell r="AC2744">
            <v>8</v>
          </cell>
          <cell r="AD2744">
            <v>0</v>
          </cell>
          <cell r="AE2744" t="str">
            <v>6-5/8" REG Box</v>
          </cell>
          <cell r="AF2744" t="str">
            <v>6-5/8" REG Pin</v>
          </cell>
          <cell r="AG2744" t="str">
            <v>DJ</v>
          </cell>
          <cell r="AH2744" t="str">
            <v>Fabrication en cours</v>
          </cell>
          <cell r="AI2744" t="e">
            <v>#VALUE!</v>
          </cell>
          <cell r="AJ2744">
            <v>0</v>
          </cell>
          <cell r="AK2744" t="str">
            <v>F</v>
          </cell>
          <cell r="AL2744"/>
          <cell r="AM2744"/>
          <cell r="AN2744" t="str">
            <v/>
          </cell>
          <cell r="AO2744"/>
          <cell r="AP2744"/>
          <cell r="AQ2744"/>
          <cell r="AR2744"/>
          <cell r="AS2744">
            <v>93</v>
          </cell>
          <cell r="AT2744"/>
          <cell r="AU2744" t="str">
            <v>CH</v>
          </cell>
          <cell r="AV2744"/>
        </row>
        <row r="2745">
          <cell r="Z2745">
            <v>8082331</v>
          </cell>
          <cell r="AA2745" t="str">
            <v xml:space="preserve">Flex Collar 8" OD for DJ FH
6-5/8" REG Pin x Box
Set on : </v>
          </cell>
          <cell r="AB2745">
            <v>0</v>
          </cell>
          <cell r="AC2745">
            <v>8</v>
          </cell>
          <cell r="AD2745">
            <v>0</v>
          </cell>
          <cell r="AE2745" t="str">
            <v>6-5/8" REG Box</v>
          </cell>
          <cell r="AF2745" t="str">
            <v>6-5/8" REG Pin</v>
          </cell>
          <cell r="AG2745" t="str">
            <v>DJ</v>
          </cell>
          <cell r="AH2745" t="str">
            <v>Fabrication en cours</v>
          </cell>
          <cell r="AI2745" t="e">
            <v>#VALUE!</v>
          </cell>
          <cell r="AJ2745">
            <v>0</v>
          </cell>
          <cell r="AK2745" t="str">
            <v>F</v>
          </cell>
          <cell r="AL2745"/>
          <cell r="AM2745"/>
          <cell r="AN2745" t="str">
            <v/>
          </cell>
          <cell r="AO2745"/>
          <cell r="AP2745"/>
          <cell r="AQ2745"/>
          <cell r="AR2745"/>
          <cell r="AS2745">
            <v>94</v>
          </cell>
          <cell r="AT2745"/>
          <cell r="AU2745" t="str">
            <v>CH</v>
          </cell>
          <cell r="AV2745"/>
        </row>
        <row r="2746">
          <cell r="Z2746" t="str">
            <v>4062332</v>
          </cell>
          <cell r="AA2746"/>
          <cell r="AB2746"/>
          <cell r="AC2746"/>
          <cell r="AD2746"/>
          <cell r="AE2746"/>
          <cell r="AF2746"/>
          <cell r="AG2746"/>
          <cell r="AH2746" t="str">
            <v>en stock</v>
          </cell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 t="str">
            <v>UAE</v>
          </cell>
          <cell r="AV2746"/>
        </row>
        <row r="2747">
          <cell r="Z2747" t="str">
            <v>4062333</v>
          </cell>
          <cell r="AA2747"/>
          <cell r="AB2747"/>
          <cell r="AC2747"/>
          <cell r="AD2747"/>
          <cell r="AE2747"/>
          <cell r="AF2747"/>
          <cell r="AG2747"/>
          <cell r="AH2747" t="str">
            <v>en stock</v>
          </cell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 t="str">
            <v>UAE</v>
          </cell>
          <cell r="AV2747"/>
        </row>
        <row r="2748">
          <cell r="Z2748" t="str">
            <v>6012334</v>
          </cell>
          <cell r="AA2748"/>
          <cell r="AB2748"/>
          <cell r="AC2748"/>
          <cell r="AD2748"/>
          <cell r="AE2748"/>
          <cell r="AF2748"/>
          <cell r="AG2748"/>
          <cell r="AH2748" t="str">
            <v>en stock</v>
          </cell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 t="str">
            <v>UAE</v>
          </cell>
          <cell r="AV2748"/>
        </row>
        <row r="2749">
          <cell r="Z2749" t="str">
            <v>6012335</v>
          </cell>
          <cell r="AA2749"/>
          <cell r="AB2749"/>
          <cell r="AC2749"/>
          <cell r="AD2749"/>
          <cell r="AE2749"/>
          <cell r="AF2749"/>
          <cell r="AG2749"/>
          <cell r="AH2749" t="str">
            <v>en stock</v>
          </cell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 t="str">
            <v>UAE</v>
          </cell>
          <cell r="AV2749"/>
        </row>
        <row r="2750">
          <cell r="Z2750" t="str">
            <v>6012336</v>
          </cell>
          <cell r="AA2750"/>
          <cell r="AB2750"/>
          <cell r="AC2750"/>
          <cell r="AD2750"/>
          <cell r="AE2750"/>
          <cell r="AF2750"/>
          <cell r="AG2750"/>
          <cell r="AH2750" t="str">
            <v>en stock</v>
          </cell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 t="str">
            <v>UAE</v>
          </cell>
          <cell r="AV2750"/>
        </row>
        <row r="2751">
          <cell r="Z2751" t="str">
            <v>6012337</v>
          </cell>
          <cell r="AA2751"/>
          <cell r="AB2751"/>
          <cell r="AC2751"/>
          <cell r="AD2751"/>
          <cell r="AE2751"/>
          <cell r="AF2751"/>
          <cell r="AG2751"/>
          <cell r="AH2751" t="str">
            <v>en stock</v>
          </cell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 t="str">
            <v>UAE</v>
          </cell>
          <cell r="AV2751"/>
        </row>
        <row r="2752">
          <cell r="Z2752" t="str">
            <v>6012338</v>
          </cell>
          <cell r="AA2752"/>
          <cell r="AB2752"/>
          <cell r="AC2752"/>
          <cell r="AD2752"/>
          <cell r="AE2752"/>
          <cell r="AF2752"/>
          <cell r="AG2752"/>
          <cell r="AH2752" t="str">
            <v>en stock</v>
          </cell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 t="str">
            <v>UAE</v>
          </cell>
          <cell r="AV2752"/>
        </row>
        <row r="2753">
          <cell r="Z2753" t="str">
            <v>6012339</v>
          </cell>
          <cell r="AA2753"/>
          <cell r="AB2753"/>
          <cell r="AC2753"/>
          <cell r="AD2753"/>
          <cell r="AE2753"/>
          <cell r="AF2753"/>
          <cell r="AG2753"/>
          <cell r="AH2753" t="str">
            <v>en stock</v>
          </cell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 t="str">
            <v>UAE</v>
          </cell>
          <cell r="AV2753"/>
        </row>
        <row r="2754">
          <cell r="Z2754" t="str">
            <v>6012340</v>
          </cell>
          <cell r="AA2754"/>
          <cell r="AB2754"/>
          <cell r="AC2754"/>
          <cell r="AD2754"/>
          <cell r="AE2754"/>
          <cell r="AF2754"/>
          <cell r="AG2754"/>
          <cell r="AH2754" t="str">
            <v>en stock</v>
          </cell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 t="str">
            <v>UAE</v>
          </cell>
          <cell r="AV2754"/>
        </row>
        <row r="2755">
          <cell r="Z2755" t="str">
            <v>6012341</v>
          </cell>
          <cell r="AA2755"/>
          <cell r="AB2755"/>
          <cell r="AC2755"/>
          <cell r="AD2755"/>
          <cell r="AE2755"/>
          <cell r="AF2755"/>
          <cell r="AG2755"/>
          <cell r="AH2755" t="str">
            <v>en stock</v>
          </cell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 t="str">
            <v>UAE</v>
          </cell>
          <cell r="AV2755"/>
        </row>
        <row r="2756">
          <cell r="Z2756" t="str">
            <v>6012342</v>
          </cell>
          <cell r="AA2756"/>
          <cell r="AB2756"/>
          <cell r="AC2756"/>
          <cell r="AD2756"/>
          <cell r="AE2756"/>
          <cell r="AF2756"/>
          <cell r="AG2756"/>
          <cell r="AH2756" t="str">
            <v>en stock</v>
          </cell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 t="str">
            <v>UAE</v>
          </cell>
          <cell r="AV2756"/>
        </row>
        <row r="2757">
          <cell r="Z2757" t="str">
            <v>6012343</v>
          </cell>
          <cell r="AA2757"/>
          <cell r="AB2757"/>
          <cell r="AC2757"/>
          <cell r="AD2757"/>
          <cell r="AE2757"/>
          <cell r="AF2757"/>
          <cell r="AG2757"/>
          <cell r="AH2757" t="str">
            <v>en stock</v>
          </cell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 t="str">
            <v>UAE</v>
          </cell>
          <cell r="AV2757"/>
        </row>
        <row r="2758">
          <cell r="Z2758" t="str">
            <v>4012344</v>
          </cell>
          <cell r="AA2758"/>
          <cell r="AB2758" t="e">
            <v>#N/A</v>
          </cell>
          <cell r="AC2758" t="e">
            <v>#N/A</v>
          </cell>
          <cell r="AD2758" t="e">
            <v>#N/A</v>
          </cell>
          <cell r="AE2758" t="e">
            <v>#N/A</v>
          </cell>
          <cell r="AF2758" t="e">
            <v>#N/A</v>
          </cell>
          <cell r="AG2758"/>
          <cell r="AH2758" t="e">
            <v>#N/A</v>
          </cell>
          <cell r="AI2758" t="e">
            <v>#N/A</v>
          </cell>
          <cell r="AJ2758" t="e">
            <v>#N/A</v>
          </cell>
          <cell r="AK2758" t="e">
            <v>#N/A</v>
          </cell>
          <cell r="AL2758"/>
          <cell r="AM2758"/>
          <cell r="AN2758" t="str">
            <v/>
          </cell>
          <cell r="AO2758"/>
          <cell r="AP2758"/>
          <cell r="AQ2758"/>
          <cell r="AR2758"/>
          <cell r="AS2758" t="e">
            <v>#N/A</v>
          </cell>
          <cell r="AT2758"/>
          <cell r="AU2758" t="str">
            <v>UAE</v>
          </cell>
          <cell r="AV2758"/>
        </row>
        <row r="2759">
          <cell r="Z2759" t="str">
            <v>4012345</v>
          </cell>
          <cell r="AA2759"/>
          <cell r="AB2759" t="e">
            <v>#N/A</v>
          </cell>
          <cell r="AC2759" t="e">
            <v>#N/A</v>
          </cell>
          <cell r="AD2759" t="e">
            <v>#N/A</v>
          </cell>
          <cell r="AE2759" t="e">
            <v>#N/A</v>
          </cell>
          <cell r="AF2759" t="e">
            <v>#N/A</v>
          </cell>
          <cell r="AG2759"/>
          <cell r="AH2759" t="e">
            <v>#N/A</v>
          </cell>
          <cell r="AI2759" t="e">
            <v>#N/A</v>
          </cell>
          <cell r="AJ2759" t="e">
            <v>#N/A</v>
          </cell>
          <cell r="AK2759" t="e">
            <v>#N/A</v>
          </cell>
          <cell r="AL2759"/>
          <cell r="AM2759"/>
          <cell r="AN2759" t="str">
            <v/>
          </cell>
          <cell r="AO2759"/>
          <cell r="AP2759"/>
          <cell r="AQ2759"/>
          <cell r="AR2759"/>
          <cell r="AS2759" t="e">
            <v>#N/A</v>
          </cell>
          <cell r="AT2759"/>
          <cell r="AU2759" t="str">
            <v>UAE</v>
          </cell>
          <cell r="AV2759"/>
        </row>
        <row r="2760">
          <cell r="Z2760" t="str">
            <v>4012346</v>
          </cell>
          <cell r="AA2760"/>
          <cell r="AB2760" t="e">
            <v>#N/A</v>
          </cell>
          <cell r="AC2760" t="e">
            <v>#N/A</v>
          </cell>
          <cell r="AD2760" t="e">
            <v>#N/A</v>
          </cell>
          <cell r="AE2760" t="e">
            <v>#N/A</v>
          </cell>
          <cell r="AF2760" t="e">
            <v>#N/A</v>
          </cell>
          <cell r="AG2760"/>
          <cell r="AH2760" t="e">
            <v>#N/A</v>
          </cell>
          <cell r="AI2760" t="e">
            <v>#N/A</v>
          </cell>
          <cell r="AJ2760" t="e">
            <v>#N/A</v>
          </cell>
          <cell r="AK2760" t="e">
            <v>#N/A</v>
          </cell>
          <cell r="AL2760"/>
          <cell r="AM2760"/>
          <cell r="AN2760" t="str">
            <v/>
          </cell>
          <cell r="AO2760"/>
          <cell r="AP2760"/>
          <cell r="AQ2760"/>
          <cell r="AR2760"/>
          <cell r="AS2760" t="e">
            <v>#N/A</v>
          </cell>
          <cell r="AT2760"/>
          <cell r="AU2760" t="str">
            <v>UAE</v>
          </cell>
          <cell r="AV2760"/>
        </row>
        <row r="2761">
          <cell r="Z2761" t="str">
            <v>4012347</v>
          </cell>
          <cell r="AA2761"/>
          <cell r="AB2761" t="e">
            <v>#N/A</v>
          </cell>
          <cell r="AC2761" t="e">
            <v>#N/A</v>
          </cell>
          <cell r="AD2761" t="e">
            <v>#N/A</v>
          </cell>
          <cell r="AE2761" t="e">
            <v>#N/A</v>
          </cell>
          <cell r="AF2761" t="e">
            <v>#N/A</v>
          </cell>
          <cell r="AG2761"/>
          <cell r="AH2761" t="e">
            <v>#N/A</v>
          </cell>
          <cell r="AI2761" t="e">
            <v>#N/A</v>
          </cell>
          <cell r="AJ2761" t="e">
            <v>#N/A</v>
          </cell>
          <cell r="AK2761" t="e">
            <v>#N/A</v>
          </cell>
          <cell r="AL2761"/>
          <cell r="AM2761"/>
          <cell r="AN2761" t="str">
            <v/>
          </cell>
          <cell r="AO2761"/>
          <cell r="AP2761"/>
          <cell r="AQ2761"/>
          <cell r="AR2761"/>
          <cell r="AS2761" t="e">
            <v>#N/A</v>
          </cell>
          <cell r="AT2761"/>
          <cell r="AU2761" t="str">
            <v>UAE</v>
          </cell>
          <cell r="AV2761"/>
        </row>
        <row r="2762">
          <cell r="Z2762" t="str">
            <v>4012348</v>
          </cell>
          <cell r="AA2762"/>
          <cell r="AB2762" t="e">
            <v>#N/A</v>
          </cell>
          <cell r="AC2762" t="e">
            <v>#N/A</v>
          </cell>
          <cell r="AD2762" t="e">
            <v>#N/A</v>
          </cell>
          <cell r="AE2762" t="e">
            <v>#N/A</v>
          </cell>
          <cell r="AF2762" t="e">
            <v>#N/A</v>
          </cell>
          <cell r="AG2762"/>
          <cell r="AH2762" t="e">
            <v>#N/A</v>
          </cell>
          <cell r="AI2762" t="e">
            <v>#N/A</v>
          </cell>
          <cell r="AJ2762" t="e">
            <v>#N/A</v>
          </cell>
          <cell r="AK2762" t="e">
            <v>#N/A</v>
          </cell>
          <cell r="AL2762"/>
          <cell r="AM2762"/>
          <cell r="AN2762" t="str">
            <v/>
          </cell>
          <cell r="AO2762"/>
          <cell r="AP2762"/>
          <cell r="AQ2762"/>
          <cell r="AR2762"/>
          <cell r="AS2762" t="e">
            <v>#N/A</v>
          </cell>
          <cell r="AT2762"/>
          <cell r="AU2762" t="str">
            <v>UAE</v>
          </cell>
          <cell r="AV2762"/>
        </row>
        <row r="2763">
          <cell r="Z2763" t="str">
            <v>4012349</v>
          </cell>
          <cell r="AA2763"/>
          <cell r="AB2763" t="e">
            <v>#N/A</v>
          </cell>
          <cell r="AC2763" t="e">
            <v>#N/A</v>
          </cell>
          <cell r="AD2763" t="e">
            <v>#N/A</v>
          </cell>
          <cell r="AE2763" t="e">
            <v>#N/A</v>
          </cell>
          <cell r="AF2763" t="e">
            <v>#N/A</v>
          </cell>
          <cell r="AG2763"/>
          <cell r="AH2763" t="e">
            <v>#N/A</v>
          </cell>
          <cell r="AI2763" t="e">
            <v>#N/A</v>
          </cell>
          <cell r="AJ2763" t="e">
            <v>#N/A</v>
          </cell>
          <cell r="AK2763" t="e">
            <v>#N/A</v>
          </cell>
          <cell r="AL2763"/>
          <cell r="AM2763"/>
          <cell r="AN2763" t="str">
            <v/>
          </cell>
          <cell r="AO2763"/>
          <cell r="AP2763"/>
          <cell r="AQ2763"/>
          <cell r="AR2763"/>
          <cell r="AS2763" t="e">
            <v>#N/A</v>
          </cell>
          <cell r="AT2763"/>
          <cell r="AU2763" t="str">
            <v>UAE</v>
          </cell>
          <cell r="AV2763"/>
        </row>
        <row r="2764">
          <cell r="Z2764" t="str">
            <v>4012350</v>
          </cell>
          <cell r="AA2764"/>
          <cell r="AB2764" t="e">
            <v>#N/A</v>
          </cell>
          <cell r="AC2764" t="e">
            <v>#N/A</v>
          </cell>
          <cell r="AD2764" t="e">
            <v>#N/A</v>
          </cell>
          <cell r="AE2764" t="e">
            <v>#N/A</v>
          </cell>
          <cell r="AF2764" t="e">
            <v>#N/A</v>
          </cell>
          <cell r="AG2764"/>
          <cell r="AH2764" t="e">
            <v>#N/A</v>
          </cell>
          <cell r="AI2764" t="e">
            <v>#N/A</v>
          </cell>
          <cell r="AJ2764" t="e">
            <v>#N/A</v>
          </cell>
          <cell r="AK2764" t="e">
            <v>#N/A</v>
          </cell>
          <cell r="AL2764"/>
          <cell r="AM2764"/>
          <cell r="AN2764" t="str">
            <v/>
          </cell>
          <cell r="AO2764"/>
          <cell r="AP2764"/>
          <cell r="AQ2764"/>
          <cell r="AR2764"/>
          <cell r="AS2764" t="e">
            <v>#N/A</v>
          </cell>
          <cell r="AT2764"/>
          <cell r="AU2764" t="str">
            <v>UAE</v>
          </cell>
          <cell r="AV2764"/>
        </row>
        <row r="2765">
          <cell r="Z2765" t="str">
            <v>4012351</v>
          </cell>
          <cell r="AA2765"/>
          <cell r="AB2765" t="e">
            <v>#N/A</v>
          </cell>
          <cell r="AC2765" t="e">
            <v>#N/A</v>
          </cell>
          <cell r="AD2765" t="e">
            <v>#N/A</v>
          </cell>
          <cell r="AE2765" t="e">
            <v>#N/A</v>
          </cell>
          <cell r="AF2765" t="e">
            <v>#N/A</v>
          </cell>
          <cell r="AG2765"/>
          <cell r="AH2765" t="e">
            <v>#N/A</v>
          </cell>
          <cell r="AI2765" t="e">
            <v>#N/A</v>
          </cell>
          <cell r="AJ2765" t="e">
            <v>#N/A</v>
          </cell>
          <cell r="AK2765" t="e">
            <v>#N/A</v>
          </cell>
          <cell r="AL2765"/>
          <cell r="AM2765"/>
          <cell r="AN2765" t="str">
            <v/>
          </cell>
          <cell r="AO2765"/>
          <cell r="AP2765"/>
          <cell r="AQ2765"/>
          <cell r="AR2765"/>
          <cell r="AS2765" t="e">
            <v>#N/A</v>
          </cell>
          <cell r="AT2765"/>
          <cell r="AU2765" t="str">
            <v>UAE</v>
          </cell>
          <cell r="AV2765"/>
        </row>
        <row r="2766">
          <cell r="Z2766" t="str">
            <v>4012352</v>
          </cell>
          <cell r="AA2766"/>
          <cell r="AB2766" t="e">
            <v>#N/A</v>
          </cell>
          <cell r="AC2766" t="e">
            <v>#N/A</v>
          </cell>
          <cell r="AD2766" t="e">
            <v>#N/A</v>
          </cell>
          <cell r="AE2766" t="e">
            <v>#N/A</v>
          </cell>
          <cell r="AF2766" t="e">
            <v>#N/A</v>
          </cell>
          <cell r="AG2766"/>
          <cell r="AH2766" t="e">
            <v>#N/A</v>
          </cell>
          <cell r="AI2766" t="e">
            <v>#N/A</v>
          </cell>
          <cell r="AJ2766" t="e">
            <v>#N/A</v>
          </cell>
          <cell r="AK2766" t="e">
            <v>#N/A</v>
          </cell>
          <cell r="AL2766"/>
          <cell r="AM2766"/>
          <cell r="AN2766" t="str">
            <v/>
          </cell>
          <cell r="AO2766"/>
          <cell r="AP2766"/>
          <cell r="AQ2766"/>
          <cell r="AR2766"/>
          <cell r="AS2766" t="e">
            <v>#N/A</v>
          </cell>
          <cell r="AT2766"/>
          <cell r="AU2766" t="str">
            <v>UAE</v>
          </cell>
          <cell r="AV2766"/>
        </row>
        <row r="2767">
          <cell r="Z2767" t="str">
            <v>4012353</v>
          </cell>
          <cell r="AA2767"/>
          <cell r="AB2767" t="e">
            <v>#N/A</v>
          </cell>
          <cell r="AC2767" t="e">
            <v>#N/A</v>
          </cell>
          <cell r="AD2767" t="e">
            <v>#N/A</v>
          </cell>
          <cell r="AE2767" t="e">
            <v>#N/A</v>
          </cell>
          <cell r="AF2767" t="e">
            <v>#N/A</v>
          </cell>
          <cell r="AG2767"/>
          <cell r="AH2767" t="e">
            <v>#N/A</v>
          </cell>
          <cell r="AI2767" t="e">
            <v>#N/A</v>
          </cell>
          <cell r="AJ2767" t="e">
            <v>#N/A</v>
          </cell>
          <cell r="AK2767" t="e">
            <v>#N/A</v>
          </cell>
          <cell r="AL2767"/>
          <cell r="AM2767"/>
          <cell r="AN2767" t="str">
            <v/>
          </cell>
          <cell r="AO2767"/>
          <cell r="AP2767"/>
          <cell r="AQ2767"/>
          <cell r="AR2767"/>
          <cell r="AS2767" t="e">
            <v>#N/A</v>
          </cell>
          <cell r="AT2767"/>
          <cell r="AU2767" t="str">
            <v>UAE</v>
          </cell>
          <cell r="AV2767"/>
        </row>
        <row r="2768">
          <cell r="Z2768" t="str">
            <v>4012354</v>
          </cell>
          <cell r="AA2768"/>
          <cell r="AB2768" t="e">
            <v>#N/A</v>
          </cell>
          <cell r="AC2768" t="e">
            <v>#N/A</v>
          </cell>
          <cell r="AD2768" t="e">
            <v>#N/A</v>
          </cell>
          <cell r="AE2768" t="e">
            <v>#N/A</v>
          </cell>
          <cell r="AF2768" t="e">
            <v>#N/A</v>
          </cell>
          <cell r="AG2768"/>
          <cell r="AH2768" t="e">
            <v>#N/A</v>
          </cell>
          <cell r="AI2768" t="e">
            <v>#N/A</v>
          </cell>
          <cell r="AJ2768" t="e">
            <v>#N/A</v>
          </cell>
          <cell r="AK2768" t="e">
            <v>#N/A</v>
          </cell>
          <cell r="AL2768"/>
          <cell r="AM2768"/>
          <cell r="AN2768" t="str">
            <v/>
          </cell>
          <cell r="AO2768"/>
          <cell r="AP2768"/>
          <cell r="AQ2768"/>
          <cell r="AR2768"/>
          <cell r="AS2768" t="e">
            <v>#N/A</v>
          </cell>
          <cell r="AT2768"/>
          <cell r="AU2768" t="str">
            <v>UAE</v>
          </cell>
          <cell r="AV2768"/>
        </row>
        <row r="2769">
          <cell r="Z2769" t="str">
            <v>4012355</v>
          </cell>
          <cell r="AA2769"/>
          <cell r="AB2769" t="e">
            <v>#N/A</v>
          </cell>
          <cell r="AC2769" t="e">
            <v>#N/A</v>
          </cell>
          <cell r="AD2769" t="e">
            <v>#N/A</v>
          </cell>
          <cell r="AE2769" t="e">
            <v>#N/A</v>
          </cell>
          <cell r="AF2769" t="e">
            <v>#N/A</v>
          </cell>
          <cell r="AG2769"/>
          <cell r="AH2769" t="e">
            <v>#N/A</v>
          </cell>
          <cell r="AI2769" t="e">
            <v>#N/A</v>
          </cell>
          <cell r="AJ2769" t="e">
            <v>#N/A</v>
          </cell>
          <cell r="AK2769" t="e">
            <v>#N/A</v>
          </cell>
          <cell r="AL2769"/>
          <cell r="AM2769"/>
          <cell r="AN2769" t="str">
            <v/>
          </cell>
          <cell r="AO2769"/>
          <cell r="AP2769"/>
          <cell r="AQ2769"/>
          <cell r="AR2769"/>
          <cell r="AS2769" t="e">
            <v>#N/A</v>
          </cell>
          <cell r="AT2769"/>
          <cell r="AU2769" t="str">
            <v>UAE</v>
          </cell>
          <cell r="AV2769"/>
        </row>
        <row r="2770">
          <cell r="Z2770" t="str">
            <v>4012356</v>
          </cell>
          <cell r="AA2770"/>
          <cell r="AB2770" t="e">
            <v>#N/A</v>
          </cell>
          <cell r="AC2770" t="e">
            <v>#N/A</v>
          </cell>
          <cell r="AD2770" t="e">
            <v>#N/A</v>
          </cell>
          <cell r="AE2770" t="e">
            <v>#N/A</v>
          </cell>
          <cell r="AF2770" t="e">
            <v>#N/A</v>
          </cell>
          <cell r="AG2770"/>
          <cell r="AH2770" t="e">
            <v>#N/A</v>
          </cell>
          <cell r="AI2770" t="e">
            <v>#N/A</v>
          </cell>
          <cell r="AJ2770" t="e">
            <v>#N/A</v>
          </cell>
          <cell r="AK2770" t="e">
            <v>#N/A</v>
          </cell>
          <cell r="AL2770"/>
          <cell r="AM2770"/>
          <cell r="AN2770" t="str">
            <v/>
          </cell>
          <cell r="AO2770"/>
          <cell r="AP2770"/>
          <cell r="AQ2770"/>
          <cell r="AR2770"/>
          <cell r="AS2770" t="e">
            <v>#N/A</v>
          </cell>
          <cell r="AT2770"/>
          <cell r="AU2770" t="str">
            <v>UAE</v>
          </cell>
          <cell r="AV2770"/>
        </row>
        <row r="2771">
          <cell r="Z2771">
            <v>1032357</v>
          </cell>
          <cell r="AA2771" t="str">
            <v>Casing Scraper 7-1/4" OD Body
4-1/2" REG Pin x 4-1/2" REG Box</v>
          </cell>
          <cell r="AB2771">
            <v>0</v>
          </cell>
          <cell r="AC2771">
            <v>7.875</v>
          </cell>
          <cell r="AD2771">
            <v>1700</v>
          </cell>
          <cell r="AE2771" t="str">
            <v>4-1/2" REG Pin</v>
          </cell>
          <cell r="AF2771" t="str">
            <v>4-1/2" REG Box</v>
          </cell>
          <cell r="AG2771"/>
          <cell r="AH2771" t="str">
            <v xml:space="preserve"> en stock </v>
          </cell>
          <cell r="AI2771">
            <v>1</v>
          </cell>
          <cell r="AJ2771">
            <v>0</v>
          </cell>
          <cell r="AK2771">
            <v>0</v>
          </cell>
          <cell r="AL2771"/>
          <cell r="AM2771"/>
          <cell r="AN2771">
            <v>1032357</v>
          </cell>
          <cell r="AO2771"/>
          <cell r="AP2771"/>
          <cell r="AQ2771"/>
          <cell r="AR2771"/>
          <cell r="AS2771">
            <v>14</v>
          </cell>
          <cell r="AT2771"/>
          <cell r="AU2771" t="str">
            <v>FR</v>
          </cell>
          <cell r="AV2771"/>
        </row>
        <row r="2772">
          <cell r="Z2772">
            <v>1032358</v>
          </cell>
          <cell r="AA2772" t="str">
            <v>Casing Scraper 5-1/4" OD Body
3-1/2" REG Pin x 3-1/2" REG Box</v>
          </cell>
          <cell r="AB2772">
            <v>0</v>
          </cell>
          <cell r="AC2772">
            <v>5.25</v>
          </cell>
          <cell r="AD2772">
            <v>1915</v>
          </cell>
          <cell r="AE2772" t="str">
            <v>3-1/2" REG Pin</v>
          </cell>
          <cell r="AF2772" t="str">
            <v>3-1/2" REG Box</v>
          </cell>
          <cell r="AG2772"/>
          <cell r="AH2772" t="str">
            <v xml:space="preserve"> en stock </v>
          </cell>
          <cell r="AI2772">
            <v>1</v>
          </cell>
          <cell r="AJ2772">
            <v>0</v>
          </cell>
          <cell r="AK2772">
            <v>0</v>
          </cell>
          <cell r="AL2772"/>
          <cell r="AM2772"/>
          <cell r="AN2772">
            <v>1032358</v>
          </cell>
          <cell r="AO2772"/>
          <cell r="AP2772"/>
          <cell r="AQ2772"/>
          <cell r="AR2772"/>
          <cell r="AS2772">
            <v>13</v>
          </cell>
          <cell r="AT2772"/>
          <cell r="AU2772" t="str">
            <v>FR</v>
          </cell>
          <cell r="AV2772"/>
        </row>
        <row r="2773">
          <cell r="Z2773">
            <v>1032359</v>
          </cell>
          <cell r="AA2773" t="str">
            <v>Casing Scraper 5-1/4" OD Body
3-1/2" REG Pin x 3-1/2" REG Box</v>
          </cell>
          <cell r="AB2773">
            <v>0</v>
          </cell>
          <cell r="AC2773">
            <v>5.25</v>
          </cell>
          <cell r="AD2773">
            <v>0</v>
          </cell>
          <cell r="AE2773" t="str">
            <v>3-1/2" REG Pin</v>
          </cell>
          <cell r="AF2773" t="str">
            <v>3-1/2" REG Box</v>
          </cell>
          <cell r="AG2773"/>
          <cell r="AH2773" t="str">
            <v xml:space="preserve"> en stock </v>
          </cell>
          <cell r="AI2773">
            <v>1</v>
          </cell>
          <cell r="AJ2773">
            <v>0</v>
          </cell>
          <cell r="AK2773">
            <v>0</v>
          </cell>
          <cell r="AL2773"/>
          <cell r="AM2773"/>
          <cell r="AN2773">
            <v>1032359</v>
          </cell>
          <cell r="AO2773"/>
          <cell r="AP2773"/>
          <cell r="AQ2773"/>
          <cell r="AR2773"/>
          <cell r="AS2773">
            <v>12</v>
          </cell>
          <cell r="AT2773"/>
          <cell r="AU2773" t="str">
            <v>US</v>
          </cell>
          <cell r="AV2773"/>
        </row>
        <row r="2774">
          <cell r="Z2774">
            <v>8132360</v>
          </cell>
          <cell r="AA2774" t="str">
            <v>XO
6-5/8" FH Pin x 6-5/8" REG Box</v>
          </cell>
          <cell r="AB2774">
            <v>0</v>
          </cell>
          <cell r="AC2774">
            <v>0</v>
          </cell>
          <cell r="AD2774">
            <v>0</v>
          </cell>
          <cell r="AE2774" t="str">
            <v>6-5/8" FH Pin</v>
          </cell>
          <cell r="AF2774" t="str">
            <v>6-5/8" REG Box</v>
          </cell>
          <cell r="AG2774"/>
          <cell r="AH2774" t="str">
            <v xml:space="preserve"> en stock </v>
          </cell>
          <cell r="AI2774">
            <v>1</v>
          </cell>
          <cell r="AJ2774">
            <v>0</v>
          </cell>
          <cell r="AK2774">
            <v>0</v>
          </cell>
          <cell r="AL2774"/>
          <cell r="AM2774"/>
          <cell r="AN2774" t="str">
            <v/>
          </cell>
          <cell r="AO2774"/>
          <cell r="AP2774"/>
          <cell r="AQ2774"/>
          <cell r="AR2774"/>
          <cell r="AS2774">
            <v>201</v>
          </cell>
          <cell r="AT2774"/>
          <cell r="AU2774" t="str">
            <v>FR</v>
          </cell>
          <cell r="AV2774"/>
        </row>
        <row r="2775">
          <cell r="Z2775">
            <v>1032361</v>
          </cell>
          <cell r="AA2775" t="str">
            <v>Casing Scraper 7-1/4" OD Body
4-1/2" REG Pin x 4-1/2" REG Box</v>
          </cell>
          <cell r="AB2775">
            <v>0</v>
          </cell>
          <cell r="AC2775">
            <v>7.25</v>
          </cell>
          <cell r="AD2775">
            <v>0</v>
          </cell>
          <cell r="AE2775" t="str">
            <v>4-1/2" REG Pin</v>
          </cell>
          <cell r="AF2775" t="str">
            <v>4-1/2" REG Box</v>
          </cell>
          <cell r="AG2775"/>
          <cell r="AH2775" t="e">
            <v>#VALUE!</v>
          </cell>
          <cell r="AI2775" t="e">
            <v>#VALUE!</v>
          </cell>
          <cell r="AJ2775" t="str">
            <v>F</v>
          </cell>
          <cell r="AK2775">
            <v>0</v>
          </cell>
          <cell r="AL2775"/>
          <cell r="AM2775"/>
          <cell r="AN2775" t="str">
            <v/>
          </cell>
          <cell r="AO2775"/>
          <cell r="AP2775"/>
          <cell r="AQ2775"/>
          <cell r="AR2775"/>
          <cell r="AS2775">
            <v>15</v>
          </cell>
          <cell r="AT2775"/>
          <cell r="AU2775" t="str">
            <v>UAE</v>
          </cell>
          <cell r="AV2775"/>
        </row>
        <row r="2776">
          <cell r="Z2776">
            <v>8112362</v>
          </cell>
          <cell r="AA2776" t="str">
            <v>String Stab
7-5/8" REG Pin x 7-5/8" REG Box</v>
          </cell>
          <cell r="AB2776">
            <v>766</v>
          </cell>
          <cell r="AC2776">
            <v>14.9375</v>
          </cell>
          <cell r="AD2776">
            <v>1860</v>
          </cell>
          <cell r="AE2776" t="str">
            <v>7-5/8" REG Box</v>
          </cell>
          <cell r="AF2776" t="str">
            <v>7-5/8" REG Pin</v>
          </cell>
          <cell r="AG2776">
            <v>0</v>
          </cell>
          <cell r="AH2776" t="str">
            <v>maintenance</v>
          </cell>
          <cell r="AI2776" t="str">
            <v/>
          </cell>
          <cell r="AJ2776">
            <v>0</v>
          </cell>
          <cell r="AK2776">
            <v>1</v>
          </cell>
          <cell r="AL2776"/>
          <cell r="AM2776"/>
          <cell r="AN2776" t="str">
            <v/>
          </cell>
          <cell r="AO2776"/>
          <cell r="AP2776"/>
          <cell r="AQ2776"/>
          <cell r="AR2776"/>
          <cell r="AS2776">
            <v>84</v>
          </cell>
          <cell r="AT2776" t="str">
            <v>811-</v>
          </cell>
          <cell r="AU2776" t="str">
            <v/>
          </cell>
          <cell r="AV2776"/>
        </row>
        <row r="2777">
          <cell r="Z2777">
            <v>2032363</v>
          </cell>
          <cell r="AA2777" t="str">
            <v>Pipe Cutter 8200s
6-5/8" REG Box up x Box down</v>
          </cell>
          <cell r="AB2777">
            <v>0</v>
          </cell>
          <cell r="AC2777">
            <v>8200</v>
          </cell>
          <cell r="AD2777">
            <v>710</v>
          </cell>
          <cell r="AE2777" t="str">
            <v>4-1/2" REG Box</v>
          </cell>
          <cell r="AF2777" t="str">
            <v>6-5/8" REG Box</v>
          </cell>
          <cell r="AG2777"/>
          <cell r="AH2777" t="str">
            <v>Fabrication en cours</v>
          </cell>
          <cell r="AI2777" t="e">
            <v>#VALUE!</v>
          </cell>
          <cell r="AJ2777">
            <v>0</v>
          </cell>
          <cell r="AK2777" t="str">
            <v>F</v>
          </cell>
          <cell r="AL2777"/>
          <cell r="AM2777"/>
          <cell r="AN2777">
            <v>2032363</v>
          </cell>
          <cell r="AO2777"/>
          <cell r="AP2777"/>
          <cell r="AQ2777"/>
          <cell r="AR2777"/>
          <cell r="AS2777">
            <v>13</v>
          </cell>
          <cell r="AT2777" t="str">
            <v>203-8200</v>
          </cell>
          <cell r="AU2777" t="str">
            <v>FR</v>
          </cell>
          <cell r="AV2777"/>
        </row>
        <row r="2778">
          <cell r="Z2778">
            <v>3052364</v>
          </cell>
          <cell r="AA2778" t="str">
            <v>SPR8200
4-1/2" IF Box up x 4-1/2" IF Pin down</v>
          </cell>
          <cell r="AB2778">
            <v>0</v>
          </cell>
          <cell r="AC2778" t="str">
            <v>SPR8200</v>
          </cell>
          <cell r="AD2778">
            <v>0</v>
          </cell>
          <cell r="AE2778" t="str">
            <v>4-1/2" IF Box</v>
          </cell>
          <cell r="AF2778" t="str">
            <v>4-1/2" IF Pin</v>
          </cell>
          <cell r="AG2778"/>
          <cell r="AH2778" t="str">
            <v>Fabrication en cours</v>
          </cell>
          <cell r="AI2778" t="e">
            <v>#VALUE!</v>
          </cell>
          <cell r="AJ2778">
            <v>0</v>
          </cell>
          <cell r="AK2778" t="str">
            <v>F</v>
          </cell>
          <cell r="AL2778"/>
          <cell r="AM2778"/>
          <cell r="AN2778" t="str">
            <v/>
          </cell>
          <cell r="AO2778"/>
          <cell r="AP2778"/>
          <cell r="AQ2778"/>
          <cell r="AR2778"/>
          <cell r="AS2778">
            <v>13</v>
          </cell>
          <cell r="AT2778"/>
          <cell r="AU2778" t="str">
            <v>UAE</v>
          </cell>
          <cell r="AV2778"/>
        </row>
        <row r="2779"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 t="str">
            <v/>
          </cell>
          <cell r="AV2779"/>
        </row>
        <row r="2780"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 t="str">
            <v/>
          </cell>
          <cell r="AV2780"/>
        </row>
        <row r="2781"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 t="str">
            <v/>
          </cell>
          <cell r="AV2781"/>
        </row>
        <row r="2782"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 t="str">
            <v/>
          </cell>
          <cell r="AV2782"/>
        </row>
        <row r="2783"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 t="str">
            <v/>
          </cell>
          <cell r="AV2783"/>
        </row>
        <row r="2784"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 t="str">
            <v/>
          </cell>
          <cell r="AV2784"/>
        </row>
        <row r="2785"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 t="str">
            <v/>
          </cell>
          <cell r="AV2785"/>
        </row>
        <row r="2786"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 t="str">
            <v/>
          </cell>
          <cell r="AV2786"/>
        </row>
        <row r="2787">
          <cell r="Z2787">
            <v>5062373</v>
          </cell>
          <cell r="AA2787" t="str">
            <v>String Mill 6 OD 
3-1/2" REG Box x 3-1/2" REG Pin</v>
          </cell>
          <cell r="AB2787">
            <v>0</v>
          </cell>
          <cell r="AC2787">
            <v>6</v>
          </cell>
          <cell r="AD2787">
            <v>1400</v>
          </cell>
          <cell r="AE2787" t="str">
            <v>3-1/2" REG Box</v>
          </cell>
          <cell r="AF2787" t="str">
            <v>3-1/2" REG Pin</v>
          </cell>
          <cell r="AG2787"/>
          <cell r="AH2787" t="str">
            <v xml:space="preserve"> en stock </v>
          </cell>
          <cell r="AI2787">
            <v>1</v>
          </cell>
          <cell r="AJ2787">
            <v>0</v>
          </cell>
          <cell r="AK2787">
            <v>0</v>
          </cell>
          <cell r="AL2787"/>
          <cell r="AM2787"/>
          <cell r="AN2787" t="str">
            <v/>
          </cell>
          <cell r="AO2787"/>
          <cell r="AP2787"/>
          <cell r="AQ2787"/>
          <cell r="AR2787"/>
          <cell r="AS2787">
            <v>14</v>
          </cell>
          <cell r="AT2787"/>
          <cell r="AU2787" t="str">
            <v>FR</v>
          </cell>
          <cell r="AV2787"/>
        </row>
        <row r="2788">
          <cell r="Z2788">
            <v>4022374</v>
          </cell>
          <cell r="AA2788" t="str">
            <v xml:space="preserve">Bumper Sub 8" OD
6-5/8" REG Pin down x Box up </v>
          </cell>
          <cell r="AB2788">
            <v>277</v>
          </cell>
          <cell r="AC2788">
            <v>8</v>
          </cell>
          <cell r="AD2788">
            <v>1570</v>
          </cell>
          <cell r="AE2788" t="str">
            <v>6-5/8" REG Box</v>
          </cell>
          <cell r="AF2788" t="str">
            <v>6-5/8" REG Pin</v>
          </cell>
          <cell r="AG2788"/>
          <cell r="AH2788" t="str">
            <v>Fabrication en cours</v>
          </cell>
          <cell r="AI2788">
            <v>0</v>
          </cell>
          <cell r="AJ2788">
            <v>0</v>
          </cell>
          <cell r="AK2788" t="str">
            <v>F</v>
          </cell>
          <cell r="AL2788"/>
          <cell r="AM2788"/>
          <cell r="AN2788" t="str">
            <v/>
          </cell>
          <cell r="AO2788"/>
          <cell r="AP2788"/>
          <cell r="AQ2788"/>
          <cell r="AR2788"/>
          <cell r="AS2788">
            <v>26</v>
          </cell>
          <cell r="AT2788" t="str">
            <v>402-8,000</v>
          </cell>
          <cell r="AU2788" t="str">
            <v/>
          </cell>
          <cell r="AV2788"/>
        </row>
        <row r="2789">
          <cell r="Z2789">
            <v>4022375</v>
          </cell>
          <cell r="AA2789" t="str">
            <v xml:space="preserve">Bumper Sub 6-1/4" OD
4-1/2" IF Pin down x Box up </v>
          </cell>
          <cell r="AB2789">
            <v>157</v>
          </cell>
          <cell r="AC2789">
            <v>6.25</v>
          </cell>
          <cell r="AD2789">
            <v>1515</v>
          </cell>
          <cell r="AE2789" t="str">
            <v>4-1/2" IF Box</v>
          </cell>
          <cell r="AF2789" t="str">
            <v>4-1/2" IF Pin</v>
          </cell>
          <cell r="AG2789"/>
          <cell r="AH2789" t="str">
            <v>Fabrication en cours</v>
          </cell>
          <cell r="AI2789">
            <v>0</v>
          </cell>
          <cell r="AJ2789">
            <v>0</v>
          </cell>
          <cell r="AK2789" t="str">
            <v>F</v>
          </cell>
          <cell r="AL2789"/>
          <cell r="AM2789"/>
          <cell r="AN2789" t="str">
            <v/>
          </cell>
          <cell r="AO2789"/>
          <cell r="AP2789"/>
          <cell r="AQ2789"/>
          <cell r="AR2789"/>
          <cell r="AS2789">
            <v>19</v>
          </cell>
          <cell r="AT2789" t="str">
            <v>402-6,250</v>
          </cell>
          <cell r="AU2789" t="str">
            <v/>
          </cell>
          <cell r="AV2789"/>
        </row>
        <row r="2790">
          <cell r="Z2790">
            <v>8082376</v>
          </cell>
          <cell r="AA2790" t="str">
            <v xml:space="preserve">Saver Sub 4-3/4" OD for DJ
3-1/2" IF Pin x Box
Set on : </v>
          </cell>
          <cell r="AB2790">
            <v>26.615245156499999</v>
          </cell>
          <cell r="AC2790">
            <v>4.75</v>
          </cell>
          <cell r="AD2790">
            <v>385</v>
          </cell>
          <cell r="AE2790" t="str">
            <v>3-1/2" IF Box</v>
          </cell>
          <cell r="AF2790" t="str">
            <v>3-1/2" IF Pin</v>
          </cell>
          <cell r="AG2790" t="str">
            <v>DJ</v>
          </cell>
          <cell r="AH2790" t="str">
            <v xml:space="preserve"> en stock </v>
          </cell>
          <cell r="AI2790">
            <v>1</v>
          </cell>
          <cell r="AJ2790">
            <v>0</v>
          </cell>
          <cell r="AK2790">
            <v>0</v>
          </cell>
          <cell r="AL2790"/>
          <cell r="AM2790"/>
          <cell r="AN2790" t="str">
            <v/>
          </cell>
          <cell r="AO2790"/>
          <cell r="AP2790"/>
          <cell r="AQ2790"/>
          <cell r="AR2790"/>
          <cell r="AS2790">
            <v>38</v>
          </cell>
          <cell r="AT2790"/>
          <cell r="AU2790" t="str">
            <v>FR</v>
          </cell>
          <cell r="AV2790"/>
        </row>
        <row r="2791">
          <cell r="Z2791" t="str">
            <v>SK25</v>
          </cell>
          <cell r="AA2791" t="str">
            <v>Skid Stabilizer 945mm x 760mm DLR</v>
          </cell>
          <cell r="AB2791">
            <v>76</v>
          </cell>
          <cell r="AC2791">
            <v>760</v>
          </cell>
          <cell r="AD2791">
            <v>945</v>
          </cell>
          <cell r="AE2791"/>
          <cell r="AF2791"/>
          <cell r="AG2791" t="str">
            <v>DLR</v>
          </cell>
          <cell r="AH2791" t="str">
            <v xml:space="preserve"> en stock </v>
          </cell>
          <cell r="AI2791">
            <v>1</v>
          </cell>
          <cell r="AJ2791">
            <v>0</v>
          </cell>
          <cell r="AK2791">
            <v>0</v>
          </cell>
          <cell r="AL2791"/>
          <cell r="AM2791"/>
          <cell r="AN2791" t="str">
            <v xml:space="preserve"> - </v>
          </cell>
          <cell r="AO2791"/>
          <cell r="AP2791"/>
          <cell r="AQ2791"/>
          <cell r="AR2791"/>
          <cell r="AS2791">
            <v>55</v>
          </cell>
          <cell r="AT2791"/>
          <cell r="AU2791" t="str">
            <v>FR</v>
          </cell>
          <cell r="AV2791">
            <v>86090090</v>
          </cell>
        </row>
        <row r="2792">
          <cell r="Z2792" t="str">
            <v>SK26</v>
          </cell>
          <cell r="AA2792" t="str">
            <v>Skid Stabilizer 945mm x 760mm DLR</v>
          </cell>
          <cell r="AB2792">
            <v>76</v>
          </cell>
          <cell r="AC2792">
            <v>760</v>
          </cell>
          <cell r="AD2792">
            <v>945</v>
          </cell>
          <cell r="AE2792"/>
          <cell r="AF2792"/>
          <cell r="AG2792" t="str">
            <v>DLR</v>
          </cell>
          <cell r="AH2792" t="str">
            <v xml:space="preserve"> en stock </v>
          </cell>
          <cell r="AI2792">
            <v>1</v>
          </cell>
          <cell r="AJ2792">
            <v>0</v>
          </cell>
          <cell r="AK2792">
            <v>0</v>
          </cell>
          <cell r="AL2792"/>
          <cell r="AM2792"/>
          <cell r="AN2792" t="str">
            <v xml:space="preserve"> - </v>
          </cell>
          <cell r="AO2792"/>
          <cell r="AP2792"/>
          <cell r="AQ2792"/>
          <cell r="AR2792"/>
          <cell r="AS2792">
            <v>56</v>
          </cell>
          <cell r="AT2792"/>
          <cell r="AU2792" t="str">
            <v>FR</v>
          </cell>
          <cell r="AV2792">
            <v>86090090</v>
          </cell>
        </row>
        <row r="2793">
          <cell r="Z2793">
            <v>5022377</v>
          </cell>
          <cell r="AA2793" t="str">
            <v>Economill 
3-1/2" REG Pin</v>
          </cell>
          <cell r="AB2793">
            <v>0</v>
          </cell>
          <cell r="AC2793">
            <v>5.921875</v>
          </cell>
          <cell r="AD2793">
            <v>0</v>
          </cell>
          <cell r="AE2793" t="str">
            <v>3-1/2" REG Pin</v>
          </cell>
          <cell r="AF2793"/>
          <cell r="AG2793">
            <v>0</v>
          </cell>
          <cell r="AH2793" t="str">
            <v xml:space="preserve"> en stock </v>
          </cell>
          <cell r="AI2793" t="str">
            <v>blank</v>
          </cell>
          <cell r="AJ2793">
            <v>0</v>
          </cell>
          <cell r="AK2793">
            <v>0</v>
          </cell>
          <cell r="AL2793"/>
          <cell r="AM2793"/>
          <cell r="AN2793" t="str">
            <v/>
          </cell>
          <cell r="AO2793"/>
          <cell r="AP2793"/>
          <cell r="AQ2793"/>
          <cell r="AR2793"/>
          <cell r="AS2793">
            <v>35</v>
          </cell>
          <cell r="AT2793"/>
          <cell r="AU2793" t="str">
            <v/>
          </cell>
          <cell r="AV2793"/>
        </row>
        <row r="2794">
          <cell r="Z2794">
            <v>5022378</v>
          </cell>
          <cell r="AA2794" t="str">
            <v>Economill 
3-1/2" REG Pin</v>
          </cell>
          <cell r="AB2794">
            <v>0</v>
          </cell>
          <cell r="AC2794">
            <v>5.921875</v>
          </cell>
          <cell r="AD2794">
            <v>0</v>
          </cell>
          <cell r="AE2794" t="str">
            <v>3-1/2" REG Pin</v>
          </cell>
          <cell r="AF2794"/>
          <cell r="AG2794">
            <v>0</v>
          </cell>
          <cell r="AH2794" t="str">
            <v xml:space="preserve"> en stock </v>
          </cell>
          <cell r="AI2794" t="str">
            <v>blank</v>
          </cell>
          <cell r="AJ2794">
            <v>0</v>
          </cell>
          <cell r="AK2794">
            <v>0</v>
          </cell>
          <cell r="AL2794"/>
          <cell r="AM2794"/>
          <cell r="AN2794" t="str">
            <v/>
          </cell>
          <cell r="AO2794"/>
          <cell r="AP2794"/>
          <cell r="AQ2794"/>
          <cell r="AR2794"/>
          <cell r="AS2794">
            <v>36</v>
          </cell>
          <cell r="AT2794"/>
          <cell r="AU2794" t="str">
            <v/>
          </cell>
          <cell r="AV2794"/>
        </row>
        <row r="2795">
          <cell r="Z2795">
            <v>5022379</v>
          </cell>
          <cell r="AA2795" t="str">
            <v>Economill 
3-1/2" REG Pin</v>
          </cell>
          <cell r="AB2795">
            <v>0</v>
          </cell>
          <cell r="AC2795">
            <v>5.921875</v>
          </cell>
          <cell r="AD2795">
            <v>0</v>
          </cell>
          <cell r="AE2795" t="str">
            <v>3-1/2" REG Pin</v>
          </cell>
          <cell r="AF2795"/>
          <cell r="AG2795">
            <v>0</v>
          </cell>
          <cell r="AH2795" t="str">
            <v xml:space="preserve"> en stock </v>
          </cell>
          <cell r="AI2795" t="str">
            <v>blank</v>
          </cell>
          <cell r="AJ2795">
            <v>0</v>
          </cell>
          <cell r="AK2795">
            <v>0</v>
          </cell>
          <cell r="AL2795"/>
          <cell r="AM2795"/>
          <cell r="AN2795" t="str">
            <v/>
          </cell>
          <cell r="AO2795"/>
          <cell r="AP2795"/>
          <cell r="AQ2795"/>
          <cell r="AR2795"/>
          <cell r="AS2795">
            <v>37</v>
          </cell>
          <cell r="AT2795"/>
          <cell r="AU2795" t="str">
            <v/>
          </cell>
          <cell r="AV2795"/>
        </row>
        <row r="2796">
          <cell r="Z2796">
            <v>5022380</v>
          </cell>
          <cell r="AA2796" t="str">
            <v>Economill 
3-1/2" REG Pin</v>
          </cell>
          <cell r="AB2796">
            <v>0</v>
          </cell>
          <cell r="AC2796">
            <v>5.921875</v>
          </cell>
          <cell r="AD2796">
            <v>0</v>
          </cell>
          <cell r="AE2796" t="str">
            <v>3-1/2" REG Pin</v>
          </cell>
          <cell r="AF2796"/>
          <cell r="AG2796">
            <v>0</v>
          </cell>
          <cell r="AH2796" t="str">
            <v xml:space="preserve"> en stock </v>
          </cell>
          <cell r="AI2796" t="str">
            <v>blank</v>
          </cell>
          <cell r="AJ2796">
            <v>0</v>
          </cell>
          <cell r="AK2796">
            <v>0</v>
          </cell>
          <cell r="AL2796"/>
          <cell r="AM2796"/>
          <cell r="AN2796" t="str">
            <v/>
          </cell>
          <cell r="AO2796"/>
          <cell r="AP2796"/>
          <cell r="AQ2796"/>
          <cell r="AR2796"/>
          <cell r="AS2796">
            <v>38</v>
          </cell>
          <cell r="AT2796"/>
          <cell r="AU2796" t="str">
            <v/>
          </cell>
          <cell r="AV2796"/>
        </row>
        <row r="2797">
          <cell r="Z2797">
            <v>5022381</v>
          </cell>
          <cell r="AA2797" t="str">
            <v>Economill 
3-1/2" REG Pin</v>
          </cell>
          <cell r="AB2797">
            <v>0</v>
          </cell>
          <cell r="AC2797">
            <v>5.921875</v>
          </cell>
          <cell r="AD2797">
            <v>0</v>
          </cell>
          <cell r="AE2797" t="str">
            <v>3-1/2" REG Pin</v>
          </cell>
          <cell r="AF2797"/>
          <cell r="AG2797">
            <v>0</v>
          </cell>
          <cell r="AH2797" t="str">
            <v xml:space="preserve"> en stock </v>
          </cell>
          <cell r="AI2797" t="str">
            <v>blank</v>
          </cell>
          <cell r="AJ2797">
            <v>0</v>
          </cell>
          <cell r="AK2797">
            <v>0</v>
          </cell>
          <cell r="AL2797"/>
          <cell r="AM2797"/>
          <cell r="AN2797" t="str">
            <v/>
          </cell>
          <cell r="AO2797"/>
          <cell r="AP2797"/>
          <cell r="AQ2797"/>
          <cell r="AR2797"/>
          <cell r="AS2797">
            <v>39</v>
          </cell>
          <cell r="AT2797"/>
          <cell r="AU2797" t="str">
            <v/>
          </cell>
          <cell r="AV2797"/>
        </row>
        <row r="2798">
          <cell r="Z2798">
            <v>5022382</v>
          </cell>
          <cell r="AA2798" t="str">
            <v>Economill 
3-1/2" REG Pin</v>
          </cell>
          <cell r="AB2798">
            <v>0</v>
          </cell>
          <cell r="AC2798">
            <v>5.921875</v>
          </cell>
          <cell r="AD2798">
            <v>0</v>
          </cell>
          <cell r="AE2798" t="str">
            <v>3-1/2" REG Pin</v>
          </cell>
          <cell r="AF2798"/>
          <cell r="AG2798">
            <v>0</v>
          </cell>
          <cell r="AH2798" t="str">
            <v xml:space="preserve"> en stock </v>
          </cell>
          <cell r="AI2798" t="str">
            <v>blank</v>
          </cell>
          <cell r="AJ2798">
            <v>0</v>
          </cell>
          <cell r="AK2798">
            <v>0</v>
          </cell>
          <cell r="AL2798"/>
          <cell r="AM2798"/>
          <cell r="AN2798" t="str">
            <v/>
          </cell>
          <cell r="AO2798"/>
          <cell r="AP2798"/>
          <cell r="AQ2798"/>
          <cell r="AR2798"/>
          <cell r="AS2798">
            <v>40</v>
          </cell>
          <cell r="AT2798"/>
          <cell r="AU2798" t="str">
            <v/>
          </cell>
          <cell r="AV2798"/>
        </row>
        <row r="2799">
          <cell r="Z2799">
            <v>5022383</v>
          </cell>
          <cell r="AA2799" t="str">
            <v>Economill 
3-1/2" REG Pin</v>
          </cell>
          <cell r="AB2799">
            <v>0</v>
          </cell>
          <cell r="AC2799">
            <v>6.0625</v>
          </cell>
          <cell r="AD2799">
            <v>0</v>
          </cell>
          <cell r="AE2799" t="str">
            <v>3-1/2" REG Pin</v>
          </cell>
          <cell r="AF2799"/>
          <cell r="AG2799">
            <v>0</v>
          </cell>
          <cell r="AH2799" t="str">
            <v xml:space="preserve"> en stock </v>
          </cell>
          <cell r="AI2799" t="str">
            <v>blank</v>
          </cell>
          <cell r="AJ2799">
            <v>0</v>
          </cell>
          <cell r="AK2799">
            <v>0</v>
          </cell>
          <cell r="AL2799"/>
          <cell r="AM2799"/>
          <cell r="AN2799" t="str">
            <v/>
          </cell>
          <cell r="AO2799"/>
          <cell r="AP2799"/>
          <cell r="AQ2799"/>
          <cell r="AR2799"/>
          <cell r="AS2799">
            <v>41</v>
          </cell>
          <cell r="AT2799"/>
          <cell r="AU2799" t="str">
            <v/>
          </cell>
          <cell r="AV2799"/>
        </row>
        <row r="2800">
          <cell r="Z2800">
            <v>5022384</v>
          </cell>
          <cell r="AA2800" t="str">
            <v>Economill 
3-1/2" REG Pin</v>
          </cell>
          <cell r="AB2800">
            <v>0</v>
          </cell>
          <cell r="AC2800">
            <v>6.0625</v>
          </cell>
          <cell r="AD2800">
            <v>0</v>
          </cell>
          <cell r="AE2800" t="str">
            <v>3-1/2" REG Pin</v>
          </cell>
          <cell r="AF2800"/>
          <cell r="AG2800">
            <v>0</v>
          </cell>
          <cell r="AH2800" t="str">
            <v xml:space="preserve"> en stock </v>
          </cell>
          <cell r="AI2800" t="str">
            <v>blank</v>
          </cell>
          <cell r="AJ2800">
            <v>0</v>
          </cell>
          <cell r="AK2800">
            <v>0</v>
          </cell>
          <cell r="AL2800"/>
          <cell r="AM2800"/>
          <cell r="AN2800" t="str">
            <v/>
          </cell>
          <cell r="AO2800"/>
          <cell r="AP2800"/>
          <cell r="AQ2800"/>
          <cell r="AR2800"/>
          <cell r="AS2800">
            <v>42</v>
          </cell>
          <cell r="AT2800"/>
          <cell r="AU2800" t="str">
            <v/>
          </cell>
          <cell r="AV2800"/>
        </row>
        <row r="2801"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 t="str">
            <v/>
          </cell>
          <cell r="AV2801"/>
        </row>
        <row r="2802"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 t="str">
            <v/>
          </cell>
          <cell r="AV2802"/>
        </row>
        <row r="2803"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 t="str">
            <v/>
          </cell>
          <cell r="AV2803"/>
        </row>
        <row r="2804"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 t="str">
            <v/>
          </cell>
          <cell r="AV2804"/>
        </row>
        <row r="2805"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 t="str">
            <v/>
          </cell>
          <cell r="AV2805"/>
        </row>
        <row r="2806"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 t="str">
            <v/>
          </cell>
          <cell r="AV2806"/>
        </row>
        <row r="2807"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 t="str">
            <v/>
          </cell>
          <cell r="AV2807"/>
        </row>
        <row r="2808"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 t="str">
            <v/>
          </cell>
          <cell r="AV2808"/>
        </row>
        <row r="2809"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 t="str">
            <v/>
          </cell>
          <cell r="AV2809"/>
        </row>
        <row r="2810"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 t="str">
            <v/>
          </cell>
          <cell r="AV2810"/>
        </row>
        <row r="2811">
          <cell r="Z2811">
            <v>5032395</v>
          </cell>
          <cell r="AA2811" t="str">
            <v>Junk Mill 
blank</v>
          </cell>
          <cell r="AB2811">
            <v>0</v>
          </cell>
          <cell r="AC2811">
            <v>4.25</v>
          </cell>
          <cell r="AD2811">
            <v>0</v>
          </cell>
          <cell r="AE2811" t="str">
            <v>blank</v>
          </cell>
          <cell r="AF2811"/>
          <cell r="AG2811">
            <v>0</v>
          </cell>
          <cell r="AH2811" t="str">
            <v xml:space="preserve"> en stock </v>
          </cell>
          <cell r="AI2811" t="str">
            <v>blank</v>
          </cell>
          <cell r="AJ2811">
            <v>0</v>
          </cell>
          <cell r="AK2811">
            <v>0</v>
          </cell>
          <cell r="AL2811"/>
          <cell r="AM2811"/>
          <cell r="AN2811" t="str">
            <v/>
          </cell>
          <cell r="AO2811"/>
          <cell r="AP2811"/>
          <cell r="AQ2811"/>
          <cell r="AR2811"/>
          <cell r="AS2811">
            <v>10</v>
          </cell>
          <cell r="AT2811" t="str">
            <v>503-</v>
          </cell>
          <cell r="AU2811" t="str">
            <v/>
          </cell>
          <cell r="AV2811"/>
        </row>
        <row r="2812">
          <cell r="Z2812">
            <v>5032396</v>
          </cell>
          <cell r="AA2812" t="str">
            <v>Junk Mill 
blank</v>
          </cell>
          <cell r="AB2812">
            <v>0</v>
          </cell>
          <cell r="AC2812">
            <v>4.25</v>
          </cell>
          <cell r="AD2812">
            <v>0</v>
          </cell>
          <cell r="AE2812" t="str">
            <v>blank</v>
          </cell>
          <cell r="AF2812"/>
          <cell r="AG2812">
            <v>0</v>
          </cell>
          <cell r="AH2812" t="str">
            <v xml:space="preserve"> en stock </v>
          </cell>
          <cell r="AI2812" t="str">
            <v>blank</v>
          </cell>
          <cell r="AJ2812">
            <v>0</v>
          </cell>
          <cell r="AK2812">
            <v>0</v>
          </cell>
          <cell r="AL2812"/>
          <cell r="AM2812"/>
          <cell r="AN2812" t="str">
            <v/>
          </cell>
          <cell r="AO2812"/>
          <cell r="AP2812"/>
          <cell r="AQ2812"/>
          <cell r="AR2812"/>
          <cell r="AS2812">
            <v>11</v>
          </cell>
          <cell r="AT2812" t="str">
            <v>503-</v>
          </cell>
          <cell r="AU2812" t="str">
            <v/>
          </cell>
          <cell r="AV2812"/>
        </row>
        <row r="2813">
          <cell r="Z2813">
            <v>5032397</v>
          </cell>
          <cell r="AA2813" t="str">
            <v>Junk Mill 
blank</v>
          </cell>
          <cell r="AB2813">
            <v>0</v>
          </cell>
          <cell r="AC2813">
            <v>4.25</v>
          </cell>
          <cell r="AD2813">
            <v>0</v>
          </cell>
          <cell r="AE2813" t="str">
            <v>blank</v>
          </cell>
          <cell r="AF2813"/>
          <cell r="AG2813">
            <v>0</v>
          </cell>
          <cell r="AH2813" t="str">
            <v xml:space="preserve"> en stock </v>
          </cell>
          <cell r="AI2813" t="str">
            <v>blank</v>
          </cell>
          <cell r="AJ2813">
            <v>0</v>
          </cell>
          <cell r="AK2813">
            <v>0</v>
          </cell>
          <cell r="AL2813"/>
          <cell r="AM2813"/>
          <cell r="AN2813" t="str">
            <v/>
          </cell>
          <cell r="AO2813"/>
          <cell r="AP2813"/>
          <cell r="AQ2813"/>
          <cell r="AR2813"/>
          <cell r="AS2813">
            <v>12</v>
          </cell>
          <cell r="AT2813" t="str">
            <v>503-</v>
          </cell>
          <cell r="AU2813" t="str">
            <v/>
          </cell>
          <cell r="AV2813"/>
        </row>
        <row r="2814">
          <cell r="Z2814">
            <v>5032398</v>
          </cell>
          <cell r="AA2814" t="str">
            <v>Junk Mill 
blank</v>
          </cell>
          <cell r="AB2814">
            <v>0</v>
          </cell>
          <cell r="AC2814">
            <v>4.25</v>
          </cell>
          <cell r="AD2814">
            <v>0</v>
          </cell>
          <cell r="AE2814" t="str">
            <v>blank</v>
          </cell>
          <cell r="AF2814"/>
          <cell r="AG2814">
            <v>0</v>
          </cell>
          <cell r="AH2814" t="str">
            <v xml:space="preserve"> en stock </v>
          </cell>
          <cell r="AI2814" t="str">
            <v>blank</v>
          </cell>
          <cell r="AJ2814">
            <v>0</v>
          </cell>
          <cell r="AK2814">
            <v>0</v>
          </cell>
          <cell r="AL2814"/>
          <cell r="AM2814"/>
          <cell r="AN2814" t="str">
            <v/>
          </cell>
          <cell r="AO2814"/>
          <cell r="AP2814"/>
          <cell r="AQ2814"/>
          <cell r="AR2814"/>
          <cell r="AS2814">
            <v>13</v>
          </cell>
          <cell r="AT2814" t="str">
            <v>503-</v>
          </cell>
          <cell r="AU2814" t="str">
            <v/>
          </cell>
          <cell r="AV2814"/>
        </row>
        <row r="2815">
          <cell r="Z2815">
            <v>5032399</v>
          </cell>
          <cell r="AA2815" t="str">
            <v>Junk Mill 
blank</v>
          </cell>
          <cell r="AB2815">
            <v>0</v>
          </cell>
          <cell r="AC2815">
            <v>4.25</v>
          </cell>
          <cell r="AD2815">
            <v>0</v>
          </cell>
          <cell r="AE2815" t="str">
            <v>blank</v>
          </cell>
          <cell r="AF2815"/>
          <cell r="AG2815">
            <v>0</v>
          </cell>
          <cell r="AH2815" t="str">
            <v xml:space="preserve"> en stock </v>
          </cell>
          <cell r="AI2815" t="str">
            <v>blank</v>
          </cell>
          <cell r="AJ2815">
            <v>0</v>
          </cell>
          <cell r="AK2815">
            <v>0</v>
          </cell>
          <cell r="AL2815"/>
          <cell r="AM2815"/>
          <cell r="AN2815" t="str">
            <v/>
          </cell>
          <cell r="AO2815"/>
          <cell r="AP2815"/>
          <cell r="AQ2815"/>
          <cell r="AR2815"/>
          <cell r="AS2815">
            <v>14</v>
          </cell>
          <cell r="AT2815" t="str">
            <v>503-</v>
          </cell>
          <cell r="AU2815" t="str">
            <v/>
          </cell>
          <cell r="AV2815"/>
        </row>
        <row r="2816">
          <cell r="Z2816">
            <v>5032400</v>
          </cell>
          <cell r="AA2816" t="str">
            <v>Junk Mill 
3-1/2" REG Pin</v>
          </cell>
          <cell r="AB2816">
            <v>0</v>
          </cell>
          <cell r="AC2816">
            <v>6.1875</v>
          </cell>
          <cell r="AD2816">
            <v>0</v>
          </cell>
          <cell r="AE2816" t="str">
            <v>3-1/2" REG Pin</v>
          </cell>
          <cell r="AF2816"/>
          <cell r="AG2816">
            <v>0</v>
          </cell>
          <cell r="AH2816" t="str">
            <v xml:space="preserve"> en stock </v>
          </cell>
          <cell r="AI2816" t="str">
            <v>blank</v>
          </cell>
          <cell r="AJ2816">
            <v>0</v>
          </cell>
          <cell r="AK2816">
            <v>0</v>
          </cell>
          <cell r="AL2816"/>
          <cell r="AM2816"/>
          <cell r="AN2816" t="str">
            <v/>
          </cell>
          <cell r="AO2816"/>
          <cell r="AP2816"/>
          <cell r="AQ2816"/>
          <cell r="AR2816"/>
          <cell r="AS2816">
            <v>50</v>
          </cell>
          <cell r="AT2816" t="str">
            <v>503-</v>
          </cell>
          <cell r="AU2816" t="str">
            <v/>
          </cell>
          <cell r="AV2816"/>
        </row>
        <row r="2817">
          <cell r="Z2817">
            <v>5032401</v>
          </cell>
          <cell r="AA2817" t="str">
            <v>Junk Mill 
3-1/2" REG Pin</v>
          </cell>
          <cell r="AB2817">
            <v>0</v>
          </cell>
          <cell r="AC2817">
            <v>6.1875</v>
          </cell>
          <cell r="AD2817">
            <v>0</v>
          </cell>
          <cell r="AE2817" t="str">
            <v>3-1/2" REG Pin</v>
          </cell>
          <cell r="AF2817"/>
          <cell r="AG2817">
            <v>0</v>
          </cell>
          <cell r="AH2817" t="str">
            <v xml:space="preserve"> en stock </v>
          </cell>
          <cell r="AI2817" t="str">
            <v>blank</v>
          </cell>
          <cell r="AJ2817">
            <v>0</v>
          </cell>
          <cell r="AK2817">
            <v>0</v>
          </cell>
          <cell r="AL2817"/>
          <cell r="AM2817"/>
          <cell r="AN2817" t="str">
            <v/>
          </cell>
          <cell r="AO2817"/>
          <cell r="AP2817"/>
          <cell r="AQ2817"/>
          <cell r="AR2817"/>
          <cell r="AS2817">
            <v>51</v>
          </cell>
          <cell r="AT2817" t="str">
            <v>503-</v>
          </cell>
          <cell r="AU2817" t="str">
            <v/>
          </cell>
          <cell r="AV2817"/>
        </row>
        <row r="2818">
          <cell r="Z2818">
            <v>5032402</v>
          </cell>
          <cell r="AA2818" t="str">
            <v>Junk Mill 
3-1/2" REG Pin</v>
          </cell>
          <cell r="AB2818">
            <v>0</v>
          </cell>
          <cell r="AC2818">
            <v>6.1875</v>
          </cell>
          <cell r="AD2818">
            <v>0</v>
          </cell>
          <cell r="AE2818" t="str">
            <v>3-1/2" REG Pin</v>
          </cell>
          <cell r="AF2818"/>
          <cell r="AG2818">
            <v>0</v>
          </cell>
          <cell r="AH2818" t="str">
            <v xml:space="preserve"> en stock </v>
          </cell>
          <cell r="AI2818" t="str">
            <v>blank</v>
          </cell>
          <cell r="AJ2818">
            <v>0</v>
          </cell>
          <cell r="AK2818">
            <v>0</v>
          </cell>
          <cell r="AL2818"/>
          <cell r="AM2818"/>
          <cell r="AN2818" t="str">
            <v/>
          </cell>
          <cell r="AO2818"/>
          <cell r="AP2818"/>
          <cell r="AQ2818"/>
          <cell r="AR2818"/>
          <cell r="AS2818">
            <v>52</v>
          </cell>
          <cell r="AT2818" t="str">
            <v>503-</v>
          </cell>
          <cell r="AU2818" t="str">
            <v/>
          </cell>
          <cell r="AV2818"/>
        </row>
        <row r="2819">
          <cell r="Z2819">
            <v>5032403</v>
          </cell>
          <cell r="AA2819" t="str">
            <v>Junk Mill 
3-1/2" REG Pin</v>
          </cell>
          <cell r="AB2819">
            <v>0</v>
          </cell>
          <cell r="AC2819">
            <v>6.1875</v>
          </cell>
          <cell r="AD2819">
            <v>0</v>
          </cell>
          <cell r="AE2819" t="str">
            <v>3-1/2" REG Pin</v>
          </cell>
          <cell r="AF2819"/>
          <cell r="AG2819">
            <v>0</v>
          </cell>
          <cell r="AH2819" t="str">
            <v xml:space="preserve"> en stock </v>
          </cell>
          <cell r="AI2819" t="str">
            <v>blank</v>
          </cell>
          <cell r="AJ2819">
            <v>0</v>
          </cell>
          <cell r="AK2819">
            <v>0</v>
          </cell>
          <cell r="AL2819"/>
          <cell r="AM2819"/>
          <cell r="AN2819" t="str">
            <v/>
          </cell>
          <cell r="AO2819"/>
          <cell r="AP2819"/>
          <cell r="AQ2819"/>
          <cell r="AR2819"/>
          <cell r="AS2819">
            <v>53</v>
          </cell>
          <cell r="AT2819" t="str">
            <v>503-</v>
          </cell>
          <cell r="AU2819" t="str">
            <v/>
          </cell>
          <cell r="AV2819"/>
        </row>
        <row r="2820">
          <cell r="Z2820">
            <v>5032404</v>
          </cell>
          <cell r="AA2820" t="str">
            <v>Junk Mill 
3-1/2" REG Pin</v>
          </cell>
          <cell r="AB2820">
            <v>0</v>
          </cell>
          <cell r="AC2820">
            <v>6.1875</v>
          </cell>
          <cell r="AD2820">
            <v>0</v>
          </cell>
          <cell r="AE2820" t="str">
            <v>3-1/2" REG Pin</v>
          </cell>
          <cell r="AF2820"/>
          <cell r="AG2820">
            <v>0</v>
          </cell>
          <cell r="AH2820" t="str">
            <v xml:space="preserve"> en stock </v>
          </cell>
          <cell r="AI2820" t="str">
            <v>blank</v>
          </cell>
          <cell r="AJ2820">
            <v>0</v>
          </cell>
          <cell r="AK2820">
            <v>0</v>
          </cell>
          <cell r="AL2820"/>
          <cell r="AM2820"/>
          <cell r="AN2820" t="str">
            <v/>
          </cell>
          <cell r="AO2820"/>
          <cell r="AP2820"/>
          <cell r="AQ2820"/>
          <cell r="AR2820"/>
          <cell r="AS2820">
            <v>54</v>
          </cell>
          <cell r="AT2820" t="str">
            <v>503-</v>
          </cell>
          <cell r="AU2820" t="str">
            <v/>
          </cell>
          <cell r="AV2820"/>
        </row>
        <row r="2821">
          <cell r="Z2821">
            <v>5032405</v>
          </cell>
          <cell r="AA2821" t="str">
            <v>Junk Mill 
3-1/2" REG Pin</v>
          </cell>
          <cell r="AB2821">
            <v>0</v>
          </cell>
          <cell r="AC2821">
            <v>6.1875</v>
          </cell>
          <cell r="AD2821">
            <v>0</v>
          </cell>
          <cell r="AE2821" t="str">
            <v>3-1/2" REG Pin</v>
          </cell>
          <cell r="AF2821"/>
          <cell r="AG2821">
            <v>0</v>
          </cell>
          <cell r="AH2821" t="str">
            <v xml:space="preserve"> en stock </v>
          </cell>
          <cell r="AI2821" t="str">
            <v>blank</v>
          </cell>
          <cell r="AJ2821">
            <v>0</v>
          </cell>
          <cell r="AK2821">
            <v>0</v>
          </cell>
          <cell r="AL2821"/>
          <cell r="AM2821"/>
          <cell r="AN2821" t="str">
            <v/>
          </cell>
          <cell r="AO2821"/>
          <cell r="AP2821"/>
          <cell r="AQ2821"/>
          <cell r="AR2821"/>
          <cell r="AS2821">
            <v>55</v>
          </cell>
          <cell r="AT2821" t="str">
            <v>503-</v>
          </cell>
          <cell r="AU2821" t="str">
            <v/>
          </cell>
          <cell r="AV2821"/>
        </row>
        <row r="2822">
          <cell r="Z2822">
            <v>5032406</v>
          </cell>
          <cell r="AA2822" t="str">
            <v>Junk Mill 
blank</v>
          </cell>
          <cell r="AB2822">
            <v>0</v>
          </cell>
          <cell r="AC2822">
            <v>6.1875</v>
          </cell>
          <cell r="AD2822">
            <v>0</v>
          </cell>
          <cell r="AE2822" t="str">
            <v>blank</v>
          </cell>
          <cell r="AF2822"/>
          <cell r="AG2822">
            <v>0</v>
          </cell>
          <cell r="AH2822" t="str">
            <v xml:space="preserve"> en stock </v>
          </cell>
          <cell r="AI2822" t="str">
            <v>blank</v>
          </cell>
          <cell r="AJ2822">
            <v>0</v>
          </cell>
          <cell r="AK2822">
            <v>0</v>
          </cell>
          <cell r="AL2822"/>
          <cell r="AM2822"/>
          <cell r="AN2822" t="str">
            <v/>
          </cell>
          <cell r="AO2822"/>
          <cell r="AP2822"/>
          <cell r="AQ2822"/>
          <cell r="AR2822"/>
          <cell r="AS2822">
            <v>56</v>
          </cell>
          <cell r="AT2822" t="str">
            <v>503-</v>
          </cell>
          <cell r="AU2822" t="str">
            <v/>
          </cell>
          <cell r="AV2822"/>
        </row>
        <row r="2823">
          <cell r="Z2823">
            <v>5032407</v>
          </cell>
          <cell r="AA2823" t="str">
            <v>Junk Mill 
blank</v>
          </cell>
          <cell r="AB2823">
            <v>0</v>
          </cell>
          <cell r="AC2823">
            <v>6.1875</v>
          </cell>
          <cell r="AD2823">
            <v>0</v>
          </cell>
          <cell r="AE2823" t="str">
            <v>blank</v>
          </cell>
          <cell r="AF2823"/>
          <cell r="AG2823">
            <v>0</v>
          </cell>
          <cell r="AH2823" t="str">
            <v xml:space="preserve"> en stock </v>
          </cell>
          <cell r="AI2823" t="str">
            <v>blank</v>
          </cell>
          <cell r="AJ2823">
            <v>0</v>
          </cell>
          <cell r="AK2823">
            <v>0</v>
          </cell>
          <cell r="AL2823"/>
          <cell r="AM2823"/>
          <cell r="AN2823" t="str">
            <v/>
          </cell>
          <cell r="AO2823"/>
          <cell r="AP2823"/>
          <cell r="AQ2823"/>
          <cell r="AR2823"/>
          <cell r="AS2823">
            <v>57</v>
          </cell>
          <cell r="AT2823" t="str">
            <v>503-</v>
          </cell>
          <cell r="AU2823" t="str">
            <v/>
          </cell>
          <cell r="AV2823"/>
        </row>
        <row r="2824">
          <cell r="Z2824">
            <v>5032408</v>
          </cell>
          <cell r="AA2824" t="str">
            <v>Junk Mill 
blank</v>
          </cell>
          <cell r="AB2824">
            <v>0</v>
          </cell>
          <cell r="AC2824">
            <v>6.1875</v>
          </cell>
          <cell r="AD2824">
            <v>0</v>
          </cell>
          <cell r="AE2824" t="str">
            <v>blank</v>
          </cell>
          <cell r="AF2824"/>
          <cell r="AG2824">
            <v>0</v>
          </cell>
          <cell r="AH2824" t="str">
            <v xml:space="preserve"> en stock </v>
          </cell>
          <cell r="AI2824" t="str">
            <v>blank</v>
          </cell>
          <cell r="AJ2824">
            <v>0</v>
          </cell>
          <cell r="AK2824">
            <v>0</v>
          </cell>
          <cell r="AL2824"/>
          <cell r="AM2824"/>
          <cell r="AN2824" t="str">
            <v/>
          </cell>
          <cell r="AO2824"/>
          <cell r="AP2824"/>
          <cell r="AQ2824"/>
          <cell r="AR2824"/>
          <cell r="AS2824">
            <v>58</v>
          </cell>
          <cell r="AT2824" t="str">
            <v>503-</v>
          </cell>
          <cell r="AU2824" t="str">
            <v/>
          </cell>
          <cell r="AV2824"/>
        </row>
        <row r="2825">
          <cell r="Z2825">
            <v>5032409</v>
          </cell>
          <cell r="AA2825" t="str">
            <v>Junk Mill 
blank</v>
          </cell>
          <cell r="AB2825">
            <v>0</v>
          </cell>
          <cell r="AC2825">
            <v>6.1875</v>
          </cell>
          <cell r="AD2825">
            <v>0</v>
          </cell>
          <cell r="AE2825" t="str">
            <v>blank</v>
          </cell>
          <cell r="AF2825"/>
          <cell r="AG2825">
            <v>0</v>
          </cell>
          <cell r="AH2825" t="str">
            <v xml:space="preserve"> en stock </v>
          </cell>
          <cell r="AI2825" t="str">
            <v>blank</v>
          </cell>
          <cell r="AJ2825">
            <v>0</v>
          </cell>
          <cell r="AK2825">
            <v>0</v>
          </cell>
          <cell r="AL2825"/>
          <cell r="AM2825"/>
          <cell r="AN2825" t="str">
            <v/>
          </cell>
          <cell r="AO2825"/>
          <cell r="AP2825"/>
          <cell r="AQ2825"/>
          <cell r="AR2825"/>
          <cell r="AS2825">
            <v>59</v>
          </cell>
          <cell r="AT2825" t="str">
            <v>503-</v>
          </cell>
          <cell r="AU2825" t="str">
            <v/>
          </cell>
          <cell r="AV2825"/>
        </row>
        <row r="2826">
          <cell r="Z2826">
            <v>5032410</v>
          </cell>
          <cell r="AA2826" t="str">
            <v>Junk Mill 
blank</v>
          </cell>
          <cell r="AB2826">
            <v>0</v>
          </cell>
          <cell r="AC2826">
            <v>6.1875</v>
          </cell>
          <cell r="AD2826">
            <v>0</v>
          </cell>
          <cell r="AE2826" t="str">
            <v>blank</v>
          </cell>
          <cell r="AF2826"/>
          <cell r="AG2826">
            <v>0</v>
          </cell>
          <cell r="AH2826" t="str">
            <v xml:space="preserve"> en stock </v>
          </cell>
          <cell r="AI2826" t="str">
            <v>blank</v>
          </cell>
          <cell r="AJ2826">
            <v>0</v>
          </cell>
          <cell r="AK2826">
            <v>0</v>
          </cell>
          <cell r="AL2826"/>
          <cell r="AM2826"/>
          <cell r="AN2826" t="str">
            <v/>
          </cell>
          <cell r="AO2826"/>
          <cell r="AP2826"/>
          <cell r="AQ2826"/>
          <cell r="AR2826"/>
          <cell r="AS2826">
            <v>60</v>
          </cell>
          <cell r="AT2826" t="str">
            <v>503-</v>
          </cell>
          <cell r="AU2826" t="str">
            <v/>
          </cell>
          <cell r="AV2826"/>
        </row>
        <row r="2827">
          <cell r="Z2827">
            <v>5032411</v>
          </cell>
          <cell r="AA2827" t="str">
            <v>Junk Mill 
blank</v>
          </cell>
          <cell r="AB2827">
            <v>0</v>
          </cell>
          <cell r="AC2827">
            <v>6.1875</v>
          </cell>
          <cell r="AD2827">
            <v>0</v>
          </cell>
          <cell r="AE2827" t="str">
            <v>blank</v>
          </cell>
          <cell r="AF2827"/>
          <cell r="AG2827">
            <v>0</v>
          </cell>
          <cell r="AH2827" t="str">
            <v xml:space="preserve"> en stock </v>
          </cell>
          <cell r="AI2827" t="str">
            <v>blank</v>
          </cell>
          <cell r="AJ2827">
            <v>0</v>
          </cell>
          <cell r="AK2827">
            <v>0</v>
          </cell>
          <cell r="AL2827"/>
          <cell r="AM2827"/>
          <cell r="AN2827" t="str">
            <v/>
          </cell>
          <cell r="AO2827"/>
          <cell r="AP2827"/>
          <cell r="AQ2827"/>
          <cell r="AR2827"/>
          <cell r="AS2827">
            <v>61</v>
          </cell>
          <cell r="AT2827" t="str">
            <v>503-</v>
          </cell>
          <cell r="AU2827" t="str">
            <v/>
          </cell>
          <cell r="AV2827"/>
        </row>
        <row r="2828">
          <cell r="Z2828">
            <v>5032412</v>
          </cell>
          <cell r="AA2828" t="str">
            <v>Junk Mill 
blank</v>
          </cell>
          <cell r="AB2828">
            <v>0</v>
          </cell>
          <cell r="AC2828">
            <v>6.1875</v>
          </cell>
          <cell r="AD2828">
            <v>0</v>
          </cell>
          <cell r="AE2828" t="str">
            <v>blank</v>
          </cell>
          <cell r="AF2828"/>
          <cell r="AG2828">
            <v>0</v>
          </cell>
          <cell r="AH2828" t="str">
            <v xml:space="preserve"> en stock </v>
          </cell>
          <cell r="AI2828" t="str">
            <v>blank</v>
          </cell>
          <cell r="AJ2828">
            <v>0</v>
          </cell>
          <cell r="AK2828">
            <v>0</v>
          </cell>
          <cell r="AL2828"/>
          <cell r="AM2828"/>
          <cell r="AN2828" t="str">
            <v/>
          </cell>
          <cell r="AO2828"/>
          <cell r="AP2828"/>
          <cell r="AQ2828"/>
          <cell r="AR2828"/>
          <cell r="AS2828">
            <v>62</v>
          </cell>
          <cell r="AT2828" t="str">
            <v>503-</v>
          </cell>
          <cell r="AU2828" t="str">
            <v/>
          </cell>
          <cell r="AV2828"/>
        </row>
        <row r="2829">
          <cell r="Z2829">
            <v>5032413</v>
          </cell>
          <cell r="AA2829" t="str">
            <v>Junk Mill 
blank</v>
          </cell>
          <cell r="AB2829">
            <v>0</v>
          </cell>
          <cell r="AC2829">
            <v>6.1875</v>
          </cell>
          <cell r="AD2829">
            <v>0</v>
          </cell>
          <cell r="AE2829" t="str">
            <v>blank</v>
          </cell>
          <cell r="AF2829"/>
          <cell r="AG2829">
            <v>0</v>
          </cell>
          <cell r="AH2829" t="str">
            <v xml:space="preserve"> en stock </v>
          </cell>
          <cell r="AI2829" t="str">
            <v>blank</v>
          </cell>
          <cell r="AJ2829">
            <v>0</v>
          </cell>
          <cell r="AK2829">
            <v>0</v>
          </cell>
          <cell r="AL2829"/>
          <cell r="AM2829"/>
          <cell r="AN2829" t="str">
            <v/>
          </cell>
          <cell r="AO2829"/>
          <cell r="AP2829"/>
          <cell r="AQ2829"/>
          <cell r="AR2829"/>
          <cell r="AS2829">
            <v>63</v>
          </cell>
          <cell r="AT2829" t="str">
            <v>503-</v>
          </cell>
          <cell r="AU2829" t="str">
            <v/>
          </cell>
          <cell r="AV2829"/>
        </row>
        <row r="2830">
          <cell r="Z2830">
            <v>5032414</v>
          </cell>
          <cell r="AA2830" t="str">
            <v>Junk Mill 
blank</v>
          </cell>
          <cell r="AB2830">
            <v>0</v>
          </cell>
          <cell r="AC2830">
            <v>6.1875</v>
          </cell>
          <cell r="AD2830">
            <v>0</v>
          </cell>
          <cell r="AE2830" t="str">
            <v>blank</v>
          </cell>
          <cell r="AF2830"/>
          <cell r="AG2830">
            <v>0</v>
          </cell>
          <cell r="AH2830" t="str">
            <v xml:space="preserve"> en stock </v>
          </cell>
          <cell r="AI2830" t="str">
            <v>blank</v>
          </cell>
          <cell r="AJ2830">
            <v>0</v>
          </cell>
          <cell r="AK2830">
            <v>0</v>
          </cell>
          <cell r="AL2830"/>
          <cell r="AM2830"/>
          <cell r="AN2830" t="str">
            <v/>
          </cell>
          <cell r="AO2830"/>
          <cell r="AP2830"/>
          <cell r="AQ2830"/>
          <cell r="AR2830"/>
          <cell r="AS2830">
            <v>64</v>
          </cell>
          <cell r="AT2830" t="str">
            <v>503-</v>
          </cell>
          <cell r="AU2830" t="str">
            <v/>
          </cell>
          <cell r="AV2830"/>
        </row>
        <row r="2831">
          <cell r="Z2831">
            <v>5032415</v>
          </cell>
          <cell r="AA2831" t="str">
            <v>Junk Mill 
blank</v>
          </cell>
          <cell r="AB2831">
            <v>0</v>
          </cell>
          <cell r="AC2831">
            <v>6.1875</v>
          </cell>
          <cell r="AD2831">
            <v>0</v>
          </cell>
          <cell r="AE2831" t="str">
            <v>blank</v>
          </cell>
          <cell r="AF2831"/>
          <cell r="AG2831">
            <v>0</v>
          </cell>
          <cell r="AH2831" t="str">
            <v xml:space="preserve"> en stock </v>
          </cell>
          <cell r="AI2831" t="str">
            <v>blank</v>
          </cell>
          <cell r="AJ2831">
            <v>0</v>
          </cell>
          <cell r="AK2831">
            <v>0</v>
          </cell>
          <cell r="AL2831"/>
          <cell r="AM2831"/>
          <cell r="AN2831" t="str">
            <v/>
          </cell>
          <cell r="AO2831"/>
          <cell r="AP2831"/>
          <cell r="AQ2831"/>
          <cell r="AR2831"/>
          <cell r="AS2831">
            <v>65</v>
          </cell>
          <cell r="AT2831" t="str">
            <v>503-</v>
          </cell>
          <cell r="AU2831" t="str">
            <v/>
          </cell>
          <cell r="AV2831"/>
        </row>
        <row r="2832">
          <cell r="Z2832">
            <v>5032416</v>
          </cell>
          <cell r="AA2832" t="str">
            <v>Junk Mill 
blank</v>
          </cell>
          <cell r="AB2832">
            <v>0</v>
          </cell>
          <cell r="AC2832">
            <v>8.5</v>
          </cell>
          <cell r="AD2832">
            <v>0</v>
          </cell>
          <cell r="AE2832" t="str">
            <v>blank</v>
          </cell>
          <cell r="AF2832"/>
          <cell r="AG2832">
            <v>0</v>
          </cell>
          <cell r="AH2832" t="str">
            <v xml:space="preserve"> en stock </v>
          </cell>
          <cell r="AI2832" t="str">
            <v>blank</v>
          </cell>
          <cell r="AJ2832">
            <v>0</v>
          </cell>
          <cell r="AK2832">
            <v>0</v>
          </cell>
          <cell r="AL2832"/>
          <cell r="AM2832"/>
          <cell r="AN2832" t="str">
            <v/>
          </cell>
          <cell r="AO2832"/>
          <cell r="AP2832"/>
          <cell r="AQ2832"/>
          <cell r="AR2832"/>
          <cell r="AS2832">
            <v>79</v>
          </cell>
          <cell r="AT2832" t="str">
            <v>503-</v>
          </cell>
          <cell r="AU2832" t="str">
            <v/>
          </cell>
          <cell r="AV2832"/>
        </row>
        <row r="2833">
          <cell r="Z2833">
            <v>5032417</v>
          </cell>
          <cell r="AA2833" t="str">
            <v>Junk Mill 
blank</v>
          </cell>
          <cell r="AB2833">
            <v>0</v>
          </cell>
          <cell r="AC2833">
            <v>8.5</v>
          </cell>
          <cell r="AD2833">
            <v>0</v>
          </cell>
          <cell r="AE2833" t="str">
            <v>blank</v>
          </cell>
          <cell r="AF2833"/>
          <cell r="AG2833">
            <v>0</v>
          </cell>
          <cell r="AH2833" t="str">
            <v xml:space="preserve"> en stock </v>
          </cell>
          <cell r="AI2833" t="str">
            <v>blank</v>
          </cell>
          <cell r="AJ2833">
            <v>0</v>
          </cell>
          <cell r="AK2833">
            <v>0</v>
          </cell>
          <cell r="AL2833"/>
          <cell r="AM2833"/>
          <cell r="AN2833" t="str">
            <v/>
          </cell>
          <cell r="AO2833"/>
          <cell r="AP2833"/>
          <cell r="AQ2833"/>
          <cell r="AR2833"/>
          <cell r="AS2833">
            <v>80</v>
          </cell>
          <cell r="AT2833" t="str">
            <v>503-</v>
          </cell>
          <cell r="AU2833" t="str">
            <v/>
          </cell>
          <cell r="AV2833"/>
        </row>
        <row r="2834">
          <cell r="Z2834">
            <v>5032418</v>
          </cell>
          <cell r="AA2834" t="str">
            <v>Junk Mill 
blank</v>
          </cell>
          <cell r="AB2834">
            <v>0</v>
          </cell>
          <cell r="AC2834">
            <v>8.5</v>
          </cell>
          <cell r="AD2834">
            <v>0</v>
          </cell>
          <cell r="AE2834" t="str">
            <v>blank</v>
          </cell>
          <cell r="AF2834"/>
          <cell r="AG2834">
            <v>0</v>
          </cell>
          <cell r="AH2834" t="str">
            <v xml:space="preserve"> en stock </v>
          </cell>
          <cell r="AI2834" t="str">
            <v>blank</v>
          </cell>
          <cell r="AJ2834">
            <v>0</v>
          </cell>
          <cell r="AK2834">
            <v>0</v>
          </cell>
          <cell r="AL2834"/>
          <cell r="AM2834"/>
          <cell r="AN2834" t="str">
            <v/>
          </cell>
          <cell r="AO2834"/>
          <cell r="AP2834"/>
          <cell r="AQ2834"/>
          <cell r="AR2834"/>
          <cell r="AS2834">
            <v>81</v>
          </cell>
          <cell r="AT2834" t="str">
            <v>503-</v>
          </cell>
          <cell r="AU2834" t="str">
            <v/>
          </cell>
          <cell r="AV2834"/>
        </row>
        <row r="2835">
          <cell r="Z2835">
            <v>5032419</v>
          </cell>
          <cell r="AA2835" t="str">
            <v>Junk Mill 
blank</v>
          </cell>
          <cell r="AB2835">
            <v>0</v>
          </cell>
          <cell r="AC2835">
            <v>8.5</v>
          </cell>
          <cell r="AD2835">
            <v>0</v>
          </cell>
          <cell r="AE2835" t="str">
            <v>blank</v>
          </cell>
          <cell r="AF2835"/>
          <cell r="AG2835">
            <v>0</v>
          </cell>
          <cell r="AH2835" t="str">
            <v xml:space="preserve"> en stock </v>
          </cell>
          <cell r="AI2835" t="str">
            <v>blank</v>
          </cell>
          <cell r="AJ2835">
            <v>0</v>
          </cell>
          <cell r="AK2835">
            <v>0</v>
          </cell>
          <cell r="AL2835"/>
          <cell r="AM2835"/>
          <cell r="AN2835" t="str">
            <v/>
          </cell>
          <cell r="AO2835"/>
          <cell r="AP2835"/>
          <cell r="AQ2835"/>
          <cell r="AR2835"/>
          <cell r="AS2835">
            <v>82</v>
          </cell>
          <cell r="AT2835" t="str">
            <v>503-</v>
          </cell>
          <cell r="AU2835" t="str">
            <v/>
          </cell>
          <cell r="AV2835"/>
        </row>
        <row r="2836">
          <cell r="Z2836">
            <v>5032420</v>
          </cell>
          <cell r="AA2836" t="str">
            <v>Junk Mill 
blank</v>
          </cell>
          <cell r="AB2836">
            <v>0</v>
          </cell>
          <cell r="AC2836">
            <v>8.5</v>
          </cell>
          <cell r="AD2836">
            <v>0</v>
          </cell>
          <cell r="AE2836" t="str">
            <v>blank</v>
          </cell>
          <cell r="AF2836"/>
          <cell r="AG2836">
            <v>0</v>
          </cell>
          <cell r="AH2836" t="str">
            <v xml:space="preserve"> en stock </v>
          </cell>
          <cell r="AI2836" t="str">
            <v>blank</v>
          </cell>
          <cell r="AJ2836">
            <v>0</v>
          </cell>
          <cell r="AK2836">
            <v>0</v>
          </cell>
          <cell r="AL2836"/>
          <cell r="AM2836"/>
          <cell r="AN2836" t="str">
            <v/>
          </cell>
          <cell r="AO2836"/>
          <cell r="AP2836"/>
          <cell r="AQ2836"/>
          <cell r="AR2836"/>
          <cell r="AS2836">
            <v>83</v>
          </cell>
          <cell r="AT2836" t="str">
            <v>503-</v>
          </cell>
          <cell r="AU2836" t="str">
            <v/>
          </cell>
          <cell r="AV2836"/>
        </row>
        <row r="2837">
          <cell r="Z2837">
            <v>5032421</v>
          </cell>
          <cell r="AA2837" t="str">
            <v>Junk Mill 
blank</v>
          </cell>
          <cell r="AB2837">
            <v>0</v>
          </cell>
          <cell r="AC2837">
            <v>8.5</v>
          </cell>
          <cell r="AD2837">
            <v>0</v>
          </cell>
          <cell r="AE2837" t="str">
            <v>blank</v>
          </cell>
          <cell r="AF2837"/>
          <cell r="AG2837">
            <v>0</v>
          </cell>
          <cell r="AH2837" t="str">
            <v xml:space="preserve"> en stock </v>
          </cell>
          <cell r="AI2837" t="str">
            <v>blank</v>
          </cell>
          <cell r="AJ2837">
            <v>0</v>
          </cell>
          <cell r="AK2837">
            <v>0</v>
          </cell>
          <cell r="AL2837"/>
          <cell r="AM2837"/>
          <cell r="AN2837" t="str">
            <v/>
          </cell>
          <cell r="AO2837"/>
          <cell r="AP2837"/>
          <cell r="AQ2837"/>
          <cell r="AR2837"/>
          <cell r="AS2837">
            <v>84</v>
          </cell>
          <cell r="AT2837" t="str">
            <v>503-</v>
          </cell>
          <cell r="AU2837" t="str">
            <v/>
          </cell>
          <cell r="AV2837"/>
        </row>
        <row r="2838">
          <cell r="Z2838">
            <v>5032422</v>
          </cell>
          <cell r="AA2838" t="str">
            <v>Junk Mill 
blank</v>
          </cell>
          <cell r="AB2838">
            <v>0</v>
          </cell>
          <cell r="AC2838">
            <v>8.5</v>
          </cell>
          <cell r="AD2838">
            <v>0</v>
          </cell>
          <cell r="AE2838" t="str">
            <v>blank</v>
          </cell>
          <cell r="AF2838"/>
          <cell r="AG2838">
            <v>0</v>
          </cell>
          <cell r="AH2838" t="str">
            <v xml:space="preserve"> en stock </v>
          </cell>
          <cell r="AI2838" t="str">
            <v>blank</v>
          </cell>
          <cell r="AJ2838">
            <v>0</v>
          </cell>
          <cell r="AK2838">
            <v>0</v>
          </cell>
          <cell r="AL2838"/>
          <cell r="AM2838"/>
          <cell r="AN2838" t="str">
            <v/>
          </cell>
          <cell r="AO2838"/>
          <cell r="AP2838"/>
          <cell r="AQ2838"/>
          <cell r="AR2838"/>
          <cell r="AS2838">
            <v>85</v>
          </cell>
          <cell r="AT2838" t="str">
            <v>503-</v>
          </cell>
          <cell r="AU2838" t="str">
            <v/>
          </cell>
          <cell r="AV2838"/>
        </row>
        <row r="2839">
          <cell r="Z2839">
            <v>5032423</v>
          </cell>
          <cell r="AA2839" t="str">
            <v>Junk Mill 
blank</v>
          </cell>
          <cell r="AB2839">
            <v>0</v>
          </cell>
          <cell r="AC2839">
            <v>8.5</v>
          </cell>
          <cell r="AD2839">
            <v>0</v>
          </cell>
          <cell r="AE2839" t="str">
            <v>blank</v>
          </cell>
          <cell r="AF2839"/>
          <cell r="AG2839">
            <v>0</v>
          </cell>
          <cell r="AH2839" t="str">
            <v xml:space="preserve"> en stock </v>
          </cell>
          <cell r="AI2839" t="str">
            <v>blank</v>
          </cell>
          <cell r="AJ2839">
            <v>0</v>
          </cell>
          <cell r="AK2839">
            <v>0</v>
          </cell>
          <cell r="AL2839"/>
          <cell r="AM2839"/>
          <cell r="AN2839" t="str">
            <v/>
          </cell>
          <cell r="AO2839"/>
          <cell r="AP2839"/>
          <cell r="AQ2839"/>
          <cell r="AR2839"/>
          <cell r="AS2839">
            <v>86</v>
          </cell>
          <cell r="AT2839" t="str">
            <v>503-</v>
          </cell>
          <cell r="AU2839" t="str">
            <v/>
          </cell>
          <cell r="AV2839"/>
        </row>
        <row r="2840">
          <cell r="Z2840">
            <v>5032424</v>
          </cell>
          <cell r="AA2840" t="str">
            <v>Junk Mill 
blank</v>
          </cell>
          <cell r="AB2840">
            <v>0</v>
          </cell>
          <cell r="AC2840">
            <v>8.5</v>
          </cell>
          <cell r="AD2840">
            <v>0</v>
          </cell>
          <cell r="AE2840" t="str">
            <v>blank</v>
          </cell>
          <cell r="AF2840"/>
          <cell r="AG2840">
            <v>0</v>
          </cell>
          <cell r="AH2840" t="str">
            <v xml:space="preserve"> en stock </v>
          </cell>
          <cell r="AI2840" t="str">
            <v>blank</v>
          </cell>
          <cell r="AJ2840">
            <v>0</v>
          </cell>
          <cell r="AK2840">
            <v>0</v>
          </cell>
          <cell r="AL2840"/>
          <cell r="AM2840"/>
          <cell r="AN2840" t="str">
            <v/>
          </cell>
          <cell r="AO2840"/>
          <cell r="AP2840"/>
          <cell r="AQ2840"/>
          <cell r="AR2840"/>
          <cell r="AS2840">
            <v>87</v>
          </cell>
          <cell r="AT2840" t="str">
            <v>503-</v>
          </cell>
          <cell r="AU2840" t="str">
            <v/>
          </cell>
          <cell r="AV2840"/>
        </row>
        <row r="2841">
          <cell r="Z2841">
            <v>5032425</v>
          </cell>
          <cell r="AA2841" t="str">
            <v>Junk Mill 
blank</v>
          </cell>
          <cell r="AB2841">
            <v>0</v>
          </cell>
          <cell r="AC2841">
            <v>8.5</v>
          </cell>
          <cell r="AD2841">
            <v>0</v>
          </cell>
          <cell r="AE2841" t="str">
            <v>blank</v>
          </cell>
          <cell r="AF2841"/>
          <cell r="AG2841">
            <v>0</v>
          </cell>
          <cell r="AH2841" t="str">
            <v xml:space="preserve"> en stock </v>
          </cell>
          <cell r="AI2841" t="str">
            <v>blank</v>
          </cell>
          <cell r="AJ2841">
            <v>0</v>
          </cell>
          <cell r="AK2841">
            <v>0</v>
          </cell>
          <cell r="AL2841"/>
          <cell r="AM2841"/>
          <cell r="AN2841" t="str">
            <v/>
          </cell>
          <cell r="AO2841"/>
          <cell r="AP2841"/>
          <cell r="AQ2841"/>
          <cell r="AR2841"/>
          <cell r="AS2841">
            <v>88</v>
          </cell>
          <cell r="AT2841" t="str">
            <v>503-</v>
          </cell>
          <cell r="AU2841" t="str">
            <v/>
          </cell>
          <cell r="AV2841"/>
        </row>
        <row r="2842">
          <cell r="Z2842">
            <v>5072426</v>
          </cell>
          <cell r="AA2842" t="str">
            <v>Super Junk Mill 
blank</v>
          </cell>
          <cell r="AB2842">
            <v>0</v>
          </cell>
          <cell r="AC2842">
            <v>5.3125</v>
          </cell>
          <cell r="AD2842">
            <v>0</v>
          </cell>
          <cell r="AE2842" t="str">
            <v>blank</v>
          </cell>
          <cell r="AF2842"/>
          <cell r="AG2842">
            <v>0</v>
          </cell>
          <cell r="AH2842" t="str">
            <v xml:space="preserve"> en stock </v>
          </cell>
          <cell r="AI2842" t="str">
            <v>blank</v>
          </cell>
          <cell r="AJ2842">
            <v>0</v>
          </cell>
          <cell r="AK2842">
            <v>0</v>
          </cell>
          <cell r="AL2842"/>
          <cell r="AM2842"/>
          <cell r="AN2842" t="str">
            <v/>
          </cell>
          <cell r="AO2842"/>
          <cell r="AP2842"/>
          <cell r="AQ2842"/>
          <cell r="AR2842"/>
          <cell r="AS2842">
            <v>33</v>
          </cell>
          <cell r="AT2842"/>
          <cell r="AU2842" t="str">
            <v/>
          </cell>
          <cell r="AV2842"/>
        </row>
        <row r="2843">
          <cell r="Z2843">
            <v>5072427</v>
          </cell>
          <cell r="AA2843" t="str">
            <v>Super Junk Mill 
blank</v>
          </cell>
          <cell r="AB2843">
            <v>0</v>
          </cell>
          <cell r="AC2843">
            <v>5.3125</v>
          </cell>
          <cell r="AD2843">
            <v>0</v>
          </cell>
          <cell r="AE2843" t="str">
            <v>blank</v>
          </cell>
          <cell r="AF2843"/>
          <cell r="AG2843">
            <v>0</v>
          </cell>
          <cell r="AH2843" t="str">
            <v xml:space="preserve"> en stock </v>
          </cell>
          <cell r="AI2843" t="str">
            <v>blank</v>
          </cell>
          <cell r="AJ2843">
            <v>0</v>
          </cell>
          <cell r="AK2843">
            <v>0</v>
          </cell>
          <cell r="AL2843"/>
          <cell r="AM2843"/>
          <cell r="AN2843" t="str">
            <v/>
          </cell>
          <cell r="AO2843"/>
          <cell r="AP2843"/>
          <cell r="AQ2843"/>
          <cell r="AR2843"/>
          <cell r="AS2843">
            <v>34</v>
          </cell>
          <cell r="AT2843"/>
          <cell r="AU2843" t="str">
            <v/>
          </cell>
          <cell r="AV2843"/>
        </row>
        <row r="2844">
          <cell r="Z2844">
            <v>5072428</v>
          </cell>
          <cell r="AA2844" t="str">
            <v>Super Junk Mill 
blank</v>
          </cell>
          <cell r="AB2844">
            <v>0</v>
          </cell>
          <cell r="AC2844">
            <v>5.3125</v>
          </cell>
          <cell r="AD2844">
            <v>0</v>
          </cell>
          <cell r="AE2844" t="str">
            <v>blank</v>
          </cell>
          <cell r="AF2844"/>
          <cell r="AG2844">
            <v>0</v>
          </cell>
          <cell r="AH2844" t="str">
            <v xml:space="preserve"> en stock </v>
          </cell>
          <cell r="AI2844" t="str">
            <v>blank</v>
          </cell>
          <cell r="AJ2844">
            <v>0</v>
          </cell>
          <cell r="AK2844">
            <v>0</v>
          </cell>
          <cell r="AL2844"/>
          <cell r="AM2844"/>
          <cell r="AN2844" t="str">
            <v/>
          </cell>
          <cell r="AO2844"/>
          <cell r="AP2844"/>
          <cell r="AQ2844"/>
          <cell r="AR2844"/>
          <cell r="AS2844">
            <v>35</v>
          </cell>
          <cell r="AT2844"/>
          <cell r="AU2844" t="str">
            <v/>
          </cell>
          <cell r="AV2844"/>
        </row>
        <row r="2845">
          <cell r="Z2845">
            <v>5072429</v>
          </cell>
          <cell r="AA2845" t="str">
            <v>Super Junk Mill 
blank</v>
          </cell>
          <cell r="AB2845">
            <v>0</v>
          </cell>
          <cell r="AC2845">
            <v>5.3125</v>
          </cell>
          <cell r="AD2845">
            <v>0</v>
          </cell>
          <cell r="AE2845" t="str">
            <v>blank</v>
          </cell>
          <cell r="AF2845"/>
          <cell r="AG2845">
            <v>0</v>
          </cell>
          <cell r="AH2845" t="str">
            <v xml:space="preserve"> en stock </v>
          </cell>
          <cell r="AI2845" t="str">
            <v>blank</v>
          </cell>
          <cell r="AJ2845">
            <v>0</v>
          </cell>
          <cell r="AK2845">
            <v>0</v>
          </cell>
          <cell r="AL2845"/>
          <cell r="AM2845"/>
          <cell r="AN2845" t="str">
            <v/>
          </cell>
          <cell r="AO2845"/>
          <cell r="AP2845"/>
          <cell r="AQ2845"/>
          <cell r="AR2845"/>
          <cell r="AS2845">
            <v>36</v>
          </cell>
          <cell r="AT2845"/>
          <cell r="AU2845" t="str">
            <v/>
          </cell>
          <cell r="AV2845"/>
        </row>
        <row r="2846">
          <cell r="Z2846">
            <v>5072430</v>
          </cell>
          <cell r="AA2846" t="str">
            <v>Super Junk Mill 
blank</v>
          </cell>
          <cell r="AB2846">
            <v>0</v>
          </cell>
          <cell r="AC2846">
            <v>5.3125</v>
          </cell>
          <cell r="AD2846">
            <v>0</v>
          </cell>
          <cell r="AE2846" t="str">
            <v>blank</v>
          </cell>
          <cell r="AF2846"/>
          <cell r="AG2846">
            <v>0</v>
          </cell>
          <cell r="AH2846" t="str">
            <v xml:space="preserve"> en stock </v>
          </cell>
          <cell r="AI2846" t="str">
            <v>blank</v>
          </cell>
          <cell r="AJ2846">
            <v>0</v>
          </cell>
          <cell r="AK2846">
            <v>0</v>
          </cell>
          <cell r="AL2846"/>
          <cell r="AM2846"/>
          <cell r="AN2846" t="str">
            <v/>
          </cell>
          <cell r="AO2846"/>
          <cell r="AP2846"/>
          <cell r="AQ2846"/>
          <cell r="AR2846"/>
          <cell r="AS2846">
            <v>37</v>
          </cell>
          <cell r="AT2846"/>
          <cell r="AU2846" t="str">
            <v/>
          </cell>
          <cell r="AV2846"/>
        </row>
        <row r="2847">
          <cell r="Z2847">
            <v>5072431</v>
          </cell>
          <cell r="AA2847" t="str">
            <v>Super Junk Mill 
blank</v>
          </cell>
          <cell r="AB2847">
            <v>0</v>
          </cell>
          <cell r="AC2847">
            <v>5.3125</v>
          </cell>
          <cell r="AD2847">
            <v>0</v>
          </cell>
          <cell r="AE2847" t="str">
            <v>blank</v>
          </cell>
          <cell r="AF2847"/>
          <cell r="AG2847">
            <v>0</v>
          </cell>
          <cell r="AH2847" t="str">
            <v xml:space="preserve"> en stock </v>
          </cell>
          <cell r="AI2847" t="str">
            <v>blank</v>
          </cell>
          <cell r="AJ2847">
            <v>0</v>
          </cell>
          <cell r="AK2847">
            <v>0</v>
          </cell>
          <cell r="AL2847"/>
          <cell r="AM2847"/>
          <cell r="AN2847" t="str">
            <v/>
          </cell>
          <cell r="AO2847"/>
          <cell r="AP2847"/>
          <cell r="AQ2847"/>
          <cell r="AR2847"/>
          <cell r="AS2847">
            <v>38</v>
          </cell>
          <cell r="AT2847"/>
          <cell r="AU2847" t="str">
            <v/>
          </cell>
          <cell r="AV2847"/>
        </row>
        <row r="2848">
          <cell r="Z2848">
            <v>5072432</v>
          </cell>
          <cell r="AA2848" t="str">
            <v>Super Junk Mill 
blank</v>
          </cell>
          <cell r="AB2848">
            <v>0</v>
          </cell>
          <cell r="AC2848">
            <v>5.3125</v>
          </cell>
          <cell r="AD2848">
            <v>0</v>
          </cell>
          <cell r="AE2848" t="str">
            <v>blank</v>
          </cell>
          <cell r="AF2848"/>
          <cell r="AG2848">
            <v>0</v>
          </cell>
          <cell r="AH2848" t="str">
            <v xml:space="preserve"> en stock </v>
          </cell>
          <cell r="AI2848" t="str">
            <v>blank</v>
          </cell>
          <cell r="AJ2848">
            <v>0</v>
          </cell>
          <cell r="AK2848">
            <v>0</v>
          </cell>
          <cell r="AL2848"/>
          <cell r="AM2848"/>
          <cell r="AN2848" t="str">
            <v/>
          </cell>
          <cell r="AO2848"/>
          <cell r="AP2848"/>
          <cell r="AQ2848"/>
          <cell r="AR2848"/>
          <cell r="AS2848">
            <v>39</v>
          </cell>
          <cell r="AT2848"/>
          <cell r="AU2848" t="str">
            <v/>
          </cell>
          <cell r="AV2848"/>
        </row>
        <row r="2849">
          <cell r="Z2849">
            <v>5072433</v>
          </cell>
          <cell r="AA2849" t="str">
            <v>Super Junk Mill 
blank</v>
          </cell>
          <cell r="AB2849">
            <v>0</v>
          </cell>
          <cell r="AC2849">
            <v>5.3125</v>
          </cell>
          <cell r="AD2849">
            <v>0</v>
          </cell>
          <cell r="AE2849" t="str">
            <v>blank</v>
          </cell>
          <cell r="AF2849"/>
          <cell r="AG2849">
            <v>0</v>
          </cell>
          <cell r="AH2849" t="str">
            <v xml:space="preserve"> en stock </v>
          </cell>
          <cell r="AI2849" t="str">
            <v>blank</v>
          </cell>
          <cell r="AJ2849">
            <v>0</v>
          </cell>
          <cell r="AK2849">
            <v>0</v>
          </cell>
          <cell r="AL2849"/>
          <cell r="AM2849"/>
          <cell r="AN2849" t="str">
            <v/>
          </cell>
          <cell r="AO2849"/>
          <cell r="AP2849"/>
          <cell r="AQ2849"/>
          <cell r="AR2849"/>
          <cell r="AS2849">
            <v>40</v>
          </cell>
          <cell r="AT2849"/>
          <cell r="AU2849" t="str">
            <v/>
          </cell>
          <cell r="AV2849"/>
        </row>
        <row r="2850">
          <cell r="Z2850">
            <v>5072434</v>
          </cell>
          <cell r="AA2850" t="str">
            <v>Super Junk Mill 
blank</v>
          </cell>
          <cell r="AB2850">
            <v>0</v>
          </cell>
          <cell r="AC2850">
            <v>5.3125</v>
          </cell>
          <cell r="AD2850">
            <v>0</v>
          </cell>
          <cell r="AE2850" t="str">
            <v>blank</v>
          </cell>
          <cell r="AF2850"/>
          <cell r="AG2850">
            <v>0</v>
          </cell>
          <cell r="AH2850" t="str">
            <v xml:space="preserve"> en stock </v>
          </cell>
          <cell r="AI2850" t="str">
            <v>blank</v>
          </cell>
          <cell r="AJ2850">
            <v>0</v>
          </cell>
          <cell r="AK2850">
            <v>0</v>
          </cell>
          <cell r="AL2850"/>
          <cell r="AM2850"/>
          <cell r="AN2850" t="str">
            <v/>
          </cell>
          <cell r="AO2850"/>
          <cell r="AP2850"/>
          <cell r="AQ2850"/>
          <cell r="AR2850"/>
          <cell r="AS2850">
            <v>41</v>
          </cell>
          <cell r="AT2850"/>
          <cell r="AU2850" t="str">
            <v/>
          </cell>
          <cell r="AV2850"/>
        </row>
        <row r="2851">
          <cell r="Z2851">
            <v>5072435</v>
          </cell>
          <cell r="AA2851" t="str">
            <v>Super Junk Mill 
blank</v>
          </cell>
          <cell r="AB2851">
            <v>0</v>
          </cell>
          <cell r="AC2851">
            <v>5.3125</v>
          </cell>
          <cell r="AD2851">
            <v>0</v>
          </cell>
          <cell r="AE2851" t="str">
            <v>blank</v>
          </cell>
          <cell r="AF2851"/>
          <cell r="AG2851">
            <v>0</v>
          </cell>
          <cell r="AH2851" t="str">
            <v xml:space="preserve"> en stock </v>
          </cell>
          <cell r="AI2851" t="str">
            <v>blank</v>
          </cell>
          <cell r="AJ2851">
            <v>0</v>
          </cell>
          <cell r="AK2851">
            <v>0</v>
          </cell>
          <cell r="AL2851"/>
          <cell r="AM2851"/>
          <cell r="AN2851" t="str">
            <v/>
          </cell>
          <cell r="AO2851"/>
          <cell r="AP2851"/>
          <cell r="AQ2851"/>
          <cell r="AR2851"/>
          <cell r="AS2851">
            <v>42</v>
          </cell>
          <cell r="AT2851"/>
          <cell r="AU2851" t="str">
            <v/>
          </cell>
          <cell r="AV2851"/>
        </row>
        <row r="2852">
          <cell r="Z2852">
            <v>5072436</v>
          </cell>
          <cell r="AA2852" t="str">
            <v>Super Junk Mill 
blank</v>
          </cell>
          <cell r="AB2852">
            <v>0</v>
          </cell>
          <cell r="AC2852">
            <v>6.171875</v>
          </cell>
          <cell r="AD2852">
            <v>0</v>
          </cell>
          <cell r="AE2852" t="str">
            <v>blank</v>
          </cell>
          <cell r="AF2852"/>
          <cell r="AG2852">
            <v>0</v>
          </cell>
          <cell r="AH2852" t="str">
            <v xml:space="preserve"> en stock </v>
          </cell>
          <cell r="AI2852" t="str">
            <v>blank</v>
          </cell>
          <cell r="AJ2852">
            <v>0</v>
          </cell>
          <cell r="AK2852">
            <v>0</v>
          </cell>
          <cell r="AL2852"/>
          <cell r="AM2852"/>
          <cell r="AN2852" t="str">
            <v/>
          </cell>
          <cell r="AO2852"/>
          <cell r="AP2852"/>
          <cell r="AQ2852"/>
          <cell r="AR2852"/>
          <cell r="AS2852">
            <v>43</v>
          </cell>
          <cell r="AT2852"/>
          <cell r="AU2852" t="str">
            <v/>
          </cell>
          <cell r="AV2852"/>
        </row>
        <row r="2853">
          <cell r="Z2853">
            <v>5072437</v>
          </cell>
          <cell r="AA2853" t="str">
            <v>Super Junk Mill 
blank</v>
          </cell>
          <cell r="AB2853">
            <v>0</v>
          </cell>
          <cell r="AC2853">
            <v>6.171875</v>
          </cell>
          <cell r="AD2853">
            <v>0</v>
          </cell>
          <cell r="AE2853" t="str">
            <v>blank</v>
          </cell>
          <cell r="AF2853"/>
          <cell r="AG2853">
            <v>0</v>
          </cell>
          <cell r="AH2853" t="str">
            <v xml:space="preserve"> en stock </v>
          </cell>
          <cell r="AI2853" t="str">
            <v>blank</v>
          </cell>
          <cell r="AJ2853">
            <v>0</v>
          </cell>
          <cell r="AK2853">
            <v>0</v>
          </cell>
          <cell r="AL2853"/>
          <cell r="AM2853"/>
          <cell r="AN2853" t="str">
            <v/>
          </cell>
          <cell r="AO2853"/>
          <cell r="AP2853"/>
          <cell r="AQ2853"/>
          <cell r="AR2853"/>
          <cell r="AS2853">
            <v>44</v>
          </cell>
          <cell r="AT2853"/>
          <cell r="AU2853" t="str">
            <v/>
          </cell>
          <cell r="AV2853"/>
        </row>
        <row r="2854">
          <cell r="Z2854">
            <v>5072438</v>
          </cell>
          <cell r="AA2854" t="str">
            <v>Super Junk Mill 
blank</v>
          </cell>
          <cell r="AB2854">
            <v>0</v>
          </cell>
          <cell r="AC2854">
            <v>6.171875</v>
          </cell>
          <cell r="AD2854">
            <v>0</v>
          </cell>
          <cell r="AE2854" t="str">
            <v>blank</v>
          </cell>
          <cell r="AF2854"/>
          <cell r="AG2854">
            <v>0</v>
          </cell>
          <cell r="AH2854" t="str">
            <v xml:space="preserve"> en stock </v>
          </cell>
          <cell r="AI2854" t="str">
            <v>blank</v>
          </cell>
          <cell r="AJ2854">
            <v>0</v>
          </cell>
          <cell r="AK2854">
            <v>0</v>
          </cell>
          <cell r="AL2854"/>
          <cell r="AM2854"/>
          <cell r="AN2854" t="str">
            <v/>
          </cell>
          <cell r="AO2854"/>
          <cell r="AP2854"/>
          <cell r="AQ2854"/>
          <cell r="AR2854"/>
          <cell r="AS2854">
            <v>45</v>
          </cell>
          <cell r="AT2854"/>
          <cell r="AU2854" t="str">
            <v/>
          </cell>
          <cell r="AV2854"/>
        </row>
        <row r="2855">
          <cell r="Z2855">
            <v>5072439</v>
          </cell>
          <cell r="AA2855" t="str">
            <v>Super Junk Mill 
blank</v>
          </cell>
          <cell r="AB2855">
            <v>0</v>
          </cell>
          <cell r="AC2855">
            <v>6.171875</v>
          </cell>
          <cell r="AD2855">
            <v>0</v>
          </cell>
          <cell r="AE2855" t="str">
            <v>blank</v>
          </cell>
          <cell r="AF2855"/>
          <cell r="AG2855">
            <v>0</v>
          </cell>
          <cell r="AH2855" t="str">
            <v xml:space="preserve"> en stock </v>
          </cell>
          <cell r="AI2855" t="str">
            <v>blank</v>
          </cell>
          <cell r="AJ2855">
            <v>0</v>
          </cell>
          <cell r="AK2855">
            <v>0</v>
          </cell>
          <cell r="AL2855"/>
          <cell r="AM2855"/>
          <cell r="AN2855" t="str">
            <v/>
          </cell>
          <cell r="AO2855"/>
          <cell r="AP2855"/>
          <cell r="AQ2855"/>
          <cell r="AR2855"/>
          <cell r="AS2855">
            <v>46</v>
          </cell>
          <cell r="AT2855"/>
          <cell r="AU2855" t="str">
            <v/>
          </cell>
          <cell r="AV2855"/>
        </row>
        <row r="2856">
          <cell r="Z2856">
            <v>5072440</v>
          </cell>
          <cell r="AA2856" t="str">
            <v>Super Junk Mill 
blank</v>
          </cell>
          <cell r="AB2856">
            <v>0</v>
          </cell>
          <cell r="AC2856">
            <v>6.171875</v>
          </cell>
          <cell r="AD2856">
            <v>0</v>
          </cell>
          <cell r="AE2856" t="str">
            <v>blank</v>
          </cell>
          <cell r="AF2856"/>
          <cell r="AG2856">
            <v>0</v>
          </cell>
          <cell r="AH2856" t="str">
            <v xml:space="preserve"> en stock </v>
          </cell>
          <cell r="AI2856" t="str">
            <v>blank</v>
          </cell>
          <cell r="AJ2856">
            <v>0</v>
          </cell>
          <cell r="AK2856">
            <v>0</v>
          </cell>
          <cell r="AL2856"/>
          <cell r="AM2856"/>
          <cell r="AN2856" t="str">
            <v/>
          </cell>
          <cell r="AO2856"/>
          <cell r="AP2856"/>
          <cell r="AQ2856"/>
          <cell r="AR2856"/>
          <cell r="AS2856">
            <v>47</v>
          </cell>
          <cell r="AT2856"/>
          <cell r="AU2856" t="str">
            <v/>
          </cell>
          <cell r="AV2856"/>
        </row>
        <row r="2857">
          <cell r="Z2857">
            <v>5082441</v>
          </cell>
          <cell r="AA2857" t="str">
            <v>Taper Mill 
3-1/2" REG Pin</v>
          </cell>
          <cell r="AB2857">
            <v>0</v>
          </cell>
          <cell r="AC2857">
            <v>6.125</v>
          </cell>
          <cell r="AD2857">
            <v>0</v>
          </cell>
          <cell r="AE2857" t="str">
            <v>3-1/2" REG Pin</v>
          </cell>
          <cell r="AF2857"/>
          <cell r="AG2857"/>
          <cell r="AH2857" t="str">
            <v xml:space="preserve"> en stock </v>
          </cell>
          <cell r="AI2857" t="str">
            <v>blank</v>
          </cell>
          <cell r="AJ2857">
            <v>0</v>
          </cell>
          <cell r="AK2857">
            <v>0</v>
          </cell>
          <cell r="AL2857"/>
          <cell r="AM2857"/>
          <cell r="AN2857" t="str">
            <v/>
          </cell>
          <cell r="AO2857"/>
          <cell r="AP2857"/>
          <cell r="AQ2857"/>
          <cell r="AR2857"/>
          <cell r="AS2857">
            <v>25</v>
          </cell>
          <cell r="AT2857" t="str">
            <v>508-</v>
          </cell>
          <cell r="AU2857" t="str">
            <v/>
          </cell>
          <cell r="AV2857"/>
        </row>
        <row r="2858">
          <cell r="Z2858">
            <v>5082442</v>
          </cell>
          <cell r="AA2858" t="str">
            <v>Taper Mill 
3-1/2" REG Pin</v>
          </cell>
          <cell r="AB2858">
            <v>0</v>
          </cell>
          <cell r="AC2858">
            <v>6.125</v>
          </cell>
          <cell r="AD2858">
            <v>0</v>
          </cell>
          <cell r="AE2858" t="str">
            <v>3-1/2" REG Pin</v>
          </cell>
          <cell r="AF2858"/>
          <cell r="AG2858"/>
          <cell r="AH2858" t="str">
            <v xml:space="preserve"> en stock </v>
          </cell>
          <cell r="AI2858" t="str">
            <v>blank</v>
          </cell>
          <cell r="AJ2858">
            <v>0</v>
          </cell>
          <cell r="AK2858">
            <v>0</v>
          </cell>
          <cell r="AL2858"/>
          <cell r="AM2858"/>
          <cell r="AN2858" t="str">
            <v/>
          </cell>
          <cell r="AO2858"/>
          <cell r="AP2858"/>
          <cell r="AQ2858"/>
          <cell r="AR2858"/>
          <cell r="AS2858">
            <v>26</v>
          </cell>
          <cell r="AT2858" t="str">
            <v>508-</v>
          </cell>
          <cell r="AU2858" t="str">
            <v/>
          </cell>
          <cell r="AV2858"/>
        </row>
        <row r="2859">
          <cell r="Z2859">
            <v>5082443</v>
          </cell>
          <cell r="AA2859" t="str">
            <v>Taper Mill 
3-1/2" REG Pin</v>
          </cell>
          <cell r="AB2859">
            <v>0</v>
          </cell>
          <cell r="AC2859">
            <v>6.125</v>
          </cell>
          <cell r="AD2859">
            <v>0</v>
          </cell>
          <cell r="AE2859" t="str">
            <v>3-1/2" REG Pin</v>
          </cell>
          <cell r="AF2859"/>
          <cell r="AG2859"/>
          <cell r="AH2859" t="str">
            <v xml:space="preserve"> en stock </v>
          </cell>
          <cell r="AI2859" t="str">
            <v>blank</v>
          </cell>
          <cell r="AJ2859">
            <v>0</v>
          </cell>
          <cell r="AK2859">
            <v>0</v>
          </cell>
          <cell r="AL2859"/>
          <cell r="AM2859"/>
          <cell r="AN2859" t="str">
            <v/>
          </cell>
          <cell r="AO2859"/>
          <cell r="AP2859"/>
          <cell r="AQ2859"/>
          <cell r="AR2859"/>
          <cell r="AS2859">
            <v>27</v>
          </cell>
          <cell r="AT2859" t="str">
            <v>508-</v>
          </cell>
          <cell r="AU2859" t="str">
            <v/>
          </cell>
          <cell r="AV2859"/>
        </row>
        <row r="2860">
          <cell r="Z2860">
            <v>5082444</v>
          </cell>
          <cell r="AA2860" t="str">
            <v>Taper Mill 
3-1/2" REG Pin</v>
          </cell>
          <cell r="AB2860">
            <v>0</v>
          </cell>
          <cell r="AC2860">
            <v>6.125</v>
          </cell>
          <cell r="AD2860">
            <v>0</v>
          </cell>
          <cell r="AE2860" t="str">
            <v>3-1/2" REG Pin</v>
          </cell>
          <cell r="AF2860"/>
          <cell r="AG2860"/>
          <cell r="AH2860" t="str">
            <v xml:space="preserve"> en stock </v>
          </cell>
          <cell r="AI2860" t="str">
            <v>blank</v>
          </cell>
          <cell r="AJ2860">
            <v>0</v>
          </cell>
          <cell r="AK2860">
            <v>0</v>
          </cell>
          <cell r="AL2860"/>
          <cell r="AM2860"/>
          <cell r="AN2860" t="str">
            <v/>
          </cell>
          <cell r="AO2860"/>
          <cell r="AP2860"/>
          <cell r="AQ2860"/>
          <cell r="AR2860"/>
          <cell r="AS2860">
            <v>28</v>
          </cell>
          <cell r="AT2860" t="str">
            <v>508-</v>
          </cell>
          <cell r="AU2860" t="str">
            <v/>
          </cell>
          <cell r="AV2860"/>
        </row>
        <row r="2861">
          <cell r="Z2861">
            <v>5082445</v>
          </cell>
          <cell r="AA2861" t="str">
            <v>Taper Mill 
3-1/2" REG Pin</v>
          </cell>
          <cell r="AB2861">
            <v>0</v>
          </cell>
          <cell r="AC2861">
            <v>6.125</v>
          </cell>
          <cell r="AD2861">
            <v>0</v>
          </cell>
          <cell r="AE2861" t="str">
            <v>3-1/2" REG Pin</v>
          </cell>
          <cell r="AF2861"/>
          <cell r="AG2861"/>
          <cell r="AH2861" t="str">
            <v xml:space="preserve"> en stock </v>
          </cell>
          <cell r="AI2861" t="str">
            <v>blank</v>
          </cell>
          <cell r="AJ2861">
            <v>0</v>
          </cell>
          <cell r="AK2861">
            <v>0</v>
          </cell>
          <cell r="AL2861"/>
          <cell r="AM2861"/>
          <cell r="AN2861" t="str">
            <v/>
          </cell>
          <cell r="AO2861"/>
          <cell r="AP2861"/>
          <cell r="AQ2861"/>
          <cell r="AR2861"/>
          <cell r="AS2861">
            <v>29</v>
          </cell>
          <cell r="AT2861" t="str">
            <v>508-</v>
          </cell>
          <cell r="AU2861" t="str">
            <v/>
          </cell>
          <cell r="AV2861"/>
        </row>
        <row r="2862">
          <cell r="Z2862">
            <v>5082446</v>
          </cell>
          <cell r="AA2862" t="str">
            <v>Taper Mill 
3-1/2" REG Pin</v>
          </cell>
          <cell r="AB2862">
            <v>0</v>
          </cell>
          <cell r="AC2862">
            <v>6.125</v>
          </cell>
          <cell r="AD2862">
            <v>0</v>
          </cell>
          <cell r="AE2862" t="str">
            <v>3-1/2" REG Pin</v>
          </cell>
          <cell r="AF2862"/>
          <cell r="AG2862"/>
          <cell r="AH2862" t="str">
            <v xml:space="preserve"> en stock </v>
          </cell>
          <cell r="AI2862" t="str">
            <v>blank</v>
          </cell>
          <cell r="AJ2862">
            <v>0</v>
          </cell>
          <cell r="AK2862">
            <v>0</v>
          </cell>
          <cell r="AL2862"/>
          <cell r="AM2862"/>
          <cell r="AN2862" t="str">
            <v/>
          </cell>
          <cell r="AO2862"/>
          <cell r="AP2862"/>
          <cell r="AQ2862"/>
          <cell r="AR2862"/>
          <cell r="AS2862">
            <v>30</v>
          </cell>
          <cell r="AT2862" t="str">
            <v>508-</v>
          </cell>
          <cell r="AU2862" t="str">
            <v/>
          </cell>
          <cell r="AV2862"/>
        </row>
        <row r="2863">
          <cell r="Z2863">
            <v>5082447</v>
          </cell>
          <cell r="AA2863" t="str">
            <v>Taper Mill 
3-1/2" REG Pin</v>
          </cell>
          <cell r="AB2863">
            <v>0</v>
          </cell>
          <cell r="AC2863">
            <v>6.125</v>
          </cell>
          <cell r="AD2863">
            <v>0</v>
          </cell>
          <cell r="AE2863" t="str">
            <v>3-1/2" REG Pin</v>
          </cell>
          <cell r="AF2863"/>
          <cell r="AG2863"/>
          <cell r="AH2863" t="str">
            <v xml:space="preserve"> en stock </v>
          </cell>
          <cell r="AI2863" t="str">
            <v>blank</v>
          </cell>
          <cell r="AJ2863">
            <v>0</v>
          </cell>
          <cell r="AK2863">
            <v>0</v>
          </cell>
          <cell r="AL2863"/>
          <cell r="AM2863"/>
          <cell r="AN2863" t="str">
            <v/>
          </cell>
          <cell r="AO2863"/>
          <cell r="AP2863"/>
          <cell r="AQ2863"/>
          <cell r="AR2863"/>
          <cell r="AS2863">
            <v>31</v>
          </cell>
          <cell r="AT2863" t="str">
            <v>508-</v>
          </cell>
          <cell r="AU2863" t="str">
            <v/>
          </cell>
          <cell r="AV2863"/>
        </row>
        <row r="2864">
          <cell r="Z2864">
            <v>5082448</v>
          </cell>
          <cell r="AA2864" t="str">
            <v>Taper Mill 
3-1/2" REG Pin</v>
          </cell>
          <cell r="AB2864">
            <v>0</v>
          </cell>
          <cell r="AC2864">
            <v>6.125</v>
          </cell>
          <cell r="AD2864">
            <v>0</v>
          </cell>
          <cell r="AE2864" t="str">
            <v>3-1/2" REG Pin</v>
          </cell>
          <cell r="AF2864"/>
          <cell r="AG2864"/>
          <cell r="AH2864" t="str">
            <v xml:space="preserve"> en stock </v>
          </cell>
          <cell r="AI2864" t="str">
            <v>blank</v>
          </cell>
          <cell r="AJ2864">
            <v>0</v>
          </cell>
          <cell r="AK2864">
            <v>0</v>
          </cell>
          <cell r="AL2864"/>
          <cell r="AM2864"/>
          <cell r="AN2864" t="str">
            <v/>
          </cell>
          <cell r="AO2864"/>
          <cell r="AP2864"/>
          <cell r="AQ2864"/>
          <cell r="AR2864"/>
          <cell r="AS2864">
            <v>32</v>
          </cell>
          <cell r="AT2864" t="str">
            <v>508-</v>
          </cell>
          <cell r="AU2864" t="str">
            <v/>
          </cell>
          <cell r="AV2864"/>
        </row>
        <row r="2865">
          <cell r="Z2865">
            <v>5082449</v>
          </cell>
          <cell r="AA2865" t="str">
            <v>Taper Mill 
3-1/2" REG Pin</v>
          </cell>
          <cell r="AB2865">
            <v>0</v>
          </cell>
          <cell r="AC2865">
            <v>6.125</v>
          </cell>
          <cell r="AD2865">
            <v>0</v>
          </cell>
          <cell r="AE2865" t="str">
            <v>3-1/2" REG Pin</v>
          </cell>
          <cell r="AF2865"/>
          <cell r="AG2865"/>
          <cell r="AH2865" t="str">
            <v xml:space="preserve"> en stock </v>
          </cell>
          <cell r="AI2865" t="str">
            <v>blank</v>
          </cell>
          <cell r="AJ2865">
            <v>0</v>
          </cell>
          <cell r="AK2865">
            <v>0</v>
          </cell>
          <cell r="AL2865"/>
          <cell r="AM2865"/>
          <cell r="AN2865" t="str">
            <v/>
          </cell>
          <cell r="AO2865"/>
          <cell r="AP2865"/>
          <cell r="AQ2865"/>
          <cell r="AR2865"/>
          <cell r="AS2865">
            <v>33</v>
          </cell>
          <cell r="AT2865" t="str">
            <v>508-</v>
          </cell>
          <cell r="AU2865" t="str">
            <v/>
          </cell>
          <cell r="AV2865"/>
        </row>
        <row r="2866">
          <cell r="Z2866">
            <v>5082450</v>
          </cell>
          <cell r="AA2866" t="str">
            <v>Taper Mill 
3-1/2" REG Pin</v>
          </cell>
          <cell r="AB2866">
            <v>0</v>
          </cell>
          <cell r="AC2866">
            <v>6.125</v>
          </cell>
          <cell r="AD2866">
            <v>0</v>
          </cell>
          <cell r="AE2866" t="str">
            <v>3-1/2" REG Pin</v>
          </cell>
          <cell r="AF2866"/>
          <cell r="AG2866"/>
          <cell r="AH2866" t="str">
            <v xml:space="preserve"> en stock </v>
          </cell>
          <cell r="AI2866" t="str">
            <v>blank</v>
          </cell>
          <cell r="AJ2866">
            <v>0</v>
          </cell>
          <cell r="AK2866">
            <v>0</v>
          </cell>
          <cell r="AL2866"/>
          <cell r="AM2866"/>
          <cell r="AN2866" t="str">
            <v/>
          </cell>
          <cell r="AO2866"/>
          <cell r="AP2866"/>
          <cell r="AQ2866"/>
          <cell r="AR2866"/>
          <cell r="AS2866">
            <v>34</v>
          </cell>
          <cell r="AT2866" t="str">
            <v>508-</v>
          </cell>
          <cell r="AU2866" t="str">
            <v/>
          </cell>
          <cell r="AV2866"/>
        </row>
        <row r="2867">
          <cell r="Z2867">
            <v>5082451</v>
          </cell>
          <cell r="AA2867" t="str">
            <v>Taper Mill 
3-1/2" REG Pin</v>
          </cell>
          <cell r="AB2867">
            <v>0</v>
          </cell>
          <cell r="AC2867">
            <v>6.125</v>
          </cell>
          <cell r="AD2867">
            <v>0</v>
          </cell>
          <cell r="AE2867" t="str">
            <v>3-1/2" REG Pin</v>
          </cell>
          <cell r="AF2867"/>
          <cell r="AG2867"/>
          <cell r="AH2867" t="str">
            <v xml:space="preserve"> en stock </v>
          </cell>
          <cell r="AI2867" t="str">
            <v>blank</v>
          </cell>
          <cell r="AJ2867">
            <v>0</v>
          </cell>
          <cell r="AK2867">
            <v>0</v>
          </cell>
          <cell r="AL2867"/>
          <cell r="AM2867"/>
          <cell r="AN2867" t="str">
            <v/>
          </cell>
          <cell r="AO2867"/>
          <cell r="AP2867"/>
          <cell r="AQ2867"/>
          <cell r="AR2867"/>
          <cell r="AS2867">
            <v>35</v>
          </cell>
          <cell r="AT2867" t="str">
            <v>508-</v>
          </cell>
          <cell r="AU2867" t="str">
            <v/>
          </cell>
          <cell r="AV2867"/>
        </row>
        <row r="2868">
          <cell r="Z2868">
            <v>5112452</v>
          </cell>
          <cell r="AA2868" t="str">
            <v>WO Shoe
à fileter</v>
          </cell>
          <cell r="AB2868">
            <v>0</v>
          </cell>
          <cell r="AC2868">
            <v>0</v>
          </cell>
          <cell r="AD2868">
            <v>0</v>
          </cell>
          <cell r="AE2868" t="str">
            <v>à fileter</v>
          </cell>
          <cell r="AF2868"/>
          <cell r="AG2868">
            <v>0</v>
          </cell>
          <cell r="AH2868" t="str">
            <v xml:space="preserve"> en stock </v>
          </cell>
          <cell r="AI2868" t="str">
            <v>blank</v>
          </cell>
          <cell r="AJ2868">
            <v>0</v>
          </cell>
          <cell r="AK2868">
            <v>0</v>
          </cell>
          <cell r="AL2868"/>
          <cell r="AM2868"/>
          <cell r="AN2868" t="str">
            <v/>
          </cell>
          <cell r="AO2868"/>
          <cell r="AP2868"/>
          <cell r="AQ2868"/>
          <cell r="AR2868"/>
          <cell r="AS2868">
            <v>143</v>
          </cell>
          <cell r="AT2868"/>
          <cell r="AU2868" t="str">
            <v/>
          </cell>
          <cell r="AV2868"/>
        </row>
        <row r="2869">
          <cell r="Z2869">
            <v>5112453</v>
          </cell>
          <cell r="AA2869" t="str">
            <v>WO Shoe
à fileter</v>
          </cell>
          <cell r="AB2869">
            <v>0</v>
          </cell>
          <cell r="AC2869">
            <v>0</v>
          </cell>
          <cell r="AD2869">
            <v>0</v>
          </cell>
          <cell r="AE2869" t="str">
            <v>à fileter</v>
          </cell>
          <cell r="AF2869"/>
          <cell r="AG2869">
            <v>0</v>
          </cell>
          <cell r="AH2869" t="str">
            <v xml:space="preserve"> en stock </v>
          </cell>
          <cell r="AI2869" t="str">
            <v>blank</v>
          </cell>
          <cell r="AJ2869">
            <v>0</v>
          </cell>
          <cell r="AK2869">
            <v>0</v>
          </cell>
          <cell r="AL2869"/>
          <cell r="AM2869"/>
          <cell r="AN2869" t="str">
            <v/>
          </cell>
          <cell r="AO2869"/>
          <cell r="AP2869"/>
          <cell r="AQ2869"/>
          <cell r="AR2869"/>
          <cell r="AS2869">
            <v>144</v>
          </cell>
          <cell r="AT2869"/>
          <cell r="AU2869" t="str">
            <v/>
          </cell>
          <cell r="AV2869"/>
        </row>
        <row r="2870">
          <cell r="Z2870">
            <v>5112454</v>
          </cell>
          <cell r="AA2870" t="str">
            <v>WO Shoe
à fileter</v>
          </cell>
          <cell r="AB2870">
            <v>0</v>
          </cell>
          <cell r="AC2870">
            <v>0</v>
          </cell>
          <cell r="AD2870">
            <v>0</v>
          </cell>
          <cell r="AE2870" t="str">
            <v>à fileter</v>
          </cell>
          <cell r="AF2870"/>
          <cell r="AG2870">
            <v>0</v>
          </cell>
          <cell r="AH2870" t="str">
            <v xml:space="preserve"> en stock </v>
          </cell>
          <cell r="AI2870" t="str">
            <v>blank</v>
          </cell>
          <cell r="AJ2870">
            <v>0</v>
          </cell>
          <cell r="AK2870">
            <v>0</v>
          </cell>
          <cell r="AL2870"/>
          <cell r="AM2870"/>
          <cell r="AN2870" t="str">
            <v/>
          </cell>
          <cell r="AO2870"/>
          <cell r="AP2870"/>
          <cell r="AQ2870"/>
          <cell r="AR2870"/>
          <cell r="AS2870">
            <v>145</v>
          </cell>
          <cell r="AT2870"/>
          <cell r="AU2870" t="str">
            <v/>
          </cell>
          <cell r="AV2870"/>
        </row>
        <row r="2871">
          <cell r="Z2871">
            <v>5112455</v>
          </cell>
          <cell r="AA2871" t="str">
            <v>WO Shoe
à fileter</v>
          </cell>
          <cell r="AB2871">
            <v>0</v>
          </cell>
          <cell r="AC2871">
            <v>0</v>
          </cell>
          <cell r="AD2871">
            <v>0</v>
          </cell>
          <cell r="AE2871" t="str">
            <v>à fileter</v>
          </cell>
          <cell r="AF2871"/>
          <cell r="AG2871">
            <v>0</v>
          </cell>
          <cell r="AH2871" t="str">
            <v xml:space="preserve"> en stock </v>
          </cell>
          <cell r="AI2871" t="str">
            <v>blank</v>
          </cell>
          <cell r="AJ2871">
            <v>0</v>
          </cell>
          <cell r="AK2871">
            <v>0</v>
          </cell>
          <cell r="AL2871"/>
          <cell r="AM2871"/>
          <cell r="AN2871" t="str">
            <v/>
          </cell>
          <cell r="AO2871"/>
          <cell r="AP2871"/>
          <cell r="AQ2871"/>
          <cell r="AR2871"/>
          <cell r="AS2871">
            <v>146</v>
          </cell>
          <cell r="AT2871"/>
          <cell r="AU2871" t="str">
            <v/>
          </cell>
          <cell r="AV2871"/>
        </row>
        <row r="2872">
          <cell r="Z2872">
            <v>5112456</v>
          </cell>
          <cell r="AA2872" t="str">
            <v>WO Shoe
à fileter</v>
          </cell>
          <cell r="AB2872">
            <v>0</v>
          </cell>
          <cell r="AC2872">
            <v>0</v>
          </cell>
          <cell r="AD2872">
            <v>0</v>
          </cell>
          <cell r="AE2872" t="str">
            <v>à fileter</v>
          </cell>
          <cell r="AF2872"/>
          <cell r="AG2872">
            <v>0</v>
          </cell>
          <cell r="AH2872" t="str">
            <v xml:space="preserve"> en stock </v>
          </cell>
          <cell r="AI2872" t="str">
            <v>blank</v>
          </cell>
          <cell r="AJ2872">
            <v>0</v>
          </cell>
          <cell r="AK2872">
            <v>0</v>
          </cell>
          <cell r="AL2872"/>
          <cell r="AM2872"/>
          <cell r="AN2872" t="str">
            <v/>
          </cell>
          <cell r="AO2872"/>
          <cell r="AP2872"/>
          <cell r="AQ2872"/>
          <cell r="AR2872"/>
          <cell r="AS2872">
            <v>147</v>
          </cell>
          <cell r="AT2872"/>
          <cell r="AU2872" t="str">
            <v/>
          </cell>
          <cell r="AV2872"/>
        </row>
        <row r="2873">
          <cell r="Z2873">
            <v>5112457</v>
          </cell>
          <cell r="AA2873" t="str">
            <v>WO Shoe
à fileter</v>
          </cell>
          <cell r="AB2873">
            <v>0</v>
          </cell>
          <cell r="AC2873">
            <v>0</v>
          </cell>
          <cell r="AD2873">
            <v>0</v>
          </cell>
          <cell r="AE2873" t="str">
            <v>à fileter</v>
          </cell>
          <cell r="AF2873"/>
          <cell r="AG2873">
            <v>0</v>
          </cell>
          <cell r="AH2873" t="str">
            <v xml:space="preserve"> en stock </v>
          </cell>
          <cell r="AI2873" t="str">
            <v>blank</v>
          </cell>
          <cell r="AJ2873">
            <v>0</v>
          </cell>
          <cell r="AK2873">
            <v>0</v>
          </cell>
          <cell r="AL2873"/>
          <cell r="AM2873"/>
          <cell r="AN2873" t="str">
            <v/>
          </cell>
          <cell r="AO2873"/>
          <cell r="AP2873"/>
          <cell r="AQ2873"/>
          <cell r="AR2873"/>
          <cell r="AS2873">
            <v>148</v>
          </cell>
          <cell r="AT2873"/>
          <cell r="AU2873" t="str">
            <v/>
          </cell>
          <cell r="AV2873"/>
        </row>
        <row r="2874">
          <cell r="Z2874">
            <v>5112458</v>
          </cell>
          <cell r="AA2874" t="str">
            <v>WO Shoe
à fileter</v>
          </cell>
          <cell r="AB2874">
            <v>0</v>
          </cell>
          <cell r="AC2874">
            <v>0</v>
          </cell>
          <cell r="AD2874">
            <v>0</v>
          </cell>
          <cell r="AE2874" t="str">
            <v>à fileter</v>
          </cell>
          <cell r="AF2874"/>
          <cell r="AG2874">
            <v>0</v>
          </cell>
          <cell r="AH2874" t="str">
            <v xml:space="preserve"> en stock </v>
          </cell>
          <cell r="AI2874" t="str">
            <v>blank</v>
          </cell>
          <cell r="AJ2874">
            <v>0</v>
          </cell>
          <cell r="AK2874">
            <v>0</v>
          </cell>
          <cell r="AL2874"/>
          <cell r="AM2874"/>
          <cell r="AN2874" t="str">
            <v/>
          </cell>
          <cell r="AO2874"/>
          <cell r="AP2874"/>
          <cell r="AQ2874"/>
          <cell r="AR2874"/>
          <cell r="AS2874">
            <v>149</v>
          </cell>
          <cell r="AT2874"/>
          <cell r="AU2874" t="str">
            <v/>
          </cell>
          <cell r="AV2874"/>
        </row>
        <row r="2875">
          <cell r="Z2875">
            <v>5112459</v>
          </cell>
          <cell r="AA2875" t="str">
            <v>WO Shoe
à fileter</v>
          </cell>
          <cell r="AB2875">
            <v>0</v>
          </cell>
          <cell r="AC2875">
            <v>0</v>
          </cell>
          <cell r="AD2875">
            <v>0</v>
          </cell>
          <cell r="AE2875" t="str">
            <v>à fileter</v>
          </cell>
          <cell r="AF2875"/>
          <cell r="AG2875">
            <v>0</v>
          </cell>
          <cell r="AH2875" t="str">
            <v xml:space="preserve"> en stock </v>
          </cell>
          <cell r="AI2875" t="str">
            <v>blank</v>
          </cell>
          <cell r="AJ2875">
            <v>0</v>
          </cell>
          <cell r="AK2875">
            <v>0</v>
          </cell>
          <cell r="AL2875"/>
          <cell r="AM2875"/>
          <cell r="AN2875" t="str">
            <v/>
          </cell>
          <cell r="AO2875"/>
          <cell r="AP2875"/>
          <cell r="AQ2875"/>
          <cell r="AR2875"/>
          <cell r="AS2875">
            <v>150</v>
          </cell>
          <cell r="AT2875"/>
          <cell r="AU2875" t="str">
            <v/>
          </cell>
          <cell r="AV2875"/>
        </row>
        <row r="2876">
          <cell r="Z2876">
            <v>5112460</v>
          </cell>
          <cell r="AA2876" t="str">
            <v>WO Shoe
à fileter</v>
          </cell>
          <cell r="AB2876">
            <v>0</v>
          </cell>
          <cell r="AC2876">
            <v>0</v>
          </cell>
          <cell r="AD2876">
            <v>0</v>
          </cell>
          <cell r="AE2876" t="str">
            <v>à fileter</v>
          </cell>
          <cell r="AF2876"/>
          <cell r="AG2876">
            <v>0</v>
          </cell>
          <cell r="AH2876" t="str">
            <v xml:space="preserve"> en stock </v>
          </cell>
          <cell r="AI2876" t="str">
            <v>blank</v>
          </cell>
          <cell r="AJ2876">
            <v>0</v>
          </cell>
          <cell r="AK2876">
            <v>0</v>
          </cell>
          <cell r="AL2876"/>
          <cell r="AM2876"/>
          <cell r="AN2876" t="str">
            <v/>
          </cell>
          <cell r="AO2876"/>
          <cell r="AP2876"/>
          <cell r="AQ2876"/>
          <cell r="AR2876"/>
          <cell r="AS2876">
            <v>151</v>
          </cell>
          <cell r="AT2876"/>
          <cell r="AU2876" t="str">
            <v/>
          </cell>
          <cell r="AV2876"/>
        </row>
        <row r="2877">
          <cell r="Z2877">
            <v>5112461</v>
          </cell>
          <cell r="AA2877" t="str">
            <v>WO Shoe
à fileter</v>
          </cell>
          <cell r="AB2877">
            <v>0</v>
          </cell>
          <cell r="AC2877">
            <v>0</v>
          </cell>
          <cell r="AD2877">
            <v>0</v>
          </cell>
          <cell r="AE2877" t="str">
            <v>à fileter</v>
          </cell>
          <cell r="AF2877"/>
          <cell r="AG2877">
            <v>0</v>
          </cell>
          <cell r="AH2877" t="str">
            <v xml:space="preserve"> en stock </v>
          </cell>
          <cell r="AI2877" t="str">
            <v>blank</v>
          </cell>
          <cell r="AJ2877">
            <v>0</v>
          </cell>
          <cell r="AK2877">
            <v>0</v>
          </cell>
          <cell r="AL2877"/>
          <cell r="AM2877"/>
          <cell r="AN2877" t="str">
            <v/>
          </cell>
          <cell r="AO2877"/>
          <cell r="AP2877"/>
          <cell r="AQ2877"/>
          <cell r="AR2877"/>
          <cell r="AS2877">
            <v>152</v>
          </cell>
          <cell r="AT2877"/>
          <cell r="AU2877" t="str">
            <v/>
          </cell>
          <cell r="AV2877"/>
        </row>
        <row r="2878">
          <cell r="Z2878">
            <v>5112462</v>
          </cell>
          <cell r="AA2878" t="str">
            <v>WO Shoe
à fileter</v>
          </cell>
          <cell r="AB2878">
            <v>0</v>
          </cell>
          <cell r="AC2878">
            <v>0</v>
          </cell>
          <cell r="AD2878">
            <v>0</v>
          </cell>
          <cell r="AE2878" t="str">
            <v>à fileter</v>
          </cell>
          <cell r="AF2878"/>
          <cell r="AG2878">
            <v>0</v>
          </cell>
          <cell r="AH2878" t="str">
            <v xml:space="preserve"> en stock </v>
          </cell>
          <cell r="AI2878" t="str">
            <v>blank</v>
          </cell>
          <cell r="AJ2878">
            <v>0</v>
          </cell>
          <cell r="AK2878">
            <v>0</v>
          </cell>
          <cell r="AL2878"/>
          <cell r="AM2878"/>
          <cell r="AN2878" t="str">
            <v/>
          </cell>
          <cell r="AO2878"/>
          <cell r="AP2878"/>
          <cell r="AQ2878"/>
          <cell r="AR2878"/>
          <cell r="AS2878">
            <v>185</v>
          </cell>
          <cell r="AT2878"/>
          <cell r="AU2878" t="str">
            <v/>
          </cell>
          <cell r="AV2878"/>
        </row>
        <row r="2879">
          <cell r="Z2879">
            <v>5112463</v>
          </cell>
          <cell r="AA2879" t="str">
            <v>WO Shoe
à fileter</v>
          </cell>
          <cell r="AB2879">
            <v>0</v>
          </cell>
          <cell r="AC2879">
            <v>0</v>
          </cell>
          <cell r="AD2879">
            <v>0</v>
          </cell>
          <cell r="AE2879" t="str">
            <v>à fileter</v>
          </cell>
          <cell r="AF2879"/>
          <cell r="AG2879">
            <v>0</v>
          </cell>
          <cell r="AH2879" t="str">
            <v xml:space="preserve"> en stock </v>
          </cell>
          <cell r="AI2879" t="str">
            <v>blank</v>
          </cell>
          <cell r="AJ2879">
            <v>0</v>
          </cell>
          <cell r="AK2879">
            <v>0</v>
          </cell>
          <cell r="AL2879"/>
          <cell r="AM2879"/>
          <cell r="AN2879" t="str">
            <v/>
          </cell>
          <cell r="AO2879"/>
          <cell r="AP2879"/>
          <cell r="AQ2879"/>
          <cell r="AR2879"/>
          <cell r="AS2879">
            <v>186</v>
          </cell>
          <cell r="AT2879"/>
          <cell r="AU2879" t="str">
            <v/>
          </cell>
          <cell r="AV2879"/>
        </row>
        <row r="2880">
          <cell r="Z2880">
            <v>5112464</v>
          </cell>
          <cell r="AA2880" t="str">
            <v>WO Shoe
à fileter</v>
          </cell>
          <cell r="AB2880">
            <v>0</v>
          </cell>
          <cell r="AC2880">
            <v>0</v>
          </cell>
          <cell r="AD2880">
            <v>0</v>
          </cell>
          <cell r="AE2880" t="str">
            <v>à fileter</v>
          </cell>
          <cell r="AF2880"/>
          <cell r="AG2880">
            <v>0</v>
          </cell>
          <cell r="AH2880" t="str">
            <v xml:space="preserve"> en stock </v>
          </cell>
          <cell r="AI2880" t="str">
            <v>blank</v>
          </cell>
          <cell r="AJ2880">
            <v>0</v>
          </cell>
          <cell r="AK2880">
            <v>0</v>
          </cell>
          <cell r="AL2880"/>
          <cell r="AM2880"/>
          <cell r="AN2880" t="str">
            <v/>
          </cell>
          <cell r="AO2880"/>
          <cell r="AP2880"/>
          <cell r="AQ2880"/>
          <cell r="AR2880"/>
          <cell r="AS2880">
            <v>187</v>
          </cell>
          <cell r="AT2880"/>
          <cell r="AU2880" t="str">
            <v/>
          </cell>
          <cell r="AV2880"/>
        </row>
        <row r="2881">
          <cell r="Z2881">
            <v>5112465</v>
          </cell>
          <cell r="AA2881" t="str">
            <v>WO Shoe
à fileter</v>
          </cell>
          <cell r="AB2881">
            <v>0</v>
          </cell>
          <cell r="AC2881">
            <v>0</v>
          </cell>
          <cell r="AD2881">
            <v>0</v>
          </cell>
          <cell r="AE2881" t="str">
            <v>à fileter</v>
          </cell>
          <cell r="AF2881"/>
          <cell r="AG2881">
            <v>0</v>
          </cell>
          <cell r="AH2881" t="str">
            <v xml:space="preserve"> en stock </v>
          </cell>
          <cell r="AI2881" t="str">
            <v>blank</v>
          </cell>
          <cell r="AJ2881">
            <v>0</v>
          </cell>
          <cell r="AK2881">
            <v>0</v>
          </cell>
          <cell r="AL2881"/>
          <cell r="AM2881"/>
          <cell r="AN2881" t="str">
            <v/>
          </cell>
          <cell r="AO2881"/>
          <cell r="AP2881"/>
          <cell r="AQ2881"/>
          <cell r="AR2881"/>
          <cell r="AS2881">
            <v>188</v>
          </cell>
          <cell r="AT2881"/>
          <cell r="AU2881" t="str">
            <v/>
          </cell>
          <cell r="AV2881"/>
        </row>
        <row r="2882">
          <cell r="Z2882">
            <v>5112466</v>
          </cell>
          <cell r="AA2882" t="str">
            <v>WO Shoe
à fileter</v>
          </cell>
          <cell r="AB2882">
            <v>0</v>
          </cell>
          <cell r="AC2882">
            <v>0</v>
          </cell>
          <cell r="AD2882">
            <v>0</v>
          </cell>
          <cell r="AE2882" t="str">
            <v>à fileter</v>
          </cell>
          <cell r="AF2882"/>
          <cell r="AG2882">
            <v>0</v>
          </cell>
          <cell r="AH2882" t="str">
            <v xml:space="preserve"> en stock </v>
          </cell>
          <cell r="AI2882" t="str">
            <v>blank</v>
          </cell>
          <cell r="AJ2882">
            <v>0</v>
          </cell>
          <cell r="AK2882">
            <v>0</v>
          </cell>
          <cell r="AL2882"/>
          <cell r="AM2882"/>
          <cell r="AN2882" t="str">
            <v/>
          </cell>
          <cell r="AO2882"/>
          <cell r="AP2882"/>
          <cell r="AQ2882"/>
          <cell r="AR2882"/>
          <cell r="AS2882">
            <v>189</v>
          </cell>
          <cell r="AT2882"/>
          <cell r="AU2882" t="str">
            <v/>
          </cell>
          <cell r="AV2882"/>
        </row>
        <row r="2883">
          <cell r="Z2883">
            <v>5112467</v>
          </cell>
          <cell r="AA2883" t="str">
            <v>WO Shoe
à fileter</v>
          </cell>
          <cell r="AB2883">
            <v>0</v>
          </cell>
          <cell r="AC2883">
            <v>0</v>
          </cell>
          <cell r="AD2883">
            <v>0</v>
          </cell>
          <cell r="AE2883" t="str">
            <v>à fileter</v>
          </cell>
          <cell r="AF2883"/>
          <cell r="AG2883">
            <v>0</v>
          </cell>
          <cell r="AH2883" t="str">
            <v xml:space="preserve"> en stock </v>
          </cell>
          <cell r="AI2883" t="str">
            <v>blank</v>
          </cell>
          <cell r="AJ2883">
            <v>0</v>
          </cell>
          <cell r="AK2883">
            <v>0</v>
          </cell>
          <cell r="AL2883"/>
          <cell r="AM2883"/>
          <cell r="AN2883" t="str">
            <v/>
          </cell>
          <cell r="AO2883"/>
          <cell r="AP2883"/>
          <cell r="AQ2883"/>
          <cell r="AR2883"/>
          <cell r="AS2883">
            <v>190</v>
          </cell>
          <cell r="AT2883"/>
          <cell r="AU2883" t="str">
            <v/>
          </cell>
          <cell r="AV2883"/>
        </row>
        <row r="2884">
          <cell r="Z2884">
            <v>5112468</v>
          </cell>
          <cell r="AA2884" t="str">
            <v>WO Shoe
à fileter</v>
          </cell>
          <cell r="AB2884">
            <v>0</v>
          </cell>
          <cell r="AC2884">
            <v>0</v>
          </cell>
          <cell r="AD2884">
            <v>0</v>
          </cell>
          <cell r="AE2884" t="str">
            <v>à fileter</v>
          </cell>
          <cell r="AF2884"/>
          <cell r="AG2884">
            <v>0</v>
          </cell>
          <cell r="AH2884" t="str">
            <v xml:space="preserve"> en stock </v>
          </cell>
          <cell r="AI2884" t="str">
            <v>blank</v>
          </cell>
          <cell r="AJ2884">
            <v>0</v>
          </cell>
          <cell r="AK2884">
            <v>0</v>
          </cell>
          <cell r="AL2884"/>
          <cell r="AM2884"/>
          <cell r="AN2884" t="str">
            <v/>
          </cell>
          <cell r="AO2884"/>
          <cell r="AP2884"/>
          <cell r="AQ2884"/>
          <cell r="AR2884"/>
          <cell r="AS2884">
            <v>191</v>
          </cell>
          <cell r="AT2884"/>
          <cell r="AU2884" t="str">
            <v/>
          </cell>
          <cell r="AV2884"/>
        </row>
        <row r="2885">
          <cell r="Z2885">
            <v>5112469</v>
          </cell>
          <cell r="AA2885" t="str">
            <v>WO Shoe
à fileter</v>
          </cell>
          <cell r="AB2885">
            <v>0</v>
          </cell>
          <cell r="AC2885">
            <v>0</v>
          </cell>
          <cell r="AD2885">
            <v>0</v>
          </cell>
          <cell r="AE2885" t="str">
            <v>à fileter</v>
          </cell>
          <cell r="AF2885"/>
          <cell r="AG2885">
            <v>0</v>
          </cell>
          <cell r="AH2885" t="str">
            <v xml:space="preserve"> en stock </v>
          </cell>
          <cell r="AI2885" t="str">
            <v>blank</v>
          </cell>
          <cell r="AJ2885">
            <v>0</v>
          </cell>
          <cell r="AK2885">
            <v>0</v>
          </cell>
          <cell r="AL2885"/>
          <cell r="AM2885"/>
          <cell r="AN2885" t="str">
            <v/>
          </cell>
          <cell r="AO2885"/>
          <cell r="AP2885"/>
          <cell r="AQ2885"/>
          <cell r="AR2885"/>
          <cell r="AS2885">
            <v>192</v>
          </cell>
          <cell r="AT2885"/>
          <cell r="AU2885" t="str">
            <v/>
          </cell>
          <cell r="AV2885"/>
        </row>
        <row r="2886">
          <cell r="Z2886">
            <v>5112470</v>
          </cell>
          <cell r="AA2886" t="str">
            <v>WO Shoe
à fileter</v>
          </cell>
          <cell r="AB2886">
            <v>0</v>
          </cell>
          <cell r="AC2886">
            <v>0</v>
          </cell>
          <cell r="AD2886">
            <v>0</v>
          </cell>
          <cell r="AE2886" t="str">
            <v>à fileter</v>
          </cell>
          <cell r="AF2886"/>
          <cell r="AG2886">
            <v>0</v>
          </cell>
          <cell r="AH2886" t="str">
            <v xml:space="preserve"> en stock </v>
          </cell>
          <cell r="AI2886" t="str">
            <v>blank</v>
          </cell>
          <cell r="AJ2886">
            <v>0</v>
          </cell>
          <cell r="AK2886">
            <v>0</v>
          </cell>
          <cell r="AL2886"/>
          <cell r="AM2886"/>
          <cell r="AN2886" t="str">
            <v/>
          </cell>
          <cell r="AO2886"/>
          <cell r="AP2886"/>
          <cell r="AQ2886"/>
          <cell r="AR2886"/>
          <cell r="AS2886">
            <v>193</v>
          </cell>
          <cell r="AT2886"/>
          <cell r="AU2886" t="str">
            <v/>
          </cell>
          <cell r="AV2886"/>
        </row>
        <row r="2887">
          <cell r="Z2887">
            <v>5112471</v>
          </cell>
          <cell r="AA2887" t="str">
            <v>WO Shoe
à fileter</v>
          </cell>
          <cell r="AB2887">
            <v>0</v>
          </cell>
          <cell r="AC2887">
            <v>0</v>
          </cell>
          <cell r="AD2887">
            <v>0</v>
          </cell>
          <cell r="AE2887" t="str">
            <v>à fileter</v>
          </cell>
          <cell r="AF2887"/>
          <cell r="AG2887">
            <v>0</v>
          </cell>
          <cell r="AH2887" t="str">
            <v xml:space="preserve"> en stock </v>
          </cell>
          <cell r="AI2887" t="str">
            <v>blank</v>
          </cell>
          <cell r="AJ2887">
            <v>0</v>
          </cell>
          <cell r="AK2887">
            <v>0</v>
          </cell>
          <cell r="AL2887"/>
          <cell r="AM2887"/>
          <cell r="AN2887" t="str">
            <v/>
          </cell>
          <cell r="AO2887"/>
          <cell r="AP2887"/>
          <cell r="AQ2887"/>
          <cell r="AR2887"/>
          <cell r="AS2887">
            <v>194</v>
          </cell>
          <cell r="AT2887"/>
          <cell r="AU2887" t="str">
            <v/>
          </cell>
          <cell r="AV2887"/>
        </row>
        <row r="2888">
          <cell r="Z2888">
            <v>3052475</v>
          </cell>
          <cell r="AA2888" t="str">
            <v>SPR10200
7-5/8" REG Box up x 7-5/8" REG Pin down</v>
          </cell>
          <cell r="AB2888">
            <v>0</v>
          </cell>
          <cell r="AC2888" t="str">
            <v>SPR10200</v>
          </cell>
          <cell r="AD2888">
            <v>0</v>
          </cell>
          <cell r="AE2888" t="str">
            <v>7-5/8" REG Box</v>
          </cell>
          <cell r="AF2888" t="str">
            <v>7-5/8" REG Pin</v>
          </cell>
          <cell r="AG2888"/>
          <cell r="AH2888" t="str">
            <v>Fabrication en cours</v>
          </cell>
          <cell r="AI2888" t="e">
            <v>#VALUE!</v>
          </cell>
          <cell r="AJ2888">
            <v>0</v>
          </cell>
          <cell r="AK2888" t="str">
            <v>F</v>
          </cell>
          <cell r="AL2888"/>
          <cell r="AM2888"/>
          <cell r="AN2888" t="str">
            <v/>
          </cell>
          <cell r="AO2888"/>
          <cell r="AP2888"/>
          <cell r="AQ2888"/>
          <cell r="AR2888"/>
          <cell r="AS2888">
            <v>14</v>
          </cell>
          <cell r="AT2888"/>
          <cell r="AU2888" t="str">
            <v>UAE</v>
          </cell>
          <cell r="AV2888"/>
        </row>
        <row r="2889">
          <cell r="Z2889">
            <v>8062473</v>
          </cell>
          <cell r="AA2889" t="str">
            <v>Drill Collar 3-1/2"
2-7/8" HT PAC Pin x Box</v>
          </cell>
          <cell r="AB2889">
            <v>367.37926524</v>
          </cell>
          <cell r="AC2889">
            <v>3.5</v>
          </cell>
          <cell r="AD2889">
            <v>9300</v>
          </cell>
          <cell r="AE2889" t="str">
            <v>2-7/8" HT Pac Box</v>
          </cell>
          <cell r="AF2889" t="str">
            <v>2-7/8" HT Pac Pin</v>
          </cell>
          <cell r="AG2889"/>
          <cell r="AH2889" t="str">
            <v>Fabrication en cours</v>
          </cell>
          <cell r="AI2889" t="e">
            <v>#VALUE!</v>
          </cell>
          <cell r="AJ2889">
            <v>0</v>
          </cell>
          <cell r="AK2889" t="str">
            <v>F</v>
          </cell>
          <cell r="AL2889"/>
          <cell r="AM2889"/>
          <cell r="AN2889">
            <v>8062473</v>
          </cell>
          <cell r="AO2889"/>
          <cell r="AP2889"/>
          <cell r="AQ2889"/>
          <cell r="AR2889"/>
          <cell r="AS2889">
            <v>15</v>
          </cell>
          <cell r="AT2889"/>
          <cell r="AU2889" t="str">
            <v/>
          </cell>
          <cell r="AV2889"/>
        </row>
        <row r="2890">
          <cell r="Z2890">
            <v>8062474</v>
          </cell>
          <cell r="AA2890" t="str">
            <v>Drill Collar 3-1/2"
2-7/8" HT PAC Pin x Box</v>
          </cell>
          <cell r="AB2890">
            <v>367.37926524</v>
          </cell>
          <cell r="AC2890">
            <v>3.5</v>
          </cell>
          <cell r="AD2890">
            <v>9300</v>
          </cell>
          <cell r="AE2890" t="str">
            <v>2-7/8" HT Pac Box</v>
          </cell>
          <cell r="AF2890" t="str">
            <v>2-7/8" HT Pac Pin</v>
          </cell>
          <cell r="AG2890"/>
          <cell r="AH2890" t="str">
            <v>Fabrication en cours</v>
          </cell>
          <cell r="AI2890" t="e">
            <v>#VALUE!</v>
          </cell>
          <cell r="AJ2890">
            <v>0</v>
          </cell>
          <cell r="AK2890" t="str">
            <v>F</v>
          </cell>
          <cell r="AL2890"/>
          <cell r="AM2890"/>
          <cell r="AN2890">
            <v>8062474</v>
          </cell>
          <cell r="AO2890"/>
          <cell r="AP2890"/>
          <cell r="AQ2890"/>
          <cell r="AR2890"/>
          <cell r="AS2890">
            <v>16</v>
          </cell>
          <cell r="AT2890"/>
          <cell r="AU2890" t="str">
            <v/>
          </cell>
          <cell r="AV2890"/>
        </row>
        <row r="2891">
          <cell r="Z2891">
            <v>8062475</v>
          </cell>
          <cell r="AA2891" t="str">
            <v>Drill Collar 3-1/2"
2-7/8" HT PAC Pin x Box</v>
          </cell>
          <cell r="AB2891">
            <v>367.37926524</v>
          </cell>
          <cell r="AC2891">
            <v>3.5</v>
          </cell>
          <cell r="AD2891">
            <v>9300</v>
          </cell>
          <cell r="AE2891" t="str">
            <v>2-7/8" HT Pac Box</v>
          </cell>
          <cell r="AF2891" t="str">
            <v>2-7/8" HT Pac Pin</v>
          </cell>
          <cell r="AG2891"/>
          <cell r="AH2891" t="str">
            <v>Fabrication en cours</v>
          </cell>
          <cell r="AI2891" t="e">
            <v>#VALUE!</v>
          </cell>
          <cell r="AJ2891">
            <v>0</v>
          </cell>
          <cell r="AK2891" t="str">
            <v>F</v>
          </cell>
          <cell r="AL2891"/>
          <cell r="AM2891"/>
          <cell r="AN2891">
            <v>8062475</v>
          </cell>
          <cell r="AO2891"/>
          <cell r="AP2891"/>
          <cell r="AQ2891"/>
          <cell r="AR2891"/>
          <cell r="AS2891">
            <v>17</v>
          </cell>
          <cell r="AT2891"/>
          <cell r="AU2891" t="str">
            <v/>
          </cell>
          <cell r="AV2891"/>
        </row>
        <row r="2892">
          <cell r="Z2892">
            <v>8062476</v>
          </cell>
          <cell r="AA2892" t="str">
            <v>Drill Collar 3-1/2"
2-7/8" HT PAC Pin x Box</v>
          </cell>
          <cell r="AB2892">
            <v>367.37926524</v>
          </cell>
          <cell r="AC2892">
            <v>3.5</v>
          </cell>
          <cell r="AD2892">
            <v>9300</v>
          </cell>
          <cell r="AE2892" t="str">
            <v>2-7/8" HT Pac Box</v>
          </cell>
          <cell r="AF2892" t="str">
            <v>2-7/8" HT Pac Pin</v>
          </cell>
          <cell r="AG2892"/>
          <cell r="AH2892" t="str">
            <v>Fabrication en cours</v>
          </cell>
          <cell r="AI2892" t="e">
            <v>#VALUE!</v>
          </cell>
          <cell r="AJ2892">
            <v>0</v>
          </cell>
          <cell r="AK2892" t="str">
            <v>F</v>
          </cell>
          <cell r="AL2892"/>
          <cell r="AM2892"/>
          <cell r="AN2892">
            <v>8062476</v>
          </cell>
          <cell r="AO2892"/>
          <cell r="AP2892"/>
          <cell r="AQ2892"/>
          <cell r="AR2892"/>
          <cell r="AS2892">
            <v>18</v>
          </cell>
          <cell r="AT2892"/>
          <cell r="AU2892" t="str">
            <v/>
          </cell>
          <cell r="AV2892"/>
        </row>
        <row r="2893">
          <cell r="Z2893">
            <v>8062477</v>
          </cell>
          <cell r="AA2893" t="str">
            <v>Drill Collar 3-1/2"
2-7/8" HT PAC Pin x Box</v>
          </cell>
          <cell r="AB2893">
            <v>367.37926524</v>
          </cell>
          <cell r="AC2893">
            <v>3.5</v>
          </cell>
          <cell r="AD2893">
            <v>9300</v>
          </cell>
          <cell r="AE2893" t="str">
            <v>2-7/8" HT Pac Box</v>
          </cell>
          <cell r="AF2893" t="str">
            <v>2-7/8" HT Pac Pin</v>
          </cell>
          <cell r="AG2893"/>
          <cell r="AH2893" t="str">
            <v>Fabrication en cours</v>
          </cell>
          <cell r="AI2893" t="e">
            <v>#VALUE!</v>
          </cell>
          <cell r="AJ2893">
            <v>0</v>
          </cell>
          <cell r="AK2893" t="str">
            <v>F</v>
          </cell>
          <cell r="AL2893"/>
          <cell r="AM2893"/>
          <cell r="AN2893">
            <v>8062477</v>
          </cell>
          <cell r="AO2893"/>
          <cell r="AP2893"/>
          <cell r="AQ2893"/>
          <cell r="AR2893"/>
          <cell r="AS2893">
            <v>19</v>
          </cell>
          <cell r="AT2893"/>
          <cell r="AU2893" t="str">
            <v/>
          </cell>
          <cell r="AV2893"/>
        </row>
        <row r="2894">
          <cell r="Z2894">
            <v>8062478</v>
          </cell>
          <cell r="AA2894" t="str">
            <v>Drill Collar 3-1/2"
2-7/8" HT PAC Pin x Box</v>
          </cell>
          <cell r="AB2894">
            <v>367.37926524</v>
          </cell>
          <cell r="AC2894">
            <v>3.5</v>
          </cell>
          <cell r="AD2894">
            <v>9300</v>
          </cell>
          <cell r="AE2894" t="str">
            <v>2-7/8" HT Pac Box</v>
          </cell>
          <cell r="AF2894" t="str">
            <v>2-7/8" HT Pac Pin</v>
          </cell>
          <cell r="AG2894"/>
          <cell r="AH2894" t="str">
            <v>Fabrication en cours</v>
          </cell>
          <cell r="AI2894" t="e">
            <v>#VALUE!</v>
          </cell>
          <cell r="AJ2894">
            <v>0</v>
          </cell>
          <cell r="AK2894" t="str">
            <v>F</v>
          </cell>
          <cell r="AL2894"/>
          <cell r="AM2894"/>
          <cell r="AN2894">
            <v>8062478</v>
          </cell>
          <cell r="AO2894"/>
          <cell r="AP2894"/>
          <cell r="AQ2894"/>
          <cell r="AR2894"/>
          <cell r="AS2894">
            <v>20</v>
          </cell>
          <cell r="AT2894"/>
          <cell r="AU2894" t="str">
            <v/>
          </cell>
          <cell r="AV2894"/>
        </row>
        <row r="2895">
          <cell r="Z2895">
            <v>8062479</v>
          </cell>
          <cell r="AA2895" t="str">
            <v>Drill Collar 3-1/2"
2-7/8" HT PAC Pin x Box</v>
          </cell>
          <cell r="AB2895">
            <v>367.37926524</v>
          </cell>
          <cell r="AC2895">
            <v>3.5</v>
          </cell>
          <cell r="AD2895">
            <v>9300</v>
          </cell>
          <cell r="AE2895" t="str">
            <v>2-7/8" HT Pac Box</v>
          </cell>
          <cell r="AF2895" t="str">
            <v>2-7/8" HT Pac Pin</v>
          </cell>
          <cell r="AG2895"/>
          <cell r="AH2895" t="str">
            <v>Fabrication en cours</v>
          </cell>
          <cell r="AI2895" t="e">
            <v>#VALUE!</v>
          </cell>
          <cell r="AJ2895">
            <v>0</v>
          </cell>
          <cell r="AK2895" t="str">
            <v>F</v>
          </cell>
          <cell r="AL2895"/>
          <cell r="AM2895"/>
          <cell r="AN2895">
            <v>8062479</v>
          </cell>
          <cell r="AO2895"/>
          <cell r="AP2895"/>
          <cell r="AQ2895"/>
          <cell r="AR2895"/>
          <cell r="AS2895">
            <v>21</v>
          </cell>
          <cell r="AT2895"/>
          <cell r="AU2895" t="str">
            <v/>
          </cell>
          <cell r="AV2895"/>
        </row>
        <row r="2896">
          <cell r="Z2896">
            <v>8062480</v>
          </cell>
          <cell r="AA2896" t="str">
            <v>Drill Collar 3-1/2"
2-7/8" HT PAC Pin x Box</v>
          </cell>
          <cell r="AB2896">
            <v>367.37926524</v>
          </cell>
          <cell r="AC2896">
            <v>3.5</v>
          </cell>
          <cell r="AD2896">
            <v>9300</v>
          </cell>
          <cell r="AE2896" t="str">
            <v>2-7/8" HT Pac Box</v>
          </cell>
          <cell r="AF2896" t="str">
            <v>2-7/8" HT Pac Pin</v>
          </cell>
          <cell r="AG2896"/>
          <cell r="AH2896" t="str">
            <v>Fabrication en cours</v>
          </cell>
          <cell r="AI2896" t="e">
            <v>#VALUE!</v>
          </cell>
          <cell r="AJ2896">
            <v>0</v>
          </cell>
          <cell r="AK2896" t="str">
            <v>F</v>
          </cell>
          <cell r="AL2896"/>
          <cell r="AM2896"/>
          <cell r="AN2896">
            <v>8062480</v>
          </cell>
          <cell r="AO2896"/>
          <cell r="AP2896"/>
          <cell r="AQ2896"/>
          <cell r="AR2896"/>
          <cell r="AS2896">
            <v>22</v>
          </cell>
          <cell r="AT2896"/>
          <cell r="AU2896" t="str">
            <v/>
          </cell>
          <cell r="AV2896"/>
        </row>
        <row r="2897">
          <cell r="Z2897">
            <v>8062481</v>
          </cell>
          <cell r="AA2897" t="str">
            <v>Drill Collar 3-1/2"
2-7/8" HT PAC Pin x Box</v>
          </cell>
          <cell r="AB2897">
            <v>367.37926524</v>
          </cell>
          <cell r="AC2897">
            <v>3.5</v>
          </cell>
          <cell r="AD2897">
            <v>9300</v>
          </cell>
          <cell r="AE2897" t="str">
            <v>2-7/8" HT Pac Box</v>
          </cell>
          <cell r="AF2897" t="str">
            <v>2-7/8" HT Pac Pin</v>
          </cell>
          <cell r="AG2897"/>
          <cell r="AH2897" t="str">
            <v>Fabrication en cours</v>
          </cell>
          <cell r="AI2897" t="e">
            <v>#VALUE!</v>
          </cell>
          <cell r="AJ2897">
            <v>0</v>
          </cell>
          <cell r="AK2897" t="str">
            <v>F</v>
          </cell>
          <cell r="AL2897"/>
          <cell r="AM2897"/>
          <cell r="AN2897">
            <v>8062481</v>
          </cell>
          <cell r="AO2897"/>
          <cell r="AP2897"/>
          <cell r="AQ2897"/>
          <cell r="AR2897"/>
          <cell r="AS2897">
            <v>23</v>
          </cell>
          <cell r="AT2897"/>
          <cell r="AU2897" t="str">
            <v/>
          </cell>
          <cell r="AV2897"/>
        </row>
        <row r="2898">
          <cell r="Z2898">
            <v>8062482</v>
          </cell>
          <cell r="AA2898" t="str">
            <v>Drill Collar 3-1/2"
2-7/8" HT PAC Pin x Box</v>
          </cell>
          <cell r="AB2898">
            <v>367.37926524</v>
          </cell>
          <cell r="AC2898">
            <v>3.5</v>
          </cell>
          <cell r="AD2898">
            <v>9300</v>
          </cell>
          <cell r="AE2898" t="str">
            <v>2-7/8" HT Pac Box</v>
          </cell>
          <cell r="AF2898" t="str">
            <v>2-7/8" HT Pac Pin</v>
          </cell>
          <cell r="AG2898"/>
          <cell r="AH2898" t="str">
            <v>Fabrication en cours</v>
          </cell>
          <cell r="AI2898" t="e">
            <v>#VALUE!</v>
          </cell>
          <cell r="AJ2898">
            <v>0</v>
          </cell>
          <cell r="AK2898" t="str">
            <v>F</v>
          </cell>
          <cell r="AL2898"/>
          <cell r="AM2898"/>
          <cell r="AN2898">
            <v>8062482</v>
          </cell>
          <cell r="AO2898"/>
          <cell r="AP2898"/>
          <cell r="AQ2898"/>
          <cell r="AR2898"/>
          <cell r="AS2898">
            <v>24</v>
          </cell>
          <cell r="AT2898"/>
          <cell r="AU2898" t="str">
            <v/>
          </cell>
          <cell r="AV2898"/>
        </row>
        <row r="2899">
          <cell r="Z2899">
            <v>8062483</v>
          </cell>
          <cell r="AA2899" t="str">
            <v>Drill Collar 3-1/2"
2-7/8" HT PAC Pin x Box</v>
          </cell>
          <cell r="AB2899">
            <v>367.37926524</v>
          </cell>
          <cell r="AC2899">
            <v>3.5</v>
          </cell>
          <cell r="AD2899">
            <v>9300</v>
          </cell>
          <cell r="AE2899" t="str">
            <v>2-7/8" HT Pac Box</v>
          </cell>
          <cell r="AF2899" t="str">
            <v>2-7/8" HT Pac Pin</v>
          </cell>
          <cell r="AG2899"/>
          <cell r="AH2899" t="str">
            <v>Fabrication en cours</v>
          </cell>
          <cell r="AI2899" t="e">
            <v>#VALUE!</v>
          </cell>
          <cell r="AJ2899">
            <v>0</v>
          </cell>
          <cell r="AK2899" t="str">
            <v>F</v>
          </cell>
          <cell r="AL2899"/>
          <cell r="AM2899"/>
          <cell r="AN2899">
            <v>8062483</v>
          </cell>
          <cell r="AO2899"/>
          <cell r="AP2899"/>
          <cell r="AQ2899"/>
          <cell r="AR2899"/>
          <cell r="AS2899">
            <v>25</v>
          </cell>
          <cell r="AT2899"/>
          <cell r="AU2899" t="str">
            <v/>
          </cell>
          <cell r="AV2899"/>
        </row>
        <row r="2900">
          <cell r="Z2900">
            <v>8062484</v>
          </cell>
          <cell r="AA2900" t="str">
            <v>Drill Collar 3-1/2"
2-7/8" HT PAC Pin x Box</v>
          </cell>
          <cell r="AB2900">
            <v>367.37926524</v>
          </cell>
          <cell r="AC2900">
            <v>3.5</v>
          </cell>
          <cell r="AD2900">
            <v>9300</v>
          </cell>
          <cell r="AE2900" t="str">
            <v>2-7/8" HT Pac Box</v>
          </cell>
          <cell r="AF2900" t="str">
            <v>2-7/8" HT Pac Pin</v>
          </cell>
          <cell r="AG2900"/>
          <cell r="AH2900" t="str">
            <v>Fabrication en cours</v>
          </cell>
          <cell r="AI2900" t="e">
            <v>#VALUE!</v>
          </cell>
          <cell r="AJ2900">
            <v>0</v>
          </cell>
          <cell r="AK2900" t="str">
            <v>F</v>
          </cell>
          <cell r="AL2900"/>
          <cell r="AM2900"/>
          <cell r="AN2900">
            <v>8062484</v>
          </cell>
          <cell r="AO2900"/>
          <cell r="AP2900"/>
          <cell r="AQ2900"/>
          <cell r="AR2900"/>
          <cell r="AS2900">
            <v>26</v>
          </cell>
          <cell r="AT2900"/>
          <cell r="AU2900" t="str">
            <v/>
          </cell>
          <cell r="AV2900"/>
        </row>
        <row r="2901">
          <cell r="Z2901">
            <v>8062485</v>
          </cell>
          <cell r="AA2901" t="str">
            <v>Drill Collar 3-1/2"
2-7/8" HT PAC Pin x Box</v>
          </cell>
          <cell r="AB2901">
            <v>367.37926524</v>
          </cell>
          <cell r="AC2901">
            <v>3.5</v>
          </cell>
          <cell r="AD2901">
            <v>9300</v>
          </cell>
          <cell r="AE2901" t="str">
            <v>2-7/8" HT Pac Box</v>
          </cell>
          <cell r="AF2901" t="str">
            <v>2-7/8" HT Pac Pin</v>
          </cell>
          <cell r="AG2901"/>
          <cell r="AH2901" t="str">
            <v>Fabrication en cours</v>
          </cell>
          <cell r="AI2901" t="e">
            <v>#VALUE!</v>
          </cell>
          <cell r="AJ2901">
            <v>0</v>
          </cell>
          <cell r="AK2901" t="str">
            <v>F</v>
          </cell>
          <cell r="AL2901"/>
          <cell r="AM2901"/>
          <cell r="AN2901">
            <v>8062485</v>
          </cell>
          <cell r="AO2901"/>
          <cell r="AP2901"/>
          <cell r="AQ2901"/>
          <cell r="AR2901"/>
          <cell r="AS2901">
            <v>27</v>
          </cell>
          <cell r="AT2901"/>
          <cell r="AU2901" t="str">
            <v/>
          </cell>
          <cell r="AV2901"/>
        </row>
        <row r="2902">
          <cell r="Z2902">
            <v>8062486</v>
          </cell>
          <cell r="AA2902" t="str">
            <v>Drill Collar 3-1/2"
2-7/8" HT PAC Pin x Box</v>
          </cell>
          <cell r="AB2902">
            <v>367.37926524</v>
          </cell>
          <cell r="AC2902">
            <v>3.5</v>
          </cell>
          <cell r="AD2902">
            <v>9300</v>
          </cell>
          <cell r="AE2902" t="str">
            <v>2-7/8" HT Pac Box</v>
          </cell>
          <cell r="AF2902" t="str">
            <v>2-7/8" HT Pac Pin</v>
          </cell>
          <cell r="AG2902"/>
          <cell r="AH2902" t="str">
            <v>Fabrication en cours</v>
          </cell>
          <cell r="AI2902" t="e">
            <v>#VALUE!</v>
          </cell>
          <cell r="AJ2902">
            <v>0</v>
          </cell>
          <cell r="AK2902" t="str">
            <v>F</v>
          </cell>
          <cell r="AL2902"/>
          <cell r="AM2902"/>
          <cell r="AN2902">
            <v>8062486</v>
          </cell>
          <cell r="AO2902"/>
          <cell r="AP2902"/>
          <cell r="AQ2902"/>
          <cell r="AR2902"/>
          <cell r="AS2902">
            <v>28</v>
          </cell>
          <cell r="AT2902"/>
          <cell r="AU2902" t="str">
            <v/>
          </cell>
          <cell r="AV2902"/>
        </row>
        <row r="2903">
          <cell r="Z2903">
            <v>8062487</v>
          </cell>
          <cell r="AA2903" t="str">
            <v>Drill Collar 3-1/2"
2-7/8" HT PAC Pin x Box</v>
          </cell>
          <cell r="AB2903">
            <v>367.37926524</v>
          </cell>
          <cell r="AC2903">
            <v>3.5</v>
          </cell>
          <cell r="AD2903">
            <v>9300</v>
          </cell>
          <cell r="AE2903" t="str">
            <v>2-7/8" HT Pac Box</v>
          </cell>
          <cell r="AF2903" t="str">
            <v>2-7/8" HT Pac Pin</v>
          </cell>
          <cell r="AG2903"/>
          <cell r="AH2903" t="str">
            <v>Fabrication en cours</v>
          </cell>
          <cell r="AI2903" t="e">
            <v>#VALUE!</v>
          </cell>
          <cell r="AJ2903">
            <v>0</v>
          </cell>
          <cell r="AK2903" t="str">
            <v>F</v>
          </cell>
          <cell r="AL2903"/>
          <cell r="AM2903"/>
          <cell r="AN2903">
            <v>8062487</v>
          </cell>
          <cell r="AO2903"/>
          <cell r="AP2903"/>
          <cell r="AQ2903"/>
          <cell r="AR2903"/>
          <cell r="AS2903">
            <v>29</v>
          </cell>
          <cell r="AT2903"/>
          <cell r="AU2903" t="str">
            <v/>
          </cell>
          <cell r="AV2903"/>
        </row>
        <row r="2904">
          <cell r="Z2904">
            <v>8062488</v>
          </cell>
          <cell r="AA2904" t="str">
            <v>Drill Collar 3-1/2"
2-7/8" HT PAC Pin x Box</v>
          </cell>
          <cell r="AB2904">
            <v>367.37926524</v>
          </cell>
          <cell r="AC2904">
            <v>3.5</v>
          </cell>
          <cell r="AD2904">
            <v>9300</v>
          </cell>
          <cell r="AE2904" t="str">
            <v>2-7/8" HT Pac Box</v>
          </cell>
          <cell r="AF2904" t="str">
            <v>2-7/8" HT Pac Pin</v>
          </cell>
          <cell r="AG2904"/>
          <cell r="AH2904" t="str">
            <v>Fabrication en cours</v>
          </cell>
          <cell r="AI2904" t="e">
            <v>#VALUE!</v>
          </cell>
          <cell r="AJ2904">
            <v>0</v>
          </cell>
          <cell r="AK2904" t="str">
            <v>F</v>
          </cell>
          <cell r="AL2904"/>
          <cell r="AM2904"/>
          <cell r="AN2904">
            <v>8062488</v>
          </cell>
          <cell r="AO2904"/>
          <cell r="AP2904"/>
          <cell r="AQ2904"/>
          <cell r="AR2904"/>
          <cell r="AS2904">
            <v>30</v>
          </cell>
          <cell r="AT2904"/>
          <cell r="AU2904" t="str">
            <v/>
          </cell>
          <cell r="AV2904"/>
        </row>
        <row r="2905">
          <cell r="Z2905" t="str">
            <v>Kit MWD n°02</v>
          </cell>
          <cell r="AA2905" t="str">
            <v>MWD kit n°02</v>
          </cell>
          <cell r="AB2905">
            <v>0</v>
          </cell>
          <cell r="AC2905"/>
          <cell r="AD2905">
            <v>0</v>
          </cell>
          <cell r="AE2905"/>
          <cell r="AF2905"/>
          <cell r="AG2905"/>
          <cell r="AH2905" t="str">
            <v xml:space="preserve"> en stock </v>
          </cell>
          <cell r="AI2905">
            <v>1</v>
          </cell>
          <cell r="AJ2905">
            <v>0</v>
          </cell>
          <cell r="AK2905">
            <v>0</v>
          </cell>
          <cell r="AL2905"/>
          <cell r="AM2905"/>
          <cell r="AN2905"/>
          <cell r="AO2905"/>
          <cell r="AP2905"/>
          <cell r="AQ2905"/>
          <cell r="AR2905"/>
          <cell r="AS2905">
            <v>9</v>
          </cell>
          <cell r="AT2905"/>
          <cell r="AU2905" t="str">
            <v>CA</v>
          </cell>
          <cell r="AV2905">
            <v>9015808000</v>
          </cell>
        </row>
        <row r="2906">
          <cell r="Z2906" t="str">
            <v>UL3</v>
          </cell>
          <cell r="AA2906" t="str">
            <v>Ultralight (String Pulser + DM + Surface Kit)</v>
          </cell>
          <cell r="AB2906">
            <v>0</v>
          </cell>
          <cell r="AC2906"/>
          <cell r="AD2906">
            <v>0</v>
          </cell>
          <cell r="AE2906"/>
          <cell r="AF2906"/>
          <cell r="AG2906"/>
          <cell r="AH2906" t="str">
            <v xml:space="preserve"> en stock </v>
          </cell>
          <cell r="AI2906">
            <v>1</v>
          </cell>
          <cell r="AJ2906">
            <v>0</v>
          </cell>
          <cell r="AK2906">
            <v>0</v>
          </cell>
          <cell r="AL2906"/>
          <cell r="AM2906"/>
          <cell r="AN2906"/>
          <cell r="AO2906"/>
          <cell r="AP2906"/>
          <cell r="AQ2906"/>
          <cell r="AR2906"/>
          <cell r="AS2906">
            <v>13</v>
          </cell>
          <cell r="AT2906"/>
          <cell r="AU2906" t="str">
            <v>CA</v>
          </cell>
          <cell r="AV2906">
            <v>9015808000</v>
          </cell>
        </row>
        <row r="2907">
          <cell r="Z2907" t="str">
            <v>UL4</v>
          </cell>
          <cell r="AA2907" t="str">
            <v>Ultralight (String Pulser + DM + Surface Kit)</v>
          </cell>
          <cell r="AB2907">
            <v>0</v>
          </cell>
          <cell r="AC2907"/>
          <cell r="AD2907">
            <v>0</v>
          </cell>
          <cell r="AE2907"/>
          <cell r="AF2907"/>
          <cell r="AG2907"/>
          <cell r="AH2907" t="str">
            <v>en stock</v>
          </cell>
          <cell r="AI2907">
            <v>0</v>
          </cell>
          <cell r="AJ2907">
            <v>0</v>
          </cell>
          <cell r="AK2907">
            <v>0</v>
          </cell>
          <cell r="AL2907"/>
          <cell r="AM2907"/>
          <cell r="AN2907"/>
          <cell r="AO2907"/>
          <cell r="AP2907"/>
          <cell r="AQ2907"/>
          <cell r="AR2907"/>
          <cell r="AS2907">
            <v>14</v>
          </cell>
          <cell r="AT2907"/>
          <cell r="AU2907" t="str">
            <v>CA</v>
          </cell>
          <cell r="AV2907">
            <v>9015808000</v>
          </cell>
        </row>
        <row r="2908">
          <cell r="Z2908">
            <v>7122492</v>
          </cell>
          <cell r="AA2908" t="str">
            <v>Releasing Spear HD 8-1/4" OD Mandrel CA 17246
6-5/8" REG Box</v>
          </cell>
          <cell r="AB2908">
            <v>0</v>
          </cell>
          <cell r="AC2908">
            <v>8.25</v>
          </cell>
          <cell r="AD2908" t="str">
            <v>CA 17246</v>
          </cell>
          <cell r="AE2908" t="str">
            <v>6-5/8" REG Box</v>
          </cell>
          <cell r="AF2908">
            <v>0</v>
          </cell>
          <cell r="AG2908"/>
          <cell r="AH2908" t="str">
            <v>en stock</v>
          </cell>
          <cell r="AI2908">
            <v>0</v>
          </cell>
          <cell r="AJ2908" t="str">
            <v>F</v>
          </cell>
          <cell r="AK2908">
            <v>0</v>
          </cell>
          <cell r="AL2908"/>
          <cell r="AM2908"/>
          <cell r="AN2908" t="str">
            <v/>
          </cell>
          <cell r="AO2908"/>
          <cell r="AP2908"/>
          <cell r="AQ2908"/>
          <cell r="AR2908"/>
          <cell r="AS2908">
            <v>33</v>
          </cell>
          <cell r="AT2908"/>
          <cell r="AU2908" t="str">
            <v/>
          </cell>
          <cell r="AV2908"/>
        </row>
        <row r="2909">
          <cell r="Z2909">
            <v>7122493</v>
          </cell>
          <cell r="AA2909" t="str">
            <v>Releasing Spear 8-1/4" OD Mandrel CA 9281
6-5/8" REG Box</v>
          </cell>
          <cell r="AB2909">
            <v>0</v>
          </cell>
          <cell r="AC2909">
            <v>8.25</v>
          </cell>
          <cell r="AD2909" t="str">
            <v>CA 9281</v>
          </cell>
          <cell r="AE2909" t="str">
            <v>6-5/8" REG Box</v>
          </cell>
          <cell r="AF2909">
            <v>0</v>
          </cell>
          <cell r="AG2909"/>
          <cell r="AH2909" t="str">
            <v>en stock</v>
          </cell>
          <cell r="AI2909">
            <v>0</v>
          </cell>
          <cell r="AJ2909" t="str">
            <v>F</v>
          </cell>
          <cell r="AK2909">
            <v>0</v>
          </cell>
          <cell r="AL2909"/>
          <cell r="AM2909"/>
          <cell r="AN2909" t="str">
            <v/>
          </cell>
          <cell r="AO2909"/>
          <cell r="AP2909"/>
          <cell r="AQ2909"/>
          <cell r="AR2909"/>
          <cell r="AS2909">
            <v>31</v>
          </cell>
          <cell r="AT2909"/>
          <cell r="AU2909" t="str">
            <v/>
          </cell>
          <cell r="AV2909"/>
        </row>
        <row r="2910">
          <cell r="Z2910">
            <v>5112494</v>
          </cell>
          <cell r="AA2910" t="str">
            <v>WO Shoe
16" FJWP Box</v>
          </cell>
          <cell r="AB2910">
            <v>89.395621208399859</v>
          </cell>
          <cell r="AC2910">
            <v>16.125</v>
          </cell>
          <cell r="AD2910">
            <v>730</v>
          </cell>
          <cell r="AE2910" t="str">
            <v>16" FJWP Box</v>
          </cell>
          <cell r="AF2910"/>
          <cell r="AG2910" t="str">
            <v>24 PDC</v>
          </cell>
          <cell r="AH2910" t="str">
            <v xml:space="preserve"> en stock </v>
          </cell>
          <cell r="AI2910">
            <v>1</v>
          </cell>
          <cell r="AJ2910">
            <v>0</v>
          </cell>
          <cell r="AK2910">
            <v>0</v>
          </cell>
          <cell r="AL2910"/>
          <cell r="AM2910"/>
          <cell r="AN2910">
            <v>5112494</v>
          </cell>
          <cell r="AO2910"/>
          <cell r="AP2910"/>
          <cell r="AQ2910"/>
          <cell r="AR2910"/>
          <cell r="AS2910">
            <v>234</v>
          </cell>
          <cell r="AT2910"/>
          <cell r="AU2910" t="str">
            <v/>
          </cell>
          <cell r="AV2910"/>
        </row>
        <row r="2911">
          <cell r="Z2911">
            <v>5112495</v>
          </cell>
          <cell r="AA2911" t="str">
            <v>WO Shoe
16" FJWP Box</v>
          </cell>
          <cell r="AB2911">
            <v>86.946426106799848</v>
          </cell>
          <cell r="AC2911">
            <v>16.5</v>
          </cell>
          <cell r="AD2911">
            <v>710</v>
          </cell>
          <cell r="AE2911" t="str">
            <v>16" FJWP Box</v>
          </cell>
          <cell r="AF2911"/>
          <cell r="AG2911" t="str">
            <v>30 PDC</v>
          </cell>
          <cell r="AH2911" t="str">
            <v xml:space="preserve"> en stock </v>
          </cell>
          <cell r="AI2911">
            <v>1</v>
          </cell>
          <cell r="AJ2911">
            <v>0</v>
          </cell>
          <cell r="AK2911">
            <v>0</v>
          </cell>
          <cell r="AL2911"/>
          <cell r="AM2911"/>
          <cell r="AN2911">
            <v>5112495</v>
          </cell>
          <cell r="AO2911"/>
          <cell r="AP2911"/>
          <cell r="AQ2911"/>
          <cell r="AR2911"/>
          <cell r="AS2911">
            <v>235</v>
          </cell>
          <cell r="AT2911"/>
          <cell r="AU2911" t="str">
            <v/>
          </cell>
          <cell r="AV2911"/>
        </row>
        <row r="2912">
          <cell r="Z2912">
            <v>6042496</v>
          </cell>
          <cell r="AA2912" t="str">
            <v>3-1/2" OD UBHO
2-3/8" IF Pin x 2-7/8" PH6 Box</v>
          </cell>
          <cell r="AB2912">
            <v>30.022391567999996</v>
          </cell>
          <cell r="AC2912">
            <v>3.5</v>
          </cell>
          <cell r="AD2912">
            <v>760</v>
          </cell>
          <cell r="AE2912" t="str">
            <v>2-7/8" PH6 Box</v>
          </cell>
          <cell r="AF2912" t="str">
            <v>2-3/8" IF Pin</v>
          </cell>
          <cell r="AG2912"/>
          <cell r="AH2912" t="str">
            <v>sur chantier</v>
          </cell>
          <cell r="AI2912" t="str">
            <v/>
          </cell>
          <cell r="AJ2912">
            <v>1</v>
          </cell>
          <cell r="AK2912">
            <v>0</v>
          </cell>
          <cell r="AL2912"/>
          <cell r="AM2912"/>
          <cell r="AN2912" t="str">
            <v/>
          </cell>
          <cell r="AO2912"/>
          <cell r="AP2912"/>
          <cell r="AQ2912"/>
          <cell r="AR2912"/>
          <cell r="AS2912">
            <v>8</v>
          </cell>
          <cell r="AT2912"/>
          <cell r="AU2912" t="str">
            <v>FR</v>
          </cell>
          <cell r="AV2912"/>
        </row>
        <row r="2913">
          <cell r="Z2913">
            <v>6042497</v>
          </cell>
          <cell r="AA2913" t="str">
            <v>3-1/2" OD UBHO
2-3/8" IF Pin x 2-7/8" PH6 Box</v>
          </cell>
          <cell r="AB2913">
            <v>30.022391567999996</v>
          </cell>
          <cell r="AC2913">
            <v>3.5</v>
          </cell>
          <cell r="AD2913">
            <v>760</v>
          </cell>
          <cell r="AE2913" t="str">
            <v>2-7/8" PH6 Box</v>
          </cell>
          <cell r="AF2913" t="str">
            <v>2-3/8" IF Pin</v>
          </cell>
          <cell r="AG2913"/>
          <cell r="AH2913" t="str">
            <v>sur chantier</v>
          </cell>
          <cell r="AI2913" t="str">
            <v/>
          </cell>
          <cell r="AJ2913">
            <v>1</v>
          </cell>
          <cell r="AK2913">
            <v>0</v>
          </cell>
          <cell r="AL2913"/>
          <cell r="AM2913"/>
          <cell r="AN2913" t="str">
            <v/>
          </cell>
          <cell r="AO2913"/>
          <cell r="AP2913"/>
          <cell r="AQ2913"/>
          <cell r="AR2913"/>
          <cell r="AS2913">
            <v>9</v>
          </cell>
          <cell r="AT2913"/>
          <cell r="AU2913" t="str">
            <v>FR</v>
          </cell>
          <cell r="AV2913"/>
        </row>
        <row r="2914">
          <cell r="Z2914">
            <v>6042498</v>
          </cell>
          <cell r="AA2914" t="str">
            <v>3-1/2" OD UBHO
2-3/8" IF Pin x 2-7/8" PH6 Box</v>
          </cell>
          <cell r="AB2914">
            <v>30.022391567999996</v>
          </cell>
          <cell r="AC2914">
            <v>3.5</v>
          </cell>
          <cell r="AD2914">
            <v>760</v>
          </cell>
          <cell r="AE2914" t="str">
            <v>2-7/8" PH6 Box</v>
          </cell>
          <cell r="AF2914" t="str">
            <v>2-3/8" IF Pin</v>
          </cell>
          <cell r="AG2914"/>
          <cell r="AH2914" t="str">
            <v>sur chantier</v>
          </cell>
          <cell r="AI2914" t="str">
            <v/>
          </cell>
          <cell r="AJ2914">
            <v>1</v>
          </cell>
          <cell r="AK2914">
            <v>0</v>
          </cell>
          <cell r="AL2914"/>
          <cell r="AM2914"/>
          <cell r="AN2914" t="str">
            <v/>
          </cell>
          <cell r="AO2914"/>
          <cell r="AP2914"/>
          <cell r="AQ2914"/>
          <cell r="AR2914"/>
          <cell r="AS2914">
            <v>10</v>
          </cell>
          <cell r="AT2914"/>
          <cell r="AU2914" t="str">
            <v>FR</v>
          </cell>
          <cell r="AV2914"/>
        </row>
        <row r="2915">
          <cell r="Z2915">
            <v>3050208</v>
          </cell>
          <cell r="AA2915" t="str">
            <v>8200
4-1/2" REG Pin up x nose down</v>
          </cell>
          <cell r="AB2915">
            <v>0</v>
          </cell>
          <cell r="AC2915">
            <v>8200</v>
          </cell>
          <cell r="AD2915">
            <v>1790</v>
          </cell>
          <cell r="AE2915" t="str">
            <v>4-1/2" REG Pin</v>
          </cell>
          <cell r="AF2915" t="str">
            <v>nose</v>
          </cell>
          <cell r="AG2915"/>
          <cell r="AH2915" t="str">
            <v>en stock</v>
          </cell>
          <cell r="AI2915">
            <v>0</v>
          </cell>
          <cell r="AJ2915">
            <v>0</v>
          </cell>
          <cell r="AK2915">
            <v>1</v>
          </cell>
          <cell r="AL2915"/>
          <cell r="AM2915"/>
          <cell r="AN2915" t="str">
            <v/>
          </cell>
          <cell r="AO2915"/>
          <cell r="AP2915"/>
          <cell r="AQ2915"/>
          <cell r="AR2915"/>
          <cell r="AS2915">
            <v>9</v>
          </cell>
          <cell r="AT2915"/>
          <cell r="AU2915" t="str">
            <v/>
          </cell>
          <cell r="AV2915"/>
        </row>
        <row r="2916">
          <cell r="Z2916">
            <v>5112500</v>
          </cell>
          <cell r="AA2916" t="str">
            <v>WO Shoe
5-1/2" FJWP Box</v>
          </cell>
          <cell r="AB2916">
            <v>0</v>
          </cell>
          <cell r="AC2916">
            <v>0</v>
          </cell>
          <cell r="AD2916">
            <v>0</v>
          </cell>
          <cell r="AE2916" t="str">
            <v>5-1/2" FJWP Box</v>
          </cell>
          <cell r="AF2916"/>
          <cell r="AG2916" t="str">
            <v>CC</v>
          </cell>
          <cell r="AH2916" t="str">
            <v xml:space="preserve"> en stock </v>
          </cell>
          <cell r="AI2916">
            <v>1</v>
          </cell>
          <cell r="AJ2916">
            <v>0</v>
          </cell>
          <cell r="AK2916">
            <v>0</v>
          </cell>
          <cell r="AL2916"/>
          <cell r="AM2916"/>
          <cell r="AN2916" t="str">
            <v/>
          </cell>
          <cell r="AO2916"/>
          <cell r="AP2916"/>
          <cell r="AQ2916"/>
          <cell r="AR2916"/>
          <cell r="AS2916">
            <v>127</v>
          </cell>
          <cell r="AT2916"/>
          <cell r="AU2916" t="str">
            <v/>
          </cell>
          <cell r="AV2916"/>
        </row>
        <row r="2917">
          <cell r="Z2917">
            <v>5892501</v>
          </cell>
          <cell r="AA2917" t="str">
            <v>WO Internal Hook Lg 0 mm
5-1/2" FJWP Pin x Box</v>
          </cell>
          <cell r="AB2917">
            <v>0</v>
          </cell>
          <cell r="AC2917">
            <v>5.5</v>
          </cell>
          <cell r="AD2917">
            <v>0</v>
          </cell>
          <cell r="AE2917" t="str">
            <v>5-1/2" FJWP Box</v>
          </cell>
          <cell r="AF2917" t="str">
            <v>5-1/2" FJWP Pin</v>
          </cell>
          <cell r="AG2917"/>
          <cell r="AH2917" t="str">
            <v xml:space="preserve"> en stock </v>
          </cell>
          <cell r="AI2917">
            <v>1</v>
          </cell>
          <cell r="AJ2917">
            <v>0</v>
          </cell>
          <cell r="AK2917">
            <v>0</v>
          </cell>
          <cell r="AL2917"/>
          <cell r="AM2917"/>
          <cell r="AN2917" t="str">
            <v/>
          </cell>
          <cell r="AO2917"/>
          <cell r="AP2917"/>
          <cell r="AQ2917"/>
          <cell r="AR2917"/>
          <cell r="AS2917">
            <v>13</v>
          </cell>
          <cell r="AT2917" t="str">
            <v>509-5,500FJWP</v>
          </cell>
          <cell r="AU2917" t="str">
            <v/>
          </cell>
          <cell r="AV2917"/>
        </row>
        <row r="2918">
          <cell r="Z2918">
            <v>8132502</v>
          </cell>
          <cell r="AA2918" t="str">
            <v>XO
4" FH Pin x 4-1/2" IF Box</v>
          </cell>
          <cell r="AB2918">
            <v>121.17281662565622</v>
          </cell>
          <cell r="AC2918">
            <v>6.625</v>
          </cell>
          <cell r="AD2918">
            <v>790</v>
          </cell>
          <cell r="AE2918" t="str">
            <v>4" FH Pin</v>
          </cell>
          <cell r="AF2918" t="str">
            <v>4-1/2" IF Box</v>
          </cell>
          <cell r="AG2918"/>
          <cell r="AH2918" t="str">
            <v xml:space="preserve"> en stock </v>
          </cell>
          <cell r="AI2918">
            <v>1</v>
          </cell>
          <cell r="AJ2918">
            <v>0</v>
          </cell>
          <cell r="AK2918">
            <v>0</v>
          </cell>
          <cell r="AL2918"/>
          <cell r="AM2918"/>
          <cell r="AN2918" t="str">
            <v/>
          </cell>
          <cell r="AO2918"/>
          <cell r="AP2918"/>
          <cell r="AQ2918"/>
          <cell r="AR2918"/>
          <cell r="AS2918">
            <v>242</v>
          </cell>
          <cell r="AT2918"/>
          <cell r="AU2918" t="str">
            <v>FR</v>
          </cell>
          <cell r="AV2918"/>
        </row>
        <row r="2919">
          <cell r="Z2919">
            <v>8132503</v>
          </cell>
          <cell r="AA2919" t="str">
            <v>XO
4" FH Pin x 4-1/2" IF Box</v>
          </cell>
          <cell r="AB2919">
            <v>122.70664974749995</v>
          </cell>
          <cell r="AC2919">
            <v>6.625</v>
          </cell>
          <cell r="AD2919">
            <v>800</v>
          </cell>
          <cell r="AE2919" t="str">
            <v>4" FH Pin</v>
          </cell>
          <cell r="AF2919" t="str">
            <v>4-1/2" IF Box</v>
          </cell>
          <cell r="AG2919"/>
          <cell r="AH2919" t="str">
            <v xml:space="preserve"> en stock </v>
          </cell>
          <cell r="AI2919">
            <v>1</v>
          </cell>
          <cell r="AJ2919">
            <v>0</v>
          </cell>
          <cell r="AK2919">
            <v>0</v>
          </cell>
          <cell r="AL2919"/>
          <cell r="AM2919"/>
          <cell r="AN2919" t="str">
            <v/>
          </cell>
          <cell r="AO2919"/>
          <cell r="AP2919"/>
          <cell r="AQ2919"/>
          <cell r="AR2919"/>
          <cell r="AS2919">
            <v>243</v>
          </cell>
          <cell r="AT2919"/>
          <cell r="AU2919" t="str">
            <v>FR</v>
          </cell>
          <cell r="AV2919"/>
        </row>
        <row r="2920">
          <cell r="Z2920">
            <v>8132504</v>
          </cell>
          <cell r="AA2920" t="str">
            <v>XO
4-1/2" IF Pin x 4" FH Box</v>
          </cell>
          <cell r="AB2920">
            <v>122.70664974749995</v>
          </cell>
          <cell r="AC2920">
            <v>6.625</v>
          </cell>
          <cell r="AD2920">
            <v>800</v>
          </cell>
          <cell r="AE2920" t="str">
            <v>4-1/2" IF Pin</v>
          </cell>
          <cell r="AF2920" t="str">
            <v>4" FH Box</v>
          </cell>
          <cell r="AG2920"/>
          <cell r="AH2920" t="str">
            <v xml:space="preserve"> en stock </v>
          </cell>
          <cell r="AI2920">
            <v>1</v>
          </cell>
          <cell r="AJ2920">
            <v>0</v>
          </cell>
          <cell r="AK2920">
            <v>0</v>
          </cell>
          <cell r="AL2920"/>
          <cell r="AM2920"/>
          <cell r="AN2920" t="str">
            <v/>
          </cell>
          <cell r="AO2920"/>
          <cell r="AP2920"/>
          <cell r="AQ2920"/>
          <cell r="AR2920"/>
          <cell r="AS2920">
            <v>244</v>
          </cell>
          <cell r="AT2920"/>
          <cell r="AU2920" t="str">
            <v>FR</v>
          </cell>
          <cell r="AV2920"/>
        </row>
        <row r="2921">
          <cell r="Z2921">
            <v>8132505</v>
          </cell>
          <cell r="AA2921" t="str">
            <v>XO
4-1/2" IF Pin x 4" FH Box</v>
          </cell>
          <cell r="AB2921">
            <v>121.17281662565622</v>
          </cell>
          <cell r="AC2921">
            <v>6.625</v>
          </cell>
          <cell r="AD2921">
            <v>790</v>
          </cell>
          <cell r="AE2921" t="str">
            <v>4-1/2" IF Pin</v>
          </cell>
          <cell r="AF2921" t="str">
            <v>4" FH Box</v>
          </cell>
          <cell r="AG2921"/>
          <cell r="AH2921" t="str">
            <v xml:space="preserve"> en stock </v>
          </cell>
          <cell r="AI2921">
            <v>1</v>
          </cell>
          <cell r="AJ2921">
            <v>0</v>
          </cell>
          <cell r="AK2921">
            <v>0</v>
          </cell>
          <cell r="AL2921"/>
          <cell r="AM2921"/>
          <cell r="AN2921" t="str">
            <v/>
          </cell>
          <cell r="AO2921"/>
          <cell r="AP2921"/>
          <cell r="AQ2921"/>
          <cell r="AR2921"/>
          <cell r="AS2921">
            <v>245</v>
          </cell>
          <cell r="AT2921"/>
          <cell r="AU2921" t="str">
            <v>FR</v>
          </cell>
          <cell r="AV2921"/>
        </row>
        <row r="2922">
          <cell r="Z2922">
            <v>8132506</v>
          </cell>
          <cell r="AA2922" t="str">
            <v>XO
3-1/2" IF Pin x 4" FH Box</v>
          </cell>
          <cell r="AB2922">
            <v>56.410493630399984</v>
          </cell>
          <cell r="AC2922">
            <v>5.75</v>
          </cell>
          <cell r="AD2922">
            <v>510</v>
          </cell>
          <cell r="AE2922" t="str">
            <v>3-1/2" IF Pin</v>
          </cell>
          <cell r="AF2922" t="str">
            <v>4" FH Box</v>
          </cell>
          <cell r="AG2922"/>
          <cell r="AH2922" t="str">
            <v xml:space="preserve"> en stock </v>
          </cell>
          <cell r="AI2922">
            <v>1</v>
          </cell>
          <cell r="AJ2922">
            <v>0</v>
          </cell>
          <cell r="AK2922">
            <v>0</v>
          </cell>
          <cell r="AL2922"/>
          <cell r="AM2922"/>
          <cell r="AN2922" t="str">
            <v/>
          </cell>
          <cell r="AO2922"/>
          <cell r="AP2922"/>
          <cell r="AQ2922"/>
          <cell r="AR2922"/>
          <cell r="AS2922">
            <v>246</v>
          </cell>
          <cell r="AT2922"/>
          <cell r="AU2922" t="str">
            <v>FR</v>
          </cell>
          <cell r="AV2922"/>
        </row>
        <row r="2923">
          <cell r="Z2923">
            <v>8132507</v>
          </cell>
          <cell r="AA2923" t="str">
            <v>XO
3-1/2" IF Pin x 4" FH Box</v>
          </cell>
          <cell r="AB2923">
            <v>56.410493630399984</v>
          </cell>
          <cell r="AC2923">
            <v>5.75</v>
          </cell>
          <cell r="AD2923">
            <v>510</v>
          </cell>
          <cell r="AE2923" t="str">
            <v>3-1/2" IF Pin</v>
          </cell>
          <cell r="AF2923" t="str">
            <v>4" FH Box</v>
          </cell>
          <cell r="AG2923"/>
          <cell r="AH2923" t="str">
            <v xml:space="preserve"> en stock </v>
          </cell>
          <cell r="AI2923">
            <v>1</v>
          </cell>
          <cell r="AJ2923">
            <v>0</v>
          </cell>
          <cell r="AK2923">
            <v>0</v>
          </cell>
          <cell r="AL2923"/>
          <cell r="AM2923"/>
          <cell r="AN2923" t="str">
            <v/>
          </cell>
          <cell r="AO2923"/>
          <cell r="AP2923"/>
          <cell r="AQ2923"/>
          <cell r="AR2923"/>
          <cell r="AS2923">
            <v>247</v>
          </cell>
          <cell r="AT2923"/>
          <cell r="AU2923" t="str">
            <v>FR</v>
          </cell>
          <cell r="AV2923"/>
        </row>
        <row r="2924">
          <cell r="Z2924">
            <v>1032508</v>
          </cell>
          <cell r="AA2924" t="str">
            <v>Casing Scraper 2-7/8" OD Body
2-3/8" HT PAC Pin x 2-3/8" HT PAC Box</v>
          </cell>
          <cell r="AB2924">
            <v>0</v>
          </cell>
          <cell r="AC2924">
            <v>2.875</v>
          </cell>
          <cell r="AD2924">
            <v>0</v>
          </cell>
          <cell r="AE2924" t="str">
            <v>2-3/8" HT PAC Pin</v>
          </cell>
          <cell r="AF2924" t="str">
            <v>2-3/8" HT PAC Box</v>
          </cell>
          <cell r="AG2924"/>
          <cell r="AH2924" t="str">
            <v>en stock</v>
          </cell>
          <cell r="AI2924">
            <v>0</v>
          </cell>
          <cell r="AJ2924" t="str">
            <v>F</v>
          </cell>
          <cell r="AK2924">
            <v>0</v>
          </cell>
          <cell r="AL2924"/>
          <cell r="AM2924"/>
          <cell r="AN2924" t="str">
            <v/>
          </cell>
          <cell r="AO2924"/>
          <cell r="AP2924"/>
          <cell r="AQ2924"/>
          <cell r="AR2924"/>
          <cell r="AS2924">
            <v>6</v>
          </cell>
          <cell r="AT2924"/>
          <cell r="AU2924" t="str">
            <v>FR</v>
          </cell>
          <cell r="AV2924"/>
        </row>
        <row r="2925">
          <cell r="Z2925">
            <v>6152509</v>
          </cell>
          <cell r="AA2925" t="str">
            <v>8" OD Top Mounted Sub</v>
          </cell>
          <cell r="AB2925">
            <v>0</v>
          </cell>
          <cell r="AC2925">
            <v>8</v>
          </cell>
          <cell r="AD2925">
            <v>0</v>
          </cell>
          <cell r="AE2925" t="str">
            <v>6-5/8" REG Box</v>
          </cell>
          <cell r="AF2925" t="str">
            <v>6-5/8" REG Pin</v>
          </cell>
          <cell r="AG2925"/>
          <cell r="AH2925" t="e">
            <v>#VALUE!</v>
          </cell>
          <cell r="AI2925" t="e">
            <v>#VALUE!</v>
          </cell>
          <cell r="AJ2925" t="str">
            <v>F</v>
          </cell>
          <cell r="AK2925">
            <v>0</v>
          </cell>
          <cell r="AL2925"/>
          <cell r="AM2925"/>
          <cell r="AN2925" t="str">
            <v/>
          </cell>
          <cell r="AO2925"/>
          <cell r="AP2925"/>
          <cell r="AQ2925"/>
          <cell r="AR2925"/>
          <cell r="AS2925">
            <v>52</v>
          </cell>
          <cell r="AT2925"/>
          <cell r="AU2925" t="str">
            <v>FR</v>
          </cell>
          <cell r="AV2925"/>
        </row>
        <row r="2926">
          <cell r="Z2926">
            <v>6152510</v>
          </cell>
          <cell r="AA2926" t="str">
            <v>8" OD Top Mounted Sub</v>
          </cell>
          <cell r="AB2926">
            <v>0</v>
          </cell>
          <cell r="AC2926">
            <v>8</v>
          </cell>
          <cell r="AD2926">
            <v>0</v>
          </cell>
          <cell r="AE2926" t="str">
            <v>6-5/8" REG Box</v>
          </cell>
          <cell r="AF2926" t="str">
            <v>6-5/8" REG Pin</v>
          </cell>
          <cell r="AG2926"/>
          <cell r="AH2926" t="e">
            <v>#VALUE!</v>
          </cell>
          <cell r="AI2926" t="e">
            <v>#VALUE!</v>
          </cell>
          <cell r="AJ2926" t="str">
            <v>F</v>
          </cell>
          <cell r="AK2926">
            <v>0</v>
          </cell>
          <cell r="AL2926"/>
          <cell r="AM2926"/>
          <cell r="AN2926" t="str">
            <v/>
          </cell>
          <cell r="AO2926"/>
          <cell r="AP2926"/>
          <cell r="AQ2926"/>
          <cell r="AR2926"/>
          <cell r="AS2926">
            <v>53</v>
          </cell>
          <cell r="AT2926"/>
          <cell r="AU2926" t="str">
            <v>FR</v>
          </cell>
          <cell r="AV2926"/>
        </row>
        <row r="2927">
          <cell r="Z2927">
            <v>6152511</v>
          </cell>
          <cell r="AA2927" t="str">
            <v>8" OD Top Mounted Sub</v>
          </cell>
          <cell r="AB2927">
            <v>0</v>
          </cell>
          <cell r="AC2927">
            <v>8</v>
          </cell>
          <cell r="AD2927">
            <v>0</v>
          </cell>
          <cell r="AE2927" t="str">
            <v>6-5/8" REG Box</v>
          </cell>
          <cell r="AF2927" t="str">
            <v>6-5/8" REG Pin</v>
          </cell>
          <cell r="AG2927"/>
          <cell r="AH2927" t="e">
            <v>#VALUE!</v>
          </cell>
          <cell r="AI2927" t="e">
            <v>#VALUE!</v>
          </cell>
          <cell r="AJ2927" t="str">
            <v>F</v>
          </cell>
          <cell r="AK2927">
            <v>0</v>
          </cell>
          <cell r="AL2927"/>
          <cell r="AM2927"/>
          <cell r="AN2927" t="str">
            <v/>
          </cell>
          <cell r="AO2927"/>
          <cell r="AP2927"/>
          <cell r="AQ2927"/>
          <cell r="AR2927"/>
          <cell r="AS2927">
            <v>54</v>
          </cell>
          <cell r="AT2927"/>
          <cell r="AU2927" t="str">
            <v>FR</v>
          </cell>
          <cell r="AV2927"/>
        </row>
        <row r="2928">
          <cell r="Z2928">
            <v>0</v>
          </cell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 t="str">
            <v/>
          </cell>
          <cell r="AV2928"/>
        </row>
        <row r="2929">
          <cell r="Z2929">
            <v>0</v>
          </cell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 t="str">
            <v/>
          </cell>
          <cell r="AV2929"/>
        </row>
        <row r="2930">
          <cell r="Z2930">
            <v>0</v>
          </cell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 t="str">
            <v/>
          </cell>
          <cell r="AV2930"/>
        </row>
        <row r="2931">
          <cell r="Z2931">
            <v>0</v>
          </cell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 t="str">
            <v/>
          </cell>
          <cell r="AV2931"/>
        </row>
        <row r="2932">
          <cell r="Z2932">
            <v>0</v>
          </cell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 t="str">
            <v/>
          </cell>
          <cell r="AV2932"/>
        </row>
        <row r="2933">
          <cell r="Z2933">
            <v>0</v>
          </cell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 t="str">
            <v/>
          </cell>
          <cell r="AV2933"/>
        </row>
        <row r="2934">
          <cell r="Z2934">
            <v>0</v>
          </cell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 t="str">
            <v/>
          </cell>
          <cell r="AV2934"/>
        </row>
        <row r="2935">
          <cell r="Z2935">
            <v>0</v>
          </cell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 t="str">
            <v/>
          </cell>
          <cell r="AV2935"/>
        </row>
        <row r="2936">
          <cell r="Z2936">
            <v>0</v>
          </cell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 t="str">
            <v/>
          </cell>
          <cell r="AV2936"/>
        </row>
        <row r="2937">
          <cell r="Z2937">
            <v>0</v>
          </cell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 t="str">
            <v/>
          </cell>
          <cell r="AV2937"/>
        </row>
        <row r="2938">
          <cell r="Z2938">
            <v>0</v>
          </cell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 t="str">
            <v/>
          </cell>
          <cell r="AV2938"/>
        </row>
        <row r="2939">
          <cell r="Z2939">
            <v>0</v>
          </cell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 t="str">
            <v/>
          </cell>
          <cell r="AV2939"/>
        </row>
        <row r="2940">
          <cell r="Z2940">
            <v>0</v>
          </cell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 t="str">
            <v/>
          </cell>
          <cell r="AV2940"/>
        </row>
        <row r="2941">
          <cell r="Z2941">
            <v>0</v>
          </cell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 t="str">
            <v/>
          </cell>
          <cell r="AV2941"/>
        </row>
        <row r="2942">
          <cell r="Z2942">
            <v>0</v>
          </cell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 t="str">
            <v/>
          </cell>
          <cell r="AV2942"/>
        </row>
        <row r="2943">
          <cell r="Z2943">
            <v>0</v>
          </cell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 t="str">
            <v/>
          </cell>
          <cell r="AV2943"/>
        </row>
        <row r="2944">
          <cell r="Z2944">
            <v>0</v>
          </cell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 t="str">
            <v/>
          </cell>
          <cell r="AV2944"/>
        </row>
        <row r="2945">
          <cell r="Z2945">
            <v>0</v>
          </cell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 t="str">
            <v/>
          </cell>
          <cell r="AV2945"/>
        </row>
        <row r="2946">
          <cell r="Z2946">
            <v>0</v>
          </cell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 t="str">
            <v/>
          </cell>
          <cell r="AV2946"/>
        </row>
        <row r="2947">
          <cell r="Z2947">
            <v>0</v>
          </cell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 t="str">
            <v/>
          </cell>
          <cell r="AV2947"/>
        </row>
        <row r="2948">
          <cell r="Z2948">
            <v>0</v>
          </cell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 t="str">
            <v/>
          </cell>
          <cell r="AV2948"/>
        </row>
        <row r="2949">
          <cell r="Z2949">
            <v>0</v>
          </cell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 t="str">
            <v/>
          </cell>
          <cell r="AV2949"/>
        </row>
        <row r="2950">
          <cell r="Z2950">
            <v>0</v>
          </cell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 t="str">
            <v/>
          </cell>
          <cell r="AV2950"/>
        </row>
        <row r="2951">
          <cell r="Z2951">
            <v>0</v>
          </cell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 t="str">
            <v/>
          </cell>
          <cell r="AV2951"/>
        </row>
        <row r="2952">
          <cell r="Z2952">
            <v>0</v>
          </cell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 t="str">
            <v/>
          </cell>
          <cell r="AV2952"/>
        </row>
        <row r="2953">
          <cell r="Z2953">
            <v>0</v>
          </cell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 t="str">
            <v/>
          </cell>
          <cell r="AV2953"/>
        </row>
        <row r="2954">
          <cell r="Z2954">
            <v>0</v>
          </cell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 t="str">
            <v/>
          </cell>
          <cell r="AV2954"/>
        </row>
        <row r="2955">
          <cell r="Z2955">
            <v>0</v>
          </cell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 t="str">
            <v/>
          </cell>
          <cell r="AV2955"/>
        </row>
        <row r="2956">
          <cell r="Z2956">
            <v>0</v>
          </cell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 t="str">
            <v/>
          </cell>
          <cell r="AV2956"/>
        </row>
        <row r="2957">
          <cell r="Z2957">
            <v>0</v>
          </cell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 t="str">
            <v/>
          </cell>
          <cell r="AV2957"/>
        </row>
        <row r="2958">
          <cell r="Z2958">
            <v>0</v>
          </cell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 t="str">
            <v/>
          </cell>
          <cell r="AV2958"/>
        </row>
        <row r="2959">
          <cell r="Z2959">
            <v>0</v>
          </cell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 t="str">
            <v/>
          </cell>
          <cell r="AV2959"/>
        </row>
        <row r="2961">
          <cell r="Z2961">
            <v>33700000004</v>
          </cell>
          <cell r="AA2961" t="str">
            <v>External Casing Patch for 7" csg</v>
          </cell>
          <cell r="AB2961">
            <v>0</v>
          </cell>
          <cell r="AC2961">
            <v>8.375</v>
          </cell>
          <cell r="AD2961" t="str">
            <v>Lead</v>
          </cell>
          <cell r="AE2961">
            <v>0</v>
          </cell>
          <cell r="AF2961"/>
          <cell r="AG2961"/>
          <cell r="AH2961" t="str">
            <v>en stock</v>
          </cell>
          <cell r="AI2961">
            <v>1</v>
          </cell>
          <cell r="AJ2961">
            <v>0</v>
          </cell>
          <cell r="AK2961">
            <v>0</v>
          </cell>
          <cell r="AL2961"/>
          <cell r="AM2961"/>
          <cell r="AN2961" t="str">
            <v/>
          </cell>
          <cell r="AO2961"/>
          <cell r="AP2961"/>
          <cell r="AQ2961"/>
          <cell r="AR2961"/>
          <cell r="AS2961">
            <v>5</v>
          </cell>
          <cell r="AT2961"/>
          <cell r="AU2961" t="str">
            <v/>
          </cell>
          <cell r="AV2961"/>
        </row>
        <row r="2962">
          <cell r="Z2962">
            <v>33107500006</v>
          </cell>
          <cell r="AA2962" t="str">
            <v>External Casing Patch for 10-3/4" csg w/ oversize guide</v>
          </cell>
          <cell r="AB2962">
            <v>0</v>
          </cell>
          <cell r="AC2962">
            <v>12.0625</v>
          </cell>
          <cell r="AD2962">
            <v>0</v>
          </cell>
          <cell r="AE2962">
            <v>0</v>
          </cell>
          <cell r="AF2962"/>
          <cell r="AG2962"/>
          <cell r="AH2962" t="str">
            <v>en stock</v>
          </cell>
          <cell r="AI2962">
            <v>1</v>
          </cell>
          <cell r="AJ2962">
            <v>0</v>
          </cell>
          <cell r="AK2962">
            <v>0</v>
          </cell>
          <cell r="AL2962"/>
          <cell r="AM2962"/>
          <cell r="AN2962" t="str">
            <v/>
          </cell>
          <cell r="AO2962"/>
          <cell r="AP2962"/>
          <cell r="AQ2962"/>
          <cell r="AR2962"/>
          <cell r="AS2962">
            <v>7</v>
          </cell>
          <cell r="AT2962"/>
          <cell r="AU2962" t="str">
            <v/>
          </cell>
          <cell r="AV2962"/>
        </row>
        <row r="2963">
          <cell r="Z2963">
            <v>33107500003</v>
          </cell>
          <cell r="AA2963" t="str">
            <v>External Casing Patch for 10-3/4" csg</v>
          </cell>
          <cell r="AB2963">
            <v>0</v>
          </cell>
          <cell r="AC2963">
            <v>13.625</v>
          </cell>
          <cell r="AD2963">
            <v>0</v>
          </cell>
          <cell r="AE2963">
            <v>0</v>
          </cell>
          <cell r="AF2963"/>
          <cell r="AG2963"/>
          <cell r="AH2963" t="str">
            <v>en stock</v>
          </cell>
          <cell r="AI2963">
            <v>1</v>
          </cell>
          <cell r="AJ2963">
            <v>0</v>
          </cell>
          <cell r="AK2963">
            <v>0</v>
          </cell>
          <cell r="AL2963"/>
          <cell r="AM2963"/>
          <cell r="AN2963" t="str">
            <v/>
          </cell>
          <cell r="AO2963"/>
          <cell r="AP2963"/>
          <cell r="AQ2963"/>
          <cell r="AR2963"/>
          <cell r="AS2963">
            <v>8</v>
          </cell>
          <cell r="AT2963"/>
          <cell r="AU2963" t="str">
            <v/>
          </cell>
          <cell r="AV2963"/>
        </row>
        <row r="2964">
          <cell r="Z2964">
            <v>24020568050</v>
          </cell>
          <cell r="AA2964" t="str">
            <v>Junk Basket ITCO type 5" OD body
3-1/2" REG Box</v>
          </cell>
          <cell r="AB2964">
            <v>132</v>
          </cell>
          <cell r="AC2964">
            <v>5</v>
          </cell>
          <cell r="AD2964">
            <v>1740</v>
          </cell>
          <cell r="AE2964" t="str">
            <v>3-1/2" REG Box</v>
          </cell>
          <cell r="AF2964">
            <v>5</v>
          </cell>
          <cell r="AG2964"/>
          <cell r="AH2964" t="str">
            <v>en stock</v>
          </cell>
          <cell r="AI2964">
            <v>1</v>
          </cell>
          <cell r="AJ2964">
            <v>0</v>
          </cell>
          <cell r="AK2964">
            <v>0</v>
          </cell>
          <cell r="AL2964"/>
          <cell r="AM2964"/>
          <cell r="AN2964" t="str">
            <v/>
          </cell>
          <cell r="AO2964"/>
          <cell r="AP2964"/>
          <cell r="AQ2964"/>
          <cell r="AR2964"/>
          <cell r="AS2964">
            <v>5</v>
          </cell>
          <cell r="AT2964"/>
          <cell r="AU2964" t="str">
            <v/>
          </cell>
          <cell r="AV2964"/>
        </row>
        <row r="2965">
          <cell r="Z2965">
            <v>13181250006</v>
          </cell>
          <cell r="AA2965" t="str">
            <v>Junk Basket ITCO type 8-1/8" OD body
4-1/2" IF Box</v>
          </cell>
          <cell r="AB2965">
            <v>78</v>
          </cell>
          <cell r="AC2965">
            <v>8.125</v>
          </cell>
          <cell r="AD2965">
            <v>1070</v>
          </cell>
          <cell r="AE2965" t="str">
            <v>4-1/2" IF Box</v>
          </cell>
          <cell r="AF2965">
            <v>8.125</v>
          </cell>
          <cell r="AG2965"/>
          <cell r="AH2965" t="str">
            <v>en stock</v>
          </cell>
          <cell r="AI2965">
            <v>1</v>
          </cell>
          <cell r="AJ2965">
            <v>0</v>
          </cell>
          <cell r="AK2965">
            <v>0</v>
          </cell>
          <cell r="AL2965"/>
          <cell r="AM2965"/>
          <cell r="AN2965" t="str">
            <v/>
          </cell>
          <cell r="AO2965"/>
          <cell r="AP2965"/>
          <cell r="AQ2965"/>
          <cell r="AR2965"/>
          <cell r="AS2965">
            <v>9</v>
          </cell>
          <cell r="AT2965"/>
          <cell r="AU2965" t="str">
            <v/>
          </cell>
          <cell r="AV2965"/>
        </row>
        <row r="2966">
          <cell r="Z2966">
            <v>13181250005</v>
          </cell>
          <cell r="AA2966" t="str">
            <v>Junk Basket ITCO type 8-1/8" OD body
4-1/2" IF Box</v>
          </cell>
          <cell r="AB2966">
            <v>96</v>
          </cell>
          <cell r="AC2966">
            <v>8.125</v>
          </cell>
          <cell r="AD2966">
            <v>1100</v>
          </cell>
          <cell r="AE2966" t="str">
            <v>4-1/2" IF Box</v>
          </cell>
          <cell r="AF2966">
            <v>8.125</v>
          </cell>
          <cell r="AG2966"/>
          <cell r="AH2966" t="str">
            <v>en stock</v>
          </cell>
          <cell r="AI2966">
            <v>1</v>
          </cell>
          <cell r="AJ2966">
            <v>0</v>
          </cell>
          <cell r="AK2966">
            <v>0</v>
          </cell>
          <cell r="AL2966"/>
          <cell r="AM2966"/>
          <cell r="AN2966" t="str">
            <v/>
          </cell>
          <cell r="AO2966"/>
          <cell r="AP2966"/>
          <cell r="AQ2966"/>
          <cell r="AR2966"/>
          <cell r="AS2966">
            <v>10</v>
          </cell>
          <cell r="AT2966"/>
          <cell r="AU2966" t="str">
            <v/>
          </cell>
          <cell r="AV2966"/>
        </row>
        <row r="2967">
          <cell r="Z2967">
            <v>13100000003</v>
          </cell>
          <cell r="AA2967" t="str">
            <v>Junk Basket ITCO type 10-1/8" OD body
6-5/8" REG Box</v>
          </cell>
          <cell r="AB2967">
            <v>120</v>
          </cell>
          <cell r="AC2967">
            <v>10.125</v>
          </cell>
          <cell r="AD2967">
            <v>1120</v>
          </cell>
          <cell r="AE2967" t="str">
            <v>6-5/8" REG Box</v>
          </cell>
          <cell r="AF2967">
            <v>10.125</v>
          </cell>
          <cell r="AG2967"/>
          <cell r="AH2967" t="str">
            <v>en stock</v>
          </cell>
          <cell r="AI2967">
            <v>1</v>
          </cell>
          <cell r="AJ2967">
            <v>0</v>
          </cell>
          <cell r="AK2967">
            <v>0</v>
          </cell>
          <cell r="AL2967"/>
          <cell r="AM2967"/>
          <cell r="AN2967" t="str">
            <v/>
          </cell>
          <cell r="AO2967"/>
          <cell r="AP2967"/>
          <cell r="AQ2967"/>
          <cell r="AR2967"/>
          <cell r="AS2967">
            <v>11</v>
          </cell>
          <cell r="AT2967"/>
          <cell r="AU2967" t="str">
            <v/>
          </cell>
          <cell r="AV2967"/>
        </row>
        <row r="2968">
          <cell r="Z2968">
            <v>13100000004</v>
          </cell>
          <cell r="AA2968" t="str">
            <v>Junk Basket ITCO type 10-1/8" OD body
6-5/8" REG Box</v>
          </cell>
          <cell r="AB2968">
            <v>126</v>
          </cell>
          <cell r="AC2968">
            <v>10.125</v>
          </cell>
          <cell r="AD2968">
            <v>1120</v>
          </cell>
          <cell r="AE2968" t="str">
            <v>6-5/8" REG Box</v>
          </cell>
          <cell r="AF2968">
            <v>10.125</v>
          </cell>
          <cell r="AG2968"/>
          <cell r="AH2968" t="str">
            <v>en stock</v>
          </cell>
          <cell r="AI2968">
            <v>1</v>
          </cell>
          <cell r="AJ2968">
            <v>0</v>
          </cell>
          <cell r="AK2968">
            <v>0</v>
          </cell>
          <cell r="AL2968"/>
          <cell r="AM2968"/>
          <cell r="AN2968" t="str">
            <v/>
          </cell>
          <cell r="AO2968"/>
          <cell r="AP2968"/>
          <cell r="AQ2968"/>
          <cell r="AR2968"/>
          <cell r="AS2968">
            <v>12</v>
          </cell>
          <cell r="AT2968"/>
          <cell r="AU2968" t="str">
            <v/>
          </cell>
          <cell r="AV2968"/>
        </row>
        <row r="2969">
          <cell r="Z2969">
            <v>13112500002</v>
          </cell>
          <cell r="AA2969" t="str">
            <v>Junk Basket ITCO type 11-1/4" OD body
6-5/8" REG Box</v>
          </cell>
          <cell r="AB2969">
            <v>134</v>
          </cell>
          <cell r="AC2969">
            <v>11.25</v>
          </cell>
          <cell r="AD2969">
            <v>1120</v>
          </cell>
          <cell r="AE2969" t="str">
            <v>6-5/8" REG Box</v>
          </cell>
          <cell r="AF2969">
            <v>11.25</v>
          </cell>
          <cell r="AG2969"/>
          <cell r="AH2969" t="str">
            <v>en stock</v>
          </cell>
          <cell r="AI2969">
            <v>1</v>
          </cell>
          <cell r="AJ2969">
            <v>0</v>
          </cell>
          <cell r="AK2969">
            <v>0</v>
          </cell>
          <cell r="AL2969"/>
          <cell r="AM2969"/>
          <cell r="AN2969" t="str">
            <v/>
          </cell>
          <cell r="AO2969"/>
          <cell r="AP2969"/>
          <cell r="AQ2969"/>
          <cell r="AR2969"/>
          <cell r="AS2969">
            <v>13</v>
          </cell>
          <cell r="AT2969"/>
          <cell r="AU2969" t="str">
            <v/>
          </cell>
          <cell r="AV2969"/>
        </row>
        <row r="2970">
          <cell r="Z2970">
            <v>13114500001</v>
          </cell>
          <cell r="AA2970" t="str">
            <v>Junk Basket ITCO type 14-1/2" OD body
6-5/8" REG Box</v>
          </cell>
          <cell r="AB2970">
            <v>280</v>
          </cell>
          <cell r="AC2970">
            <v>14.5</v>
          </cell>
          <cell r="AD2970">
            <v>1600</v>
          </cell>
          <cell r="AE2970" t="str">
            <v>6-5/8" REG Box</v>
          </cell>
          <cell r="AF2970">
            <v>14.5</v>
          </cell>
          <cell r="AG2970"/>
          <cell r="AH2970" t="str">
            <v>en stock</v>
          </cell>
          <cell r="AI2970">
            <v>1</v>
          </cell>
          <cell r="AJ2970">
            <v>0</v>
          </cell>
          <cell r="AK2970">
            <v>0</v>
          </cell>
          <cell r="AL2970"/>
          <cell r="AM2970"/>
          <cell r="AN2970" t="str">
            <v/>
          </cell>
          <cell r="AO2970"/>
          <cell r="AP2970"/>
          <cell r="AQ2970"/>
          <cell r="AR2970"/>
          <cell r="AS2970">
            <v>14</v>
          </cell>
          <cell r="AT2970"/>
          <cell r="AU2970" t="str">
            <v/>
          </cell>
          <cell r="AV2970"/>
        </row>
        <row r="2971">
          <cell r="Z2971">
            <v>1050587050</v>
          </cell>
          <cell r="AA2971" t="str">
            <v>Hydraulic Junk Retriever 5-7/8" OD body
3-1/2" REG Pin</v>
          </cell>
          <cell r="AB2971">
            <v>156</v>
          </cell>
          <cell r="AC2971">
            <v>5.875</v>
          </cell>
          <cell r="AD2971"/>
          <cell r="AE2971" t="str">
            <v>3-1/2" REG Pin</v>
          </cell>
          <cell r="AF2971"/>
          <cell r="AG2971"/>
          <cell r="AH2971" t="str">
            <v>en stock</v>
          </cell>
          <cell r="AI2971">
            <v>1</v>
          </cell>
          <cell r="AJ2971">
            <v>0</v>
          </cell>
          <cell r="AK2971">
            <v>0</v>
          </cell>
          <cell r="AL2971"/>
          <cell r="AM2971"/>
          <cell r="AN2971" t="str">
            <v/>
          </cell>
          <cell r="AO2971"/>
          <cell r="AP2971"/>
          <cell r="AQ2971"/>
          <cell r="AR2971"/>
          <cell r="AS2971">
            <v>5</v>
          </cell>
          <cell r="AT2971"/>
          <cell r="AU2971" t="str">
            <v/>
          </cell>
          <cell r="AV2971"/>
        </row>
        <row r="2972">
          <cell r="Z2972">
            <v>15812500001</v>
          </cell>
          <cell r="AA2972" t="str">
            <v>Hydraulic Junk Retriever 8-1/8" OD body
4-1/2" IF Box</v>
          </cell>
          <cell r="AB2972">
            <v>144</v>
          </cell>
          <cell r="AC2972">
            <v>8.125</v>
          </cell>
          <cell r="AD2972"/>
          <cell r="AE2972" t="str">
            <v>4-1/2" IF Box</v>
          </cell>
          <cell r="AF2972"/>
          <cell r="AG2972"/>
          <cell r="AH2972" t="str">
            <v>en stock</v>
          </cell>
          <cell r="AI2972">
            <v>1</v>
          </cell>
          <cell r="AJ2972">
            <v>0</v>
          </cell>
          <cell r="AK2972">
            <v>0</v>
          </cell>
          <cell r="AL2972"/>
          <cell r="AM2972"/>
          <cell r="AN2972" t="str">
            <v/>
          </cell>
          <cell r="AO2972"/>
          <cell r="AP2972"/>
          <cell r="AQ2972"/>
          <cell r="AR2972"/>
          <cell r="AS2972">
            <v>6</v>
          </cell>
          <cell r="AT2972"/>
          <cell r="AU2972" t="str">
            <v/>
          </cell>
          <cell r="AV2972"/>
        </row>
        <row r="2973">
          <cell r="Z2973">
            <v>1328000006</v>
          </cell>
          <cell r="AA2973" t="str">
            <v>Isert Magnet for ITCO JB or RCJB 11" OD barrel</v>
          </cell>
          <cell r="AB2973"/>
          <cell r="AC2973" t="str">
            <v>8" OD</v>
          </cell>
          <cell r="AD2973"/>
          <cell r="AE2973"/>
          <cell r="AF2973"/>
          <cell r="AG2973"/>
          <cell r="AH2973" t="str">
            <v xml:space="preserve"> - </v>
          </cell>
          <cell r="AI2973"/>
          <cell r="AJ2973"/>
          <cell r="AK2973"/>
          <cell r="AL2973"/>
          <cell r="AM2973" t="str">
            <v>x</v>
          </cell>
          <cell r="AN2973" t="str">
            <v/>
          </cell>
          <cell r="AO2973"/>
          <cell r="AP2973"/>
          <cell r="AQ2973"/>
          <cell r="AR2973"/>
          <cell r="AS2973"/>
          <cell r="AT2973"/>
          <cell r="AU2973" t="str">
            <v/>
          </cell>
          <cell r="AV2973"/>
        </row>
        <row r="2974">
          <cell r="Z2974">
            <v>1328000007</v>
          </cell>
          <cell r="AA2974" t="str">
            <v>Isert Magnet for ITCO JB or RCJB 11" OD barrel</v>
          </cell>
          <cell r="AB2974"/>
          <cell r="AC2974" t="str">
            <v>8" OD</v>
          </cell>
          <cell r="AD2974"/>
          <cell r="AE2974"/>
          <cell r="AF2974"/>
          <cell r="AG2974"/>
          <cell r="AH2974" t="str">
            <v xml:space="preserve"> - </v>
          </cell>
          <cell r="AI2974"/>
          <cell r="AJ2974"/>
          <cell r="AK2974"/>
          <cell r="AL2974"/>
          <cell r="AM2974" t="str">
            <v>x</v>
          </cell>
          <cell r="AN2974" t="str">
            <v/>
          </cell>
          <cell r="AO2974"/>
          <cell r="AP2974"/>
          <cell r="AQ2974"/>
          <cell r="AR2974"/>
          <cell r="AS2974"/>
          <cell r="AT2974"/>
          <cell r="AU2974" t="str">
            <v/>
          </cell>
          <cell r="AV2974"/>
        </row>
        <row r="2975">
          <cell r="Z2975">
            <v>1329000005</v>
          </cell>
          <cell r="AA2975" t="str">
            <v>Isert Magnet for ITCO JB or RCJB 10-3/8" OD barrel</v>
          </cell>
          <cell r="AB2975"/>
          <cell r="AC2975" t="str">
            <v>9" OD</v>
          </cell>
          <cell r="AD2975"/>
          <cell r="AE2975"/>
          <cell r="AF2975"/>
          <cell r="AG2975"/>
          <cell r="AH2975" t="str">
            <v xml:space="preserve"> - </v>
          </cell>
          <cell r="AI2975"/>
          <cell r="AJ2975"/>
          <cell r="AK2975"/>
          <cell r="AL2975"/>
          <cell r="AM2975" t="str">
            <v>x</v>
          </cell>
          <cell r="AN2975" t="str">
            <v/>
          </cell>
          <cell r="AO2975"/>
          <cell r="AP2975"/>
          <cell r="AQ2975"/>
          <cell r="AR2975"/>
          <cell r="AS2975"/>
          <cell r="AT2975"/>
          <cell r="AU2975" t="str">
            <v/>
          </cell>
          <cell r="AV2975"/>
        </row>
        <row r="2976">
          <cell r="Z2976">
            <v>13213500014</v>
          </cell>
          <cell r="AA2976" t="str">
            <v>Isert Magnet for ITCO JB or RCJB 13-3/4" OD barrel</v>
          </cell>
          <cell r="AB2976"/>
          <cell r="AC2976" t="str">
            <v>11-1/2" OD</v>
          </cell>
          <cell r="AD2976"/>
          <cell r="AE2976"/>
          <cell r="AF2976"/>
          <cell r="AG2976"/>
          <cell r="AH2976" t="str">
            <v xml:space="preserve"> - </v>
          </cell>
          <cell r="AI2976"/>
          <cell r="AJ2976"/>
          <cell r="AK2976"/>
          <cell r="AL2976"/>
          <cell r="AM2976" t="str">
            <v>x</v>
          </cell>
          <cell r="AN2976" t="str">
            <v/>
          </cell>
          <cell r="AO2976"/>
          <cell r="AP2976"/>
          <cell r="AQ2976"/>
          <cell r="AR2976"/>
          <cell r="AS2976"/>
          <cell r="AT2976"/>
          <cell r="AU2976" t="str">
            <v/>
          </cell>
          <cell r="AV2976"/>
        </row>
        <row r="2977">
          <cell r="Z2977">
            <v>13255000009</v>
          </cell>
          <cell r="AA2977" t="str">
            <v>Isert Magnet for ITCO JB or RCJB 7-7/8" OD barrel</v>
          </cell>
          <cell r="AB2977"/>
          <cell r="AC2977" t="str">
            <v>5-1/2" OD</v>
          </cell>
          <cell r="AD2977"/>
          <cell r="AE2977"/>
          <cell r="AF2977"/>
          <cell r="AG2977"/>
          <cell r="AH2977" t="str">
            <v xml:space="preserve"> - </v>
          </cell>
          <cell r="AI2977"/>
          <cell r="AJ2977"/>
          <cell r="AK2977"/>
          <cell r="AL2977"/>
          <cell r="AM2977" t="str">
            <v>x</v>
          </cell>
          <cell r="AN2977" t="str">
            <v/>
          </cell>
          <cell r="AO2977"/>
          <cell r="AP2977"/>
          <cell r="AQ2977"/>
          <cell r="AR2977"/>
          <cell r="AS2977"/>
          <cell r="AT2977"/>
          <cell r="AU2977" t="str">
            <v/>
          </cell>
          <cell r="AV2977"/>
        </row>
        <row r="2978">
          <cell r="Z2978">
            <v>13255000012</v>
          </cell>
          <cell r="AA2978" t="str">
            <v>Isert Magnet for ITCO JB or RCJB 7-7/8" OD barrel</v>
          </cell>
          <cell r="AB2978"/>
          <cell r="AC2978" t="str">
            <v>5-1/2" OD</v>
          </cell>
          <cell r="AD2978"/>
          <cell r="AE2978"/>
          <cell r="AF2978"/>
          <cell r="AG2978"/>
          <cell r="AH2978" t="str">
            <v xml:space="preserve"> - </v>
          </cell>
          <cell r="AI2978"/>
          <cell r="AJ2978"/>
          <cell r="AK2978"/>
          <cell r="AL2978"/>
          <cell r="AM2978" t="str">
            <v>x</v>
          </cell>
          <cell r="AN2978" t="str">
            <v/>
          </cell>
          <cell r="AO2978"/>
          <cell r="AP2978"/>
          <cell r="AQ2978"/>
          <cell r="AR2978"/>
          <cell r="AS2978"/>
          <cell r="AT2978"/>
          <cell r="AU2978" t="str">
            <v/>
          </cell>
          <cell r="AV2978"/>
        </row>
        <row r="2979">
          <cell r="Z2979">
            <v>132912500013</v>
          </cell>
          <cell r="AA2979" t="str">
            <v>Isert Magnet for ITCO JB or RCJB 9-3/8" OD barrel</v>
          </cell>
          <cell r="AB2979"/>
          <cell r="AC2979" t="str">
            <v>7-1/2" OD</v>
          </cell>
          <cell r="AD2979"/>
          <cell r="AE2979"/>
          <cell r="AF2979"/>
          <cell r="AG2979"/>
          <cell r="AH2979" t="str">
            <v xml:space="preserve"> - </v>
          </cell>
          <cell r="AI2979"/>
          <cell r="AJ2979"/>
          <cell r="AK2979"/>
          <cell r="AL2979"/>
          <cell r="AM2979" t="str">
            <v>x</v>
          </cell>
          <cell r="AN2979" t="str">
            <v/>
          </cell>
          <cell r="AO2979"/>
          <cell r="AP2979"/>
          <cell r="AQ2979"/>
          <cell r="AR2979"/>
          <cell r="AS2979"/>
          <cell r="AT2979"/>
          <cell r="AU2979" t="str">
            <v/>
          </cell>
          <cell r="AV2979"/>
        </row>
        <row r="2980">
          <cell r="Z2980">
            <v>13210500004</v>
          </cell>
          <cell r="AA2980" t="str">
            <v>Isert Magnet for ITCO JB or RCJB 13-5/8" OD barrel</v>
          </cell>
          <cell r="AB2980"/>
          <cell r="AC2980" t="str">
            <v>handle</v>
          </cell>
          <cell r="AD2980"/>
          <cell r="AE2980"/>
          <cell r="AF2980"/>
          <cell r="AG2980"/>
          <cell r="AH2980" t="str">
            <v xml:space="preserve"> - </v>
          </cell>
          <cell r="AI2980"/>
          <cell r="AJ2980"/>
          <cell r="AK2980"/>
          <cell r="AL2980"/>
          <cell r="AM2980" t="str">
            <v>x</v>
          </cell>
          <cell r="AN2980" t="str">
            <v/>
          </cell>
          <cell r="AO2980"/>
          <cell r="AP2980"/>
          <cell r="AQ2980"/>
          <cell r="AR2980"/>
          <cell r="AS2980"/>
          <cell r="AT2980"/>
          <cell r="AU2980" t="str">
            <v/>
          </cell>
          <cell r="AV2980"/>
        </row>
        <row r="2981">
          <cell r="Z2981">
            <v>4233875001</v>
          </cell>
          <cell r="AA2981" t="str">
            <v>Mechanical External Cutter 3-7/8" OD</v>
          </cell>
          <cell r="AB2981">
            <v>20</v>
          </cell>
          <cell r="AC2981">
            <v>3.875</v>
          </cell>
          <cell r="AD2981"/>
          <cell r="AE2981" t="str">
            <v>3-3/4" FJWP Box</v>
          </cell>
          <cell r="AF2981"/>
          <cell r="AG2981"/>
          <cell r="AH2981" t="str">
            <v>en stock</v>
          </cell>
          <cell r="AI2981">
            <v>1</v>
          </cell>
          <cell r="AJ2981">
            <v>0</v>
          </cell>
          <cell r="AK2981">
            <v>0</v>
          </cell>
          <cell r="AL2981"/>
          <cell r="AM2981"/>
          <cell r="AN2981"/>
          <cell r="AO2981"/>
          <cell r="AP2981"/>
          <cell r="AQ2981"/>
          <cell r="AR2981"/>
          <cell r="AS2981">
            <v>5</v>
          </cell>
          <cell r="AT2981"/>
          <cell r="AU2981" t="str">
            <v/>
          </cell>
          <cell r="AV2981"/>
        </row>
        <row r="2982">
          <cell r="Z2982">
            <v>42360000008</v>
          </cell>
          <cell r="AA2982" t="str">
            <v>Mechanical External Cutter 5-7/8" OD</v>
          </cell>
          <cell r="AB2982">
            <v>70</v>
          </cell>
          <cell r="AC2982">
            <v>5.875</v>
          </cell>
          <cell r="AD2982"/>
          <cell r="AE2982" t="str">
            <v>5-13/16" BRS Box</v>
          </cell>
          <cell r="AF2982"/>
          <cell r="AG2982"/>
          <cell r="AH2982" t="str">
            <v>en stock</v>
          </cell>
          <cell r="AI2982">
            <v>1</v>
          </cell>
          <cell r="AJ2982">
            <v>0</v>
          </cell>
          <cell r="AK2982">
            <v>0</v>
          </cell>
          <cell r="AL2982"/>
          <cell r="AM2982"/>
          <cell r="AN2982"/>
          <cell r="AO2982"/>
          <cell r="AP2982"/>
          <cell r="AQ2982"/>
          <cell r="AR2982"/>
          <cell r="AS2982">
            <v>6</v>
          </cell>
          <cell r="AT2982"/>
          <cell r="AU2982" t="str">
            <v/>
          </cell>
          <cell r="AV2982"/>
        </row>
        <row r="2983">
          <cell r="Z2983">
            <v>41406250007</v>
          </cell>
          <cell r="AA2983" t="str">
            <v>Internal Mechanical Cutter 5-3/4" OD</v>
          </cell>
          <cell r="AB2983">
            <v>66</v>
          </cell>
          <cell r="AC2983">
            <v>5.75</v>
          </cell>
          <cell r="AD2983">
            <v>1290</v>
          </cell>
          <cell r="AE2983" t="str">
            <v>2-3/8" EU Box</v>
          </cell>
          <cell r="AF2983"/>
          <cell r="AG2983"/>
          <cell r="AH2983" t="str">
            <v>en stock</v>
          </cell>
          <cell r="AI2983">
            <v>1</v>
          </cell>
          <cell r="AJ2983">
            <v>0</v>
          </cell>
          <cell r="AK2983">
            <v>0</v>
          </cell>
          <cell r="AL2983"/>
          <cell r="AM2983"/>
          <cell r="AN2983"/>
          <cell r="AO2983"/>
          <cell r="AP2983"/>
          <cell r="AQ2983"/>
          <cell r="AR2983"/>
          <cell r="AS2983">
            <v>5</v>
          </cell>
          <cell r="AT2983"/>
          <cell r="AU2983" t="str">
            <v/>
          </cell>
          <cell r="AV2983"/>
        </row>
        <row r="2984">
          <cell r="Z2984">
            <v>41587500006</v>
          </cell>
          <cell r="AA2984" t="str">
            <v>Internal Mechanical Cutter 4" OD</v>
          </cell>
          <cell r="AB2984">
            <v>116</v>
          </cell>
          <cell r="AC2984">
            <v>4</v>
          </cell>
          <cell r="AD2984">
            <v>1300</v>
          </cell>
          <cell r="AE2984" t="str">
            <v>3-1/2" REG Box</v>
          </cell>
          <cell r="AF2984"/>
          <cell r="AG2984"/>
          <cell r="AH2984" t="str">
            <v>en stock</v>
          </cell>
          <cell r="AI2984">
            <v>1</v>
          </cell>
          <cell r="AJ2984">
            <v>0</v>
          </cell>
          <cell r="AK2984">
            <v>0</v>
          </cell>
          <cell r="AL2984"/>
          <cell r="AM2984"/>
          <cell r="AN2984"/>
          <cell r="AO2984"/>
          <cell r="AP2984"/>
          <cell r="AQ2984"/>
          <cell r="AR2984"/>
          <cell r="AS2984">
            <v>6</v>
          </cell>
          <cell r="AT2984"/>
          <cell r="AU2984" t="str">
            <v/>
          </cell>
          <cell r="AV2984"/>
        </row>
        <row r="2985">
          <cell r="Z2985">
            <v>3010302</v>
          </cell>
          <cell r="AA2985" t="str">
            <v>RTU 5700
3-1/2" REG Pin up</v>
          </cell>
          <cell r="AB2985">
            <v>212</v>
          </cell>
          <cell r="AC2985">
            <v>5700</v>
          </cell>
          <cell r="AD2985">
            <v>2270</v>
          </cell>
          <cell r="AE2985" t="str">
            <v>3-1/2" REG Pin</v>
          </cell>
          <cell r="AF2985" t="str">
            <v>nose</v>
          </cell>
          <cell r="AG2985"/>
          <cell r="AH2985" t="str">
            <v>en stock</v>
          </cell>
          <cell r="AI2985">
            <v>1</v>
          </cell>
          <cell r="AJ2985">
            <v>0</v>
          </cell>
          <cell r="AK2985">
            <v>0</v>
          </cell>
          <cell r="AL2985"/>
          <cell r="AM2985"/>
          <cell r="AN2985" t="str">
            <v/>
          </cell>
          <cell r="AO2985"/>
          <cell r="AP2985"/>
          <cell r="AQ2985"/>
          <cell r="AR2985"/>
          <cell r="AS2985">
            <v>6</v>
          </cell>
          <cell r="AT2985" t="str">
            <v>301-5700</v>
          </cell>
          <cell r="AU2985" t="str">
            <v/>
          </cell>
          <cell r="AV2985"/>
        </row>
        <row r="2986">
          <cell r="Z2986" t="str">
            <v>DTS083503</v>
          </cell>
          <cell r="AA2986" t="str">
            <v>RTU Drag Type Stabilized Underreamer DTS350
2-3/8" REG Pin up</v>
          </cell>
          <cell r="AB2986">
            <v>28</v>
          </cell>
          <cell r="AC2986" t="str">
            <v>DTS350</v>
          </cell>
          <cell r="AD2986">
            <v>790</v>
          </cell>
          <cell r="AE2986" t="str">
            <v>2-3/8" REG Pin</v>
          </cell>
          <cell r="AF2986" t="str">
            <v>nose</v>
          </cell>
          <cell r="AG2986"/>
          <cell r="AH2986" t="str">
            <v>en stock</v>
          </cell>
          <cell r="AI2986">
            <v>1</v>
          </cell>
          <cell r="AJ2986">
            <v>0</v>
          </cell>
          <cell r="AK2986">
            <v>0</v>
          </cell>
          <cell r="AL2986"/>
          <cell r="AM2986"/>
          <cell r="AN2986" t="str">
            <v/>
          </cell>
          <cell r="AO2986"/>
          <cell r="AP2986"/>
          <cell r="AQ2986"/>
          <cell r="AR2986"/>
          <cell r="AS2986">
            <v>5</v>
          </cell>
          <cell r="AT2986" t="str">
            <v>301-350</v>
          </cell>
          <cell r="AU2986" t="str">
            <v/>
          </cell>
          <cell r="AV2986"/>
        </row>
        <row r="2987">
          <cell r="Z2987">
            <v>93147500001</v>
          </cell>
          <cell r="AA2987" t="str">
            <v>Hole Opener 14-3/4" 
6-5/8" REG Box x Box</v>
          </cell>
          <cell r="AB2987">
            <v>0</v>
          </cell>
          <cell r="AC2987">
            <v>14.75</v>
          </cell>
          <cell r="AD2987">
            <v>0</v>
          </cell>
          <cell r="AE2987" t="str">
            <v>6-5/8" REG Box</v>
          </cell>
          <cell r="AF2987" t="str">
            <v>6-5/8" REG Box</v>
          </cell>
          <cell r="AG2987"/>
          <cell r="AH2987" t="str">
            <v>en stock</v>
          </cell>
          <cell r="AI2987">
            <v>1</v>
          </cell>
          <cell r="AJ2987">
            <v>0</v>
          </cell>
          <cell r="AK2987">
            <v>0</v>
          </cell>
          <cell r="AL2987"/>
          <cell r="AM2987"/>
          <cell r="AN2987"/>
          <cell r="AO2987"/>
          <cell r="AP2987"/>
          <cell r="AQ2987"/>
          <cell r="AR2987"/>
          <cell r="AS2987">
            <v>5</v>
          </cell>
          <cell r="AT2987"/>
          <cell r="AU2987" t="str">
            <v/>
          </cell>
          <cell r="AV2987"/>
        </row>
        <row r="2988">
          <cell r="Z2988" t="str">
            <v>DS2432</v>
          </cell>
          <cell r="AA2988" t="str">
            <v>Bumper Sub 6-1/4" EBL Houston Engineers
4-1/2" IF Pin x Box</v>
          </cell>
          <cell r="AB2988">
            <v>340</v>
          </cell>
          <cell r="AC2988">
            <v>6.25</v>
          </cell>
          <cell r="AD2988">
            <v>0</v>
          </cell>
          <cell r="AE2988" t="str">
            <v>4-1/2'' IF Box BB</v>
          </cell>
          <cell r="AF2988" t="str">
            <v>4-1/2" IF Pin SRG</v>
          </cell>
          <cell r="AG2988"/>
          <cell r="AH2988" t="str">
            <v>en stock</v>
          </cell>
          <cell r="AI2988" t="str">
            <v/>
          </cell>
          <cell r="AJ2988">
            <v>0</v>
          </cell>
          <cell r="AK2988">
            <v>1</v>
          </cell>
          <cell r="AL2988"/>
          <cell r="AM2988"/>
          <cell r="AN2988" t="str">
            <v/>
          </cell>
          <cell r="AO2988"/>
          <cell r="AP2988"/>
          <cell r="AQ2988"/>
          <cell r="AR2988"/>
          <cell r="AS2988">
            <v>20</v>
          </cell>
          <cell r="AT2988" t="str">
            <v>402-6,250HE</v>
          </cell>
          <cell r="AU2988" t="str">
            <v/>
          </cell>
          <cell r="AV2988"/>
        </row>
        <row r="2989">
          <cell r="Z2989">
            <v>4080299</v>
          </cell>
          <cell r="AA2989" t="str">
            <v>Super Fishing Jar 4-3/4" OD 
3-1/2" IF Pin down x Box up</v>
          </cell>
          <cell r="AB2989">
            <v>220</v>
          </cell>
          <cell r="AC2989">
            <v>4.75</v>
          </cell>
          <cell r="AD2989">
            <v>3380</v>
          </cell>
          <cell r="AE2989" t="str">
            <v>3-1/2" IF Box</v>
          </cell>
          <cell r="AF2989" t="str">
            <v>3-1/2" IF Pin</v>
          </cell>
          <cell r="AG2989"/>
          <cell r="AH2989" t="str">
            <v>en stock</v>
          </cell>
          <cell r="AI2989">
            <v>1</v>
          </cell>
          <cell r="AJ2989">
            <v>0</v>
          </cell>
          <cell r="AK2989">
            <v>0</v>
          </cell>
          <cell r="AL2989"/>
          <cell r="AM2989"/>
          <cell r="AN2989" t="str">
            <v/>
          </cell>
          <cell r="AO2989"/>
          <cell r="AP2989"/>
          <cell r="AQ2989"/>
          <cell r="AR2989"/>
          <cell r="AS2989">
            <v>7</v>
          </cell>
          <cell r="AT2989" t="str">
            <v>408-4,750</v>
          </cell>
          <cell r="AU2989" t="str">
            <v/>
          </cell>
          <cell r="AV2989"/>
        </row>
        <row r="2990">
          <cell r="Z2990">
            <v>4080300</v>
          </cell>
          <cell r="AA2990" t="str">
            <v>Super Fishing Jar 4-3/4" OD 
3-1/2" IF Pin down x Box up</v>
          </cell>
          <cell r="AB2990">
            <v>220</v>
          </cell>
          <cell r="AC2990">
            <v>4.75</v>
          </cell>
          <cell r="AD2990">
            <v>3380</v>
          </cell>
          <cell r="AE2990" t="str">
            <v>3-1/2" IF Box</v>
          </cell>
          <cell r="AF2990" t="str">
            <v>3-1/2" IF Pin</v>
          </cell>
          <cell r="AG2990"/>
          <cell r="AH2990" t="str">
            <v>en stock</v>
          </cell>
          <cell r="AI2990" t="str">
            <v/>
          </cell>
          <cell r="AJ2990">
            <v>0</v>
          </cell>
          <cell r="AK2990">
            <v>1</v>
          </cell>
          <cell r="AL2990"/>
          <cell r="AM2990"/>
          <cell r="AN2990" t="str">
            <v/>
          </cell>
          <cell r="AO2990"/>
          <cell r="AP2990"/>
          <cell r="AQ2990"/>
          <cell r="AR2990"/>
          <cell r="AS2990">
            <v>8</v>
          </cell>
          <cell r="AT2990" t="str">
            <v>408-4,750</v>
          </cell>
          <cell r="AU2990" t="str">
            <v/>
          </cell>
          <cell r="AV2990"/>
        </row>
        <row r="2991">
          <cell r="Z2991">
            <v>14941250010</v>
          </cell>
          <cell r="AA2991" t="str">
            <v>String Mill 4,125 OD 
HT 26 Box x HT 26 Pin</v>
          </cell>
          <cell r="AB2991">
            <v>54</v>
          </cell>
          <cell r="AC2991">
            <v>4.125</v>
          </cell>
          <cell r="AD2991">
            <v>1375</v>
          </cell>
          <cell r="AE2991" t="str">
            <v>HT 26 Box</v>
          </cell>
          <cell r="AF2991" t="str">
            <v>HT 26 Pin</v>
          </cell>
          <cell r="AG2991"/>
          <cell r="AH2991" t="str">
            <v>en stock</v>
          </cell>
          <cell r="AI2991" t="str">
            <v/>
          </cell>
          <cell r="AJ2991">
            <v>0</v>
          </cell>
          <cell r="AK2991">
            <v>1</v>
          </cell>
          <cell r="AL2991"/>
          <cell r="AM2991"/>
          <cell r="AN2991" t="str">
            <v/>
          </cell>
          <cell r="AO2991"/>
          <cell r="AP2991"/>
          <cell r="AQ2991"/>
          <cell r="AR2991"/>
          <cell r="AS2991">
            <v>5</v>
          </cell>
          <cell r="AT2991"/>
          <cell r="AU2991" t="str">
            <v/>
          </cell>
          <cell r="AV2991"/>
        </row>
        <row r="2992">
          <cell r="Z2992">
            <v>14960000002</v>
          </cell>
          <cell r="AA2992" t="str">
            <v>String Mill 5,5625 OD 
3-1/2" REG Box x 3-1/2" IF Box</v>
          </cell>
          <cell r="AB2992">
            <v>112</v>
          </cell>
          <cell r="AC2992">
            <v>5.5625</v>
          </cell>
          <cell r="AD2992">
            <v>1580</v>
          </cell>
          <cell r="AE2992" t="str">
            <v>3-1/2" REG Box</v>
          </cell>
          <cell r="AF2992" t="str">
            <v>3-1/2" IF Box</v>
          </cell>
          <cell r="AG2992"/>
          <cell r="AH2992" t="str">
            <v>en stock</v>
          </cell>
          <cell r="AI2992">
            <v>1</v>
          </cell>
          <cell r="AJ2992">
            <v>0</v>
          </cell>
          <cell r="AK2992">
            <v>0</v>
          </cell>
          <cell r="AL2992"/>
          <cell r="AM2992"/>
          <cell r="AN2992" t="str">
            <v/>
          </cell>
          <cell r="AO2992"/>
          <cell r="AP2992"/>
          <cell r="AQ2992"/>
          <cell r="AR2992"/>
          <cell r="AS2992">
            <v>11</v>
          </cell>
          <cell r="AT2992"/>
          <cell r="AU2992" t="str">
            <v/>
          </cell>
          <cell r="AV2992"/>
        </row>
        <row r="2993">
          <cell r="Z2993">
            <v>14998125007</v>
          </cell>
          <cell r="AA2993" t="str">
            <v>String Mill 9,75 OD 
6-5/8" REG Box x 6-5/8" REG Pin</v>
          </cell>
          <cell r="AB2993">
            <v>316</v>
          </cell>
          <cell r="AC2993">
            <v>9.75</v>
          </cell>
          <cell r="AD2993">
            <v>1310</v>
          </cell>
          <cell r="AE2993" t="str">
            <v>6-5/8" REG Box</v>
          </cell>
          <cell r="AF2993" t="str">
            <v>6-5/8" REG Pin</v>
          </cell>
          <cell r="AG2993"/>
          <cell r="AH2993" t="str">
            <v>en stock</v>
          </cell>
          <cell r="AI2993">
            <v>1</v>
          </cell>
          <cell r="AJ2993">
            <v>0</v>
          </cell>
          <cell r="AK2993">
            <v>0</v>
          </cell>
          <cell r="AL2993"/>
          <cell r="AM2993"/>
          <cell r="AN2993" t="str">
            <v/>
          </cell>
          <cell r="AO2993"/>
          <cell r="AP2993"/>
          <cell r="AQ2993"/>
          <cell r="AR2993"/>
          <cell r="AS2993">
            <v>24</v>
          </cell>
          <cell r="AT2993"/>
          <cell r="AU2993" t="str">
            <v/>
          </cell>
          <cell r="AV2993"/>
        </row>
        <row r="2994">
          <cell r="Z2994">
            <v>14827625032</v>
          </cell>
          <cell r="AA2994" t="str">
            <v>XO pour WO
7-5/8" HYD Pin x 7-5/8" XL</v>
          </cell>
          <cell r="AB2994"/>
          <cell r="AC2994">
            <v>7.625</v>
          </cell>
          <cell r="AD2994">
            <v>380</v>
          </cell>
          <cell r="AE2994" t="str">
            <v>7-5/8" HYD Pin</v>
          </cell>
          <cell r="AF2994" t="str">
            <v>7-5/8" XL</v>
          </cell>
          <cell r="AG2994"/>
          <cell r="AH2994" t="str">
            <v xml:space="preserve"> - </v>
          </cell>
          <cell r="AI2994"/>
          <cell r="AJ2994"/>
          <cell r="AK2994"/>
          <cell r="AL2994"/>
          <cell r="AM2994"/>
          <cell r="AN2994"/>
          <cell r="AO2994" t="str">
            <v>x</v>
          </cell>
          <cell r="AP2994"/>
          <cell r="AQ2994"/>
          <cell r="AR2994"/>
          <cell r="AS2994"/>
          <cell r="AT2994"/>
          <cell r="AU2994" t="str">
            <v/>
          </cell>
          <cell r="AV2994"/>
        </row>
        <row r="2995">
          <cell r="Z2995" t="str">
            <v>5110217-1</v>
          </cell>
          <cell r="AA2995" t="str">
            <v>WO Shoe
8-5/8" FJWP Box</v>
          </cell>
          <cell r="AB2995">
            <v>0</v>
          </cell>
          <cell r="AC2995">
            <v>8.75</v>
          </cell>
          <cell r="AD2995">
            <v>750</v>
          </cell>
          <cell r="AE2995" t="str">
            <v>8-5/8" FJWP Box</v>
          </cell>
          <cell r="AF2995"/>
          <cell r="AG2995" t="str">
            <v>CC</v>
          </cell>
          <cell r="AH2995" t="str">
            <v>en stock</v>
          </cell>
          <cell r="AI2995">
            <v>1</v>
          </cell>
          <cell r="AJ2995">
            <v>0</v>
          </cell>
          <cell r="AK2995">
            <v>0</v>
          </cell>
          <cell r="AL2995"/>
          <cell r="AM2995"/>
          <cell r="AN2995" t="str">
            <v/>
          </cell>
          <cell r="AO2995"/>
          <cell r="AP2995"/>
          <cell r="AQ2995"/>
          <cell r="AR2995"/>
          <cell r="AS2995">
            <v>203</v>
          </cell>
          <cell r="AT2995"/>
          <cell r="AU2995" t="str">
            <v/>
          </cell>
          <cell r="AV2995"/>
        </row>
        <row r="2996">
          <cell r="Z2996" t="str">
            <v>5110217-2</v>
          </cell>
          <cell r="AA2996" t="str">
            <v>WO Shoe
8-5/8" FJWP Box</v>
          </cell>
          <cell r="AB2996">
            <v>0</v>
          </cell>
          <cell r="AC2996">
            <v>8.75</v>
          </cell>
          <cell r="AD2996">
            <v>850</v>
          </cell>
          <cell r="AE2996" t="str">
            <v>8-5/8" FJWP Box</v>
          </cell>
          <cell r="AF2996"/>
          <cell r="AG2996" t="str">
            <v>CC</v>
          </cell>
          <cell r="AH2996" t="str">
            <v>en stock</v>
          </cell>
          <cell r="AI2996">
            <v>1</v>
          </cell>
          <cell r="AJ2996">
            <v>0</v>
          </cell>
          <cell r="AK2996">
            <v>0</v>
          </cell>
          <cell r="AL2996"/>
          <cell r="AM2996"/>
          <cell r="AN2996" t="str">
            <v/>
          </cell>
          <cell r="AO2996"/>
          <cell r="AP2996"/>
          <cell r="AQ2996"/>
          <cell r="AR2996"/>
          <cell r="AS2996">
            <v>204</v>
          </cell>
          <cell r="AT2996"/>
          <cell r="AU2996" t="str">
            <v/>
          </cell>
          <cell r="AV2996"/>
        </row>
        <row r="2997">
          <cell r="Z2997" t="str">
            <v>5110217-3</v>
          </cell>
          <cell r="AA2997" t="str">
            <v>WO Shoe
8-5/8" FJWP Box</v>
          </cell>
          <cell r="AB2997">
            <v>0</v>
          </cell>
          <cell r="AC2997">
            <v>0</v>
          </cell>
          <cell r="AD2997">
            <v>0</v>
          </cell>
          <cell r="AE2997" t="str">
            <v>8-5/8" FJWP Box</v>
          </cell>
          <cell r="AF2997"/>
          <cell r="AG2997" t="str">
            <v>BLANK</v>
          </cell>
          <cell r="AH2997" t="str">
            <v>en stock</v>
          </cell>
          <cell r="AI2997" t="str">
            <v>blank</v>
          </cell>
          <cell r="AJ2997">
            <v>0</v>
          </cell>
          <cell r="AK2997">
            <v>0</v>
          </cell>
          <cell r="AL2997"/>
          <cell r="AM2997"/>
          <cell r="AN2997" t="str">
            <v/>
          </cell>
          <cell r="AO2997"/>
          <cell r="AP2997"/>
          <cell r="AQ2997"/>
          <cell r="AR2997"/>
          <cell r="AS2997">
            <v>205</v>
          </cell>
          <cell r="AT2997"/>
          <cell r="AU2997" t="str">
            <v/>
          </cell>
          <cell r="AV2997"/>
        </row>
        <row r="2998">
          <cell r="Z2998" t="str">
            <v>5110217-4</v>
          </cell>
          <cell r="AA2998" t="str">
            <v>WO Shoe
8-5/8" FJWP Box</v>
          </cell>
          <cell r="AB2998">
            <v>0</v>
          </cell>
          <cell r="AC2998">
            <v>0</v>
          </cell>
          <cell r="AD2998">
            <v>0</v>
          </cell>
          <cell r="AE2998" t="str">
            <v>8-5/8" FJWP Box</v>
          </cell>
          <cell r="AF2998"/>
          <cell r="AG2998" t="str">
            <v>BLANK</v>
          </cell>
          <cell r="AH2998" t="str">
            <v>en stock</v>
          </cell>
          <cell r="AI2998" t="str">
            <v>blank</v>
          </cell>
          <cell r="AJ2998">
            <v>0</v>
          </cell>
          <cell r="AK2998">
            <v>0</v>
          </cell>
          <cell r="AL2998"/>
          <cell r="AM2998"/>
          <cell r="AN2998"/>
          <cell r="AO2998"/>
          <cell r="AP2998"/>
          <cell r="AQ2998"/>
          <cell r="AR2998"/>
          <cell r="AS2998">
            <v>206</v>
          </cell>
          <cell r="AT2998"/>
          <cell r="AU2998" t="str">
            <v/>
          </cell>
          <cell r="AV2998"/>
        </row>
        <row r="2999">
          <cell r="Z2999" t="str">
            <v>gris 2</v>
          </cell>
          <cell r="AA2999" t="str">
            <v>DP Elevator for 3-1/2" DP 18°
Center Latch</v>
          </cell>
          <cell r="AB2999">
            <v>162</v>
          </cell>
          <cell r="AC2999" t="str">
            <v>3-1/2" DP</v>
          </cell>
          <cell r="AD2999" t="str">
            <v>18°</v>
          </cell>
          <cell r="AE2999" t="str">
            <v>Center Latch</v>
          </cell>
          <cell r="AF2999">
            <v>0</v>
          </cell>
          <cell r="AG2999"/>
          <cell r="AH2999" t="str">
            <v>en stock</v>
          </cell>
          <cell r="AI2999">
            <v>1</v>
          </cell>
          <cell r="AJ2999">
            <v>0</v>
          </cell>
          <cell r="AK2999">
            <v>0</v>
          </cell>
          <cell r="AL2999"/>
          <cell r="AM2999"/>
          <cell r="AN2999" t="str">
            <v/>
          </cell>
          <cell r="AO2999"/>
          <cell r="AP2999"/>
          <cell r="AQ2999"/>
          <cell r="AR2999"/>
          <cell r="AS2999">
            <v>14</v>
          </cell>
          <cell r="AT2999"/>
          <cell r="AU2999" t="str">
            <v/>
          </cell>
          <cell r="AV2999"/>
        </row>
        <row r="3000">
          <cell r="Z3000" t="str">
            <v>gris 3</v>
          </cell>
          <cell r="AA3000" t="str">
            <v>DP Elevator for 3-1/2" Tbg with slips
Center Latch 100T</v>
          </cell>
          <cell r="AB3000">
            <v>162</v>
          </cell>
          <cell r="AC3000" t="str">
            <v>3-1/2" Tbg</v>
          </cell>
          <cell r="AD3000" t="str">
            <v>à peignes</v>
          </cell>
          <cell r="AE3000" t="str">
            <v>Center Latch</v>
          </cell>
          <cell r="AF3000" t="str">
            <v>100T</v>
          </cell>
          <cell r="AG3000"/>
          <cell r="AH3000" t="str">
            <v>en stock</v>
          </cell>
          <cell r="AI3000">
            <v>1</v>
          </cell>
          <cell r="AJ3000">
            <v>0</v>
          </cell>
          <cell r="AK3000">
            <v>0</v>
          </cell>
          <cell r="AL3000"/>
          <cell r="AM3000"/>
          <cell r="AN3000" t="str">
            <v/>
          </cell>
          <cell r="AO3000"/>
          <cell r="AP3000"/>
          <cell r="AQ3000"/>
          <cell r="AR3000"/>
          <cell r="AS3000">
            <v>12</v>
          </cell>
          <cell r="AT3000"/>
          <cell r="AU3000" t="str">
            <v/>
          </cell>
          <cell r="AV3000"/>
        </row>
        <row r="3001">
          <cell r="Z3001">
            <v>191327002</v>
          </cell>
          <cell r="AA3001" t="str">
            <v xml:space="preserve">Sleeve 0 for PDM 9-5/8"
Set on : </v>
          </cell>
          <cell r="AB3001">
            <v>140</v>
          </cell>
          <cell r="AC3001">
            <v>0</v>
          </cell>
          <cell r="AD3001"/>
          <cell r="AE3001" t="str">
            <v xml:space="preserve">for PDM </v>
          </cell>
          <cell r="AF3001" t="str">
            <v xml:space="preserve">on </v>
          </cell>
          <cell r="AG3001"/>
          <cell r="AH3001" t="str">
            <v>en stock</v>
          </cell>
          <cell r="AI3001" t="str">
            <v/>
          </cell>
          <cell r="AJ3001">
            <v>0</v>
          </cell>
          <cell r="AK3001">
            <v>1</v>
          </cell>
          <cell r="AL3001"/>
          <cell r="AM3001"/>
          <cell r="AN3001" t="str">
            <v/>
          </cell>
          <cell r="AO3001"/>
          <cell r="AP3001"/>
          <cell r="AQ3001"/>
          <cell r="AR3001"/>
          <cell r="AS3001">
            <v>46</v>
          </cell>
          <cell r="AT3001"/>
          <cell r="AU3001" t="str">
            <v/>
          </cell>
          <cell r="AV3001"/>
        </row>
        <row r="3002">
          <cell r="Z3002">
            <v>191326002</v>
          </cell>
          <cell r="AA3002" t="str">
            <v xml:space="preserve">Sleeve 0 for PDM 9-5/8"
Set on : </v>
          </cell>
          <cell r="AB3002">
            <v>140</v>
          </cell>
          <cell r="AC3002">
            <v>0</v>
          </cell>
          <cell r="AD3002"/>
          <cell r="AE3002" t="str">
            <v xml:space="preserve">for PDM </v>
          </cell>
          <cell r="AF3002" t="str">
            <v xml:space="preserve">on </v>
          </cell>
          <cell r="AG3002"/>
          <cell r="AH3002" t="str">
            <v>en stock</v>
          </cell>
          <cell r="AI3002" t="str">
            <v/>
          </cell>
          <cell r="AJ3002">
            <v>0</v>
          </cell>
          <cell r="AK3002">
            <v>1</v>
          </cell>
          <cell r="AL3002"/>
          <cell r="AM3002"/>
          <cell r="AN3002" t="str">
            <v/>
          </cell>
          <cell r="AO3002"/>
          <cell r="AP3002"/>
          <cell r="AQ3002"/>
          <cell r="AR3002"/>
          <cell r="AS3002">
            <v>47</v>
          </cell>
          <cell r="AT3002"/>
          <cell r="AU3002" t="str">
            <v/>
          </cell>
          <cell r="AV3002"/>
        </row>
        <row r="3003">
          <cell r="Z3003">
            <v>191326001</v>
          </cell>
          <cell r="AA3003" t="str">
            <v xml:space="preserve">Sleeve 0 for PDM 9-5/8"
Set on : </v>
          </cell>
          <cell r="AB3003">
            <v>140</v>
          </cell>
          <cell r="AC3003">
            <v>0</v>
          </cell>
          <cell r="AD3003"/>
          <cell r="AE3003" t="str">
            <v xml:space="preserve">for PDM </v>
          </cell>
          <cell r="AF3003" t="str">
            <v xml:space="preserve">on </v>
          </cell>
          <cell r="AG3003"/>
          <cell r="AH3003" t="str">
            <v>sur chantier</v>
          </cell>
          <cell r="AI3003">
            <v>0</v>
          </cell>
          <cell r="AJ3003">
            <v>1</v>
          </cell>
          <cell r="AK3003">
            <v>0</v>
          </cell>
          <cell r="AL3003"/>
          <cell r="AM3003"/>
          <cell r="AN3003" t="str">
            <v/>
          </cell>
          <cell r="AO3003"/>
          <cell r="AP3003"/>
          <cell r="AQ3003"/>
          <cell r="AR3003"/>
          <cell r="AS3003">
            <v>48</v>
          </cell>
          <cell r="AT3003"/>
          <cell r="AU3003" t="str">
            <v/>
          </cell>
          <cell r="AV3003"/>
        </row>
        <row r="3004">
          <cell r="Z3004">
            <v>191328002</v>
          </cell>
          <cell r="AA3004" t="str">
            <v xml:space="preserve">Sleeve 0 for PDM 9-5/8"
Set on : </v>
          </cell>
          <cell r="AB3004">
            <v>110</v>
          </cell>
          <cell r="AC3004">
            <v>0</v>
          </cell>
          <cell r="AD3004"/>
          <cell r="AE3004" t="str">
            <v xml:space="preserve">for PDM </v>
          </cell>
          <cell r="AF3004" t="str">
            <v xml:space="preserve">on </v>
          </cell>
          <cell r="AG3004"/>
          <cell r="AH3004" t="str">
            <v>en stock</v>
          </cell>
          <cell r="AI3004" t="str">
            <v/>
          </cell>
          <cell r="AJ3004">
            <v>0</v>
          </cell>
          <cell r="AK3004">
            <v>1</v>
          </cell>
          <cell r="AL3004"/>
          <cell r="AM3004"/>
          <cell r="AN3004" t="str">
            <v/>
          </cell>
          <cell r="AO3004"/>
          <cell r="AP3004"/>
          <cell r="AQ3004"/>
          <cell r="AR3004"/>
          <cell r="AS3004">
            <v>55</v>
          </cell>
          <cell r="AT3004"/>
          <cell r="AU3004" t="str">
            <v/>
          </cell>
          <cell r="AV3004"/>
        </row>
        <row r="3005">
          <cell r="Z3005">
            <v>191328001</v>
          </cell>
          <cell r="AA3005" t="str">
            <v xml:space="preserve">Sleeve 0 for PDM 9-5/8"
Set on : </v>
          </cell>
          <cell r="AB3005">
            <v>110</v>
          </cell>
          <cell r="AC3005">
            <v>0</v>
          </cell>
          <cell r="AD3005"/>
          <cell r="AE3005" t="str">
            <v xml:space="preserve">for PDM </v>
          </cell>
          <cell r="AF3005" t="str">
            <v xml:space="preserve">on </v>
          </cell>
          <cell r="AG3005"/>
          <cell r="AH3005" t="str">
            <v>en stock</v>
          </cell>
          <cell r="AI3005" t="str">
            <v/>
          </cell>
          <cell r="AJ3005">
            <v>0</v>
          </cell>
          <cell r="AK3005">
            <v>1</v>
          </cell>
          <cell r="AL3005"/>
          <cell r="AM3005"/>
          <cell r="AN3005" t="str">
            <v/>
          </cell>
          <cell r="AO3005"/>
          <cell r="AP3005"/>
          <cell r="AQ3005"/>
          <cell r="AR3005"/>
          <cell r="AS3005">
            <v>56</v>
          </cell>
          <cell r="AT3005"/>
          <cell r="AU3005" t="str">
            <v/>
          </cell>
          <cell r="AV3005"/>
        </row>
        <row r="3006">
          <cell r="Z3006">
            <v>191329002</v>
          </cell>
          <cell r="AA3006" t="str">
            <v xml:space="preserve">Sleeve 0 for PDM 9-5/8"
Set on : </v>
          </cell>
          <cell r="AB3006">
            <v>110</v>
          </cell>
          <cell r="AC3006">
            <v>0</v>
          </cell>
          <cell r="AD3006"/>
          <cell r="AE3006" t="str">
            <v xml:space="preserve">for PDM </v>
          </cell>
          <cell r="AF3006" t="str">
            <v xml:space="preserve">on </v>
          </cell>
          <cell r="AG3006"/>
          <cell r="AH3006" t="str">
            <v>en stock</v>
          </cell>
          <cell r="AI3006" t="str">
            <v/>
          </cell>
          <cell r="AJ3006">
            <v>0</v>
          </cell>
          <cell r="AK3006">
            <v>1</v>
          </cell>
          <cell r="AL3006"/>
          <cell r="AM3006"/>
          <cell r="AN3006" t="str">
            <v/>
          </cell>
          <cell r="AO3006"/>
          <cell r="AP3006"/>
          <cell r="AQ3006"/>
          <cell r="AR3006"/>
          <cell r="AS3006">
            <v>57</v>
          </cell>
          <cell r="AT3006"/>
          <cell r="AU3006" t="str">
            <v/>
          </cell>
          <cell r="AV3006"/>
        </row>
        <row r="3007">
          <cell r="Z3007">
            <v>191329001</v>
          </cell>
          <cell r="AA3007" t="str">
            <v xml:space="preserve">Sleeve 0 for PDM 9-5/8"
Set on : </v>
          </cell>
          <cell r="AB3007">
            <v>110</v>
          </cell>
          <cell r="AC3007">
            <v>0</v>
          </cell>
          <cell r="AD3007"/>
          <cell r="AE3007" t="str">
            <v xml:space="preserve">for PDM </v>
          </cell>
          <cell r="AF3007" t="str">
            <v xml:space="preserve">on </v>
          </cell>
          <cell r="AG3007"/>
          <cell r="AH3007" t="str">
            <v>en stock</v>
          </cell>
          <cell r="AI3007">
            <v>1</v>
          </cell>
          <cell r="AJ3007">
            <v>0</v>
          </cell>
          <cell r="AK3007">
            <v>0</v>
          </cell>
          <cell r="AL3007"/>
          <cell r="AM3007"/>
          <cell r="AN3007" t="str">
            <v/>
          </cell>
          <cell r="AO3007"/>
          <cell r="AP3007"/>
          <cell r="AQ3007"/>
          <cell r="AR3007"/>
          <cell r="AS3007">
            <v>58</v>
          </cell>
          <cell r="AT3007"/>
          <cell r="AU3007" t="str">
            <v/>
          </cell>
          <cell r="AV3007"/>
        </row>
        <row r="3008">
          <cell r="Z3008">
            <v>191220001</v>
          </cell>
          <cell r="AA3008" t="str">
            <v>Sleeve 0 for PDM 8-1/2"</v>
          </cell>
          <cell r="AB3008">
            <v>70</v>
          </cell>
          <cell r="AC3008">
            <v>0</v>
          </cell>
          <cell r="AD3008"/>
          <cell r="AE3008" t="str">
            <v xml:space="preserve">for PDM </v>
          </cell>
          <cell r="AF3008" t="str">
            <v xml:space="preserve">on </v>
          </cell>
          <cell r="AG3008"/>
          <cell r="AH3008" t="str">
            <v>en stock</v>
          </cell>
          <cell r="AI3008" t="str">
            <v/>
          </cell>
          <cell r="AJ3008">
            <v>0</v>
          </cell>
          <cell r="AK3008">
            <v>1</v>
          </cell>
          <cell r="AL3008"/>
          <cell r="AM3008"/>
          <cell r="AN3008" t="str">
            <v/>
          </cell>
          <cell r="AO3008"/>
          <cell r="AP3008"/>
          <cell r="AQ3008"/>
          <cell r="AR3008"/>
          <cell r="AS3008">
            <v>69</v>
          </cell>
          <cell r="AT3008"/>
          <cell r="AU3008" t="str">
            <v/>
          </cell>
          <cell r="AV3008"/>
        </row>
        <row r="3009">
          <cell r="Z3009">
            <v>191346001</v>
          </cell>
          <cell r="AA3009" t="str">
            <v>Sleeve 0 for PDM 8-1/2"</v>
          </cell>
          <cell r="AB3009">
            <v>70</v>
          </cell>
          <cell r="AC3009">
            <v>0</v>
          </cell>
          <cell r="AD3009"/>
          <cell r="AE3009" t="str">
            <v xml:space="preserve">for PDM </v>
          </cell>
          <cell r="AF3009" t="str">
            <v xml:space="preserve">on </v>
          </cell>
          <cell r="AG3009"/>
          <cell r="AH3009" t="str">
            <v>en stock</v>
          </cell>
          <cell r="AI3009" t="str">
            <v/>
          </cell>
          <cell r="AJ3009">
            <v>0</v>
          </cell>
          <cell r="AK3009">
            <v>1</v>
          </cell>
          <cell r="AL3009"/>
          <cell r="AM3009"/>
          <cell r="AN3009" t="str">
            <v/>
          </cell>
          <cell r="AO3009"/>
          <cell r="AP3009"/>
          <cell r="AQ3009"/>
          <cell r="AR3009"/>
          <cell r="AS3009">
            <v>70</v>
          </cell>
          <cell r="AT3009"/>
          <cell r="AU3009" t="str">
            <v/>
          </cell>
          <cell r="AV3009"/>
        </row>
        <row r="3010">
          <cell r="Z3010">
            <v>191213002</v>
          </cell>
          <cell r="AA3010" t="str">
            <v>Sleeve 0 for PDM 6-3/4"</v>
          </cell>
          <cell r="AB3010">
            <v>22</v>
          </cell>
          <cell r="AC3010">
            <v>0</v>
          </cell>
          <cell r="AD3010"/>
          <cell r="AE3010" t="str">
            <v xml:space="preserve">for PDM </v>
          </cell>
          <cell r="AF3010" t="str">
            <v xml:space="preserve">on </v>
          </cell>
          <cell r="AG3010"/>
          <cell r="AH3010" t="str">
            <v>en stock</v>
          </cell>
          <cell r="AI3010">
            <v>1</v>
          </cell>
          <cell r="AJ3010">
            <v>0</v>
          </cell>
          <cell r="AK3010">
            <v>0</v>
          </cell>
          <cell r="AL3010"/>
          <cell r="AM3010"/>
          <cell r="AN3010" t="str">
            <v/>
          </cell>
          <cell r="AO3010"/>
          <cell r="AP3010"/>
          <cell r="AQ3010"/>
          <cell r="AR3010"/>
          <cell r="AS3010">
            <v>83</v>
          </cell>
          <cell r="AT3010"/>
          <cell r="AU3010" t="str">
            <v/>
          </cell>
          <cell r="AV3010"/>
        </row>
        <row r="3011">
          <cell r="Z3011">
            <v>191213001</v>
          </cell>
          <cell r="AA3011" t="str">
            <v>Sleeve 0 for PDM 6-3/4"</v>
          </cell>
          <cell r="AB3011">
            <v>22</v>
          </cell>
          <cell r="AC3011">
            <v>0</v>
          </cell>
          <cell r="AD3011"/>
          <cell r="AE3011" t="str">
            <v xml:space="preserve">for PDM </v>
          </cell>
          <cell r="AF3011" t="str">
            <v xml:space="preserve">on </v>
          </cell>
          <cell r="AG3011"/>
          <cell r="AH3011" t="str">
            <v>en stock</v>
          </cell>
          <cell r="AI3011">
            <v>1</v>
          </cell>
          <cell r="AJ3011">
            <v>0</v>
          </cell>
          <cell r="AK3011">
            <v>0</v>
          </cell>
          <cell r="AL3011"/>
          <cell r="AM3011"/>
          <cell r="AN3011" t="str">
            <v/>
          </cell>
          <cell r="AO3011"/>
          <cell r="AP3011"/>
          <cell r="AQ3011"/>
          <cell r="AR3011"/>
          <cell r="AS3011">
            <v>84</v>
          </cell>
          <cell r="AT3011"/>
          <cell r="AU3011" t="str">
            <v/>
          </cell>
          <cell r="AV3011"/>
        </row>
        <row r="3012">
          <cell r="Z3012">
            <v>191212002</v>
          </cell>
          <cell r="AA3012" t="str">
            <v>Sleeve 0 for PDM 6-3/4"</v>
          </cell>
          <cell r="AB3012">
            <v>22</v>
          </cell>
          <cell r="AC3012">
            <v>0</v>
          </cell>
          <cell r="AD3012"/>
          <cell r="AE3012" t="str">
            <v xml:space="preserve">for PDM </v>
          </cell>
          <cell r="AF3012" t="str">
            <v xml:space="preserve">on </v>
          </cell>
          <cell r="AG3012"/>
          <cell r="AH3012" t="str">
            <v>en stock</v>
          </cell>
          <cell r="AI3012" t="str">
            <v/>
          </cell>
          <cell r="AJ3012">
            <v>1</v>
          </cell>
          <cell r="AK3012">
            <v>0</v>
          </cell>
          <cell r="AL3012"/>
          <cell r="AM3012"/>
          <cell r="AN3012" t="str">
            <v/>
          </cell>
          <cell r="AO3012"/>
          <cell r="AP3012"/>
          <cell r="AQ3012"/>
          <cell r="AR3012"/>
          <cell r="AS3012">
            <v>85</v>
          </cell>
          <cell r="AT3012"/>
          <cell r="AU3012" t="str">
            <v/>
          </cell>
          <cell r="AV3012"/>
        </row>
        <row r="3013">
          <cell r="Z3013">
            <v>191212001</v>
          </cell>
          <cell r="AA3013" t="str">
            <v>Sleeve 0 for PDM 6-3/4"</v>
          </cell>
          <cell r="AB3013">
            <v>22</v>
          </cell>
          <cell r="AC3013">
            <v>0</v>
          </cell>
          <cell r="AD3013"/>
          <cell r="AE3013" t="str">
            <v xml:space="preserve">for PDM </v>
          </cell>
          <cell r="AF3013" t="str">
            <v xml:space="preserve">on </v>
          </cell>
          <cell r="AG3013"/>
          <cell r="AH3013" t="str">
            <v>en stock</v>
          </cell>
          <cell r="AI3013">
            <v>1</v>
          </cell>
          <cell r="AJ3013">
            <v>0</v>
          </cell>
          <cell r="AK3013">
            <v>0</v>
          </cell>
          <cell r="AL3013"/>
          <cell r="AM3013"/>
          <cell r="AN3013" t="str">
            <v/>
          </cell>
          <cell r="AO3013"/>
          <cell r="AP3013"/>
          <cell r="AQ3013"/>
          <cell r="AR3013"/>
          <cell r="AS3013">
            <v>86</v>
          </cell>
          <cell r="AT3013"/>
          <cell r="AU3013" t="str">
            <v/>
          </cell>
          <cell r="AV3013"/>
        </row>
        <row r="3014">
          <cell r="Z3014">
            <v>191197002</v>
          </cell>
          <cell r="AA3014" t="str">
            <v>Sleeve 0 for PDM 6-3/4"</v>
          </cell>
          <cell r="AB3014">
            <v>30</v>
          </cell>
          <cell r="AC3014">
            <v>0</v>
          </cell>
          <cell r="AD3014"/>
          <cell r="AE3014" t="str">
            <v xml:space="preserve">for PDM </v>
          </cell>
          <cell r="AF3014" t="str">
            <v xml:space="preserve">on </v>
          </cell>
          <cell r="AG3014"/>
          <cell r="AH3014" t="str">
            <v>en stock</v>
          </cell>
          <cell r="AI3014">
            <v>1</v>
          </cell>
          <cell r="AJ3014">
            <v>0</v>
          </cell>
          <cell r="AK3014">
            <v>0</v>
          </cell>
          <cell r="AL3014"/>
          <cell r="AM3014"/>
          <cell r="AN3014" t="str">
            <v/>
          </cell>
          <cell r="AO3014"/>
          <cell r="AP3014"/>
          <cell r="AQ3014"/>
          <cell r="AR3014"/>
          <cell r="AS3014">
            <v>91</v>
          </cell>
          <cell r="AT3014"/>
          <cell r="AU3014" t="str">
            <v/>
          </cell>
          <cell r="AV3014"/>
        </row>
        <row r="3015">
          <cell r="Z3015">
            <v>191196002</v>
          </cell>
          <cell r="AA3015" t="str">
            <v>Sleeve 0 for PDM 6-3/4"</v>
          </cell>
          <cell r="AB3015">
            <v>30</v>
          </cell>
          <cell r="AC3015">
            <v>0</v>
          </cell>
          <cell r="AD3015"/>
          <cell r="AE3015" t="str">
            <v xml:space="preserve">for PDM </v>
          </cell>
          <cell r="AF3015" t="str">
            <v xml:space="preserve">on </v>
          </cell>
          <cell r="AG3015"/>
          <cell r="AH3015" t="str">
            <v>en stock</v>
          </cell>
          <cell r="AI3015" t="str">
            <v/>
          </cell>
          <cell r="AJ3015">
            <v>1</v>
          </cell>
          <cell r="AK3015">
            <v>0</v>
          </cell>
          <cell r="AL3015"/>
          <cell r="AM3015"/>
          <cell r="AN3015" t="str">
            <v/>
          </cell>
          <cell r="AO3015"/>
          <cell r="AP3015"/>
          <cell r="AQ3015"/>
          <cell r="AR3015"/>
          <cell r="AS3015">
            <v>92</v>
          </cell>
          <cell r="AT3015"/>
          <cell r="AU3015" t="str">
            <v/>
          </cell>
          <cell r="AV3015"/>
        </row>
        <row r="3016">
          <cell r="Z3016">
            <v>191197001</v>
          </cell>
          <cell r="AA3016" t="str">
            <v>Sleeve 0 for PDM 6-3/4"</v>
          </cell>
          <cell r="AB3016">
            <v>30</v>
          </cell>
          <cell r="AC3016">
            <v>0</v>
          </cell>
          <cell r="AD3016"/>
          <cell r="AE3016" t="str">
            <v xml:space="preserve">for PDM </v>
          </cell>
          <cell r="AF3016" t="str">
            <v xml:space="preserve">on </v>
          </cell>
          <cell r="AG3016"/>
          <cell r="AH3016" t="str">
            <v>en stock</v>
          </cell>
          <cell r="AI3016" t="str">
            <v/>
          </cell>
          <cell r="AJ3016">
            <v>1</v>
          </cell>
          <cell r="AK3016">
            <v>0</v>
          </cell>
          <cell r="AL3016"/>
          <cell r="AM3016"/>
          <cell r="AN3016" t="str">
            <v/>
          </cell>
          <cell r="AO3016"/>
          <cell r="AP3016"/>
          <cell r="AQ3016"/>
          <cell r="AR3016"/>
          <cell r="AS3016">
            <v>93</v>
          </cell>
          <cell r="AT3016"/>
          <cell r="AU3016" t="str">
            <v/>
          </cell>
          <cell r="AV3016"/>
        </row>
        <row r="3017">
          <cell r="Z3017">
            <v>192719001</v>
          </cell>
          <cell r="AA3017" t="str">
            <v>Sleeve 0 for PDM 4-3/4"</v>
          </cell>
          <cell r="AB3017">
            <v>8</v>
          </cell>
          <cell r="AC3017">
            <v>0</v>
          </cell>
          <cell r="AD3017"/>
          <cell r="AE3017" t="str">
            <v xml:space="preserve">for PDM </v>
          </cell>
          <cell r="AF3017" t="str">
            <v xml:space="preserve">on </v>
          </cell>
          <cell r="AG3017"/>
          <cell r="AH3017" t="str">
            <v>en stock</v>
          </cell>
          <cell r="AI3017">
            <v>1</v>
          </cell>
          <cell r="AJ3017">
            <v>0</v>
          </cell>
          <cell r="AK3017">
            <v>0</v>
          </cell>
          <cell r="AL3017"/>
          <cell r="AM3017"/>
          <cell r="AN3017" t="str">
            <v/>
          </cell>
          <cell r="AO3017"/>
          <cell r="AP3017"/>
          <cell r="AQ3017"/>
          <cell r="AR3017"/>
          <cell r="AS3017">
            <v>99</v>
          </cell>
          <cell r="AT3017"/>
          <cell r="AU3017" t="str">
            <v/>
          </cell>
          <cell r="AV3017"/>
        </row>
        <row r="3018">
          <cell r="Z3018">
            <v>192719002</v>
          </cell>
          <cell r="AA3018" t="str">
            <v>Sleeve 0 for PDM 4-3/4"</v>
          </cell>
          <cell r="AB3018">
            <v>8</v>
          </cell>
          <cell r="AC3018">
            <v>0</v>
          </cell>
          <cell r="AD3018"/>
          <cell r="AE3018" t="str">
            <v xml:space="preserve">for PDM </v>
          </cell>
          <cell r="AF3018" t="str">
            <v xml:space="preserve">on </v>
          </cell>
          <cell r="AG3018"/>
          <cell r="AH3018" t="str">
            <v>en stock</v>
          </cell>
          <cell r="AI3018" t="str">
            <v/>
          </cell>
          <cell r="AJ3018">
            <v>1</v>
          </cell>
          <cell r="AK3018">
            <v>0</v>
          </cell>
          <cell r="AL3018"/>
          <cell r="AM3018"/>
          <cell r="AN3018" t="str">
            <v/>
          </cell>
          <cell r="AO3018"/>
          <cell r="AP3018"/>
          <cell r="AQ3018"/>
          <cell r="AR3018"/>
          <cell r="AS3018">
            <v>100</v>
          </cell>
          <cell r="AT3018"/>
          <cell r="AU3018" t="str">
            <v/>
          </cell>
          <cell r="AV3018"/>
        </row>
        <row r="3019">
          <cell r="Z3019" t="str">
            <v>40125100-1</v>
          </cell>
          <cell r="AA3019" t="str">
            <v>Totco Recorder Single Shot MD</v>
          </cell>
          <cell r="AB3019"/>
          <cell r="AC3019"/>
          <cell r="AD3019"/>
          <cell r="AE3019"/>
          <cell r="AF3019"/>
          <cell r="AG3019"/>
          <cell r="AH3019" t="str">
            <v>en stock</v>
          </cell>
          <cell r="AI3019">
            <v>1</v>
          </cell>
          <cell r="AJ3019">
            <v>0</v>
          </cell>
          <cell r="AK3019">
            <v>0</v>
          </cell>
          <cell r="AL3019"/>
          <cell r="AM3019"/>
          <cell r="AN3019"/>
          <cell r="AO3019"/>
          <cell r="AP3019"/>
          <cell r="AQ3019"/>
          <cell r="AR3019"/>
          <cell r="AS3019">
            <v>5</v>
          </cell>
          <cell r="AT3019"/>
          <cell r="AU3019" t="str">
            <v/>
          </cell>
          <cell r="AV3019"/>
        </row>
        <row r="3020">
          <cell r="Z3020" t="str">
            <v>Kit MWD n°10</v>
          </cell>
          <cell r="AA3020" t="str">
            <v>MWD kit n°10</v>
          </cell>
          <cell r="AB3020">
            <v>652</v>
          </cell>
          <cell r="AC3020"/>
          <cell r="AD3020" t="str">
            <v>244x122x92</v>
          </cell>
          <cell r="AE3020"/>
          <cell r="AF3020"/>
          <cell r="AG3020"/>
          <cell r="AH3020" t="str">
            <v>en stock</v>
          </cell>
          <cell r="AI3020">
            <v>1</v>
          </cell>
          <cell r="AJ3020">
            <v>0</v>
          </cell>
          <cell r="AK3020">
            <v>0</v>
          </cell>
          <cell r="AL3020"/>
          <cell r="AM3020"/>
          <cell r="AN3020"/>
          <cell r="AO3020"/>
          <cell r="AP3020"/>
          <cell r="AQ3020"/>
          <cell r="AR3020"/>
          <cell r="AS3020">
            <v>5</v>
          </cell>
          <cell r="AT3020"/>
          <cell r="AU3020"/>
          <cell r="AV3020">
            <v>9015808000</v>
          </cell>
        </row>
        <row r="3021">
          <cell r="Z3021" t="str">
            <v>Kit MWD n°23</v>
          </cell>
          <cell r="AA3021" t="str">
            <v>MWD kit n°23</v>
          </cell>
          <cell r="AB3021">
            <v>652</v>
          </cell>
          <cell r="AC3021"/>
          <cell r="AD3021" t="str">
            <v>244x122x92</v>
          </cell>
          <cell r="AE3021"/>
          <cell r="AF3021"/>
          <cell r="AG3021"/>
          <cell r="AH3021" t="str">
            <v>en stock</v>
          </cell>
          <cell r="AI3021">
            <v>1</v>
          </cell>
          <cell r="AJ3021">
            <v>0</v>
          </cell>
          <cell r="AK3021">
            <v>0</v>
          </cell>
          <cell r="AL3021"/>
          <cell r="AM3021"/>
          <cell r="AN3021"/>
          <cell r="AO3021"/>
          <cell r="AP3021"/>
          <cell r="AQ3021"/>
          <cell r="AR3021"/>
          <cell r="AS3021">
            <v>7</v>
          </cell>
          <cell r="AT3021"/>
          <cell r="AU3021" t="str">
            <v>CA</v>
          </cell>
          <cell r="AV3021">
            <v>9015808000</v>
          </cell>
        </row>
        <row r="3022">
          <cell r="Z3022" t="str">
            <v>Kit MWD n°24</v>
          </cell>
          <cell r="AA3022" t="str">
            <v>MWD kit n°24</v>
          </cell>
          <cell r="AB3022">
            <v>650</v>
          </cell>
          <cell r="AC3022"/>
          <cell r="AD3022" t="str">
            <v>244x122x92</v>
          </cell>
          <cell r="AE3022"/>
          <cell r="AF3022"/>
          <cell r="AG3022"/>
          <cell r="AH3022" t="str">
            <v>en stock</v>
          </cell>
          <cell r="AI3022">
            <v>1</v>
          </cell>
          <cell r="AJ3022">
            <v>0</v>
          </cell>
          <cell r="AK3022">
            <v>0</v>
          </cell>
          <cell r="AL3022"/>
          <cell r="AM3022"/>
          <cell r="AN3022"/>
          <cell r="AO3022"/>
          <cell r="AP3022"/>
          <cell r="AQ3022"/>
          <cell r="AR3022"/>
          <cell r="AS3022">
            <v>6</v>
          </cell>
          <cell r="AT3022"/>
          <cell r="AU3022" t="str">
            <v>CA</v>
          </cell>
          <cell r="AV3022">
            <v>9015808000</v>
          </cell>
        </row>
        <row r="3023">
          <cell r="Z3023">
            <v>71400000006</v>
          </cell>
          <cell r="AA3023" t="str">
            <v>Die Collar Left Hand to catch 3" to 3-5/8"
Lg taper 340mm
2-7/8" REG Box LH</v>
          </cell>
          <cell r="AB3023">
            <v>10</v>
          </cell>
          <cell r="AC3023">
            <v>4</v>
          </cell>
          <cell r="AD3023">
            <v>0</v>
          </cell>
          <cell r="AE3023" t="str">
            <v>2-7/8" REG Box LH</v>
          </cell>
          <cell r="AF3023"/>
          <cell r="AG3023"/>
          <cell r="AH3023" t="str">
            <v>en stock</v>
          </cell>
          <cell r="AI3023">
            <v>71400000006</v>
          </cell>
          <cell r="AJ3023">
            <v>1</v>
          </cell>
          <cell r="AK3023">
            <v>0</v>
          </cell>
          <cell r="AL3023"/>
          <cell r="AM3023"/>
          <cell r="AN3023" t="str">
            <v/>
          </cell>
          <cell r="AO3023" t="str">
            <v>x</v>
          </cell>
          <cell r="AP3023"/>
          <cell r="AQ3023"/>
          <cell r="AR3023"/>
          <cell r="AS3023">
            <v>5</v>
          </cell>
          <cell r="AT3023"/>
          <cell r="AU3023" t="str">
            <v/>
          </cell>
          <cell r="AV3023"/>
        </row>
        <row r="3024">
          <cell r="Z3024">
            <v>72468750004</v>
          </cell>
          <cell r="AA3024" t="str">
            <v>FS Overshot Left Hand - CA ?
3-1/2" IF LH Box</v>
          </cell>
          <cell r="AB3024">
            <v>0</v>
          </cell>
          <cell r="AC3024" t="str">
            <v>FS</v>
          </cell>
          <cell r="AD3024">
            <v>0</v>
          </cell>
          <cell r="AE3024" t="str">
            <v>3-1/2" IF LH Box</v>
          </cell>
          <cell r="AF3024">
            <v>0</v>
          </cell>
          <cell r="AG3024">
            <v>0</v>
          </cell>
          <cell r="AH3024" t="str">
            <v>en stock</v>
          </cell>
          <cell r="AI3024">
            <v>1</v>
          </cell>
          <cell r="AJ3024">
            <v>0</v>
          </cell>
          <cell r="AK3024">
            <v>0</v>
          </cell>
          <cell r="AL3024"/>
          <cell r="AM3024"/>
          <cell r="AN3024" t="str">
            <v/>
          </cell>
          <cell r="AO3024" t="str">
            <v>x</v>
          </cell>
          <cell r="AP3024"/>
          <cell r="AQ3024"/>
          <cell r="AR3024"/>
          <cell r="AS3024">
            <v>99</v>
          </cell>
          <cell r="AT3024" t="str">
            <v>704-</v>
          </cell>
          <cell r="AU3024" t="str">
            <v/>
          </cell>
          <cell r="AV3024"/>
        </row>
        <row r="3025">
          <cell r="Z3025">
            <v>72812500026</v>
          </cell>
          <cell r="AA3025" t="str">
            <v>FS Overshot Left Hand - CA ?
4-1/2" IF LH Box</v>
          </cell>
          <cell r="AB3025">
            <v>0</v>
          </cell>
          <cell r="AC3025" t="str">
            <v>FS</v>
          </cell>
          <cell r="AD3025">
            <v>0</v>
          </cell>
          <cell r="AE3025" t="str">
            <v>4-1/2" IF LH Box</v>
          </cell>
          <cell r="AF3025">
            <v>0</v>
          </cell>
          <cell r="AG3025">
            <v>0</v>
          </cell>
          <cell r="AH3025" t="str">
            <v>en stock</v>
          </cell>
          <cell r="AI3025">
            <v>1</v>
          </cell>
          <cell r="AJ3025">
            <v>0</v>
          </cell>
          <cell r="AK3025">
            <v>0</v>
          </cell>
          <cell r="AL3025"/>
          <cell r="AM3025"/>
          <cell r="AN3025" t="str">
            <v/>
          </cell>
          <cell r="AO3025" t="str">
            <v>x</v>
          </cell>
          <cell r="AP3025"/>
          <cell r="AQ3025"/>
          <cell r="AR3025"/>
          <cell r="AS3025">
            <v>100</v>
          </cell>
          <cell r="AT3025" t="str">
            <v>704-</v>
          </cell>
          <cell r="AU3025" t="str">
            <v/>
          </cell>
          <cell r="AV3025"/>
        </row>
        <row r="3026">
          <cell r="Z3026">
            <v>7040762002</v>
          </cell>
          <cell r="AA3026" t="str">
            <v>Oversize Guide 10-3/4" OD
7-5/8" SH Sellers Pin</v>
          </cell>
          <cell r="AB3026">
            <v>0</v>
          </cell>
          <cell r="AC3026" t="str">
            <v>10-3/4"</v>
          </cell>
          <cell r="AD3026">
            <v>0</v>
          </cell>
          <cell r="AE3026" t="str">
            <v>7-5/8" SH Sellers Pin</v>
          </cell>
          <cell r="AF3026"/>
          <cell r="AG3026"/>
          <cell r="AH3026" t="str">
            <v>en stock</v>
          </cell>
          <cell r="AI3026" t="str">
            <v>n°99</v>
          </cell>
          <cell r="AJ3026">
            <v>0</v>
          </cell>
          <cell r="AK3026">
            <v>0</v>
          </cell>
          <cell r="AL3026"/>
          <cell r="AM3026"/>
          <cell r="AN3026" t="str">
            <v/>
          </cell>
          <cell r="AO3026"/>
          <cell r="AP3026"/>
          <cell r="AQ3026"/>
          <cell r="AR3026"/>
          <cell r="AS3026">
            <v>8</v>
          </cell>
          <cell r="AT3026"/>
          <cell r="AU3026" t="str">
            <v/>
          </cell>
          <cell r="AV3026"/>
        </row>
        <row r="3027">
          <cell r="Z3027">
            <v>7040775001</v>
          </cell>
          <cell r="AA3027" t="str">
            <v>Oversize Guide 13" OD
7-3/4" SFS Sellers Pin</v>
          </cell>
          <cell r="AB3027">
            <v>0</v>
          </cell>
          <cell r="AC3027" t="str">
            <v>13"</v>
          </cell>
          <cell r="AD3027">
            <v>0</v>
          </cell>
          <cell r="AE3027" t="str">
            <v>7-3/4" SFS Sellers Pin</v>
          </cell>
          <cell r="AF3027"/>
          <cell r="AG3027"/>
          <cell r="AH3027" t="str">
            <v>en stock</v>
          </cell>
          <cell r="AI3027">
            <v>1</v>
          </cell>
          <cell r="AJ3027">
            <v>0</v>
          </cell>
          <cell r="AK3027">
            <v>0</v>
          </cell>
          <cell r="AL3027"/>
          <cell r="AM3027"/>
          <cell r="AN3027" t="str">
            <v/>
          </cell>
          <cell r="AO3027"/>
          <cell r="AP3027"/>
          <cell r="AQ3027"/>
          <cell r="AR3027"/>
          <cell r="AS3027">
            <v>9</v>
          </cell>
          <cell r="AT3027"/>
          <cell r="AU3027" t="str">
            <v/>
          </cell>
          <cell r="AV3027"/>
        </row>
        <row r="3028">
          <cell r="Z3028">
            <v>7040787006</v>
          </cell>
          <cell r="AA3028" t="str">
            <v>Oversize Guide 11" OD
7-7/8" FS Sellers Pin</v>
          </cell>
          <cell r="AB3028">
            <v>0</v>
          </cell>
          <cell r="AC3028" t="str">
            <v>11"</v>
          </cell>
          <cell r="AD3028">
            <v>0</v>
          </cell>
          <cell r="AE3028" t="str">
            <v>7-7/8" FS Sellers Pin</v>
          </cell>
          <cell r="AF3028"/>
          <cell r="AG3028"/>
          <cell r="AH3028" t="str">
            <v>en stock</v>
          </cell>
          <cell r="AI3028" t="str">
            <v>n°85</v>
          </cell>
          <cell r="AJ3028">
            <v>0</v>
          </cell>
          <cell r="AK3028">
            <v>0</v>
          </cell>
          <cell r="AL3028"/>
          <cell r="AM3028"/>
          <cell r="AN3028" t="str">
            <v/>
          </cell>
          <cell r="AO3028"/>
          <cell r="AP3028"/>
          <cell r="AQ3028"/>
          <cell r="AR3028"/>
          <cell r="AS3028">
            <v>10</v>
          </cell>
          <cell r="AT3028"/>
          <cell r="AU3028" t="str">
            <v/>
          </cell>
          <cell r="AV3028"/>
        </row>
        <row r="3029">
          <cell r="Z3029">
            <v>7040787007</v>
          </cell>
          <cell r="AA3029" t="str">
            <v>Oversize Guide 11" OD
7-7/8" FS Sellers Pin</v>
          </cell>
          <cell r="AB3029">
            <v>0</v>
          </cell>
          <cell r="AC3029" t="str">
            <v>11"</v>
          </cell>
          <cell r="AD3029">
            <v>0</v>
          </cell>
          <cell r="AE3029" t="str">
            <v>7-7/8" FS Sellers Pin</v>
          </cell>
          <cell r="AF3029"/>
          <cell r="AG3029"/>
          <cell r="AH3029" t="str">
            <v>en stock</v>
          </cell>
          <cell r="AI3029" t="str">
            <v>n°85</v>
          </cell>
          <cell r="AJ3029">
            <v>0</v>
          </cell>
          <cell r="AK3029">
            <v>0</v>
          </cell>
          <cell r="AL3029"/>
          <cell r="AM3029"/>
          <cell r="AN3029" t="str">
            <v/>
          </cell>
          <cell r="AO3029"/>
          <cell r="AP3029"/>
          <cell r="AQ3029"/>
          <cell r="AR3029"/>
          <cell r="AS3029">
            <v>11</v>
          </cell>
          <cell r="AT3029"/>
          <cell r="AU3029" t="str">
            <v/>
          </cell>
          <cell r="AV3029"/>
        </row>
        <row r="3030">
          <cell r="Z3030">
            <v>7040812002</v>
          </cell>
          <cell r="AA3030" t="str">
            <v>Oversize Guide 15" OD
7-7/8" FS Sellers Pin</v>
          </cell>
          <cell r="AB3030">
            <v>0</v>
          </cell>
          <cell r="AC3030" t="str">
            <v>15"</v>
          </cell>
          <cell r="AD3030">
            <v>0</v>
          </cell>
          <cell r="AE3030" t="str">
            <v>7-7/8" FS Sellers Pin</v>
          </cell>
          <cell r="AF3030"/>
          <cell r="AG3030"/>
          <cell r="AH3030" t="str">
            <v>en stock</v>
          </cell>
          <cell r="AI3030" t="str">
            <v>n°85</v>
          </cell>
          <cell r="AJ3030">
            <v>0</v>
          </cell>
          <cell r="AK3030">
            <v>0</v>
          </cell>
          <cell r="AL3030"/>
          <cell r="AM3030"/>
          <cell r="AN3030" t="str">
            <v/>
          </cell>
          <cell r="AO3030"/>
          <cell r="AP3030"/>
          <cell r="AQ3030"/>
          <cell r="AR3030"/>
          <cell r="AS3030">
            <v>12</v>
          </cell>
          <cell r="AT3030"/>
          <cell r="AU3030" t="str">
            <v/>
          </cell>
          <cell r="AV3030"/>
        </row>
        <row r="3031">
          <cell r="Z3031">
            <v>7040787001</v>
          </cell>
          <cell r="AA3031" t="str">
            <v>Oversize Guide 0 OD
7-7/8" SH Sellers Pin</v>
          </cell>
          <cell r="AB3031">
            <v>0</v>
          </cell>
          <cell r="AC3031">
            <v>0</v>
          </cell>
          <cell r="AD3031">
            <v>0</v>
          </cell>
          <cell r="AE3031" t="str">
            <v>7-7/8" SH Sellers Pin</v>
          </cell>
          <cell r="AF3031"/>
          <cell r="AG3031"/>
          <cell r="AH3031" t="str">
            <v>en stock</v>
          </cell>
          <cell r="AI3031" t="str">
            <v>n°85</v>
          </cell>
          <cell r="AJ3031">
            <v>0</v>
          </cell>
          <cell r="AK3031">
            <v>0</v>
          </cell>
          <cell r="AL3031"/>
          <cell r="AM3031"/>
          <cell r="AN3031" t="str">
            <v/>
          </cell>
          <cell r="AO3031"/>
          <cell r="AP3031"/>
          <cell r="AQ3031"/>
          <cell r="AR3031"/>
          <cell r="AS3031">
            <v>13</v>
          </cell>
          <cell r="AT3031"/>
          <cell r="AU3031" t="str">
            <v/>
          </cell>
          <cell r="AV3031"/>
        </row>
        <row r="3032">
          <cell r="Z3032">
            <v>7040787002</v>
          </cell>
          <cell r="AA3032" t="str">
            <v>Oversize Guide 15" OD
7-7/8" SH Sellers Pin</v>
          </cell>
          <cell r="AB3032">
            <v>0</v>
          </cell>
          <cell r="AC3032" t="str">
            <v>15"</v>
          </cell>
          <cell r="AD3032">
            <v>0</v>
          </cell>
          <cell r="AE3032" t="str">
            <v>7-7/8" SH Sellers Pin</v>
          </cell>
          <cell r="AF3032"/>
          <cell r="AG3032"/>
          <cell r="AH3032" t="str">
            <v>en stock</v>
          </cell>
          <cell r="AI3032" t="str">
            <v>n°63</v>
          </cell>
          <cell r="AJ3032">
            <v>0</v>
          </cell>
          <cell r="AK3032">
            <v>0</v>
          </cell>
          <cell r="AL3032"/>
          <cell r="AM3032"/>
          <cell r="AN3032" t="str">
            <v/>
          </cell>
          <cell r="AO3032"/>
          <cell r="AP3032"/>
          <cell r="AQ3032"/>
          <cell r="AR3032"/>
          <cell r="AS3032">
            <v>14</v>
          </cell>
          <cell r="AT3032"/>
          <cell r="AU3032" t="str">
            <v/>
          </cell>
          <cell r="AV3032"/>
        </row>
        <row r="3033">
          <cell r="Z3033">
            <v>7040787003</v>
          </cell>
          <cell r="AA3033" t="str">
            <v>Oversize Guide 15" OD
7-7/8" SH Sellers Pin</v>
          </cell>
          <cell r="AB3033">
            <v>0</v>
          </cell>
          <cell r="AC3033" t="str">
            <v>15"</v>
          </cell>
          <cell r="AD3033">
            <v>0</v>
          </cell>
          <cell r="AE3033" t="str">
            <v>7-7/8" SH Sellers Pin</v>
          </cell>
          <cell r="AF3033"/>
          <cell r="AG3033"/>
          <cell r="AH3033" t="str">
            <v>en stock</v>
          </cell>
          <cell r="AI3033" t="str">
            <v>n°63</v>
          </cell>
          <cell r="AJ3033">
            <v>0</v>
          </cell>
          <cell r="AK3033">
            <v>0</v>
          </cell>
          <cell r="AL3033"/>
          <cell r="AM3033"/>
          <cell r="AN3033" t="str">
            <v/>
          </cell>
          <cell r="AO3033"/>
          <cell r="AP3033"/>
          <cell r="AQ3033"/>
          <cell r="AR3033"/>
          <cell r="AS3033">
            <v>15</v>
          </cell>
          <cell r="AT3033"/>
          <cell r="AU3033" t="str">
            <v/>
          </cell>
          <cell r="AV3033"/>
        </row>
        <row r="3034">
          <cell r="Z3034">
            <v>7040787004</v>
          </cell>
          <cell r="AA3034" t="str">
            <v>Oversize Guide 10-7/8" OD
7-7/8" SH Sellers Pin</v>
          </cell>
          <cell r="AB3034">
            <v>0</v>
          </cell>
          <cell r="AC3034" t="str">
            <v>10-7/8"</v>
          </cell>
          <cell r="AD3034">
            <v>0</v>
          </cell>
          <cell r="AE3034" t="str">
            <v>7-7/8" SH Sellers Pin</v>
          </cell>
          <cell r="AF3034"/>
          <cell r="AG3034"/>
          <cell r="AH3034" t="str">
            <v>en stock</v>
          </cell>
          <cell r="AI3034" t="str">
            <v>n°63</v>
          </cell>
          <cell r="AJ3034">
            <v>0</v>
          </cell>
          <cell r="AK3034">
            <v>0</v>
          </cell>
          <cell r="AL3034"/>
          <cell r="AM3034"/>
          <cell r="AN3034" t="str">
            <v/>
          </cell>
          <cell r="AO3034"/>
          <cell r="AP3034"/>
          <cell r="AQ3034"/>
          <cell r="AR3034"/>
          <cell r="AS3034">
            <v>16</v>
          </cell>
          <cell r="AT3034"/>
          <cell r="AU3034" t="str">
            <v/>
          </cell>
          <cell r="AV3034"/>
        </row>
        <row r="3035">
          <cell r="Z3035">
            <v>7040812001</v>
          </cell>
          <cell r="AA3035" t="str">
            <v>Oversize Guide 21-13/16" OD
8-1/8" FS Sellers Pin</v>
          </cell>
          <cell r="AB3035">
            <v>0</v>
          </cell>
          <cell r="AC3035" t="str">
            <v>21-13/16"</v>
          </cell>
          <cell r="AD3035">
            <v>0</v>
          </cell>
          <cell r="AE3035" t="str">
            <v>8-1/8" FS Sellers Pin</v>
          </cell>
          <cell r="AF3035"/>
          <cell r="AG3035"/>
          <cell r="AH3035" t="str">
            <v>en stock</v>
          </cell>
          <cell r="AI3035" t="str">
            <v>n°82</v>
          </cell>
          <cell r="AJ3035">
            <v>0</v>
          </cell>
          <cell r="AK3035">
            <v>0</v>
          </cell>
          <cell r="AL3035"/>
          <cell r="AM3035"/>
          <cell r="AN3035" t="str">
            <v/>
          </cell>
          <cell r="AO3035"/>
          <cell r="AP3035"/>
          <cell r="AQ3035"/>
          <cell r="AR3035"/>
          <cell r="AS3035">
            <v>17</v>
          </cell>
          <cell r="AT3035"/>
          <cell r="AU3035" t="str">
            <v/>
          </cell>
          <cell r="AV3035"/>
        </row>
        <row r="3036">
          <cell r="Z3036">
            <v>7040812005</v>
          </cell>
          <cell r="AA3036" t="str">
            <v>Oversize Guide 12" OD
8-1/8" FS Sellers Pin</v>
          </cell>
          <cell r="AB3036">
            <v>0</v>
          </cell>
          <cell r="AC3036" t="str">
            <v>12"</v>
          </cell>
          <cell r="AD3036">
            <v>0</v>
          </cell>
          <cell r="AE3036" t="str">
            <v>8-1/8" FS Sellers Pin</v>
          </cell>
          <cell r="AF3036"/>
          <cell r="AG3036"/>
          <cell r="AH3036" t="str">
            <v>en stock</v>
          </cell>
          <cell r="AI3036" t="str">
            <v>n°82</v>
          </cell>
          <cell r="AJ3036">
            <v>0</v>
          </cell>
          <cell r="AK3036">
            <v>0</v>
          </cell>
          <cell r="AL3036"/>
          <cell r="AM3036"/>
          <cell r="AN3036" t="str">
            <v/>
          </cell>
          <cell r="AO3036"/>
          <cell r="AP3036"/>
          <cell r="AQ3036"/>
          <cell r="AR3036"/>
          <cell r="AS3036">
            <v>18</v>
          </cell>
          <cell r="AT3036"/>
          <cell r="AU3036" t="str">
            <v/>
          </cell>
          <cell r="AV3036"/>
        </row>
        <row r="3037">
          <cell r="Z3037">
            <v>704096004</v>
          </cell>
          <cell r="AA3037" t="str">
            <v>Oversize Guide 10,9375 OD
8-1/8" FS Sellers Pin</v>
          </cell>
          <cell r="AB3037">
            <v>0</v>
          </cell>
          <cell r="AC3037">
            <v>10.9375</v>
          </cell>
          <cell r="AD3037">
            <v>0</v>
          </cell>
          <cell r="AE3037" t="str">
            <v>8-1/8" FS Sellers Pin</v>
          </cell>
          <cell r="AF3037"/>
          <cell r="AG3037"/>
          <cell r="AH3037" t="str">
            <v>en stock</v>
          </cell>
          <cell r="AI3037">
            <v>1</v>
          </cell>
          <cell r="AJ3037">
            <v>0</v>
          </cell>
          <cell r="AK3037">
            <v>0</v>
          </cell>
          <cell r="AL3037"/>
          <cell r="AM3037"/>
          <cell r="AN3037" t="str">
            <v/>
          </cell>
          <cell r="AO3037"/>
          <cell r="AP3037"/>
          <cell r="AQ3037"/>
          <cell r="AR3037"/>
          <cell r="AS3037">
            <v>19</v>
          </cell>
          <cell r="AT3037"/>
          <cell r="AU3037" t="str">
            <v/>
          </cell>
          <cell r="AV3037"/>
        </row>
        <row r="3038">
          <cell r="Z3038">
            <v>7060806</v>
          </cell>
          <cell r="AA3038" t="str">
            <v>Oversize Guide 10-1/8" OD
8-1/8" FS Sellers Pin</v>
          </cell>
          <cell r="AB3038">
            <v>0</v>
          </cell>
          <cell r="AC3038" t="str">
            <v>10-1/8"</v>
          </cell>
          <cell r="AD3038">
            <v>0</v>
          </cell>
          <cell r="AE3038" t="str">
            <v>8-1/8" FS Sellers Pin</v>
          </cell>
          <cell r="AF3038"/>
          <cell r="AG3038"/>
          <cell r="AH3038" t="str">
            <v>en stock</v>
          </cell>
          <cell r="AI3038">
            <v>1</v>
          </cell>
          <cell r="AJ3038">
            <v>0</v>
          </cell>
          <cell r="AK3038">
            <v>0</v>
          </cell>
          <cell r="AL3038"/>
          <cell r="AM3038"/>
          <cell r="AN3038" t="str">
            <v/>
          </cell>
          <cell r="AO3038"/>
          <cell r="AP3038"/>
          <cell r="AQ3038"/>
          <cell r="AR3038"/>
          <cell r="AS3038">
            <v>20</v>
          </cell>
          <cell r="AT3038"/>
          <cell r="AU3038" t="str">
            <v/>
          </cell>
          <cell r="AV3038"/>
        </row>
        <row r="3039">
          <cell r="Z3039">
            <v>7040912001</v>
          </cell>
          <cell r="AA3039" t="str">
            <v>Oversize Guide 13" OD
9-1/8" SH Sellers Pin</v>
          </cell>
          <cell r="AB3039">
            <v>0</v>
          </cell>
          <cell r="AC3039" t="str">
            <v>13"</v>
          </cell>
          <cell r="AD3039">
            <v>0</v>
          </cell>
          <cell r="AE3039" t="str">
            <v>9-1/8" SH Sellers Pin</v>
          </cell>
          <cell r="AF3039"/>
          <cell r="AG3039"/>
          <cell r="AH3039" t="str">
            <v>en stock</v>
          </cell>
          <cell r="AI3039" t="str">
            <v>n°99</v>
          </cell>
          <cell r="AJ3039">
            <v>0</v>
          </cell>
          <cell r="AK3039">
            <v>0</v>
          </cell>
          <cell r="AL3039"/>
          <cell r="AM3039"/>
          <cell r="AN3039" t="str">
            <v/>
          </cell>
          <cell r="AO3039"/>
          <cell r="AP3039"/>
          <cell r="AQ3039"/>
          <cell r="AR3039"/>
          <cell r="AS3039">
            <v>26</v>
          </cell>
          <cell r="AT3039"/>
          <cell r="AU3039" t="str">
            <v/>
          </cell>
          <cell r="AV3039"/>
        </row>
        <row r="3040">
          <cell r="Z3040">
            <v>7040912002</v>
          </cell>
          <cell r="AA3040" t="str">
            <v>Oversize Guide 19" OD
9-1/8" SH Sellers Pin</v>
          </cell>
          <cell r="AB3040">
            <v>0</v>
          </cell>
          <cell r="AC3040" t="str">
            <v>19"</v>
          </cell>
          <cell r="AD3040">
            <v>0</v>
          </cell>
          <cell r="AE3040" t="str">
            <v>9-1/8" SH Sellers Pin</v>
          </cell>
          <cell r="AF3040"/>
          <cell r="AG3040"/>
          <cell r="AH3040" t="str">
            <v>en stock</v>
          </cell>
          <cell r="AI3040" t="str">
            <v>n°80</v>
          </cell>
          <cell r="AJ3040">
            <v>0</v>
          </cell>
          <cell r="AK3040">
            <v>0</v>
          </cell>
          <cell r="AL3040"/>
          <cell r="AM3040"/>
          <cell r="AN3040" t="str">
            <v/>
          </cell>
          <cell r="AO3040"/>
          <cell r="AP3040"/>
          <cell r="AQ3040"/>
          <cell r="AR3040"/>
          <cell r="AS3040">
            <v>27</v>
          </cell>
          <cell r="AT3040"/>
          <cell r="AU3040" t="str">
            <v/>
          </cell>
          <cell r="AV3040"/>
        </row>
        <row r="3041">
          <cell r="Z3041">
            <v>7040937006</v>
          </cell>
          <cell r="AA3041" t="str">
            <v>Oversize Guide 11" OD
9-1/8" SH Sellers Pin</v>
          </cell>
          <cell r="AB3041">
            <v>0</v>
          </cell>
          <cell r="AC3041" t="str">
            <v>11"</v>
          </cell>
          <cell r="AD3041">
            <v>0</v>
          </cell>
          <cell r="AE3041" t="str">
            <v>9-1/8" SH Sellers Pin</v>
          </cell>
          <cell r="AF3041"/>
          <cell r="AG3041"/>
          <cell r="AH3041" t="str">
            <v>en stock</v>
          </cell>
          <cell r="AI3041" t="str">
            <v>n°99</v>
          </cell>
          <cell r="AJ3041">
            <v>0</v>
          </cell>
          <cell r="AK3041">
            <v>0</v>
          </cell>
          <cell r="AL3041"/>
          <cell r="AM3041"/>
          <cell r="AN3041" t="str">
            <v/>
          </cell>
          <cell r="AO3041"/>
          <cell r="AP3041"/>
          <cell r="AQ3041"/>
          <cell r="AR3041"/>
          <cell r="AS3041">
            <v>28</v>
          </cell>
          <cell r="AT3041"/>
          <cell r="AU3041" t="str">
            <v/>
          </cell>
          <cell r="AV3041"/>
        </row>
        <row r="3042">
          <cell r="Z3042">
            <v>7040937001</v>
          </cell>
          <cell r="AA3042" t="str">
            <v>Oversize Guide 13" OD
9-3/8" FS Sellers Pin</v>
          </cell>
          <cell r="AB3042">
            <v>0</v>
          </cell>
          <cell r="AC3042" t="str">
            <v>13"</v>
          </cell>
          <cell r="AD3042">
            <v>0</v>
          </cell>
          <cell r="AE3042" t="str">
            <v>9-3/8" FS Sellers Pin</v>
          </cell>
          <cell r="AF3042"/>
          <cell r="AG3042"/>
          <cell r="AH3042" t="str">
            <v>en stock</v>
          </cell>
          <cell r="AI3042" t="str">
            <v>n°99</v>
          </cell>
          <cell r="AJ3042">
            <v>0</v>
          </cell>
          <cell r="AK3042">
            <v>0</v>
          </cell>
          <cell r="AL3042"/>
          <cell r="AM3042"/>
          <cell r="AN3042" t="str">
            <v/>
          </cell>
          <cell r="AO3042"/>
          <cell r="AP3042"/>
          <cell r="AQ3042"/>
          <cell r="AR3042"/>
          <cell r="AS3042">
            <v>29</v>
          </cell>
          <cell r="AT3042"/>
          <cell r="AU3042" t="str">
            <v/>
          </cell>
          <cell r="AV3042"/>
        </row>
        <row r="3043">
          <cell r="Z3043">
            <v>7040937005</v>
          </cell>
          <cell r="AA3043" t="str">
            <v>Oversize Guide 21-1/4" OD
9-3/8" FS Sellers Pin</v>
          </cell>
          <cell r="AB3043">
            <v>0</v>
          </cell>
          <cell r="AC3043" t="str">
            <v>21-1/4"</v>
          </cell>
          <cell r="AD3043">
            <v>0</v>
          </cell>
          <cell r="AE3043" t="str">
            <v>9-3/8" FS Sellers Pin</v>
          </cell>
          <cell r="AF3043"/>
          <cell r="AG3043"/>
          <cell r="AH3043" t="str">
            <v>en stock</v>
          </cell>
          <cell r="AI3043" t="str">
            <v>n°81</v>
          </cell>
          <cell r="AJ3043">
            <v>0</v>
          </cell>
          <cell r="AK3043">
            <v>0</v>
          </cell>
          <cell r="AL3043"/>
          <cell r="AM3043"/>
          <cell r="AN3043" t="str">
            <v/>
          </cell>
          <cell r="AO3043"/>
          <cell r="AP3043"/>
          <cell r="AQ3043"/>
          <cell r="AR3043"/>
          <cell r="AS3043">
            <v>31</v>
          </cell>
          <cell r="AT3043"/>
          <cell r="AU3043" t="str">
            <v/>
          </cell>
          <cell r="AV3043"/>
        </row>
        <row r="3044">
          <cell r="Z3044">
            <v>7040962002</v>
          </cell>
          <cell r="AA3044" t="str">
            <v>Oversize Guide 11" OD
9-5/8" FS Sellers Pin</v>
          </cell>
          <cell r="AB3044">
            <v>0</v>
          </cell>
          <cell r="AC3044" t="str">
            <v>11"</v>
          </cell>
          <cell r="AD3044">
            <v>0</v>
          </cell>
          <cell r="AE3044" t="str">
            <v>9-5/8" FS Sellers Pin</v>
          </cell>
          <cell r="AF3044"/>
          <cell r="AG3044"/>
          <cell r="AH3044" t="str">
            <v>en stock</v>
          </cell>
          <cell r="AI3044" t="str">
            <v>n°99</v>
          </cell>
          <cell r="AJ3044">
            <v>0</v>
          </cell>
          <cell r="AK3044">
            <v>0</v>
          </cell>
          <cell r="AL3044"/>
          <cell r="AM3044"/>
          <cell r="AN3044" t="str">
            <v/>
          </cell>
          <cell r="AO3044"/>
          <cell r="AP3044"/>
          <cell r="AQ3044"/>
          <cell r="AR3044"/>
          <cell r="AS3044">
            <v>33</v>
          </cell>
          <cell r="AT3044"/>
          <cell r="AU3044" t="str">
            <v/>
          </cell>
          <cell r="AV3044"/>
        </row>
        <row r="3045">
          <cell r="Z3045">
            <v>7040962003</v>
          </cell>
          <cell r="AA3045" t="str">
            <v>Oversize Guide 11-3/8" OD
9-5/8" FS Sellers Pin</v>
          </cell>
          <cell r="AB3045">
            <v>0</v>
          </cell>
          <cell r="AC3045" t="str">
            <v>11-3/8"</v>
          </cell>
          <cell r="AD3045">
            <v>0</v>
          </cell>
          <cell r="AE3045" t="str">
            <v>9-5/8" FS Sellers Pin</v>
          </cell>
          <cell r="AF3045"/>
          <cell r="AG3045"/>
          <cell r="AH3045" t="str">
            <v>en stock</v>
          </cell>
          <cell r="AI3045" t="str">
            <v>n°99</v>
          </cell>
          <cell r="AJ3045">
            <v>0</v>
          </cell>
          <cell r="AK3045">
            <v>0</v>
          </cell>
          <cell r="AL3045"/>
          <cell r="AM3045"/>
          <cell r="AN3045" t="str">
            <v/>
          </cell>
          <cell r="AO3045"/>
          <cell r="AP3045"/>
          <cell r="AQ3045"/>
          <cell r="AR3045"/>
          <cell r="AS3045">
            <v>34</v>
          </cell>
          <cell r="AT3045"/>
          <cell r="AU3045" t="str">
            <v/>
          </cell>
          <cell r="AV3045"/>
        </row>
        <row r="3046">
          <cell r="Z3046">
            <v>7041087001</v>
          </cell>
          <cell r="AA3046" t="str">
            <v>Oversize Guide 15" OD
0</v>
          </cell>
          <cell r="AB3046">
            <v>0</v>
          </cell>
          <cell r="AC3046" t="str">
            <v>15"</v>
          </cell>
          <cell r="AD3046">
            <v>0</v>
          </cell>
          <cell r="AE3046">
            <v>0</v>
          </cell>
          <cell r="AF3046"/>
          <cell r="AG3046"/>
          <cell r="AH3046" t="str">
            <v>en stock</v>
          </cell>
          <cell r="AI3046" t="str">
            <v>n°63</v>
          </cell>
          <cell r="AJ3046">
            <v>0</v>
          </cell>
          <cell r="AK3046">
            <v>0</v>
          </cell>
          <cell r="AL3046"/>
          <cell r="AM3046"/>
          <cell r="AN3046" t="str">
            <v/>
          </cell>
          <cell r="AO3046"/>
          <cell r="AP3046"/>
          <cell r="AQ3046"/>
          <cell r="AR3046"/>
          <cell r="AS3046">
            <v>37</v>
          </cell>
          <cell r="AT3046"/>
          <cell r="AU3046" t="str">
            <v/>
          </cell>
          <cell r="AV3046"/>
        </row>
        <row r="3047">
          <cell r="Z3047">
            <v>7041275001</v>
          </cell>
          <cell r="AA3047" t="str">
            <v>Oversize Guide 15" OD
0</v>
          </cell>
          <cell r="AB3047">
            <v>0</v>
          </cell>
          <cell r="AC3047" t="str">
            <v>15"</v>
          </cell>
          <cell r="AD3047">
            <v>0</v>
          </cell>
          <cell r="AE3047">
            <v>0</v>
          </cell>
          <cell r="AF3047"/>
          <cell r="AG3047"/>
          <cell r="AH3047" t="str">
            <v>en stock</v>
          </cell>
          <cell r="AI3047" t="str">
            <v>n°63</v>
          </cell>
          <cell r="AJ3047">
            <v>0</v>
          </cell>
          <cell r="AK3047">
            <v>0</v>
          </cell>
          <cell r="AL3047"/>
          <cell r="AM3047"/>
          <cell r="AN3047" t="str">
            <v/>
          </cell>
          <cell r="AO3047"/>
          <cell r="AP3047"/>
          <cell r="AQ3047"/>
          <cell r="AR3047"/>
          <cell r="AS3047">
            <v>43</v>
          </cell>
          <cell r="AT3047"/>
          <cell r="AU3047" t="str">
            <v/>
          </cell>
          <cell r="AV3047"/>
        </row>
        <row r="3048">
          <cell r="Z3048">
            <v>740220000001</v>
          </cell>
          <cell r="AA3048" t="str">
            <v>Oversize Guide ? OD
0</v>
          </cell>
          <cell r="AB3048">
            <v>0</v>
          </cell>
          <cell r="AC3048" t="str">
            <v>?</v>
          </cell>
          <cell r="AD3048">
            <v>0</v>
          </cell>
          <cell r="AE3048">
            <v>0</v>
          </cell>
          <cell r="AF3048"/>
          <cell r="AG3048"/>
          <cell r="AH3048" t="str">
            <v>en stock</v>
          </cell>
          <cell r="AI3048" t="str">
            <v>n°80</v>
          </cell>
          <cell r="AJ3048">
            <v>0</v>
          </cell>
          <cell r="AK3048">
            <v>0</v>
          </cell>
          <cell r="AL3048"/>
          <cell r="AM3048"/>
          <cell r="AN3048" t="str">
            <v/>
          </cell>
          <cell r="AO3048"/>
          <cell r="AP3048"/>
          <cell r="AQ3048"/>
          <cell r="AR3048"/>
          <cell r="AS3048">
            <v>44</v>
          </cell>
          <cell r="AT3048"/>
          <cell r="AU3048" t="str">
            <v/>
          </cell>
          <cell r="AV3048"/>
        </row>
        <row r="3049">
          <cell r="Z3049" t="str">
            <v>#7</v>
          </cell>
          <cell r="AA3049" t="str">
            <v>Oversize Guide 15" OD
8-1/8" FS Sellers Pin</v>
          </cell>
          <cell r="AB3049">
            <v>0</v>
          </cell>
          <cell r="AC3049" t="str">
            <v>15"</v>
          </cell>
          <cell r="AD3049">
            <v>570</v>
          </cell>
          <cell r="AE3049" t="str">
            <v>8-1/8" FS Sellers Pin</v>
          </cell>
          <cell r="AF3049"/>
          <cell r="AG3049"/>
          <cell r="AH3049" t="str">
            <v>en stock</v>
          </cell>
          <cell r="AI3049" t="str">
            <v/>
          </cell>
          <cell r="AJ3049">
            <v>0</v>
          </cell>
          <cell r="AK3049">
            <v>1</v>
          </cell>
          <cell r="AL3049"/>
          <cell r="AM3049"/>
          <cell r="AN3049" t="str">
            <v/>
          </cell>
          <cell r="AO3049"/>
          <cell r="AP3049"/>
          <cell r="AQ3049"/>
          <cell r="AR3049"/>
          <cell r="AS3049">
            <v>21</v>
          </cell>
          <cell r="AT3049"/>
          <cell r="AU3049" t="str">
            <v/>
          </cell>
          <cell r="AV3049"/>
        </row>
        <row r="3050">
          <cell r="Z3050">
            <v>7050556001</v>
          </cell>
          <cell r="AA3050" t="str">
            <v>Oversize Guide 5,6875 OD
5-9/16" FS Sellers Pin</v>
          </cell>
          <cell r="AB3050">
            <v>0</v>
          </cell>
          <cell r="AC3050">
            <v>5.6875</v>
          </cell>
          <cell r="AD3050">
            <v>775</v>
          </cell>
          <cell r="AE3050" t="str">
            <v>5-9/16" FS Sellers Pin</v>
          </cell>
          <cell r="AF3050"/>
          <cell r="AG3050"/>
          <cell r="AH3050" t="str">
            <v>en stock</v>
          </cell>
          <cell r="AI3050">
            <v>1</v>
          </cell>
          <cell r="AJ3050">
            <v>0</v>
          </cell>
          <cell r="AK3050">
            <v>0</v>
          </cell>
          <cell r="AL3050"/>
          <cell r="AM3050"/>
          <cell r="AN3050"/>
          <cell r="AO3050"/>
          <cell r="AP3050"/>
          <cell r="AQ3050"/>
          <cell r="AR3050"/>
          <cell r="AS3050">
            <v>5</v>
          </cell>
          <cell r="AT3050"/>
          <cell r="AU3050" t="str">
            <v/>
          </cell>
          <cell r="AV3050"/>
        </row>
        <row r="3051">
          <cell r="Z3051">
            <v>7050787050</v>
          </cell>
          <cell r="AA3051" t="str">
            <v>Oversize Guide 8,125 OD
7-7/8" SH Sellers Pin</v>
          </cell>
          <cell r="AB3051">
            <v>0</v>
          </cell>
          <cell r="AC3051">
            <v>8.125</v>
          </cell>
          <cell r="AD3051">
            <v>910</v>
          </cell>
          <cell r="AE3051" t="str">
            <v>7-7/8" SH Sellers Pin</v>
          </cell>
          <cell r="AF3051"/>
          <cell r="AG3051"/>
          <cell r="AH3051" t="str">
            <v>en stock</v>
          </cell>
          <cell r="AI3051">
            <v>1</v>
          </cell>
          <cell r="AJ3051">
            <v>0</v>
          </cell>
          <cell r="AK3051">
            <v>0</v>
          </cell>
          <cell r="AL3051"/>
          <cell r="AM3051"/>
          <cell r="AN3051"/>
          <cell r="AO3051"/>
          <cell r="AP3051"/>
          <cell r="AQ3051"/>
          <cell r="AR3051"/>
          <cell r="AS3051">
            <v>6</v>
          </cell>
          <cell r="AT3051"/>
          <cell r="AU3051" t="str">
            <v/>
          </cell>
          <cell r="AV3051"/>
        </row>
        <row r="3052">
          <cell r="Z3052">
            <v>7050787051</v>
          </cell>
          <cell r="AA3052" t="str">
            <v>Oversize Guide 7,875 OD
7-7/8" FS Sellers Pin</v>
          </cell>
          <cell r="AB3052">
            <v>0</v>
          </cell>
          <cell r="AC3052">
            <v>7.875</v>
          </cell>
          <cell r="AD3052">
            <v>840</v>
          </cell>
          <cell r="AE3052" t="str">
            <v>7-7/8" FS Sellers Pin</v>
          </cell>
          <cell r="AF3052"/>
          <cell r="AG3052"/>
          <cell r="AH3052" t="str">
            <v>en stock</v>
          </cell>
          <cell r="AI3052">
            <v>1</v>
          </cell>
          <cell r="AJ3052">
            <v>0</v>
          </cell>
          <cell r="AK3052">
            <v>0</v>
          </cell>
          <cell r="AL3052"/>
          <cell r="AM3052"/>
          <cell r="AN3052"/>
          <cell r="AO3052"/>
          <cell r="AP3052"/>
          <cell r="AQ3052"/>
          <cell r="AR3052"/>
          <cell r="AS3052">
            <v>7</v>
          </cell>
          <cell r="AT3052"/>
          <cell r="AU3052" t="str">
            <v/>
          </cell>
          <cell r="AV3052"/>
        </row>
        <row r="3053">
          <cell r="Z3053">
            <v>75787500003</v>
          </cell>
          <cell r="AA3053" t="str">
            <v>Oversize Guide 7,875 OD
8-1/8" FS Sellers Pin</v>
          </cell>
          <cell r="AB3053">
            <v>0</v>
          </cell>
          <cell r="AC3053">
            <v>7.875</v>
          </cell>
          <cell r="AD3053">
            <v>840</v>
          </cell>
          <cell r="AE3053" t="str">
            <v>8-1/8" FS Sellers Pin</v>
          </cell>
          <cell r="AF3053"/>
          <cell r="AG3053"/>
          <cell r="AH3053" t="str">
            <v>en stock</v>
          </cell>
          <cell r="AI3053">
            <v>1</v>
          </cell>
          <cell r="AJ3053">
            <v>0</v>
          </cell>
          <cell r="AK3053">
            <v>0</v>
          </cell>
          <cell r="AL3053"/>
          <cell r="AM3053"/>
          <cell r="AN3053"/>
          <cell r="AO3053"/>
          <cell r="AP3053"/>
          <cell r="AQ3053"/>
          <cell r="AR3053"/>
          <cell r="AS3053">
            <v>8</v>
          </cell>
          <cell r="AT3053"/>
          <cell r="AU3053" t="str">
            <v/>
          </cell>
          <cell r="AV3053"/>
        </row>
        <row r="3054">
          <cell r="Z3054">
            <v>75117500001</v>
          </cell>
          <cell r="AA3054" t="str">
            <v>Oversize Guide 11,75 OD
11-3/4" FS Sellers Pin</v>
          </cell>
          <cell r="AB3054">
            <v>0</v>
          </cell>
          <cell r="AC3054">
            <v>11.75</v>
          </cell>
          <cell r="AD3054">
            <v>840</v>
          </cell>
          <cell r="AE3054" t="str">
            <v>11-3/4" FS Sellers Pin</v>
          </cell>
          <cell r="AF3054"/>
          <cell r="AG3054"/>
          <cell r="AH3054" t="str">
            <v>en stock</v>
          </cell>
          <cell r="AI3054">
            <v>1</v>
          </cell>
          <cell r="AJ3054">
            <v>0</v>
          </cell>
          <cell r="AK3054">
            <v>0</v>
          </cell>
          <cell r="AL3054"/>
          <cell r="AM3054"/>
          <cell r="AN3054"/>
          <cell r="AO3054"/>
          <cell r="AP3054"/>
          <cell r="AQ3054"/>
          <cell r="AR3054"/>
          <cell r="AS3054">
            <v>9</v>
          </cell>
          <cell r="AT3054"/>
          <cell r="AU3054" t="str">
            <v/>
          </cell>
          <cell r="AV3054"/>
        </row>
        <row r="3055">
          <cell r="Z3055">
            <v>75117500002</v>
          </cell>
          <cell r="AA3055" t="str">
            <v>Oversize Guide 11,75 OD
11-3/4" FS Sellers Pin</v>
          </cell>
          <cell r="AB3055">
            <v>0</v>
          </cell>
          <cell r="AC3055">
            <v>11.75</v>
          </cell>
          <cell r="AD3055">
            <v>830</v>
          </cell>
          <cell r="AE3055" t="str">
            <v>11-3/4" FS Sellers Pin</v>
          </cell>
          <cell r="AF3055"/>
          <cell r="AG3055"/>
          <cell r="AH3055" t="str">
            <v>en stock</v>
          </cell>
          <cell r="AI3055">
            <v>1</v>
          </cell>
          <cell r="AJ3055">
            <v>0</v>
          </cell>
          <cell r="AK3055">
            <v>0</v>
          </cell>
          <cell r="AL3055"/>
          <cell r="AM3055"/>
          <cell r="AN3055"/>
          <cell r="AO3055"/>
          <cell r="AP3055"/>
          <cell r="AQ3055"/>
          <cell r="AR3055"/>
          <cell r="AS3055">
            <v>10</v>
          </cell>
          <cell r="AT3055"/>
          <cell r="AU3055" t="str">
            <v/>
          </cell>
          <cell r="AV3055"/>
        </row>
        <row r="3056">
          <cell r="Z3056">
            <v>75117500004</v>
          </cell>
          <cell r="AA3056" t="str">
            <v>Oversize Guide 11,75 OD
11-3/4" FS Sellers Pin</v>
          </cell>
          <cell r="AB3056">
            <v>0</v>
          </cell>
          <cell r="AC3056">
            <v>11.75</v>
          </cell>
          <cell r="AD3056">
            <v>1435</v>
          </cell>
          <cell r="AE3056" t="str">
            <v>11-3/4" FS Sellers Pin</v>
          </cell>
          <cell r="AF3056"/>
          <cell r="AG3056"/>
          <cell r="AH3056" t="str">
            <v>en stock</v>
          </cell>
          <cell r="AI3056">
            <v>1</v>
          </cell>
          <cell r="AJ3056">
            <v>0</v>
          </cell>
          <cell r="AK3056">
            <v>0</v>
          </cell>
          <cell r="AL3056"/>
          <cell r="AM3056"/>
          <cell r="AN3056"/>
          <cell r="AO3056"/>
          <cell r="AP3056"/>
          <cell r="AQ3056"/>
          <cell r="AR3056"/>
          <cell r="AS3056">
            <v>11</v>
          </cell>
          <cell r="AT3056"/>
          <cell r="AU3056" t="str">
            <v/>
          </cell>
          <cell r="AV3056"/>
        </row>
        <row r="3057">
          <cell r="Z3057" t="str">
            <v>#9</v>
          </cell>
          <cell r="AA3057" t="str">
            <v>Oversize Guide 5,75 OD
5-3/4" FS Sellers Pin</v>
          </cell>
          <cell r="AB3057">
            <v>0</v>
          </cell>
          <cell r="AC3057">
            <v>5.75</v>
          </cell>
          <cell r="AD3057">
            <v>840</v>
          </cell>
          <cell r="AE3057" t="str">
            <v>5-3/4" FS Sellers Pin</v>
          </cell>
          <cell r="AF3057"/>
          <cell r="AG3057"/>
          <cell r="AH3057" t="str">
            <v>maintenance</v>
          </cell>
          <cell r="AI3057">
            <v>0</v>
          </cell>
          <cell r="AJ3057">
            <v>0</v>
          </cell>
          <cell r="AK3057">
            <v>1</v>
          </cell>
          <cell r="AL3057"/>
          <cell r="AM3057"/>
          <cell r="AN3057"/>
          <cell r="AO3057"/>
          <cell r="AP3057"/>
          <cell r="AQ3057"/>
          <cell r="AR3057"/>
          <cell r="AS3057">
            <v>12</v>
          </cell>
          <cell r="AT3057"/>
          <cell r="AU3057" t="str">
            <v/>
          </cell>
          <cell r="AV3057"/>
        </row>
        <row r="3058">
          <cell r="Z3058">
            <v>11546250005</v>
          </cell>
          <cell r="AA3058" t="str">
            <v>Taper Tap 4-5/8" OD Left Hand
3-1/2" REG LH Box</v>
          </cell>
          <cell r="AB3058">
            <v>22</v>
          </cell>
          <cell r="AC3058">
            <v>4.625</v>
          </cell>
          <cell r="AD3058">
            <v>585</v>
          </cell>
          <cell r="AE3058" t="str">
            <v>3-1/2" REG LH Box</v>
          </cell>
          <cell r="AF3058"/>
          <cell r="AG3058"/>
          <cell r="AH3058" t="str">
            <v>en stock</v>
          </cell>
          <cell r="AI3058">
            <v>1</v>
          </cell>
          <cell r="AJ3058">
            <v>0</v>
          </cell>
          <cell r="AK3058">
            <v>0</v>
          </cell>
          <cell r="AL3058"/>
          <cell r="AM3058"/>
          <cell r="AN3058" t="str">
            <v/>
          </cell>
          <cell r="AO3058" t="str">
            <v>x</v>
          </cell>
          <cell r="AP3058"/>
          <cell r="AQ3058"/>
          <cell r="AR3058"/>
          <cell r="AS3058">
            <v>15</v>
          </cell>
          <cell r="AT3058" t="str">
            <v>709-</v>
          </cell>
          <cell r="AU3058" t="str">
            <v/>
          </cell>
          <cell r="AV3058"/>
        </row>
        <row r="3059">
          <cell r="Z3059">
            <v>11562500035</v>
          </cell>
          <cell r="AA3059" t="str">
            <v>Taper Tap 6-1/4" OD Left Hand
4-1/2" IF LH Box</v>
          </cell>
          <cell r="AB3059">
            <v>56</v>
          </cell>
          <cell r="AC3059">
            <v>6.25</v>
          </cell>
          <cell r="AD3059">
            <v>990</v>
          </cell>
          <cell r="AE3059" t="str">
            <v>4-1/2" IF LH Box</v>
          </cell>
          <cell r="AF3059"/>
          <cell r="AG3059"/>
          <cell r="AH3059" t="str">
            <v>en stock</v>
          </cell>
          <cell r="AI3059">
            <v>1</v>
          </cell>
          <cell r="AJ3059">
            <v>0</v>
          </cell>
          <cell r="AK3059">
            <v>0</v>
          </cell>
          <cell r="AL3059"/>
          <cell r="AM3059"/>
          <cell r="AN3059" t="str">
            <v/>
          </cell>
          <cell r="AO3059" t="str">
            <v>x</v>
          </cell>
          <cell r="AP3059"/>
          <cell r="AQ3059"/>
          <cell r="AR3059"/>
          <cell r="AS3059">
            <v>29</v>
          </cell>
          <cell r="AT3059" t="str">
            <v>709-</v>
          </cell>
          <cell r="AU3059" t="str">
            <v/>
          </cell>
          <cell r="AV3059"/>
        </row>
        <row r="3060">
          <cell r="Z3060" t="str">
            <v>PR100014EX</v>
          </cell>
          <cell r="AA3060" t="str">
            <v>Extension PMT Lg 305 mm
2-1/4" PRT Box x 2-1/4" PRT Pin</v>
          </cell>
          <cell r="AB3060">
            <v>6</v>
          </cell>
          <cell r="AC3060">
            <v>2.25</v>
          </cell>
          <cell r="AD3060">
            <v>305</v>
          </cell>
          <cell r="AE3060" t="str">
            <v>2-1/4" PRT Box</v>
          </cell>
          <cell r="AF3060" t="str">
            <v>2-1/4" PRT Pin</v>
          </cell>
          <cell r="AG3060"/>
          <cell r="AH3060" t="str">
            <v>maintenance</v>
          </cell>
          <cell r="AI3060">
            <v>0</v>
          </cell>
          <cell r="AJ3060">
            <v>0</v>
          </cell>
          <cell r="AK3060">
            <v>1</v>
          </cell>
          <cell r="AL3060"/>
          <cell r="AM3060"/>
          <cell r="AN3060"/>
          <cell r="AO3060"/>
          <cell r="AP3060"/>
          <cell r="AQ3060"/>
          <cell r="AR3060"/>
          <cell r="AS3060">
            <v>18</v>
          </cell>
          <cell r="AT3060"/>
          <cell r="AU3060" t="str">
            <v/>
          </cell>
          <cell r="AV3060"/>
        </row>
        <row r="3061">
          <cell r="Z3061" t="str">
            <v>PR100015EX</v>
          </cell>
          <cell r="AA3061" t="str">
            <v>Extension PMT Lg 610 mm
2-1/4" PRT Box x 2-1/4" PRT Pin</v>
          </cell>
          <cell r="AB3061">
            <v>12</v>
          </cell>
          <cell r="AC3061">
            <v>2.25</v>
          </cell>
          <cell r="AD3061">
            <v>610</v>
          </cell>
          <cell r="AE3061" t="str">
            <v>2-1/4" PRT Box</v>
          </cell>
          <cell r="AF3061" t="str">
            <v>2-1/4" PRT Pin</v>
          </cell>
          <cell r="AG3061"/>
          <cell r="AH3061" t="str">
            <v>en stock</v>
          </cell>
          <cell r="AI3061">
            <v>1</v>
          </cell>
          <cell r="AJ3061">
            <v>0</v>
          </cell>
          <cell r="AK3061">
            <v>0</v>
          </cell>
          <cell r="AL3061"/>
          <cell r="AM3061"/>
          <cell r="AN3061"/>
          <cell r="AO3061"/>
          <cell r="AP3061"/>
          <cell r="AQ3061"/>
          <cell r="AR3061"/>
          <cell r="AS3061">
            <v>19</v>
          </cell>
          <cell r="AT3061"/>
          <cell r="AU3061" t="str">
            <v/>
          </cell>
          <cell r="AV3061"/>
        </row>
        <row r="3062">
          <cell r="Z3062" t="str">
            <v>PR100016EX</v>
          </cell>
          <cell r="AA3062" t="str">
            <v>Extension PMT Lg 910 mm
2-1/4" PRT Pin x 2-1/4" PRT Pin</v>
          </cell>
          <cell r="AB3062">
            <v>18</v>
          </cell>
          <cell r="AC3062">
            <v>2.25</v>
          </cell>
          <cell r="AD3062">
            <v>910</v>
          </cell>
          <cell r="AE3062" t="str">
            <v>2-1/4" PRT Pin</v>
          </cell>
          <cell r="AF3062" t="str">
            <v>2-1/4" PRT Pin</v>
          </cell>
          <cell r="AG3062"/>
          <cell r="AH3062" t="str">
            <v>en stock</v>
          </cell>
          <cell r="AI3062">
            <v>1</v>
          </cell>
          <cell r="AJ3062">
            <v>0</v>
          </cell>
          <cell r="AK3062">
            <v>0</v>
          </cell>
          <cell r="AL3062"/>
          <cell r="AM3062"/>
          <cell r="AN3062"/>
          <cell r="AO3062"/>
          <cell r="AP3062"/>
          <cell r="AQ3062"/>
          <cell r="AR3062"/>
          <cell r="AS3062">
            <v>20</v>
          </cell>
          <cell r="AT3062"/>
          <cell r="AU3062" t="str">
            <v/>
          </cell>
          <cell r="AV3062"/>
        </row>
        <row r="3063">
          <cell r="Z3063" t="str">
            <v>PR100009EX</v>
          </cell>
          <cell r="AA3063" t="str">
            <v>Extension PMT Lg 915 mm
3-1/8" PRT Box x 3-1/8" PRT Pin</v>
          </cell>
          <cell r="AB3063">
            <v>32</v>
          </cell>
          <cell r="AC3063">
            <v>3.125</v>
          </cell>
          <cell r="AD3063">
            <v>915</v>
          </cell>
          <cell r="AE3063" t="str">
            <v>3-1/8" PRT Box</v>
          </cell>
          <cell r="AF3063" t="str">
            <v>3-1/8" PRT Pin</v>
          </cell>
          <cell r="AG3063"/>
          <cell r="AH3063" t="str">
            <v>maintenance</v>
          </cell>
          <cell r="AI3063">
            <v>0</v>
          </cell>
          <cell r="AJ3063">
            <v>0</v>
          </cell>
          <cell r="AK3063">
            <v>1</v>
          </cell>
          <cell r="AL3063"/>
          <cell r="AM3063"/>
          <cell r="AN3063"/>
          <cell r="AO3063"/>
          <cell r="AP3063"/>
          <cell r="AQ3063"/>
          <cell r="AR3063"/>
          <cell r="AS3063">
            <v>23</v>
          </cell>
          <cell r="AT3063"/>
          <cell r="AU3063" t="str">
            <v/>
          </cell>
          <cell r="AV3063"/>
        </row>
        <row r="3064">
          <cell r="Z3064" t="str">
            <v>PR100011EX</v>
          </cell>
          <cell r="AA3064" t="str">
            <v>Extension PMT Lg 1525 mm
3-1/8" PRT Box x 3-1/8" PRT Pin</v>
          </cell>
          <cell r="AB3064">
            <v>54</v>
          </cell>
          <cell r="AC3064">
            <v>3.125</v>
          </cell>
          <cell r="AD3064">
            <v>1525</v>
          </cell>
          <cell r="AE3064" t="str">
            <v>3-1/8" PRT Box</v>
          </cell>
          <cell r="AF3064" t="str">
            <v>3-1/8" PRT Pin</v>
          </cell>
          <cell r="AG3064"/>
          <cell r="AH3064" t="str">
            <v>en stock</v>
          </cell>
          <cell r="AI3064">
            <v>1</v>
          </cell>
          <cell r="AJ3064">
            <v>0</v>
          </cell>
          <cell r="AK3064">
            <v>0</v>
          </cell>
          <cell r="AL3064"/>
          <cell r="AM3064"/>
          <cell r="AN3064"/>
          <cell r="AO3064"/>
          <cell r="AP3064"/>
          <cell r="AQ3064"/>
          <cell r="AR3064"/>
          <cell r="AS3064">
            <v>24</v>
          </cell>
          <cell r="AT3064"/>
          <cell r="AU3064" t="str">
            <v/>
          </cell>
          <cell r="AV3064"/>
        </row>
        <row r="3065">
          <cell r="Z3065" t="str">
            <v>PR100012EX</v>
          </cell>
          <cell r="AA3065" t="str">
            <v>Extension PMT Lg 1830 mm
3-1/8" PRT Box x 3-1/8" PRT Pin</v>
          </cell>
          <cell r="AB3065">
            <v>66</v>
          </cell>
          <cell r="AC3065">
            <v>3.125</v>
          </cell>
          <cell r="AD3065">
            <v>1830</v>
          </cell>
          <cell r="AE3065" t="str">
            <v>3-1/8" PRT Box</v>
          </cell>
          <cell r="AF3065" t="str">
            <v>3-1/8" PRT Pin</v>
          </cell>
          <cell r="AG3065"/>
          <cell r="AH3065" t="str">
            <v>en stock</v>
          </cell>
          <cell r="AI3065">
            <v>1</v>
          </cell>
          <cell r="AJ3065">
            <v>0</v>
          </cell>
          <cell r="AK3065">
            <v>0</v>
          </cell>
          <cell r="AL3065"/>
          <cell r="AM3065"/>
          <cell r="AN3065"/>
          <cell r="AO3065"/>
          <cell r="AP3065"/>
          <cell r="AQ3065"/>
          <cell r="AR3065"/>
          <cell r="AS3065">
            <v>25</v>
          </cell>
          <cell r="AT3065"/>
          <cell r="AU3065" t="str">
            <v/>
          </cell>
          <cell r="AV3065"/>
        </row>
        <row r="3066">
          <cell r="Z3066" t="str">
            <v>PR100013EX</v>
          </cell>
          <cell r="AA3066" t="str">
            <v>Extension PMT Lg 915 mm
3-1/8" PRT Box x 4-1/4" PRT Pin</v>
          </cell>
          <cell r="AB3066">
            <v>60</v>
          </cell>
          <cell r="AC3066">
            <v>4.25</v>
          </cell>
          <cell r="AD3066">
            <v>915</v>
          </cell>
          <cell r="AE3066" t="str">
            <v>3-1/8" PRT Box</v>
          </cell>
          <cell r="AF3066" t="str">
            <v>4-1/4" PRT Pin</v>
          </cell>
          <cell r="AG3066"/>
          <cell r="AH3066" t="str">
            <v>en stock</v>
          </cell>
          <cell r="AI3066">
            <v>1</v>
          </cell>
          <cell r="AJ3066">
            <v>0</v>
          </cell>
          <cell r="AK3066">
            <v>0</v>
          </cell>
          <cell r="AL3066"/>
          <cell r="AM3066"/>
          <cell r="AN3066"/>
          <cell r="AO3066"/>
          <cell r="AP3066"/>
          <cell r="AQ3066"/>
          <cell r="AR3066"/>
          <cell r="AS3066">
            <v>26</v>
          </cell>
          <cell r="AT3066"/>
          <cell r="AU3066" t="str">
            <v/>
          </cell>
          <cell r="AV3066"/>
        </row>
        <row r="3067">
          <cell r="Z3067" t="str">
            <v>PR100001EX</v>
          </cell>
          <cell r="AA3067" t="str">
            <v>Extension PMT Lg 305 mm
4-1/4" PRT Box x 4-1/4" PRT Pin</v>
          </cell>
          <cell r="AB3067">
            <v>18</v>
          </cell>
          <cell r="AC3067">
            <v>4.25</v>
          </cell>
          <cell r="AD3067">
            <v>305</v>
          </cell>
          <cell r="AE3067" t="str">
            <v>4-1/4" PRT Box</v>
          </cell>
          <cell r="AF3067" t="str">
            <v>4-1/4" PRT Pin</v>
          </cell>
          <cell r="AG3067"/>
          <cell r="AH3067" t="str">
            <v>en stock</v>
          </cell>
          <cell r="AI3067">
            <v>1</v>
          </cell>
          <cell r="AJ3067">
            <v>0</v>
          </cell>
          <cell r="AK3067">
            <v>0</v>
          </cell>
          <cell r="AL3067"/>
          <cell r="AM3067"/>
          <cell r="AN3067"/>
          <cell r="AO3067"/>
          <cell r="AP3067"/>
          <cell r="AQ3067"/>
          <cell r="AR3067"/>
          <cell r="AS3067">
            <v>27</v>
          </cell>
          <cell r="AT3067"/>
          <cell r="AU3067" t="str">
            <v/>
          </cell>
          <cell r="AV3067"/>
        </row>
        <row r="3068">
          <cell r="Z3068" t="str">
            <v>PR100002EX</v>
          </cell>
          <cell r="AA3068" t="str">
            <v>Extension PMT Lg 610 mm
4-1/4" PRT Box x 4-1/4" PRT Pin</v>
          </cell>
          <cell r="AB3068">
            <v>36</v>
          </cell>
          <cell r="AC3068">
            <v>4.25</v>
          </cell>
          <cell r="AD3068">
            <v>610</v>
          </cell>
          <cell r="AE3068" t="str">
            <v>4-1/4" PRT Box</v>
          </cell>
          <cell r="AF3068" t="str">
            <v>4-1/4" PRT Pin</v>
          </cell>
          <cell r="AG3068"/>
          <cell r="AH3068" t="str">
            <v>en stock</v>
          </cell>
          <cell r="AI3068">
            <v>1</v>
          </cell>
          <cell r="AJ3068">
            <v>0</v>
          </cell>
          <cell r="AK3068">
            <v>0</v>
          </cell>
          <cell r="AL3068"/>
          <cell r="AM3068"/>
          <cell r="AN3068"/>
          <cell r="AO3068"/>
          <cell r="AP3068"/>
          <cell r="AQ3068"/>
          <cell r="AR3068"/>
          <cell r="AS3068">
            <v>28</v>
          </cell>
          <cell r="AT3068"/>
          <cell r="AU3068" t="str">
            <v/>
          </cell>
          <cell r="AV3068"/>
        </row>
        <row r="3069">
          <cell r="Z3069" t="str">
            <v>PR100007EX1</v>
          </cell>
          <cell r="AA3069" t="str">
            <v>Extension PMT Lg 915 mm
4-1/4" PRT Box x 4-1/4" PRT Pin</v>
          </cell>
          <cell r="AB3069">
            <v>58</v>
          </cell>
          <cell r="AC3069">
            <v>4.25</v>
          </cell>
          <cell r="AD3069">
            <v>915</v>
          </cell>
          <cell r="AE3069" t="str">
            <v>4-1/4" PRT Box</v>
          </cell>
          <cell r="AF3069" t="str">
            <v>4-1/4" PRT Pin</v>
          </cell>
          <cell r="AG3069"/>
          <cell r="AH3069" t="str">
            <v>en stock</v>
          </cell>
          <cell r="AI3069">
            <v>1</v>
          </cell>
          <cell r="AJ3069">
            <v>0</v>
          </cell>
          <cell r="AK3069">
            <v>0</v>
          </cell>
          <cell r="AL3069"/>
          <cell r="AM3069"/>
          <cell r="AN3069"/>
          <cell r="AO3069"/>
          <cell r="AP3069"/>
          <cell r="AQ3069"/>
          <cell r="AR3069"/>
          <cell r="AS3069">
            <v>29</v>
          </cell>
          <cell r="AT3069"/>
          <cell r="AU3069" t="str">
            <v/>
          </cell>
          <cell r="AV3069"/>
        </row>
        <row r="3070">
          <cell r="Z3070" t="str">
            <v>PR100007EX2</v>
          </cell>
          <cell r="AA3070" t="str">
            <v>Extension PMT Lg 915 mm
4-1/4" PRT Box x 4-1/4" PRT Pin</v>
          </cell>
          <cell r="AB3070">
            <v>52</v>
          </cell>
          <cell r="AC3070">
            <v>4.25</v>
          </cell>
          <cell r="AD3070">
            <v>915</v>
          </cell>
          <cell r="AE3070" t="str">
            <v>4-1/4" PRT Box</v>
          </cell>
          <cell r="AF3070" t="str">
            <v>4-1/4" PRT Pin</v>
          </cell>
          <cell r="AG3070"/>
          <cell r="AH3070" t="str">
            <v>en stock</v>
          </cell>
          <cell r="AI3070">
            <v>1</v>
          </cell>
          <cell r="AJ3070">
            <v>0</v>
          </cell>
          <cell r="AK3070">
            <v>0</v>
          </cell>
          <cell r="AL3070"/>
          <cell r="AM3070"/>
          <cell r="AN3070"/>
          <cell r="AO3070"/>
          <cell r="AP3070"/>
          <cell r="AQ3070"/>
          <cell r="AR3070"/>
          <cell r="AS3070">
            <v>30</v>
          </cell>
          <cell r="AT3070"/>
          <cell r="AU3070" t="str">
            <v/>
          </cell>
          <cell r="AV3070"/>
        </row>
        <row r="3071">
          <cell r="Z3071" t="str">
            <v>PR100004EX1</v>
          </cell>
          <cell r="AA3071" t="str">
            <v>Extension PMT Lg 1220 mm
4-1/4" PRT Box x 4-1/4" PRT Pin</v>
          </cell>
          <cell r="AB3071">
            <v>68</v>
          </cell>
          <cell r="AC3071">
            <v>4.25</v>
          </cell>
          <cell r="AD3071">
            <v>1220</v>
          </cell>
          <cell r="AE3071" t="str">
            <v>4-1/4" PRT Box</v>
          </cell>
          <cell r="AF3071" t="str">
            <v>4-1/4" PRT Pin</v>
          </cell>
          <cell r="AG3071"/>
          <cell r="AH3071" t="str">
            <v>en stock</v>
          </cell>
          <cell r="AI3071">
            <v>1</v>
          </cell>
          <cell r="AJ3071">
            <v>0</v>
          </cell>
          <cell r="AK3071">
            <v>0</v>
          </cell>
          <cell r="AL3071"/>
          <cell r="AM3071"/>
          <cell r="AN3071"/>
          <cell r="AO3071"/>
          <cell r="AP3071"/>
          <cell r="AQ3071"/>
          <cell r="AR3071"/>
          <cell r="AS3071">
            <v>31</v>
          </cell>
          <cell r="AT3071"/>
          <cell r="AU3071" t="str">
            <v/>
          </cell>
          <cell r="AV3071"/>
        </row>
        <row r="3072">
          <cell r="Z3072" t="str">
            <v>PR100004EX2</v>
          </cell>
          <cell r="AA3072" t="str">
            <v>Extension PMT Lg 1220 mm
4-1/4" PRT Box x 4-1/4" PRT Pin</v>
          </cell>
          <cell r="AB3072">
            <v>68</v>
          </cell>
          <cell r="AC3072">
            <v>4.25</v>
          </cell>
          <cell r="AD3072">
            <v>1220</v>
          </cell>
          <cell r="AE3072" t="str">
            <v>4-1/4" PRT Box</v>
          </cell>
          <cell r="AF3072" t="str">
            <v>4-1/4" PRT Pin</v>
          </cell>
          <cell r="AG3072"/>
          <cell r="AH3072" t="str">
            <v>en stock</v>
          </cell>
          <cell r="AI3072">
            <v>1</v>
          </cell>
          <cell r="AJ3072">
            <v>0</v>
          </cell>
          <cell r="AK3072">
            <v>0</v>
          </cell>
          <cell r="AL3072"/>
          <cell r="AM3072"/>
          <cell r="AN3072"/>
          <cell r="AO3072"/>
          <cell r="AP3072"/>
          <cell r="AQ3072"/>
          <cell r="AR3072"/>
          <cell r="AS3072">
            <v>32</v>
          </cell>
          <cell r="AT3072"/>
          <cell r="AU3072" t="str">
            <v/>
          </cell>
          <cell r="AV3072"/>
        </row>
        <row r="3073">
          <cell r="Z3073" t="str">
            <v>PR100005EX</v>
          </cell>
          <cell r="AA3073" t="str">
            <v>Extension PMT Lg 1525 mm
4-1/4" PRT Box x 4-1/4" PRT Pin</v>
          </cell>
          <cell r="AB3073">
            <v>84</v>
          </cell>
          <cell r="AC3073">
            <v>4.25</v>
          </cell>
          <cell r="AD3073">
            <v>1525</v>
          </cell>
          <cell r="AE3073" t="str">
            <v>4-1/4" PRT Box</v>
          </cell>
          <cell r="AF3073" t="str">
            <v>4-1/4" PRT Pin</v>
          </cell>
          <cell r="AG3073"/>
          <cell r="AH3073" t="str">
            <v>en stock</v>
          </cell>
          <cell r="AI3073">
            <v>1</v>
          </cell>
          <cell r="AJ3073">
            <v>0</v>
          </cell>
          <cell r="AK3073">
            <v>0</v>
          </cell>
          <cell r="AL3073"/>
          <cell r="AM3073"/>
          <cell r="AN3073"/>
          <cell r="AO3073"/>
          <cell r="AP3073"/>
          <cell r="AQ3073"/>
          <cell r="AR3073"/>
          <cell r="AS3073">
            <v>33</v>
          </cell>
          <cell r="AT3073"/>
          <cell r="AU3073" t="str">
            <v/>
          </cell>
          <cell r="AV3073"/>
        </row>
        <row r="3074">
          <cell r="Z3074" t="str">
            <v>PR100006EX</v>
          </cell>
          <cell r="AA3074" t="str">
            <v>Extension PMT Lg 1830 mm
4-1/4" PRT Box x 4-1/4" PRT Pin</v>
          </cell>
          <cell r="AB3074">
            <v>102</v>
          </cell>
          <cell r="AC3074">
            <v>4.25</v>
          </cell>
          <cell r="AD3074">
            <v>1830</v>
          </cell>
          <cell r="AE3074" t="str">
            <v>4-1/4" PRT Box</v>
          </cell>
          <cell r="AF3074" t="str">
            <v>4-1/4" PRT Pin</v>
          </cell>
          <cell r="AG3074"/>
          <cell r="AH3074" t="str">
            <v>en stock</v>
          </cell>
          <cell r="AI3074">
            <v>1</v>
          </cell>
          <cell r="AJ3074">
            <v>0</v>
          </cell>
          <cell r="AK3074">
            <v>0</v>
          </cell>
          <cell r="AL3074"/>
          <cell r="AM3074"/>
          <cell r="AN3074"/>
          <cell r="AO3074"/>
          <cell r="AP3074"/>
          <cell r="AQ3074"/>
          <cell r="AR3074"/>
          <cell r="AS3074">
            <v>34</v>
          </cell>
          <cell r="AT3074"/>
          <cell r="AU3074" t="str">
            <v/>
          </cell>
          <cell r="AV3074"/>
        </row>
        <row r="3075">
          <cell r="Z3075" t="str">
            <v>DS2FH171</v>
          </cell>
          <cell r="AA3075" t="str">
            <v>Releasing Spear 1-7/8" OD Mandrel Heavy Duty CA 17228
? Box</v>
          </cell>
          <cell r="AB3075">
            <v>4</v>
          </cell>
          <cell r="AC3075">
            <v>1.875</v>
          </cell>
          <cell r="AD3075" t="str">
            <v>CA 17228</v>
          </cell>
          <cell r="AE3075" t="str">
            <v>? Box</v>
          </cell>
          <cell r="AF3075" t="str">
            <v>bull nose nut</v>
          </cell>
          <cell r="AG3075"/>
          <cell r="AH3075" t="str">
            <v>en stock</v>
          </cell>
          <cell r="AI3075" t="str">
            <v/>
          </cell>
          <cell r="AJ3075">
            <v>0</v>
          </cell>
          <cell r="AK3075">
            <v>1</v>
          </cell>
          <cell r="AL3075"/>
          <cell r="AM3075"/>
          <cell r="AN3075" t="str">
            <v/>
          </cell>
          <cell r="AO3075" t="str">
            <v>x</v>
          </cell>
          <cell r="AP3075"/>
          <cell r="AQ3075"/>
          <cell r="AR3075" t="str">
            <v>spear abimé</v>
          </cell>
          <cell r="AS3075">
            <v>5</v>
          </cell>
          <cell r="AT3075"/>
          <cell r="AU3075" t="str">
            <v/>
          </cell>
          <cell r="AV3075"/>
        </row>
        <row r="3076">
          <cell r="Z3076">
            <v>11340000001</v>
          </cell>
          <cell r="AA3076" t="str">
            <v>Pack Off 3-1/4" OD body 
SPC Box x Box up</v>
          </cell>
          <cell r="AB3076">
            <v>16</v>
          </cell>
          <cell r="AC3076">
            <v>3.25</v>
          </cell>
          <cell r="AD3076" t="str">
            <v xml:space="preserve">CA </v>
          </cell>
          <cell r="AE3076" t="str">
            <v>SPC Box</v>
          </cell>
          <cell r="AF3076" t="str">
            <v>SPC Box</v>
          </cell>
          <cell r="AG3076"/>
          <cell r="AH3076" t="str">
            <v>en stock</v>
          </cell>
          <cell r="AI3076">
            <v>1</v>
          </cell>
          <cell r="AJ3076">
            <v>0</v>
          </cell>
          <cell r="AK3076">
            <v>0</v>
          </cell>
          <cell r="AL3076"/>
          <cell r="AM3076"/>
          <cell r="AN3076" t="str">
            <v/>
          </cell>
          <cell r="AO3076"/>
          <cell r="AP3076"/>
          <cell r="AQ3076"/>
          <cell r="AR3076"/>
          <cell r="AS3076">
            <v>5</v>
          </cell>
          <cell r="AT3076"/>
          <cell r="AU3076" t="str">
            <v/>
          </cell>
          <cell r="AV3076"/>
        </row>
        <row r="3077">
          <cell r="Z3077">
            <v>1</v>
          </cell>
          <cell r="AA3077" t="str">
            <v>DP Lift Head
3-1/2" IF Box</v>
          </cell>
          <cell r="AB3077"/>
          <cell r="AC3077"/>
          <cell r="AD3077"/>
          <cell r="AE3077" t="str">
            <v>3-1/2" IF Box</v>
          </cell>
          <cell r="AF3077"/>
          <cell r="AG3077"/>
          <cell r="AH3077" t="str">
            <v>en stock</v>
          </cell>
          <cell r="AI3077" t="str">
            <v>n°90</v>
          </cell>
          <cell r="AJ3077">
            <v>0</v>
          </cell>
          <cell r="AK3077">
            <v>0</v>
          </cell>
          <cell r="AL3077"/>
          <cell r="AM3077"/>
          <cell r="AN3077"/>
          <cell r="AO3077"/>
          <cell r="AP3077"/>
          <cell r="AQ3077"/>
          <cell r="AR3077"/>
          <cell r="AS3077">
            <v>5</v>
          </cell>
          <cell r="AT3077"/>
          <cell r="AU3077" t="str">
            <v/>
          </cell>
          <cell r="AV3077"/>
        </row>
        <row r="3078">
          <cell r="Z3078">
            <v>2</v>
          </cell>
          <cell r="AA3078" t="str">
            <v>DP Lift Head
3-1/2" IF Box</v>
          </cell>
          <cell r="AB3078"/>
          <cell r="AC3078"/>
          <cell r="AD3078"/>
          <cell r="AE3078" t="str">
            <v>3-1/2" IF Box</v>
          </cell>
          <cell r="AF3078"/>
          <cell r="AG3078"/>
          <cell r="AH3078" t="str">
            <v>en stock</v>
          </cell>
          <cell r="AI3078" t="str">
            <v>n°90</v>
          </cell>
          <cell r="AJ3078">
            <v>0</v>
          </cell>
          <cell r="AK3078">
            <v>0</v>
          </cell>
          <cell r="AL3078"/>
          <cell r="AM3078"/>
          <cell r="AN3078"/>
          <cell r="AO3078"/>
          <cell r="AP3078"/>
          <cell r="AQ3078"/>
          <cell r="AR3078"/>
          <cell r="AS3078">
            <v>6</v>
          </cell>
          <cell r="AT3078"/>
          <cell r="AU3078" t="str">
            <v/>
          </cell>
          <cell r="AV3078"/>
        </row>
        <row r="3079">
          <cell r="Z3079">
            <v>19</v>
          </cell>
          <cell r="AA3079" t="str">
            <v>DP Lift Head
3-1/2" IF Box</v>
          </cell>
          <cell r="AB3079"/>
          <cell r="AC3079"/>
          <cell r="AD3079"/>
          <cell r="AE3079" t="str">
            <v>3-1/2" IF Box</v>
          </cell>
          <cell r="AF3079"/>
          <cell r="AG3079"/>
          <cell r="AH3079" t="str">
            <v>en stock</v>
          </cell>
          <cell r="AI3079" t="str">
            <v>n°55</v>
          </cell>
          <cell r="AJ3079">
            <v>0</v>
          </cell>
          <cell r="AK3079">
            <v>0</v>
          </cell>
          <cell r="AL3079"/>
          <cell r="AM3079"/>
          <cell r="AN3079"/>
          <cell r="AO3079"/>
          <cell r="AP3079"/>
          <cell r="AQ3079"/>
          <cell r="AR3079"/>
          <cell r="AS3079">
            <v>7</v>
          </cell>
          <cell r="AT3079"/>
          <cell r="AU3079" t="str">
            <v/>
          </cell>
          <cell r="AV3079"/>
        </row>
        <row r="3080">
          <cell r="Z3080">
            <v>3</v>
          </cell>
          <cell r="AA3080" t="str">
            <v>DP Lift Head
4-1/2" IF Box</v>
          </cell>
          <cell r="AB3080"/>
          <cell r="AC3080"/>
          <cell r="AD3080"/>
          <cell r="AE3080" t="str">
            <v>4-1/2" IF Box</v>
          </cell>
          <cell r="AF3080"/>
          <cell r="AG3080"/>
          <cell r="AH3080" t="str">
            <v>en stock</v>
          </cell>
          <cell r="AI3080" t="str">
            <v>n°90</v>
          </cell>
          <cell r="AJ3080">
            <v>0</v>
          </cell>
          <cell r="AK3080">
            <v>0</v>
          </cell>
          <cell r="AL3080"/>
          <cell r="AM3080"/>
          <cell r="AN3080"/>
          <cell r="AO3080"/>
          <cell r="AP3080"/>
          <cell r="AQ3080"/>
          <cell r="AR3080"/>
          <cell r="AS3080">
            <v>8</v>
          </cell>
          <cell r="AT3080"/>
          <cell r="AU3080" t="str">
            <v/>
          </cell>
          <cell r="AV3080"/>
        </row>
        <row r="3081">
          <cell r="Z3081">
            <v>4</v>
          </cell>
          <cell r="AA3081" t="str">
            <v>DP Lift Head
4" IF Box</v>
          </cell>
          <cell r="AB3081"/>
          <cell r="AC3081"/>
          <cell r="AD3081"/>
          <cell r="AE3081" t="str">
            <v>4" IF Box</v>
          </cell>
          <cell r="AF3081"/>
          <cell r="AG3081"/>
          <cell r="AH3081" t="str">
            <v>en stock</v>
          </cell>
          <cell r="AI3081" t="str">
            <v>n°90</v>
          </cell>
          <cell r="AJ3081">
            <v>0</v>
          </cell>
          <cell r="AK3081">
            <v>0</v>
          </cell>
          <cell r="AL3081"/>
          <cell r="AM3081"/>
          <cell r="AN3081"/>
          <cell r="AO3081"/>
          <cell r="AP3081"/>
          <cell r="AQ3081"/>
          <cell r="AR3081"/>
          <cell r="AS3081">
            <v>9</v>
          </cell>
          <cell r="AT3081"/>
          <cell r="AU3081" t="str">
            <v/>
          </cell>
          <cell r="AV3081"/>
        </row>
        <row r="3082">
          <cell r="Z3082">
            <v>5</v>
          </cell>
          <cell r="AA3082" t="str">
            <v>DP Lift Head
4" IF Box</v>
          </cell>
          <cell r="AB3082"/>
          <cell r="AC3082"/>
          <cell r="AD3082"/>
          <cell r="AE3082" t="str">
            <v>4" IF Box</v>
          </cell>
          <cell r="AF3082"/>
          <cell r="AG3082"/>
          <cell r="AH3082" t="str">
            <v>en stock</v>
          </cell>
          <cell r="AI3082" t="str">
            <v>n°90</v>
          </cell>
          <cell r="AJ3082">
            <v>0</v>
          </cell>
          <cell r="AK3082">
            <v>0</v>
          </cell>
          <cell r="AL3082"/>
          <cell r="AM3082"/>
          <cell r="AN3082"/>
          <cell r="AO3082"/>
          <cell r="AP3082"/>
          <cell r="AQ3082"/>
          <cell r="AR3082"/>
          <cell r="AS3082">
            <v>10</v>
          </cell>
          <cell r="AT3082"/>
          <cell r="AU3082" t="str">
            <v/>
          </cell>
          <cell r="AV3082"/>
        </row>
        <row r="3083">
          <cell r="Z3083">
            <v>6</v>
          </cell>
          <cell r="AA3083" t="str">
            <v>DP Lift Head
4" IF Box</v>
          </cell>
          <cell r="AB3083"/>
          <cell r="AC3083"/>
          <cell r="AD3083"/>
          <cell r="AE3083" t="str">
            <v>4" IF Box</v>
          </cell>
          <cell r="AF3083"/>
          <cell r="AG3083"/>
          <cell r="AH3083" t="str">
            <v>en stock</v>
          </cell>
          <cell r="AI3083" t="str">
            <v>n°90</v>
          </cell>
          <cell r="AJ3083">
            <v>0</v>
          </cell>
          <cell r="AK3083">
            <v>0</v>
          </cell>
          <cell r="AL3083"/>
          <cell r="AM3083"/>
          <cell r="AN3083"/>
          <cell r="AO3083"/>
          <cell r="AP3083"/>
          <cell r="AQ3083"/>
          <cell r="AR3083"/>
          <cell r="AS3083">
            <v>11</v>
          </cell>
          <cell r="AT3083"/>
          <cell r="AU3083" t="str">
            <v/>
          </cell>
          <cell r="AV3083"/>
        </row>
        <row r="3084">
          <cell r="Z3084" t="str">
            <v>TLB4</v>
          </cell>
          <cell r="AA3084" t="str">
            <v>DP Lift Head
4-1/2" IF Box</v>
          </cell>
          <cell r="AB3084"/>
          <cell r="AC3084"/>
          <cell r="AD3084"/>
          <cell r="AE3084" t="str">
            <v>4-1/2" IF Box</v>
          </cell>
          <cell r="AF3084"/>
          <cell r="AG3084"/>
          <cell r="AH3084" t="str">
            <v>en stock</v>
          </cell>
          <cell r="AI3084" t="str">
            <v>n°55</v>
          </cell>
          <cell r="AJ3084">
            <v>0</v>
          </cell>
          <cell r="AK3084">
            <v>0</v>
          </cell>
          <cell r="AL3084"/>
          <cell r="AM3084"/>
          <cell r="AN3084"/>
          <cell r="AO3084"/>
          <cell r="AP3084"/>
          <cell r="AQ3084"/>
          <cell r="AR3084"/>
          <cell r="AS3084">
            <v>12</v>
          </cell>
          <cell r="AT3084"/>
          <cell r="AU3084" t="str">
            <v/>
          </cell>
          <cell r="AV3084"/>
        </row>
        <row r="3085">
          <cell r="Z3085">
            <v>7</v>
          </cell>
          <cell r="AA3085" t="str">
            <v>DP Lift Head
6-5/8" REG Box</v>
          </cell>
          <cell r="AB3085"/>
          <cell r="AC3085"/>
          <cell r="AD3085"/>
          <cell r="AE3085" t="str">
            <v>6-5/8" REG Box</v>
          </cell>
          <cell r="AF3085"/>
          <cell r="AG3085"/>
          <cell r="AH3085" t="str">
            <v>en stock</v>
          </cell>
          <cell r="AI3085" t="str">
            <v>n°90</v>
          </cell>
          <cell r="AJ3085">
            <v>0</v>
          </cell>
          <cell r="AK3085">
            <v>0</v>
          </cell>
          <cell r="AL3085"/>
          <cell r="AM3085"/>
          <cell r="AN3085"/>
          <cell r="AO3085"/>
          <cell r="AP3085"/>
          <cell r="AQ3085"/>
          <cell r="AR3085"/>
          <cell r="AS3085">
            <v>13</v>
          </cell>
          <cell r="AT3085"/>
          <cell r="AU3085" t="str">
            <v/>
          </cell>
          <cell r="AV3085"/>
        </row>
        <row r="3086">
          <cell r="Z3086">
            <v>8</v>
          </cell>
          <cell r="AA3086" t="str">
            <v>DP Lift Head
7-5/8" REG Box</v>
          </cell>
          <cell r="AB3086"/>
          <cell r="AC3086"/>
          <cell r="AD3086"/>
          <cell r="AE3086" t="str">
            <v>7-5/8" REG Box</v>
          </cell>
          <cell r="AF3086"/>
          <cell r="AG3086"/>
          <cell r="AH3086" t="str">
            <v>en stock</v>
          </cell>
          <cell r="AI3086" t="str">
            <v>n°90</v>
          </cell>
          <cell r="AJ3086">
            <v>0</v>
          </cell>
          <cell r="AK3086">
            <v>0</v>
          </cell>
          <cell r="AL3086"/>
          <cell r="AM3086"/>
          <cell r="AN3086"/>
          <cell r="AO3086"/>
          <cell r="AP3086"/>
          <cell r="AQ3086"/>
          <cell r="AR3086"/>
          <cell r="AS3086">
            <v>14</v>
          </cell>
          <cell r="AT3086"/>
          <cell r="AU3086" t="str">
            <v/>
          </cell>
          <cell r="AV3086"/>
        </row>
        <row r="3087">
          <cell r="Z3087" t="str">
            <v>TLB5</v>
          </cell>
          <cell r="AA3087" t="str">
            <v>DP Lift Head
7-5/8" REG Box</v>
          </cell>
          <cell r="AB3087"/>
          <cell r="AC3087"/>
          <cell r="AD3087"/>
          <cell r="AE3087" t="str">
            <v>7-5/8" REG Box</v>
          </cell>
          <cell r="AF3087"/>
          <cell r="AG3087"/>
          <cell r="AH3087" t="str">
            <v>en stock</v>
          </cell>
          <cell r="AI3087" t="str">
            <v>n°55</v>
          </cell>
          <cell r="AJ3087">
            <v>0</v>
          </cell>
          <cell r="AK3087">
            <v>0</v>
          </cell>
          <cell r="AL3087"/>
          <cell r="AM3087"/>
          <cell r="AN3087"/>
          <cell r="AO3087"/>
          <cell r="AP3087"/>
          <cell r="AQ3087"/>
          <cell r="AR3087"/>
          <cell r="AS3087">
            <v>15</v>
          </cell>
          <cell r="AT3087"/>
          <cell r="AU3087" t="str">
            <v/>
          </cell>
          <cell r="AV3087"/>
        </row>
        <row r="3088">
          <cell r="Z3088" t="str">
            <v>TLB5bis</v>
          </cell>
          <cell r="AA3088" t="str">
            <v>DP Lift Head
7-5/8" REG Box</v>
          </cell>
          <cell r="AB3088"/>
          <cell r="AC3088"/>
          <cell r="AD3088"/>
          <cell r="AE3088" t="str">
            <v>7-5/8" REG Box</v>
          </cell>
          <cell r="AF3088"/>
          <cell r="AG3088"/>
          <cell r="AH3088" t="str">
            <v>en stock</v>
          </cell>
          <cell r="AI3088" t="str">
            <v>n°55</v>
          </cell>
          <cell r="AJ3088">
            <v>0</v>
          </cell>
          <cell r="AK3088">
            <v>0</v>
          </cell>
          <cell r="AL3088"/>
          <cell r="AM3088"/>
          <cell r="AN3088"/>
          <cell r="AO3088"/>
          <cell r="AP3088"/>
          <cell r="AQ3088"/>
          <cell r="AR3088"/>
          <cell r="AS3088">
            <v>16</v>
          </cell>
          <cell r="AT3088"/>
          <cell r="AU3088" t="str">
            <v/>
          </cell>
          <cell r="AV3088"/>
        </row>
        <row r="3089">
          <cell r="Z3089">
            <v>9</v>
          </cell>
          <cell r="AA3089" t="str">
            <v>DP Lift Head
8-5/8" REG Box</v>
          </cell>
          <cell r="AB3089"/>
          <cell r="AC3089"/>
          <cell r="AD3089"/>
          <cell r="AE3089" t="str">
            <v>8-5/8" REG Box</v>
          </cell>
          <cell r="AF3089"/>
          <cell r="AG3089"/>
          <cell r="AH3089" t="str">
            <v>en stock</v>
          </cell>
          <cell r="AI3089" t="str">
            <v>n°90</v>
          </cell>
          <cell r="AJ3089">
            <v>0</v>
          </cell>
          <cell r="AK3089">
            <v>0</v>
          </cell>
          <cell r="AL3089"/>
          <cell r="AM3089"/>
          <cell r="AN3089"/>
          <cell r="AO3089"/>
          <cell r="AP3089"/>
          <cell r="AQ3089"/>
          <cell r="AR3089"/>
          <cell r="AS3089">
            <v>17</v>
          </cell>
          <cell r="AT3089"/>
          <cell r="AU3089" t="str">
            <v/>
          </cell>
          <cell r="AV3089"/>
        </row>
        <row r="3090">
          <cell r="Z3090" t="str">
            <v>TLP5</v>
          </cell>
          <cell r="AA3090" t="str">
            <v>DP Lift Head
3-1/2" IF Pin</v>
          </cell>
          <cell r="AB3090"/>
          <cell r="AC3090"/>
          <cell r="AD3090"/>
          <cell r="AE3090" t="str">
            <v>3-1/2" IF Pin</v>
          </cell>
          <cell r="AF3090"/>
          <cell r="AG3090"/>
          <cell r="AH3090" t="str">
            <v>en stock</v>
          </cell>
          <cell r="AI3090" t="str">
            <v>n°55</v>
          </cell>
          <cell r="AJ3090">
            <v>0</v>
          </cell>
          <cell r="AK3090">
            <v>0</v>
          </cell>
          <cell r="AL3090"/>
          <cell r="AM3090"/>
          <cell r="AN3090"/>
          <cell r="AO3090"/>
          <cell r="AP3090"/>
          <cell r="AQ3090"/>
          <cell r="AR3090"/>
          <cell r="AS3090">
            <v>18</v>
          </cell>
          <cell r="AT3090"/>
          <cell r="AU3090" t="str">
            <v/>
          </cell>
          <cell r="AV3090"/>
        </row>
        <row r="3091">
          <cell r="Z3091" t="str">
            <v>TLP4</v>
          </cell>
          <cell r="AA3091" t="str">
            <v>DP Lift Head
4-1/2" IF Pin</v>
          </cell>
          <cell r="AB3091"/>
          <cell r="AC3091"/>
          <cell r="AD3091"/>
          <cell r="AE3091" t="str">
            <v>4-1/2" IF Pin</v>
          </cell>
          <cell r="AF3091"/>
          <cell r="AG3091"/>
          <cell r="AH3091" t="str">
            <v>en stock</v>
          </cell>
          <cell r="AI3091" t="str">
            <v>n°55</v>
          </cell>
          <cell r="AJ3091">
            <v>0</v>
          </cell>
          <cell r="AK3091">
            <v>0</v>
          </cell>
          <cell r="AL3091"/>
          <cell r="AM3091"/>
          <cell r="AN3091"/>
          <cell r="AO3091"/>
          <cell r="AP3091"/>
          <cell r="AQ3091"/>
          <cell r="AR3091"/>
          <cell r="AS3091">
            <v>19</v>
          </cell>
          <cell r="AT3091"/>
          <cell r="AU3091" t="str">
            <v/>
          </cell>
          <cell r="AV3091"/>
        </row>
        <row r="3092">
          <cell r="Z3092">
            <v>10</v>
          </cell>
          <cell r="AA3092" t="str">
            <v>DP Lift Head
4-1/2" IF Pin</v>
          </cell>
          <cell r="AB3092"/>
          <cell r="AC3092"/>
          <cell r="AD3092"/>
          <cell r="AE3092" t="str">
            <v>4-1/2" IF Pin</v>
          </cell>
          <cell r="AF3092"/>
          <cell r="AG3092"/>
          <cell r="AH3092" t="str">
            <v>en stock</v>
          </cell>
          <cell r="AI3092" t="str">
            <v>n°90</v>
          </cell>
          <cell r="AJ3092">
            <v>0</v>
          </cell>
          <cell r="AK3092">
            <v>0</v>
          </cell>
          <cell r="AL3092"/>
          <cell r="AM3092"/>
          <cell r="AN3092"/>
          <cell r="AO3092"/>
          <cell r="AP3092"/>
          <cell r="AQ3092"/>
          <cell r="AR3092"/>
          <cell r="AS3092">
            <v>20</v>
          </cell>
          <cell r="AT3092"/>
          <cell r="AU3092" t="str">
            <v/>
          </cell>
          <cell r="AV3092"/>
        </row>
        <row r="3093">
          <cell r="Z3093">
            <v>11</v>
          </cell>
          <cell r="AA3093" t="str">
            <v>DP Lift Head
4-1/2" IF Pin</v>
          </cell>
          <cell r="AB3093"/>
          <cell r="AC3093"/>
          <cell r="AD3093"/>
          <cell r="AE3093" t="str">
            <v>4-1/2" IF Pin</v>
          </cell>
          <cell r="AF3093"/>
          <cell r="AG3093"/>
          <cell r="AH3093" t="str">
            <v>en stock</v>
          </cell>
          <cell r="AI3093" t="str">
            <v>n°90</v>
          </cell>
          <cell r="AJ3093">
            <v>0</v>
          </cell>
          <cell r="AK3093">
            <v>0</v>
          </cell>
          <cell r="AL3093"/>
          <cell r="AM3093"/>
          <cell r="AN3093"/>
          <cell r="AO3093"/>
          <cell r="AP3093"/>
          <cell r="AQ3093"/>
          <cell r="AR3093"/>
          <cell r="AS3093">
            <v>21</v>
          </cell>
          <cell r="AT3093"/>
          <cell r="AU3093" t="str">
            <v/>
          </cell>
          <cell r="AV3093"/>
        </row>
        <row r="3094">
          <cell r="Z3094">
            <v>12</v>
          </cell>
          <cell r="AA3094" t="str">
            <v>DP Lift Head
4-1/2" IF Pin</v>
          </cell>
          <cell r="AB3094"/>
          <cell r="AC3094"/>
          <cell r="AD3094"/>
          <cell r="AE3094" t="str">
            <v>4-1/2" IF Pin</v>
          </cell>
          <cell r="AF3094"/>
          <cell r="AG3094"/>
          <cell r="AH3094" t="str">
            <v>en stock</v>
          </cell>
          <cell r="AI3094" t="str">
            <v>n°90</v>
          </cell>
          <cell r="AJ3094">
            <v>0</v>
          </cell>
          <cell r="AK3094">
            <v>0</v>
          </cell>
          <cell r="AL3094"/>
          <cell r="AM3094"/>
          <cell r="AN3094"/>
          <cell r="AO3094"/>
          <cell r="AP3094"/>
          <cell r="AQ3094"/>
          <cell r="AR3094"/>
          <cell r="AS3094">
            <v>22</v>
          </cell>
          <cell r="AT3094"/>
          <cell r="AU3094" t="str">
            <v/>
          </cell>
          <cell r="AV3094"/>
        </row>
        <row r="3095">
          <cell r="Z3095">
            <v>13</v>
          </cell>
          <cell r="AA3095" t="str">
            <v>DP Lift Head
4-1/2" IF Pin</v>
          </cell>
          <cell r="AB3095"/>
          <cell r="AC3095"/>
          <cell r="AD3095"/>
          <cell r="AE3095" t="str">
            <v>4-1/2" IF Pin</v>
          </cell>
          <cell r="AF3095"/>
          <cell r="AG3095"/>
          <cell r="AH3095" t="str">
            <v>en stock</v>
          </cell>
          <cell r="AI3095" t="str">
            <v>n°90</v>
          </cell>
          <cell r="AJ3095">
            <v>0</v>
          </cell>
          <cell r="AK3095">
            <v>0</v>
          </cell>
          <cell r="AL3095"/>
          <cell r="AM3095"/>
          <cell r="AN3095"/>
          <cell r="AO3095"/>
          <cell r="AP3095"/>
          <cell r="AQ3095"/>
          <cell r="AR3095"/>
          <cell r="AS3095">
            <v>23</v>
          </cell>
          <cell r="AT3095"/>
          <cell r="AU3095" t="str">
            <v/>
          </cell>
          <cell r="AV3095"/>
        </row>
        <row r="3096">
          <cell r="Z3096">
            <v>14</v>
          </cell>
          <cell r="AA3096" t="str">
            <v>DP Lift Head
4-1/2" IF Pin</v>
          </cell>
          <cell r="AB3096"/>
          <cell r="AC3096"/>
          <cell r="AD3096"/>
          <cell r="AE3096" t="str">
            <v>4-1/2" IF Pin</v>
          </cell>
          <cell r="AF3096"/>
          <cell r="AG3096"/>
          <cell r="AH3096" t="str">
            <v>en stock</v>
          </cell>
          <cell r="AI3096" t="str">
            <v>n°90</v>
          </cell>
          <cell r="AJ3096">
            <v>0</v>
          </cell>
          <cell r="AK3096">
            <v>0</v>
          </cell>
          <cell r="AL3096"/>
          <cell r="AM3096"/>
          <cell r="AN3096"/>
          <cell r="AO3096"/>
          <cell r="AP3096"/>
          <cell r="AQ3096"/>
          <cell r="AR3096"/>
          <cell r="AS3096">
            <v>24</v>
          </cell>
          <cell r="AT3096"/>
          <cell r="AU3096" t="str">
            <v/>
          </cell>
          <cell r="AV3096"/>
        </row>
        <row r="3097">
          <cell r="Z3097">
            <v>15</v>
          </cell>
          <cell r="AA3097" t="str">
            <v>DP Lift Head
3-1/2" IF Pin</v>
          </cell>
          <cell r="AB3097"/>
          <cell r="AC3097"/>
          <cell r="AD3097"/>
          <cell r="AE3097" t="str">
            <v>3-1/2" IF Pin</v>
          </cell>
          <cell r="AF3097"/>
          <cell r="AG3097"/>
          <cell r="AH3097" t="str">
            <v>en stock</v>
          </cell>
          <cell r="AI3097" t="str">
            <v>n°90</v>
          </cell>
          <cell r="AJ3097">
            <v>0</v>
          </cell>
          <cell r="AK3097">
            <v>0</v>
          </cell>
          <cell r="AL3097"/>
          <cell r="AM3097"/>
          <cell r="AN3097"/>
          <cell r="AO3097"/>
          <cell r="AP3097"/>
          <cell r="AQ3097"/>
          <cell r="AR3097"/>
          <cell r="AS3097">
            <v>25</v>
          </cell>
          <cell r="AT3097"/>
          <cell r="AU3097" t="str">
            <v/>
          </cell>
          <cell r="AV3097"/>
        </row>
        <row r="3098">
          <cell r="Z3098">
            <v>17</v>
          </cell>
          <cell r="AA3098" t="str">
            <v>DP Lift Head
6-5/8" REG Pin</v>
          </cell>
          <cell r="AB3098"/>
          <cell r="AC3098"/>
          <cell r="AD3098"/>
          <cell r="AE3098" t="str">
            <v>6-5/8" REG Pin</v>
          </cell>
          <cell r="AF3098"/>
          <cell r="AG3098"/>
          <cell r="AH3098" t="str">
            <v>en stock</v>
          </cell>
          <cell r="AI3098" t="str">
            <v>n°55</v>
          </cell>
          <cell r="AJ3098">
            <v>0</v>
          </cell>
          <cell r="AK3098">
            <v>0</v>
          </cell>
          <cell r="AL3098"/>
          <cell r="AM3098"/>
          <cell r="AN3098"/>
          <cell r="AO3098"/>
          <cell r="AP3098"/>
          <cell r="AQ3098"/>
          <cell r="AR3098"/>
          <cell r="AS3098">
            <v>26</v>
          </cell>
          <cell r="AT3098"/>
          <cell r="AU3098" t="str">
            <v/>
          </cell>
          <cell r="AV3098"/>
        </row>
        <row r="3099">
          <cell r="Z3099" t="str">
            <v>TLP5</v>
          </cell>
          <cell r="AA3099" t="str">
            <v>DP Lift Head
3-1/2" IF Pin</v>
          </cell>
          <cell r="AB3099"/>
          <cell r="AC3099"/>
          <cell r="AD3099"/>
          <cell r="AE3099" t="str">
            <v>3-1/2" IF Pin</v>
          </cell>
          <cell r="AF3099"/>
          <cell r="AG3099"/>
          <cell r="AH3099" t="str">
            <v>en stock</v>
          </cell>
          <cell r="AI3099" t="str">
            <v>n°55</v>
          </cell>
          <cell r="AJ3099">
            <v>0</v>
          </cell>
          <cell r="AK3099">
            <v>0</v>
          </cell>
          <cell r="AL3099"/>
          <cell r="AM3099"/>
          <cell r="AN3099"/>
          <cell r="AO3099"/>
          <cell r="AP3099"/>
          <cell r="AQ3099"/>
          <cell r="AR3099"/>
          <cell r="AS3099">
            <v>18</v>
          </cell>
          <cell r="AT3099"/>
          <cell r="AU3099" t="str">
            <v/>
          </cell>
          <cell r="AV3099"/>
        </row>
        <row r="3100">
          <cell r="Z3100">
            <v>4848</v>
          </cell>
          <cell r="AA3100" t="str">
            <v>DP Lift Head
6-5/8" REG Pin</v>
          </cell>
          <cell r="AB3100"/>
          <cell r="AC3100"/>
          <cell r="AD3100"/>
          <cell r="AE3100" t="str">
            <v>6-5/8" REG Pin</v>
          </cell>
          <cell r="AF3100"/>
          <cell r="AG3100"/>
          <cell r="AH3100" t="str">
            <v>en stock</v>
          </cell>
          <cell r="AI3100" t="str">
            <v>n°55</v>
          </cell>
          <cell r="AJ3100">
            <v>0</v>
          </cell>
          <cell r="AK3100">
            <v>0</v>
          </cell>
          <cell r="AL3100"/>
          <cell r="AM3100"/>
          <cell r="AN3100"/>
          <cell r="AO3100"/>
          <cell r="AP3100"/>
          <cell r="AQ3100"/>
          <cell r="AR3100"/>
          <cell r="AS3100">
            <v>28</v>
          </cell>
          <cell r="AT3100"/>
          <cell r="AU3100" t="str">
            <v/>
          </cell>
          <cell r="AV3100"/>
        </row>
        <row r="3101">
          <cell r="Z3101">
            <v>464872</v>
          </cell>
          <cell r="AA3101" t="str">
            <v>DP Lift Head
6-5/8" REG Pin</v>
          </cell>
          <cell r="AB3101"/>
          <cell r="AC3101"/>
          <cell r="AD3101"/>
          <cell r="AE3101" t="str">
            <v>6-5/8" REG Pin</v>
          </cell>
          <cell r="AF3101"/>
          <cell r="AG3101"/>
          <cell r="AH3101" t="str">
            <v>en stock</v>
          </cell>
          <cell r="AI3101" t="str">
            <v>n°55</v>
          </cell>
          <cell r="AJ3101">
            <v>0</v>
          </cell>
          <cell r="AK3101">
            <v>0</v>
          </cell>
          <cell r="AL3101"/>
          <cell r="AM3101"/>
          <cell r="AN3101"/>
          <cell r="AO3101"/>
          <cell r="AP3101"/>
          <cell r="AQ3101"/>
          <cell r="AR3101"/>
          <cell r="AS3101">
            <v>29</v>
          </cell>
          <cell r="AT3101"/>
          <cell r="AU3101" t="str">
            <v/>
          </cell>
          <cell r="AV3101"/>
        </row>
        <row r="3102">
          <cell r="Z3102">
            <v>656031</v>
          </cell>
          <cell r="AA3102" t="str">
            <v>DP Lift Head
6-5/8" REG Pin</v>
          </cell>
          <cell r="AB3102"/>
          <cell r="AC3102"/>
          <cell r="AD3102"/>
          <cell r="AE3102" t="str">
            <v>6-5/8" REG Pin</v>
          </cell>
          <cell r="AF3102"/>
          <cell r="AG3102"/>
          <cell r="AH3102" t="str">
            <v>en stock</v>
          </cell>
          <cell r="AI3102" t="str">
            <v>n°55</v>
          </cell>
          <cell r="AJ3102">
            <v>0</v>
          </cell>
          <cell r="AK3102">
            <v>0</v>
          </cell>
          <cell r="AL3102"/>
          <cell r="AM3102"/>
          <cell r="AN3102"/>
          <cell r="AO3102"/>
          <cell r="AP3102"/>
          <cell r="AQ3102"/>
          <cell r="AR3102"/>
          <cell r="AS3102">
            <v>30</v>
          </cell>
          <cell r="AT3102"/>
          <cell r="AU3102" t="str">
            <v/>
          </cell>
          <cell r="AV3102"/>
        </row>
        <row r="3103">
          <cell r="Z3103">
            <v>7321</v>
          </cell>
          <cell r="AA3103" t="str">
            <v>DP Lift Head
7-5/8" REG Pin</v>
          </cell>
          <cell r="AB3103"/>
          <cell r="AC3103"/>
          <cell r="AD3103"/>
          <cell r="AE3103" t="str">
            <v>7-5/8" REG Pin</v>
          </cell>
          <cell r="AF3103"/>
          <cell r="AG3103"/>
          <cell r="AH3103" t="str">
            <v>en stock</v>
          </cell>
          <cell r="AI3103" t="str">
            <v>n°55</v>
          </cell>
          <cell r="AJ3103">
            <v>0</v>
          </cell>
          <cell r="AK3103">
            <v>0</v>
          </cell>
          <cell r="AL3103"/>
          <cell r="AM3103"/>
          <cell r="AN3103"/>
          <cell r="AO3103"/>
          <cell r="AP3103"/>
          <cell r="AQ3103"/>
          <cell r="AR3103"/>
          <cell r="AS3103">
            <v>31</v>
          </cell>
          <cell r="AT3103"/>
          <cell r="AU3103" t="str">
            <v/>
          </cell>
          <cell r="AV3103"/>
        </row>
        <row r="3104">
          <cell r="Z3104">
            <v>638615</v>
          </cell>
          <cell r="AA3104" t="str">
            <v>DP Lift Head
7-5/8" REG Pin</v>
          </cell>
          <cell r="AB3104"/>
          <cell r="AC3104"/>
          <cell r="AD3104"/>
          <cell r="AE3104" t="str">
            <v>7-5/8" REG Pin</v>
          </cell>
          <cell r="AF3104"/>
          <cell r="AG3104"/>
          <cell r="AH3104" t="str">
            <v>en stock</v>
          </cell>
          <cell r="AI3104" t="str">
            <v>n°55</v>
          </cell>
          <cell r="AJ3104">
            <v>0</v>
          </cell>
          <cell r="AK3104">
            <v>0</v>
          </cell>
          <cell r="AL3104"/>
          <cell r="AM3104"/>
          <cell r="AN3104"/>
          <cell r="AO3104"/>
          <cell r="AP3104"/>
          <cell r="AQ3104"/>
          <cell r="AR3104"/>
          <cell r="AS3104">
            <v>32</v>
          </cell>
          <cell r="AT3104"/>
          <cell r="AU3104" t="str">
            <v/>
          </cell>
          <cell r="AV3104"/>
        </row>
        <row r="3105">
          <cell r="Z3105">
            <v>16</v>
          </cell>
          <cell r="AA3105" t="str">
            <v>DP Lift Head
8-5/8" REG Pin</v>
          </cell>
          <cell r="AB3105"/>
          <cell r="AC3105"/>
          <cell r="AD3105"/>
          <cell r="AE3105" t="str">
            <v>8-5/8" REG Pin</v>
          </cell>
          <cell r="AF3105"/>
          <cell r="AG3105"/>
          <cell r="AH3105" t="str">
            <v>en stock</v>
          </cell>
          <cell r="AI3105" t="str">
            <v>n°90</v>
          </cell>
          <cell r="AJ3105">
            <v>0</v>
          </cell>
          <cell r="AK3105">
            <v>0</v>
          </cell>
          <cell r="AL3105"/>
          <cell r="AM3105"/>
          <cell r="AN3105"/>
          <cell r="AO3105"/>
          <cell r="AP3105"/>
          <cell r="AQ3105"/>
          <cell r="AR3105"/>
          <cell r="AS3105">
            <v>33</v>
          </cell>
          <cell r="AT3105"/>
          <cell r="AU3105" t="str">
            <v/>
          </cell>
          <cell r="AV3105"/>
        </row>
        <row r="3106">
          <cell r="Z3106">
            <v>18</v>
          </cell>
          <cell r="AA3106" t="str">
            <v>DP Lift Head
8-5/8" REG Pin</v>
          </cell>
          <cell r="AB3106"/>
          <cell r="AC3106"/>
          <cell r="AD3106"/>
          <cell r="AE3106" t="str">
            <v>8-5/8" REG Pin</v>
          </cell>
          <cell r="AF3106"/>
          <cell r="AG3106"/>
          <cell r="AH3106" t="str">
            <v>en stock</v>
          </cell>
          <cell r="AI3106" t="str">
            <v>n°55</v>
          </cell>
          <cell r="AJ3106">
            <v>0</v>
          </cell>
          <cell r="AK3106">
            <v>0</v>
          </cell>
          <cell r="AL3106"/>
          <cell r="AM3106"/>
          <cell r="AN3106"/>
          <cell r="AO3106"/>
          <cell r="AP3106"/>
          <cell r="AQ3106"/>
          <cell r="AR3106"/>
          <cell r="AS3106">
            <v>34</v>
          </cell>
          <cell r="AT3106"/>
          <cell r="AU3106" t="str">
            <v/>
          </cell>
          <cell r="AV3106"/>
        </row>
        <row r="3107">
          <cell r="Z3107">
            <v>82</v>
          </cell>
          <cell r="AA3107" t="str">
            <v>Lift Sub 2-3/8" REG Pin
0 OD body for Elevator DP 0</v>
          </cell>
          <cell r="AB3107">
            <v>32</v>
          </cell>
          <cell r="AC3107">
            <v>0</v>
          </cell>
          <cell r="AD3107">
            <v>380</v>
          </cell>
          <cell r="AE3107">
            <v>0</v>
          </cell>
          <cell r="AF3107" t="str">
            <v>2-3/8" REG Pin</v>
          </cell>
          <cell r="AG3107"/>
          <cell r="AH3107" t="str">
            <v>en stock</v>
          </cell>
          <cell r="AI3107" t="str">
            <v/>
          </cell>
          <cell r="AJ3107">
            <v>0</v>
          </cell>
          <cell r="AK3107">
            <v>1</v>
          </cell>
          <cell r="AL3107"/>
          <cell r="AM3107"/>
          <cell r="AN3107" t="str">
            <v/>
          </cell>
          <cell r="AO3107"/>
          <cell r="AP3107"/>
          <cell r="AQ3107"/>
          <cell r="AR3107"/>
          <cell r="AS3107">
            <v>24</v>
          </cell>
          <cell r="AT3107"/>
          <cell r="AU3107" t="str">
            <v/>
          </cell>
          <cell r="AV3107"/>
        </row>
        <row r="3108">
          <cell r="Z3108">
            <v>83</v>
          </cell>
          <cell r="AA3108" t="str">
            <v>Lift Sub 2-3/8" REG Pin
0 OD body for Elevator DP 0</v>
          </cell>
          <cell r="AB3108">
            <v>32</v>
          </cell>
          <cell r="AC3108">
            <v>0</v>
          </cell>
          <cell r="AD3108">
            <v>380</v>
          </cell>
          <cell r="AE3108">
            <v>0</v>
          </cell>
          <cell r="AF3108" t="str">
            <v>2-3/8" REG Pin</v>
          </cell>
          <cell r="AG3108"/>
          <cell r="AH3108" t="str">
            <v>en stock</v>
          </cell>
          <cell r="AI3108" t="str">
            <v/>
          </cell>
          <cell r="AJ3108">
            <v>0</v>
          </cell>
          <cell r="AK3108">
            <v>1</v>
          </cell>
          <cell r="AL3108"/>
          <cell r="AM3108"/>
          <cell r="AN3108" t="str">
            <v/>
          </cell>
          <cell r="AO3108"/>
          <cell r="AP3108"/>
          <cell r="AQ3108"/>
          <cell r="AR3108"/>
          <cell r="AS3108">
            <v>25</v>
          </cell>
          <cell r="AT3108"/>
          <cell r="AU3108" t="str">
            <v/>
          </cell>
          <cell r="AV3108"/>
        </row>
        <row r="3109">
          <cell r="Z3109">
            <v>824750038</v>
          </cell>
          <cell r="AA3109" t="str">
            <v>Lift Sub 3-1/2" IF Pin
3-1/2" OD body for Elevator DP 18°</v>
          </cell>
          <cell r="AB3109">
            <v>32</v>
          </cell>
          <cell r="AC3109" t="str">
            <v>3-1/2"</v>
          </cell>
          <cell r="AD3109">
            <v>810</v>
          </cell>
          <cell r="AE3109" t="str">
            <v>18°</v>
          </cell>
          <cell r="AF3109" t="str">
            <v>3-1/2" IF Pin</v>
          </cell>
          <cell r="AG3109"/>
          <cell r="AH3109" t="str">
            <v>en stock</v>
          </cell>
          <cell r="AI3109" t="str">
            <v/>
          </cell>
          <cell r="AJ3109">
            <v>0</v>
          </cell>
          <cell r="AK3109">
            <v>1</v>
          </cell>
          <cell r="AL3109"/>
          <cell r="AM3109"/>
          <cell r="AN3109" t="str">
            <v/>
          </cell>
          <cell r="AO3109"/>
          <cell r="AP3109"/>
          <cell r="AQ3109"/>
          <cell r="AR3109"/>
          <cell r="AS3109">
            <v>39</v>
          </cell>
          <cell r="AT3109"/>
          <cell r="AU3109" t="str">
            <v/>
          </cell>
          <cell r="AV3109"/>
        </row>
        <row r="3110">
          <cell r="Z3110">
            <v>824750007</v>
          </cell>
          <cell r="AA3110" t="str">
            <v>Lift Sub 3-1/2" IF Pin
3-1/2" OD body for Elevator DP 18°</v>
          </cell>
          <cell r="AB3110">
            <v>38</v>
          </cell>
          <cell r="AC3110" t="str">
            <v>3-1/2"</v>
          </cell>
          <cell r="AD3110">
            <v>750</v>
          </cell>
          <cell r="AE3110" t="str">
            <v>18°</v>
          </cell>
          <cell r="AF3110" t="str">
            <v>3-1/2" IF Pin</v>
          </cell>
          <cell r="AG3110"/>
          <cell r="AH3110" t="str">
            <v>en stock</v>
          </cell>
          <cell r="AI3110" t="str">
            <v/>
          </cell>
          <cell r="AJ3110">
            <v>0</v>
          </cell>
          <cell r="AK3110">
            <v>1</v>
          </cell>
          <cell r="AL3110"/>
          <cell r="AM3110"/>
          <cell r="AN3110" t="str">
            <v/>
          </cell>
          <cell r="AO3110"/>
          <cell r="AP3110"/>
          <cell r="AQ3110"/>
          <cell r="AR3110"/>
          <cell r="AS3110">
            <v>40</v>
          </cell>
          <cell r="AT3110"/>
          <cell r="AU3110" t="str">
            <v/>
          </cell>
          <cell r="AV3110"/>
        </row>
        <row r="3111">
          <cell r="Z3111">
            <v>824750034</v>
          </cell>
          <cell r="AA3111" t="str">
            <v>Lift Sub 3-1/2" IF Pin
3-1/2" OD body for Elevator DP 18°</v>
          </cell>
          <cell r="AB3111">
            <v>34</v>
          </cell>
          <cell r="AC3111" t="str">
            <v>3-1/2"</v>
          </cell>
          <cell r="AD3111">
            <v>760</v>
          </cell>
          <cell r="AE3111" t="str">
            <v>18°</v>
          </cell>
          <cell r="AF3111" t="str">
            <v>3-1/2" IF Pin</v>
          </cell>
          <cell r="AG3111"/>
          <cell r="AH3111" t="str">
            <v>en stock</v>
          </cell>
          <cell r="AI3111" t="str">
            <v/>
          </cell>
          <cell r="AJ3111">
            <v>0</v>
          </cell>
          <cell r="AK3111">
            <v>1</v>
          </cell>
          <cell r="AL3111"/>
          <cell r="AM3111"/>
          <cell r="AN3111" t="str">
            <v/>
          </cell>
          <cell r="AO3111"/>
          <cell r="AP3111"/>
          <cell r="AQ3111"/>
          <cell r="AR3111"/>
          <cell r="AS3111">
            <v>41</v>
          </cell>
          <cell r="AT3111"/>
          <cell r="AU3111" t="str">
            <v/>
          </cell>
          <cell r="AV3111"/>
        </row>
        <row r="3112">
          <cell r="Z3112">
            <v>82800016</v>
          </cell>
          <cell r="AA3112" t="str">
            <v>Lift Sub 3-1/2" IF Pin
0 OD body for Elevator DP 0</v>
          </cell>
          <cell r="AB3112">
            <v>0</v>
          </cell>
          <cell r="AC3112">
            <v>0</v>
          </cell>
          <cell r="AD3112">
            <v>1388</v>
          </cell>
          <cell r="AE3112">
            <v>0</v>
          </cell>
          <cell r="AF3112" t="str">
            <v>3-1/2" IF Pin</v>
          </cell>
          <cell r="AG3112"/>
          <cell r="AH3112" t="str">
            <v>en stock</v>
          </cell>
          <cell r="AI3112">
            <v>1</v>
          </cell>
          <cell r="AJ3112">
            <v>0</v>
          </cell>
          <cell r="AK3112">
            <v>0</v>
          </cell>
          <cell r="AL3112"/>
          <cell r="AM3112"/>
          <cell r="AN3112" t="str">
            <v/>
          </cell>
          <cell r="AO3112"/>
          <cell r="AP3112"/>
          <cell r="AQ3112"/>
          <cell r="AR3112"/>
          <cell r="AS3112">
            <v>42</v>
          </cell>
          <cell r="AT3112"/>
          <cell r="AU3112" t="str">
            <v/>
          </cell>
          <cell r="AV3112"/>
        </row>
        <row r="3113">
          <cell r="Z3113">
            <v>824625040</v>
          </cell>
          <cell r="AA3113" t="str">
            <v>Lift Sub 3-1/2" IF Pin
0 OD body for Elevator DP 18°</v>
          </cell>
          <cell r="AB3113">
            <v>54</v>
          </cell>
          <cell r="AC3113">
            <v>0</v>
          </cell>
          <cell r="AD3113">
            <v>1310</v>
          </cell>
          <cell r="AE3113" t="str">
            <v>18°</v>
          </cell>
          <cell r="AF3113" t="str">
            <v>3-1/2" IF Pin</v>
          </cell>
          <cell r="AG3113"/>
          <cell r="AH3113" t="str">
            <v>en stock</v>
          </cell>
          <cell r="AI3113">
            <v>1</v>
          </cell>
          <cell r="AJ3113">
            <v>0</v>
          </cell>
          <cell r="AK3113">
            <v>0</v>
          </cell>
          <cell r="AL3113"/>
          <cell r="AM3113"/>
          <cell r="AN3113" t="str">
            <v/>
          </cell>
          <cell r="AO3113"/>
          <cell r="AP3113"/>
          <cell r="AQ3113"/>
          <cell r="AR3113"/>
          <cell r="AS3113">
            <v>43</v>
          </cell>
          <cell r="AT3113"/>
          <cell r="AU3113" t="str">
            <v/>
          </cell>
          <cell r="AV3113"/>
        </row>
        <row r="3114">
          <cell r="Z3114">
            <v>826250032</v>
          </cell>
          <cell r="AA3114" t="str">
            <v>Lift Sub 4" IF Pin
0 OD body for Elevator DP 18°</v>
          </cell>
          <cell r="AB3114">
            <v>86</v>
          </cell>
          <cell r="AC3114">
            <v>0</v>
          </cell>
          <cell r="AD3114">
            <v>1040</v>
          </cell>
          <cell r="AE3114" t="str">
            <v>18°</v>
          </cell>
          <cell r="AF3114" t="str">
            <v>4" IF Pin</v>
          </cell>
          <cell r="AG3114"/>
          <cell r="AH3114" t="str">
            <v>en stock</v>
          </cell>
          <cell r="AI3114">
            <v>1</v>
          </cell>
          <cell r="AJ3114">
            <v>0</v>
          </cell>
          <cell r="AK3114">
            <v>0</v>
          </cell>
          <cell r="AL3114"/>
          <cell r="AM3114"/>
          <cell r="AN3114" t="str">
            <v/>
          </cell>
          <cell r="AO3114"/>
          <cell r="AP3114"/>
          <cell r="AQ3114"/>
          <cell r="AR3114"/>
          <cell r="AS3114">
            <v>53</v>
          </cell>
          <cell r="AT3114"/>
          <cell r="AU3114" t="str">
            <v/>
          </cell>
          <cell r="AV3114"/>
        </row>
        <row r="3115">
          <cell r="Z3115">
            <v>826250029</v>
          </cell>
          <cell r="AA3115" t="str">
            <v>Lift Sub 4" IF Pin
0 OD body for Elevator DP 18°</v>
          </cell>
          <cell r="AB3115">
            <v>74</v>
          </cell>
          <cell r="AC3115">
            <v>0</v>
          </cell>
          <cell r="AD3115">
            <v>800</v>
          </cell>
          <cell r="AE3115" t="str">
            <v>18°</v>
          </cell>
          <cell r="AF3115" t="str">
            <v>4" IF Pin</v>
          </cell>
          <cell r="AG3115"/>
          <cell r="AH3115" t="str">
            <v>en stock</v>
          </cell>
          <cell r="AI3115">
            <v>1</v>
          </cell>
          <cell r="AJ3115">
            <v>0</v>
          </cell>
          <cell r="AK3115">
            <v>0</v>
          </cell>
          <cell r="AL3115"/>
          <cell r="AM3115"/>
          <cell r="AN3115" t="str">
            <v/>
          </cell>
          <cell r="AO3115"/>
          <cell r="AP3115"/>
          <cell r="AQ3115"/>
          <cell r="AR3115"/>
          <cell r="AS3115">
            <v>54</v>
          </cell>
          <cell r="AT3115"/>
          <cell r="AU3115" t="str">
            <v/>
          </cell>
          <cell r="AV3115"/>
        </row>
        <row r="3116">
          <cell r="Z3116">
            <v>826000031</v>
          </cell>
          <cell r="AA3116" t="str">
            <v>Lift Sub 4" IF Pin
0 OD body for Elevator DP 18°</v>
          </cell>
          <cell r="AB3116">
            <v>52</v>
          </cell>
          <cell r="AC3116">
            <v>0</v>
          </cell>
          <cell r="AD3116">
            <v>935</v>
          </cell>
          <cell r="AE3116" t="str">
            <v>18°</v>
          </cell>
          <cell r="AF3116" t="str">
            <v>4" IF Pin</v>
          </cell>
          <cell r="AG3116"/>
          <cell r="AH3116" t="str">
            <v>en stock</v>
          </cell>
          <cell r="AI3116">
            <v>1</v>
          </cell>
          <cell r="AJ3116">
            <v>0</v>
          </cell>
          <cell r="AK3116">
            <v>0</v>
          </cell>
          <cell r="AL3116"/>
          <cell r="AM3116"/>
          <cell r="AN3116" t="str">
            <v/>
          </cell>
          <cell r="AO3116"/>
          <cell r="AP3116"/>
          <cell r="AQ3116"/>
          <cell r="AR3116"/>
          <cell r="AS3116">
            <v>55</v>
          </cell>
          <cell r="AT3116"/>
          <cell r="AU3116" t="str">
            <v/>
          </cell>
          <cell r="AV3116"/>
        </row>
        <row r="3117">
          <cell r="Z3117">
            <v>826250028</v>
          </cell>
          <cell r="AA3117" t="str">
            <v>Lift Sub 4" IF Pin
0 OD body for Elevator DP 18°</v>
          </cell>
          <cell r="AB3117">
            <v>68</v>
          </cell>
          <cell r="AC3117">
            <v>0</v>
          </cell>
          <cell r="AD3117">
            <v>790</v>
          </cell>
          <cell r="AE3117" t="str">
            <v>18°</v>
          </cell>
          <cell r="AF3117" t="str">
            <v>4" IF Pin</v>
          </cell>
          <cell r="AG3117"/>
          <cell r="AH3117" t="str">
            <v>en stock</v>
          </cell>
          <cell r="AI3117">
            <v>1</v>
          </cell>
          <cell r="AJ3117">
            <v>0</v>
          </cell>
          <cell r="AK3117">
            <v>0</v>
          </cell>
          <cell r="AL3117"/>
          <cell r="AM3117"/>
          <cell r="AN3117" t="str">
            <v/>
          </cell>
          <cell r="AO3117"/>
          <cell r="AP3117"/>
          <cell r="AQ3117"/>
          <cell r="AR3117"/>
          <cell r="AS3117">
            <v>56</v>
          </cell>
          <cell r="AT3117"/>
          <cell r="AU3117" t="str">
            <v/>
          </cell>
          <cell r="AV3117"/>
        </row>
        <row r="3118">
          <cell r="Z3118">
            <v>826125027</v>
          </cell>
          <cell r="AA3118" t="str">
            <v>Lift Sub 4-1/2" IF Pin
4-1/2" OD body for Elevator DP 18°</v>
          </cell>
          <cell r="AB3118">
            <v>88</v>
          </cell>
          <cell r="AC3118" t="str">
            <v>4-1/2"</v>
          </cell>
          <cell r="AD3118">
            <v>1065</v>
          </cell>
          <cell r="AE3118" t="str">
            <v>18°</v>
          </cell>
          <cell r="AF3118" t="str">
            <v>4-1/2" IF Pin</v>
          </cell>
          <cell r="AG3118"/>
          <cell r="AH3118" t="str">
            <v>en stock</v>
          </cell>
          <cell r="AI3118">
            <v>1</v>
          </cell>
          <cell r="AJ3118">
            <v>0</v>
          </cell>
          <cell r="AK3118">
            <v>0</v>
          </cell>
          <cell r="AL3118"/>
          <cell r="AM3118"/>
          <cell r="AN3118" t="str">
            <v/>
          </cell>
          <cell r="AO3118"/>
          <cell r="AP3118"/>
          <cell r="AQ3118"/>
          <cell r="AR3118"/>
          <cell r="AS3118">
            <v>57</v>
          </cell>
          <cell r="AT3118"/>
          <cell r="AU3118" t="str">
            <v/>
          </cell>
          <cell r="AV3118"/>
        </row>
        <row r="3119">
          <cell r="Z3119">
            <v>827625023</v>
          </cell>
          <cell r="AA3119" t="str">
            <v>Lift Sub 4-1/2" IF Pin
4-1/2" OD body for Elevator DP 18°</v>
          </cell>
          <cell r="AB3119">
            <v>94</v>
          </cell>
          <cell r="AC3119" t="str">
            <v>4-1/2"</v>
          </cell>
          <cell r="AD3119">
            <v>1110</v>
          </cell>
          <cell r="AE3119" t="str">
            <v>18°</v>
          </cell>
          <cell r="AF3119" t="str">
            <v>4-1/2" IF Pin</v>
          </cell>
          <cell r="AG3119"/>
          <cell r="AH3119" t="str">
            <v>en stock</v>
          </cell>
          <cell r="AI3119" t="str">
            <v/>
          </cell>
          <cell r="AJ3119">
            <v>0</v>
          </cell>
          <cell r="AK3119">
            <v>1</v>
          </cell>
          <cell r="AL3119"/>
          <cell r="AM3119"/>
          <cell r="AN3119" t="str">
            <v/>
          </cell>
          <cell r="AO3119"/>
          <cell r="AP3119"/>
          <cell r="AQ3119"/>
          <cell r="AR3119"/>
          <cell r="AS3119">
            <v>58</v>
          </cell>
          <cell r="AT3119"/>
          <cell r="AU3119" t="str">
            <v/>
          </cell>
          <cell r="AV3119"/>
        </row>
        <row r="3120">
          <cell r="Z3120">
            <v>826125025</v>
          </cell>
          <cell r="AA3120" t="str">
            <v>Lift Sub 4-1/2" IF Pin
4-1/2" OD body for Elevator DP 18°</v>
          </cell>
          <cell r="AB3120">
            <v>84</v>
          </cell>
          <cell r="AC3120" t="str">
            <v>4-1/2"</v>
          </cell>
          <cell r="AD3120">
            <v>1035</v>
          </cell>
          <cell r="AE3120" t="str">
            <v>18°</v>
          </cell>
          <cell r="AF3120" t="str">
            <v>4-1/2" IF Pin</v>
          </cell>
          <cell r="AG3120"/>
          <cell r="AH3120" t="str">
            <v>en stock</v>
          </cell>
          <cell r="AI3120">
            <v>1</v>
          </cell>
          <cell r="AJ3120">
            <v>0</v>
          </cell>
          <cell r="AK3120">
            <v>0</v>
          </cell>
          <cell r="AL3120"/>
          <cell r="AM3120"/>
          <cell r="AN3120" t="str">
            <v/>
          </cell>
          <cell r="AO3120"/>
          <cell r="AP3120"/>
          <cell r="AQ3120"/>
          <cell r="AR3120"/>
          <cell r="AS3120">
            <v>59</v>
          </cell>
          <cell r="AT3120"/>
          <cell r="AU3120" t="str">
            <v/>
          </cell>
          <cell r="AV3120"/>
        </row>
        <row r="3121">
          <cell r="Z3121">
            <v>826125026</v>
          </cell>
          <cell r="AA3121" t="str">
            <v>Lift Sub 4-1/2" IF Pin
4-1/2" OD body for Elevator DP 18°</v>
          </cell>
          <cell r="AB3121">
            <v>88</v>
          </cell>
          <cell r="AC3121" t="str">
            <v>4-1/2"</v>
          </cell>
          <cell r="AD3121">
            <v>1060</v>
          </cell>
          <cell r="AE3121" t="str">
            <v>18°</v>
          </cell>
          <cell r="AF3121" t="str">
            <v>4-1/2" IF Pin</v>
          </cell>
          <cell r="AG3121"/>
          <cell r="AH3121" t="str">
            <v>en stock</v>
          </cell>
          <cell r="AI3121">
            <v>1</v>
          </cell>
          <cell r="AJ3121">
            <v>0</v>
          </cell>
          <cell r="AK3121">
            <v>0</v>
          </cell>
          <cell r="AL3121"/>
          <cell r="AM3121"/>
          <cell r="AN3121" t="str">
            <v/>
          </cell>
          <cell r="AO3121"/>
          <cell r="AP3121"/>
          <cell r="AQ3121"/>
          <cell r="AR3121"/>
          <cell r="AS3121">
            <v>60</v>
          </cell>
          <cell r="AT3121"/>
          <cell r="AU3121" t="str">
            <v/>
          </cell>
          <cell r="AV3121"/>
        </row>
        <row r="3122">
          <cell r="Z3122">
            <v>825750033</v>
          </cell>
          <cell r="AA3122" t="str">
            <v>Lift Sub 4-1/2" IF Pin
5-1/2" OD body for Elevator DP 18°</v>
          </cell>
          <cell r="AB3122">
            <v>66</v>
          </cell>
          <cell r="AC3122" t="str">
            <v>5-1/2"</v>
          </cell>
          <cell r="AD3122">
            <v>890</v>
          </cell>
          <cell r="AE3122" t="str">
            <v>18°</v>
          </cell>
          <cell r="AF3122" t="str">
            <v>4-1/2" IF Pin</v>
          </cell>
          <cell r="AG3122"/>
          <cell r="AH3122" t="str">
            <v>en stock</v>
          </cell>
          <cell r="AI3122">
            <v>1</v>
          </cell>
          <cell r="AJ3122">
            <v>0</v>
          </cell>
          <cell r="AK3122">
            <v>0</v>
          </cell>
          <cell r="AL3122"/>
          <cell r="AM3122"/>
          <cell r="AN3122" t="str">
            <v/>
          </cell>
          <cell r="AO3122"/>
          <cell r="AP3122"/>
          <cell r="AQ3122"/>
          <cell r="AR3122"/>
          <cell r="AS3122">
            <v>61</v>
          </cell>
          <cell r="AT3122"/>
          <cell r="AU3122" t="str">
            <v/>
          </cell>
          <cell r="AV3122"/>
        </row>
        <row r="3123">
          <cell r="Z3123">
            <v>82800005</v>
          </cell>
          <cell r="AA3123" t="str">
            <v>Lift Sub 5-1/2" H90 Pin
0 OD body for Elevator DP 18°</v>
          </cell>
          <cell r="AB3123">
            <v>100</v>
          </cell>
          <cell r="AC3123">
            <v>0</v>
          </cell>
          <cell r="AD3123">
            <v>790</v>
          </cell>
          <cell r="AE3123" t="str">
            <v>18°</v>
          </cell>
          <cell r="AF3123" t="str">
            <v>5-1/2" H90 Pin</v>
          </cell>
          <cell r="AG3123"/>
          <cell r="AH3123" t="str">
            <v>en stock</v>
          </cell>
          <cell r="AI3123">
            <v>1</v>
          </cell>
          <cell r="AJ3123">
            <v>0</v>
          </cell>
          <cell r="AK3123">
            <v>0</v>
          </cell>
          <cell r="AL3123"/>
          <cell r="AM3123"/>
          <cell r="AN3123" t="str">
            <v/>
          </cell>
          <cell r="AO3123"/>
          <cell r="AP3123"/>
          <cell r="AQ3123"/>
          <cell r="AR3123"/>
          <cell r="AS3123">
            <v>63</v>
          </cell>
          <cell r="AT3123"/>
          <cell r="AU3123" t="str">
            <v/>
          </cell>
          <cell r="AV3123"/>
        </row>
        <row r="3124">
          <cell r="Z3124">
            <v>82800006</v>
          </cell>
          <cell r="AA3124" t="str">
            <v>Lift Sub 4-1/2" IF Pin
0 OD body for Elevator DP 18°</v>
          </cell>
          <cell r="AB3124">
            <v>102</v>
          </cell>
          <cell r="AC3124">
            <v>0</v>
          </cell>
          <cell r="AD3124">
            <v>800</v>
          </cell>
          <cell r="AE3124" t="str">
            <v>18°</v>
          </cell>
          <cell r="AF3124" t="str">
            <v>4-1/2" IF Pin</v>
          </cell>
          <cell r="AG3124"/>
          <cell r="AH3124" t="str">
            <v>en stock</v>
          </cell>
          <cell r="AI3124">
            <v>1</v>
          </cell>
          <cell r="AJ3124">
            <v>0</v>
          </cell>
          <cell r="AK3124">
            <v>0</v>
          </cell>
          <cell r="AL3124"/>
          <cell r="AM3124"/>
          <cell r="AN3124" t="str">
            <v/>
          </cell>
          <cell r="AO3124"/>
          <cell r="AP3124"/>
          <cell r="AQ3124"/>
          <cell r="AR3124"/>
          <cell r="AS3124">
            <v>62</v>
          </cell>
          <cell r="AT3124"/>
          <cell r="AU3124" t="str">
            <v/>
          </cell>
          <cell r="AV3124"/>
        </row>
        <row r="3125">
          <cell r="Z3125">
            <v>82800007</v>
          </cell>
          <cell r="AA3125" t="str">
            <v>Lift Sub 5-1/2" H90 Pin
0 OD body for Elevator DP 18°</v>
          </cell>
          <cell r="AB3125">
            <v>102</v>
          </cell>
          <cell r="AC3125">
            <v>0</v>
          </cell>
          <cell r="AD3125">
            <v>795</v>
          </cell>
          <cell r="AE3125" t="str">
            <v>18°</v>
          </cell>
          <cell r="AF3125" t="str">
            <v>5-1/2" H90 Pin</v>
          </cell>
          <cell r="AG3125"/>
          <cell r="AH3125" t="str">
            <v>en stock</v>
          </cell>
          <cell r="AI3125">
            <v>1</v>
          </cell>
          <cell r="AJ3125">
            <v>0</v>
          </cell>
          <cell r="AK3125">
            <v>0</v>
          </cell>
          <cell r="AL3125"/>
          <cell r="AM3125"/>
          <cell r="AN3125" t="str">
            <v/>
          </cell>
          <cell r="AO3125"/>
          <cell r="AP3125"/>
          <cell r="AQ3125"/>
          <cell r="AR3125"/>
          <cell r="AS3125">
            <v>64</v>
          </cell>
          <cell r="AT3125"/>
          <cell r="AU3125" t="str">
            <v/>
          </cell>
          <cell r="AV3125"/>
        </row>
        <row r="3126">
          <cell r="Z3126">
            <v>827250020</v>
          </cell>
          <cell r="AA3126" t="str">
            <v>Lift Sub 5-1/2" H90 Pin
0 OD body for Elevator DP 18°</v>
          </cell>
          <cell r="AB3126">
            <v>88</v>
          </cell>
          <cell r="AC3126">
            <v>0</v>
          </cell>
          <cell r="AD3126">
            <v>790</v>
          </cell>
          <cell r="AE3126" t="str">
            <v>18°</v>
          </cell>
          <cell r="AF3126" t="str">
            <v>5-1/2" H90 Pin</v>
          </cell>
          <cell r="AG3126"/>
          <cell r="AH3126" t="str">
            <v>en stock</v>
          </cell>
          <cell r="AI3126">
            <v>1</v>
          </cell>
          <cell r="AJ3126">
            <v>0</v>
          </cell>
          <cell r="AK3126">
            <v>0</v>
          </cell>
          <cell r="AL3126"/>
          <cell r="AM3126"/>
          <cell r="AN3126" t="str">
            <v/>
          </cell>
          <cell r="AO3126"/>
          <cell r="AP3126"/>
          <cell r="AQ3126"/>
          <cell r="AR3126"/>
          <cell r="AS3126">
            <v>65</v>
          </cell>
          <cell r="AT3126"/>
          <cell r="AU3126" t="str">
            <v/>
          </cell>
          <cell r="AV3126"/>
        </row>
        <row r="3127">
          <cell r="Z3127">
            <v>827250021</v>
          </cell>
          <cell r="AA3127" t="str">
            <v>Lift Sub 5-1/2" H90 Pin
0 OD body for Elevator DP 18°</v>
          </cell>
          <cell r="AB3127">
            <v>84</v>
          </cell>
          <cell r="AC3127">
            <v>0</v>
          </cell>
          <cell r="AD3127">
            <v>830</v>
          </cell>
          <cell r="AE3127" t="str">
            <v>18°</v>
          </cell>
          <cell r="AF3127" t="str">
            <v>5-1/2" H90 Pin</v>
          </cell>
          <cell r="AG3127"/>
          <cell r="AH3127" t="str">
            <v>en stock</v>
          </cell>
          <cell r="AI3127">
            <v>1</v>
          </cell>
          <cell r="AJ3127">
            <v>0</v>
          </cell>
          <cell r="AK3127">
            <v>0</v>
          </cell>
          <cell r="AL3127"/>
          <cell r="AM3127"/>
          <cell r="AN3127" t="str">
            <v/>
          </cell>
          <cell r="AO3127"/>
          <cell r="AP3127"/>
          <cell r="AQ3127"/>
          <cell r="AR3127"/>
          <cell r="AS3127">
            <v>66</v>
          </cell>
          <cell r="AT3127"/>
          <cell r="AU3127" t="str">
            <v/>
          </cell>
          <cell r="AV3127"/>
        </row>
        <row r="3128">
          <cell r="Z3128">
            <v>827250022</v>
          </cell>
          <cell r="AA3128" t="str">
            <v>Lift Sub 5-1/2" H90 Pin
0 OD body for Elevator DP 18°</v>
          </cell>
          <cell r="AB3128">
            <v>80</v>
          </cell>
          <cell r="AC3128">
            <v>0</v>
          </cell>
          <cell r="AD3128">
            <v>800</v>
          </cell>
          <cell r="AE3128" t="str">
            <v>18°</v>
          </cell>
          <cell r="AF3128" t="str">
            <v>5-1/2" H90 Pin</v>
          </cell>
          <cell r="AG3128"/>
          <cell r="AH3128" t="str">
            <v>en stock</v>
          </cell>
          <cell r="AI3128">
            <v>1</v>
          </cell>
          <cell r="AJ3128">
            <v>0</v>
          </cell>
          <cell r="AK3128">
            <v>0</v>
          </cell>
          <cell r="AL3128"/>
          <cell r="AM3128"/>
          <cell r="AN3128" t="str">
            <v/>
          </cell>
          <cell r="AO3128"/>
          <cell r="AP3128"/>
          <cell r="AQ3128"/>
          <cell r="AR3128"/>
          <cell r="AS3128">
            <v>67</v>
          </cell>
          <cell r="AT3128"/>
          <cell r="AU3128" t="str">
            <v/>
          </cell>
          <cell r="AV3128"/>
        </row>
        <row r="3129">
          <cell r="Z3129">
            <v>82800017</v>
          </cell>
          <cell r="AA3129" t="str">
            <v>Lift Sub 6-5/8" H90 Pin
0 OD body for Elevator DP 18°</v>
          </cell>
          <cell r="AB3129">
            <v>94</v>
          </cell>
          <cell r="AC3129">
            <v>0</v>
          </cell>
          <cell r="AD3129">
            <v>795</v>
          </cell>
          <cell r="AE3129" t="str">
            <v>18°</v>
          </cell>
          <cell r="AF3129" t="str">
            <v>6-5/8" H90 Pin</v>
          </cell>
          <cell r="AG3129"/>
          <cell r="AH3129" t="str">
            <v>en stock</v>
          </cell>
          <cell r="AI3129">
            <v>1</v>
          </cell>
          <cell r="AJ3129">
            <v>0</v>
          </cell>
          <cell r="AK3129">
            <v>0</v>
          </cell>
          <cell r="AL3129"/>
          <cell r="AM3129"/>
          <cell r="AN3129" t="str">
            <v/>
          </cell>
          <cell r="AO3129"/>
          <cell r="AP3129"/>
          <cell r="AQ3129"/>
          <cell r="AR3129"/>
          <cell r="AS3129">
            <v>68</v>
          </cell>
          <cell r="AT3129"/>
          <cell r="AU3129" t="str">
            <v/>
          </cell>
          <cell r="AV3129"/>
        </row>
        <row r="3130">
          <cell r="Z3130">
            <v>827875024</v>
          </cell>
          <cell r="AA3130" t="str">
            <v>Lift Sub 6-5/8" H90 Pin
0 OD body for Elevator DP 18°</v>
          </cell>
          <cell r="AB3130">
            <v>68</v>
          </cell>
          <cell r="AC3130">
            <v>0</v>
          </cell>
          <cell r="AD3130">
            <v>700</v>
          </cell>
          <cell r="AE3130" t="str">
            <v>18°</v>
          </cell>
          <cell r="AF3130" t="str">
            <v>6-5/8" H90 Pin</v>
          </cell>
          <cell r="AG3130"/>
          <cell r="AH3130" t="str">
            <v>en stock</v>
          </cell>
          <cell r="AI3130">
            <v>1</v>
          </cell>
          <cell r="AJ3130">
            <v>0</v>
          </cell>
          <cell r="AK3130">
            <v>0</v>
          </cell>
          <cell r="AL3130"/>
          <cell r="AM3130"/>
          <cell r="AN3130" t="str">
            <v/>
          </cell>
          <cell r="AO3130"/>
          <cell r="AP3130"/>
          <cell r="AQ3130"/>
          <cell r="AR3130"/>
          <cell r="AS3130">
            <v>69</v>
          </cell>
          <cell r="AT3130"/>
          <cell r="AU3130" t="str">
            <v/>
          </cell>
          <cell r="AV3130"/>
        </row>
        <row r="3131">
          <cell r="Z3131">
            <v>82800010</v>
          </cell>
          <cell r="AA3131" t="str">
            <v>Lift Sub 6-5/8" REG Pin
4-1/2" OD body for Elevator DP 18°</v>
          </cell>
          <cell r="AB3131">
            <v>114</v>
          </cell>
          <cell r="AC3131" t="str">
            <v>4-1/2"</v>
          </cell>
          <cell r="AD3131">
            <v>1030</v>
          </cell>
          <cell r="AE3131" t="str">
            <v>18°</v>
          </cell>
          <cell r="AF3131" t="str">
            <v>6-5/8" REG Pin</v>
          </cell>
          <cell r="AG3131"/>
          <cell r="AH3131" t="str">
            <v>en stock</v>
          </cell>
          <cell r="AI3131">
            <v>1</v>
          </cell>
          <cell r="AJ3131">
            <v>0</v>
          </cell>
          <cell r="AK3131">
            <v>0</v>
          </cell>
          <cell r="AL3131"/>
          <cell r="AM3131"/>
          <cell r="AN3131" t="str">
            <v/>
          </cell>
          <cell r="AO3131"/>
          <cell r="AP3131"/>
          <cell r="AQ3131"/>
          <cell r="AR3131"/>
          <cell r="AS3131">
            <v>70</v>
          </cell>
          <cell r="AT3131"/>
          <cell r="AU3131" t="str">
            <v/>
          </cell>
          <cell r="AV3131"/>
        </row>
        <row r="3132">
          <cell r="Z3132">
            <v>82800014</v>
          </cell>
          <cell r="AA3132" t="str">
            <v>Lift Sub 6-5/8" REG Pin
4-1/2" OD body for Elevator DP 45°</v>
          </cell>
          <cell r="AB3132">
            <v>124</v>
          </cell>
          <cell r="AC3132" t="str">
            <v>4-1/2"</v>
          </cell>
          <cell r="AD3132">
            <v>1095</v>
          </cell>
          <cell r="AE3132" t="str">
            <v>45°</v>
          </cell>
          <cell r="AF3132" t="str">
            <v>6-5/8" REG Pin</v>
          </cell>
          <cell r="AG3132"/>
          <cell r="AH3132" t="str">
            <v>en stock</v>
          </cell>
          <cell r="AI3132">
            <v>1</v>
          </cell>
          <cell r="AJ3132">
            <v>0</v>
          </cell>
          <cell r="AK3132">
            <v>0</v>
          </cell>
          <cell r="AL3132"/>
          <cell r="AM3132"/>
          <cell r="AN3132" t="str">
            <v/>
          </cell>
          <cell r="AO3132"/>
          <cell r="AP3132"/>
          <cell r="AQ3132"/>
          <cell r="AR3132"/>
          <cell r="AS3132">
            <v>71</v>
          </cell>
          <cell r="AT3132"/>
          <cell r="AU3132" t="str">
            <v/>
          </cell>
          <cell r="AV3132"/>
        </row>
        <row r="3133">
          <cell r="Z3133">
            <v>82800009</v>
          </cell>
          <cell r="AA3133" t="str">
            <v>Lift Sub 6-5/8" REG Pin
4-1/2" OD body for Elevator DP 90°</v>
          </cell>
          <cell r="AB3133">
            <v>98</v>
          </cell>
          <cell r="AC3133" t="str">
            <v>4-1/2"</v>
          </cell>
          <cell r="AD3133">
            <v>800</v>
          </cell>
          <cell r="AE3133" t="str">
            <v>90°</v>
          </cell>
          <cell r="AF3133" t="str">
            <v>6-5/8" REG Pin</v>
          </cell>
          <cell r="AG3133"/>
          <cell r="AH3133" t="str">
            <v>en stock</v>
          </cell>
          <cell r="AI3133">
            <v>1</v>
          </cell>
          <cell r="AJ3133">
            <v>0</v>
          </cell>
          <cell r="AK3133">
            <v>0</v>
          </cell>
          <cell r="AL3133"/>
          <cell r="AM3133"/>
          <cell r="AN3133" t="str">
            <v/>
          </cell>
          <cell r="AO3133"/>
          <cell r="AP3133"/>
          <cell r="AQ3133"/>
          <cell r="AR3133"/>
          <cell r="AS3133">
            <v>72</v>
          </cell>
          <cell r="AT3133"/>
          <cell r="AU3133" t="str">
            <v/>
          </cell>
          <cell r="AV3133"/>
        </row>
        <row r="3134">
          <cell r="Z3134">
            <v>82700012</v>
          </cell>
          <cell r="AA3134" t="str">
            <v>Lift Sub 6-5/8" REG Pin
4-1/2" OD body for Elevator DP 18°</v>
          </cell>
          <cell r="AB3134">
            <v>122</v>
          </cell>
          <cell r="AC3134" t="str">
            <v>4-1/2"</v>
          </cell>
          <cell r="AD3134">
            <v>970</v>
          </cell>
          <cell r="AE3134" t="str">
            <v>18°</v>
          </cell>
          <cell r="AF3134" t="str">
            <v>6-5/8" REG Pin</v>
          </cell>
          <cell r="AG3134"/>
          <cell r="AH3134" t="str">
            <v>en stock</v>
          </cell>
          <cell r="AI3134" t="str">
            <v/>
          </cell>
          <cell r="AJ3134">
            <v>0</v>
          </cell>
          <cell r="AK3134">
            <v>1</v>
          </cell>
          <cell r="AL3134"/>
          <cell r="AM3134"/>
          <cell r="AN3134" t="str">
            <v/>
          </cell>
          <cell r="AO3134"/>
          <cell r="AP3134"/>
          <cell r="AQ3134"/>
          <cell r="AR3134"/>
          <cell r="AS3134">
            <v>73</v>
          </cell>
          <cell r="AT3134"/>
          <cell r="AU3134" t="str">
            <v/>
          </cell>
          <cell r="AV3134"/>
        </row>
        <row r="3135">
          <cell r="Z3135">
            <v>82800013</v>
          </cell>
          <cell r="AA3135" t="str">
            <v>Lift Sub 6-5/8" REG Pin
0 OD body for Elevator DP 45°</v>
          </cell>
          <cell r="AB3135">
            <v>124</v>
          </cell>
          <cell r="AC3135">
            <v>0</v>
          </cell>
          <cell r="AD3135">
            <v>1095</v>
          </cell>
          <cell r="AE3135" t="str">
            <v>45°</v>
          </cell>
          <cell r="AF3135" t="str">
            <v>6-5/8" REG Pin</v>
          </cell>
          <cell r="AG3135"/>
          <cell r="AH3135" t="str">
            <v>en stock</v>
          </cell>
          <cell r="AI3135">
            <v>1</v>
          </cell>
          <cell r="AJ3135">
            <v>0</v>
          </cell>
          <cell r="AK3135">
            <v>0</v>
          </cell>
          <cell r="AL3135"/>
          <cell r="AM3135"/>
          <cell r="AN3135" t="str">
            <v/>
          </cell>
          <cell r="AO3135"/>
          <cell r="AP3135"/>
          <cell r="AQ3135"/>
          <cell r="AR3135"/>
          <cell r="AS3135">
            <v>74</v>
          </cell>
          <cell r="AT3135"/>
          <cell r="AU3135" t="str">
            <v/>
          </cell>
          <cell r="AV3135"/>
        </row>
        <row r="3136">
          <cell r="Z3136">
            <v>82800015</v>
          </cell>
          <cell r="AA3136" t="str">
            <v>Lift Sub 6-5/8" REG Pin
4-1/2" OD body for Elevator DP 45°</v>
          </cell>
          <cell r="AB3136">
            <v>124</v>
          </cell>
          <cell r="AC3136" t="str">
            <v>4-1/2"</v>
          </cell>
          <cell r="AD3136">
            <v>1105</v>
          </cell>
          <cell r="AE3136" t="str">
            <v>45°</v>
          </cell>
          <cell r="AF3136" t="str">
            <v>6-5/8" REG Pin</v>
          </cell>
          <cell r="AG3136"/>
          <cell r="AH3136" t="str">
            <v>en stock</v>
          </cell>
          <cell r="AI3136" t="str">
            <v/>
          </cell>
          <cell r="AJ3136">
            <v>0</v>
          </cell>
          <cell r="AK3136">
            <v>1</v>
          </cell>
          <cell r="AL3136"/>
          <cell r="AM3136"/>
          <cell r="AN3136" t="str">
            <v/>
          </cell>
          <cell r="AO3136"/>
          <cell r="AP3136"/>
          <cell r="AQ3136"/>
          <cell r="AR3136"/>
          <cell r="AS3136">
            <v>75</v>
          </cell>
          <cell r="AT3136"/>
          <cell r="AU3136" t="str">
            <v/>
          </cell>
          <cell r="AV3136"/>
        </row>
        <row r="3137">
          <cell r="Z3137">
            <v>82800018</v>
          </cell>
          <cell r="AA3137" t="str">
            <v>Lift Sub 6-5/8" REG Pin
4-1/2" OD body for Elevator DP 18°</v>
          </cell>
          <cell r="AB3137">
            <v>90</v>
          </cell>
          <cell r="AC3137" t="str">
            <v>4-1/2"</v>
          </cell>
          <cell r="AD3137">
            <v>1050</v>
          </cell>
          <cell r="AE3137" t="str">
            <v>18°</v>
          </cell>
          <cell r="AF3137" t="str">
            <v>6-5/8" REG Pin</v>
          </cell>
          <cell r="AG3137"/>
          <cell r="AH3137" t="str">
            <v>en stock</v>
          </cell>
          <cell r="AI3137">
            <v>1</v>
          </cell>
          <cell r="AJ3137">
            <v>0</v>
          </cell>
          <cell r="AK3137">
            <v>0</v>
          </cell>
          <cell r="AL3137"/>
          <cell r="AM3137"/>
          <cell r="AN3137" t="str">
            <v/>
          </cell>
          <cell r="AO3137"/>
          <cell r="AP3137"/>
          <cell r="AQ3137"/>
          <cell r="AR3137"/>
          <cell r="AS3137">
            <v>76</v>
          </cell>
          <cell r="AT3137"/>
          <cell r="AU3137" t="str">
            <v/>
          </cell>
          <cell r="AV3137"/>
        </row>
        <row r="3138">
          <cell r="Z3138">
            <v>82800019</v>
          </cell>
          <cell r="AA3138" t="str">
            <v>Lift Sub 6-5/8" REG Pin
0 OD body for Elevator DP 18°</v>
          </cell>
          <cell r="AB3138">
            <v>92</v>
          </cell>
          <cell r="AC3138">
            <v>0</v>
          </cell>
          <cell r="AD3138">
            <v>780</v>
          </cell>
          <cell r="AE3138" t="str">
            <v>18°</v>
          </cell>
          <cell r="AF3138" t="str">
            <v>6-5/8" REG Pin</v>
          </cell>
          <cell r="AG3138"/>
          <cell r="AH3138" t="str">
            <v>en stock</v>
          </cell>
          <cell r="AI3138">
            <v>1</v>
          </cell>
          <cell r="AJ3138">
            <v>0</v>
          </cell>
          <cell r="AK3138">
            <v>0</v>
          </cell>
          <cell r="AL3138"/>
          <cell r="AM3138"/>
          <cell r="AN3138" t="str">
            <v/>
          </cell>
          <cell r="AO3138"/>
          <cell r="AP3138"/>
          <cell r="AQ3138"/>
          <cell r="AR3138"/>
          <cell r="AS3138">
            <v>77</v>
          </cell>
          <cell r="AT3138"/>
          <cell r="AU3138" t="str">
            <v/>
          </cell>
          <cell r="AV3138"/>
        </row>
        <row r="3139">
          <cell r="Z3139">
            <v>82900003</v>
          </cell>
          <cell r="AA3139" t="str">
            <v>Lift Sub 7-5/8" REG Pin
for Elevator DP 18°</v>
          </cell>
          <cell r="AB3139">
            <v>104</v>
          </cell>
          <cell r="AC3139" t="str">
            <v>for Elevator DP</v>
          </cell>
          <cell r="AD3139">
            <v>780</v>
          </cell>
          <cell r="AE3139" t="str">
            <v>18°</v>
          </cell>
          <cell r="AF3139" t="str">
            <v>7-5/8" REG Pin</v>
          </cell>
          <cell r="AG3139"/>
          <cell r="AH3139" t="str">
            <v>en stock</v>
          </cell>
          <cell r="AI3139">
            <v>1</v>
          </cell>
          <cell r="AJ3139">
            <v>0</v>
          </cell>
          <cell r="AK3139">
            <v>0</v>
          </cell>
          <cell r="AL3139"/>
          <cell r="AM3139"/>
          <cell r="AN3139" t="str">
            <v/>
          </cell>
          <cell r="AO3139"/>
          <cell r="AP3139"/>
          <cell r="AQ3139"/>
          <cell r="AR3139"/>
          <cell r="AS3139">
            <v>78</v>
          </cell>
          <cell r="AT3139"/>
          <cell r="AU3139" t="str">
            <v/>
          </cell>
          <cell r="AV3139"/>
        </row>
        <row r="3140">
          <cell r="Z3140">
            <v>82110001</v>
          </cell>
          <cell r="AA3140" t="str">
            <v>Lift Sub 7-5/8" REG Pin
for Elevator DP 18°</v>
          </cell>
          <cell r="AB3140">
            <v>126</v>
          </cell>
          <cell r="AC3140" t="str">
            <v>for Elevator DP</v>
          </cell>
          <cell r="AD3140">
            <v>770</v>
          </cell>
          <cell r="AE3140" t="str">
            <v>18°</v>
          </cell>
          <cell r="AF3140" t="str">
            <v>7-5/8" REG Pin</v>
          </cell>
          <cell r="AG3140"/>
          <cell r="AH3140" t="str">
            <v>en stock</v>
          </cell>
          <cell r="AI3140">
            <v>1</v>
          </cell>
          <cell r="AJ3140">
            <v>0</v>
          </cell>
          <cell r="AK3140">
            <v>0</v>
          </cell>
          <cell r="AL3140"/>
          <cell r="AM3140"/>
          <cell r="AN3140" t="str">
            <v/>
          </cell>
          <cell r="AO3140"/>
          <cell r="AP3140"/>
          <cell r="AQ3140"/>
          <cell r="AR3140"/>
          <cell r="AS3140">
            <v>79</v>
          </cell>
          <cell r="AT3140"/>
          <cell r="AU3140" t="str">
            <v/>
          </cell>
          <cell r="AV3140"/>
        </row>
        <row r="3141">
          <cell r="Z3141" t="str">
            <v>ref 807-5,000HWDP</v>
          </cell>
          <cell r="AA3141" t="str">
            <v>HWDP 5" Range 2
4-1/2" IF Pin x Box</v>
          </cell>
          <cell r="AB3141" t="str">
            <v>HWDP</v>
          </cell>
          <cell r="AC3141">
            <v>5</v>
          </cell>
          <cell r="AD3141" t="str">
            <v>R2</v>
          </cell>
          <cell r="AE3141" t="str">
            <v>4-1/2" IF Box BB</v>
          </cell>
          <cell r="AF3141" t="str">
            <v>4-1/2" IF Pin SRG</v>
          </cell>
          <cell r="AG3141"/>
          <cell r="AH3141" t="str">
            <v>en stock</v>
          </cell>
          <cell r="AI3141">
            <v>6</v>
          </cell>
          <cell r="AJ3141">
            <v>0</v>
          </cell>
          <cell r="AK3141">
            <v>0</v>
          </cell>
          <cell r="AL3141"/>
          <cell r="AM3141"/>
          <cell r="AN3141" t="str">
            <v/>
          </cell>
          <cell r="AO3141">
            <v>0</v>
          </cell>
          <cell r="AP3141"/>
          <cell r="AQ3141"/>
          <cell r="AR3141"/>
          <cell r="AS3141">
            <v>26</v>
          </cell>
          <cell r="AT3141"/>
          <cell r="AU3141" t="str">
            <v/>
          </cell>
          <cell r="AV3141"/>
        </row>
        <row r="3142">
          <cell r="Z3142" t="str">
            <v>ref 807-2,875NVAMpup</v>
          </cell>
          <cell r="AA3142" t="str">
            <v>Pup Joint 2-7/8"
2-7/8" New Vam Pin x Box</v>
          </cell>
          <cell r="AB3142">
            <v>0</v>
          </cell>
          <cell r="AC3142">
            <v>2.875</v>
          </cell>
          <cell r="AD3142" t="str">
            <v>pup joint</v>
          </cell>
          <cell r="AE3142" t="str">
            <v>2-7/8" New Vam Box</v>
          </cell>
          <cell r="AF3142" t="str">
            <v>2-7/8" New Vam Pin</v>
          </cell>
          <cell r="AG3142"/>
          <cell r="AH3142" t="str">
            <v>en stock</v>
          </cell>
          <cell r="AI3142">
            <v>1</v>
          </cell>
          <cell r="AJ3142">
            <v>0</v>
          </cell>
          <cell r="AK3142">
            <v>0</v>
          </cell>
          <cell r="AL3142"/>
          <cell r="AM3142"/>
          <cell r="AN3142" t="str">
            <v/>
          </cell>
          <cell r="AO3142">
            <v>0</v>
          </cell>
          <cell r="AP3142"/>
          <cell r="AQ3142"/>
          <cell r="AR3142"/>
          <cell r="AS3142">
            <v>34</v>
          </cell>
          <cell r="AT3142"/>
          <cell r="AU3142" t="str">
            <v/>
          </cell>
          <cell r="AV3142"/>
        </row>
        <row r="3143">
          <cell r="Z3143" t="str">
            <v>ref 807-5,000NC50pup</v>
          </cell>
          <cell r="AA3143" t="str">
            <v>Pup Joint 5" Range 1
4-1/2" IF Pin x Box</v>
          </cell>
          <cell r="AB3143">
            <v>0</v>
          </cell>
          <cell r="AC3143">
            <v>5</v>
          </cell>
          <cell r="AD3143">
            <v>4440</v>
          </cell>
          <cell r="AE3143" t="str">
            <v>4-1/2" IF Box</v>
          </cell>
          <cell r="AF3143" t="str">
            <v>4-1/2" IF Pin</v>
          </cell>
          <cell r="AG3143"/>
          <cell r="AH3143" t="str">
            <v>en stock</v>
          </cell>
          <cell r="AI3143">
            <v>12</v>
          </cell>
          <cell r="AJ3143">
            <v>0</v>
          </cell>
          <cell r="AK3143">
            <v>1</v>
          </cell>
          <cell r="AL3143"/>
          <cell r="AM3143"/>
          <cell r="AN3143" t="str">
            <v/>
          </cell>
          <cell r="AO3143">
            <v>0</v>
          </cell>
          <cell r="AP3143"/>
          <cell r="AQ3143"/>
          <cell r="AR3143"/>
          <cell r="AS3143">
            <v>35</v>
          </cell>
          <cell r="AT3143"/>
          <cell r="AU3143" t="str">
            <v/>
          </cell>
          <cell r="AV3143"/>
        </row>
        <row r="3144">
          <cell r="Z3144">
            <v>21365000147</v>
          </cell>
          <cell r="AA3144" t="str">
            <v>Short DC 6-1/2"LEFT HAND Lg 0mm
4-1/2" IF LH Pin x Box</v>
          </cell>
          <cell r="AB3144">
            <v>0</v>
          </cell>
          <cell r="AC3144">
            <v>6.5</v>
          </cell>
          <cell r="AD3144">
            <v>0</v>
          </cell>
          <cell r="AE3144" t="str">
            <v>4-1/2" IF Box LH</v>
          </cell>
          <cell r="AF3144" t="str">
            <v>4-1/2" IF Pin LH</v>
          </cell>
          <cell r="AG3144"/>
          <cell r="AH3144" t="str">
            <v>en stock</v>
          </cell>
          <cell r="AI3144">
            <v>1</v>
          </cell>
          <cell r="AJ3144">
            <v>0</v>
          </cell>
          <cell r="AK3144">
            <v>0</v>
          </cell>
          <cell r="AL3144"/>
          <cell r="AM3144"/>
          <cell r="AN3144" t="str">
            <v/>
          </cell>
          <cell r="AO3144" t="str">
            <v>x</v>
          </cell>
          <cell r="AP3144"/>
          <cell r="AQ3144"/>
          <cell r="AR3144"/>
          <cell r="AS3144">
            <v>24</v>
          </cell>
          <cell r="AT3144"/>
          <cell r="AU3144" t="str">
            <v/>
          </cell>
          <cell r="AV3144"/>
        </row>
        <row r="3145">
          <cell r="Z3145" t="str">
            <v>MTG86250002</v>
          </cell>
          <cell r="AA3145" t="str">
            <v>XO
4-1/2" IF Pin x 4" IF Box</v>
          </cell>
          <cell r="AB3145">
            <v>54.893943135281233</v>
          </cell>
          <cell r="AC3145">
            <v>6.3125</v>
          </cell>
          <cell r="AD3145">
            <v>440</v>
          </cell>
          <cell r="AE3145" t="str">
            <v>4-1/2" IF Pin</v>
          </cell>
          <cell r="AF3145" t="str">
            <v>4" IF Box</v>
          </cell>
          <cell r="AG3145"/>
          <cell r="AH3145" t="str">
            <v>en stock</v>
          </cell>
          <cell r="AI3145">
            <v>1</v>
          </cell>
          <cell r="AJ3145">
            <v>0</v>
          </cell>
          <cell r="AK3145">
            <v>0</v>
          </cell>
          <cell r="AL3145"/>
          <cell r="AM3145"/>
          <cell r="AN3145" t="str">
            <v/>
          </cell>
          <cell r="AO3145"/>
          <cell r="AP3145"/>
          <cell r="AQ3145"/>
          <cell r="AR3145"/>
          <cell r="AS3145">
            <v>167</v>
          </cell>
          <cell r="AT3145"/>
          <cell r="AU3145" t="str">
            <v/>
          </cell>
          <cell r="AV3145"/>
        </row>
        <row r="3146">
          <cell r="Z3146" t="str">
            <v>MTG86250003</v>
          </cell>
          <cell r="AA3146" t="str">
            <v>XO
4-1/2" IF Pin x 4" IF Box</v>
          </cell>
          <cell r="AB3146">
            <v>54.893943135281233</v>
          </cell>
          <cell r="AC3146">
            <v>6.3125</v>
          </cell>
          <cell r="AD3146">
            <v>440</v>
          </cell>
          <cell r="AE3146" t="str">
            <v>4-1/2" IF Pin</v>
          </cell>
          <cell r="AF3146" t="str">
            <v>4" IF Box</v>
          </cell>
          <cell r="AG3146"/>
          <cell r="AH3146" t="str">
            <v>en stock</v>
          </cell>
          <cell r="AI3146" t="str">
            <v/>
          </cell>
          <cell r="AJ3146">
            <v>0</v>
          </cell>
          <cell r="AK3146">
            <v>1</v>
          </cell>
          <cell r="AL3146"/>
          <cell r="AM3146"/>
          <cell r="AN3146" t="str">
            <v/>
          </cell>
          <cell r="AO3146"/>
          <cell r="AP3146"/>
          <cell r="AQ3146"/>
          <cell r="AR3146"/>
          <cell r="AS3146">
            <v>168</v>
          </cell>
          <cell r="AT3146"/>
          <cell r="AU3146" t="str">
            <v/>
          </cell>
          <cell r="AV3146"/>
        </row>
        <row r="3147">
          <cell r="Z3147" t="str">
            <v>MTG86250004</v>
          </cell>
          <cell r="AA3147" t="str">
            <v>XO
4" IF Pin x 4-1/2" IF Box BF</v>
          </cell>
          <cell r="AB3147">
            <v>54.893943135281233</v>
          </cell>
          <cell r="AC3147">
            <v>6.3125</v>
          </cell>
          <cell r="AD3147">
            <v>440</v>
          </cell>
          <cell r="AE3147" t="str">
            <v>4" IF Pin</v>
          </cell>
          <cell r="AF3147" t="str">
            <v>4-1/2" IF Box BF</v>
          </cell>
          <cell r="AG3147"/>
          <cell r="AH3147" t="str">
            <v>en stock</v>
          </cell>
          <cell r="AI3147">
            <v>1</v>
          </cell>
          <cell r="AJ3147">
            <v>0</v>
          </cell>
          <cell r="AK3147">
            <v>0</v>
          </cell>
          <cell r="AL3147"/>
          <cell r="AM3147"/>
          <cell r="AN3147" t="str">
            <v/>
          </cell>
          <cell r="AO3147"/>
          <cell r="AP3147"/>
          <cell r="AQ3147"/>
          <cell r="AR3147"/>
          <cell r="AS3147">
            <v>141</v>
          </cell>
          <cell r="AT3147"/>
          <cell r="AU3147" t="str">
            <v/>
          </cell>
          <cell r="AV3147"/>
        </row>
        <row r="3148">
          <cell r="Z3148" t="str">
            <v>MTG86250005</v>
          </cell>
          <cell r="AA3148" t="str">
            <v>XO
4" IF Pin x 4-1/2" IF Box</v>
          </cell>
          <cell r="AB3148">
            <v>54.893943135281233</v>
          </cell>
          <cell r="AC3148">
            <v>6.3125</v>
          </cell>
          <cell r="AD3148">
            <v>440</v>
          </cell>
          <cell r="AE3148" t="str">
            <v>4" IF Pin</v>
          </cell>
          <cell r="AF3148" t="str">
            <v>4-1/2" IF Box</v>
          </cell>
          <cell r="AG3148"/>
          <cell r="AH3148" t="str">
            <v>en stock</v>
          </cell>
          <cell r="AI3148">
            <v>1</v>
          </cell>
          <cell r="AJ3148">
            <v>0</v>
          </cell>
          <cell r="AK3148">
            <v>0</v>
          </cell>
          <cell r="AL3148"/>
          <cell r="AM3148"/>
          <cell r="AN3148" t="str">
            <v/>
          </cell>
          <cell r="AO3148"/>
          <cell r="AP3148"/>
          <cell r="AQ3148"/>
          <cell r="AR3148"/>
          <cell r="AS3148">
            <v>142</v>
          </cell>
          <cell r="AT3148"/>
          <cell r="AU3148" t="str">
            <v/>
          </cell>
          <cell r="AV3148"/>
        </row>
        <row r="3149">
          <cell r="Z3149" t="str">
            <v>MTG86250006</v>
          </cell>
          <cell r="AA3149" t="str">
            <v>XO
4" IF Pin x 4-1/2" IF Box</v>
          </cell>
          <cell r="AB3149">
            <v>68.617428919101542</v>
          </cell>
          <cell r="AC3149">
            <v>6.3125</v>
          </cell>
          <cell r="AD3149">
            <v>550</v>
          </cell>
          <cell r="AE3149" t="str">
            <v>4" IF Pin</v>
          </cell>
          <cell r="AF3149" t="str">
            <v>4-1/2" IF Box</v>
          </cell>
          <cell r="AG3149"/>
          <cell r="AH3149" t="str">
            <v>en stock</v>
          </cell>
          <cell r="AI3149" t="str">
            <v/>
          </cell>
          <cell r="AJ3149">
            <v>0</v>
          </cell>
          <cell r="AK3149">
            <v>1</v>
          </cell>
          <cell r="AL3149"/>
          <cell r="AM3149"/>
          <cell r="AN3149" t="str">
            <v/>
          </cell>
          <cell r="AO3149"/>
          <cell r="AP3149"/>
          <cell r="AQ3149"/>
          <cell r="AR3149"/>
          <cell r="AS3149">
            <v>143</v>
          </cell>
          <cell r="AT3149"/>
          <cell r="AU3149" t="str">
            <v/>
          </cell>
          <cell r="AV3149"/>
        </row>
        <row r="3150">
          <cell r="Z3150">
            <v>2134750024</v>
          </cell>
          <cell r="AA3150" t="str">
            <v>XO
1-1/2" GAZ Pin x 3-1/2" IF Box</v>
          </cell>
          <cell r="AB3150">
            <v>0</v>
          </cell>
          <cell r="AC3150">
            <v>4.75</v>
          </cell>
          <cell r="AD3150">
            <v>270</v>
          </cell>
          <cell r="AE3150" t="str">
            <v>1-1/2" GAZ Pin</v>
          </cell>
          <cell r="AF3150" t="str">
            <v>3-1/2" IF Box</v>
          </cell>
          <cell r="AG3150"/>
          <cell r="AH3150" t="str">
            <v>en stock</v>
          </cell>
          <cell r="AI3150">
            <v>1</v>
          </cell>
          <cell r="AJ3150">
            <v>0</v>
          </cell>
          <cell r="AK3150">
            <v>0</v>
          </cell>
          <cell r="AL3150"/>
          <cell r="AM3150"/>
          <cell r="AN3150" t="str">
            <v/>
          </cell>
          <cell r="AO3150" t="str">
            <v>x</v>
          </cell>
          <cell r="AP3150"/>
          <cell r="AQ3150"/>
          <cell r="AR3150"/>
          <cell r="AS3150">
            <v>12</v>
          </cell>
          <cell r="AT3150"/>
          <cell r="AU3150" t="str">
            <v/>
          </cell>
          <cell r="AV3150"/>
        </row>
        <row r="3151">
          <cell r="Z3151">
            <v>21337500089</v>
          </cell>
          <cell r="AA3151" t="str">
            <v>XO
1,900 PH6 Pin x 2-3/8" NU Box</v>
          </cell>
          <cell r="AB3151">
            <v>6.20384575760625</v>
          </cell>
          <cell r="AC3151">
            <v>2.875</v>
          </cell>
          <cell r="AD3151">
            <v>190</v>
          </cell>
          <cell r="AE3151" t="str">
            <v>1,900 PH6 Pin</v>
          </cell>
          <cell r="AF3151" t="str">
            <v>2-3/8" NU Box</v>
          </cell>
          <cell r="AG3151"/>
          <cell r="AH3151" t="str">
            <v>en stock</v>
          </cell>
          <cell r="AI3151">
            <v>1</v>
          </cell>
          <cell r="AJ3151">
            <v>0</v>
          </cell>
          <cell r="AK3151">
            <v>0</v>
          </cell>
          <cell r="AL3151"/>
          <cell r="AM3151"/>
          <cell r="AN3151" t="str">
            <v/>
          </cell>
          <cell r="AO3151" t="str">
            <v>x</v>
          </cell>
          <cell r="AP3151"/>
          <cell r="AQ3151"/>
          <cell r="AR3151"/>
          <cell r="AS3151">
            <v>13</v>
          </cell>
          <cell r="AT3151"/>
          <cell r="AU3151" t="str">
            <v/>
          </cell>
          <cell r="AV3151"/>
        </row>
        <row r="3152">
          <cell r="Z3152">
            <v>21337500070</v>
          </cell>
          <cell r="AA3152" t="str">
            <v>XO
HT 26 Pin x 2-3/8" IF Pin</v>
          </cell>
          <cell r="AB3152">
            <v>13.653815194835152</v>
          </cell>
          <cell r="AC3152">
            <v>3.3125</v>
          </cell>
          <cell r="AD3152">
            <v>315</v>
          </cell>
          <cell r="AE3152" t="str">
            <v>HT 26 Pin</v>
          </cell>
          <cell r="AF3152" t="str">
            <v>2-3/8" IF Pin</v>
          </cell>
          <cell r="AG3152"/>
          <cell r="AH3152" t="str">
            <v>en stock</v>
          </cell>
          <cell r="AI3152" t="str">
            <v/>
          </cell>
          <cell r="AJ3152">
            <v>0</v>
          </cell>
          <cell r="AK3152">
            <v>1</v>
          </cell>
          <cell r="AL3152"/>
          <cell r="AM3152"/>
          <cell r="AN3152" t="str">
            <v/>
          </cell>
          <cell r="AO3152" t="str">
            <v>x</v>
          </cell>
          <cell r="AP3152"/>
          <cell r="AQ3152"/>
          <cell r="AR3152"/>
          <cell r="AS3152">
            <v>18</v>
          </cell>
          <cell r="AT3152"/>
          <cell r="AU3152" t="str">
            <v/>
          </cell>
          <cell r="AV3152"/>
        </row>
        <row r="3153">
          <cell r="Z3153">
            <v>21335000058</v>
          </cell>
          <cell r="AA3153" t="str">
            <v>XO
2-3/8" Sellers Pin x HT 26 Pin</v>
          </cell>
          <cell r="AB3153">
            <v>11.699103819487497</v>
          </cell>
          <cell r="AC3153">
            <v>3.375</v>
          </cell>
          <cell r="AD3153">
            <v>260</v>
          </cell>
          <cell r="AE3153" t="str">
            <v>2-3/8" Sellers Pin</v>
          </cell>
          <cell r="AF3153" t="str">
            <v>HT 26 Pin</v>
          </cell>
          <cell r="AG3153"/>
          <cell r="AH3153" t="str">
            <v>en stock</v>
          </cell>
          <cell r="AI3153">
            <v>1</v>
          </cell>
          <cell r="AJ3153">
            <v>0</v>
          </cell>
          <cell r="AK3153">
            <v>0</v>
          </cell>
          <cell r="AL3153"/>
          <cell r="AM3153"/>
          <cell r="AN3153" t="str">
            <v/>
          </cell>
          <cell r="AO3153"/>
          <cell r="AP3153"/>
          <cell r="AQ3153"/>
          <cell r="AR3153"/>
          <cell r="AS3153">
            <v>66</v>
          </cell>
          <cell r="AT3153"/>
          <cell r="AU3153" t="str">
            <v/>
          </cell>
          <cell r="AV3153"/>
        </row>
        <row r="3154">
          <cell r="Z3154">
            <v>2135625025</v>
          </cell>
          <cell r="AA3154" t="str">
            <v>XO
2-7/8" EU Pin x 4-3/4" Sellers Box</v>
          </cell>
          <cell r="AB3154">
            <v>30.557072832304684</v>
          </cell>
          <cell r="AC3154">
            <v>5.5625</v>
          </cell>
          <cell r="AD3154">
            <v>250</v>
          </cell>
          <cell r="AE3154" t="str">
            <v>2-7/8" EU Pin</v>
          </cell>
          <cell r="AF3154" t="str">
            <v>4-3/4" Sellers Box</v>
          </cell>
          <cell r="AG3154"/>
          <cell r="AH3154" t="str">
            <v>en stock</v>
          </cell>
          <cell r="AI3154">
            <v>1</v>
          </cell>
          <cell r="AJ3154">
            <v>0</v>
          </cell>
          <cell r="AK3154">
            <v>0</v>
          </cell>
          <cell r="AL3154"/>
          <cell r="AM3154"/>
          <cell r="AN3154" t="str">
            <v/>
          </cell>
          <cell r="AO3154" t="str">
            <v>x</v>
          </cell>
          <cell r="AP3154"/>
          <cell r="AQ3154"/>
          <cell r="AR3154"/>
          <cell r="AS3154">
            <v>77</v>
          </cell>
          <cell r="AT3154"/>
          <cell r="AU3154" t="str">
            <v/>
          </cell>
          <cell r="AV3154"/>
        </row>
        <row r="3155">
          <cell r="Z3155">
            <v>14825500011</v>
          </cell>
          <cell r="AA3155" t="str">
            <v>XO
5-1/2" FJWP Pin x 4-1/2" FJWP Box</v>
          </cell>
          <cell r="AB3155">
            <v>18</v>
          </cell>
          <cell r="AC3155">
            <v>5.5</v>
          </cell>
          <cell r="AD3155">
            <v>380</v>
          </cell>
          <cell r="AE3155" t="str">
            <v>5-1/2" FJWP Pin</v>
          </cell>
          <cell r="AF3155" t="str">
            <v>4-1/2" FJWP Box</v>
          </cell>
          <cell r="AG3155"/>
          <cell r="AH3155" t="str">
            <v>en stock</v>
          </cell>
          <cell r="AI3155">
            <v>1</v>
          </cell>
          <cell r="AJ3155">
            <v>0</v>
          </cell>
          <cell r="AK3155">
            <v>0</v>
          </cell>
          <cell r="AL3155"/>
          <cell r="AM3155"/>
          <cell r="AN3155" t="str">
            <v/>
          </cell>
          <cell r="AO3155"/>
          <cell r="AP3155"/>
          <cell r="AQ3155"/>
          <cell r="AR3155"/>
          <cell r="AS3155">
            <v>191</v>
          </cell>
          <cell r="AT3155"/>
          <cell r="AU3155" t="str">
            <v/>
          </cell>
          <cell r="AV3155"/>
        </row>
        <row r="3156">
          <cell r="Z3156">
            <v>24030575050</v>
          </cell>
          <cell r="AA3156" t="str">
            <v>XO
5-1/8" Sellers Pin x 5-1/2" FJWP Box</v>
          </cell>
          <cell r="AB3156">
            <v>21.568718152799995</v>
          </cell>
          <cell r="AC3156">
            <v>5.75</v>
          </cell>
          <cell r="AD3156">
            <v>320</v>
          </cell>
          <cell r="AE3156" t="str">
            <v>5-1/8" Sellers Pin</v>
          </cell>
          <cell r="AF3156" t="str">
            <v>5-1/2" FJWP Box</v>
          </cell>
          <cell r="AG3156"/>
          <cell r="AH3156" t="str">
            <v>en stock</v>
          </cell>
          <cell r="AI3156">
            <v>1</v>
          </cell>
          <cell r="AJ3156">
            <v>0</v>
          </cell>
          <cell r="AK3156">
            <v>0</v>
          </cell>
          <cell r="AL3156"/>
          <cell r="AM3156"/>
          <cell r="AN3156" t="str">
            <v/>
          </cell>
          <cell r="AO3156" t="str">
            <v>x</v>
          </cell>
          <cell r="AP3156"/>
          <cell r="AQ3156"/>
          <cell r="AR3156"/>
          <cell r="AS3156">
            <v>193</v>
          </cell>
          <cell r="AT3156"/>
          <cell r="AU3156" t="str">
            <v/>
          </cell>
          <cell r="AV3156"/>
        </row>
        <row r="3157">
          <cell r="Z3157">
            <v>2134750022</v>
          </cell>
          <cell r="AA3157" t="str">
            <v>Bit Sub
2" GAZ Box x 3-1/2" IF Box</v>
          </cell>
          <cell r="AB3157">
            <v>21.998314874249996</v>
          </cell>
          <cell r="AC3157">
            <v>4.75</v>
          </cell>
          <cell r="AD3157">
            <v>300</v>
          </cell>
          <cell r="AE3157" t="str">
            <v>2" GAZ Box</v>
          </cell>
          <cell r="AF3157" t="str">
            <v>3-1/2" IF Box</v>
          </cell>
          <cell r="AG3157"/>
          <cell r="AH3157" t="str">
            <v>en stock</v>
          </cell>
          <cell r="AI3157">
            <v>1</v>
          </cell>
          <cell r="AJ3157">
            <v>0</v>
          </cell>
          <cell r="AK3157">
            <v>0</v>
          </cell>
          <cell r="AL3157"/>
          <cell r="AM3157"/>
          <cell r="AN3157" t="str">
            <v/>
          </cell>
          <cell r="AO3157" t="str">
            <v>x</v>
          </cell>
          <cell r="AP3157"/>
          <cell r="AQ3157"/>
          <cell r="AR3157"/>
          <cell r="AS3157">
            <v>8</v>
          </cell>
          <cell r="AT3157"/>
          <cell r="AU3157" t="str">
            <v/>
          </cell>
          <cell r="AV3157"/>
        </row>
        <row r="3158">
          <cell r="Z3158">
            <v>2005</v>
          </cell>
          <cell r="AA3158" t="str">
            <v>Near Bit Stab
? x ?</v>
          </cell>
          <cell r="AB3158">
            <v>0</v>
          </cell>
          <cell r="AC3158">
            <v>24</v>
          </cell>
          <cell r="AD3158" t="e">
            <v>#VALUE!</v>
          </cell>
          <cell r="AE3158" t="str">
            <v>?</v>
          </cell>
          <cell r="AF3158" t="str">
            <v>?</v>
          </cell>
          <cell r="AG3158">
            <v>0</v>
          </cell>
          <cell r="AH3158" t="str">
            <v>en stock</v>
          </cell>
          <cell r="AI3158">
            <v>1</v>
          </cell>
          <cell r="AJ3158">
            <v>0</v>
          </cell>
          <cell r="AK3158">
            <v>0</v>
          </cell>
          <cell r="AL3158"/>
          <cell r="AM3158"/>
          <cell r="AN3158" t="str">
            <v/>
          </cell>
          <cell r="AO3158" t="str">
            <v>x</v>
          </cell>
          <cell r="AP3158"/>
          <cell r="AQ3158"/>
          <cell r="AR3158"/>
          <cell r="AS3158">
            <v>48</v>
          </cell>
          <cell r="AT3158"/>
          <cell r="AU3158" t="str">
            <v/>
          </cell>
          <cell r="AV3158"/>
        </row>
        <row r="3159">
          <cell r="Z3159">
            <v>0</v>
          </cell>
          <cell r="AA3159" t="str">
            <v>PDC</v>
          </cell>
          <cell r="AB3159">
            <v>0</v>
          </cell>
          <cell r="AC3159">
            <v>6</v>
          </cell>
          <cell r="AD3159">
            <v>537</v>
          </cell>
          <cell r="AE3159" t="str">
            <v>3-1/2" REG Pin</v>
          </cell>
          <cell r="AF3159"/>
          <cell r="AG3159"/>
          <cell r="AH3159" t="str">
            <v xml:space="preserve"> - </v>
          </cell>
          <cell r="AI3159"/>
          <cell r="AJ3159"/>
          <cell r="AK3159"/>
          <cell r="AL3159"/>
          <cell r="AM3159" t="str">
            <v>x</v>
          </cell>
          <cell r="AN3159"/>
          <cell r="AO3159"/>
          <cell r="AP3159"/>
          <cell r="AQ3159"/>
          <cell r="AR3159"/>
          <cell r="AS3159"/>
          <cell r="AT3159"/>
          <cell r="AU3159" t="str">
            <v/>
          </cell>
          <cell r="AV3159"/>
        </row>
        <row r="3160">
          <cell r="Z3160">
            <v>0</v>
          </cell>
          <cell r="AA3160" t="str">
            <v>Tricône</v>
          </cell>
          <cell r="AB3160" t="str">
            <v>CH</v>
          </cell>
          <cell r="AC3160">
            <v>7.875</v>
          </cell>
          <cell r="AD3160">
            <v>517</v>
          </cell>
          <cell r="AE3160" t="str">
            <v>4-1/2" REG Pin</v>
          </cell>
          <cell r="AF3160"/>
          <cell r="AG3160"/>
          <cell r="AH3160" t="str">
            <v xml:space="preserve"> - </v>
          </cell>
          <cell r="AI3160"/>
          <cell r="AJ3160"/>
          <cell r="AK3160"/>
          <cell r="AL3160"/>
          <cell r="AM3160" t="str">
            <v>x</v>
          </cell>
          <cell r="AN3160"/>
          <cell r="AO3160"/>
          <cell r="AP3160"/>
          <cell r="AQ3160"/>
          <cell r="AR3160"/>
          <cell r="AS3160"/>
          <cell r="AT3160"/>
          <cell r="AU3160" t="str">
            <v/>
          </cell>
          <cell r="AV3160"/>
        </row>
        <row r="3161">
          <cell r="Z3161">
            <v>1667858</v>
          </cell>
          <cell r="AA3161" t="str">
            <v>Tricône</v>
          </cell>
          <cell r="AB3161" t="str">
            <v>Varel</v>
          </cell>
          <cell r="AC3161">
            <v>9.5</v>
          </cell>
          <cell r="AD3161" t="str">
            <v>HE24MRSV</v>
          </cell>
          <cell r="AE3161" t="str">
            <v>4-1/2" REG Pin</v>
          </cell>
          <cell r="AF3161"/>
          <cell r="AG3161"/>
          <cell r="AH3161" t="str">
            <v xml:space="preserve"> - </v>
          </cell>
          <cell r="AI3161"/>
          <cell r="AJ3161"/>
          <cell r="AK3161"/>
          <cell r="AL3161"/>
          <cell r="AM3161" t="str">
            <v>x</v>
          </cell>
          <cell r="AN3161"/>
          <cell r="AO3161"/>
          <cell r="AP3161"/>
          <cell r="AQ3161"/>
          <cell r="AR3161"/>
          <cell r="AS3161"/>
          <cell r="AT3161"/>
          <cell r="AU3161" t="str">
            <v/>
          </cell>
          <cell r="AV3161"/>
        </row>
        <row r="3162">
          <cell r="Z3162">
            <v>0</v>
          </cell>
          <cell r="AA3162" t="str">
            <v>PDC</v>
          </cell>
          <cell r="AB3162" t="str">
            <v>Reed</v>
          </cell>
          <cell r="AC3162">
            <v>9.5</v>
          </cell>
          <cell r="AD3162" t="str">
            <v>SK716M</v>
          </cell>
          <cell r="AE3162" t="str">
            <v>4-1/2" REG Pin</v>
          </cell>
          <cell r="AF3162"/>
          <cell r="AG3162"/>
          <cell r="AH3162" t="str">
            <v xml:space="preserve"> - </v>
          </cell>
          <cell r="AI3162"/>
          <cell r="AJ3162"/>
          <cell r="AK3162"/>
          <cell r="AL3162"/>
          <cell r="AM3162" t="str">
            <v>x</v>
          </cell>
          <cell r="AN3162"/>
          <cell r="AO3162"/>
          <cell r="AP3162"/>
          <cell r="AQ3162"/>
          <cell r="AR3162"/>
          <cell r="AS3162"/>
          <cell r="AT3162"/>
          <cell r="AU3162" t="str">
            <v/>
          </cell>
          <cell r="AV3162"/>
        </row>
        <row r="3163">
          <cell r="Z3163">
            <v>6019309</v>
          </cell>
          <cell r="AA3163" t="str">
            <v>PDC</v>
          </cell>
          <cell r="AB3163" t="str">
            <v>Varel</v>
          </cell>
          <cell r="AC3163">
            <v>8.5</v>
          </cell>
          <cell r="AD3163" t="str">
            <v>V419DGHX</v>
          </cell>
          <cell r="AE3163" t="str">
            <v>4-1/2'' REG Pin</v>
          </cell>
          <cell r="AF3163"/>
          <cell r="AG3163"/>
          <cell r="AH3163" t="str">
            <v xml:space="preserve"> - </v>
          </cell>
          <cell r="AI3163"/>
          <cell r="AJ3163"/>
          <cell r="AK3163"/>
          <cell r="AL3163"/>
          <cell r="AM3163" t="str">
            <v>x</v>
          </cell>
          <cell r="AN3163"/>
          <cell r="AO3163"/>
          <cell r="AP3163"/>
          <cell r="AQ3163"/>
          <cell r="AR3163"/>
          <cell r="AS3163"/>
          <cell r="AT3163"/>
          <cell r="AU3163" t="str">
            <v/>
          </cell>
          <cell r="AV3163"/>
        </row>
        <row r="3164">
          <cell r="Z3164">
            <v>24275500023</v>
          </cell>
          <cell r="AA3164" t="str">
            <v>WO Shoe
0</v>
          </cell>
          <cell r="AB3164">
            <v>50</v>
          </cell>
          <cell r="AC3164">
            <v>6.25</v>
          </cell>
          <cell r="AD3164">
            <v>1235</v>
          </cell>
          <cell r="AE3164">
            <v>0</v>
          </cell>
          <cell r="AF3164"/>
          <cell r="AG3164" t="str">
            <v>CC</v>
          </cell>
          <cell r="AH3164" t="str">
            <v>en stock</v>
          </cell>
          <cell r="AI3164">
            <v>1</v>
          </cell>
          <cell r="AJ3164">
            <v>0</v>
          </cell>
          <cell r="AK3164">
            <v>0</v>
          </cell>
          <cell r="AL3164"/>
          <cell r="AM3164"/>
          <cell r="AN3164" t="str">
            <v/>
          </cell>
          <cell r="AO3164"/>
          <cell r="AP3164"/>
          <cell r="AQ3164"/>
          <cell r="AR3164"/>
          <cell r="AS3164">
            <v>137</v>
          </cell>
          <cell r="AT3164"/>
          <cell r="AU3164" t="str">
            <v/>
          </cell>
          <cell r="AV3164"/>
        </row>
        <row r="3165">
          <cell r="Z3165"/>
          <cell r="AA3165"/>
          <cell r="AB3165"/>
          <cell r="AC3165"/>
          <cell r="AD3165">
            <v>1100</v>
          </cell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 t="str">
            <v/>
          </cell>
          <cell r="AV3165"/>
        </row>
        <row r="3166">
          <cell r="Z3166"/>
          <cell r="AA3166"/>
          <cell r="AB3166"/>
          <cell r="AC3166"/>
          <cell r="AD3166">
            <v>1100</v>
          </cell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 t="str">
            <v/>
          </cell>
          <cell r="AV3166"/>
        </row>
        <row r="3167">
          <cell r="Z3167"/>
          <cell r="AA3167"/>
          <cell r="AB3167"/>
          <cell r="AC3167"/>
          <cell r="AD3167">
            <v>1100</v>
          </cell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 t="str">
            <v/>
          </cell>
          <cell r="AV3167"/>
        </row>
        <row r="3168">
          <cell r="Z3168"/>
          <cell r="AA3168"/>
          <cell r="AB3168"/>
          <cell r="AC3168"/>
          <cell r="AD3168">
            <v>1100</v>
          </cell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 t="str">
            <v/>
          </cell>
          <cell r="AV3168"/>
        </row>
        <row r="3169">
          <cell r="Z3169"/>
          <cell r="AA3169"/>
          <cell r="AB3169"/>
          <cell r="AC3169"/>
          <cell r="AD3169">
            <v>1100</v>
          </cell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 t="str">
            <v/>
          </cell>
          <cell r="AV3169"/>
        </row>
        <row r="3170">
          <cell r="Z3170"/>
          <cell r="AA3170"/>
          <cell r="AB3170"/>
          <cell r="AC3170"/>
          <cell r="AD3170">
            <v>1100</v>
          </cell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 t="str">
            <v/>
          </cell>
          <cell r="AV3170"/>
        </row>
        <row r="3171">
          <cell r="Z3171"/>
          <cell r="AA3171"/>
          <cell r="AB3171"/>
          <cell r="AC3171"/>
          <cell r="AD3171">
            <v>1100</v>
          </cell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 t="str">
            <v/>
          </cell>
          <cell r="AV3171"/>
        </row>
        <row r="3172">
          <cell r="Z3172"/>
          <cell r="AA3172"/>
          <cell r="AB3172"/>
          <cell r="AC3172"/>
          <cell r="AD3172">
            <v>1100</v>
          </cell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 t="str">
            <v/>
          </cell>
          <cell r="AV3172"/>
        </row>
        <row r="3173">
          <cell r="Z3173"/>
          <cell r="AA3173"/>
          <cell r="AB3173"/>
          <cell r="AC3173"/>
          <cell r="AD3173">
            <v>1100</v>
          </cell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 t="str">
            <v/>
          </cell>
          <cell r="AV3173"/>
        </row>
        <row r="3174">
          <cell r="Z3174"/>
          <cell r="AA3174"/>
          <cell r="AB3174"/>
          <cell r="AC3174"/>
          <cell r="AD3174">
            <v>1100</v>
          </cell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 t="str">
            <v/>
          </cell>
          <cell r="AV3174"/>
        </row>
        <row r="3175">
          <cell r="Z3175"/>
          <cell r="AA3175"/>
          <cell r="AB3175"/>
          <cell r="AC3175"/>
          <cell r="AD3175">
            <v>1100</v>
          </cell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 t="str">
            <v/>
          </cell>
          <cell r="AV3175"/>
        </row>
        <row r="3176">
          <cell r="Z3176"/>
          <cell r="AA3176"/>
          <cell r="AB3176"/>
          <cell r="AC3176"/>
          <cell r="AD3176">
            <v>1100</v>
          </cell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 t="str">
            <v/>
          </cell>
          <cell r="AV3176"/>
        </row>
        <row r="3177">
          <cell r="Z3177"/>
          <cell r="AA3177"/>
          <cell r="AB3177"/>
          <cell r="AC3177"/>
          <cell r="AD3177">
            <v>1100</v>
          </cell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 t="str">
            <v/>
          </cell>
          <cell r="AV3177"/>
        </row>
        <row r="3178">
          <cell r="Z3178"/>
          <cell r="AA3178"/>
          <cell r="AB3178"/>
          <cell r="AC3178"/>
          <cell r="AD3178">
            <v>1100</v>
          </cell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 t="str">
            <v/>
          </cell>
          <cell r="AV3178"/>
        </row>
        <row r="3179">
          <cell r="Z3179"/>
          <cell r="AA3179"/>
          <cell r="AB3179"/>
          <cell r="AC3179"/>
          <cell r="AD3179">
            <v>1100</v>
          </cell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 t="str">
            <v/>
          </cell>
          <cell r="AV3179"/>
        </row>
        <row r="3180">
          <cell r="Z3180"/>
          <cell r="AA3180"/>
          <cell r="AB3180"/>
          <cell r="AC3180"/>
          <cell r="AD3180">
            <v>1100</v>
          </cell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 t="str">
            <v/>
          </cell>
          <cell r="AV3180"/>
        </row>
        <row r="3181">
          <cell r="Z3181"/>
          <cell r="AA3181"/>
          <cell r="AB3181"/>
          <cell r="AC3181"/>
          <cell r="AD3181">
            <v>1100</v>
          </cell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 t="str">
            <v/>
          </cell>
          <cell r="AV3181"/>
        </row>
        <row r="3182">
          <cell r="Z3182"/>
          <cell r="AA3182"/>
          <cell r="AB3182"/>
          <cell r="AC3182"/>
          <cell r="AD3182">
            <v>1100</v>
          </cell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 t="str">
            <v/>
          </cell>
          <cell r="AV3182"/>
        </row>
        <row r="3183">
          <cell r="Z3183"/>
          <cell r="AA3183"/>
          <cell r="AB3183"/>
          <cell r="AC3183"/>
          <cell r="AD3183">
            <v>1100</v>
          </cell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 t="str">
            <v/>
          </cell>
          <cell r="AV3183"/>
        </row>
        <row r="3184">
          <cell r="Z3184"/>
          <cell r="AA3184"/>
          <cell r="AB3184"/>
          <cell r="AC3184"/>
          <cell r="AD3184">
            <v>1100</v>
          </cell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 t="str">
            <v/>
          </cell>
          <cell r="AV3184"/>
        </row>
        <row r="3185">
          <cell r="Z3185"/>
          <cell r="AA3185"/>
          <cell r="AB3185"/>
          <cell r="AC3185"/>
          <cell r="AD3185">
            <v>1100</v>
          </cell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 t="str">
            <v/>
          </cell>
          <cell r="AV3185"/>
        </row>
        <row r="3186">
          <cell r="Z3186"/>
          <cell r="AA3186"/>
          <cell r="AB3186"/>
          <cell r="AC3186"/>
          <cell r="AD3186">
            <v>1100</v>
          </cell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 t="str">
            <v/>
          </cell>
          <cell r="AV3186"/>
        </row>
        <row r="3187">
          <cell r="Z3187"/>
          <cell r="AA3187"/>
          <cell r="AB3187"/>
          <cell r="AC3187"/>
          <cell r="AD3187">
            <v>1100</v>
          </cell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 t="str">
            <v/>
          </cell>
          <cell r="AV3187"/>
        </row>
        <row r="3188">
          <cell r="Z3188"/>
          <cell r="AA3188"/>
          <cell r="AB3188"/>
          <cell r="AC3188"/>
          <cell r="AD3188">
            <v>1100</v>
          </cell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 t="str">
            <v/>
          </cell>
          <cell r="AV3188"/>
        </row>
        <row r="3189">
          <cell r="Z3189"/>
          <cell r="AA3189"/>
          <cell r="AB3189"/>
          <cell r="AC3189"/>
          <cell r="AD3189">
            <v>1100</v>
          </cell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 t="str">
            <v/>
          </cell>
          <cell r="AV3189"/>
        </row>
        <row r="3190">
          <cell r="Z3190"/>
          <cell r="AA3190"/>
          <cell r="AB3190"/>
          <cell r="AC3190"/>
          <cell r="AD3190">
            <v>1100</v>
          </cell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 t="str">
            <v/>
          </cell>
          <cell r="AV3190"/>
        </row>
        <row r="3191">
          <cell r="Z3191"/>
          <cell r="AA3191"/>
          <cell r="AB3191"/>
          <cell r="AC3191"/>
          <cell r="AD3191">
            <v>1100</v>
          </cell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 t="str">
            <v/>
          </cell>
          <cell r="AV3191"/>
        </row>
        <row r="3192">
          <cell r="Z3192"/>
          <cell r="AA3192"/>
          <cell r="AB3192"/>
          <cell r="AC3192"/>
          <cell r="AD3192">
            <v>1100</v>
          </cell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 t="str">
            <v/>
          </cell>
          <cell r="AV3192"/>
        </row>
        <row r="3193">
          <cell r="Z3193"/>
          <cell r="AA3193"/>
          <cell r="AB3193"/>
          <cell r="AC3193"/>
          <cell r="AD3193">
            <v>1100</v>
          </cell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 t="str">
            <v/>
          </cell>
          <cell r="AV3193"/>
        </row>
        <row r="3194">
          <cell r="Z3194"/>
          <cell r="AA3194"/>
          <cell r="AB3194"/>
          <cell r="AC3194"/>
          <cell r="AD3194">
            <v>1100</v>
          </cell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 t="str">
            <v/>
          </cell>
          <cell r="AV3194"/>
        </row>
        <row r="3195">
          <cell r="Z3195"/>
          <cell r="AA3195"/>
          <cell r="AB3195"/>
          <cell r="AC3195"/>
          <cell r="AD3195">
            <v>1100</v>
          </cell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 t="str">
            <v/>
          </cell>
          <cell r="AV3195"/>
        </row>
        <row r="3196">
          <cell r="Z3196"/>
          <cell r="AA3196"/>
          <cell r="AB3196"/>
          <cell r="AC3196"/>
          <cell r="AD3196">
            <v>1100</v>
          </cell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 t="str">
            <v/>
          </cell>
          <cell r="AV3196"/>
        </row>
        <row r="3197">
          <cell r="Z3197"/>
          <cell r="AA3197"/>
          <cell r="AB3197"/>
          <cell r="AC3197"/>
          <cell r="AD3197">
            <v>1100</v>
          </cell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 t="str">
            <v/>
          </cell>
          <cell r="AV3197"/>
        </row>
        <row r="3198">
          <cell r="Z3198"/>
          <cell r="AA3198"/>
          <cell r="AB3198"/>
          <cell r="AC3198"/>
          <cell r="AD3198">
            <v>1100</v>
          </cell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 t="str">
            <v/>
          </cell>
          <cell r="AV3198"/>
        </row>
        <row r="3199">
          <cell r="Z3199"/>
          <cell r="AA3199"/>
          <cell r="AB3199"/>
          <cell r="AC3199"/>
          <cell r="AD3199">
            <v>1100</v>
          </cell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 t="str">
            <v/>
          </cell>
          <cell r="AV3199"/>
        </row>
        <row r="3200">
          <cell r="Z3200"/>
          <cell r="AA3200"/>
          <cell r="AB3200"/>
          <cell r="AC3200"/>
          <cell r="AD3200">
            <v>1100</v>
          </cell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 t="str">
            <v/>
          </cell>
          <cell r="AV3200"/>
        </row>
        <row r="3201">
          <cell r="Z3201"/>
          <cell r="AA3201"/>
          <cell r="AB3201"/>
          <cell r="AC3201"/>
          <cell r="AD3201">
            <v>1100</v>
          </cell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 t="str">
            <v/>
          </cell>
          <cell r="AV3201"/>
        </row>
        <row r="3202">
          <cell r="Z3202"/>
          <cell r="AA3202"/>
          <cell r="AB3202"/>
          <cell r="AC3202"/>
          <cell r="AD3202">
            <v>1100</v>
          </cell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 t="str">
            <v/>
          </cell>
          <cell r="AV3202"/>
        </row>
        <row r="3203">
          <cell r="Z3203"/>
          <cell r="AA3203"/>
          <cell r="AB3203"/>
          <cell r="AC3203"/>
          <cell r="AD3203">
            <v>1100</v>
          </cell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 t="str">
            <v/>
          </cell>
          <cell r="AV3203"/>
        </row>
        <row r="3204">
          <cell r="Z3204"/>
          <cell r="AA3204"/>
          <cell r="AB3204"/>
          <cell r="AC3204"/>
          <cell r="AD3204">
            <v>1100</v>
          </cell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 t="str">
            <v/>
          </cell>
          <cell r="AV3204"/>
        </row>
        <row r="3205">
          <cell r="Z3205"/>
          <cell r="AA3205"/>
          <cell r="AB3205"/>
          <cell r="AC3205"/>
          <cell r="AD3205">
            <v>1100</v>
          </cell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 t="str">
            <v/>
          </cell>
          <cell r="AV3205"/>
        </row>
        <row r="3206">
          <cell r="Z3206"/>
          <cell r="AA3206"/>
          <cell r="AB3206"/>
          <cell r="AC3206"/>
          <cell r="AD3206">
            <v>1100</v>
          </cell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 t="str">
            <v/>
          </cell>
          <cell r="AV3206"/>
        </row>
        <row r="3207">
          <cell r="Z3207"/>
          <cell r="AA3207"/>
          <cell r="AB3207"/>
          <cell r="AC3207"/>
          <cell r="AD3207">
            <v>1100</v>
          </cell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 t="str">
            <v/>
          </cell>
          <cell r="AV3207"/>
        </row>
        <row r="3208">
          <cell r="Z3208"/>
          <cell r="AA3208"/>
          <cell r="AB3208"/>
          <cell r="AC3208"/>
          <cell r="AD3208">
            <v>1100</v>
          </cell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 t="str">
            <v/>
          </cell>
          <cell r="AV3208"/>
        </row>
        <row r="3209">
          <cell r="Z3209"/>
          <cell r="AA3209"/>
          <cell r="AB3209"/>
          <cell r="AC3209"/>
          <cell r="AD3209">
            <v>1100</v>
          </cell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 t="str">
            <v/>
          </cell>
          <cell r="AV3209"/>
        </row>
        <row r="3210">
          <cell r="Z3210"/>
          <cell r="AA3210"/>
          <cell r="AB3210"/>
          <cell r="AC3210"/>
          <cell r="AD3210">
            <v>1100</v>
          </cell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 t="str">
            <v/>
          </cell>
          <cell r="AV3210"/>
        </row>
        <row r="3211">
          <cell r="Z3211"/>
          <cell r="AA3211"/>
          <cell r="AB3211"/>
          <cell r="AC3211"/>
          <cell r="AD3211">
            <v>1100</v>
          </cell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 t="str">
            <v/>
          </cell>
          <cell r="AV3211"/>
        </row>
        <row r="3212">
          <cell r="Z3212"/>
          <cell r="AA3212"/>
          <cell r="AB3212"/>
          <cell r="AC3212"/>
          <cell r="AD3212">
            <v>1100</v>
          </cell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 t="str">
            <v/>
          </cell>
          <cell r="AV3212"/>
        </row>
        <row r="3213">
          <cell r="Z3213"/>
          <cell r="AA3213"/>
          <cell r="AB3213"/>
          <cell r="AC3213"/>
          <cell r="AD3213">
            <v>1100</v>
          </cell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 t="str">
            <v/>
          </cell>
          <cell r="AV3213"/>
        </row>
        <row r="3214">
          <cell r="Z3214"/>
          <cell r="AA3214"/>
          <cell r="AB3214"/>
          <cell r="AC3214"/>
          <cell r="AD3214">
            <v>1100</v>
          </cell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 t="str">
            <v/>
          </cell>
          <cell r="AV3214"/>
        </row>
        <row r="3215">
          <cell r="Z3215"/>
          <cell r="AA3215"/>
          <cell r="AB3215"/>
          <cell r="AC3215"/>
          <cell r="AD3215">
            <v>1100</v>
          </cell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 t="str">
            <v/>
          </cell>
          <cell r="AV3215"/>
        </row>
        <row r="3216">
          <cell r="Z3216"/>
          <cell r="AA3216"/>
          <cell r="AB3216"/>
          <cell r="AC3216"/>
          <cell r="AD3216">
            <v>1100</v>
          </cell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 t="str">
            <v/>
          </cell>
          <cell r="AV3216"/>
        </row>
        <row r="3217">
          <cell r="Z3217"/>
          <cell r="AA3217"/>
          <cell r="AB3217"/>
          <cell r="AC3217"/>
          <cell r="AD3217">
            <v>1100</v>
          </cell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 t="str">
            <v/>
          </cell>
          <cell r="AV3217"/>
        </row>
        <row r="3218">
          <cell r="Z3218"/>
          <cell r="AA3218"/>
          <cell r="AB3218"/>
          <cell r="AC3218"/>
          <cell r="AD3218">
            <v>1100</v>
          </cell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 t="str">
            <v/>
          </cell>
          <cell r="AV3218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devis'!$B$6:$B$29,J15)),IF(L15&gt;0,IF(INDEX('[1]Fabrication - Achat - 2014 et +'!$Z:$BB,L15,2)=0,INDEX('2 Import devis'!$B$6:$B$29,J15),TRIM(SUBSTITUTE(INDEX('[1]Fabrication - Achat - 2014 et +'!$Z:$BB,L15,2),CHAR(10)," "))),INDEX('2 Import devis'!$B$6:$B$29,J15))))</f>
        <v/>
      </c>
      <c r="D15" s="17">
        <f>IF(OR(J15=0,K15=1),"",1)</f>
        <v/>
      </c>
      <c r="E15" s="17">
        <f>IF(OR(J15=0,K15=1),"",IF(L15&gt;0,IF(N(INDEX('[1]Fabrication - Achat - 2014 et +'!$Z:$BB,L15,22))=0,IF(ISTEXT(INDEX('[1]Fabrication - Achat - 2014 et +'!$Z:$BB,L15,22)),INDEX('[1]Fabrication - Achat - 2014 et +'!$Z:$BB,L15,22),"FR"),"FR"),"FR"))</f>
        <v/>
      </c>
      <c r="F15" s="18">
        <f>IF(L15&gt;0,IF(N(INDEX('[1]Fabrication - Achat - 2014 et +'!$Z:$BB,L15,3))=0,"",ROUND(INDEX('[1]Fabrication - Achat - 2014 et +'!$Z:$BB,L15,3),1)),"")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IF(OR(J15=0,K15=1,B15=""),0,IFERROR(MATCH(B15,'[1]Fabrication - Achat - 2014 et +'!$Z:$Z,0),0))</f>
        <v/>
      </c>
      <c r="M15" s="20">
        <f>IF(L15&gt;0,IF(INDEX('[1]Fabrication - Achat - 2014 et +'!$Z:$BB,L15,20)=0,"",INDEX('[1]Fabrication - Achat - 2014 et +'!$Z:$BB,L15,20)),"")</f>
        <v/>
      </c>
      <c r="N15" s="20">
        <f>IF(L15&gt;0,IF(INDEX('[1]Fabrication - Achat - 2014 et +'!$Z:$BB,L15,23)=0,"",INDEX('[1]Fabrication - Achat - 2014 et +'!$Z:$BB,L15,23)),"")</f>
        <v/>
      </c>
      <c r="O15" s="21">
        <f>IF(L15&gt;0,IF(INDEX('[1]Fabrication - Achat - 2014 et +'!$Z:$BB,L15,4)=0,"",INDEX('[1]Fabrication - Achat - 2014 et +'!$Z:$BB,L15,4)),"")</f>
        <v/>
      </c>
      <c r="P15" s="20">
        <f>IF(L15&gt;0,IF(INDEX('[1]Fabrication - Achat - 2014 et +'!$Z:$BB,L15,5)=0,"",INDEX('[1]Fabrication - Achat - 2014 et +'!$Z:$BB,L15,5)),"")</f>
        <v/>
      </c>
    </row>
    <row r="16" ht="26" customHeight="1">
      <c r="A16" s="15">
        <f>IF(OR(J16=0,K16=1),"",COUNTIF(K$15:K16,0)-COUNTIF(J$15:J16,0))</f>
        <v/>
      </c>
      <c r="B16" s="15" t="n"/>
      <c r="C16" s="16">
        <f>IF(J16=0,"",IF(K16=1,UPPER(INDEX('2 Import devis'!$B$6:$B$29,J16)),IF(L16&gt;0,IF(INDEX('[1]Fabrication - Achat - 2014 et +'!$Z:$BB,L16,2)=0,INDEX('2 Import devis'!$B$6:$B$29,J16),TRIM(SUBSTITUTE(INDEX('[1]Fabrication - Achat - 2014 et +'!$Z:$BB,L16,2),CHAR(10)," "))),INDEX('2 Import devis'!$B$6:$B$29,J16))))</f>
        <v/>
      </c>
      <c r="D16" s="17">
        <f>IF(OR(J16=0,K16=1),"",1)</f>
        <v/>
      </c>
      <c r="E16" s="17">
        <f>IF(OR(J16=0,K16=1),"",IF(L16&gt;0,IF(N(INDEX('[1]Fabrication - Achat - 2014 et +'!$Z:$BB,L16,22))=0,IF(ISTEXT(INDEX('[1]Fabrication - Achat - 2014 et +'!$Z:$BB,L16,22)),INDEX('[1]Fabrication - Achat - 2014 et +'!$Z:$BB,L16,22),"FR"),"FR"),"FR"))</f>
        <v/>
      </c>
      <c r="F16" s="18">
        <f>IF(L16&gt;0,IF(N(INDEX('[1]Fabrication - Achat - 2014 et +'!$Z:$BB,L16,3))=0,"",ROUND(INDEX('[1]Fabrication - Achat - 2014 et +'!$Z:$BB,L16,3),1)),"")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IF(OR(J16=0,K16=1,B16=""),0,IFERROR(MATCH(B16,'[1]Fabrication - Achat - 2014 et +'!$Z:$Z,0),0))</f>
        <v/>
      </c>
      <c r="M16" s="20">
        <f>IF(L16&gt;0,IF(INDEX('[1]Fabrication - Achat - 2014 et +'!$Z:$BB,L16,20)=0,"",INDEX('[1]Fabrication - Achat - 2014 et +'!$Z:$BB,L16,20)),"")</f>
        <v/>
      </c>
      <c r="N16" s="20">
        <f>IF(L16&gt;0,IF(INDEX('[1]Fabrication - Achat - 2014 et +'!$Z:$BB,L16,23)=0,"",INDEX('[1]Fabrication - Achat - 2014 et +'!$Z:$BB,L16,23)),"")</f>
        <v/>
      </c>
      <c r="O16" s="21">
        <f>IF(L16&gt;0,IF(INDEX('[1]Fabrication - Achat - 2014 et +'!$Z:$BB,L16,4)=0,"",INDEX('[1]Fabrication - Achat - 2014 et +'!$Z:$BB,L16,4)),"")</f>
        <v/>
      </c>
      <c r="P16" s="20">
        <f>IF(L16&gt;0,IF(INDEX('[1]Fabrication - Achat - 2014 et +'!$Z:$BB,L16,5)=0,"",INDEX('[1]Fabrication - Achat - 2014 et +'!$Z:$BB,L16,5)),"")</f>
        <v/>
      </c>
    </row>
    <row r="17" ht="26" customHeight="1">
      <c r="A17" s="15">
        <f>IF(OR(J17=0,K17=1),"",COUNTIF(K$15:K17,0)-COUNTIF(J$15:J17,0))</f>
        <v/>
      </c>
      <c r="B17" s="15" t="n"/>
      <c r="C17" s="16">
        <f>IF(J17=0,"",IF(K17=1,UPPER(INDEX('2 Import devis'!$B$6:$B$29,J17)),IF(L17&gt;0,IF(INDEX('[1]Fabrication - Achat - 2014 et +'!$Z:$BB,L17,2)=0,INDEX('2 Import devis'!$B$6:$B$29,J17),TRIM(SUBSTITUTE(INDEX('[1]Fabrication - Achat - 2014 et +'!$Z:$BB,L17,2),CHAR(10)," "))),INDEX('2 Import devis'!$B$6:$B$29,J17))))</f>
        <v/>
      </c>
      <c r="D17" s="17">
        <f>IF(OR(J17=0,K17=1),"",1)</f>
        <v/>
      </c>
      <c r="E17" s="17">
        <f>IF(OR(J17=0,K17=1),"",IF(L17&gt;0,IF(N(INDEX('[1]Fabrication - Achat - 2014 et +'!$Z:$BB,L17,22))=0,IF(ISTEXT(INDEX('[1]Fabrication - Achat - 2014 et +'!$Z:$BB,L17,22)),INDEX('[1]Fabrication - Achat - 2014 et +'!$Z:$BB,L17,22),"FR"),"FR"),"FR"))</f>
        <v/>
      </c>
      <c r="F17" s="18">
        <f>IF(L17&gt;0,IF(N(INDEX('[1]Fabrication - Achat - 2014 et +'!$Z:$BB,L17,3))=0,"",ROUND(INDEX('[1]Fabrication - Achat - 2014 et +'!$Z:$BB,L17,3),1)),"")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IF(OR(J17=0,K17=1,B17=""),0,IFERROR(MATCH(B17,'[1]Fabrication - Achat - 2014 et +'!$Z:$Z,0),0))</f>
        <v/>
      </c>
      <c r="M17" s="20">
        <f>IF(L17&gt;0,IF(INDEX('[1]Fabrication - Achat - 2014 et +'!$Z:$BB,L17,20)=0,"",INDEX('[1]Fabrication - Achat - 2014 et +'!$Z:$BB,L17,20)),"")</f>
        <v/>
      </c>
      <c r="N17" s="20">
        <f>IF(L17&gt;0,IF(INDEX('[1]Fabrication - Achat - 2014 et +'!$Z:$BB,L17,23)=0,"",INDEX('[1]Fabrication - Achat - 2014 et +'!$Z:$BB,L17,23)),"")</f>
        <v/>
      </c>
      <c r="O17" s="21">
        <f>IF(L17&gt;0,IF(INDEX('[1]Fabrication - Achat - 2014 et +'!$Z:$BB,L17,4)=0,"",INDEX('[1]Fabrication - Achat - 2014 et +'!$Z:$BB,L17,4)),"")</f>
        <v/>
      </c>
      <c r="P17" s="20">
        <f>IF(L17&gt;0,IF(INDEX('[1]Fabrication - Achat - 2014 et +'!$Z:$BB,L17,5)=0,"",INDEX('[1]Fabrication - Achat - 2014 et +'!$Z:$BB,L17,5)),"")</f>
        <v/>
      </c>
    </row>
    <row r="18" ht="26" customHeight="1">
      <c r="A18" s="15">
        <f>IF(OR(J18=0,K18=1),"",COUNTIF(K$15:K18,0)-COUNTIF(J$15:J18,0))</f>
        <v/>
      </c>
      <c r="B18" s="15" t="n"/>
      <c r="C18" s="16">
        <f>IF(J18=0,"",IF(K18=1,UPPER(INDEX('2 Import devis'!$B$6:$B$29,J18)),IF(L18&gt;0,IF(INDEX('[1]Fabrication - Achat - 2014 et +'!$Z:$BB,L18,2)=0,INDEX('2 Import devis'!$B$6:$B$29,J18),TRIM(SUBSTITUTE(INDEX('[1]Fabrication - Achat - 2014 et +'!$Z:$BB,L18,2),CHAR(10)," "))),INDEX('2 Import devis'!$B$6:$B$29,J18))))</f>
        <v/>
      </c>
      <c r="D18" s="17">
        <f>IF(OR(J18=0,K18=1),"",1)</f>
        <v/>
      </c>
      <c r="E18" s="17">
        <f>IF(OR(J18=0,K18=1),"",IF(L18&gt;0,IF(N(INDEX('[1]Fabrication - Achat - 2014 et +'!$Z:$BB,L18,22))=0,IF(ISTEXT(INDEX('[1]Fabrication - Achat - 2014 et +'!$Z:$BB,L18,22)),INDEX('[1]Fabrication - Achat - 2014 et +'!$Z:$BB,L18,22),"FR"),"FR"),"FR"))</f>
        <v/>
      </c>
      <c r="F18" s="18">
        <f>IF(L18&gt;0,IF(N(INDEX('[1]Fabrication - Achat - 2014 et +'!$Z:$BB,L18,3))=0,"",ROUND(INDEX('[1]Fabrication - Achat - 2014 et +'!$Z:$BB,L18,3),1)),"")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IF(OR(J18=0,K18=1,B18=""),0,IFERROR(MATCH(B18,'[1]Fabrication - Achat - 2014 et +'!$Z:$Z,0),0))</f>
        <v/>
      </c>
      <c r="M18" s="20">
        <f>IF(L18&gt;0,IF(INDEX('[1]Fabrication - Achat - 2014 et +'!$Z:$BB,L18,20)=0,"",INDEX('[1]Fabrication - Achat - 2014 et +'!$Z:$BB,L18,20)),"")</f>
        <v/>
      </c>
      <c r="N18" s="20">
        <f>IF(L18&gt;0,IF(INDEX('[1]Fabrication - Achat - 2014 et +'!$Z:$BB,L18,23)=0,"",INDEX('[1]Fabrication - Achat - 2014 et +'!$Z:$BB,L18,23)),"")</f>
        <v/>
      </c>
      <c r="O18" s="21">
        <f>IF(L18&gt;0,IF(INDEX('[1]Fabrication - Achat - 2014 et +'!$Z:$BB,L18,4)=0,"",INDEX('[1]Fabrication - Achat - 2014 et +'!$Z:$BB,L18,4)),"")</f>
        <v/>
      </c>
      <c r="P18" s="20">
        <f>IF(L18&gt;0,IF(INDEX('[1]Fabrication - Achat - 2014 et +'!$Z:$BB,L18,5)=0,"",INDEX('[1]Fabrication - Achat - 2014 et +'!$Z:$BB,L18,5)),"")</f>
        <v/>
      </c>
    </row>
    <row r="19" ht="26" customHeight="1">
      <c r="A19" s="15">
        <f>IF(OR(J19=0,K19=1),"",COUNTIF(K$15:K19,0)-COUNTIF(J$15:J19,0))</f>
        <v/>
      </c>
      <c r="B19" s="15" t="n"/>
      <c r="C19" s="16">
        <f>IF(J19=0,"",IF(K19=1,UPPER(INDEX('2 Import devis'!$B$6:$B$29,J19)),IF(L19&gt;0,IF(INDEX('[1]Fabrication - Achat - 2014 et +'!$Z:$BB,L19,2)=0,INDEX('2 Import devis'!$B$6:$B$29,J19),TRIM(SUBSTITUTE(INDEX('[1]Fabrication - Achat - 2014 et +'!$Z:$BB,L19,2),CHAR(10)," "))),INDEX('2 Import devis'!$B$6:$B$29,J19))))</f>
        <v/>
      </c>
      <c r="D19" s="17">
        <f>IF(OR(J19=0,K19=1),"",1)</f>
        <v/>
      </c>
      <c r="E19" s="17">
        <f>IF(OR(J19=0,K19=1),"",IF(L19&gt;0,IF(N(INDEX('[1]Fabrication - Achat - 2014 et +'!$Z:$BB,L19,22))=0,IF(ISTEXT(INDEX('[1]Fabrication - Achat - 2014 et +'!$Z:$BB,L19,22)),INDEX('[1]Fabrication - Achat - 2014 et +'!$Z:$BB,L19,22),"FR"),"FR"),"FR"))</f>
        <v/>
      </c>
      <c r="F19" s="18">
        <f>IF(L19&gt;0,IF(N(INDEX('[1]Fabrication - Achat - 2014 et +'!$Z:$BB,L19,3))=0,"",ROUND(INDEX('[1]Fabrication - Achat - 2014 et +'!$Z:$BB,L19,3),1)),"")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IF(OR(J19=0,K19=1,B19=""),0,IFERROR(MATCH(B19,'[1]Fabrication - Achat - 2014 et +'!$Z:$Z,0),0))</f>
        <v/>
      </c>
      <c r="M19" s="20">
        <f>IF(L19&gt;0,IF(INDEX('[1]Fabrication - Achat - 2014 et +'!$Z:$BB,L19,20)=0,"",INDEX('[1]Fabrication - Achat - 2014 et +'!$Z:$BB,L19,20)),"")</f>
        <v/>
      </c>
      <c r="N19" s="20">
        <f>IF(L19&gt;0,IF(INDEX('[1]Fabrication - Achat - 2014 et +'!$Z:$BB,L19,23)=0,"",INDEX('[1]Fabrication - Achat - 2014 et +'!$Z:$BB,L19,23)),"")</f>
        <v/>
      </c>
      <c r="O19" s="21">
        <f>IF(L19&gt;0,IF(INDEX('[1]Fabrication - Achat - 2014 et +'!$Z:$BB,L19,4)=0,"",INDEX('[1]Fabrication - Achat - 2014 et +'!$Z:$BB,L19,4)),"")</f>
        <v/>
      </c>
      <c r="P19" s="20">
        <f>IF(L19&gt;0,IF(INDEX('[1]Fabrication - Achat - 2014 et +'!$Z:$BB,L19,5)=0,"",INDEX('[1]Fabrication - Achat - 2014 et +'!$Z:$BB,L19,5)),"")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devis'!$B$6:$B$29,J20)),IF(L20&gt;0,IF(INDEX('[1]Fabrication - Achat - 2014 et +'!$Z:$BB,L20,2)=0,INDEX('2 Import devis'!$B$6:$B$29,J20),TRIM(SUBSTITUTE(INDEX('[1]Fabrication - Achat - 2014 et +'!$Z:$BB,L20,2),CHAR(10)," "))),INDEX('2 Import devis'!$B$6:$B$29,J20))))</f>
        <v/>
      </c>
      <c r="D20" s="17">
        <f>IF(OR(J20=0,K20=1),"",1)</f>
        <v/>
      </c>
      <c r="E20" s="17">
        <f>IF(OR(J20=0,K20=1),"",IF(L20&gt;0,IF(N(INDEX('[1]Fabrication - Achat - 2014 et +'!$Z:$BB,L20,22))=0,IF(ISTEXT(INDEX('[1]Fabrication - Achat - 2014 et +'!$Z:$BB,L20,22)),INDEX('[1]Fabrication - Achat - 2014 et +'!$Z:$BB,L20,22),"FR"),"FR"),"FR"))</f>
        <v/>
      </c>
      <c r="F20" s="18">
        <f>IF(L20&gt;0,IF(N(INDEX('[1]Fabrication - Achat - 2014 et +'!$Z:$BB,L20,3))=0,"",ROUND(INDEX('[1]Fabrication - Achat - 2014 et +'!$Z:$BB,L20,3),1)),"")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IF(OR(J20=0,K20=1,B20=""),0,IFERROR(MATCH(B20,'[1]Fabrication - Achat - 2014 et +'!$Z:$Z,0),0))</f>
        <v/>
      </c>
      <c r="M20" s="20">
        <f>IF(L20&gt;0,IF(INDEX('[1]Fabrication - Achat - 2014 et +'!$Z:$BB,L20,20)=0,"",INDEX('[1]Fabrication - Achat - 2014 et +'!$Z:$BB,L20,20)),"")</f>
        <v/>
      </c>
      <c r="N20" s="20">
        <f>IF(L20&gt;0,IF(INDEX('[1]Fabrication - Achat - 2014 et +'!$Z:$BB,L20,23)=0,"",INDEX('[1]Fabrication - Achat - 2014 et +'!$Z:$BB,L20,23)),"")</f>
        <v/>
      </c>
      <c r="O20" s="21">
        <f>IF(L20&gt;0,IF(INDEX('[1]Fabrication - Achat - 2014 et +'!$Z:$BB,L20,4)=0,"",INDEX('[1]Fabrication - Achat - 2014 et +'!$Z:$BB,L20,4)),"")</f>
        <v/>
      </c>
      <c r="P20" s="20">
        <f>IF(L20&gt;0,IF(INDEX('[1]Fabrication - Achat - 2014 et +'!$Z:$BB,L20,5)=0,"",INDEX('[1]Fabrication - Achat - 2014 et +'!$Z:$BB,L20,5)),"")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devis'!$B$6:$B$29,J21)),IF(L21&gt;0,IF(INDEX('[1]Fabrication - Achat - 2014 et +'!$Z:$BB,L21,2)=0,INDEX('2 Import devis'!$B$6:$B$29,J21),TRIM(SUBSTITUTE(INDEX('[1]Fabrication - Achat - 2014 et +'!$Z:$BB,L21,2),CHAR(10)," "))),INDEX('2 Import devis'!$B$6:$B$29,J21))))</f>
        <v/>
      </c>
      <c r="D21" s="17">
        <f>IF(OR(J21=0,K21=1),"",1)</f>
        <v/>
      </c>
      <c r="E21" s="17">
        <f>IF(OR(J21=0,K21=1),"",IF(L21&gt;0,IF(N(INDEX('[1]Fabrication - Achat - 2014 et +'!$Z:$BB,L21,22))=0,IF(ISTEXT(INDEX('[1]Fabrication - Achat - 2014 et +'!$Z:$BB,L21,22)),INDEX('[1]Fabrication - Achat - 2014 et +'!$Z:$BB,L21,22),"FR"),"FR"),"FR"))</f>
        <v/>
      </c>
      <c r="F21" s="18">
        <f>IF(L21&gt;0,IF(N(INDEX('[1]Fabrication - Achat - 2014 et +'!$Z:$BB,L21,3))=0,"",ROUND(INDEX('[1]Fabrication - Achat - 2014 et +'!$Z:$BB,L21,3),1)),"")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IF(OR(J21=0,K21=1,B21=""),0,IFERROR(MATCH(B21,'[1]Fabrication - Achat - 2014 et +'!$Z:$Z,0),0))</f>
        <v/>
      </c>
      <c r="M21" s="20">
        <f>IF(L21&gt;0,IF(INDEX('[1]Fabrication - Achat - 2014 et +'!$Z:$BB,L21,20)=0,"",INDEX('[1]Fabrication - Achat - 2014 et +'!$Z:$BB,L21,20)),"")</f>
        <v/>
      </c>
      <c r="N21" s="20">
        <f>IF(L21&gt;0,IF(INDEX('[1]Fabrication - Achat - 2014 et +'!$Z:$BB,L21,23)=0,"",INDEX('[1]Fabrication - Achat - 2014 et +'!$Z:$BB,L21,23)),"")</f>
        <v/>
      </c>
      <c r="O21" s="21">
        <f>IF(L21&gt;0,IF(INDEX('[1]Fabrication - Achat - 2014 et +'!$Z:$BB,L21,4)=0,"",INDEX('[1]Fabrication - Achat - 2014 et +'!$Z:$BB,L21,4)),"")</f>
        <v/>
      </c>
      <c r="P21" s="20">
        <f>IF(L21&gt;0,IF(INDEX('[1]Fabrication - Achat - 2014 et +'!$Z:$BB,L21,5)=0,"",INDEX('[1]Fabrication - Achat - 2014 et +'!$Z:$BB,L21,5)),"")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devis'!$B$6:$B$29,J22)),IF(L22&gt;0,IF(INDEX('[1]Fabrication - Achat - 2014 et +'!$Z:$BB,L22,2)=0,INDEX('2 Import devis'!$B$6:$B$29,J22),TRIM(SUBSTITUTE(INDEX('[1]Fabrication - Achat - 2014 et +'!$Z:$BB,L22,2),CHAR(10)," "))),INDEX('2 Import devis'!$B$6:$B$29,J22))))</f>
        <v/>
      </c>
      <c r="D22" s="17">
        <f>IF(OR(J22=0,K22=1),"",1)</f>
        <v/>
      </c>
      <c r="E22" s="17">
        <f>IF(OR(J22=0,K22=1),"",IF(L22&gt;0,IF(N(INDEX('[1]Fabrication - Achat - 2014 et +'!$Z:$BB,L22,22))=0,IF(ISTEXT(INDEX('[1]Fabrication - Achat - 2014 et +'!$Z:$BB,L22,22)),INDEX('[1]Fabrication - Achat - 2014 et +'!$Z:$BB,L22,22),"FR"),"FR"),"FR"))</f>
        <v/>
      </c>
      <c r="F22" s="18">
        <f>IF(L22&gt;0,IF(N(INDEX('[1]Fabrication - Achat - 2014 et +'!$Z:$BB,L22,3))=0,"",ROUND(INDEX('[1]Fabrication - Achat - 2014 et +'!$Z:$BB,L22,3),1)),"")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IF(OR(J22=0,K22=1,B22=""),0,IFERROR(MATCH(B22,'[1]Fabrication - Achat - 2014 et +'!$Z:$Z,0),0))</f>
        <v/>
      </c>
      <c r="M22" s="20">
        <f>IF(L22&gt;0,IF(INDEX('[1]Fabrication - Achat - 2014 et +'!$Z:$BB,L22,20)=0,"",INDEX('[1]Fabrication - Achat - 2014 et +'!$Z:$BB,L22,20)),"")</f>
        <v/>
      </c>
      <c r="N22" s="20">
        <f>IF(L22&gt;0,IF(INDEX('[1]Fabrication - Achat - 2014 et +'!$Z:$BB,L22,23)=0,"",INDEX('[1]Fabrication - Achat - 2014 et +'!$Z:$BB,L22,23)),"")</f>
        <v/>
      </c>
      <c r="O22" s="21">
        <f>IF(L22&gt;0,IF(INDEX('[1]Fabrication - Achat - 2014 et +'!$Z:$BB,L22,4)=0,"",INDEX('[1]Fabrication - Achat - 2014 et +'!$Z:$BB,L22,4)),"")</f>
        <v/>
      </c>
      <c r="P22" s="20">
        <f>IF(L22&gt;0,IF(INDEX('[1]Fabrication - Achat - 2014 et +'!$Z:$BB,L22,5)=0,"",INDEX('[1]Fabrication - Achat - 2014 et +'!$Z:$BB,L22,5)),"")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devis'!$B$6:$B$29,J23)),IF(L23&gt;0,IF(INDEX('[1]Fabrication - Achat - 2014 et +'!$Z:$BB,L23,2)=0,INDEX('2 Import devis'!$B$6:$B$29,J23),TRIM(SUBSTITUTE(INDEX('[1]Fabrication - Achat - 2014 et +'!$Z:$BB,L23,2),CHAR(10)," "))),INDEX('2 Import devis'!$B$6:$B$29,J23))))</f>
        <v/>
      </c>
      <c r="D23" s="17">
        <f>IF(OR(J23=0,K23=1),"",1)</f>
        <v/>
      </c>
      <c r="E23" s="17">
        <f>IF(OR(J23=0,K23=1),"",IF(L23&gt;0,IF(N(INDEX('[1]Fabrication - Achat - 2014 et +'!$Z:$BB,L23,22))=0,IF(ISTEXT(INDEX('[1]Fabrication - Achat - 2014 et +'!$Z:$BB,L23,22)),INDEX('[1]Fabrication - Achat - 2014 et +'!$Z:$BB,L23,22),"FR"),"FR"),"FR"))</f>
        <v/>
      </c>
      <c r="F23" s="18">
        <f>IF(L23&gt;0,IF(N(INDEX('[1]Fabrication - Achat - 2014 et +'!$Z:$BB,L23,3))=0,"",ROUND(INDEX('[1]Fabrication - Achat - 2014 et +'!$Z:$BB,L23,3),1)),"")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IF(OR(J23=0,K23=1,B23=""),0,IFERROR(MATCH(B23,'[1]Fabrication - Achat - 2014 et +'!$Z:$Z,0),0))</f>
        <v/>
      </c>
      <c r="M23" s="20">
        <f>IF(L23&gt;0,IF(INDEX('[1]Fabrication - Achat - 2014 et +'!$Z:$BB,L23,20)=0,"",INDEX('[1]Fabrication - Achat - 2014 et +'!$Z:$BB,L23,20)),"")</f>
        <v/>
      </c>
      <c r="N23" s="20">
        <f>IF(L23&gt;0,IF(INDEX('[1]Fabrication - Achat - 2014 et +'!$Z:$BB,L23,23)=0,"",INDEX('[1]Fabrication - Achat - 2014 et +'!$Z:$BB,L23,23)),"")</f>
        <v/>
      </c>
      <c r="O23" s="21">
        <f>IF(L23&gt;0,IF(INDEX('[1]Fabrication - Achat - 2014 et +'!$Z:$BB,L23,4)=0,"",INDEX('[1]Fabrication - Achat - 2014 et +'!$Z:$BB,L23,4)),"")</f>
        <v/>
      </c>
      <c r="P23" s="20">
        <f>IF(L23&gt;0,IF(INDEX('[1]Fabrication - Achat - 2014 et +'!$Z:$BB,L23,5)=0,"",INDEX('[1]Fabrication - Achat - 2014 et +'!$Z:$BB,L23,5)),"")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devis'!$B$6:$B$29,J24)),IF(L24&gt;0,IF(INDEX('[1]Fabrication - Achat - 2014 et +'!$Z:$BB,L24,2)=0,INDEX('2 Import devis'!$B$6:$B$29,J24),TRIM(SUBSTITUTE(INDEX('[1]Fabrication - Achat - 2014 et +'!$Z:$BB,L24,2),CHAR(10)," "))),INDEX('2 Import devis'!$B$6:$B$29,J24))))</f>
        <v/>
      </c>
      <c r="D24" s="17">
        <f>IF(OR(J24=0,K24=1),"",1)</f>
        <v/>
      </c>
      <c r="E24" s="17">
        <f>IF(OR(J24=0,K24=1),"",IF(L24&gt;0,IF(N(INDEX('[1]Fabrication - Achat - 2014 et +'!$Z:$BB,L24,22))=0,IF(ISTEXT(INDEX('[1]Fabrication - Achat - 2014 et +'!$Z:$BB,L24,22)),INDEX('[1]Fabrication - Achat - 2014 et +'!$Z:$BB,L24,22),"FR"),"FR"),"FR"))</f>
        <v/>
      </c>
      <c r="F24" s="18">
        <f>IF(L24&gt;0,IF(N(INDEX('[1]Fabrication - Achat - 2014 et +'!$Z:$BB,L24,3))=0,"",ROUND(INDEX('[1]Fabrication - Achat - 2014 et +'!$Z:$BB,L24,3),1)),"")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IF(OR(J24=0,K24=1,B24=""),0,IFERROR(MATCH(B24,'[1]Fabrication - Achat - 2014 et +'!$Z:$Z,0),0))</f>
        <v/>
      </c>
      <c r="M24" s="20">
        <f>IF(L24&gt;0,IF(INDEX('[1]Fabrication - Achat - 2014 et +'!$Z:$BB,L24,20)=0,"",INDEX('[1]Fabrication - Achat - 2014 et +'!$Z:$BB,L24,20)),"")</f>
        <v/>
      </c>
      <c r="N24" s="20">
        <f>IF(L24&gt;0,IF(INDEX('[1]Fabrication - Achat - 2014 et +'!$Z:$BB,L24,23)=0,"",INDEX('[1]Fabrication - Achat - 2014 et +'!$Z:$BB,L24,23)),"")</f>
        <v/>
      </c>
      <c r="O24" s="21">
        <f>IF(L24&gt;0,IF(INDEX('[1]Fabrication - Achat - 2014 et +'!$Z:$BB,L24,4)=0,"",INDEX('[1]Fabrication - Achat - 2014 et +'!$Z:$BB,L24,4)),"")</f>
        <v/>
      </c>
      <c r="P24" s="20">
        <f>IF(L24&gt;0,IF(INDEX('[1]Fabrication - Achat - 2014 et +'!$Z:$BB,L24,5)=0,"",INDEX('[1]Fabrication - Achat - 2014 et +'!$Z:$BB,L24,5)),"")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devis'!$B$6:$B$29,J25)),IF(L25&gt;0,IF(INDEX('[1]Fabrication - Achat - 2014 et +'!$Z:$BB,L25,2)=0,INDEX('2 Import devis'!$B$6:$B$29,J25),TRIM(SUBSTITUTE(INDEX('[1]Fabrication - Achat - 2014 et +'!$Z:$BB,L25,2),CHAR(10)," "))),INDEX('2 Import devis'!$B$6:$B$29,J25))))</f>
        <v/>
      </c>
      <c r="D25" s="17">
        <f>IF(OR(J25=0,K25=1),"",1)</f>
        <v/>
      </c>
      <c r="E25" s="17">
        <f>IF(OR(J25=0,K25=1),"",IF(L25&gt;0,IF(N(INDEX('[1]Fabrication - Achat - 2014 et +'!$Z:$BB,L25,22))=0,IF(ISTEXT(INDEX('[1]Fabrication - Achat - 2014 et +'!$Z:$BB,L25,22)),INDEX('[1]Fabrication - Achat - 2014 et +'!$Z:$BB,L25,22),"FR"),"FR"),"FR"))</f>
        <v/>
      </c>
      <c r="F25" s="18">
        <f>IF(L25&gt;0,IF(N(INDEX('[1]Fabrication - Achat - 2014 et +'!$Z:$BB,L25,3))=0,"",ROUND(INDEX('[1]Fabrication - Achat - 2014 et +'!$Z:$BB,L25,3),1)),"")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IF(OR(J25=0,K25=1,B25=""),0,IFERROR(MATCH(B25,'[1]Fabrication - Achat - 2014 et +'!$Z:$Z,0),0))</f>
        <v/>
      </c>
      <c r="M25" s="20">
        <f>IF(L25&gt;0,IF(INDEX('[1]Fabrication - Achat - 2014 et +'!$Z:$BB,L25,20)=0,"",INDEX('[1]Fabrication - Achat - 2014 et +'!$Z:$BB,L25,20)),"")</f>
        <v/>
      </c>
      <c r="N25" s="20">
        <f>IF(L25&gt;0,IF(INDEX('[1]Fabrication - Achat - 2014 et +'!$Z:$BB,L25,23)=0,"",INDEX('[1]Fabrication - Achat - 2014 et +'!$Z:$BB,L25,23)),"")</f>
        <v/>
      </c>
      <c r="O25" s="21">
        <f>IF(L25&gt;0,IF(INDEX('[1]Fabrication - Achat - 2014 et +'!$Z:$BB,L25,4)=0,"",INDEX('[1]Fabrication - Achat - 2014 et +'!$Z:$BB,L25,4)),"")</f>
        <v/>
      </c>
      <c r="P25" s="20">
        <f>IF(L25&gt;0,IF(INDEX('[1]Fabrication - Achat - 2014 et +'!$Z:$BB,L25,5)=0,"",INDEX('[1]Fabrication - Achat - 2014 et +'!$Z:$BB,L25,5)),"")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devis'!$B$6:$B$29,J26)),IF(L26&gt;0,IF(INDEX('[1]Fabrication - Achat - 2014 et +'!$Z:$BB,L26,2)=0,INDEX('2 Import devis'!$B$6:$B$29,J26),TRIM(SUBSTITUTE(INDEX('[1]Fabrication - Achat - 2014 et +'!$Z:$BB,L26,2),CHAR(10)," "))),INDEX('2 Import devis'!$B$6:$B$29,J26))))</f>
        <v/>
      </c>
      <c r="D26" s="17">
        <f>IF(OR(J26=0,K26=1),"",1)</f>
        <v/>
      </c>
      <c r="E26" s="17">
        <f>IF(OR(J26=0,K26=1),"",IF(L26&gt;0,IF(N(INDEX('[1]Fabrication - Achat - 2014 et +'!$Z:$BB,L26,22))=0,IF(ISTEXT(INDEX('[1]Fabrication - Achat - 2014 et +'!$Z:$BB,L26,22)),INDEX('[1]Fabrication - Achat - 2014 et +'!$Z:$BB,L26,22),"FR"),"FR"),"FR"))</f>
        <v/>
      </c>
      <c r="F26" s="18">
        <f>IF(L26&gt;0,IF(N(INDEX('[1]Fabrication - Achat - 2014 et +'!$Z:$BB,L26,3))=0,"",ROUND(INDEX('[1]Fabrication - Achat - 2014 et +'!$Z:$BB,L26,3),1)),"")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IF(OR(J26=0,K26=1,B26=""),0,IFERROR(MATCH(B26,'[1]Fabrication - Achat - 2014 et +'!$Z:$Z,0),0))</f>
        <v/>
      </c>
      <c r="M26" s="20">
        <f>IF(L26&gt;0,IF(INDEX('[1]Fabrication - Achat - 2014 et +'!$Z:$BB,L26,20)=0,"",INDEX('[1]Fabrication - Achat - 2014 et +'!$Z:$BB,L26,20)),"")</f>
        <v/>
      </c>
      <c r="N26" s="20">
        <f>IF(L26&gt;0,IF(INDEX('[1]Fabrication - Achat - 2014 et +'!$Z:$BB,L26,23)=0,"",INDEX('[1]Fabrication - Achat - 2014 et +'!$Z:$BB,L26,23)),"")</f>
        <v/>
      </c>
      <c r="O26" s="21">
        <f>IF(L26&gt;0,IF(INDEX('[1]Fabrication - Achat - 2014 et +'!$Z:$BB,L26,4)=0,"",INDEX('[1]Fabrication - Achat - 2014 et +'!$Z:$BB,L26,4)),"")</f>
        <v/>
      </c>
      <c r="P26" s="20">
        <f>IF(L26&gt;0,IF(INDEX('[1]Fabrication - Achat - 2014 et +'!$Z:$BB,L26,5)=0,"",INDEX('[1]Fabrication - Achat - 2014 et +'!$Z:$BB,L26,5)),"")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devis'!$B$6:$B$29,J27)),IF(L27&gt;0,IF(INDEX('[1]Fabrication - Achat - 2014 et +'!$Z:$BB,L27,2)=0,INDEX('2 Import devis'!$B$6:$B$29,J27),TRIM(SUBSTITUTE(INDEX('[1]Fabrication - Achat - 2014 et +'!$Z:$BB,L27,2),CHAR(10)," "))),INDEX('2 Import devis'!$B$6:$B$29,J27))))</f>
        <v/>
      </c>
      <c r="D27" s="17">
        <f>IF(OR(J27=0,K27=1),"",1)</f>
        <v/>
      </c>
      <c r="E27" s="17">
        <f>IF(OR(J27=0,K27=1),"",IF(L27&gt;0,IF(N(INDEX('[1]Fabrication - Achat - 2014 et +'!$Z:$BB,L27,22))=0,IF(ISTEXT(INDEX('[1]Fabrication - Achat - 2014 et +'!$Z:$BB,L27,22)),INDEX('[1]Fabrication - Achat - 2014 et +'!$Z:$BB,L27,22),"FR"),"FR"),"FR"))</f>
        <v/>
      </c>
      <c r="F27" s="18">
        <f>IF(L27&gt;0,IF(N(INDEX('[1]Fabrication - Achat - 2014 et +'!$Z:$BB,L27,3))=0,"",ROUND(INDEX('[1]Fabrication - Achat - 2014 et +'!$Z:$BB,L27,3),1)),"")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IF(OR(J27=0,K27=1,B27=""),0,IFERROR(MATCH(B27,'[1]Fabrication - Achat - 2014 et +'!$Z:$Z,0),0))</f>
        <v/>
      </c>
      <c r="M27" s="20">
        <f>IF(L27&gt;0,IF(INDEX('[1]Fabrication - Achat - 2014 et +'!$Z:$BB,L27,20)=0,"",INDEX('[1]Fabrication - Achat - 2014 et +'!$Z:$BB,L27,20)),"")</f>
        <v/>
      </c>
      <c r="N27" s="20">
        <f>IF(L27&gt;0,IF(INDEX('[1]Fabrication - Achat - 2014 et +'!$Z:$BB,L27,23)=0,"",INDEX('[1]Fabrication - Achat - 2014 et +'!$Z:$BB,L27,23)),"")</f>
        <v/>
      </c>
      <c r="O27" s="21">
        <f>IF(L27&gt;0,IF(INDEX('[1]Fabrication - Achat - 2014 et +'!$Z:$BB,L27,4)=0,"",INDEX('[1]Fabrication - Achat - 2014 et +'!$Z:$BB,L27,4)),"")</f>
        <v/>
      </c>
      <c r="P27" s="20">
        <f>IF(L27&gt;0,IF(INDEX('[1]Fabrication - Achat - 2014 et +'!$Z:$BB,L27,5)=0,"",INDEX('[1]Fabrication - Achat - 2014 et +'!$Z:$BB,L27,5)),"")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devis'!$B$6:$B$29,J28)),IF(L28&gt;0,IF(INDEX('[1]Fabrication - Achat - 2014 et +'!$Z:$BB,L28,2)=0,INDEX('2 Import devis'!$B$6:$B$29,J28),TRIM(SUBSTITUTE(INDEX('[1]Fabrication - Achat - 2014 et +'!$Z:$BB,L28,2),CHAR(10)," "))),INDEX('2 Import devis'!$B$6:$B$29,J28))))</f>
        <v/>
      </c>
      <c r="D28" s="17">
        <f>IF(OR(J28=0,K28=1),"",1)</f>
        <v/>
      </c>
      <c r="E28" s="17">
        <f>IF(OR(J28=0,K28=1),"",IF(L28&gt;0,IF(N(INDEX('[1]Fabrication - Achat - 2014 et +'!$Z:$BB,L28,22))=0,IF(ISTEXT(INDEX('[1]Fabrication - Achat - 2014 et +'!$Z:$BB,L28,22)),INDEX('[1]Fabrication - Achat - 2014 et +'!$Z:$BB,L28,22),"FR"),"FR"),"FR"))</f>
        <v/>
      </c>
      <c r="F28" s="18">
        <f>IF(L28&gt;0,IF(N(INDEX('[1]Fabrication - Achat - 2014 et +'!$Z:$BB,L28,3))=0,"",ROUND(INDEX('[1]Fabrication - Achat - 2014 et +'!$Z:$BB,L28,3),1)),"")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IF(OR(J28=0,K28=1,B28=""),0,IFERROR(MATCH(B28,'[1]Fabrication - Achat - 2014 et +'!$Z:$Z,0),0))</f>
        <v/>
      </c>
      <c r="M28" s="20">
        <f>IF(L28&gt;0,IF(INDEX('[1]Fabrication - Achat - 2014 et +'!$Z:$BB,L28,20)=0,"",INDEX('[1]Fabrication - Achat - 2014 et +'!$Z:$BB,L28,20)),"")</f>
        <v/>
      </c>
      <c r="N28" s="20">
        <f>IF(L28&gt;0,IF(INDEX('[1]Fabrication - Achat - 2014 et +'!$Z:$BB,L28,23)=0,"",INDEX('[1]Fabrication - Achat - 2014 et +'!$Z:$BB,L28,23)),"")</f>
        <v/>
      </c>
      <c r="O28" s="21">
        <f>IF(L28&gt;0,IF(INDEX('[1]Fabrication - Achat - 2014 et +'!$Z:$BB,L28,4)=0,"",INDEX('[1]Fabrication - Achat - 2014 et +'!$Z:$BB,L28,4)),"")</f>
        <v/>
      </c>
      <c r="P28" s="20">
        <f>IF(L28&gt;0,IF(INDEX('[1]Fabrication - Achat - 2014 et +'!$Z:$BB,L28,5)=0,"",INDEX('[1]Fabrication - Achat - 2014 et +'!$Z:$BB,L28,5)),"")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devis'!$B$6:$B$29,J29)),IF(L29&gt;0,IF(INDEX('[1]Fabrication - Achat - 2014 et +'!$Z:$BB,L29,2)=0,INDEX('2 Import devis'!$B$6:$B$29,J29),TRIM(SUBSTITUTE(INDEX('[1]Fabrication - Achat - 2014 et +'!$Z:$BB,L29,2),CHAR(10)," "))),INDEX('2 Import devis'!$B$6:$B$29,J29))))</f>
        <v/>
      </c>
      <c r="D29" s="17">
        <f>IF(OR(J29=0,K29=1),"",1)</f>
        <v/>
      </c>
      <c r="E29" s="17">
        <f>IF(OR(J29=0,K29=1),"",IF(L29&gt;0,IF(N(INDEX('[1]Fabrication - Achat - 2014 et +'!$Z:$BB,L29,22))=0,IF(ISTEXT(INDEX('[1]Fabrication - Achat - 2014 et +'!$Z:$BB,L29,22)),INDEX('[1]Fabrication - Achat - 2014 et +'!$Z:$BB,L29,22),"FR"),"FR"),"FR"))</f>
        <v/>
      </c>
      <c r="F29" s="18">
        <f>IF(L29&gt;0,IF(N(INDEX('[1]Fabrication - Achat - 2014 et +'!$Z:$BB,L29,3))=0,"",ROUND(INDEX('[1]Fabrication - Achat - 2014 et +'!$Z:$BB,L29,3),1)),"")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IF(OR(J29=0,K29=1,B29=""),0,IFERROR(MATCH(B29,'[1]Fabrication - Achat - 2014 et +'!$Z:$Z,0),0))</f>
        <v/>
      </c>
      <c r="M29" s="20">
        <f>IF(L29&gt;0,IF(INDEX('[1]Fabrication - Achat - 2014 et +'!$Z:$BB,L29,20)=0,"",INDEX('[1]Fabrication - Achat - 2014 et +'!$Z:$BB,L29,20)),"")</f>
        <v/>
      </c>
      <c r="N29" s="20">
        <f>IF(L29&gt;0,IF(INDEX('[1]Fabrication - Achat - 2014 et +'!$Z:$BB,L29,23)=0,"",INDEX('[1]Fabrication - Achat - 2014 et +'!$Z:$BB,L29,23)),"")</f>
        <v/>
      </c>
      <c r="O29" s="21">
        <f>IF(L29&gt;0,IF(INDEX('[1]Fabrication - Achat - 2014 et +'!$Z:$BB,L29,4)=0,"",INDEX('[1]Fabrication - Achat - 2014 et +'!$Z:$BB,L29,4)),"")</f>
        <v/>
      </c>
      <c r="P29" s="20">
        <f>IF(L29&gt;0,IF(INDEX('[1]Fabrication - Achat - 2014 et +'!$Z:$BB,L29,5)=0,"",INDEX('[1]Fabrication - Achat - 2014 et +'!$Z:$BB,L29,5)),"")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devis'!$B$6:$B$29,J30)),IF(L30&gt;0,IF(INDEX('[1]Fabrication - Achat - 2014 et +'!$Z:$BB,L30,2)=0,INDEX('2 Import devis'!$B$6:$B$29,J30),TRIM(SUBSTITUTE(INDEX('[1]Fabrication - Achat - 2014 et +'!$Z:$BB,L30,2),CHAR(10)," "))),INDEX('2 Import devis'!$B$6:$B$29,J30))))</f>
        <v/>
      </c>
      <c r="D30" s="17">
        <f>IF(OR(J30=0,K30=1),"",1)</f>
        <v/>
      </c>
      <c r="E30" s="17">
        <f>IF(OR(J30=0,K30=1),"",IF(L30&gt;0,IF(N(INDEX('[1]Fabrication - Achat - 2014 et +'!$Z:$BB,L30,22))=0,IF(ISTEXT(INDEX('[1]Fabrication - Achat - 2014 et +'!$Z:$BB,L30,22)),INDEX('[1]Fabrication - Achat - 2014 et +'!$Z:$BB,L30,22),"FR"),"FR"),"FR"))</f>
        <v/>
      </c>
      <c r="F30" s="18">
        <f>IF(L30&gt;0,IF(N(INDEX('[1]Fabrication - Achat - 2014 et +'!$Z:$BB,L30,3))=0,"",ROUND(INDEX('[1]Fabrication - Achat - 2014 et +'!$Z:$BB,L30,3),1)),"")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IF(OR(J30=0,K30=1,B30=""),0,IFERROR(MATCH(B30,'[1]Fabrication - Achat - 2014 et +'!$Z:$Z,0),0))</f>
        <v/>
      </c>
      <c r="M30" s="20">
        <f>IF(L30&gt;0,IF(INDEX('[1]Fabrication - Achat - 2014 et +'!$Z:$BB,L30,20)=0,"",INDEX('[1]Fabrication - Achat - 2014 et +'!$Z:$BB,L30,20)),"")</f>
        <v/>
      </c>
      <c r="N30" s="20">
        <f>IF(L30&gt;0,IF(INDEX('[1]Fabrication - Achat - 2014 et +'!$Z:$BB,L30,23)=0,"",INDEX('[1]Fabrication - Achat - 2014 et +'!$Z:$BB,L30,23)),"")</f>
        <v/>
      </c>
      <c r="O30" s="21">
        <f>IF(L30&gt;0,IF(INDEX('[1]Fabrication - Achat - 2014 et +'!$Z:$BB,L30,4)=0,"",INDEX('[1]Fabrication - Achat - 2014 et +'!$Z:$BB,L30,4)),"")</f>
        <v/>
      </c>
      <c r="P30" s="20">
        <f>IF(L30&gt;0,IF(INDEX('[1]Fabrication - Achat - 2014 et +'!$Z:$BB,L30,5)=0,"",INDEX('[1]Fabrication - Achat - 2014 et +'!$Z:$BB,L30,5)),"")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devis'!$B$6:$B$29,J31)),IF(L31&gt;0,IF(INDEX('[1]Fabrication - Achat - 2014 et +'!$Z:$BB,L31,2)=0,INDEX('2 Import devis'!$B$6:$B$29,J31),TRIM(SUBSTITUTE(INDEX('[1]Fabrication - Achat - 2014 et +'!$Z:$BB,L31,2),CHAR(10)," "))),INDEX('2 Import devis'!$B$6:$B$29,J31))))</f>
        <v/>
      </c>
      <c r="D31" s="17">
        <f>IF(OR(J31=0,K31=1),"",1)</f>
        <v/>
      </c>
      <c r="E31" s="17">
        <f>IF(OR(J31=0,K31=1),"",IF(L31&gt;0,IF(N(INDEX('[1]Fabrication - Achat - 2014 et +'!$Z:$BB,L31,22))=0,IF(ISTEXT(INDEX('[1]Fabrication - Achat - 2014 et +'!$Z:$BB,L31,22)),INDEX('[1]Fabrication - Achat - 2014 et +'!$Z:$BB,L31,22),"FR"),"FR"),"FR"))</f>
        <v/>
      </c>
      <c r="F31" s="18">
        <f>IF(L31&gt;0,IF(N(INDEX('[1]Fabrication - Achat - 2014 et +'!$Z:$BB,L31,3))=0,"",ROUND(INDEX('[1]Fabrication - Achat - 2014 et +'!$Z:$BB,L31,3),1)),"")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IF(OR(J31=0,K31=1,B31=""),0,IFERROR(MATCH(B31,'[1]Fabrication - Achat - 2014 et +'!$Z:$Z,0),0))</f>
        <v/>
      </c>
      <c r="M31" s="20">
        <f>IF(L31&gt;0,IF(INDEX('[1]Fabrication - Achat - 2014 et +'!$Z:$BB,L31,20)=0,"",INDEX('[1]Fabrication - Achat - 2014 et +'!$Z:$BB,L31,20)),"")</f>
        <v/>
      </c>
      <c r="N31" s="20">
        <f>IF(L31&gt;0,IF(INDEX('[1]Fabrication - Achat - 2014 et +'!$Z:$BB,L31,23)=0,"",INDEX('[1]Fabrication - Achat - 2014 et +'!$Z:$BB,L31,23)),"")</f>
        <v/>
      </c>
      <c r="O31" s="21">
        <f>IF(L31&gt;0,IF(INDEX('[1]Fabrication - Achat - 2014 et +'!$Z:$BB,L31,4)=0,"",INDEX('[1]Fabrication - Achat - 2014 et +'!$Z:$BB,L31,4)),"")</f>
        <v/>
      </c>
      <c r="P31" s="20">
        <f>IF(L31&gt;0,IF(INDEX('[1]Fabrication - Achat - 2014 et +'!$Z:$BB,L31,5)=0,"",INDEX('[1]Fabrication - Achat - 2014 et +'!$Z:$BB,L31,5)),"")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devis'!$B$6:$B$29,J32)),IF(L32&gt;0,IF(INDEX('[1]Fabrication - Achat - 2014 et +'!$Z:$BB,L32,2)=0,INDEX('2 Import devis'!$B$6:$B$29,J32),TRIM(SUBSTITUTE(INDEX('[1]Fabrication - Achat - 2014 et +'!$Z:$BB,L32,2),CHAR(10)," "))),INDEX('2 Import devis'!$B$6:$B$29,J32))))</f>
        <v/>
      </c>
      <c r="D32" s="17">
        <f>IF(OR(J32=0,K32=1),"",1)</f>
        <v/>
      </c>
      <c r="E32" s="17">
        <f>IF(OR(J32=0,K32=1),"",IF(L32&gt;0,IF(N(INDEX('[1]Fabrication - Achat - 2014 et +'!$Z:$BB,L32,22))=0,IF(ISTEXT(INDEX('[1]Fabrication - Achat - 2014 et +'!$Z:$BB,L32,22)),INDEX('[1]Fabrication - Achat - 2014 et +'!$Z:$BB,L32,22),"FR"),"FR"),"FR"))</f>
        <v/>
      </c>
      <c r="F32" s="18">
        <f>IF(L32&gt;0,IF(N(INDEX('[1]Fabrication - Achat - 2014 et +'!$Z:$BB,L32,3))=0,"",ROUND(INDEX('[1]Fabrication - Achat - 2014 et +'!$Z:$BB,L32,3),1)),"")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IF(OR(J32=0,K32=1,B32=""),0,IFERROR(MATCH(B32,'[1]Fabrication - Achat - 2014 et +'!$Z:$Z,0),0))</f>
        <v/>
      </c>
      <c r="M32" s="20">
        <f>IF(L32&gt;0,IF(INDEX('[1]Fabrication - Achat - 2014 et +'!$Z:$BB,L32,20)=0,"",INDEX('[1]Fabrication - Achat - 2014 et +'!$Z:$BB,L32,20)),"")</f>
        <v/>
      </c>
      <c r="N32" s="20">
        <f>IF(L32&gt;0,IF(INDEX('[1]Fabrication - Achat - 2014 et +'!$Z:$BB,L32,23)=0,"",INDEX('[1]Fabrication - Achat - 2014 et +'!$Z:$BB,L32,23)),"")</f>
        <v/>
      </c>
      <c r="O32" s="21">
        <f>IF(L32&gt;0,IF(INDEX('[1]Fabrication - Achat - 2014 et +'!$Z:$BB,L32,4)=0,"",INDEX('[1]Fabrication - Achat - 2014 et +'!$Z:$BB,L32,4)),"")</f>
        <v/>
      </c>
      <c r="P32" s="20">
        <f>IF(L32&gt;0,IF(INDEX('[1]Fabrication - Achat - 2014 et +'!$Z:$BB,L32,5)=0,"",INDEX('[1]Fabrication - Achat - 2014 et +'!$Z:$BB,L32,5)),"")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devis'!$B$6:$B$29,J33)),IF(L33&gt;0,IF(INDEX('[1]Fabrication - Achat - 2014 et +'!$Z:$BB,L33,2)=0,INDEX('2 Import devis'!$B$6:$B$29,J33),TRIM(SUBSTITUTE(INDEX('[1]Fabrication - Achat - 2014 et +'!$Z:$BB,L33,2),CHAR(10)," "))),INDEX('2 Import devis'!$B$6:$B$29,J33))))</f>
        <v/>
      </c>
      <c r="D33" s="17">
        <f>IF(OR(J33=0,K33=1),"",1)</f>
        <v/>
      </c>
      <c r="E33" s="17">
        <f>IF(OR(J33=0,K33=1),"",IF(L33&gt;0,IF(N(INDEX('[1]Fabrication - Achat - 2014 et +'!$Z:$BB,L33,22))=0,IF(ISTEXT(INDEX('[1]Fabrication - Achat - 2014 et +'!$Z:$BB,L33,22)),INDEX('[1]Fabrication - Achat - 2014 et +'!$Z:$BB,L33,22),"FR"),"FR"),"FR"))</f>
        <v/>
      </c>
      <c r="F33" s="18">
        <f>IF(L33&gt;0,IF(N(INDEX('[1]Fabrication - Achat - 2014 et +'!$Z:$BB,L33,3))=0,"",ROUND(INDEX('[1]Fabrication - Achat - 2014 et +'!$Z:$BB,L33,3),1)),"")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IF(OR(J33=0,K33=1,B33=""),0,IFERROR(MATCH(B33,'[1]Fabrication - Achat - 2014 et +'!$Z:$Z,0),0))</f>
        <v/>
      </c>
      <c r="M33" s="20">
        <f>IF(L33&gt;0,IF(INDEX('[1]Fabrication - Achat - 2014 et +'!$Z:$BB,L33,20)=0,"",INDEX('[1]Fabrication - Achat - 2014 et +'!$Z:$BB,L33,20)),"")</f>
        <v/>
      </c>
      <c r="N33" s="20">
        <f>IF(L33&gt;0,IF(INDEX('[1]Fabrication - Achat - 2014 et +'!$Z:$BB,L33,23)=0,"",INDEX('[1]Fabrication - Achat - 2014 et +'!$Z:$BB,L33,23)),"")</f>
        <v/>
      </c>
      <c r="O33" s="21">
        <f>IF(L33&gt;0,IF(INDEX('[1]Fabrication - Achat - 2014 et +'!$Z:$BB,L33,4)=0,"",INDEX('[1]Fabrication - Achat - 2014 et +'!$Z:$BB,L33,4)),"")</f>
        <v/>
      </c>
      <c r="P33" s="20">
        <f>IF(L33&gt;0,IF(INDEX('[1]Fabrication - Achat - 2014 et +'!$Z:$BB,L33,5)=0,"",INDEX('[1]Fabrication - Achat - 2014 et +'!$Z:$BB,L33,5)),"")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devis'!$B$6:$B$29,J34)),IF(L34&gt;0,IF(INDEX('[1]Fabrication - Achat - 2014 et +'!$Z:$BB,L34,2)=0,INDEX('2 Import devis'!$B$6:$B$29,J34),TRIM(SUBSTITUTE(INDEX('[1]Fabrication - Achat - 2014 et +'!$Z:$BB,L34,2),CHAR(10)," "))),INDEX('2 Import devis'!$B$6:$B$29,J34))))</f>
        <v/>
      </c>
      <c r="D34" s="17">
        <f>IF(OR(J34=0,K34=1),"",1)</f>
        <v/>
      </c>
      <c r="E34" s="17">
        <f>IF(OR(J34=0,K34=1),"",IF(L34&gt;0,IF(N(INDEX('[1]Fabrication - Achat - 2014 et +'!$Z:$BB,L34,22))=0,IF(ISTEXT(INDEX('[1]Fabrication - Achat - 2014 et +'!$Z:$BB,L34,22)),INDEX('[1]Fabrication - Achat - 2014 et +'!$Z:$BB,L34,22),"FR"),"FR"),"FR"))</f>
        <v/>
      </c>
      <c r="F34" s="18">
        <f>IF(L34&gt;0,IF(N(INDEX('[1]Fabrication - Achat - 2014 et +'!$Z:$BB,L34,3))=0,"",ROUND(INDEX('[1]Fabrication - Achat - 2014 et +'!$Z:$BB,L34,3),1)),"")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IF(OR(J34=0,K34=1,B34=""),0,IFERROR(MATCH(B34,'[1]Fabrication - Achat - 2014 et +'!$Z:$Z,0),0))</f>
        <v/>
      </c>
      <c r="M34" s="20">
        <f>IF(L34&gt;0,IF(INDEX('[1]Fabrication - Achat - 2014 et +'!$Z:$BB,L34,20)=0,"",INDEX('[1]Fabrication - Achat - 2014 et +'!$Z:$BB,L34,20)),"")</f>
        <v/>
      </c>
      <c r="N34" s="20">
        <f>IF(L34&gt;0,IF(INDEX('[1]Fabrication - Achat - 2014 et +'!$Z:$BB,L34,23)=0,"",INDEX('[1]Fabrication - Achat - 2014 et +'!$Z:$BB,L34,23)),"")</f>
        <v/>
      </c>
      <c r="O34" s="21">
        <f>IF(L34&gt;0,IF(INDEX('[1]Fabrication - Achat - 2014 et +'!$Z:$BB,L34,4)=0,"",INDEX('[1]Fabrication - Achat - 2014 et +'!$Z:$BB,L34,4)),"")</f>
        <v/>
      </c>
      <c r="P34" s="20">
        <f>IF(L34&gt;0,IF(INDEX('[1]Fabrication - Achat - 2014 et +'!$Z:$BB,L34,5)=0,"",INDEX('[1]Fabrication - Achat - 2014 et +'!$Z:$BB,L34,5)),"")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devis'!$B$6:$B$29,J35)),IF(L35&gt;0,IF(INDEX('[1]Fabrication - Achat - 2014 et +'!$Z:$BB,L35,2)=0,INDEX('2 Import devis'!$B$6:$B$29,J35),TRIM(SUBSTITUTE(INDEX('[1]Fabrication - Achat - 2014 et +'!$Z:$BB,L35,2),CHAR(10)," "))),INDEX('2 Import devis'!$B$6:$B$29,J35))))</f>
        <v/>
      </c>
      <c r="D35" s="17">
        <f>IF(OR(J35=0,K35=1),"",1)</f>
        <v/>
      </c>
      <c r="E35" s="17">
        <f>IF(OR(J35=0,K35=1),"",IF(L35&gt;0,IF(N(INDEX('[1]Fabrication - Achat - 2014 et +'!$Z:$BB,L35,22))=0,IF(ISTEXT(INDEX('[1]Fabrication - Achat - 2014 et +'!$Z:$BB,L35,22)),INDEX('[1]Fabrication - Achat - 2014 et +'!$Z:$BB,L35,22),"FR"),"FR"),"FR"))</f>
        <v/>
      </c>
      <c r="F35" s="18">
        <f>IF(L35&gt;0,IF(N(INDEX('[1]Fabrication - Achat - 2014 et +'!$Z:$BB,L35,3))=0,"",ROUND(INDEX('[1]Fabrication - Achat - 2014 et +'!$Z:$BB,L35,3),1)),"")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IF(OR(J35=0,K35=1,B35=""),0,IFERROR(MATCH(B35,'[1]Fabrication - Achat - 2014 et +'!$Z:$Z,0),0))</f>
        <v/>
      </c>
      <c r="M35" s="20">
        <f>IF(L35&gt;0,IF(INDEX('[1]Fabrication - Achat - 2014 et +'!$Z:$BB,L35,20)=0,"",INDEX('[1]Fabrication - Achat - 2014 et +'!$Z:$BB,L35,20)),"")</f>
        <v/>
      </c>
      <c r="N35" s="20">
        <f>IF(L35&gt;0,IF(INDEX('[1]Fabrication - Achat - 2014 et +'!$Z:$BB,L35,23)=0,"",INDEX('[1]Fabrication - Achat - 2014 et +'!$Z:$BB,L35,23)),"")</f>
        <v/>
      </c>
      <c r="O35" s="21">
        <f>IF(L35&gt;0,IF(INDEX('[1]Fabrication - Achat - 2014 et +'!$Z:$BB,L35,4)=0,"",INDEX('[1]Fabrication - Achat - 2014 et +'!$Z:$BB,L35,4)),"")</f>
        <v/>
      </c>
      <c r="P35" s="20">
        <f>IF(L35&gt;0,IF(INDEX('[1]Fabrication - Achat - 2014 et +'!$Z:$BB,L35,5)=0,"",INDEX('[1]Fabrication - Achat - 2014 et +'!$Z:$BB,L35,5)),"")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devis'!$B$6:$B$29,J36)),IF(L36&gt;0,IF(INDEX('[1]Fabrication - Achat - 2014 et +'!$Z:$BB,L36,2)=0,INDEX('2 Import devis'!$B$6:$B$29,J36),TRIM(SUBSTITUTE(INDEX('[1]Fabrication - Achat - 2014 et +'!$Z:$BB,L36,2),CHAR(10)," "))),INDEX('2 Import devis'!$B$6:$B$29,J36))))</f>
        <v/>
      </c>
      <c r="D36" s="17">
        <f>IF(OR(J36=0,K36=1),"",1)</f>
        <v/>
      </c>
      <c r="E36" s="17">
        <f>IF(OR(J36=0,K36=1),"",IF(L36&gt;0,IF(N(INDEX('[1]Fabrication - Achat - 2014 et +'!$Z:$BB,L36,22))=0,IF(ISTEXT(INDEX('[1]Fabrication - Achat - 2014 et +'!$Z:$BB,L36,22)),INDEX('[1]Fabrication - Achat - 2014 et +'!$Z:$BB,L36,22),"FR"),"FR"),"FR"))</f>
        <v/>
      </c>
      <c r="F36" s="18">
        <f>IF(L36&gt;0,IF(N(INDEX('[1]Fabrication - Achat - 2014 et +'!$Z:$BB,L36,3))=0,"",ROUND(INDEX('[1]Fabrication - Achat - 2014 et +'!$Z:$BB,L36,3),1)),"")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IF(OR(J36=0,K36=1,B36=""),0,IFERROR(MATCH(B36,'[1]Fabrication - Achat - 2014 et +'!$Z:$Z,0),0))</f>
        <v/>
      </c>
      <c r="M36" s="20">
        <f>IF(L36&gt;0,IF(INDEX('[1]Fabrication - Achat - 2014 et +'!$Z:$BB,L36,20)=0,"",INDEX('[1]Fabrication - Achat - 2014 et +'!$Z:$BB,L36,20)),"")</f>
        <v/>
      </c>
      <c r="N36" s="20">
        <f>IF(L36&gt;0,IF(INDEX('[1]Fabrication - Achat - 2014 et +'!$Z:$BB,L36,23)=0,"",INDEX('[1]Fabrication - Achat - 2014 et +'!$Z:$BB,L36,23)),"")</f>
        <v/>
      </c>
      <c r="O36" s="21">
        <f>IF(L36&gt;0,IF(INDEX('[1]Fabrication - Achat - 2014 et +'!$Z:$BB,L36,4)=0,"",INDEX('[1]Fabrication - Achat - 2014 et +'!$Z:$BB,L36,4)),"")</f>
        <v/>
      </c>
      <c r="P36" s="20">
        <f>IF(L36&gt;0,IF(INDEX('[1]Fabrication - Achat - 2014 et +'!$Z:$BB,L36,5)=0,"",INDEX('[1]Fabrication - Achat - 2014 et +'!$Z:$BB,L36,5)),"")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devis'!$B$6:$B$29,J37)),IF(L37&gt;0,IF(INDEX('[1]Fabrication - Achat - 2014 et +'!$Z:$BB,L37,2)=0,INDEX('2 Import devis'!$B$6:$B$29,J37),TRIM(SUBSTITUTE(INDEX('[1]Fabrication - Achat - 2014 et +'!$Z:$BB,L37,2),CHAR(10)," "))),INDEX('2 Import devis'!$B$6:$B$29,J37))))</f>
        <v/>
      </c>
      <c r="D37" s="17">
        <f>IF(OR(J37=0,K37=1),"",1)</f>
        <v/>
      </c>
      <c r="E37" s="17">
        <f>IF(OR(J37=0,K37=1),"",IF(L37&gt;0,IF(N(INDEX('[1]Fabrication - Achat - 2014 et +'!$Z:$BB,L37,22))=0,IF(ISTEXT(INDEX('[1]Fabrication - Achat - 2014 et +'!$Z:$BB,L37,22)),INDEX('[1]Fabrication - Achat - 2014 et +'!$Z:$BB,L37,22),"FR"),"FR"),"FR"))</f>
        <v/>
      </c>
      <c r="F37" s="18">
        <f>IF(L37&gt;0,IF(N(INDEX('[1]Fabrication - Achat - 2014 et +'!$Z:$BB,L37,3))=0,"",ROUND(INDEX('[1]Fabrication - Achat - 2014 et +'!$Z:$BB,L37,3),1)),"")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IF(OR(J37=0,K37=1,B37=""),0,IFERROR(MATCH(B37,'[1]Fabrication - Achat - 2014 et +'!$Z:$Z,0),0))</f>
        <v/>
      </c>
      <c r="M37" s="20">
        <f>IF(L37&gt;0,IF(INDEX('[1]Fabrication - Achat - 2014 et +'!$Z:$BB,L37,20)=0,"",INDEX('[1]Fabrication - Achat - 2014 et +'!$Z:$BB,L37,20)),"")</f>
        <v/>
      </c>
      <c r="N37" s="20">
        <f>IF(L37&gt;0,IF(INDEX('[1]Fabrication - Achat - 2014 et +'!$Z:$BB,L37,23)=0,"",INDEX('[1]Fabrication - Achat - 2014 et +'!$Z:$BB,L37,23)),"")</f>
        <v/>
      </c>
      <c r="O37" s="21">
        <f>IF(L37&gt;0,IF(INDEX('[1]Fabrication - Achat - 2014 et +'!$Z:$BB,L37,4)=0,"",INDEX('[1]Fabrication - Achat - 2014 et +'!$Z:$BB,L37,4)),"")</f>
        <v/>
      </c>
      <c r="P37" s="20">
        <f>IF(L37&gt;0,IF(INDEX('[1]Fabrication - Achat - 2014 et +'!$Z:$BB,L37,5)=0,"",INDEX('[1]Fabrication - Achat - 2014 et +'!$Z:$BB,L37,5)),"")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devis'!$B$6:$B$29,J38)),IF(L38&gt;0,IF(INDEX('[1]Fabrication - Achat - 2014 et +'!$Z:$BB,L38,2)=0,INDEX('2 Import devis'!$B$6:$B$29,J38),TRIM(SUBSTITUTE(INDEX('[1]Fabrication - Achat - 2014 et +'!$Z:$BB,L38,2),CHAR(10)," "))),INDEX('2 Import devis'!$B$6:$B$29,J38))))</f>
        <v/>
      </c>
      <c r="D38" s="17">
        <f>IF(OR(J38=0,K38=1),"",1)</f>
        <v/>
      </c>
      <c r="E38" s="17">
        <f>IF(OR(J38=0,K38=1),"",IF(L38&gt;0,IF(N(INDEX('[1]Fabrication - Achat - 2014 et +'!$Z:$BB,L38,22))=0,IF(ISTEXT(INDEX('[1]Fabrication - Achat - 2014 et +'!$Z:$BB,L38,22)),INDEX('[1]Fabrication - Achat - 2014 et +'!$Z:$BB,L38,22),"FR"),"FR"),"FR"))</f>
        <v/>
      </c>
      <c r="F38" s="18">
        <f>IF(L38&gt;0,IF(N(INDEX('[1]Fabrication - Achat - 2014 et +'!$Z:$BB,L38,3))=0,"",ROUND(INDEX('[1]Fabrication - Achat - 2014 et +'!$Z:$BB,L38,3),1)),"")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IF(OR(J38=0,K38=1,B38=""),0,IFERROR(MATCH(B38,'[1]Fabrication - Achat - 2014 et +'!$Z:$Z,0),0))</f>
        <v/>
      </c>
      <c r="M38" s="20">
        <f>IF(L38&gt;0,IF(INDEX('[1]Fabrication - Achat - 2014 et +'!$Z:$BB,L38,20)=0,"",INDEX('[1]Fabrication - Achat - 2014 et +'!$Z:$BB,L38,20)),"")</f>
        <v/>
      </c>
      <c r="N38" s="20">
        <f>IF(L38&gt;0,IF(INDEX('[1]Fabrication - Achat - 2014 et +'!$Z:$BB,L38,23)=0,"",INDEX('[1]Fabrication - Achat - 2014 et +'!$Z:$BB,L38,23)),"")</f>
        <v/>
      </c>
      <c r="O38" s="21">
        <f>IF(L38&gt;0,IF(INDEX('[1]Fabrication - Achat - 2014 et +'!$Z:$BB,L38,4)=0,"",INDEX('[1]Fabrication - Achat - 2014 et +'!$Z:$BB,L38,4)),"")</f>
        <v/>
      </c>
      <c r="P38" s="20">
        <f>IF(L38&gt;0,IF(INDEX('[1]Fabrication - Achat - 2014 et +'!$Z:$BB,L38,5)=0,"",INDEX('[1]Fabrication - Achat - 2014 et +'!$Z:$BB,L38,5)),"")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devis'!$B$6:$B$29,J39)),IF(L39&gt;0,IF(INDEX('[1]Fabrication - Achat - 2014 et +'!$Z:$BB,L39,2)=0,INDEX('2 Import devis'!$B$6:$B$29,J39),TRIM(SUBSTITUTE(INDEX('[1]Fabrication - Achat - 2014 et +'!$Z:$BB,L39,2),CHAR(10)," "))),INDEX('2 Import devis'!$B$6:$B$29,J39))))</f>
        <v/>
      </c>
      <c r="D39" s="17">
        <f>IF(OR(J39=0,K39=1),"",1)</f>
        <v/>
      </c>
      <c r="E39" s="17">
        <f>IF(OR(J39=0,K39=1),"",IF(L39&gt;0,IF(N(INDEX('[1]Fabrication - Achat - 2014 et +'!$Z:$BB,L39,22))=0,IF(ISTEXT(INDEX('[1]Fabrication - Achat - 2014 et +'!$Z:$BB,L39,22)),INDEX('[1]Fabrication - Achat - 2014 et +'!$Z:$BB,L39,22),"FR"),"FR"),"FR"))</f>
        <v/>
      </c>
      <c r="F39" s="18">
        <f>IF(L39&gt;0,IF(N(INDEX('[1]Fabrication - Achat - 2014 et +'!$Z:$BB,L39,3))=0,"",ROUND(INDEX('[1]Fabrication - Achat - 2014 et +'!$Z:$BB,L39,3),1)),"")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IF(OR(J39=0,K39=1,B39=""),0,IFERROR(MATCH(B39,'[1]Fabrication - Achat - 2014 et +'!$Z:$Z,0),0))</f>
        <v/>
      </c>
      <c r="M39" s="20">
        <f>IF(L39&gt;0,IF(INDEX('[1]Fabrication - Achat - 2014 et +'!$Z:$BB,L39,20)=0,"",INDEX('[1]Fabrication - Achat - 2014 et +'!$Z:$BB,L39,20)),"")</f>
        <v/>
      </c>
      <c r="N39" s="20">
        <f>IF(L39&gt;0,IF(INDEX('[1]Fabrication - Achat - 2014 et +'!$Z:$BB,L39,23)=0,"",INDEX('[1]Fabrication - Achat - 2014 et +'!$Z:$BB,L39,23)),"")</f>
        <v/>
      </c>
      <c r="O39" s="21">
        <f>IF(L39&gt;0,IF(INDEX('[1]Fabrication - Achat - 2014 et +'!$Z:$BB,L39,4)=0,"",INDEX('[1]Fabrication - Achat - 2014 et +'!$Z:$BB,L39,4)),"")</f>
        <v/>
      </c>
      <c r="P39" s="20">
        <f>IF(L39&gt;0,IF(INDEX('[1]Fabrication - Achat - 2014 et +'!$Z:$BB,L39,5)=0,"",INDEX('[1]Fabrication - Achat - 2014 et +'!$Z:$BB,L39,5)),"")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devis'!$B$6:$B$29,J40)),IF(L40&gt;0,IF(INDEX('[1]Fabrication - Achat - 2014 et +'!$Z:$BB,L40,2)=0,INDEX('2 Import devis'!$B$6:$B$29,J40),TRIM(SUBSTITUTE(INDEX('[1]Fabrication - Achat - 2014 et +'!$Z:$BB,L40,2),CHAR(10)," "))),INDEX('2 Import devis'!$B$6:$B$29,J40))))</f>
        <v/>
      </c>
      <c r="D40" s="17">
        <f>IF(OR(J40=0,K40=1),"",1)</f>
        <v/>
      </c>
      <c r="E40" s="17">
        <f>IF(OR(J40=0,K40=1),"",IF(L40&gt;0,IF(N(INDEX('[1]Fabrication - Achat - 2014 et +'!$Z:$BB,L40,22))=0,IF(ISTEXT(INDEX('[1]Fabrication - Achat - 2014 et +'!$Z:$BB,L40,22)),INDEX('[1]Fabrication - Achat - 2014 et +'!$Z:$BB,L40,22),"FR"),"FR"),"FR"))</f>
        <v/>
      </c>
      <c r="F40" s="18">
        <f>IF(L40&gt;0,IF(N(INDEX('[1]Fabrication - Achat - 2014 et +'!$Z:$BB,L40,3))=0,"",ROUND(INDEX('[1]Fabrication - Achat - 2014 et +'!$Z:$BB,L40,3),1)),"")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IF(OR(J40=0,K40=1,B40=""),0,IFERROR(MATCH(B40,'[1]Fabrication - Achat - 2014 et +'!$Z:$Z,0),0))</f>
        <v/>
      </c>
      <c r="M40" s="20">
        <f>IF(L40&gt;0,IF(INDEX('[1]Fabrication - Achat - 2014 et +'!$Z:$BB,L40,20)=0,"",INDEX('[1]Fabrication - Achat - 2014 et +'!$Z:$BB,L40,20)),"")</f>
        <v/>
      </c>
      <c r="N40" s="20">
        <f>IF(L40&gt;0,IF(INDEX('[1]Fabrication - Achat - 2014 et +'!$Z:$BB,L40,23)=0,"",INDEX('[1]Fabrication - Achat - 2014 et +'!$Z:$BB,L40,23)),"")</f>
        <v/>
      </c>
      <c r="O40" s="21">
        <f>IF(L40&gt;0,IF(INDEX('[1]Fabrication - Achat - 2014 et +'!$Z:$BB,L40,4)=0,"",INDEX('[1]Fabrication - Achat - 2014 et +'!$Z:$BB,L40,4)),"")</f>
        <v/>
      </c>
      <c r="P40" s="20">
        <f>IF(L40&gt;0,IF(INDEX('[1]Fabrication - Achat - 2014 et +'!$Z:$BB,L40,5)=0,"",INDEX('[1]Fabrication - Achat - 2014 et +'!$Z:$BB,L40,5)),"")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devis'!$B$6:$B$29,J41)),IF(L41&gt;0,IF(INDEX('[1]Fabrication - Achat - 2014 et +'!$Z:$BB,L41,2)=0,INDEX('2 Import devis'!$B$6:$B$29,J41),TRIM(SUBSTITUTE(INDEX('[1]Fabrication - Achat - 2014 et +'!$Z:$BB,L41,2),CHAR(10)," "))),INDEX('2 Import devis'!$B$6:$B$29,J41))))</f>
        <v/>
      </c>
      <c r="D41" s="17">
        <f>IF(OR(J41=0,K41=1),"",1)</f>
        <v/>
      </c>
      <c r="E41" s="17">
        <f>IF(OR(J41=0,K41=1),"",IF(L41&gt;0,IF(N(INDEX('[1]Fabrication - Achat - 2014 et +'!$Z:$BB,L41,22))=0,IF(ISTEXT(INDEX('[1]Fabrication - Achat - 2014 et +'!$Z:$BB,L41,22)),INDEX('[1]Fabrication - Achat - 2014 et +'!$Z:$BB,L41,22),"FR"),"FR"),"FR"))</f>
        <v/>
      </c>
      <c r="F41" s="18">
        <f>IF(L41&gt;0,IF(N(INDEX('[1]Fabrication - Achat - 2014 et +'!$Z:$BB,L41,3))=0,"",ROUND(INDEX('[1]Fabrication - Achat - 2014 et +'!$Z:$BB,L41,3),1)),"")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IF(OR(J41=0,K41=1,B41=""),0,IFERROR(MATCH(B41,'[1]Fabrication - Achat - 2014 et +'!$Z:$Z,0),0))</f>
        <v/>
      </c>
      <c r="M41" s="20">
        <f>IF(L41&gt;0,IF(INDEX('[1]Fabrication - Achat - 2014 et +'!$Z:$BB,L41,20)=0,"",INDEX('[1]Fabrication - Achat - 2014 et +'!$Z:$BB,L41,20)),"")</f>
        <v/>
      </c>
      <c r="N41" s="20">
        <f>IF(L41&gt;0,IF(INDEX('[1]Fabrication - Achat - 2014 et +'!$Z:$BB,L41,23)=0,"",INDEX('[1]Fabrication - Achat - 2014 et +'!$Z:$BB,L41,23)),"")</f>
        <v/>
      </c>
      <c r="O41" s="21">
        <f>IF(L41&gt;0,IF(INDEX('[1]Fabrication - Achat - 2014 et +'!$Z:$BB,L41,4)=0,"",INDEX('[1]Fabrication - Achat - 2014 et +'!$Z:$BB,L41,4)),"")</f>
        <v/>
      </c>
      <c r="P41" s="20">
        <f>IF(L41&gt;0,IF(INDEX('[1]Fabrication - Achat - 2014 et +'!$Z:$BB,L41,5)=0,"",INDEX('[1]Fabrication - Achat - 2014 et +'!$Z:$BB,L41,5)),"")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devis'!$B$6:$B$29,J42)),IF(L42&gt;0,IF(INDEX('[1]Fabrication - Achat - 2014 et +'!$Z:$BB,L42,2)=0,INDEX('2 Import devis'!$B$6:$B$29,J42),TRIM(SUBSTITUTE(INDEX('[1]Fabrication - Achat - 2014 et +'!$Z:$BB,L42,2),CHAR(10)," "))),INDEX('2 Import devis'!$B$6:$B$29,J42))))</f>
        <v/>
      </c>
      <c r="D42" s="17">
        <f>IF(OR(J42=0,K42=1),"",1)</f>
        <v/>
      </c>
      <c r="E42" s="17">
        <f>IF(OR(J42=0,K42=1),"",IF(L42&gt;0,IF(N(INDEX('[1]Fabrication - Achat - 2014 et +'!$Z:$BB,L42,22))=0,IF(ISTEXT(INDEX('[1]Fabrication - Achat - 2014 et +'!$Z:$BB,L42,22)),INDEX('[1]Fabrication - Achat - 2014 et +'!$Z:$BB,L42,22),"FR"),"FR"),"FR"))</f>
        <v/>
      </c>
      <c r="F42" s="18">
        <f>IF(L42&gt;0,IF(N(INDEX('[1]Fabrication - Achat - 2014 et +'!$Z:$BB,L42,3))=0,"",ROUND(INDEX('[1]Fabrication - Achat - 2014 et +'!$Z:$BB,L42,3),1)),"")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IF(OR(J42=0,K42=1,B42=""),0,IFERROR(MATCH(B42,'[1]Fabrication - Achat - 2014 et +'!$Z:$Z,0),0))</f>
        <v/>
      </c>
      <c r="M42" s="20">
        <f>IF(L42&gt;0,IF(INDEX('[1]Fabrication - Achat - 2014 et +'!$Z:$BB,L42,20)=0,"",INDEX('[1]Fabrication - Achat - 2014 et +'!$Z:$BB,L42,20)),"")</f>
        <v/>
      </c>
      <c r="N42" s="20">
        <f>IF(L42&gt;0,IF(INDEX('[1]Fabrication - Achat - 2014 et +'!$Z:$BB,L42,23)=0,"",INDEX('[1]Fabrication - Achat - 2014 et +'!$Z:$BB,L42,23)),"")</f>
        <v/>
      </c>
      <c r="O42" s="21">
        <f>IF(L42&gt;0,IF(INDEX('[1]Fabrication - Achat - 2014 et +'!$Z:$BB,L42,4)=0,"",INDEX('[1]Fabrication - Achat - 2014 et +'!$Z:$BB,L42,4)),"")</f>
        <v/>
      </c>
      <c r="P42" s="20">
        <f>IF(L42&gt;0,IF(INDEX('[1]Fabrication - Achat - 2014 et +'!$Z:$BB,L42,5)=0,"",INDEX('[1]Fabrication - Achat - 2014 et +'!$Z:$BB,L42,5)),"")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devis'!$B$6:$B$29,J43)),IF(L43&gt;0,IF(INDEX('[1]Fabrication - Achat - 2014 et +'!$Z:$BB,L43,2)=0,INDEX('2 Import devis'!$B$6:$B$29,J43),TRIM(SUBSTITUTE(INDEX('[1]Fabrication - Achat - 2014 et +'!$Z:$BB,L43,2),CHAR(10)," "))),INDEX('2 Import devis'!$B$6:$B$29,J43))))</f>
        <v/>
      </c>
      <c r="D43" s="17">
        <f>IF(OR(J43=0,K43=1),"",1)</f>
        <v/>
      </c>
      <c r="E43" s="17">
        <f>IF(OR(J43=0,K43=1),"",IF(L43&gt;0,IF(N(INDEX('[1]Fabrication - Achat - 2014 et +'!$Z:$BB,L43,22))=0,IF(ISTEXT(INDEX('[1]Fabrication - Achat - 2014 et +'!$Z:$BB,L43,22)),INDEX('[1]Fabrication - Achat - 2014 et +'!$Z:$BB,L43,22),"FR"),"FR"),"FR"))</f>
        <v/>
      </c>
      <c r="F43" s="18">
        <f>IF(L43&gt;0,IF(N(INDEX('[1]Fabrication - Achat - 2014 et +'!$Z:$BB,L43,3))=0,"",ROUND(INDEX('[1]Fabrication - Achat - 2014 et +'!$Z:$BB,L43,3),1)),"")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IF(OR(J43=0,K43=1,B43=""),0,IFERROR(MATCH(B43,'[1]Fabrication - Achat - 2014 et +'!$Z:$Z,0),0))</f>
        <v/>
      </c>
      <c r="M43" s="20">
        <f>IF(L43&gt;0,IF(INDEX('[1]Fabrication - Achat - 2014 et +'!$Z:$BB,L43,20)=0,"",INDEX('[1]Fabrication - Achat - 2014 et +'!$Z:$BB,L43,20)),"")</f>
        <v/>
      </c>
      <c r="N43" s="20">
        <f>IF(L43&gt;0,IF(INDEX('[1]Fabrication - Achat - 2014 et +'!$Z:$BB,L43,23)=0,"",INDEX('[1]Fabrication - Achat - 2014 et +'!$Z:$BB,L43,23)),"")</f>
        <v/>
      </c>
      <c r="O43" s="21">
        <f>IF(L43&gt;0,IF(INDEX('[1]Fabrication - Achat - 2014 et +'!$Z:$BB,L43,4)=0,"",INDEX('[1]Fabrication - Achat - 2014 et +'!$Z:$BB,L43,4)),"")</f>
        <v/>
      </c>
      <c r="P43" s="20">
        <f>IF(L43&gt;0,IF(INDEX('[1]Fabrication - Achat - 2014 et +'!$Z:$BB,L43,5)=0,"",INDEX('[1]Fabrication - Achat - 2014 et +'!$Z:$BB,L43,5)),"")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devis'!$B$6:$B$29,J44)),IF(L44&gt;0,IF(INDEX('[1]Fabrication - Achat - 2014 et +'!$Z:$BB,L44,2)=0,INDEX('2 Import devis'!$B$6:$B$29,J44),TRIM(SUBSTITUTE(INDEX('[1]Fabrication - Achat - 2014 et +'!$Z:$BB,L44,2),CHAR(10)," "))),INDEX('2 Import devis'!$B$6:$B$29,J44))))</f>
        <v/>
      </c>
      <c r="D44" s="17">
        <f>IF(OR(J44=0,K44=1),"",1)</f>
        <v/>
      </c>
      <c r="E44" s="17">
        <f>IF(OR(J44=0,K44=1),"",IF(L44&gt;0,IF(N(INDEX('[1]Fabrication - Achat - 2014 et +'!$Z:$BB,L44,22))=0,IF(ISTEXT(INDEX('[1]Fabrication - Achat - 2014 et +'!$Z:$BB,L44,22)),INDEX('[1]Fabrication - Achat - 2014 et +'!$Z:$BB,L44,22),"FR"),"FR"),"FR"))</f>
        <v/>
      </c>
      <c r="F44" s="18">
        <f>IF(L44&gt;0,IF(N(INDEX('[1]Fabrication - Achat - 2014 et +'!$Z:$BB,L44,3))=0,"",ROUND(INDEX('[1]Fabrication - Achat - 2014 et +'!$Z:$BB,L44,3),1)),"")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IF(OR(J44=0,K44=1,B44=""),0,IFERROR(MATCH(B44,'[1]Fabrication - Achat - 2014 et +'!$Z:$Z,0),0))</f>
        <v/>
      </c>
      <c r="M44" s="20">
        <f>IF(L44&gt;0,IF(INDEX('[1]Fabrication - Achat - 2014 et +'!$Z:$BB,L44,20)=0,"",INDEX('[1]Fabrication - Achat - 2014 et +'!$Z:$BB,L44,20)),"")</f>
        <v/>
      </c>
      <c r="N44" s="20">
        <f>IF(L44&gt;0,IF(INDEX('[1]Fabrication - Achat - 2014 et +'!$Z:$BB,L44,23)=0,"",INDEX('[1]Fabrication - Achat - 2014 et +'!$Z:$BB,L44,23)),"")</f>
        <v/>
      </c>
      <c r="O44" s="21">
        <f>IF(L44&gt;0,IF(INDEX('[1]Fabrication - Achat - 2014 et +'!$Z:$BB,L44,4)=0,"",INDEX('[1]Fabrication - Achat - 2014 et +'!$Z:$BB,L44,4)),"")</f>
        <v/>
      </c>
      <c r="P44" s="20">
        <f>IF(L44&gt;0,IF(INDEX('[1]Fabrication - Achat - 2014 et +'!$Z:$BB,L44,5)=0,"",INDEX('[1]Fabrication - Achat - 2014 et +'!$Z:$BB,L44,5)),"")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devis'!$B$6:$B$29,J45)),IF(L45&gt;0,IF(INDEX('[1]Fabrication - Achat - 2014 et +'!$Z:$BB,L45,2)=0,INDEX('2 Import devis'!$B$6:$B$29,J45),TRIM(SUBSTITUTE(INDEX('[1]Fabrication - Achat - 2014 et +'!$Z:$BB,L45,2),CHAR(10)," "))),INDEX('2 Import devis'!$B$6:$B$29,J45))))</f>
        <v/>
      </c>
      <c r="D45" s="17">
        <f>IF(OR(J45=0,K45=1),"",1)</f>
        <v/>
      </c>
      <c r="E45" s="17">
        <f>IF(OR(J45=0,K45=1),"",IF(L45&gt;0,IF(N(INDEX('[1]Fabrication - Achat - 2014 et +'!$Z:$BB,L45,22))=0,IF(ISTEXT(INDEX('[1]Fabrication - Achat - 2014 et +'!$Z:$BB,L45,22)),INDEX('[1]Fabrication - Achat - 2014 et +'!$Z:$BB,L45,22),"FR"),"FR"),"FR"))</f>
        <v/>
      </c>
      <c r="F45" s="18">
        <f>IF(L45&gt;0,IF(N(INDEX('[1]Fabrication - Achat - 2014 et +'!$Z:$BB,L45,3))=0,"",ROUND(INDEX('[1]Fabrication - Achat - 2014 et +'!$Z:$BB,L45,3),1)),"")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IF(OR(J45=0,K45=1,B45=""),0,IFERROR(MATCH(B45,'[1]Fabrication - Achat - 2014 et +'!$Z:$Z,0),0))</f>
        <v/>
      </c>
      <c r="M45" s="20">
        <f>IF(L45&gt;0,IF(INDEX('[1]Fabrication - Achat - 2014 et +'!$Z:$BB,L45,20)=0,"",INDEX('[1]Fabrication - Achat - 2014 et +'!$Z:$BB,L45,20)),"")</f>
        <v/>
      </c>
      <c r="N45" s="20">
        <f>IF(L45&gt;0,IF(INDEX('[1]Fabrication - Achat - 2014 et +'!$Z:$BB,L45,23)=0,"",INDEX('[1]Fabrication - Achat - 2014 et +'!$Z:$BB,L45,23)),"")</f>
        <v/>
      </c>
      <c r="O45" s="21">
        <f>IF(L45&gt;0,IF(INDEX('[1]Fabrication - Achat - 2014 et +'!$Z:$BB,L45,4)=0,"",INDEX('[1]Fabrication - Achat - 2014 et +'!$Z:$BB,L45,4)),"")</f>
        <v/>
      </c>
      <c r="P45" s="20">
        <f>IF(L45&gt;0,IF(INDEX('[1]Fabrication - Achat - 2014 et +'!$Z:$BB,L45,5)=0,"",INDEX('[1]Fabrication - Achat - 2014 et +'!$Z:$BB,L45,5)),"")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devis'!$B$6:$B$29,J46)),IF(L46&gt;0,IF(INDEX('[1]Fabrication - Achat - 2014 et +'!$Z:$BB,L46,2)=0,INDEX('2 Import devis'!$B$6:$B$29,J46),TRIM(SUBSTITUTE(INDEX('[1]Fabrication - Achat - 2014 et +'!$Z:$BB,L46,2),CHAR(10)," "))),INDEX('2 Import devis'!$B$6:$B$29,J46))))</f>
        <v/>
      </c>
      <c r="D46" s="17">
        <f>IF(OR(J46=0,K46=1),"",1)</f>
        <v/>
      </c>
      <c r="E46" s="17">
        <f>IF(OR(J46=0,K46=1),"",IF(L46&gt;0,IF(N(INDEX('[1]Fabrication - Achat - 2014 et +'!$Z:$BB,L46,22))=0,IF(ISTEXT(INDEX('[1]Fabrication - Achat - 2014 et +'!$Z:$BB,L46,22)),INDEX('[1]Fabrication - Achat - 2014 et +'!$Z:$BB,L46,22),"FR"),"FR"),"FR"))</f>
        <v/>
      </c>
      <c r="F46" s="18">
        <f>IF(L46&gt;0,IF(N(INDEX('[1]Fabrication - Achat - 2014 et +'!$Z:$BB,L46,3))=0,"",ROUND(INDEX('[1]Fabrication - Achat - 2014 et +'!$Z:$BB,L46,3),1)),"")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IF(OR(J46=0,K46=1,B46=""),0,IFERROR(MATCH(B46,'[1]Fabrication - Achat - 2014 et +'!$Z:$Z,0),0))</f>
        <v/>
      </c>
      <c r="M46" s="20">
        <f>IF(L46&gt;0,IF(INDEX('[1]Fabrication - Achat - 2014 et +'!$Z:$BB,L46,20)=0,"",INDEX('[1]Fabrication - Achat - 2014 et +'!$Z:$BB,L46,20)),"")</f>
        <v/>
      </c>
      <c r="N46" s="20">
        <f>IF(L46&gt;0,IF(INDEX('[1]Fabrication - Achat - 2014 et +'!$Z:$BB,L46,23)=0,"",INDEX('[1]Fabrication - Achat - 2014 et +'!$Z:$BB,L46,23)),"")</f>
        <v/>
      </c>
      <c r="O46" s="21">
        <f>IF(L46&gt;0,IF(INDEX('[1]Fabrication - Achat - 2014 et +'!$Z:$BB,L46,4)=0,"",INDEX('[1]Fabrication - Achat - 2014 et +'!$Z:$BB,L46,4)),"")</f>
        <v/>
      </c>
      <c r="P46" s="20">
        <f>IF(L46&gt;0,IF(INDEX('[1]Fabrication - Achat - 2014 et +'!$Z:$BB,L46,5)=0,"",INDEX('[1]Fabrication - Achat - 2014 et +'!$Z:$BB,L46,5)),"")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devis'!$B$6:$B$29,J47)),IF(L47&gt;0,IF(INDEX('[1]Fabrication - Achat - 2014 et +'!$Z:$BB,L47,2)=0,INDEX('2 Import devis'!$B$6:$B$29,J47),TRIM(SUBSTITUTE(INDEX('[1]Fabrication - Achat - 2014 et +'!$Z:$BB,L47,2),CHAR(10)," "))),INDEX('2 Import devis'!$B$6:$B$29,J47))))</f>
        <v/>
      </c>
      <c r="D47" s="17">
        <f>IF(OR(J47=0,K47=1),"",1)</f>
        <v/>
      </c>
      <c r="E47" s="17">
        <f>IF(OR(J47=0,K47=1),"",IF(L47&gt;0,IF(N(INDEX('[1]Fabrication - Achat - 2014 et +'!$Z:$BB,L47,22))=0,IF(ISTEXT(INDEX('[1]Fabrication - Achat - 2014 et +'!$Z:$BB,L47,22)),INDEX('[1]Fabrication - Achat - 2014 et +'!$Z:$BB,L47,22),"FR"),"FR"),"FR"))</f>
        <v/>
      </c>
      <c r="F47" s="18">
        <f>IF(L47&gt;0,IF(N(INDEX('[1]Fabrication - Achat - 2014 et +'!$Z:$BB,L47,3))=0,"",ROUND(INDEX('[1]Fabrication - Achat - 2014 et +'!$Z:$BB,L47,3),1)),"")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IF(OR(J47=0,K47=1,B47=""),0,IFERROR(MATCH(B47,'[1]Fabrication - Achat - 2014 et +'!$Z:$Z,0),0))</f>
        <v/>
      </c>
      <c r="M47" s="20">
        <f>IF(L47&gt;0,IF(INDEX('[1]Fabrication - Achat - 2014 et +'!$Z:$BB,L47,20)=0,"",INDEX('[1]Fabrication - Achat - 2014 et +'!$Z:$BB,L47,20)),"")</f>
        <v/>
      </c>
      <c r="N47" s="20">
        <f>IF(L47&gt;0,IF(INDEX('[1]Fabrication - Achat - 2014 et +'!$Z:$BB,L47,23)=0,"",INDEX('[1]Fabrication - Achat - 2014 et +'!$Z:$BB,L47,23)),"")</f>
        <v/>
      </c>
      <c r="O47" s="21">
        <f>IF(L47&gt;0,IF(INDEX('[1]Fabrication - Achat - 2014 et +'!$Z:$BB,L47,4)=0,"",INDEX('[1]Fabrication - Achat - 2014 et +'!$Z:$BB,L47,4)),"")</f>
        <v/>
      </c>
      <c r="P47" s="20">
        <f>IF(L47&gt;0,IF(INDEX('[1]Fabrication - Achat - 2014 et +'!$Z:$BB,L47,5)=0,"",INDEX('[1]Fabrication - Achat - 2014 et +'!$Z:$BB,L47,5)),"")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devis'!$B$6:$B$29,J48)),IF(L48&gt;0,IF(INDEX('[1]Fabrication - Achat - 2014 et +'!$Z:$BB,L48,2)=0,INDEX('2 Import devis'!$B$6:$B$29,J48),TRIM(SUBSTITUTE(INDEX('[1]Fabrication - Achat - 2014 et +'!$Z:$BB,L48,2),CHAR(10)," "))),INDEX('2 Import devis'!$B$6:$B$29,J48))))</f>
        <v/>
      </c>
      <c r="D48" s="17">
        <f>IF(OR(J48=0,K48=1),"",1)</f>
        <v/>
      </c>
      <c r="E48" s="17">
        <f>IF(OR(J48=0,K48=1),"",IF(L48&gt;0,IF(N(INDEX('[1]Fabrication - Achat - 2014 et +'!$Z:$BB,L48,22))=0,IF(ISTEXT(INDEX('[1]Fabrication - Achat - 2014 et +'!$Z:$BB,L48,22)),INDEX('[1]Fabrication - Achat - 2014 et +'!$Z:$BB,L48,22),"FR"),"FR"),"FR"))</f>
        <v/>
      </c>
      <c r="F48" s="18">
        <f>IF(L48&gt;0,IF(N(INDEX('[1]Fabrication - Achat - 2014 et +'!$Z:$BB,L48,3))=0,"",ROUND(INDEX('[1]Fabrication - Achat - 2014 et +'!$Z:$BB,L48,3),1)),"")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IF(OR(J48=0,K48=1,B48=""),0,IFERROR(MATCH(B48,'[1]Fabrication - Achat - 2014 et +'!$Z:$Z,0),0))</f>
        <v/>
      </c>
      <c r="M48" s="20">
        <f>IF(L48&gt;0,IF(INDEX('[1]Fabrication - Achat - 2014 et +'!$Z:$BB,L48,20)=0,"",INDEX('[1]Fabrication - Achat - 2014 et +'!$Z:$BB,L48,20)),"")</f>
        <v/>
      </c>
      <c r="N48" s="20">
        <f>IF(L48&gt;0,IF(INDEX('[1]Fabrication - Achat - 2014 et +'!$Z:$BB,L48,23)=0,"",INDEX('[1]Fabrication - Achat - 2014 et +'!$Z:$BB,L48,23)),"")</f>
        <v/>
      </c>
      <c r="O48" s="21">
        <f>IF(L48&gt;0,IF(INDEX('[1]Fabrication - Achat - 2014 et +'!$Z:$BB,L48,4)=0,"",INDEX('[1]Fabrication - Achat - 2014 et +'!$Z:$BB,L48,4)),"")</f>
        <v/>
      </c>
      <c r="P48" s="20">
        <f>IF(L48&gt;0,IF(INDEX('[1]Fabrication - Achat - 2014 et +'!$Z:$BB,L48,5)=0,"",INDEX('[1]Fabrication - Achat - 2014 et +'!$Z:$BB,L48,5)),"")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devis'!$B$6:$B$29,J49)),IF(L49&gt;0,IF(INDEX('[1]Fabrication - Achat - 2014 et +'!$Z:$BB,L49,2)=0,INDEX('2 Import devis'!$B$6:$B$29,J49),TRIM(SUBSTITUTE(INDEX('[1]Fabrication - Achat - 2014 et +'!$Z:$BB,L49,2),CHAR(10)," "))),INDEX('2 Import devis'!$B$6:$B$29,J49))))</f>
        <v/>
      </c>
      <c r="D49" s="17">
        <f>IF(OR(J49=0,K49=1),"",1)</f>
        <v/>
      </c>
      <c r="E49" s="17">
        <f>IF(OR(J49=0,K49=1),"",IF(L49&gt;0,IF(N(INDEX('[1]Fabrication - Achat - 2014 et +'!$Z:$BB,L49,22))=0,IF(ISTEXT(INDEX('[1]Fabrication - Achat - 2014 et +'!$Z:$BB,L49,22)),INDEX('[1]Fabrication - Achat - 2014 et +'!$Z:$BB,L49,22),"FR"),"FR"),"FR"))</f>
        <v/>
      </c>
      <c r="F49" s="18">
        <f>IF(L49&gt;0,IF(N(INDEX('[1]Fabrication - Achat - 2014 et +'!$Z:$BB,L49,3))=0,"",ROUND(INDEX('[1]Fabrication - Achat - 2014 et +'!$Z:$BB,L49,3),1)),"")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IF(OR(J49=0,K49=1,B49=""),0,IFERROR(MATCH(B49,'[1]Fabrication - Achat - 2014 et +'!$Z:$Z,0),0))</f>
        <v/>
      </c>
      <c r="M49" s="20">
        <f>IF(L49&gt;0,IF(INDEX('[1]Fabrication - Achat - 2014 et +'!$Z:$BB,L49,20)=0,"",INDEX('[1]Fabrication - Achat - 2014 et +'!$Z:$BB,L49,20)),"")</f>
        <v/>
      </c>
      <c r="N49" s="20">
        <f>IF(L49&gt;0,IF(INDEX('[1]Fabrication - Achat - 2014 et +'!$Z:$BB,L49,23)=0,"",INDEX('[1]Fabrication - Achat - 2014 et +'!$Z:$BB,L49,23)),"")</f>
        <v/>
      </c>
      <c r="O49" s="21">
        <f>IF(L49&gt;0,IF(INDEX('[1]Fabrication - Achat - 2014 et +'!$Z:$BB,L49,4)=0,"",INDEX('[1]Fabrication - Achat - 2014 et +'!$Z:$BB,L49,4)),"")</f>
        <v/>
      </c>
      <c r="P49" s="20">
        <f>IF(L49&gt;0,IF(INDEX('[1]Fabrication - Achat - 2014 et +'!$Z:$BB,L49,5)=0,"",INDEX('[1]Fabrication - Achat - 2014 et +'!$Z:$BB,L49,5)),"")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devis'!$B$6:$B$29,J50)),IF(L50&gt;0,IF(INDEX('[1]Fabrication - Achat - 2014 et +'!$Z:$BB,L50,2)=0,INDEX('2 Import devis'!$B$6:$B$29,J50),TRIM(SUBSTITUTE(INDEX('[1]Fabrication - Achat - 2014 et +'!$Z:$BB,L50,2),CHAR(10)," "))),INDEX('2 Import devis'!$B$6:$B$29,J50))))</f>
        <v/>
      </c>
      <c r="D50" s="17">
        <f>IF(OR(J50=0,K50=1),"",1)</f>
        <v/>
      </c>
      <c r="E50" s="17">
        <f>IF(OR(J50=0,K50=1),"",IF(L50&gt;0,IF(N(INDEX('[1]Fabrication - Achat - 2014 et +'!$Z:$BB,L50,22))=0,IF(ISTEXT(INDEX('[1]Fabrication - Achat - 2014 et +'!$Z:$BB,L50,22)),INDEX('[1]Fabrication - Achat - 2014 et +'!$Z:$BB,L50,22),"FR"),"FR"),"FR"))</f>
        <v/>
      </c>
      <c r="F50" s="18">
        <f>IF(L50&gt;0,IF(N(INDEX('[1]Fabrication - Achat - 2014 et +'!$Z:$BB,L50,3))=0,"",ROUND(INDEX('[1]Fabrication - Achat - 2014 et +'!$Z:$BB,L50,3),1)),"")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IF(OR(J50=0,K50=1,B50=""),0,IFERROR(MATCH(B50,'[1]Fabrication - Achat - 2014 et +'!$Z:$Z,0),0))</f>
        <v/>
      </c>
      <c r="M50" s="20">
        <f>IF(L50&gt;0,IF(INDEX('[1]Fabrication - Achat - 2014 et +'!$Z:$BB,L50,20)=0,"",INDEX('[1]Fabrication - Achat - 2014 et +'!$Z:$BB,L50,20)),"")</f>
        <v/>
      </c>
      <c r="N50" s="20">
        <f>IF(L50&gt;0,IF(INDEX('[1]Fabrication - Achat - 2014 et +'!$Z:$BB,L50,23)=0,"",INDEX('[1]Fabrication - Achat - 2014 et +'!$Z:$BB,L50,23)),"")</f>
        <v/>
      </c>
      <c r="O50" s="21">
        <f>IF(L50&gt;0,IF(INDEX('[1]Fabrication - Achat - 2014 et +'!$Z:$BB,L50,4)=0,"",INDEX('[1]Fabrication - Achat - 2014 et +'!$Z:$BB,L50,4)),"")</f>
        <v/>
      </c>
      <c r="P50" s="20">
        <f>IF(L50&gt;0,IF(INDEX('[1]Fabrication - Achat - 2014 et +'!$Z:$BB,L50,5)=0,"",INDEX('[1]Fabrication - Achat - 2014 et +'!$Z:$BB,L50,5)),"")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devis'!$B$6:$B$29,J51)),IF(L51&gt;0,IF(INDEX('[1]Fabrication - Achat - 2014 et +'!$Z:$BB,L51,2)=0,INDEX('2 Import devis'!$B$6:$B$29,J51),TRIM(SUBSTITUTE(INDEX('[1]Fabrication - Achat - 2014 et +'!$Z:$BB,L51,2),CHAR(10)," "))),INDEX('2 Import devis'!$B$6:$B$29,J51))))</f>
        <v/>
      </c>
      <c r="D51" s="17">
        <f>IF(OR(J51=0,K51=1),"",1)</f>
        <v/>
      </c>
      <c r="E51" s="17">
        <f>IF(OR(J51=0,K51=1),"",IF(L51&gt;0,IF(N(INDEX('[1]Fabrication - Achat - 2014 et +'!$Z:$BB,L51,22))=0,IF(ISTEXT(INDEX('[1]Fabrication - Achat - 2014 et +'!$Z:$BB,L51,22)),INDEX('[1]Fabrication - Achat - 2014 et +'!$Z:$BB,L51,22),"FR"),"FR"),"FR"))</f>
        <v/>
      </c>
      <c r="F51" s="18">
        <f>IF(L51&gt;0,IF(N(INDEX('[1]Fabrication - Achat - 2014 et +'!$Z:$BB,L51,3))=0,"",ROUND(INDEX('[1]Fabrication - Achat - 2014 et +'!$Z:$BB,L51,3),1)),"")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IF(OR(J51=0,K51=1,B51=""),0,IFERROR(MATCH(B51,'[1]Fabrication - Achat - 2014 et +'!$Z:$Z,0),0))</f>
        <v/>
      </c>
      <c r="M51" s="20">
        <f>IF(L51&gt;0,IF(INDEX('[1]Fabrication - Achat - 2014 et +'!$Z:$BB,L51,20)=0,"",INDEX('[1]Fabrication - Achat - 2014 et +'!$Z:$BB,L51,20)),"")</f>
        <v/>
      </c>
      <c r="N51" s="20">
        <f>IF(L51&gt;0,IF(INDEX('[1]Fabrication - Achat - 2014 et +'!$Z:$BB,L51,23)=0,"",INDEX('[1]Fabrication - Achat - 2014 et +'!$Z:$BB,L51,23)),"")</f>
        <v/>
      </c>
      <c r="O51" s="21">
        <f>IF(L51&gt;0,IF(INDEX('[1]Fabrication - Achat - 2014 et +'!$Z:$BB,L51,4)=0,"",INDEX('[1]Fabrication - Achat - 2014 et +'!$Z:$BB,L51,4)),"")</f>
        <v/>
      </c>
      <c r="P51" s="20">
        <f>IF(L51&gt;0,IF(INDEX('[1]Fabrication - Achat - 2014 et +'!$Z:$BB,L51,5)=0,"",INDEX('[1]Fabrication - Achat - 2014 et +'!$Z:$BB,L51,5)),"")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devis'!$B$6:$B$29,J52)),IF(L52&gt;0,IF(INDEX('[1]Fabrication - Achat - 2014 et +'!$Z:$BB,L52,2)=0,INDEX('2 Import devis'!$B$6:$B$29,J52),TRIM(SUBSTITUTE(INDEX('[1]Fabrication - Achat - 2014 et +'!$Z:$BB,L52,2),CHAR(10)," "))),INDEX('2 Import devis'!$B$6:$B$29,J52))))</f>
        <v/>
      </c>
      <c r="D52" s="17">
        <f>IF(OR(J52=0,K52=1),"",1)</f>
        <v/>
      </c>
      <c r="E52" s="17">
        <f>IF(OR(J52=0,K52=1),"",IF(L52&gt;0,IF(N(INDEX('[1]Fabrication - Achat - 2014 et +'!$Z:$BB,L52,22))=0,IF(ISTEXT(INDEX('[1]Fabrication - Achat - 2014 et +'!$Z:$BB,L52,22)),INDEX('[1]Fabrication - Achat - 2014 et +'!$Z:$BB,L52,22),"FR"),"FR"),"FR"))</f>
        <v/>
      </c>
      <c r="F52" s="18">
        <f>IF(L52&gt;0,IF(N(INDEX('[1]Fabrication - Achat - 2014 et +'!$Z:$BB,L52,3))=0,"",ROUND(INDEX('[1]Fabrication - Achat - 2014 et +'!$Z:$BB,L52,3),1)),"")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IF(OR(J52=0,K52=1,B52=""),0,IFERROR(MATCH(B52,'[1]Fabrication - Achat - 2014 et +'!$Z:$Z,0),0))</f>
        <v/>
      </c>
      <c r="M52" s="20">
        <f>IF(L52&gt;0,IF(INDEX('[1]Fabrication - Achat - 2014 et +'!$Z:$BB,L52,20)=0,"",INDEX('[1]Fabrication - Achat - 2014 et +'!$Z:$BB,L52,20)),"")</f>
        <v/>
      </c>
      <c r="N52" s="20">
        <f>IF(L52&gt;0,IF(INDEX('[1]Fabrication - Achat - 2014 et +'!$Z:$BB,L52,23)=0,"",INDEX('[1]Fabrication - Achat - 2014 et +'!$Z:$BB,L52,23)),"")</f>
        <v/>
      </c>
      <c r="O52" s="21">
        <f>IF(L52&gt;0,IF(INDEX('[1]Fabrication - Achat - 2014 et +'!$Z:$BB,L52,4)=0,"",INDEX('[1]Fabrication - Achat - 2014 et +'!$Z:$BB,L52,4)),"")</f>
        <v/>
      </c>
      <c r="P52" s="20">
        <f>IF(L52&gt;0,IF(INDEX('[1]Fabrication - Achat - 2014 et +'!$Z:$BB,L52,5)=0,"",INDEX('[1]Fabrication - Achat - 2014 et +'!$Z:$BB,L52,5)),"")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devis'!$B$6:$B$29,J53)),IF(L53&gt;0,IF(INDEX('[1]Fabrication - Achat - 2014 et +'!$Z:$BB,L53,2)=0,INDEX('2 Import devis'!$B$6:$B$29,J53),TRIM(SUBSTITUTE(INDEX('[1]Fabrication - Achat - 2014 et +'!$Z:$BB,L53,2),CHAR(10)," "))),INDEX('2 Import devis'!$B$6:$B$29,J53))))</f>
        <v/>
      </c>
      <c r="D53" s="17">
        <f>IF(OR(J53=0,K53=1),"",1)</f>
        <v/>
      </c>
      <c r="E53" s="17">
        <f>IF(OR(J53=0,K53=1),"",IF(L53&gt;0,IF(N(INDEX('[1]Fabrication - Achat - 2014 et +'!$Z:$BB,L53,22))=0,IF(ISTEXT(INDEX('[1]Fabrication - Achat - 2014 et +'!$Z:$BB,L53,22)),INDEX('[1]Fabrication - Achat - 2014 et +'!$Z:$BB,L53,22),"FR"),"FR"),"FR"))</f>
        <v/>
      </c>
      <c r="F53" s="18">
        <f>IF(L53&gt;0,IF(N(INDEX('[1]Fabrication - Achat - 2014 et +'!$Z:$BB,L53,3))=0,"",ROUND(INDEX('[1]Fabrication - Achat - 2014 et +'!$Z:$BB,L53,3),1)),"")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IF(OR(J53=0,K53=1,B53=""),0,IFERROR(MATCH(B53,'[1]Fabrication - Achat - 2014 et +'!$Z:$Z,0),0))</f>
        <v/>
      </c>
      <c r="M53" s="20">
        <f>IF(L53&gt;0,IF(INDEX('[1]Fabrication - Achat - 2014 et +'!$Z:$BB,L53,20)=0,"",INDEX('[1]Fabrication - Achat - 2014 et +'!$Z:$BB,L53,20)),"")</f>
        <v/>
      </c>
      <c r="N53" s="20">
        <f>IF(L53&gt;0,IF(INDEX('[1]Fabrication - Achat - 2014 et +'!$Z:$BB,L53,23)=0,"",INDEX('[1]Fabrication - Achat - 2014 et +'!$Z:$BB,L53,23)),"")</f>
        <v/>
      </c>
      <c r="O53" s="21">
        <f>IF(L53&gt;0,IF(INDEX('[1]Fabrication - Achat - 2014 et +'!$Z:$BB,L53,4)=0,"",INDEX('[1]Fabrication - Achat - 2014 et +'!$Z:$BB,L53,4)),"")</f>
        <v/>
      </c>
      <c r="P53" s="20">
        <f>IF(L53&gt;0,IF(INDEX('[1]Fabrication - Achat - 2014 et +'!$Z:$BB,L53,5)=0,"",INDEX('[1]Fabrication - Achat - 2014 et +'!$Z:$BB,L53,5)),"")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devis'!$B$6:$B$29,J54)),IF(L54&gt;0,IF(INDEX('[1]Fabrication - Achat - 2014 et +'!$Z:$BB,L54,2)=0,INDEX('2 Import devis'!$B$6:$B$29,J54),TRIM(SUBSTITUTE(INDEX('[1]Fabrication - Achat - 2014 et +'!$Z:$BB,L54,2),CHAR(10)," "))),INDEX('2 Import devis'!$B$6:$B$29,J54))))</f>
        <v/>
      </c>
      <c r="D54" s="17">
        <f>IF(OR(J54=0,K54=1),"",1)</f>
        <v/>
      </c>
      <c r="E54" s="17">
        <f>IF(OR(J54=0,K54=1),"",IF(L54&gt;0,IF(N(INDEX('[1]Fabrication - Achat - 2014 et +'!$Z:$BB,L54,22))=0,IF(ISTEXT(INDEX('[1]Fabrication - Achat - 2014 et +'!$Z:$BB,L54,22)),INDEX('[1]Fabrication - Achat - 2014 et +'!$Z:$BB,L54,22),"FR"),"FR"),"FR"))</f>
        <v/>
      </c>
      <c r="F54" s="18">
        <f>IF(L54&gt;0,IF(N(INDEX('[1]Fabrication - Achat - 2014 et +'!$Z:$BB,L54,3))=0,"",ROUND(INDEX('[1]Fabrication - Achat - 2014 et +'!$Z:$BB,L54,3),1)),"")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IF(OR(J54=0,K54=1,B54=""),0,IFERROR(MATCH(B54,'[1]Fabrication - Achat - 2014 et +'!$Z:$Z,0),0))</f>
        <v/>
      </c>
      <c r="M54" s="20">
        <f>IF(L54&gt;0,IF(INDEX('[1]Fabrication - Achat - 2014 et +'!$Z:$BB,L54,20)=0,"",INDEX('[1]Fabrication - Achat - 2014 et +'!$Z:$BB,L54,20)),"")</f>
        <v/>
      </c>
      <c r="N54" s="20">
        <f>IF(L54&gt;0,IF(INDEX('[1]Fabrication - Achat - 2014 et +'!$Z:$BB,L54,23)=0,"",INDEX('[1]Fabrication - Achat - 2014 et +'!$Z:$BB,L54,23)),"")</f>
        <v/>
      </c>
      <c r="O54" s="21">
        <f>IF(L54&gt;0,IF(INDEX('[1]Fabrication - Achat - 2014 et +'!$Z:$BB,L54,4)=0,"",INDEX('[1]Fabrication - Achat - 2014 et +'!$Z:$BB,L54,4)),"")</f>
        <v/>
      </c>
      <c r="P54" s="20">
        <f>IF(L54&gt;0,IF(INDEX('[1]Fabrication - Achat - 2014 et +'!$Z:$BB,L54,5)=0,"",INDEX('[1]Fabrication - Achat - 2014 et +'!$Z:$BB,L54,5)),"")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n"/>
      <c r="C60" s="29" t="n"/>
      <c r="D60" s="30" t="n"/>
      <c r="E60" s="30" t="n"/>
      <c r="F60" s="31" t="n"/>
      <c r="G60" s="32" t="n"/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n"/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n"/>
      <c r="C7" s="54" t="n"/>
      <c r="D7" s="55" t="n"/>
      <c r="E7" s="55" t="n"/>
      <c r="F7" s="55" t="n"/>
      <c r="G7" s="55" t="n"/>
      <c r="H7" s="55" t="n"/>
      <c r="I7" s="55" t="n"/>
      <c r="K7" s="13">
        <f>IF(B7="",0,IF(N(C7)=0,1,MAX(1,INT(C7))))</f>
        <v/>
      </c>
      <c r="L7" s="13">
        <f>SUM(K$6:K7)</f>
        <v/>
      </c>
    </row>
    <row r="8">
      <c r="B8" s="53" t="n"/>
      <c r="C8" s="54" t="n"/>
      <c r="D8" s="55" t="n"/>
      <c r="E8" s="55" t="n"/>
      <c r="F8" s="55" t="n"/>
      <c r="G8" s="55" t="n"/>
      <c r="H8" s="55" t="n"/>
      <c r="I8" s="55" t="n"/>
      <c r="K8" s="13">
        <f>IF(B8="",0,IF(N(C8)=0,1,MAX(1,INT(C8))))</f>
        <v/>
      </c>
      <c r="L8" s="13">
        <f>SUM(K$6:K8)</f>
        <v/>
      </c>
    </row>
    <row r="9">
      <c r="B9" s="53" t="n"/>
      <c r="C9" s="54" t="n"/>
      <c r="D9" s="55" t="n"/>
      <c r="E9" s="55" t="n"/>
      <c r="F9" s="55" t="n"/>
      <c r="G9" s="55" t="n"/>
      <c r="H9" s="55" t="n"/>
      <c r="I9" s="55" t="n"/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7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2026-10-28T16:30:15Z</dcterms:created>
  <dcterms:modified xmlns:dcterms="http://purl.org/dc/terms/" xmlns:xsi="http://www.w3.org/2001/XMLSchema-instance" xsi:type="dcterms:W3CDTF">2026-10-28T16:30:15Z</dcterms:modified>
</cp:coreProperties>
</file>