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visible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4" fillId="9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n"/>
      <c r="B6" s="8" t="n"/>
      <c r="C6" s="9" t="n"/>
      <c r="D6" s="7" t="n"/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n"/>
      <c r="B8" s="8" t="n"/>
      <c r="C8" s="7" t="n"/>
      <c r="D8" s="7" t="n"/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n"/>
      <c r="B10" s="8" t="n"/>
      <c r="C10" s="7" t="n"/>
      <c r="D10" s="7" t="n"/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n"/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devis'!$B$6:$B$29,J15)),IF(L15&gt;0,CLEAN(INDEX('3 Catalogue outils'!$A$6:$AC$5005,L15,2)),INDEX('2 Import devis'!$B$6:$B$29,J15))))</f>
        <v/>
      </c>
      <c r="D15" s="17">
        <f>IF(OR(J15=0,K15=1),"",1)</f>
        <v/>
      </c>
      <c r="E15" s="17">
        <f>IF(OR(J15=0,K15=1),"",IF(L15&gt;0,IF(N(INDEX('3 Catalogue outils'!$A$6:$AC$5005,L15,22))=0,IF(ISTEXT(INDEX('3 Catalogue outils'!$A$6:$AC$5005,L15,22)),INDEX('3 Catalogue outils'!$A$6:$AC$5005,L15,22),"FR"),"FR"),"FR"))</f>
        <v/>
      </c>
      <c r="F15" s="18">
        <f>IF(L15&gt;0,IF(N(INDEX('3 Catalogue outils'!$A$6:$AC$5005,L15,3))=0,"",ROUND(INDEX('3 Catalogue outils'!$A$6:$AC$5005,L15,3),1)),"")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outils'!$A$6:$A$5005,0),0))</f>
        <v/>
      </c>
      <c r="M15" s="20">
        <f>IF(L15&gt;0,IF(INDEX('3 Catalogue outils'!$A$6:$AC$5005,L15,20)=0,"",INDEX('3 Catalogue outils'!$A$6:$AC$5005,L15,20)),"")</f>
        <v/>
      </c>
      <c r="N15" s="20">
        <f>IF(L15&gt;0,IF(INDEX('3 Catalogue outils'!$A$6:$AC$5005,L15,23)=0,"",INDEX('3 Catalogue outils'!$A$6:$AC$5005,L15,23)),"")</f>
        <v/>
      </c>
      <c r="O15" s="20">
        <f>IF(L15&gt;0,IF(INDEX('3 Catalogue outils'!$A$6:$AC$5005,L15,4)=0,"",INDEX('3 Catalogue outils'!$A$6:$AC$5005,L15,4)),"")</f>
        <v/>
      </c>
      <c r="P15" s="20">
        <f>IF(L15&gt;0,IF(INDEX('3 Catalogue outils'!$A$6:$AC$5005,L15,5)=0,"",INDEX('3 Catalogue outils'!$A$6:$AC$5005,L15,5)),"")</f>
        <v/>
      </c>
    </row>
    <row r="16" ht="26" customHeight="1">
      <c r="A16" s="15">
        <f>IF(OR(J16=0,K16=1),"",COUNTIF(K$15:K16,0)-COUNTIF(J$15:J16,0))</f>
        <v/>
      </c>
      <c r="B16" s="15" t="n"/>
      <c r="C16" s="16">
        <f>IF(J16=0,"",IF(K16=1,UPPER(INDEX('2 Import devis'!$B$6:$B$29,J16)),IF(L16&gt;0,CLEAN(INDEX('3 Catalogue outils'!$A$6:$AC$5005,L16,2)),INDEX('2 Import devis'!$B$6:$B$29,J16))))</f>
        <v/>
      </c>
      <c r="D16" s="17">
        <f>IF(OR(J16=0,K16=1),"",1)</f>
        <v/>
      </c>
      <c r="E16" s="17">
        <f>IF(OR(J16=0,K16=1),"",IF(L16&gt;0,IF(N(INDEX('3 Catalogue outils'!$A$6:$AC$5005,L16,22))=0,IF(ISTEXT(INDEX('3 Catalogue outils'!$A$6:$AC$5005,L16,22)),INDEX('3 Catalogue outils'!$A$6:$AC$5005,L16,22),"FR"),"FR"),"FR"))</f>
        <v/>
      </c>
      <c r="F16" s="18">
        <f>IF(L16&gt;0,IF(N(INDEX('3 Catalogue outils'!$A$6:$AC$5005,L16,3))=0,"",ROUND(INDEX('3 Catalogue outils'!$A$6:$AC$5005,L16,3),1)),"")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outils'!$A$6:$A$5005,0),0))</f>
        <v/>
      </c>
      <c r="M16" s="20">
        <f>IF(L16&gt;0,IF(INDEX('3 Catalogue outils'!$A$6:$AC$5005,L16,20)=0,"",INDEX('3 Catalogue outils'!$A$6:$AC$5005,L16,20)),"")</f>
        <v/>
      </c>
      <c r="N16" s="20">
        <f>IF(L16&gt;0,IF(INDEX('3 Catalogue outils'!$A$6:$AC$5005,L16,23)=0,"",INDEX('3 Catalogue outils'!$A$6:$AC$5005,L16,23)),"")</f>
        <v/>
      </c>
      <c r="O16" s="20">
        <f>IF(L16&gt;0,IF(INDEX('3 Catalogue outils'!$A$6:$AC$5005,L16,4)=0,"",INDEX('3 Catalogue outils'!$A$6:$AC$5005,L16,4)),"")</f>
        <v/>
      </c>
      <c r="P16" s="20">
        <f>IF(L16&gt;0,IF(INDEX('3 Catalogue outils'!$A$6:$AC$5005,L16,5)=0,"",INDEX('3 Catalogue outils'!$A$6:$AC$5005,L16,5)),"")</f>
        <v/>
      </c>
    </row>
    <row r="17" ht="26" customHeight="1">
      <c r="A17" s="15">
        <f>IF(OR(J17=0,K17=1),"",COUNTIF(K$15:K17,0)-COUNTIF(J$15:J17,0))</f>
        <v/>
      </c>
      <c r="B17" s="15" t="n"/>
      <c r="C17" s="16">
        <f>IF(J17=0,"",IF(K17=1,UPPER(INDEX('2 Import devis'!$B$6:$B$29,J17)),IF(L17&gt;0,CLEAN(INDEX('3 Catalogue outils'!$A$6:$AC$5005,L17,2)),INDEX('2 Import devis'!$B$6:$B$29,J17))))</f>
        <v/>
      </c>
      <c r="D17" s="17">
        <f>IF(OR(J17=0,K17=1),"",1)</f>
        <v/>
      </c>
      <c r="E17" s="17">
        <f>IF(OR(J17=0,K17=1),"",IF(L17&gt;0,IF(N(INDEX('3 Catalogue outils'!$A$6:$AC$5005,L17,22))=0,IF(ISTEXT(INDEX('3 Catalogue outils'!$A$6:$AC$5005,L17,22)),INDEX('3 Catalogue outils'!$A$6:$AC$5005,L17,22),"FR"),"FR"),"FR"))</f>
        <v/>
      </c>
      <c r="F17" s="18">
        <f>IF(L17&gt;0,IF(N(INDEX('3 Catalogue outils'!$A$6:$AC$5005,L17,3))=0,"",ROUND(INDEX('3 Catalogue outils'!$A$6:$AC$5005,L17,3),1)),"")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outils'!$A$6:$A$5005,0),0))</f>
        <v/>
      </c>
      <c r="M17" s="20">
        <f>IF(L17&gt;0,IF(INDEX('3 Catalogue outils'!$A$6:$AC$5005,L17,20)=0,"",INDEX('3 Catalogue outils'!$A$6:$AC$5005,L17,20)),"")</f>
        <v/>
      </c>
      <c r="N17" s="20">
        <f>IF(L17&gt;0,IF(INDEX('3 Catalogue outils'!$A$6:$AC$5005,L17,23)=0,"",INDEX('3 Catalogue outils'!$A$6:$AC$5005,L17,23)),"")</f>
        <v/>
      </c>
      <c r="O17" s="20">
        <f>IF(L17&gt;0,IF(INDEX('3 Catalogue outils'!$A$6:$AC$5005,L17,4)=0,"",INDEX('3 Catalogue outils'!$A$6:$AC$5005,L17,4)),"")</f>
        <v/>
      </c>
      <c r="P17" s="20">
        <f>IF(L17&gt;0,IF(INDEX('3 Catalogue outils'!$A$6:$AC$5005,L17,5)=0,"",INDEX('3 Catalogue outils'!$A$6:$AC$5005,L17,5)),"")</f>
        <v/>
      </c>
    </row>
    <row r="18" ht="26" customHeight="1">
      <c r="A18" s="15">
        <f>IF(OR(J18=0,K18=1),"",COUNTIF(K$15:K18,0)-COUNTIF(J$15:J18,0))</f>
        <v/>
      </c>
      <c r="B18" s="15" t="n"/>
      <c r="C18" s="16">
        <f>IF(J18=0,"",IF(K18=1,UPPER(INDEX('2 Import devis'!$B$6:$B$29,J18)),IF(L18&gt;0,CLEAN(INDEX('3 Catalogue outils'!$A$6:$AC$5005,L18,2)),INDEX('2 Import devis'!$B$6:$B$29,J18))))</f>
        <v/>
      </c>
      <c r="D18" s="17">
        <f>IF(OR(J18=0,K18=1),"",1)</f>
        <v/>
      </c>
      <c r="E18" s="17">
        <f>IF(OR(J18=0,K18=1),"",IF(L18&gt;0,IF(N(INDEX('3 Catalogue outils'!$A$6:$AC$5005,L18,22))=0,IF(ISTEXT(INDEX('3 Catalogue outils'!$A$6:$AC$5005,L18,22)),INDEX('3 Catalogue outils'!$A$6:$AC$5005,L18,22),"FR"),"FR"),"FR"))</f>
        <v/>
      </c>
      <c r="F18" s="18">
        <f>IF(L18&gt;0,IF(N(INDEX('3 Catalogue outils'!$A$6:$AC$5005,L18,3))=0,"",ROUND(INDEX('3 Catalogue outils'!$A$6:$AC$5005,L18,3),1)),"")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outils'!$A$6:$A$5005,0),0))</f>
        <v/>
      </c>
      <c r="M18" s="20">
        <f>IF(L18&gt;0,IF(INDEX('3 Catalogue outils'!$A$6:$AC$5005,L18,20)=0,"",INDEX('3 Catalogue outils'!$A$6:$AC$5005,L18,20)),"")</f>
        <v/>
      </c>
      <c r="N18" s="20">
        <f>IF(L18&gt;0,IF(INDEX('3 Catalogue outils'!$A$6:$AC$5005,L18,23)=0,"",INDEX('3 Catalogue outils'!$A$6:$AC$5005,L18,23)),"")</f>
        <v/>
      </c>
      <c r="O18" s="20">
        <f>IF(L18&gt;0,IF(INDEX('3 Catalogue outils'!$A$6:$AC$5005,L18,4)=0,"",INDEX('3 Catalogue outils'!$A$6:$AC$5005,L18,4)),"")</f>
        <v/>
      </c>
      <c r="P18" s="20">
        <f>IF(L18&gt;0,IF(INDEX('3 Catalogue outils'!$A$6:$AC$5005,L18,5)=0,"",INDEX('3 Catalogue outils'!$A$6:$AC$5005,L18,5)),"")</f>
        <v/>
      </c>
    </row>
    <row r="19" ht="26" customHeight="1">
      <c r="A19" s="15">
        <f>IF(OR(J19=0,K19=1),"",COUNTIF(K$15:K19,0)-COUNTIF(J$15:J19,0))</f>
        <v/>
      </c>
      <c r="B19" s="15" t="n"/>
      <c r="C19" s="16">
        <f>IF(J19=0,"",IF(K19=1,UPPER(INDEX('2 Import devis'!$B$6:$B$29,J19)),IF(L19&gt;0,CLEAN(INDEX('3 Catalogue outils'!$A$6:$AC$5005,L19,2)),INDEX('2 Import devis'!$B$6:$B$29,J19))))</f>
        <v/>
      </c>
      <c r="D19" s="17">
        <f>IF(OR(J19=0,K19=1),"",1)</f>
        <v/>
      </c>
      <c r="E19" s="17">
        <f>IF(OR(J19=0,K19=1),"",IF(L19&gt;0,IF(N(INDEX('3 Catalogue outils'!$A$6:$AC$5005,L19,22))=0,IF(ISTEXT(INDEX('3 Catalogue outils'!$A$6:$AC$5005,L19,22)),INDEX('3 Catalogue outils'!$A$6:$AC$5005,L19,22),"FR"),"FR"),"FR"))</f>
        <v/>
      </c>
      <c r="F19" s="18">
        <f>IF(L19&gt;0,IF(N(INDEX('3 Catalogue outils'!$A$6:$AC$5005,L19,3))=0,"",ROUND(INDEX('3 Catalogue outils'!$A$6:$AC$5005,L19,3),1)),"")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outils'!$A$6:$A$5005,0),0))</f>
        <v/>
      </c>
      <c r="M19" s="20">
        <f>IF(L19&gt;0,IF(INDEX('3 Catalogue outils'!$A$6:$AC$5005,L19,20)=0,"",INDEX('3 Catalogue outils'!$A$6:$AC$5005,L19,20)),"")</f>
        <v/>
      </c>
      <c r="N19" s="20">
        <f>IF(L19&gt;0,IF(INDEX('3 Catalogue outils'!$A$6:$AC$5005,L19,23)=0,"",INDEX('3 Catalogue outils'!$A$6:$AC$5005,L19,23)),"")</f>
        <v/>
      </c>
      <c r="O19" s="20">
        <f>IF(L19&gt;0,IF(INDEX('3 Catalogue outils'!$A$6:$AC$5005,L19,4)=0,"",INDEX('3 Catalogue outils'!$A$6:$AC$5005,L19,4)),"")</f>
        <v/>
      </c>
      <c r="P19" s="20">
        <f>IF(L19&gt;0,IF(INDEX('3 Catalogue outils'!$A$6:$AC$5005,L19,5)=0,"",INDEX('3 Catalogue outils'!$A$6:$AC$5005,L19,5)),"")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devis'!$B$6:$B$29,J20)),IF(L20&gt;0,CLEAN(INDEX('3 Catalogue outils'!$A$6:$AC$5005,L20,2)),INDEX('2 Import devis'!$B$6:$B$29,J20))))</f>
        <v/>
      </c>
      <c r="D20" s="17">
        <f>IF(OR(J20=0,K20=1),"",1)</f>
        <v/>
      </c>
      <c r="E20" s="17">
        <f>IF(OR(J20=0,K20=1),"",IF(L20&gt;0,IF(N(INDEX('3 Catalogue outils'!$A$6:$AC$5005,L20,22))=0,IF(ISTEXT(INDEX('3 Catalogue outils'!$A$6:$AC$5005,L20,22)),INDEX('3 Catalogue outils'!$A$6:$AC$5005,L20,22),"FR"),"FR"),"FR"))</f>
        <v/>
      </c>
      <c r="F20" s="18">
        <f>IF(L20&gt;0,IF(N(INDEX('3 Catalogue outils'!$A$6:$AC$5005,L20,3))=0,"",ROUND(INDEX('3 Catalogue outils'!$A$6:$AC$5005,L20,3),1)),"")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outils'!$A$6:$A$5005,0),0))</f>
        <v/>
      </c>
      <c r="M20" s="20">
        <f>IF(L20&gt;0,IF(INDEX('3 Catalogue outils'!$A$6:$AC$5005,L20,20)=0,"",INDEX('3 Catalogue outils'!$A$6:$AC$5005,L20,20)),"")</f>
        <v/>
      </c>
      <c r="N20" s="20">
        <f>IF(L20&gt;0,IF(INDEX('3 Catalogue outils'!$A$6:$AC$5005,L20,23)=0,"",INDEX('3 Catalogue outils'!$A$6:$AC$5005,L20,23)),"")</f>
        <v/>
      </c>
      <c r="O20" s="20">
        <f>IF(L20&gt;0,IF(INDEX('3 Catalogue outils'!$A$6:$AC$5005,L20,4)=0,"",INDEX('3 Catalogue outils'!$A$6:$AC$5005,L20,4)),"")</f>
        <v/>
      </c>
      <c r="P20" s="20">
        <f>IF(L20&gt;0,IF(INDEX('3 Catalogue outils'!$A$6:$AC$5005,L20,5)=0,"",INDEX('3 Catalogue outils'!$A$6:$AC$5005,L20,5)),"")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devis'!$B$6:$B$29,J21)),IF(L21&gt;0,CLEAN(INDEX('3 Catalogue outils'!$A$6:$AC$5005,L21,2)),INDEX('2 Import devis'!$B$6:$B$29,J21))))</f>
        <v/>
      </c>
      <c r="D21" s="17">
        <f>IF(OR(J21=0,K21=1),"",1)</f>
        <v/>
      </c>
      <c r="E21" s="17">
        <f>IF(OR(J21=0,K21=1),"",IF(L21&gt;0,IF(N(INDEX('3 Catalogue outils'!$A$6:$AC$5005,L21,22))=0,IF(ISTEXT(INDEX('3 Catalogue outils'!$A$6:$AC$5005,L21,22)),INDEX('3 Catalogue outils'!$A$6:$AC$5005,L21,22),"FR"),"FR"),"FR"))</f>
        <v/>
      </c>
      <c r="F21" s="18">
        <f>IF(L21&gt;0,IF(N(INDEX('3 Catalogue outils'!$A$6:$AC$5005,L21,3))=0,"",ROUND(INDEX('3 Catalogue outils'!$A$6:$AC$5005,L21,3),1)),"")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outils'!$A$6:$A$5005,0),0))</f>
        <v/>
      </c>
      <c r="M21" s="20">
        <f>IF(L21&gt;0,IF(INDEX('3 Catalogue outils'!$A$6:$AC$5005,L21,20)=0,"",INDEX('3 Catalogue outils'!$A$6:$AC$5005,L21,20)),"")</f>
        <v/>
      </c>
      <c r="N21" s="20">
        <f>IF(L21&gt;0,IF(INDEX('3 Catalogue outils'!$A$6:$AC$5005,L21,23)=0,"",INDEX('3 Catalogue outils'!$A$6:$AC$5005,L21,23)),"")</f>
        <v/>
      </c>
      <c r="O21" s="20">
        <f>IF(L21&gt;0,IF(INDEX('3 Catalogue outils'!$A$6:$AC$5005,L21,4)=0,"",INDEX('3 Catalogue outils'!$A$6:$AC$5005,L21,4)),"")</f>
        <v/>
      </c>
      <c r="P21" s="20">
        <f>IF(L21&gt;0,IF(INDEX('3 Catalogue outils'!$A$6:$AC$5005,L21,5)=0,"",INDEX('3 Catalogue outils'!$A$6:$AC$5005,L21,5)),"")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devis'!$B$6:$B$29,J22)),IF(L22&gt;0,CLEAN(INDEX('3 Catalogue outils'!$A$6:$AC$5005,L22,2)),INDEX('2 Import devis'!$B$6:$B$29,J22))))</f>
        <v/>
      </c>
      <c r="D22" s="17">
        <f>IF(OR(J22=0,K22=1),"",1)</f>
        <v/>
      </c>
      <c r="E22" s="17">
        <f>IF(OR(J22=0,K22=1),"",IF(L22&gt;0,IF(N(INDEX('3 Catalogue outils'!$A$6:$AC$5005,L22,22))=0,IF(ISTEXT(INDEX('3 Catalogue outils'!$A$6:$AC$5005,L22,22)),INDEX('3 Catalogue outils'!$A$6:$AC$5005,L22,22),"FR"),"FR"),"FR"))</f>
        <v/>
      </c>
      <c r="F22" s="18">
        <f>IF(L22&gt;0,IF(N(INDEX('3 Catalogue outils'!$A$6:$AC$5005,L22,3))=0,"",ROUND(INDEX('3 Catalogue outils'!$A$6:$AC$5005,L22,3),1)),"")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outils'!$A$6:$A$5005,0),0))</f>
        <v/>
      </c>
      <c r="M22" s="20">
        <f>IF(L22&gt;0,IF(INDEX('3 Catalogue outils'!$A$6:$AC$5005,L22,20)=0,"",INDEX('3 Catalogue outils'!$A$6:$AC$5005,L22,20)),"")</f>
        <v/>
      </c>
      <c r="N22" s="20">
        <f>IF(L22&gt;0,IF(INDEX('3 Catalogue outils'!$A$6:$AC$5005,L22,23)=0,"",INDEX('3 Catalogue outils'!$A$6:$AC$5005,L22,23)),"")</f>
        <v/>
      </c>
      <c r="O22" s="20">
        <f>IF(L22&gt;0,IF(INDEX('3 Catalogue outils'!$A$6:$AC$5005,L22,4)=0,"",INDEX('3 Catalogue outils'!$A$6:$AC$5005,L22,4)),"")</f>
        <v/>
      </c>
      <c r="P22" s="20">
        <f>IF(L22&gt;0,IF(INDEX('3 Catalogue outils'!$A$6:$AC$5005,L22,5)=0,"",INDEX('3 Catalogue outils'!$A$6:$AC$5005,L22,5)),"")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devis'!$B$6:$B$29,J23)),IF(L23&gt;0,CLEAN(INDEX('3 Catalogue outils'!$A$6:$AC$5005,L23,2)),INDEX('2 Import devis'!$B$6:$B$29,J23))))</f>
        <v/>
      </c>
      <c r="D23" s="17">
        <f>IF(OR(J23=0,K23=1),"",1)</f>
        <v/>
      </c>
      <c r="E23" s="17">
        <f>IF(OR(J23=0,K23=1),"",IF(L23&gt;0,IF(N(INDEX('3 Catalogue outils'!$A$6:$AC$5005,L23,22))=0,IF(ISTEXT(INDEX('3 Catalogue outils'!$A$6:$AC$5005,L23,22)),INDEX('3 Catalogue outils'!$A$6:$AC$5005,L23,22),"FR"),"FR"),"FR"))</f>
        <v/>
      </c>
      <c r="F23" s="18">
        <f>IF(L23&gt;0,IF(N(INDEX('3 Catalogue outils'!$A$6:$AC$5005,L23,3))=0,"",ROUND(INDEX('3 Catalogue outils'!$A$6:$AC$5005,L23,3),1)),"")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outils'!$A$6:$A$5005,0),0))</f>
        <v/>
      </c>
      <c r="M23" s="20">
        <f>IF(L23&gt;0,IF(INDEX('3 Catalogue outils'!$A$6:$AC$5005,L23,20)=0,"",INDEX('3 Catalogue outils'!$A$6:$AC$5005,L23,20)),"")</f>
        <v/>
      </c>
      <c r="N23" s="20">
        <f>IF(L23&gt;0,IF(INDEX('3 Catalogue outils'!$A$6:$AC$5005,L23,23)=0,"",INDEX('3 Catalogue outils'!$A$6:$AC$5005,L23,23)),"")</f>
        <v/>
      </c>
      <c r="O23" s="20">
        <f>IF(L23&gt;0,IF(INDEX('3 Catalogue outils'!$A$6:$AC$5005,L23,4)=0,"",INDEX('3 Catalogue outils'!$A$6:$AC$5005,L23,4)),"")</f>
        <v/>
      </c>
      <c r="P23" s="20">
        <f>IF(L23&gt;0,IF(INDEX('3 Catalogue outils'!$A$6:$AC$5005,L23,5)=0,"",INDEX('3 Catalogue outils'!$A$6:$AC$5005,L23,5)),"")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devis'!$B$6:$B$29,J24)),IF(L24&gt;0,CLEAN(INDEX('3 Catalogue outils'!$A$6:$AC$5005,L24,2)),INDEX('2 Import devis'!$B$6:$B$29,J24))))</f>
        <v/>
      </c>
      <c r="D24" s="17">
        <f>IF(OR(J24=0,K24=1),"",1)</f>
        <v/>
      </c>
      <c r="E24" s="17">
        <f>IF(OR(J24=0,K24=1),"",IF(L24&gt;0,IF(N(INDEX('3 Catalogue outils'!$A$6:$AC$5005,L24,22))=0,IF(ISTEXT(INDEX('3 Catalogue outils'!$A$6:$AC$5005,L24,22)),INDEX('3 Catalogue outils'!$A$6:$AC$5005,L24,22),"FR"),"FR"),"FR"))</f>
        <v/>
      </c>
      <c r="F24" s="18">
        <f>IF(L24&gt;0,IF(N(INDEX('3 Catalogue outils'!$A$6:$AC$5005,L24,3))=0,"",ROUND(INDEX('3 Catalogue outils'!$A$6:$AC$5005,L24,3),1)),"")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outils'!$A$6:$A$5005,0),0))</f>
        <v/>
      </c>
      <c r="M24" s="20">
        <f>IF(L24&gt;0,IF(INDEX('3 Catalogue outils'!$A$6:$AC$5005,L24,20)=0,"",INDEX('3 Catalogue outils'!$A$6:$AC$5005,L24,20)),"")</f>
        <v/>
      </c>
      <c r="N24" s="20">
        <f>IF(L24&gt;0,IF(INDEX('3 Catalogue outils'!$A$6:$AC$5005,L24,23)=0,"",INDEX('3 Catalogue outils'!$A$6:$AC$5005,L24,23)),"")</f>
        <v/>
      </c>
      <c r="O24" s="20">
        <f>IF(L24&gt;0,IF(INDEX('3 Catalogue outils'!$A$6:$AC$5005,L24,4)=0,"",INDEX('3 Catalogue outils'!$A$6:$AC$5005,L24,4)),"")</f>
        <v/>
      </c>
      <c r="P24" s="20">
        <f>IF(L24&gt;0,IF(INDEX('3 Catalogue outils'!$A$6:$AC$5005,L24,5)=0,"",INDEX('3 Catalogue outils'!$A$6:$AC$5005,L24,5)),"")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devis'!$B$6:$B$29,J25)),IF(L25&gt;0,CLEAN(INDEX('3 Catalogue outils'!$A$6:$AC$5005,L25,2)),INDEX('2 Import devis'!$B$6:$B$29,J25))))</f>
        <v/>
      </c>
      <c r="D25" s="17">
        <f>IF(OR(J25=0,K25=1),"",1)</f>
        <v/>
      </c>
      <c r="E25" s="17">
        <f>IF(OR(J25=0,K25=1),"",IF(L25&gt;0,IF(N(INDEX('3 Catalogue outils'!$A$6:$AC$5005,L25,22))=0,IF(ISTEXT(INDEX('3 Catalogue outils'!$A$6:$AC$5005,L25,22)),INDEX('3 Catalogue outils'!$A$6:$AC$5005,L25,22),"FR"),"FR"),"FR"))</f>
        <v/>
      </c>
      <c r="F25" s="18">
        <f>IF(L25&gt;0,IF(N(INDEX('3 Catalogue outils'!$A$6:$AC$5005,L25,3))=0,"",ROUND(INDEX('3 Catalogue outils'!$A$6:$AC$5005,L25,3),1)),"")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outils'!$A$6:$A$5005,0),0))</f>
        <v/>
      </c>
      <c r="M25" s="20">
        <f>IF(L25&gt;0,IF(INDEX('3 Catalogue outils'!$A$6:$AC$5005,L25,20)=0,"",INDEX('3 Catalogue outils'!$A$6:$AC$5005,L25,20)),"")</f>
        <v/>
      </c>
      <c r="N25" s="20">
        <f>IF(L25&gt;0,IF(INDEX('3 Catalogue outils'!$A$6:$AC$5005,L25,23)=0,"",INDEX('3 Catalogue outils'!$A$6:$AC$5005,L25,23)),"")</f>
        <v/>
      </c>
      <c r="O25" s="20">
        <f>IF(L25&gt;0,IF(INDEX('3 Catalogue outils'!$A$6:$AC$5005,L25,4)=0,"",INDEX('3 Catalogue outils'!$A$6:$AC$5005,L25,4)),"")</f>
        <v/>
      </c>
      <c r="P25" s="20">
        <f>IF(L25&gt;0,IF(INDEX('3 Catalogue outils'!$A$6:$AC$5005,L25,5)=0,"",INDEX('3 Catalogue outils'!$A$6:$AC$5005,L25,5)),"")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devis'!$B$6:$B$29,J26)),IF(L26&gt;0,CLEAN(INDEX('3 Catalogue outils'!$A$6:$AC$5005,L26,2)),INDEX('2 Import devis'!$B$6:$B$29,J26))))</f>
        <v/>
      </c>
      <c r="D26" s="17">
        <f>IF(OR(J26=0,K26=1),"",1)</f>
        <v/>
      </c>
      <c r="E26" s="17">
        <f>IF(OR(J26=0,K26=1),"",IF(L26&gt;0,IF(N(INDEX('3 Catalogue outils'!$A$6:$AC$5005,L26,22))=0,IF(ISTEXT(INDEX('3 Catalogue outils'!$A$6:$AC$5005,L26,22)),INDEX('3 Catalogue outils'!$A$6:$AC$5005,L26,22),"FR"),"FR"),"FR"))</f>
        <v/>
      </c>
      <c r="F26" s="18">
        <f>IF(L26&gt;0,IF(N(INDEX('3 Catalogue outils'!$A$6:$AC$5005,L26,3))=0,"",ROUND(INDEX('3 Catalogue outils'!$A$6:$AC$5005,L26,3),1)),"")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outils'!$A$6:$A$5005,0),0))</f>
        <v/>
      </c>
      <c r="M26" s="20">
        <f>IF(L26&gt;0,IF(INDEX('3 Catalogue outils'!$A$6:$AC$5005,L26,20)=0,"",INDEX('3 Catalogue outils'!$A$6:$AC$5005,L26,20)),"")</f>
        <v/>
      </c>
      <c r="N26" s="20">
        <f>IF(L26&gt;0,IF(INDEX('3 Catalogue outils'!$A$6:$AC$5005,L26,23)=0,"",INDEX('3 Catalogue outils'!$A$6:$AC$5005,L26,23)),"")</f>
        <v/>
      </c>
      <c r="O26" s="20">
        <f>IF(L26&gt;0,IF(INDEX('3 Catalogue outils'!$A$6:$AC$5005,L26,4)=0,"",INDEX('3 Catalogue outils'!$A$6:$AC$5005,L26,4)),"")</f>
        <v/>
      </c>
      <c r="P26" s="20">
        <f>IF(L26&gt;0,IF(INDEX('3 Catalogue outils'!$A$6:$AC$5005,L26,5)=0,"",INDEX('3 Catalogue outils'!$A$6:$AC$5005,L26,5)),"")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devis'!$B$6:$B$29,J27)),IF(L27&gt;0,CLEAN(INDEX('3 Catalogue outils'!$A$6:$AC$5005,L27,2)),INDEX('2 Import devis'!$B$6:$B$29,J27))))</f>
        <v/>
      </c>
      <c r="D27" s="17">
        <f>IF(OR(J27=0,K27=1),"",1)</f>
        <v/>
      </c>
      <c r="E27" s="17">
        <f>IF(OR(J27=0,K27=1),"",IF(L27&gt;0,IF(N(INDEX('3 Catalogue outils'!$A$6:$AC$5005,L27,22))=0,IF(ISTEXT(INDEX('3 Catalogue outils'!$A$6:$AC$5005,L27,22)),INDEX('3 Catalogue outils'!$A$6:$AC$5005,L27,22),"FR"),"FR"),"FR"))</f>
        <v/>
      </c>
      <c r="F27" s="18">
        <f>IF(L27&gt;0,IF(N(INDEX('3 Catalogue outils'!$A$6:$AC$5005,L27,3))=0,"",ROUND(INDEX('3 Catalogue outils'!$A$6:$AC$5005,L27,3),1)),"")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outils'!$A$6:$A$5005,0),0))</f>
        <v/>
      </c>
      <c r="M27" s="20">
        <f>IF(L27&gt;0,IF(INDEX('3 Catalogue outils'!$A$6:$AC$5005,L27,20)=0,"",INDEX('3 Catalogue outils'!$A$6:$AC$5005,L27,20)),"")</f>
        <v/>
      </c>
      <c r="N27" s="20">
        <f>IF(L27&gt;0,IF(INDEX('3 Catalogue outils'!$A$6:$AC$5005,L27,23)=0,"",INDEX('3 Catalogue outils'!$A$6:$AC$5005,L27,23)),"")</f>
        <v/>
      </c>
      <c r="O27" s="20">
        <f>IF(L27&gt;0,IF(INDEX('3 Catalogue outils'!$A$6:$AC$5005,L27,4)=0,"",INDEX('3 Catalogue outils'!$A$6:$AC$5005,L27,4)),"")</f>
        <v/>
      </c>
      <c r="P27" s="20">
        <f>IF(L27&gt;0,IF(INDEX('3 Catalogue outils'!$A$6:$AC$5005,L27,5)=0,"",INDEX('3 Catalogue outils'!$A$6:$AC$5005,L27,5)),"")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devis'!$B$6:$B$29,J28)),IF(L28&gt;0,CLEAN(INDEX('3 Catalogue outils'!$A$6:$AC$5005,L28,2)),INDEX('2 Import devis'!$B$6:$B$29,J28))))</f>
        <v/>
      </c>
      <c r="D28" s="17">
        <f>IF(OR(J28=0,K28=1),"",1)</f>
        <v/>
      </c>
      <c r="E28" s="17">
        <f>IF(OR(J28=0,K28=1),"",IF(L28&gt;0,IF(N(INDEX('3 Catalogue outils'!$A$6:$AC$5005,L28,22))=0,IF(ISTEXT(INDEX('3 Catalogue outils'!$A$6:$AC$5005,L28,22)),INDEX('3 Catalogue outils'!$A$6:$AC$5005,L28,22),"FR"),"FR"),"FR"))</f>
        <v/>
      </c>
      <c r="F28" s="18">
        <f>IF(L28&gt;0,IF(N(INDEX('3 Catalogue outils'!$A$6:$AC$5005,L28,3))=0,"",ROUND(INDEX('3 Catalogue outils'!$A$6:$AC$5005,L28,3),1)),"")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outils'!$A$6:$A$5005,0),0))</f>
        <v/>
      </c>
      <c r="M28" s="20">
        <f>IF(L28&gt;0,IF(INDEX('3 Catalogue outils'!$A$6:$AC$5005,L28,20)=0,"",INDEX('3 Catalogue outils'!$A$6:$AC$5005,L28,20)),"")</f>
        <v/>
      </c>
      <c r="N28" s="20">
        <f>IF(L28&gt;0,IF(INDEX('3 Catalogue outils'!$A$6:$AC$5005,L28,23)=0,"",INDEX('3 Catalogue outils'!$A$6:$AC$5005,L28,23)),"")</f>
        <v/>
      </c>
      <c r="O28" s="20">
        <f>IF(L28&gt;0,IF(INDEX('3 Catalogue outils'!$A$6:$AC$5005,L28,4)=0,"",INDEX('3 Catalogue outils'!$A$6:$AC$5005,L28,4)),"")</f>
        <v/>
      </c>
      <c r="P28" s="20">
        <f>IF(L28&gt;0,IF(INDEX('3 Catalogue outils'!$A$6:$AC$5005,L28,5)=0,"",INDEX('3 Catalogue outils'!$A$6:$AC$5005,L28,5)),"")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devis'!$B$6:$B$29,J29)),IF(L29&gt;0,CLEAN(INDEX('3 Catalogue outils'!$A$6:$AC$5005,L29,2)),INDEX('2 Import devis'!$B$6:$B$29,J29))))</f>
        <v/>
      </c>
      <c r="D29" s="17">
        <f>IF(OR(J29=0,K29=1),"",1)</f>
        <v/>
      </c>
      <c r="E29" s="17">
        <f>IF(OR(J29=0,K29=1),"",IF(L29&gt;0,IF(N(INDEX('3 Catalogue outils'!$A$6:$AC$5005,L29,22))=0,IF(ISTEXT(INDEX('3 Catalogue outils'!$A$6:$AC$5005,L29,22)),INDEX('3 Catalogue outils'!$A$6:$AC$5005,L29,22),"FR"),"FR"),"FR"))</f>
        <v/>
      </c>
      <c r="F29" s="18">
        <f>IF(L29&gt;0,IF(N(INDEX('3 Catalogue outils'!$A$6:$AC$5005,L29,3))=0,"",ROUND(INDEX('3 Catalogue outils'!$A$6:$AC$5005,L29,3),1)),"")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outils'!$A$6:$A$5005,0),0))</f>
        <v/>
      </c>
      <c r="M29" s="20">
        <f>IF(L29&gt;0,IF(INDEX('3 Catalogue outils'!$A$6:$AC$5005,L29,20)=0,"",INDEX('3 Catalogue outils'!$A$6:$AC$5005,L29,20)),"")</f>
        <v/>
      </c>
      <c r="N29" s="20">
        <f>IF(L29&gt;0,IF(INDEX('3 Catalogue outils'!$A$6:$AC$5005,L29,23)=0,"",INDEX('3 Catalogue outils'!$A$6:$AC$5005,L29,23)),"")</f>
        <v/>
      </c>
      <c r="O29" s="20">
        <f>IF(L29&gt;0,IF(INDEX('3 Catalogue outils'!$A$6:$AC$5005,L29,4)=0,"",INDEX('3 Catalogue outils'!$A$6:$AC$5005,L29,4)),"")</f>
        <v/>
      </c>
      <c r="P29" s="20">
        <f>IF(L29&gt;0,IF(INDEX('3 Catalogue outils'!$A$6:$AC$5005,L29,5)=0,"",INDEX('3 Catalogue outils'!$A$6:$AC$5005,L29,5)),"")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devis'!$B$6:$B$29,J30)),IF(L30&gt;0,CLEAN(INDEX('3 Catalogue outils'!$A$6:$AC$5005,L30,2)),INDEX('2 Import devis'!$B$6:$B$29,J30))))</f>
        <v/>
      </c>
      <c r="D30" s="17">
        <f>IF(OR(J30=0,K30=1),"",1)</f>
        <v/>
      </c>
      <c r="E30" s="17">
        <f>IF(OR(J30=0,K30=1),"",IF(L30&gt;0,IF(N(INDEX('3 Catalogue outils'!$A$6:$AC$5005,L30,22))=0,IF(ISTEXT(INDEX('3 Catalogue outils'!$A$6:$AC$5005,L30,22)),INDEX('3 Catalogue outils'!$A$6:$AC$5005,L30,22),"FR"),"FR"),"FR"))</f>
        <v/>
      </c>
      <c r="F30" s="18">
        <f>IF(L30&gt;0,IF(N(INDEX('3 Catalogue outils'!$A$6:$AC$5005,L30,3))=0,"",ROUND(INDEX('3 Catalogue outils'!$A$6:$AC$5005,L30,3),1)),"")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outils'!$A$6:$A$5005,0),0))</f>
        <v/>
      </c>
      <c r="M30" s="20">
        <f>IF(L30&gt;0,IF(INDEX('3 Catalogue outils'!$A$6:$AC$5005,L30,20)=0,"",INDEX('3 Catalogue outils'!$A$6:$AC$5005,L30,20)),"")</f>
        <v/>
      </c>
      <c r="N30" s="20">
        <f>IF(L30&gt;0,IF(INDEX('3 Catalogue outils'!$A$6:$AC$5005,L30,23)=0,"",INDEX('3 Catalogue outils'!$A$6:$AC$5005,L30,23)),"")</f>
        <v/>
      </c>
      <c r="O30" s="20">
        <f>IF(L30&gt;0,IF(INDEX('3 Catalogue outils'!$A$6:$AC$5005,L30,4)=0,"",INDEX('3 Catalogue outils'!$A$6:$AC$5005,L30,4)),"")</f>
        <v/>
      </c>
      <c r="P30" s="20">
        <f>IF(L30&gt;0,IF(INDEX('3 Catalogue outils'!$A$6:$AC$5005,L30,5)=0,"",INDEX('3 Catalogue outils'!$A$6:$AC$5005,L30,5)),"")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devis'!$B$6:$B$29,J31)),IF(L31&gt;0,CLEAN(INDEX('3 Catalogue outils'!$A$6:$AC$5005,L31,2)),INDEX('2 Import devis'!$B$6:$B$29,J31))))</f>
        <v/>
      </c>
      <c r="D31" s="17">
        <f>IF(OR(J31=0,K31=1),"",1)</f>
        <v/>
      </c>
      <c r="E31" s="17">
        <f>IF(OR(J31=0,K31=1),"",IF(L31&gt;0,IF(N(INDEX('3 Catalogue outils'!$A$6:$AC$5005,L31,22))=0,IF(ISTEXT(INDEX('3 Catalogue outils'!$A$6:$AC$5005,L31,22)),INDEX('3 Catalogue outils'!$A$6:$AC$5005,L31,22),"FR"),"FR"),"FR"))</f>
        <v/>
      </c>
      <c r="F31" s="18">
        <f>IF(L31&gt;0,IF(N(INDEX('3 Catalogue outils'!$A$6:$AC$5005,L31,3))=0,"",ROUND(INDEX('3 Catalogue outils'!$A$6:$AC$5005,L31,3),1)),"")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outils'!$A$6:$A$5005,0),0))</f>
        <v/>
      </c>
      <c r="M31" s="20">
        <f>IF(L31&gt;0,IF(INDEX('3 Catalogue outils'!$A$6:$AC$5005,L31,20)=0,"",INDEX('3 Catalogue outils'!$A$6:$AC$5005,L31,20)),"")</f>
        <v/>
      </c>
      <c r="N31" s="20">
        <f>IF(L31&gt;0,IF(INDEX('3 Catalogue outils'!$A$6:$AC$5005,L31,23)=0,"",INDEX('3 Catalogue outils'!$A$6:$AC$5005,L31,23)),"")</f>
        <v/>
      </c>
      <c r="O31" s="20">
        <f>IF(L31&gt;0,IF(INDEX('3 Catalogue outils'!$A$6:$AC$5005,L31,4)=0,"",INDEX('3 Catalogue outils'!$A$6:$AC$5005,L31,4)),"")</f>
        <v/>
      </c>
      <c r="P31" s="20">
        <f>IF(L31&gt;0,IF(INDEX('3 Catalogue outils'!$A$6:$AC$5005,L31,5)=0,"",INDEX('3 Catalogue outils'!$A$6:$AC$5005,L31,5)),"")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devis'!$B$6:$B$29,J32)),IF(L32&gt;0,CLEAN(INDEX('3 Catalogue outils'!$A$6:$AC$5005,L32,2)),INDEX('2 Import devis'!$B$6:$B$29,J32))))</f>
        <v/>
      </c>
      <c r="D32" s="17">
        <f>IF(OR(J32=0,K32=1),"",1)</f>
        <v/>
      </c>
      <c r="E32" s="17">
        <f>IF(OR(J32=0,K32=1),"",IF(L32&gt;0,IF(N(INDEX('3 Catalogue outils'!$A$6:$AC$5005,L32,22))=0,IF(ISTEXT(INDEX('3 Catalogue outils'!$A$6:$AC$5005,L32,22)),INDEX('3 Catalogue outils'!$A$6:$AC$5005,L32,22),"FR"),"FR"),"FR"))</f>
        <v/>
      </c>
      <c r="F32" s="18">
        <f>IF(L32&gt;0,IF(N(INDEX('3 Catalogue outils'!$A$6:$AC$5005,L32,3))=0,"",ROUND(INDEX('3 Catalogue outils'!$A$6:$AC$5005,L32,3),1)),"")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outils'!$A$6:$A$5005,0),0))</f>
        <v/>
      </c>
      <c r="M32" s="20">
        <f>IF(L32&gt;0,IF(INDEX('3 Catalogue outils'!$A$6:$AC$5005,L32,20)=0,"",INDEX('3 Catalogue outils'!$A$6:$AC$5005,L32,20)),"")</f>
        <v/>
      </c>
      <c r="N32" s="20">
        <f>IF(L32&gt;0,IF(INDEX('3 Catalogue outils'!$A$6:$AC$5005,L32,23)=0,"",INDEX('3 Catalogue outils'!$A$6:$AC$5005,L32,23)),"")</f>
        <v/>
      </c>
      <c r="O32" s="20">
        <f>IF(L32&gt;0,IF(INDEX('3 Catalogue outils'!$A$6:$AC$5005,L32,4)=0,"",INDEX('3 Catalogue outils'!$A$6:$AC$5005,L32,4)),"")</f>
        <v/>
      </c>
      <c r="P32" s="20">
        <f>IF(L32&gt;0,IF(INDEX('3 Catalogue outils'!$A$6:$AC$5005,L32,5)=0,"",INDEX('3 Catalogue outils'!$A$6:$AC$5005,L32,5)),"")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devis'!$B$6:$B$29,J33)),IF(L33&gt;0,CLEAN(INDEX('3 Catalogue outils'!$A$6:$AC$5005,L33,2)),INDEX('2 Import devis'!$B$6:$B$29,J33))))</f>
        <v/>
      </c>
      <c r="D33" s="17">
        <f>IF(OR(J33=0,K33=1),"",1)</f>
        <v/>
      </c>
      <c r="E33" s="17">
        <f>IF(OR(J33=0,K33=1),"",IF(L33&gt;0,IF(N(INDEX('3 Catalogue outils'!$A$6:$AC$5005,L33,22))=0,IF(ISTEXT(INDEX('3 Catalogue outils'!$A$6:$AC$5005,L33,22)),INDEX('3 Catalogue outils'!$A$6:$AC$5005,L33,22),"FR"),"FR"),"FR"))</f>
        <v/>
      </c>
      <c r="F33" s="18">
        <f>IF(L33&gt;0,IF(N(INDEX('3 Catalogue outils'!$A$6:$AC$5005,L33,3))=0,"",ROUND(INDEX('3 Catalogue outils'!$A$6:$AC$5005,L33,3),1)),"")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outils'!$A$6:$A$5005,0),0))</f>
        <v/>
      </c>
      <c r="M33" s="20">
        <f>IF(L33&gt;0,IF(INDEX('3 Catalogue outils'!$A$6:$AC$5005,L33,20)=0,"",INDEX('3 Catalogue outils'!$A$6:$AC$5005,L33,20)),"")</f>
        <v/>
      </c>
      <c r="N33" s="20">
        <f>IF(L33&gt;0,IF(INDEX('3 Catalogue outils'!$A$6:$AC$5005,L33,23)=0,"",INDEX('3 Catalogue outils'!$A$6:$AC$5005,L33,23)),"")</f>
        <v/>
      </c>
      <c r="O33" s="20">
        <f>IF(L33&gt;0,IF(INDEX('3 Catalogue outils'!$A$6:$AC$5005,L33,4)=0,"",INDEX('3 Catalogue outils'!$A$6:$AC$5005,L33,4)),"")</f>
        <v/>
      </c>
      <c r="P33" s="20">
        <f>IF(L33&gt;0,IF(INDEX('3 Catalogue outils'!$A$6:$AC$5005,L33,5)=0,"",INDEX('3 Catalogue outils'!$A$6:$AC$5005,L33,5)),"")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devis'!$B$6:$B$29,J34)),IF(L34&gt;0,CLEAN(INDEX('3 Catalogue outils'!$A$6:$AC$5005,L34,2)),INDEX('2 Import devis'!$B$6:$B$29,J34))))</f>
        <v/>
      </c>
      <c r="D34" s="17">
        <f>IF(OR(J34=0,K34=1),"",1)</f>
        <v/>
      </c>
      <c r="E34" s="17">
        <f>IF(OR(J34=0,K34=1),"",IF(L34&gt;0,IF(N(INDEX('3 Catalogue outils'!$A$6:$AC$5005,L34,22))=0,IF(ISTEXT(INDEX('3 Catalogue outils'!$A$6:$AC$5005,L34,22)),INDEX('3 Catalogue outils'!$A$6:$AC$5005,L34,22),"FR"),"FR"),"FR"))</f>
        <v/>
      </c>
      <c r="F34" s="18">
        <f>IF(L34&gt;0,IF(N(INDEX('3 Catalogue outils'!$A$6:$AC$5005,L34,3))=0,"",ROUND(INDEX('3 Catalogue outils'!$A$6:$AC$5005,L34,3),1)),"")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outils'!$A$6:$A$5005,0),0))</f>
        <v/>
      </c>
      <c r="M34" s="20">
        <f>IF(L34&gt;0,IF(INDEX('3 Catalogue outils'!$A$6:$AC$5005,L34,20)=0,"",INDEX('3 Catalogue outils'!$A$6:$AC$5005,L34,20)),"")</f>
        <v/>
      </c>
      <c r="N34" s="20">
        <f>IF(L34&gt;0,IF(INDEX('3 Catalogue outils'!$A$6:$AC$5005,L34,23)=0,"",INDEX('3 Catalogue outils'!$A$6:$AC$5005,L34,23)),"")</f>
        <v/>
      </c>
      <c r="O34" s="20">
        <f>IF(L34&gt;0,IF(INDEX('3 Catalogue outils'!$A$6:$AC$5005,L34,4)=0,"",INDEX('3 Catalogue outils'!$A$6:$AC$5005,L34,4)),"")</f>
        <v/>
      </c>
      <c r="P34" s="20">
        <f>IF(L34&gt;0,IF(INDEX('3 Catalogue outils'!$A$6:$AC$5005,L34,5)=0,"",INDEX('3 Catalogue outils'!$A$6:$AC$5005,L34,5)),"")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devis'!$B$6:$B$29,J35)),IF(L35&gt;0,CLEAN(INDEX('3 Catalogue outils'!$A$6:$AC$5005,L35,2)),INDEX('2 Import devis'!$B$6:$B$29,J35))))</f>
        <v/>
      </c>
      <c r="D35" s="17">
        <f>IF(OR(J35=0,K35=1),"",1)</f>
        <v/>
      </c>
      <c r="E35" s="17">
        <f>IF(OR(J35=0,K35=1),"",IF(L35&gt;0,IF(N(INDEX('3 Catalogue outils'!$A$6:$AC$5005,L35,22))=0,IF(ISTEXT(INDEX('3 Catalogue outils'!$A$6:$AC$5005,L35,22)),INDEX('3 Catalogue outils'!$A$6:$AC$5005,L35,22),"FR"),"FR"),"FR"))</f>
        <v/>
      </c>
      <c r="F35" s="18">
        <f>IF(L35&gt;0,IF(N(INDEX('3 Catalogue outils'!$A$6:$AC$5005,L35,3))=0,"",ROUND(INDEX('3 Catalogue outils'!$A$6:$AC$5005,L35,3),1)),"")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outils'!$A$6:$A$5005,0),0))</f>
        <v/>
      </c>
      <c r="M35" s="20">
        <f>IF(L35&gt;0,IF(INDEX('3 Catalogue outils'!$A$6:$AC$5005,L35,20)=0,"",INDEX('3 Catalogue outils'!$A$6:$AC$5005,L35,20)),"")</f>
        <v/>
      </c>
      <c r="N35" s="20">
        <f>IF(L35&gt;0,IF(INDEX('3 Catalogue outils'!$A$6:$AC$5005,L35,23)=0,"",INDEX('3 Catalogue outils'!$A$6:$AC$5005,L35,23)),"")</f>
        <v/>
      </c>
      <c r="O35" s="20">
        <f>IF(L35&gt;0,IF(INDEX('3 Catalogue outils'!$A$6:$AC$5005,L35,4)=0,"",INDEX('3 Catalogue outils'!$A$6:$AC$5005,L35,4)),"")</f>
        <v/>
      </c>
      <c r="P35" s="20">
        <f>IF(L35&gt;0,IF(INDEX('3 Catalogue outils'!$A$6:$AC$5005,L35,5)=0,"",INDEX('3 Catalogue outils'!$A$6:$AC$5005,L35,5)),"")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devis'!$B$6:$B$29,J36)),IF(L36&gt;0,CLEAN(INDEX('3 Catalogue outils'!$A$6:$AC$5005,L36,2)),INDEX('2 Import devis'!$B$6:$B$29,J36))))</f>
        <v/>
      </c>
      <c r="D36" s="17">
        <f>IF(OR(J36=0,K36=1),"",1)</f>
        <v/>
      </c>
      <c r="E36" s="17">
        <f>IF(OR(J36=0,K36=1),"",IF(L36&gt;0,IF(N(INDEX('3 Catalogue outils'!$A$6:$AC$5005,L36,22))=0,IF(ISTEXT(INDEX('3 Catalogue outils'!$A$6:$AC$5005,L36,22)),INDEX('3 Catalogue outils'!$A$6:$AC$5005,L36,22),"FR"),"FR"),"FR"))</f>
        <v/>
      </c>
      <c r="F36" s="18">
        <f>IF(L36&gt;0,IF(N(INDEX('3 Catalogue outils'!$A$6:$AC$5005,L36,3))=0,"",ROUND(INDEX('3 Catalogue outils'!$A$6:$AC$5005,L36,3),1)),"")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outils'!$A$6:$A$5005,0),0))</f>
        <v/>
      </c>
      <c r="M36" s="20">
        <f>IF(L36&gt;0,IF(INDEX('3 Catalogue outils'!$A$6:$AC$5005,L36,20)=0,"",INDEX('3 Catalogue outils'!$A$6:$AC$5005,L36,20)),"")</f>
        <v/>
      </c>
      <c r="N36" s="20">
        <f>IF(L36&gt;0,IF(INDEX('3 Catalogue outils'!$A$6:$AC$5005,L36,23)=0,"",INDEX('3 Catalogue outils'!$A$6:$AC$5005,L36,23)),"")</f>
        <v/>
      </c>
      <c r="O36" s="20">
        <f>IF(L36&gt;0,IF(INDEX('3 Catalogue outils'!$A$6:$AC$5005,L36,4)=0,"",INDEX('3 Catalogue outils'!$A$6:$AC$5005,L36,4)),"")</f>
        <v/>
      </c>
      <c r="P36" s="20">
        <f>IF(L36&gt;0,IF(INDEX('3 Catalogue outils'!$A$6:$AC$5005,L36,5)=0,"",INDEX('3 Catalogue outils'!$A$6:$AC$5005,L36,5)),"")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devis'!$B$6:$B$29,J37)),IF(L37&gt;0,CLEAN(INDEX('3 Catalogue outils'!$A$6:$AC$5005,L37,2)),INDEX('2 Import devis'!$B$6:$B$29,J37))))</f>
        <v/>
      </c>
      <c r="D37" s="17">
        <f>IF(OR(J37=0,K37=1),"",1)</f>
        <v/>
      </c>
      <c r="E37" s="17">
        <f>IF(OR(J37=0,K37=1),"",IF(L37&gt;0,IF(N(INDEX('3 Catalogue outils'!$A$6:$AC$5005,L37,22))=0,IF(ISTEXT(INDEX('3 Catalogue outils'!$A$6:$AC$5005,L37,22)),INDEX('3 Catalogue outils'!$A$6:$AC$5005,L37,22),"FR"),"FR"),"FR"))</f>
        <v/>
      </c>
      <c r="F37" s="18">
        <f>IF(L37&gt;0,IF(N(INDEX('3 Catalogue outils'!$A$6:$AC$5005,L37,3))=0,"",ROUND(INDEX('3 Catalogue outils'!$A$6:$AC$5005,L37,3),1)),"")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outils'!$A$6:$A$5005,0),0))</f>
        <v/>
      </c>
      <c r="M37" s="20">
        <f>IF(L37&gt;0,IF(INDEX('3 Catalogue outils'!$A$6:$AC$5005,L37,20)=0,"",INDEX('3 Catalogue outils'!$A$6:$AC$5005,L37,20)),"")</f>
        <v/>
      </c>
      <c r="N37" s="20">
        <f>IF(L37&gt;0,IF(INDEX('3 Catalogue outils'!$A$6:$AC$5005,L37,23)=0,"",INDEX('3 Catalogue outils'!$A$6:$AC$5005,L37,23)),"")</f>
        <v/>
      </c>
      <c r="O37" s="20">
        <f>IF(L37&gt;0,IF(INDEX('3 Catalogue outils'!$A$6:$AC$5005,L37,4)=0,"",INDEX('3 Catalogue outils'!$A$6:$AC$5005,L37,4)),"")</f>
        <v/>
      </c>
      <c r="P37" s="20">
        <f>IF(L37&gt;0,IF(INDEX('3 Catalogue outils'!$A$6:$AC$5005,L37,5)=0,"",INDEX('3 Catalogue outils'!$A$6:$AC$5005,L37,5)),"")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devis'!$B$6:$B$29,J38)),IF(L38&gt;0,CLEAN(INDEX('3 Catalogue outils'!$A$6:$AC$5005,L38,2)),INDEX('2 Import devis'!$B$6:$B$29,J38))))</f>
        <v/>
      </c>
      <c r="D38" s="17">
        <f>IF(OR(J38=0,K38=1),"",1)</f>
        <v/>
      </c>
      <c r="E38" s="17">
        <f>IF(OR(J38=0,K38=1),"",IF(L38&gt;0,IF(N(INDEX('3 Catalogue outils'!$A$6:$AC$5005,L38,22))=0,IF(ISTEXT(INDEX('3 Catalogue outils'!$A$6:$AC$5005,L38,22)),INDEX('3 Catalogue outils'!$A$6:$AC$5005,L38,22),"FR"),"FR"),"FR"))</f>
        <v/>
      </c>
      <c r="F38" s="18">
        <f>IF(L38&gt;0,IF(N(INDEX('3 Catalogue outils'!$A$6:$AC$5005,L38,3))=0,"",ROUND(INDEX('3 Catalogue outils'!$A$6:$AC$5005,L38,3),1)),"")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outils'!$A$6:$A$5005,0),0))</f>
        <v/>
      </c>
      <c r="M38" s="20">
        <f>IF(L38&gt;0,IF(INDEX('3 Catalogue outils'!$A$6:$AC$5005,L38,20)=0,"",INDEX('3 Catalogue outils'!$A$6:$AC$5005,L38,20)),"")</f>
        <v/>
      </c>
      <c r="N38" s="20">
        <f>IF(L38&gt;0,IF(INDEX('3 Catalogue outils'!$A$6:$AC$5005,L38,23)=0,"",INDEX('3 Catalogue outils'!$A$6:$AC$5005,L38,23)),"")</f>
        <v/>
      </c>
      <c r="O38" s="20">
        <f>IF(L38&gt;0,IF(INDEX('3 Catalogue outils'!$A$6:$AC$5005,L38,4)=0,"",INDEX('3 Catalogue outils'!$A$6:$AC$5005,L38,4)),"")</f>
        <v/>
      </c>
      <c r="P38" s="20">
        <f>IF(L38&gt;0,IF(INDEX('3 Catalogue outils'!$A$6:$AC$5005,L38,5)=0,"",INDEX('3 Catalogue outils'!$A$6:$AC$5005,L38,5)),"")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devis'!$B$6:$B$29,J39)),IF(L39&gt;0,CLEAN(INDEX('3 Catalogue outils'!$A$6:$AC$5005,L39,2)),INDEX('2 Import devis'!$B$6:$B$29,J39))))</f>
        <v/>
      </c>
      <c r="D39" s="17">
        <f>IF(OR(J39=0,K39=1),"",1)</f>
        <v/>
      </c>
      <c r="E39" s="17">
        <f>IF(OR(J39=0,K39=1),"",IF(L39&gt;0,IF(N(INDEX('3 Catalogue outils'!$A$6:$AC$5005,L39,22))=0,IF(ISTEXT(INDEX('3 Catalogue outils'!$A$6:$AC$5005,L39,22)),INDEX('3 Catalogue outils'!$A$6:$AC$5005,L39,22),"FR"),"FR"),"FR"))</f>
        <v/>
      </c>
      <c r="F39" s="18">
        <f>IF(L39&gt;0,IF(N(INDEX('3 Catalogue outils'!$A$6:$AC$5005,L39,3))=0,"",ROUND(INDEX('3 Catalogue outils'!$A$6:$AC$5005,L39,3),1)),"")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outils'!$A$6:$A$5005,0),0))</f>
        <v/>
      </c>
      <c r="M39" s="20">
        <f>IF(L39&gt;0,IF(INDEX('3 Catalogue outils'!$A$6:$AC$5005,L39,20)=0,"",INDEX('3 Catalogue outils'!$A$6:$AC$5005,L39,20)),"")</f>
        <v/>
      </c>
      <c r="N39" s="20">
        <f>IF(L39&gt;0,IF(INDEX('3 Catalogue outils'!$A$6:$AC$5005,L39,23)=0,"",INDEX('3 Catalogue outils'!$A$6:$AC$5005,L39,23)),"")</f>
        <v/>
      </c>
      <c r="O39" s="20">
        <f>IF(L39&gt;0,IF(INDEX('3 Catalogue outils'!$A$6:$AC$5005,L39,4)=0,"",INDEX('3 Catalogue outils'!$A$6:$AC$5005,L39,4)),"")</f>
        <v/>
      </c>
      <c r="P39" s="20">
        <f>IF(L39&gt;0,IF(INDEX('3 Catalogue outils'!$A$6:$AC$5005,L39,5)=0,"",INDEX('3 Catalogue outils'!$A$6:$AC$5005,L39,5)),"")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devis'!$B$6:$B$29,J40)),IF(L40&gt;0,CLEAN(INDEX('3 Catalogue outils'!$A$6:$AC$5005,L40,2)),INDEX('2 Import devis'!$B$6:$B$29,J40))))</f>
        <v/>
      </c>
      <c r="D40" s="17">
        <f>IF(OR(J40=0,K40=1),"",1)</f>
        <v/>
      </c>
      <c r="E40" s="17">
        <f>IF(OR(J40=0,K40=1),"",IF(L40&gt;0,IF(N(INDEX('3 Catalogue outils'!$A$6:$AC$5005,L40,22))=0,IF(ISTEXT(INDEX('3 Catalogue outils'!$A$6:$AC$5005,L40,22)),INDEX('3 Catalogue outils'!$A$6:$AC$5005,L40,22),"FR"),"FR"),"FR"))</f>
        <v/>
      </c>
      <c r="F40" s="18">
        <f>IF(L40&gt;0,IF(N(INDEX('3 Catalogue outils'!$A$6:$AC$5005,L40,3))=0,"",ROUND(INDEX('3 Catalogue outils'!$A$6:$AC$5005,L40,3),1)),"")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outils'!$A$6:$A$5005,0),0))</f>
        <v/>
      </c>
      <c r="M40" s="20">
        <f>IF(L40&gt;0,IF(INDEX('3 Catalogue outils'!$A$6:$AC$5005,L40,20)=0,"",INDEX('3 Catalogue outils'!$A$6:$AC$5005,L40,20)),"")</f>
        <v/>
      </c>
      <c r="N40" s="20">
        <f>IF(L40&gt;0,IF(INDEX('3 Catalogue outils'!$A$6:$AC$5005,L40,23)=0,"",INDEX('3 Catalogue outils'!$A$6:$AC$5005,L40,23)),"")</f>
        <v/>
      </c>
      <c r="O40" s="20">
        <f>IF(L40&gt;0,IF(INDEX('3 Catalogue outils'!$A$6:$AC$5005,L40,4)=0,"",INDEX('3 Catalogue outils'!$A$6:$AC$5005,L40,4)),"")</f>
        <v/>
      </c>
      <c r="P40" s="20">
        <f>IF(L40&gt;0,IF(INDEX('3 Catalogue outils'!$A$6:$AC$5005,L40,5)=0,"",INDEX('3 Catalogue outils'!$A$6:$AC$5005,L40,5)),"")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devis'!$B$6:$B$29,J41)),IF(L41&gt;0,CLEAN(INDEX('3 Catalogue outils'!$A$6:$AC$5005,L41,2)),INDEX('2 Import devis'!$B$6:$B$29,J41))))</f>
        <v/>
      </c>
      <c r="D41" s="17">
        <f>IF(OR(J41=0,K41=1),"",1)</f>
        <v/>
      </c>
      <c r="E41" s="17">
        <f>IF(OR(J41=0,K41=1),"",IF(L41&gt;0,IF(N(INDEX('3 Catalogue outils'!$A$6:$AC$5005,L41,22))=0,IF(ISTEXT(INDEX('3 Catalogue outils'!$A$6:$AC$5005,L41,22)),INDEX('3 Catalogue outils'!$A$6:$AC$5005,L41,22),"FR"),"FR"),"FR"))</f>
        <v/>
      </c>
      <c r="F41" s="18">
        <f>IF(L41&gt;0,IF(N(INDEX('3 Catalogue outils'!$A$6:$AC$5005,L41,3))=0,"",ROUND(INDEX('3 Catalogue outils'!$A$6:$AC$5005,L41,3),1)),"")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outils'!$A$6:$A$5005,0),0))</f>
        <v/>
      </c>
      <c r="M41" s="20">
        <f>IF(L41&gt;0,IF(INDEX('3 Catalogue outils'!$A$6:$AC$5005,L41,20)=0,"",INDEX('3 Catalogue outils'!$A$6:$AC$5005,L41,20)),"")</f>
        <v/>
      </c>
      <c r="N41" s="20">
        <f>IF(L41&gt;0,IF(INDEX('3 Catalogue outils'!$A$6:$AC$5005,L41,23)=0,"",INDEX('3 Catalogue outils'!$A$6:$AC$5005,L41,23)),"")</f>
        <v/>
      </c>
      <c r="O41" s="20">
        <f>IF(L41&gt;0,IF(INDEX('3 Catalogue outils'!$A$6:$AC$5005,L41,4)=0,"",INDEX('3 Catalogue outils'!$A$6:$AC$5005,L41,4)),"")</f>
        <v/>
      </c>
      <c r="P41" s="20">
        <f>IF(L41&gt;0,IF(INDEX('3 Catalogue outils'!$A$6:$AC$5005,L41,5)=0,"",INDEX('3 Catalogue outils'!$A$6:$AC$5005,L41,5)),"")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devis'!$B$6:$B$29,J42)),IF(L42&gt;0,CLEAN(INDEX('3 Catalogue outils'!$A$6:$AC$5005,L42,2)),INDEX('2 Import devis'!$B$6:$B$29,J42))))</f>
        <v/>
      </c>
      <c r="D42" s="17">
        <f>IF(OR(J42=0,K42=1),"",1)</f>
        <v/>
      </c>
      <c r="E42" s="17">
        <f>IF(OR(J42=0,K42=1),"",IF(L42&gt;0,IF(N(INDEX('3 Catalogue outils'!$A$6:$AC$5005,L42,22))=0,IF(ISTEXT(INDEX('3 Catalogue outils'!$A$6:$AC$5005,L42,22)),INDEX('3 Catalogue outils'!$A$6:$AC$5005,L42,22),"FR"),"FR"),"FR"))</f>
        <v/>
      </c>
      <c r="F42" s="18">
        <f>IF(L42&gt;0,IF(N(INDEX('3 Catalogue outils'!$A$6:$AC$5005,L42,3))=0,"",ROUND(INDEX('3 Catalogue outils'!$A$6:$AC$5005,L42,3),1)),"")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outils'!$A$6:$A$5005,0),0))</f>
        <v/>
      </c>
      <c r="M42" s="20">
        <f>IF(L42&gt;0,IF(INDEX('3 Catalogue outils'!$A$6:$AC$5005,L42,20)=0,"",INDEX('3 Catalogue outils'!$A$6:$AC$5005,L42,20)),"")</f>
        <v/>
      </c>
      <c r="N42" s="20">
        <f>IF(L42&gt;0,IF(INDEX('3 Catalogue outils'!$A$6:$AC$5005,L42,23)=0,"",INDEX('3 Catalogue outils'!$A$6:$AC$5005,L42,23)),"")</f>
        <v/>
      </c>
      <c r="O42" s="20">
        <f>IF(L42&gt;0,IF(INDEX('3 Catalogue outils'!$A$6:$AC$5005,L42,4)=0,"",INDEX('3 Catalogue outils'!$A$6:$AC$5005,L42,4)),"")</f>
        <v/>
      </c>
      <c r="P42" s="20">
        <f>IF(L42&gt;0,IF(INDEX('3 Catalogue outils'!$A$6:$AC$5005,L42,5)=0,"",INDEX('3 Catalogue outils'!$A$6:$AC$5005,L42,5)),"")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devis'!$B$6:$B$29,J43)),IF(L43&gt;0,CLEAN(INDEX('3 Catalogue outils'!$A$6:$AC$5005,L43,2)),INDEX('2 Import devis'!$B$6:$B$29,J43))))</f>
        <v/>
      </c>
      <c r="D43" s="17">
        <f>IF(OR(J43=0,K43=1),"",1)</f>
        <v/>
      </c>
      <c r="E43" s="17">
        <f>IF(OR(J43=0,K43=1),"",IF(L43&gt;0,IF(N(INDEX('3 Catalogue outils'!$A$6:$AC$5005,L43,22))=0,IF(ISTEXT(INDEX('3 Catalogue outils'!$A$6:$AC$5005,L43,22)),INDEX('3 Catalogue outils'!$A$6:$AC$5005,L43,22),"FR"),"FR"),"FR"))</f>
        <v/>
      </c>
      <c r="F43" s="18">
        <f>IF(L43&gt;0,IF(N(INDEX('3 Catalogue outils'!$A$6:$AC$5005,L43,3))=0,"",ROUND(INDEX('3 Catalogue outils'!$A$6:$AC$5005,L43,3),1)),"")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outils'!$A$6:$A$5005,0),0))</f>
        <v/>
      </c>
      <c r="M43" s="20">
        <f>IF(L43&gt;0,IF(INDEX('3 Catalogue outils'!$A$6:$AC$5005,L43,20)=0,"",INDEX('3 Catalogue outils'!$A$6:$AC$5005,L43,20)),"")</f>
        <v/>
      </c>
      <c r="N43" s="20">
        <f>IF(L43&gt;0,IF(INDEX('3 Catalogue outils'!$A$6:$AC$5005,L43,23)=0,"",INDEX('3 Catalogue outils'!$A$6:$AC$5005,L43,23)),"")</f>
        <v/>
      </c>
      <c r="O43" s="20">
        <f>IF(L43&gt;0,IF(INDEX('3 Catalogue outils'!$A$6:$AC$5005,L43,4)=0,"",INDEX('3 Catalogue outils'!$A$6:$AC$5005,L43,4)),"")</f>
        <v/>
      </c>
      <c r="P43" s="20">
        <f>IF(L43&gt;0,IF(INDEX('3 Catalogue outils'!$A$6:$AC$5005,L43,5)=0,"",INDEX('3 Catalogue outils'!$A$6:$AC$5005,L43,5)),"")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devis'!$B$6:$B$29,J44)),IF(L44&gt;0,CLEAN(INDEX('3 Catalogue outils'!$A$6:$AC$5005,L44,2)),INDEX('2 Import devis'!$B$6:$B$29,J44))))</f>
        <v/>
      </c>
      <c r="D44" s="17">
        <f>IF(OR(J44=0,K44=1),"",1)</f>
        <v/>
      </c>
      <c r="E44" s="17">
        <f>IF(OR(J44=0,K44=1),"",IF(L44&gt;0,IF(N(INDEX('3 Catalogue outils'!$A$6:$AC$5005,L44,22))=0,IF(ISTEXT(INDEX('3 Catalogue outils'!$A$6:$AC$5005,L44,22)),INDEX('3 Catalogue outils'!$A$6:$AC$5005,L44,22),"FR"),"FR"),"FR"))</f>
        <v/>
      </c>
      <c r="F44" s="18">
        <f>IF(L44&gt;0,IF(N(INDEX('3 Catalogue outils'!$A$6:$AC$5005,L44,3))=0,"",ROUND(INDEX('3 Catalogue outils'!$A$6:$AC$5005,L44,3),1)),"")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outils'!$A$6:$A$5005,0),0))</f>
        <v/>
      </c>
      <c r="M44" s="20">
        <f>IF(L44&gt;0,IF(INDEX('3 Catalogue outils'!$A$6:$AC$5005,L44,20)=0,"",INDEX('3 Catalogue outils'!$A$6:$AC$5005,L44,20)),"")</f>
        <v/>
      </c>
      <c r="N44" s="20">
        <f>IF(L44&gt;0,IF(INDEX('3 Catalogue outils'!$A$6:$AC$5005,L44,23)=0,"",INDEX('3 Catalogue outils'!$A$6:$AC$5005,L44,23)),"")</f>
        <v/>
      </c>
      <c r="O44" s="20">
        <f>IF(L44&gt;0,IF(INDEX('3 Catalogue outils'!$A$6:$AC$5005,L44,4)=0,"",INDEX('3 Catalogue outils'!$A$6:$AC$5005,L44,4)),"")</f>
        <v/>
      </c>
      <c r="P44" s="20">
        <f>IF(L44&gt;0,IF(INDEX('3 Catalogue outils'!$A$6:$AC$5005,L44,5)=0,"",INDEX('3 Catalogue outils'!$A$6:$AC$5005,L44,5)),"")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devis'!$B$6:$B$29,J45)),IF(L45&gt;0,CLEAN(INDEX('3 Catalogue outils'!$A$6:$AC$5005,L45,2)),INDEX('2 Import devis'!$B$6:$B$29,J45))))</f>
        <v/>
      </c>
      <c r="D45" s="17">
        <f>IF(OR(J45=0,K45=1),"",1)</f>
        <v/>
      </c>
      <c r="E45" s="17">
        <f>IF(OR(J45=0,K45=1),"",IF(L45&gt;0,IF(N(INDEX('3 Catalogue outils'!$A$6:$AC$5005,L45,22))=0,IF(ISTEXT(INDEX('3 Catalogue outils'!$A$6:$AC$5005,L45,22)),INDEX('3 Catalogue outils'!$A$6:$AC$5005,L45,22),"FR"),"FR"),"FR"))</f>
        <v/>
      </c>
      <c r="F45" s="18">
        <f>IF(L45&gt;0,IF(N(INDEX('3 Catalogue outils'!$A$6:$AC$5005,L45,3))=0,"",ROUND(INDEX('3 Catalogue outils'!$A$6:$AC$5005,L45,3),1)),"")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outils'!$A$6:$A$5005,0),0))</f>
        <v/>
      </c>
      <c r="M45" s="20">
        <f>IF(L45&gt;0,IF(INDEX('3 Catalogue outils'!$A$6:$AC$5005,L45,20)=0,"",INDEX('3 Catalogue outils'!$A$6:$AC$5005,L45,20)),"")</f>
        <v/>
      </c>
      <c r="N45" s="20">
        <f>IF(L45&gt;0,IF(INDEX('3 Catalogue outils'!$A$6:$AC$5005,L45,23)=0,"",INDEX('3 Catalogue outils'!$A$6:$AC$5005,L45,23)),"")</f>
        <v/>
      </c>
      <c r="O45" s="20">
        <f>IF(L45&gt;0,IF(INDEX('3 Catalogue outils'!$A$6:$AC$5005,L45,4)=0,"",INDEX('3 Catalogue outils'!$A$6:$AC$5005,L45,4)),"")</f>
        <v/>
      </c>
      <c r="P45" s="20">
        <f>IF(L45&gt;0,IF(INDEX('3 Catalogue outils'!$A$6:$AC$5005,L45,5)=0,"",INDEX('3 Catalogue outils'!$A$6:$AC$5005,L45,5)),"")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devis'!$B$6:$B$29,J46)),IF(L46&gt;0,CLEAN(INDEX('3 Catalogue outils'!$A$6:$AC$5005,L46,2)),INDEX('2 Import devis'!$B$6:$B$29,J46))))</f>
        <v/>
      </c>
      <c r="D46" s="17">
        <f>IF(OR(J46=0,K46=1),"",1)</f>
        <v/>
      </c>
      <c r="E46" s="17">
        <f>IF(OR(J46=0,K46=1),"",IF(L46&gt;0,IF(N(INDEX('3 Catalogue outils'!$A$6:$AC$5005,L46,22))=0,IF(ISTEXT(INDEX('3 Catalogue outils'!$A$6:$AC$5005,L46,22)),INDEX('3 Catalogue outils'!$A$6:$AC$5005,L46,22),"FR"),"FR"),"FR"))</f>
        <v/>
      </c>
      <c r="F46" s="18">
        <f>IF(L46&gt;0,IF(N(INDEX('3 Catalogue outils'!$A$6:$AC$5005,L46,3))=0,"",ROUND(INDEX('3 Catalogue outils'!$A$6:$AC$5005,L46,3),1)),"")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outils'!$A$6:$A$5005,0),0))</f>
        <v/>
      </c>
      <c r="M46" s="20">
        <f>IF(L46&gt;0,IF(INDEX('3 Catalogue outils'!$A$6:$AC$5005,L46,20)=0,"",INDEX('3 Catalogue outils'!$A$6:$AC$5005,L46,20)),"")</f>
        <v/>
      </c>
      <c r="N46" s="20">
        <f>IF(L46&gt;0,IF(INDEX('3 Catalogue outils'!$A$6:$AC$5005,L46,23)=0,"",INDEX('3 Catalogue outils'!$A$6:$AC$5005,L46,23)),"")</f>
        <v/>
      </c>
      <c r="O46" s="20">
        <f>IF(L46&gt;0,IF(INDEX('3 Catalogue outils'!$A$6:$AC$5005,L46,4)=0,"",INDEX('3 Catalogue outils'!$A$6:$AC$5005,L46,4)),"")</f>
        <v/>
      </c>
      <c r="P46" s="20">
        <f>IF(L46&gt;0,IF(INDEX('3 Catalogue outils'!$A$6:$AC$5005,L46,5)=0,"",INDEX('3 Catalogue outils'!$A$6:$AC$5005,L46,5)),"")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devis'!$B$6:$B$29,J47)),IF(L47&gt;0,CLEAN(INDEX('3 Catalogue outils'!$A$6:$AC$5005,L47,2)),INDEX('2 Import devis'!$B$6:$B$29,J47))))</f>
        <v/>
      </c>
      <c r="D47" s="17">
        <f>IF(OR(J47=0,K47=1),"",1)</f>
        <v/>
      </c>
      <c r="E47" s="17">
        <f>IF(OR(J47=0,K47=1),"",IF(L47&gt;0,IF(N(INDEX('3 Catalogue outils'!$A$6:$AC$5005,L47,22))=0,IF(ISTEXT(INDEX('3 Catalogue outils'!$A$6:$AC$5005,L47,22)),INDEX('3 Catalogue outils'!$A$6:$AC$5005,L47,22),"FR"),"FR"),"FR"))</f>
        <v/>
      </c>
      <c r="F47" s="18">
        <f>IF(L47&gt;0,IF(N(INDEX('3 Catalogue outils'!$A$6:$AC$5005,L47,3))=0,"",ROUND(INDEX('3 Catalogue outils'!$A$6:$AC$5005,L47,3),1)),"")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outils'!$A$6:$A$5005,0),0))</f>
        <v/>
      </c>
      <c r="M47" s="20">
        <f>IF(L47&gt;0,IF(INDEX('3 Catalogue outils'!$A$6:$AC$5005,L47,20)=0,"",INDEX('3 Catalogue outils'!$A$6:$AC$5005,L47,20)),"")</f>
        <v/>
      </c>
      <c r="N47" s="20">
        <f>IF(L47&gt;0,IF(INDEX('3 Catalogue outils'!$A$6:$AC$5005,L47,23)=0,"",INDEX('3 Catalogue outils'!$A$6:$AC$5005,L47,23)),"")</f>
        <v/>
      </c>
      <c r="O47" s="20">
        <f>IF(L47&gt;0,IF(INDEX('3 Catalogue outils'!$A$6:$AC$5005,L47,4)=0,"",INDEX('3 Catalogue outils'!$A$6:$AC$5005,L47,4)),"")</f>
        <v/>
      </c>
      <c r="P47" s="20">
        <f>IF(L47&gt;0,IF(INDEX('3 Catalogue outils'!$A$6:$AC$5005,L47,5)=0,"",INDEX('3 Catalogue outils'!$A$6:$AC$5005,L47,5)),"")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devis'!$B$6:$B$29,J48)),IF(L48&gt;0,CLEAN(INDEX('3 Catalogue outils'!$A$6:$AC$5005,L48,2)),INDEX('2 Import devis'!$B$6:$B$29,J48))))</f>
        <v/>
      </c>
      <c r="D48" s="17">
        <f>IF(OR(J48=0,K48=1),"",1)</f>
        <v/>
      </c>
      <c r="E48" s="17">
        <f>IF(OR(J48=0,K48=1),"",IF(L48&gt;0,IF(N(INDEX('3 Catalogue outils'!$A$6:$AC$5005,L48,22))=0,IF(ISTEXT(INDEX('3 Catalogue outils'!$A$6:$AC$5005,L48,22)),INDEX('3 Catalogue outils'!$A$6:$AC$5005,L48,22),"FR"),"FR"),"FR"))</f>
        <v/>
      </c>
      <c r="F48" s="18">
        <f>IF(L48&gt;0,IF(N(INDEX('3 Catalogue outils'!$A$6:$AC$5005,L48,3))=0,"",ROUND(INDEX('3 Catalogue outils'!$A$6:$AC$5005,L48,3),1)),"")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outils'!$A$6:$A$5005,0),0))</f>
        <v/>
      </c>
      <c r="M48" s="20">
        <f>IF(L48&gt;0,IF(INDEX('3 Catalogue outils'!$A$6:$AC$5005,L48,20)=0,"",INDEX('3 Catalogue outils'!$A$6:$AC$5005,L48,20)),"")</f>
        <v/>
      </c>
      <c r="N48" s="20">
        <f>IF(L48&gt;0,IF(INDEX('3 Catalogue outils'!$A$6:$AC$5005,L48,23)=0,"",INDEX('3 Catalogue outils'!$A$6:$AC$5005,L48,23)),"")</f>
        <v/>
      </c>
      <c r="O48" s="20">
        <f>IF(L48&gt;0,IF(INDEX('3 Catalogue outils'!$A$6:$AC$5005,L48,4)=0,"",INDEX('3 Catalogue outils'!$A$6:$AC$5005,L48,4)),"")</f>
        <v/>
      </c>
      <c r="P48" s="20">
        <f>IF(L48&gt;0,IF(INDEX('3 Catalogue outils'!$A$6:$AC$5005,L48,5)=0,"",INDEX('3 Catalogue outils'!$A$6:$AC$5005,L48,5)),"")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devis'!$B$6:$B$29,J49)),IF(L49&gt;0,CLEAN(INDEX('3 Catalogue outils'!$A$6:$AC$5005,L49,2)),INDEX('2 Import devis'!$B$6:$B$29,J49))))</f>
        <v/>
      </c>
      <c r="D49" s="17">
        <f>IF(OR(J49=0,K49=1),"",1)</f>
        <v/>
      </c>
      <c r="E49" s="17">
        <f>IF(OR(J49=0,K49=1),"",IF(L49&gt;0,IF(N(INDEX('3 Catalogue outils'!$A$6:$AC$5005,L49,22))=0,IF(ISTEXT(INDEX('3 Catalogue outils'!$A$6:$AC$5005,L49,22)),INDEX('3 Catalogue outils'!$A$6:$AC$5005,L49,22),"FR"),"FR"),"FR"))</f>
        <v/>
      </c>
      <c r="F49" s="18">
        <f>IF(L49&gt;0,IF(N(INDEX('3 Catalogue outils'!$A$6:$AC$5005,L49,3))=0,"",ROUND(INDEX('3 Catalogue outils'!$A$6:$AC$5005,L49,3),1)),"")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outils'!$A$6:$A$5005,0),0))</f>
        <v/>
      </c>
      <c r="M49" s="20">
        <f>IF(L49&gt;0,IF(INDEX('3 Catalogue outils'!$A$6:$AC$5005,L49,20)=0,"",INDEX('3 Catalogue outils'!$A$6:$AC$5005,L49,20)),"")</f>
        <v/>
      </c>
      <c r="N49" s="20">
        <f>IF(L49&gt;0,IF(INDEX('3 Catalogue outils'!$A$6:$AC$5005,L49,23)=0,"",INDEX('3 Catalogue outils'!$A$6:$AC$5005,L49,23)),"")</f>
        <v/>
      </c>
      <c r="O49" s="20">
        <f>IF(L49&gt;0,IF(INDEX('3 Catalogue outils'!$A$6:$AC$5005,L49,4)=0,"",INDEX('3 Catalogue outils'!$A$6:$AC$5005,L49,4)),"")</f>
        <v/>
      </c>
      <c r="P49" s="20">
        <f>IF(L49&gt;0,IF(INDEX('3 Catalogue outils'!$A$6:$AC$5005,L49,5)=0,"",INDEX('3 Catalogue outils'!$A$6:$AC$5005,L49,5)),"")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devis'!$B$6:$B$29,J50)),IF(L50&gt;0,CLEAN(INDEX('3 Catalogue outils'!$A$6:$AC$5005,L50,2)),INDEX('2 Import devis'!$B$6:$B$29,J50))))</f>
        <v/>
      </c>
      <c r="D50" s="17">
        <f>IF(OR(J50=0,K50=1),"",1)</f>
        <v/>
      </c>
      <c r="E50" s="17">
        <f>IF(OR(J50=0,K50=1),"",IF(L50&gt;0,IF(N(INDEX('3 Catalogue outils'!$A$6:$AC$5005,L50,22))=0,IF(ISTEXT(INDEX('3 Catalogue outils'!$A$6:$AC$5005,L50,22)),INDEX('3 Catalogue outils'!$A$6:$AC$5005,L50,22),"FR"),"FR"),"FR"))</f>
        <v/>
      </c>
      <c r="F50" s="18">
        <f>IF(L50&gt;0,IF(N(INDEX('3 Catalogue outils'!$A$6:$AC$5005,L50,3))=0,"",ROUND(INDEX('3 Catalogue outils'!$A$6:$AC$5005,L50,3),1)),"")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outils'!$A$6:$A$5005,0),0))</f>
        <v/>
      </c>
      <c r="M50" s="20">
        <f>IF(L50&gt;0,IF(INDEX('3 Catalogue outils'!$A$6:$AC$5005,L50,20)=0,"",INDEX('3 Catalogue outils'!$A$6:$AC$5005,L50,20)),"")</f>
        <v/>
      </c>
      <c r="N50" s="20">
        <f>IF(L50&gt;0,IF(INDEX('3 Catalogue outils'!$A$6:$AC$5005,L50,23)=0,"",INDEX('3 Catalogue outils'!$A$6:$AC$5005,L50,23)),"")</f>
        <v/>
      </c>
      <c r="O50" s="20">
        <f>IF(L50&gt;0,IF(INDEX('3 Catalogue outils'!$A$6:$AC$5005,L50,4)=0,"",INDEX('3 Catalogue outils'!$A$6:$AC$5005,L50,4)),"")</f>
        <v/>
      </c>
      <c r="P50" s="20">
        <f>IF(L50&gt;0,IF(INDEX('3 Catalogue outils'!$A$6:$AC$5005,L50,5)=0,"",INDEX('3 Catalogue outils'!$A$6:$AC$5005,L50,5)),"")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devis'!$B$6:$B$29,J51)),IF(L51&gt;0,CLEAN(INDEX('3 Catalogue outils'!$A$6:$AC$5005,L51,2)),INDEX('2 Import devis'!$B$6:$B$29,J51))))</f>
        <v/>
      </c>
      <c r="D51" s="17">
        <f>IF(OR(J51=0,K51=1),"",1)</f>
        <v/>
      </c>
      <c r="E51" s="17">
        <f>IF(OR(J51=0,K51=1),"",IF(L51&gt;0,IF(N(INDEX('3 Catalogue outils'!$A$6:$AC$5005,L51,22))=0,IF(ISTEXT(INDEX('3 Catalogue outils'!$A$6:$AC$5005,L51,22)),INDEX('3 Catalogue outils'!$A$6:$AC$5005,L51,22),"FR"),"FR"),"FR"))</f>
        <v/>
      </c>
      <c r="F51" s="18">
        <f>IF(L51&gt;0,IF(N(INDEX('3 Catalogue outils'!$A$6:$AC$5005,L51,3))=0,"",ROUND(INDEX('3 Catalogue outils'!$A$6:$AC$5005,L51,3),1)),"")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outils'!$A$6:$A$5005,0),0))</f>
        <v/>
      </c>
      <c r="M51" s="20">
        <f>IF(L51&gt;0,IF(INDEX('3 Catalogue outils'!$A$6:$AC$5005,L51,20)=0,"",INDEX('3 Catalogue outils'!$A$6:$AC$5005,L51,20)),"")</f>
        <v/>
      </c>
      <c r="N51" s="20">
        <f>IF(L51&gt;0,IF(INDEX('3 Catalogue outils'!$A$6:$AC$5005,L51,23)=0,"",INDEX('3 Catalogue outils'!$A$6:$AC$5005,L51,23)),"")</f>
        <v/>
      </c>
      <c r="O51" s="20">
        <f>IF(L51&gt;0,IF(INDEX('3 Catalogue outils'!$A$6:$AC$5005,L51,4)=0,"",INDEX('3 Catalogue outils'!$A$6:$AC$5005,L51,4)),"")</f>
        <v/>
      </c>
      <c r="P51" s="20">
        <f>IF(L51&gt;0,IF(INDEX('3 Catalogue outils'!$A$6:$AC$5005,L51,5)=0,"",INDEX('3 Catalogue outils'!$A$6:$AC$5005,L51,5)),"")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devis'!$B$6:$B$29,J52)),IF(L52&gt;0,CLEAN(INDEX('3 Catalogue outils'!$A$6:$AC$5005,L52,2)),INDEX('2 Import devis'!$B$6:$B$29,J52))))</f>
        <v/>
      </c>
      <c r="D52" s="17">
        <f>IF(OR(J52=0,K52=1),"",1)</f>
        <v/>
      </c>
      <c r="E52" s="17">
        <f>IF(OR(J52=0,K52=1),"",IF(L52&gt;0,IF(N(INDEX('3 Catalogue outils'!$A$6:$AC$5005,L52,22))=0,IF(ISTEXT(INDEX('3 Catalogue outils'!$A$6:$AC$5005,L52,22)),INDEX('3 Catalogue outils'!$A$6:$AC$5005,L52,22),"FR"),"FR"),"FR"))</f>
        <v/>
      </c>
      <c r="F52" s="18">
        <f>IF(L52&gt;0,IF(N(INDEX('3 Catalogue outils'!$A$6:$AC$5005,L52,3))=0,"",ROUND(INDEX('3 Catalogue outils'!$A$6:$AC$5005,L52,3),1)),"")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outils'!$A$6:$A$5005,0),0))</f>
        <v/>
      </c>
      <c r="M52" s="20">
        <f>IF(L52&gt;0,IF(INDEX('3 Catalogue outils'!$A$6:$AC$5005,L52,20)=0,"",INDEX('3 Catalogue outils'!$A$6:$AC$5005,L52,20)),"")</f>
        <v/>
      </c>
      <c r="N52" s="20">
        <f>IF(L52&gt;0,IF(INDEX('3 Catalogue outils'!$A$6:$AC$5005,L52,23)=0,"",INDEX('3 Catalogue outils'!$A$6:$AC$5005,L52,23)),"")</f>
        <v/>
      </c>
      <c r="O52" s="20">
        <f>IF(L52&gt;0,IF(INDEX('3 Catalogue outils'!$A$6:$AC$5005,L52,4)=0,"",INDEX('3 Catalogue outils'!$A$6:$AC$5005,L52,4)),"")</f>
        <v/>
      </c>
      <c r="P52" s="20">
        <f>IF(L52&gt;0,IF(INDEX('3 Catalogue outils'!$A$6:$AC$5005,L52,5)=0,"",INDEX('3 Catalogue outils'!$A$6:$AC$5005,L52,5)),"")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devis'!$B$6:$B$29,J53)),IF(L53&gt;0,CLEAN(INDEX('3 Catalogue outils'!$A$6:$AC$5005,L53,2)),INDEX('2 Import devis'!$B$6:$B$29,J53))))</f>
        <v/>
      </c>
      <c r="D53" s="17">
        <f>IF(OR(J53=0,K53=1),"",1)</f>
        <v/>
      </c>
      <c r="E53" s="17">
        <f>IF(OR(J53=0,K53=1),"",IF(L53&gt;0,IF(N(INDEX('3 Catalogue outils'!$A$6:$AC$5005,L53,22))=0,IF(ISTEXT(INDEX('3 Catalogue outils'!$A$6:$AC$5005,L53,22)),INDEX('3 Catalogue outils'!$A$6:$AC$5005,L53,22),"FR"),"FR"),"FR"))</f>
        <v/>
      </c>
      <c r="F53" s="18">
        <f>IF(L53&gt;0,IF(N(INDEX('3 Catalogue outils'!$A$6:$AC$5005,L53,3))=0,"",ROUND(INDEX('3 Catalogue outils'!$A$6:$AC$5005,L53,3),1)),"")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outils'!$A$6:$A$5005,0),0))</f>
        <v/>
      </c>
      <c r="M53" s="20">
        <f>IF(L53&gt;0,IF(INDEX('3 Catalogue outils'!$A$6:$AC$5005,L53,20)=0,"",INDEX('3 Catalogue outils'!$A$6:$AC$5005,L53,20)),"")</f>
        <v/>
      </c>
      <c r="N53" s="20">
        <f>IF(L53&gt;0,IF(INDEX('3 Catalogue outils'!$A$6:$AC$5005,L53,23)=0,"",INDEX('3 Catalogue outils'!$A$6:$AC$5005,L53,23)),"")</f>
        <v/>
      </c>
      <c r="O53" s="20">
        <f>IF(L53&gt;0,IF(INDEX('3 Catalogue outils'!$A$6:$AC$5005,L53,4)=0,"",INDEX('3 Catalogue outils'!$A$6:$AC$5005,L53,4)),"")</f>
        <v/>
      </c>
      <c r="P53" s="20">
        <f>IF(L53&gt;0,IF(INDEX('3 Catalogue outils'!$A$6:$AC$5005,L53,5)=0,"",INDEX('3 Catalogue outils'!$A$6:$AC$5005,L53,5)),"")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devis'!$B$6:$B$29,J54)),IF(L54&gt;0,CLEAN(INDEX('3 Catalogue outils'!$A$6:$AC$5005,L54,2)),INDEX('2 Import devis'!$B$6:$B$29,J54))))</f>
        <v/>
      </c>
      <c r="D54" s="17">
        <f>IF(OR(J54=0,K54=1),"",1)</f>
        <v/>
      </c>
      <c r="E54" s="17">
        <f>IF(OR(J54=0,K54=1),"",IF(L54&gt;0,IF(N(INDEX('3 Catalogue outils'!$A$6:$AC$5005,L54,22))=0,IF(ISTEXT(INDEX('3 Catalogue outils'!$A$6:$AC$5005,L54,22)),INDEX('3 Catalogue outils'!$A$6:$AC$5005,L54,22),"FR"),"FR"),"FR"))</f>
        <v/>
      </c>
      <c r="F54" s="18">
        <f>IF(L54&gt;0,IF(N(INDEX('3 Catalogue outils'!$A$6:$AC$5005,L54,3))=0,"",ROUND(INDEX('3 Catalogue outils'!$A$6:$AC$5005,L54,3),1)),"")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outils'!$A$6:$A$5005,0),0))</f>
        <v/>
      </c>
      <c r="M54" s="20">
        <f>IF(L54&gt;0,IF(INDEX('3 Catalogue outils'!$A$6:$AC$5005,L54,20)=0,"",INDEX('3 Catalogue outils'!$A$6:$AC$5005,L54,20)),"")</f>
        <v/>
      </c>
      <c r="N54" s="20">
        <f>IF(L54&gt;0,IF(INDEX('3 Catalogue outils'!$A$6:$AC$5005,L54,23)=0,"",INDEX('3 Catalogue outils'!$A$6:$AC$5005,L54,23)),"")</f>
        <v/>
      </c>
      <c r="O54" s="20">
        <f>IF(L54&gt;0,IF(INDEX('3 Catalogue outils'!$A$6:$AC$5005,L54,4)=0,"",INDEX('3 Catalogue outils'!$A$6:$AC$5005,L54,4)),"")</f>
        <v/>
      </c>
      <c r="P54" s="20">
        <f>IF(L54&gt;0,IF(INDEX('3 Catalogue outils'!$A$6:$AC$5005,L54,5)=0,"",INDEX('3 Catalogue outils'!$A$6:$AC$5005,L54,5)),"")</f>
        <v/>
      </c>
    </row>
    <row r="55" ht="24" customHeight="1">
      <c r="A55" s="21" t="inlineStr">
        <is>
          <t>TOTAL</t>
        </is>
      </c>
      <c r="B55" s="22" t="n"/>
      <c r="C55" s="22" t="n"/>
      <c r="D55" s="23">
        <f>SUM(D15:D54)</f>
        <v/>
      </c>
      <c r="E55" s="23" t="n"/>
      <c r="F55" s="24">
        <f>SUMPRODUCT(IF(ISNUMBER(D15:D54),D15:D54,0)*IF(ISNUMBER(F15:F54),F15:F54,0))</f>
        <v/>
      </c>
      <c r="G55" s="25">
        <f>SUMPRODUCT(IF(ISNUMBER(D15:D54),D15:D54,0)*IF(ISNUMBER(G15:G54),G15:G54,0))</f>
        <v/>
      </c>
    </row>
    <row r="56" ht="18" customHeight="1"/>
    <row r="57" ht="18" customHeight="1"/>
    <row r="58" ht="22" customHeight="1">
      <c r="A58" s="26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7" t="inlineStr">
        <is>
          <t>Colis 1</t>
        </is>
      </c>
      <c r="B60" s="28" t="n"/>
      <c r="C60" s="28" t="n"/>
      <c r="D60" s="29" t="n"/>
      <c r="E60" s="29" t="n"/>
      <c r="F60" s="30" t="n"/>
      <c r="G60" s="31" t="n"/>
    </row>
    <row r="61" ht="26" customHeight="1">
      <c r="A61" s="27" t="inlineStr">
        <is>
          <t>Colis 2</t>
        </is>
      </c>
      <c r="B61" s="28" t="n"/>
      <c r="C61" s="28" t="n"/>
      <c r="D61" s="29" t="n"/>
      <c r="E61" s="29" t="n"/>
      <c r="F61" s="30" t="n"/>
      <c r="G61" s="31" t="n"/>
    </row>
    <row r="62" ht="26" customHeight="1">
      <c r="A62" s="27" t="inlineStr">
        <is>
          <t>Colis 3</t>
        </is>
      </c>
      <c r="B62" s="28" t="n"/>
      <c r="C62" s="28" t="n"/>
      <c r="D62" s="29" t="n"/>
      <c r="E62" s="29" t="n"/>
      <c r="F62" s="30" t="n"/>
      <c r="G62" s="31" t="n"/>
    </row>
    <row r="63" ht="22" customHeight="1">
      <c r="A63" s="32">
        <f>"TOTAL  ·  "&amp;COUNTA(B60:B62)&amp;" colis"</f>
        <v/>
      </c>
      <c r="B63" s="26" t="n"/>
      <c r="C63" s="26" t="n"/>
      <c r="D63" s="26" t="n"/>
      <c r="E63" s="26" t="n"/>
      <c r="F63" s="33">
        <f>SUM(F60:F62)</f>
        <v/>
      </c>
      <c r="G63" s="34">
        <f>SUM(G60:G62)</f>
        <v/>
      </c>
    </row>
    <row r="65" ht="26" customHeight="1">
      <c r="A65" s="35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6" t="inlineStr">
        <is>
          <t>EXPÉDITEUR · ENEDRIL
Nom, date, signature</t>
        </is>
      </c>
      <c r="B66" s="37" t="n"/>
      <c r="C66" s="38" t="inlineStr">
        <is>
          <t>TRANSPORTEUR
Nom, date, signature</t>
        </is>
      </c>
      <c r="D66" s="36" t="inlineStr">
        <is>
          <t>RÉCEPTION CLIENT · RECEIVED BY
Nom, date, signature, cachet</t>
        </is>
      </c>
      <c r="E66" s="39" t="n"/>
      <c r="F66" s="39" t="n"/>
      <c r="G66" s="37" t="n"/>
    </row>
    <row r="67" ht="17" customHeight="1">
      <c r="A67" s="40" t="n"/>
      <c r="B67" s="41" t="n"/>
      <c r="C67" s="42" t="n"/>
      <c r="D67" s="40" t="n"/>
      <c r="E67" s="43" t="n"/>
      <c r="F67" s="43" t="n"/>
      <c r="G67" s="41" t="n"/>
    </row>
    <row r="68" ht="17" customHeight="1">
      <c r="A68" s="40" t="n"/>
      <c r="B68" s="41" t="n"/>
      <c r="C68" s="42" t="n"/>
      <c r="D68" s="40" t="n"/>
      <c r="E68" s="43" t="n"/>
      <c r="F68" s="43" t="n"/>
      <c r="G68" s="41" t="n"/>
    </row>
    <row r="69" ht="17" customHeight="1">
      <c r="A69" s="44" t="n"/>
      <c r="B69" s="45" t="n"/>
      <c r="C69" s="46" t="n"/>
      <c r="D69" s="44" t="n"/>
      <c r="E69" s="47" t="n"/>
      <c r="F69" s="47" t="n"/>
      <c r="G69" s="45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1"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8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49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0" t="inlineStr">
        <is>
          <t>Description</t>
        </is>
      </c>
      <c r="C5" s="50" t="inlineStr">
        <is>
          <t>Qté</t>
        </is>
      </c>
      <c r="D5" s="51" t="inlineStr">
        <is>
          <t>Stand-by</t>
        </is>
      </c>
      <c r="E5" s="51" t="inlineStr">
        <is>
          <t>Opér.</t>
        </is>
      </c>
      <c r="F5" s="51" t="inlineStr">
        <is>
          <t>UC</t>
        </is>
      </c>
      <c r="G5" s="50" t="inlineStr">
        <is>
          <t>Valeur remplac.
(LIH / DBR)</t>
        </is>
      </c>
      <c r="H5" s="51" t="inlineStr">
        <is>
          <t>Inspection</t>
        </is>
      </c>
      <c r="I5" s="51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2" t="n"/>
      <c r="C6" s="53" t="n"/>
      <c r="D6" s="54" t="n"/>
      <c r="E6" s="54" t="n"/>
      <c r="F6" s="54" t="n"/>
      <c r="G6" s="54" t="n"/>
      <c r="H6" s="54" t="n"/>
      <c r="I6" s="54" t="n"/>
      <c r="K6" s="13">
        <f>IF(B6="",0,IF(N(C6)=0,1,MAX(1,INT(C6))))</f>
        <v/>
      </c>
      <c r="L6" s="13">
        <f>SUM(K$6:K6)</f>
        <v/>
      </c>
    </row>
    <row r="7">
      <c r="B7" s="52" t="n"/>
      <c r="C7" s="53" t="n"/>
      <c r="D7" s="54" t="n"/>
      <c r="E7" s="54" t="n"/>
      <c r="F7" s="54" t="n"/>
      <c r="G7" s="54" t="n"/>
      <c r="H7" s="54" t="n"/>
      <c r="I7" s="54" t="n"/>
      <c r="K7" s="13">
        <f>IF(B7="",0,IF(N(C7)=0,1,MAX(1,INT(C7))))</f>
        <v/>
      </c>
      <c r="L7" s="13">
        <f>SUM(K$6:K7)</f>
        <v/>
      </c>
    </row>
    <row r="8">
      <c r="B8" s="52" t="n"/>
      <c r="C8" s="53" t="n"/>
      <c r="D8" s="54" t="n"/>
      <c r="E8" s="54" t="n"/>
      <c r="F8" s="54" t="n"/>
      <c r="G8" s="54" t="n"/>
      <c r="H8" s="54" t="n"/>
      <c r="I8" s="54" t="n"/>
      <c r="K8" s="13">
        <f>IF(B8="",0,IF(N(C8)=0,1,MAX(1,INT(C8))))</f>
        <v/>
      </c>
      <c r="L8" s="13">
        <f>SUM(K$6:K8)</f>
        <v/>
      </c>
    </row>
    <row r="9">
      <c r="B9" s="52" t="n"/>
      <c r="C9" s="53" t="n"/>
      <c r="D9" s="54" t="n"/>
      <c r="E9" s="54" t="n"/>
      <c r="F9" s="54" t="n"/>
      <c r="G9" s="54" t="n"/>
      <c r="H9" s="54" t="n"/>
      <c r="I9" s="54" t="n"/>
      <c r="K9" s="13">
        <f>IF(B9="",0,IF(N(C9)=0,1,MAX(1,INT(C9))))</f>
        <v/>
      </c>
      <c r="L9" s="13">
        <f>SUM(K$6:K9)</f>
        <v/>
      </c>
    </row>
    <row r="10">
      <c r="B10" s="52" t="n"/>
      <c r="C10" s="53" t="n"/>
      <c r="D10" s="54" t="n"/>
      <c r="E10" s="54" t="n"/>
      <c r="F10" s="54" t="n"/>
      <c r="G10" s="54" t="n"/>
      <c r="H10" s="54" t="n"/>
      <c r="I10" s="54" t="n"/>
      <c r="K10" s="13">
        <f>IF(B10="",0,IF(N(C10)=0,1,MAX(1,INT(C10))))</f>
        <v/>
      </c>
      <c r="L10" s="13">
        <f>SUM(K$6:K10)</f>
        <v/>
      </c>
    </row>
    <row r="11">
      <c r="B11" s="52" t="n"/>
      <c r="C11" s="53" t="n"/>
      <c r="D11" s="54" t="n"/>
      <c r="E11" s="54" t="n"/>
      <c r="F11" s="54" t="n"/>
      <c r="G11" s="54" t="n"/>
      <c r="H11" s="54" t="n"/>
      <c r="I11" s="54" t="n"/>
      <c r="K11" s="13">
        <f>IF(B11="",0,IF(N(C11)=0,1,MAX(1,INT(C11))))</f>
        <v/>
      </c>
      <c r="L11" s="13">
        <f>SUM(K$6:K11)</f>
        <v/>
      </c>
    </row>
    <row r="12">
      <c r="B12" s="52" t="n"/>
      <c r="C12" s="53" t="n"/>
      <c r="D12" s="54" t="n"/>
      <c r="E12" s="54" t="n"/>
      <c r="F12" s="54" t="n"/>
      <c r="G12" s="54" t="n"/>
      <c r="H12" s="54" t="n"/>
      <c r="I12" s="54" t="n"/>
      <c r="K12" s="13">
        <f>IF(B12="",0,IF(N(C12)=0,1,MAX(1,INT(C12))))</f>
        <v/>
      </c>
      <c r="L12" s="13">
        <f>SUM(K$6:K12)</f>
        <v/>
      </c>
    </row>
    <row r="13">
      <c r="B13" s="52" t="n"/>
      <c r="C13" s="53" t="n"/>
      <c r="D13" s="54" t="n"/>
      <c r="E13" s="54" t="n"/>
      <c r="F13" s="54" t="n"/>
      <c r="G13" s="54" t="n"/>
      <c r="H13" s="54" t="n"/>
      <c r="I13" s="54" t="n"/>
      <c r="K13" s="13">
        <f>IF(B13="",0,IF(N(C13)=0,1,MAX(1,INT(C13))))</f>
        <v/>
      </c>
      <c r="L13" s="13">
        <f>SUM(K$6:K13)</f>
        <v/>
      </c>
    </row>
    <row r="14">
      <c r="B14" s="52" t="n"/>
      <c r="C14" s="53" t="n"/>
      <c r="D14" s="54" t="n"/>
      <c r="E14" s="54" t="n"/>
      <c r="F14" s="54" t="n"/>
      <c r="G14" s="54" t="n"/>
      <c r="H14" s="54" t="n"/>
      <c r="I14" s="54" t="n"/>
      <c r="K14" s="13">
        <f>IF(B14="",0,IF(N(C14)=0,1,MAX(1,INT(C14))))</f>
        <v/>
      </c>
      <c r="L14" s="13">
        <f>SUM(K$6:K14)</f>
        <v/>
      </c>
    </row>
    <row r="15">
      <c r="B15" s="52" t="n"/>
      <c r="C15" s="53" t="n"/>
      <c r="D15" s="54" t="n"/>
      <c r="E15" s="54" t="n"/>
      <c r="F15" s="54" t="n"/>
      <c r="G15" s="54" t="n"/>
      <c r="H15" s="54" t="n"/>
      <c r="I15" s="54" t="n"/>
      <c r="K15" s="13">
        <f>IF(B15="",0,IF(N(C15)=0,1,MAX(1,INT(C15))))</f>
        <v/>
      </c>
      <c r="L15" s="13">
        <f>SUM(K$6:K15)</f>
        <v/>
      </c>
    </row>
    <row r="16">
      <c r="B16" s="52" t="n"/>
      <c r="C16" s="53" t="n"/>
      <c r="D16" s="54" t="n"/>
      <c r="E16" s="54" t="n"/>
      <c r="F16" s="54" t="n"/>
      <c r="G16" s="54" t="n"/>
      <c r="H16" s="54" t="n"/>
      <c r="I16" s="54" t="n"/>
      <c r="K16" s="13">
        <f>IF(B16="",0,IF(N(C16)=0,1,MAX(1,INT(C16))))</f>
        <v/>
      </c>
      <c r="L16" s="13">
        <f>SUM(K$6:K16)</f>
        <v/>
      </c>
    </row>
    <row r="17">
      <c r="B17" s="52" t="n"/>
      <c r="C17" s="53" t="n"/>
      <c r="D17" s="54" t="n"/>
      <c r="E17" s="54" t="n"/>
      <c r="F17" s="54" t="n"/>
      <c r="G17" s="54" t="n"/>
      <c r="H17" s="54" t="n"/>
      <c r="I17" s="54" t="n"/>
      <c r="K17" s="13">
        <f>IF(B17="",0,IF(N(C17)=0,1,MAX(1,INT(C17))))</f>
        <v/>
      </c>
      <c r="L17" s="13">
        <f>SUM(K$6:K17)</f>
        <v/>
      </c>
    </row>
    <row r="18">
      <c r="B18" s="52" t="n"/>
      <c r="C18" s="53" t="n"/>
      <c r="D18" s="54" t="n"/>
      <c r="E18" s="54" t="n"/>
      <c r="F18" s="54" t="n"/>
      <c r="G18" s="54" t="n"/>
      <c r="H18" s="54" t="n"/>
      <c r="I18" s="54" t="n"/>
      <c r="K18" s="13">
        <f>IF(B18="",0,IF(N(C18)=0,1,MAX(1,INT(C18))))</f>
        <v/>
      </c>
      <c r="L18" s="13">
        <f>SUM(K$6:K18)</f>
        <v/>
      </c>
    </row>
    <row r="19">
      <c r="B19" s="52" t="n"/>
      <c r="C19" s="53" t="n"/>
      <c r="D19" s="54" t="n"/>
      <c r="E19" s="54" t="n"/>
      <c r="F19" s="54" t="n"/>
      <c r="G19" s="54" t="n"/>
      <c r="H19" s="54" t="n"/>
      <c r="I19" s="54" t="n"/>
      <c r="K19" s="13">
        <f>IF(B19="",0,IF(N(C19)=0,1,MAX(1,INT(C19))))</f>
        <v/>
      </c>
      <c r="L19" s="13">
        <f>SUM(K$6:K19)</f>
        <v/>
      </c>
    </row>
    <row r="20">
      <c r="B20" s="52" t="n"/>
      <c r="C20" s="53" t="n"/>
      <c r="D20" s="54" t="n"/>
      <c r="E20" s="54" t="n"/>
      <c r="F20" s="54" t="n"/>
      <c r="G20" s="54" t="n"/>
      <c r="H20" s="54" t="n"/>
      <c r="I20" s="54" t="n"/>
      <c r="K20" s="13">
        <f>IF(B20="",0,IF(N(C20)=0,1,MAX(1,INT(C20))))</f>
        <v/>
      </c>
      <c r="L20" s="13">
        <f>SUM(K$6:K20)</f>
        <v/>
      </c>
    </row>
    <row r="21">
      <c r="B21" s="52" t="n"/>
      <c r="C21" s="53" t="n"/>
      <c r="D21" s="54" t="n"/>
      <c r="E21" s="54" t="n"/>
      <c r="F21" s="54" t="n"/>
      <c r="G21" s="54" t="n"/>
      <c r="H21" s="54" t="n"/>
      <c r="I21" s="54" t="n"/>
      <c r="K21" s="13">
        <f>IF(B21="",0,IF(N(C21)=0,1,MAX(1,INT(C21))))</f>
        <v/>
      </c>
      <c r="L21" s="13">
        <f>SUM(K$6:K21)</f>
        <v/>
      </c>
    </row>
    <row r="22">
      <c r="B22" s="52" t="n"/>
      <c r="C22" s="53" t="n"/>
      <c r="D22" s="54" t="n"/>
      <c r="E22" s="54" t="n"/>
      <c r="F22" s="54" t="n"/>
      <c r="G22" s="54" t="n"/>
      <c r="H22" s="54" t="n"/>
      <c r="I22" s="54" t="n"/>
      <c r="K22" s="13">
        <f>IF(B22="",0,IF(N(C22)=0,1,MAX(1,INT(C22))))</f>
        <v/>
      </c>
      <c r="L22" s="13">
        <f>SUM(K$6:K22)</f>
        <v/>
      </c>
    </row>
    <row r="23">
      <c r="B23" s="52" t="n"/>
      <c r="C23" s="53" t="n"/>
      <c r="D23" s="54" t="n"/>
      <c r="E23" s="54" t="n"/>
      <c r="F23" s="54" t="n"/>
      <c r="G23" s="54" t="n"/>
      <c r="H23" s="54" t="n"/>
      <c r="I23" s="54" t="n"/>
      <c r="K23" s="13">
        <f>IF(B23="",0,IF(N(C23)=0,1,MAX(1,INT(C23))))</f>
        <v/>
      </c>
      <c r="L23" s="13">
        <f>SUM(K$6:K23)</f>
        <v/>
      </c>
    </row>
    <row r="24">
      <c r="B24" s="52" t="n"/>
      <c r="C24" s="53" t="n"/>
      <c r="D24" s="54" t="n"/>
      <c r="E24" s="54" t="n"/>
      <c r="F24" s="54" t="n"/>
      <c r="G24" s="54" t="n"/>
      <c r="H24" s="54" t="n"/>
      <c r="I24" s="54" t="n"/>
      <c r="K24" s="13">
        <f>IF(B24="",0,IF(N(C24)=0,1,MAX(1,INT(C24))))</f>
        <v/>
      </c>
      <c r="L24" s="13">
        <f>SUM(K$6:K24)</f>
        <v/>
      </c>
    </row>
    <row r="25">
      <c r="B25" s="52" t="n"/>
      <c r="C25" s="53" t="n"/>
      <c r="D25" s="54" t="n"/>
      <c r="E25" s="54" t="n"/>
      <c r="F25" s="54" t="n"/>
      <c r="G25" s="54" t="n"/>
      <c r="H25" s="54" t="n"/>
      <c r="I25" s="54" t="n"/>
      <c r="K25" s="13">
        <f>IF(B25="",0,IF(N(C25)=0,1,MAX(1,INT(C25))))</f>
        <v/>
      </c>
      <c r="L25" s="13">
        <f>SUM(K$6:K25)</f>
        <v/>
      </c>
    </row>
    <row r="26">
      <c r="B26" s="52" t="n"/>
      <c r="C26" s="53" t="n"/>
      <c r="D26" s="54" t="n"/>
      <c r="E26" s="54" t="n"/>
      <c r="F26" s="54" t="n"/>
      <c r="G26" s="54" t="n"/>
      <c r="H26" s="54" t="n"/>
      <c r="I26" s="54" t="n"/>
      <c r="K26" s="13">
        <f>IF(B26="",0,IF(N(C26)=0,1,MAX(1,INT(C26))))</f>
        <v/>
      </c>
      <c r="L26" s="13">
        <f>SUM(K$6:K26)</f>
        <v/>
      </c>
    </row>
    <row r="27">
      <c r="B27" s="52" t="n"/>
      <c r="C27" s="53" t="n"/>
      <c r="D27" s="54" t="n"/>
      <c r="E27" s="54" t="n"/>
      <c r="F27" s="54" t="n"/>
      <c r="G27" s="54" t="n"/>
      <c r="H27" s="54" t="n"/>
      <c r="I27" s="54" t="n"/>
      <c r="K27" s="13">
        <f>IF(B27="",0,IF(N(C27)=0,1,MAX(1,INT(C27))))</f>
        <v/>
      </c>
      <c r="L27" s="13">
        <f>SUM(K$6:K27)</f>
        <v/>
      </c>
    </row>
    <row r="28">
      <c r="B28" s="52" t="n"/>
      <c r="C28" s="53" t="n"/>
      <c r="D28" s="54" t="n"/>
      <c r="E28" s="54" t="n"/>
      <c r="F28" s="54" t="n"/>
      <c r="G28" s="54" t="n"/>
      <c r="H28" s="54" t="n"/>
      <c r="I28" s="54" t="n"/>
      <c r="K28" s="13">
        <f>IF(B28="",0,IF(N(C28)=0,1,MAX(1,INT(C28))))</f>
        <v/>
      </c>
      <c r="L28" s="13">
        <f>SUM(K$6:K28)</f>
        <v/>
      </c>
    </row>
    <row r="29">
      <c r="B29" s="52" t="n"/>
      <c r="C29" s="53" t="n"/>
      <c r="D29" s="54" t="n"/>
      <c r="E29" s="54" t="n"/>
      <c r="F29" s="54" t="n"/>
      <c r="G29" s="54" t="n"/>
      <c r="H29" s="54" t="n"/>
      <c r="I29" s="54" t="n"/>
      <c r="K29" s="13">
        <f>IF(B29="",0,IF(N(C29)=0,1,MAX(1,INT(C29))))</f>
        <v/>
      </c>
      <c r="L29" s="13">
        <f>SUM(K$6:K29)</f>
        <v/>
      </c>
    </row>
    <row r="31">
      <c r="B31" s="55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8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6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7" t="n"/>
      <c r="B3" s="57" t="n"/>
      <c r="C3" s="57" t="n"/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  <c r="Z3" s="57" t="n"/>
      <c r="AA3" s="57" t="n"/>
      <c r="AB3" s="57" t="n"/>
      <c r="AC3" s="57" t="n"/>
    </row>
    <row r="5" ht="30" customHeight="1">
      <c r="A5" s="50" t="inlineStr">
        <is>
          <t>N° de série</t>
        </is>
      </c>
      <c r="B5" s="50" t="inlineStr">
        <is>
          <t>Désignation</t>
        </is>
      </c>
      <c r="C5" s="50" t="inlineStr">
        <is>
          <t>Poids net (kg)</t>
        </is>
      </c>
      <c r="D5" s="50" t="inlineStr">
        <is>
          <t>OD</t>
        </is>
      </c>
      <c r="E5" s="50" t="inlineStr">
        <is>
          <t>Longueur (mm)</t>
        </is>
      </c>
      <c r="F5" s="51" t="inlineStr">
        <is>
          <t>col. 6</t>
        </is>
      </c>
      <c r="G5" s="51" t="inlineStr">
        <is>
          <t>col. 7</t>
        </is>
      </c>
      <c r="H5" s="51" t="inlineStr">
        <is>
          <t>col. 8</t>
        </is>
      </c>
      <c r="I5" s="51" t="inlineStr">
        <is>
          <t>col. 9</t>
        </is>
      </c>
      <c r="J5" s="51" t="inlineStr">
        <is>
          <t>col. 10</t>
        </is>
      </c>
      <c r="K5" s="51" t="inlineStr">
        <is>
          <t>col. 11</t>
        </is>
      </c>
      <c r="L5" s="51" t="inlineStr">
        <is>
          <t>col. 12</t>
        </is>
      </c>
      <c r="M5" s="51" t="inlineStr">
        <is>
          <t>col. 13</t>
        </is>
      </c>
      <c r="N5" s="51" t="inlineStr">
        <is>
          <t>col. 14</t>
        </is>
      </c>
      <c r="O5" s="51" t="inlineStr">
        <is>
          <t>col. 15</t>
        </is>
      </c>
      <c r="P5" s="51" t="inlineStr">
        <is>
          <t>col. 16</t>
        </is>
      </c>
      <c r="Q5" s="51" t="inlineStr">
        <is>
          <t>col. 17</t>
        </is>
      </c>
      <c r="R5" s="51" t="inlineStr">
        <is>
          <t>col. 18</t>
        </is>
      </c>
      <c r="S5" s="51" t="inlineStr">
        <is>
          <t>col. 19</t>
        </is>
      </c>
      <c r="T5" s="50" t="inlineStr">
        <is>
          <t>Référence</t>
        </is>
      </c>
      <c r="U5" s="51" t="inlineStr">
        <is>
          <t>col. 21</t>
        </is>
      </c>
      <c r="V5" s="50" t="inlineStr">
        <is>
          <t>Origine</t>
        </is>
      </c>
      <c r="W5" s="50" t="inlineStr">
        <is>
          <t>Code SH (HS)</t>
        </is>
      </c>
      <c r="X5" s="51" t="inlineStr">
        <is>
          <t>col. 24</t>
        </is>
      </c>
      <c r="Y5" s="51" t="inlineStr">
        <is>
          <t>col. 25</t>
        </is>
      </c>
      <c r="Z5" s="51" t="inlineStr">
        <is>
          <t>col. 26</t>
        </is>
      </c>
      <c r="AA5" s="51" t="inlineStr">
        <is>
          <t>col. 27</t>
        </is>
      </c>
      <c r="AB5" s="51" t="inlineStr">
        <is>
          <t>col. 28</t>
        </is>
      </c>
      <c r="AC5" s="51" t="inlineStr">
        <is>
          <t>col. 29</t>
        </is>
      </c>
    </row>
    <row r="6">
      <c r="A6" s="53" t="n"/>
      <c r="B6" s="52" t="n"/>
      <c r="C6" s="53" t="n"/>
      <c r="D6" s="53" t="n"/>
      <c r="E6" s="53" t="n"/>
      <c r="F6" s="58" t="n"/>
      <c r="G6" s="58" t="n"/>
      <c r="H6" s="58" t="n"/>
      <c r="I6" s="58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3" t="n"/>
      <c r="U6" s="58" t="n"/>
      <c r="V6" s="53" t="n"/>
      <c r="W6" s="53" t="n"/>
      <c r="X6" s="58" t="n"/>
      <c r="Y6" s="58" t="n"/>
      <c r="Z6" s="58" t="n"/>
      <c r="AA6" s="58" t="n"/>
      <c r="AB6" s="58" t="n"/>
      <c r="AC6" s="58" t="n"/>
    </row>
    <row r="7">
      <c r="A7" s="53" t="n"/>
      <c r="B7" s="52" t="n"/>
      <c r="C7" s="53" t="n"/>
      <c r="D7" s="53" t="n"/>
      <c r="E7" s="53" t="n"/>
      <c r="F7" s="58" t="n"/>
      <c r="G7" s="58" t="n"/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  <c r="Q7" s="58" t="n"/>
      <c r="R7" s="58" t="n"/>
      <c r="S7" s="58" t="n"/>
      <c r="T7" s="53" t="n"/>
      <c r="U7" s="58" t="n"/>
      <c r="V7" s="53" t="n"/>
      <c r="W7" s="53" t="n"/>
      <c r="X7" s="58" t="n"/>
      <c r="Y7" s="58" t="n"/>
      <c r="Z7" s="58" t="n"/>
      <c r="AA7" s="58" t="n"/>
      <c r="AB7" s="58" t="n"/>
      <c r="AC7" s="58" t="n"/>
    </row>
    <row r="8">
      <c r="A8" s="53" t="n"/>
      <c r="B8" s="52" t="n"/>
      <c r="C8" s="53" t="n"/>
      <c r="D8" s="53" t="n"/>
      <c r="E8" s="53" t="n"/>
      <c r="F8" s="58" t="n"/>
      <c r="G8" s="58" t="n"/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  <c r="Q8" s="58" t="n"/>
      <c r="R8" s="58" t="n"/>
      <c r="S8" s="58" t="n"/>
      <c r="T8" s="53" t="n"/>
      <c r="U8" s="58" t="n"/>
      <c r="V8" s="53" t="n"/>
      <c r="W8" s="53" t="n"/>
      <c r="X8" s="58" t="n"/>
      <c r="Y8" s="58" t="n"/>
      <c r="Z8" s="58" t="n"/>
      <c r="AA8" s="58" t="n"/>
      <c r="AB8" s="58" t="n"/>
      <c r="AC8" s="58" t="n"/>
    </row>
    <row r="9">
      <c r="A9" s="53" t="n"/>
      <c r="B9" s="52" t="n"/>
      <c r="C9" s="53" t="n"/>
      <c r="D9" s="53" t="n"/>
      <c r="E9" s="53" t="n"/>
      <c r="F9" s="58" t="n"/>
      <c r="G9" s="58" t="n"/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3" t="n"/>
      <c r="U9" s="58" t="n"/>
      <c r="V9" s="53" t="n"/>
      <c r="W9" s="53" t="n"/>
      <c r="X9" s="58" t="n"/>
      <c r="Y9" s="58" t="n"/>
      <c r="Z9" s="58" t="n"/>
      <c r="AA9" s="58" t="n"/>
      <c r="AB9" s="58" t="n"/>
      <c r="AC9" s="58" t="n"/>
    </row>
    <row r="10">
      <c r="A10" s="53" t="n"/>
      <c r="B10" s="52" t="n"/>
      <c r="C10" s="53" t="n"/>
      <c r="D10" s="53" t="n"/>
      <c r="E10" s="53" t="n"/>
      <c r="F10" s="58" t="n"/>
      <c r="G10" s="58" t="n"/>
      <c r="H10" s="58" t="n"/>
      <c r="I10" s="58" t="n"/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58" t="n"/>
      <c r="T10" s="53" t="n"/>
      <c r="U10" s="58" t="n"/>
      <c r="V10" s="53" t="n"/>
      <c r="W10" s="53" t="n"/>
      <c r="X10" s="58" t="n"/>
      <c r="Y10" s="58" t="n"/>
      <c r="Z10" s="58" t="n"/>
      <c r="AA10" s="58" t="n"/>
      <c r="AB10" s="58" t="n"/>
      <c r="AC10" s="58" t="n"/>
    </row>
    <row r="11">
      <c r="A11" s="53" t="n"/>
      <c r="B11" s="52" t="n"/>
      <c r="C11" s="53" t="n"/>
      <c r="D11" s="53" t="n"/>
      <c r="E11" s="53" t="n"/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3" t="n"/>
      <c r="U11" s="58" t="n"/>
      <c r="V11" s="53" t="n"/>
      <c r="W11" s="53" t="n"/>
      <c r="X11" s="58" t="n"/>
      <c r="Y11" s="58" t="n"/>
      <c r="Z11" s="58" t="n"/>
      <c r="AA11" s="58" t="n"/>
      <c r="AB11" s="58" t="n"/>
      <c r="AC11" s="58" t="n"/>
    </row>
    <row r="12">
      <c r="A12" s="53" t="n"/>
      <c r="B12" s="52" t="n"/>
      <c r="C12" s="53" t="n"/>
      <c r="D12" s="53" t="n"/>
      <c r="E12" s="53" t="n"/>
      <c r="F12" s="58" t="n"/>
      <c r="G12" s="58" t="n"/>
      <c r="H12" s="58" t="n"/>
      <c r="I12" s="58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58" t="n"/>
      <c r="T12" s="53" t="n"/>
      <c r="U12" s="58" t="n"/>
      <c r="V12" s="53" t="n"/>
      <c r="W12" s="53" t="n"/>
      <c r="X12" s="58" t="n"/>
      <c r="Y12" s="58" t="n"/>
      <c r="Z12" s="58" t="n"/>
      <c r="AA12" s="58" t="n"/>
      <c r="AB12" s="58" t="n"/>
      <c r="AC12" s="58" t="n"/>
    </row>
    <row r="13">
      <c r="A13" s="53" t="n"/>
      <c r="B13" s="52" t="n"/>
      <c r="C13" s="53" t="n"/>
      <c r="D13" s="53" t="n"/>
      <c r="E13" s="53" t="n"/>
      <c r="F13" s="58" t="n"/>
      <c r="G13" s="58" t="n"/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3" t="n"/>
      <c r="U13" s="58" t="n"/>
      <c r="V13" s="53" t="n"/>
      <c r="W13" s="53" t="n"/>
      <c r="X13" s="58" t="n"/>
      <c r="Y13" s="58" t="n"/>
      <c r="Z13" s="58" t="n"/>
      <c r="AA13" s="58" t="n"/>
      <c r="AB13" s="58" t="n"/>
      <c r="AC13" s="58" t="n"/>
    </row>
    <row r="14">
      <c r="A14" s="53" t="n"/>
      <c r="B14" s="52" t="n"/>
      <c r="C14" s="53" t="n"/>
      <c r="D14" s="53" t="n"/>
      <c r="E14" s="53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3" t="n"/>
      <c r="U14" s="58" t="n"/>
      <c r="V14" s="53" t="n"/>
      <c r="W14" s="53" t="n"/>
      <c r="X14" s="58" t="n"/>
      <c r="Y14" s="58" t="n"/>
      <c r="Z14" s="58" t="n"/>
      <c r="AA14" s="58" t="n"/>
      <c r="AB14" s="58" t="n"/>
      <c r="AC14" s="58" t="n"/>
    </row>
    <row r="15">
      <c r="A15" s="53" t="n"/>
      <c r="B15" s="52" t="n"/>
      <c r="C15" s="53" t="n"/>
      <c r="D15" s="53" t="n"/>
      <c r="E15" s="53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3" t="n"/>
      <c r="U15" s="58" t="n"/>
      <c r="V15" s="53" t="n"/>
      <c r="W15" s="53" t="n"/>
      <c r="X15" s="58" t="n"/>
      <c r="Y15" s="58" t="n"/>
      <c r="Z15" s="58" t="n"/>
      <c r="AA15" s="58" t="n"/>
      <c r="AB15" s="58" t="n"/>
      <c r="AC15" s="58" t="n"/>
    </row>
    <row r="16">
      <c r="A16" s="53" t="n"/>
      <c r="B16" s="52" t="n"/>
      <c r="C16" s="53" t="n"/>
      <c r="D16" s="53" t="n"/>
      <c r="E16" s="53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3" t="n"/>
      <c r="U16" s="58" t="n"/>
      <c r="V16" s="53" t="n"/>
      <c r="W16" s="53" t="n"/>
      <c r="X16" s="58" t="n"/>
      <c r="Y16" s="58" t="n"/>
      <c r="Z16" s="58" t="n"/>
      <c r="AA16" s="58" t="n"/>
      <c r="AB16" s="58" t="n"/>
      <c r="AC16" s="58" t="n"/>
    </row>
    <row r="17">
      <c r="A17" s="53" t="n"/>
      <c r="B17" s="52" t="n"/>
      <c r="C17" s="53" t="n"/>
      <c r="D17" s="53" t="n"/>
      <c r="E17" s="53" t="n"/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3" t="n"/>
      <c r="U17" s="58" t="n"/>
      <c r="V17" s="53" t="n"/>
      <c r="W17" s="53" t="n"/>
      <c r="X17" s="58" t="n"/>
      <c r="Y17" s="58" t="n"/>
      <c r="Z17" s="58" t="n"/>
      <c r="AA17" s="58" t="n"/>
      <c r="AB17" s="58" t="n"/>
      <c r="AC17" s="58" t="n"/>
    </row>
    <row r="18">
      <c r="A18" s="53" t="n"/>
      <c r="B18" s="52" t="n"/>
      <c r="C18" s="53" t="n"/>
      <c r="D18" s="53" t="n"/>
      <c r="E18" s="53" t="n"/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3" t="n"/>
      <c r="U18" s="58" t="n"/>
      <c r="V18" s="53" t="n"/>
      <c r="W18" s="53" t="n"/>
      <c r="X18" s="58" t="n"/>
      <c r="Y18" s="58" t="n"/>
      <c r="Z18" s="58" t="n"/>
      <c r="AA18" s="58" t="n"/>
      <c r="AB18" s="58" t="n"/>
      <c r="AC18" s="58" t="n"/>
    </row>
    <row r="19">
      <c r="A19" s="53" t="n"/>
      <c r="B19" s="52" t="n"/>
      <c r="C19" s="53" t="n"/>
      <c r="D19" s="53" t="n"/>
      <c r="E19" s="53" t="n"/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3" t="n"/>
      <c r="U19" s="58" t="n"/>
      <c r="V19" s="53" t="n"/>
      <c r="W19" s="53" t="n"/>
      <c r="X19" s="58" t="n"/>
      <c r="Y19" s="58" t="n"/>
      <c r="Z19" s="58" t="n"/>
      <c r="AA19" s="58" t="n"/>
      <c r="AB19" s="58" t="n"/>
      <c r="AC19" s="58" t="n"/>
    </row>
    <row r="20">
      <c r="A20" s="53" t="n"/>
      <c r="B20" s="52" t="n"/>
      <c r="C20" s="53" t="n"/>
      <c r="D20" s="53" t="n"/>
      <c r="E20" s="53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3" t="n"/>
      <c r="U20" s="58" t="n"/>
      <c r="V20" s="53" t="n"/>
      <c r="W20" s="53" t="n"/>
      <c r="X20" s="58" t="n"/>
      <c r="Y20" s="58" t="n"/>
      <c r="Z20" s="58" t="n"/>
      <c r="AA20" s="58" t="n"/>
      <c r="AB20" s="58" t="n"/>
      <c r="AC20" s="58" t="n"/>
    </row>
    <row r="21">
      <c r="A21" s="53" t="n"/>
      <c r="B21" s="52" t="n"/>
      <c r="C21" s="53" t="n"/>
      <c r="D21" s="53" t="n"/>
      <c r="E21" s="53" t="n"/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3" t="n"/>
      <c r="U21" s="58" t="n"/>
      <c r="V21" s="53" t="n"/>
      <c r="W21" s="53" t="n"/>
      <c r="X21" s="58" t="n"/>
      <c r="Y21" s="58" t="n"/>
      <c r="Z21" s="58" t="n"/>
      <c r="AA21" s="58" t="n"/>
      <c r="AB21" s="58" t="n"/>
      <c r="AC21" s="58" t="n"/>
    </row>
    <row r="22">
      <c r="A22" s="53" t="n"/>
      <c r="B22" s="52" t="n"/>
      <c r="C22" s="53" t="n"/>
      <c r="D22" s="53" t="n"/>
      <c r="E22" s="53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3" t="n"/>
      <c r="U22" s="58" t="n"/>
      <c r="V22" s="53" t="n"/>
      <c r="W22" s="53" t="n"/>
      <c r="X22" s="58" t="n"/>
      <c r="Y22" s="58" t="n"/>
      <c r="Z22" s="58" t="n"/>
      <c r="AA22" s="58" t="n"/>
      <c r="AB22" s="58" t="n"/>
      <c r="AC22" s="58" t="n"/>
    </row>
    <row r="23">
      <c r="A23" s="53" t="n"/>
      <c r="B23" s="52" t="n"/>
      <c r="C23" s="53" t="n"/>
      <c r="D23" s="53" t="n"/>
      <c r="E23" s="53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3" t="n"/>
      <c r="U23" s="58" t="n"/>
      <c r="V23" s="53" t="n"/>
      <c r="W23" s="53" t="n"/>
      <c r="X23" s="58" t="n"/>
      <c r="Y23" s="58" t="n"/>
      <c r="Z23" s="58" t="n"/>
      <c r="AA23" s="58" t="n"/>
      <c r="AB23" s="58" t="n"/>
      <c r="AC23" s="58" t="n"/>
    </row>
    <row r="24">
      <c r="A24" s="53" t="n"/>
      <c r="B24" s="52" t="n"/>
      <c r="C24" s="53" t="n"/>
      <c r="D24" s="53" t="n"/>
      <c r="E24" s="53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3" t="n"/>
      <c r="U24" s="58" t="n"/>
      <c r="V24" s="53" t="n"/>
      <c r="W24" s="53" t="n"/>
      <c r="X24" s="58" t="n"/>
      <c r="Y24" s="58" t="n"/>
      <c r="Z24" s="58" t="n"/>
      <c r="AA24" s="58" t="n"/>
      <c r="AB24" s="58" t="n"/>
      <c r="AC24" s="58" t="n"/>
    </row>
    <row r="25">
      <c r="A25" s="53" t="n"/>
      <c r="B25" s="52" t="n"/>
      <c r="C25" s="53" t="n"/>
      <c r="D25" s="53" t="n"/>
      <c r="E25" s="53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3" t="n"/>
      <c r="U25" s="58" t="n"/>
      <c r="V25" s="53" t="n"/>
      <c r="W25" s="53" t="n"/>
      <c r="X25" s="58" t="n"/>
      <c r="Y25" s="58" t="n"/>
      <c r="Z25" s="58" t="n"/>
      <c r="AA25" s="58" t="n"/>
      <c r="AB25" s="58" t="n"/>
      <c r="AC25" s="58" t="n"/>
    </row>
    <row r="26">
      <c r="A26" s="53" t="n"/>
      <c r="B26" s="52" t="n"/>
      <c r="C26" s="53" t="n"/>
      <c r="D26" s="53" t="n"/>
      <c r="E26" s="53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3" t="n"/>
      <c r="U26" s="58" t="n"/>
      <c r="V26" s="53" t="n"/>
      <c r="W26" s="53" t="n"/>
      <c r="X26" s="58" t="n"/>
      <c r="Y26" s="58" t="n"/>
      <c r="Z26" s="58" t="n"/>
      <c r="AA26" s="58" t="n"/>
      <c r="AB26" s="58" t="n"/>
      <c r="AC26" s="58" t="n"/>
    </row>
    <row r="27">
      <c r="A27" s="53" t="n"/>
      <c r="B27" s="52" t="n"/>
      <c r="C27" s="53" t="n"/>
      <c r="D27" s="53" t="n"/>
      <c r="E27" s="53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3" t="n"/>
      <c r="U27" s="58" t="n"/>
      <c r="V27" s="53" t="n"/>
      <c r="W27" s="53" t="n"/>
      <c r="X27" s="58" t="n"/>
      <c r="Y27" s="58" t="n"/>
      <c r="Z27" s="58" t="n"/>
      <c r="AA27" s="58" t="n"/>
      <c r="AB27" s="58" t="n"/>
      <c r="AC27" s="58" t="n"/>
    </row>
    <row r="28">
      <c r="A28" s="53" t="n"/>
      <c r="B28" s="52" t="n"/>
      <c r="C28" s="53" t="n"/>
      <c r="D28" s="53" t="n"/>
      <c r="E28" s="53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3" t="n"/>
      <c r="U28" s="58" t="n"/>
      <c r="V28" s="53" t="n"/>
      <c r="W28" s="53" t="n"/>
      <c r="X28" s="58" t="n"/>
      <c r="Y28" s="58" t="n"/>
      <c r="Z28" s="58" t="n"/>
      <c r="AA28" s="58" t="n"/>
      <c r="AB28" s="58" t="n"/>
      <c r="AC28" s="58" t="n"/>
    </row>
    <row r="29">
      <c r="A29" s="53" t="n"/>
      <c r="B29" s="52" t="n"/>
      <c r="C29" s="53" t="n"/>
      <c r="D29" s="53" t="n"/>
      <c r="E29" s="53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3" t="n"/>
      <c r="U29" s="58" t="n"/>
      <c r="V29" s="53" t="n"/>
      <c r="W29" s="53" t="n"/>
      <c r="X29" s="58" t="n"/>
      <c r="Y29" s="58" t="n"/>
      <c r="Z29" s="58" t="n"/>
      <c r="AA29" s="58" t="n"/>
      <c r="AB29" s="58" t="n"/>
      <c r="AC29" s="58" t="n"/>
    </row>
    <row r="30">
      <c r="A30" s="53" t="n"/>
      <c r="B30" s="52" t="n"/>
      <c r="C30" s="53" t="n"/>
      <c r="D30" s="53" t="n"/>
      <c r="E30" s="53" t="n"/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3" t="n"/>
      <c r="U30" s="58" t="n"/>
      <c r="V30" s="53" t="n"/>
      <c r="W30" s="53" t="n"/>
      <c r="X30" s="58" t="n"/>
      <c r="Y30" s="58" t="n"/>
      <c r="Z30" s="58" t="n"/>
      <c r="AA30" s="58" t="n"/>
      <c r="AB30" s="58" t="n"/>
      <c r="AC30" s="58" t="n"/>
    </row>
    <row r="31">
      <c r="A31" s="53" t="n"/>
      <c r="B31" s="52" t="n"/>
      <c r="C31" s="53" t="n"/>
      <c r="D31" s="53" t="n"/>
      <c r="E31" s="53" t="n"/>
      <c r="F31" s="58" t="n"/>
      <c r="G31" s="58" t="n"/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3" t="n"/>
      <c r="U31" s="58" t="n"/>
      <c r="V31" s="53" t="n"/>
      <c r="W31" s="53" t="n"/>
      <c r="X31" s="58" t="n"/>
      <c r="Y31" s="58" t="n"/>
      <c r="Z31" s="58" t="n"/>
      <c r="AA31" s="58" t="n"/>
      <c r="AB31" s="58" t="n"/>
      <c r="AC31" s="58" t="n"/>
    </row>
    <row r="32">
      <c r="A32" s="53" t="n"/>
      <c r="B32" s="52" t="n"/>
      <c r="C32" s="53" t="n"/>
      <c r="D32" s="53" t="n"/>
      <c r="E32" s="53" t="n"/>
      <c r="F32" s="58" t="n"/>
      <c r="G32" s="58" t="n"/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3" t="n"/>
      <c r="U32" s="58" t="n"/>
      <c r="V32" s="53" t="n"/>
      <c r="W32" s="53" t="n"/>
      <c r="X32" s="58" t="n"/>
      <c r="Y32" s="58" t="n"/>
      <c r="Z32" s="58" t="n"/>
      <c r="AA32" s="58" t="n"/>
      <c r="AB32" s="58" t="n"/>
      <c r="AC32" s="58" t="n"/>
    </row>
    <row r="33">
      <c r="A33" s="53" t="n"/>
      <c r="B33" s="52" t="n"/>
      <c r="C33" s="53" t="n"/>
      <c r="D33" s="53" t="n"/>
      <c r="E33" s="53" t="n"/>
      <c r="F33" s="58" t="n"/>
      <c r="G33" s="58" t="n"/>
      <c r="H33" s="58" t="n"/>
      <c r="I33" s="58" t="n"/>
      <c r="J33" s="58" t="n"/>
      <c r="K33" s="58" t="n"/>
      <c r="L33" s="58" t="n"/>
      <c r="M33" s="58" t="n"/>
      <c r="N33" s="58" t="n"/>
      <c r="O33" s="58" t="n"/>
      <c r="P33" s="58" t="n"/>
      <c r="Q33" s="58" t="n"/>
      <c r="R33" s="58" t="n"/>
      <c r="S33" s="58" t="n"/>
      <c r="T33" s="53" t="n"/>
      <c r="U33" s="58" t="n"/>
      <c r="V33" s="53" t="n"/>
      <c r="W33" s="53" t="n"/>
      <c r="X33" s="58" t="n"/>
      <c r="Y33" s="58" t="n"/>
      <c r="Z33" s="58" t="n"/>
      <c r="AA33" s="58" t="n"/>
      <c r="AB33" s="58" t="n"/>
      <c r="AC33" s="58" t="n"/>
    </row>
    <row r="34">
      <c r="A34" s="53" t="n"/>
      <c r="B34" s="52" t="n"/>
      <c r="C34" s="53" t="n"/>
      <c r="D34" s="53" t="n"/>
      <c r="E34" s="53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3" t="n"/>
      <c r="U34" s="58" t="n"/>
      <c r="V34" s="53" t="n"/>
      <c r="W34" s="53" t="n"/>
      <c r="X34" s="58" t="n"/>
      <c r="Y34" s="58" t="n"/>
      <c r="Z34" s="58" t="n"/>
      <c r="AA34" s="58" t="n"/>
      <c r="AB34" s="58" t="n"/>
      <c r="AC34" s="58" t="n"/>
    </row>
    <row r="35">
      <c r="A35" s="53" t="n"/>
      <c r="B35" s="52" t="n"/>
      <c r="C35" s="53" t="n"/>
      <c r="D35" s="53" t="n"/>
      <c r="E35" s="53" t="n"/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3" t="n"/>
      <c r="U35" s="58" t="n"/>
      <c r="V35" s="53" t="n"/>
      <c r="W35" s="53" t="n"/>
      <c r="X35" s="58" t="n"/>
      <c r="Y35" s="58" t="n"/>
      <c r="Z35" s="58" t="n"/>
      <c r="AA35" s="58" t="n"/>
      <c r="AB35" s="58" t="n"/>
      <c r="AC35" s="58" t="n"/>
    </row>
    <row r="36">
      <c r="A36" s="53" t="n"/>
      <c r="B36" s="52" t="n"/>
      <c r="C36" s="53" t="n"/>
      <c r="D36" s="53" t="n"/>
      <c r="E36" s="53" t="n"/>
      <c r="F36" s="58" t="n"/>
      <c r="G36" s="58" t="n"/>
      <c r="H36" s="58" t="n"/>
      <c r="I36" s="58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3" t="n"/>
      <c r="U36" s="58" t="n"/>
      <c r="V36" s="53" t="n"/>
      <c r="W36" s="53" t="n"/>
      <c r="X36" s="58" t="n"/>
      <c r="Y36" s="58" t="n"/>
      <c r="Z36" s="58" t="n"/>
      <c r="AA36" s="58" t="n"/>
      <c r="AB36" s="58" t="n"/>
      <c r="AC36" s="58" t="n"/>
    </row>
    <row r="37">
      <c r="A37" s="53" t="n"/>
      <c r="B37" s="52" t="n"/>
      <c r="C37" s="53" t="n"/>
      <c r="D37" s="53" t="n"/>
      <c r="E37" s="53" t="n"/>
      <c r="F37" s="58" t="n"/>
      <c r="G37" s="58" t="n"/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3" t="n"/>
      <c r="U37" s="58" t="n"/>
      <c r="V37" s="53" t="n"/>
      <c r="W37" s="53" t="n"/>
      <c r="X37" s="58" t="n"/>
      <c r="Y37" s="58" t="n"/>
      <c r="Z37" s="58" t="n"/>
      <c r="AA37" s="58" t="n"/>
      <c r="AB37" s="58" t="n"/>
      <c r="AC37" s="58" t="n"/>
    </row>
    <row r="38">
      <c r="A38" s="53" t="n"/>
      <c r="B38" s="52" t="n"/>
      <c r="C38" s="53" t="n"/>
      <c r="D38" s="53" t="n"/>
      <c r="E38" s="53" t="n"/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3" t="n"/>
      <c r="U38" s="58" t="n"/>
      <c r="V38" s="53" t="n"/>
      <c r="W38" s="53" t="n"/>
      <c r="X38" s="58" t="n"/>
      <c r="Y38" s="58" t="n"/>
      <c r="Z38" s="58" t="n"/>
      <c r="AA38" s="58" t="n"/>
      <c r="AB38" s="58" t="n"/>
      <c r="AC38" s="58" t="n"/>
    </row>
    <row r="39">
      <c r="A39" s="53" t="n"/>
      <c r="B39" s="52" t="n"/>
      <c r="C39" s="53" t="n"/>
      <c r="D39" s="53" t="n"/>
      <c r="E39" s="53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3" t="n"/>
      <c r="U39" s="58" t="n"/>
      <c r="V39" s="53" t="n"/>
      <c r="W39" s="53" t="n"/>
      <c r="X39" s="58" t="n"/>
      <c r="Y39" s="58" t="n"/>
      <c r="Z39" s="58" t="n"/>
      <c r="AA39" s="58" t="n"/>
      <c r="AB39" s="58" t="n"/>
      <c r="AC39" s="58" t="n"/>
    </row>
    <row r="40">
      <c r="A40" s="53" t="n"/>
      <c r="B40" s="52" t="n"/>
      <c r="C40" s="53" t="n"/>
      <c r="D40" s="53" t="n"/>
      <c r="E40" s="53" t="n"/>
      <c r="F40" s="58" t="n"/>
      <c r="G40" s="58" t="n"/>
      <c r="H40" s="58" t="n"/>
      <c r="I40" s="58" t="n"/>
      <c r="J40" s="58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3" t="n"/>
      <c r="U40" s="58" t="n"/>
      <c r="V40" s="53" t="n"/>
      <c r="W40" s="53" t="n"/>
      <c r="X40" s="58" t="n"/>
      <c r="Y40" s="58" t="n"/>
      <c r="Z40" s="58" t="n"/>
      <c r="AA40" s="58" t="n"/>
      <c r="AB40" s="58" t="n"/>
      <c r="AC40" s="58" t="n"/>
    </row>
    <row r="41">
      <c r="A41" s="53" t="n"/>
      <c r="B41" s="52" t="n"/>
      <c r="C41" s="53" t="n"/>
      <c r="D41" s="53" t="n"/>
      <c r="E41" s="53" t="n"/>
      <c r="F41" s="58" t="n"/>
      <c r="G41" s="58" t="n"/>
      <c r="H41" s="58" t="n"/>
      <c r="I41" s="58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3" t="n"/>
      <c r="U41" s="58" t="n"/>
      <c r="V41" s="53" t="n"/>
      <c r="W41" s="53" t="n"/>
      <c r="X41" s="58" t="n"/>
      <c r="Y41" s="58" t="n"/>
      <c r="Z41" s="58" t="n"/>
      <c r="AA41" s="58" t="n"/>
      <c r="AB41" s="58" t="n"/>
      <c r="AC41" s="58" t="n"/>
    </row>
    <row r="42">
      <c r="A42" s="53" t="n"/>
      <c r="B42" s="52" t="n"/>
      <c r="C42" s="53" t="n"/>
      <c r="D42" s="53" t="n"/>
      <c r="E42" s="53" t="n"/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3" t="n"/>
      <c r="U42" s="58" t="n"/>
      <c r="V42" s="53" t="n"/>
      <c r="W42" s="53" t="n"/>
      <c r="X42" s="58" t="n"/>
      <c r="Y42" s="58" t="n"/>
      <c r="Z42" s="58" t="n"/>
      <c r="AA42" s="58" t="n"/>
      <c r="AB42" s="58" t="n"/>
      <c r="AC42" s="58" t="n"/>
    </row>
    <row r="43">
      <c r="A43" s="53" t="n"/>
      <c r="B43" s="52" t="n"/>
      <c r="C43" s="53" t="n"/>
      <c r="D43" s="53" t="n"/>
      <c r="E43" s="53" t="n"/>
      <c r="F43" s="58" t="n"/>
      <c r="G43" s="58" t="n"/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3" t="n"/>
      <c r="U43" s="58" t="n"/>
      <c r="V43" s="53" t="n"/>
      <c r="W43" s="53" t="n"/>
      <c r="X43" s="58" t="n"/>
      <c r="Y43" s="58" t="n"/>
      <c r="Z43" s="58" t="n"/>
      <c r="AA43" s="58" t="n"/>
      <c r="AB43" s="58" t="n"/>
      <c r="AC43" s="58" t="n"/>
    </row>
    <row r="44">
      <c r="A44" s="53" t="n"/>
      <c r="B44" s="52" t="n"/>
      <c r="C44" s="53" t="n"/>
      <c r="D44" s="53" t="n"/>
      <c r="E44" s="53" t="n"/>
      <c r="F44" s="58" t="n"/>
      <c r="G44" s="58" t="n"/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3" t="n"/>
      <c r="U44" s="58" t="n"/>
      <c r="V44" s="53" t="n"/>
      <c r="W44" s="53" t="n"/>
      <c r="X44" s="58" t="n"/>
      <c r="Y44" s="58" t="n"/>
      <c r="Z44" s="58" t="n"/>
      <c r="AA44" s="58" t="n"/>
      <c r="AB44" s="58" t="n"/>
      <c r="AC44" s="58" t="n"/>
    </row>
    <row r="45">
      <c r="A45" s="53" t="n"/>
      <c r="B45" s="52" t="n"/>
      <c r="C45" s="53" t="n"/>
      <c r="D45" s="53" t="n"/>
      <c r="E45" s="53" t="n"/>
      <c r="F45" s="58" t="n"/>
      <c r="G45" s="58" t="n"/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3" t="n"/>
      <c r="U45" s="58" t="n"/>
      <c r="V45" s="53" t="n"/>
      <c r="W45" s="53" t="n"/>
      <c r="X45" s="58" t="n"/>
      <c r="Y45" s="58" t="n"/>
      <c r="Z45" s="58" t="n"/>
      <c r="AA45" s="58" t="n"/>
      <c r="AB45" s="58" t="n"/>
      <c r="AC45" s="58" t="n"/>
    </row>
    <row r="46">
      <c r="A46" s="53" t="n"/>
      <c r="B46" s="52" t="n"/>
      <c r="C46" s="53" t="n"/>
      <c r="D46" s="53" t="n"/>
      <c r="E46" s="53" t="n"/>
      <c r="F46" s="58" t="n"/>
      <c r="G46" s="58" t="n"/>
      <c r="H46" s="58" t="n"/>
      <c r="I46" s="58" t="n"/>
      <c r="J46" s="58" t="n"/>
      <c r="K46" s="58" t="n"/>
      <c r="L46" s="58" t="n"/>
      <c r="M46" s="58" t="n"/>
      <c r="N46" s="58" t="n"/>
      <c r="O46" s="58" t="n"/>
      <c r="P46" s="58" t="n"/>
      <c r="Q46" s="58" t="n"/>
      <c r="R46" s="58" t="n"/>
      <c r="S46" s="58" t="n"/>
      <c r="T46" s="53" t="n"/>
      <c r="U46" s="58" t="n"/>
      <c r="V46" s="53" t="n"/>
      <c r="W46" s="53" t="n"/>
      <c r="X46" s="58" t="n"/>
      <c r="Y46" s="58" t="n"/>
      <c r="Z46" s="58" t="n"/>
      <c r="AA46" s="58" t="n"/>
      <c r="AB46" s="58" t="n"/>
      <c r="AC46" s="58" t="n"/>
    </row>
    <row r="47">
      <c r="A47" s="53" t="n"/>
      <c r="B47" s="52" t="n"/>
      <c r="C47" s="53" t="n"/>
      <c r="D47" s="53" t="n"/>
      <c r="E47" s="53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3" t="n"/>
      <c r="U47" s="58" t="n"/>
      <c r="V47" s="53" t="n"/>
      <c r="W47" s="53" t="n"/>
      <c r="X47" s="58" t="n"/>
      <c r="Y47" s="58" t="n"/>
      <c r="Z47" s="58" t="n"/>
      <c r="AA47" s="58" t="n"/>
      <c r="AB47" s="58" t="n"/>
      <c r="AC47" s="58" t="n"/>
    </row>
    <row r="48">
      <c r="A48" s="53" t="n"/>
      <c r="B48" s="52" t="n"/>
      <c r="C48" s="53" t="n"/>
      <c r="D48" s="53" t="n"/>
      <c r="E48" s="53" t="n"/>
      <c r="F48" s="58" t="n"/>
      <c r="G48" s="58" t="n"/>
      <c r="H48" s="58" t="n"/>
      <c r="I48" s="58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3" t="n"/>
      <c r="U48" s="58" t="n"/>
      <c r="V48" s="53" t="n"/>
      <c r="W48" s="53" t="n"/>
      <c r="X48" s="58" t="n"/>
      <c r="Y48" s="58" t="n"/>
      <c r="Z48" s="58" t="n"/>
      <c r="AA48" s="58" t="n"/>
      <c r="AB48" s="58" t="n"/>
      <c r="AC48" s="58" t="n"/>
    </row>
    <row r="49">
      <c r="A49" s="53" t="n"/>
      <c r="B49" s="52" t="n"/>
      <c r="C49" s="53" t="n"/>
      <c r="D49" s="53" t="n"/>
      <c r="E49" s="53" t="n"/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3" t="n"/>
      <c r="U49" s="58" t="n"/>
      <c r="V49" s="53" t="n"/>
      <c r="W49" s="53" t="n"/>
      <c r="X49" s="58" t="n"/>
      <c r="Y49" s="58" t="n"/>
      <c r="Z49" s="58" t="n"/>
      <c r="AA49" s="58" t="n"/>
      <c r="AB49" s="58" t="n"/>
      <c r="AC49" s="58" t="n"/>
    </row>
    <row r="50">
      <c r="A50" s="53" t="n"/>
      <c r="B50" s="52" t="n"/>
      <c r="C50" s="53" t="n"/>
      <c r="D50" s="53" t="n"/>
      <c r="E50" s="53" t="n"/>
      <c r="F50" s="58" t="n"/>
      <c r="G50" s="58" t="n"/>
      <c r="H50" s="58" t="n"/>
      <c r="I50" s="58" t="n"/>
      <c r="J50" s="58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3" t="n"/>
      <c r="U50" s="58" t="n"/>
      <c r="V50" s="53" t="n"/>
      <c r="W50" s="53" t="n"/>
      <c r="X50" s="58" t="n"/>
      <c r="Y50" s="58" t="n"/>
      <c r="Z50" s="58" t="n"/>
      <c r="AA50" s="58" t="n"/>
      <c r="AB50" s="58" t="n"/>
      <c r="AC50" s="58" t="n"/>
    </row>
    <row r="51">
      <c r="A51" s="53" t="n"/>
      <c r="B51" s="52" t="n"/>
      <c r="C51" s="53" t="n"/>
      <c r="D51" s="53" t="n"/>
      <c r="E51" s="53" t="n"/>
      <c r="F51" s="58" t="n"/>
      <c r="G51" s="58" t="n"/>
      <c r="H51" s="58" t="n"/>
      <c r="I51" s="58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3" t="n"/>
      <c r="U51" s="58" t="n"/>
      <c r="V51" s="53" t="n"/>
      <c r="W51" s="53" t="n"/>
      <c r="X51" s="58" t="n"/>
      <c r="Y51" s="58" t="n"/>
      <c r="Z51" s="58" t="n"/>
      <c r="AA51" s="58" t="n"/>
      <c r="AB51" s="58" t="n"/>
      <c r="AC51" s="58" t="n"/>
    </row>
    <row r="52">
      <c r="A52" s="53" t="n"/>
      <c r="B52" s="52" t="n"/>
      <c r="C52" s="53" t="n"/>
      <c r="D52" s="53" t="n"/>
      <c r="E52" s="53" t="n"/>
      <c r="F52" s="58" t="n"/>
      <c r="G52" s="58" t="n"/>
      <c r="H52" s="58" t="n"/>
      <c r="I52" s="58" t="n"/>
      <c r="J52" s="58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58" t="n"/>
      <c r="T52" s="53" t="n"/>
      <c r="U52" s="58" t="n"/>
      <c r="V52" s="53" t="n"/>
      <c r="W52" s="53" t="n"/>
      <c r="X52" s="58" t="n"/>
      <c r="Y52" s="58" t="n"/>
      <c r="Z52" s="58" t="n"/>
      <c r="AA52" s="58" t="n"/>
      <c r="AB52" s="58" t="n"/>
      <c r="AC52" s="58" t="n"/>
    </row>
    <row r="53">
      <c r="A53" s="53" t="n"/>
      <c r="B53" s="52" t="n"/>
      <c r="C53" s="53" t="n"/>
      <c r="D53" s="53" t="n"/>
      <c r="E53" s="53" t="n"/>
      <c r="F53" s="58" t="n"/>
      <c r="G53" s="58" t="n"/>
      <c r="H53" s="58" t="n"/>
      <c r="I53" s="58" t="n"/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3" t="n"/>
      <c r="U53" s="58" t="n"/>
      <c r="V53" s="53" t="n"/>
      <c r="W53" s="53" t="n"/>
      <c r="X53" s="58" t="n"/>
      <c r="Y53" s="58" t="n"/>
      <c r="Z53" s="58" t="n"/>
      <c r="AA53" s="58" t="n"/>
      <c r="AB53" s="58" t="n"/>
      <c r="AC53" s="58" t="n"/>
    </row>
    <row r="54">
      <c r="A54" s="53" t="n"/>
      <c r="B54" s="52" t="n"/>
      <c r="C54" s="53" t="n"/>
      <c r="D54" s="53" t="n"/>
      <c r="E54" s="53" t="n"/>
      <c r="F54" s="58" t="n"/>
      <c r="G54" s="58" t="n"/>
      <c r="H54" s="58" t="n"/>
      <c r="I54" s="58" t="n"/>
      <c r="J54" s="58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58" t="n"/>
      <c r="T54" s="53" t="n"/>
      <c r="U54" s="58" t="n"/>
      <c r="V54" s="53" t="n"/>
      <c r="W54" s="53" t="n"/>
      <c r="X54" s="58" t="n"/>
      <c r="Y54" s="58" t="n"/>
      <c r="Z54" s="58" t="n"/>
      <c r="AA54" s="58" t="n"/>
      <c r="AB54" s="58" t="n"/>
      <c r="AC54" s="58" t="n"/>
    </row>
    <row r="55">
      <c r="A55" s="53" t="n"/>
      <c r="B55" s="52" t="n"/>
      <c r="C55" s="53" t="n"/>
      <c r="D55" s="53" t="n"/>
      <c r="E55" s="53" t="n"/>
      <c r="F55" s="58" t="n"/>
      <c r="G55" s="58" t="n"/>
      <c r="H55" s="58" t="n"/>
      <c r="I55" s="58" t="n"/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3" t="n"/>
      <c r="U55" s="58" t="n"/>
      <c r="V55" s="53" t="n"/>
      <c r="W55" s="53" t="n"/>
      <c r="X55" s="58" t="n"/>
      <c r="Y55" s="58" t="n"/>
      <c r="Z55" s="58" t="n"/>
      <c r="AA55" s="58" t="n"/>
      <c r="AB55" s="58" t="n"/>
      <c r="AC55" s="58" t="n"/>
    </row>
    <row r="56">
      <c r="A56" s="53" t="n"/>
      <c r="B56" s="52" t="n"/>
      <c r="C56" s="53" t="n"/>
      <c r="D56" s="53" t="n"/>
      <c r="E56" s="53" t="n"/>
      <c r="F56" s="58" t="n"/>
      <c r="G56" s="58" t="n"/>
      <c r="H56" s="58" t="n"/>
      <c r="I56" s="58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8" t="n"/>
      <c r="T56" s="53" t="n"/>
      <c r="U56" s="58" t="n"/>
      <c r="V56" s="53" t="n"/>
      <c r="W56" s="53" t="n"/>
      <c r="X56" s="58" t="n"/>
      <c r="Y56" s="58" t="n"/>
      <c r="Z56" s="58" t="n"/>
      <c r="AA56" s="58" t="n"/>
      <c r="AB56" s="58" t="n"/>
      <c r="AC56" s="58" t="n"/>
    </row>
    <row r="57">
      <c r="A57" s="53" t="n"/>
      <c r="B57" s="52" t="n"/>
      <c r="C57" s="53" t="n"/>
      <c r="D57" s="53" t="n"/>
      <c r="E57" s="53" t="n"/>
      <c r="F57" s="58" t="n"/>
      <c r="G57" s="58" t="n"/>
      <c r="H57" s="58" t="n"/>
      <c r="I57" s="58" t="n"/>
      <c r="J57" s="58" t="n"/>
      <c r="K57" s="58" t="n"/>
      <c r="L57" s="58" t="n"/>
      <c r="M57" s="58" t="n"/>
      <c r="N57" s="58" t="n"/>
      <c r="O57" s="58" t="n"/>
      <c r="P57" s="58" t="n"/>
      <c r="Q57" s="58" t="n"/>
      <c r="R57" s="58" t="n"/>
      <c r="S57" s="58" t="n"/>
      <c r="T57" s="53" t="n"/>
      <c r="U57" s="58" t="n"/>
      <c r="V57" s="53" t="n"/>
      <c r="W57" s="53" t="n"/>
      <c r="X57" s="58" t="n"/>
      <c r="Y57" s="58" t="n"/>
      <c r="Z57" s="58" t="n"/>
      <c r="AA57" s="58" t="n"/>
      <c r="AB57" s="58" t="n"/>
      <c r="AC57" s="58" t="n"/>
    </row>
    <row r="58">
      <c r="A58" s="53" t="n"/>
      <c r="B58" s="52" t="n"/>
      <c r="C58" s="53" t="n"/>
      <c r="D58" s="53" t="n"/>
      <c r="E58" s="53" t="n"/>
      <c r="F58" s="58" t="n"/>
      <c r="G58" s="58" t="n"/>
      <c r="H58" s="58" t="n"/>
      <c r="I58" s="58" t="n"/>
      <c r="J58" s="58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58" t="n"/>
      <c r="T58" s="53" t="n"/>
      <c r="U58" s="58" t="n"/>
      <c r="V58" s="53" t="n"/>
      <c r="W58" s="53" t="n"/>
      <c r="X58" s="58" t="n"/>
      <c r="Y58" s="58" t="n"/>
      <c r="Z58" s="58" t="n"/>
      <c r="AA58" s="58" t="n"/>
      <c r="AB58" s="58" t="n"/>
      <c r="AC58" s="58" t="n"/>
    </row>
    <row r="59">
      <c r="A59" s="53" t="n"/>
      <c r="B59" s="52" t="n"/>
      <c r="C59" s="53" t="n"/>
      <c r="D59" s="53" t="n"/>
      <c r="E59" s="53" t="n"/>
      <c r="F59" s="58" t="n"/>
      <c r="G59" s="58" t="n"/>
      <c r="H59" s="58" t="n"/>
      <c r="I59" s="58" t="n"/>
      <c r="J59" s="58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58" t="n"/>
      <c r="T59" s="53" t="n"/>
      <c r="U59" s="58" t="n"/>
      <c r="V59" s="53" t="n"/>
      <c r="W59" s="53" t="n"/>
      <c r="X59" s="58" t="n"/>
      <c r="Y59" s="58" t="n"/>
      <c r="Z59" s="58" t="n"/>
      <c r="AA59" s="58" t="n"/>
      <c r="AB59" s="58" t="n"/>
      <c r="AC59" s="58" t="n"/>
    </row>
    <row r="60">
      <c r="A60" s="53" t="n"/>
      <c r="B60" s="52" t="n"/>
      <c r="C60" s="53" t="n"/>
      <c r="D60" s="53" t="n"/>
      <c r="E60" s="53" t="n"/>
      <c r="F60" s="58" t="n"/>
      <c r="G60" s="58" t="n"/>
      <c r="H60" s="58" t="n"/>
      <c r="I60" s="58" t="n"/>
      <c r="J60" s="58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3" t="n"/>
      <c r="U60" s="58" t="n"/>
      <c r="V60" s="53" t="n"/>
      <c r="W60" s="53" t="n"/>
      <c r="X60" s="58" t="n"/>
      <c r="Y60" s="58" t="n"/>
      <c r="Z60" s="58" t="n"/>
      <c r="AA60" s="58" t="n"/>
      <c r="AB60" s="58" t="n"/>
      <c r="AC60" s="58" t="n"/>
    </row>
    <row r="61">
      <c r="A61" s="53" t="n"/>
      <c r="B61" s="52" t="n"/>
      <c r="C61" s="53" t="n"/>
      <c r="D61" s="53" t="n"/>
      <c r="E61" s="53" t="n"/>
      <c r="F61" s="58" t="n"/>
      <c r="G61" s="58" t="n"/>
      <c r="H61" s="58" t="n"/>
      <c r="I61" s="58" t="n"/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3" t="n"/>
      <c r="U61" s="58" t="n"/>
      <c r="V61" s="53" t="n"/>
      <c r="W61" s="53" t="n"/>
      <c r="X61" s="58" t="n"/>
      <c r="Y61" s="58" t="n"/>
      <c r="Z61" s="58" t="n"/>
      <c r="AA61" s="58" t="n"/>
      <c r="AB61" s="58" t="n"/>
      <c r="AC61" s="58" t="n"/>
    </row>
    <row r="62">
      <c r="A62" s="53" t="n"/>
      <c r="B62" s="52" t="n"/>
      <c r="C62" s="53" t="n"/>
      <c r="D62" s="53" t="n"/>
      <c r="E62" s="53" t="n"/>
      <c r="F62" s="58" t="n"/>
      <c r="G62" s="58" t="n"/>
      <c r="H62" s="58" t="n"/>
      <c r="I62" s="58" t="n"/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3" t="n"/>
      <c r="U62" s="58" t="n"/>
      <c r="V62" s="53" t="n"/>
      <c r="W62" s="53" t="n"/>
      <c r="X62" s="58" t="n"/>
      <c r="Y62" s="58" t="n"/>
      <c r="Z62" s="58" t="n"/>
      <c r="AA62" s="58" t="n"/>
      <c r="AB62" s="58" t="n"/>
      <c r="AC62" s="58" t="n"/>
    </row>
    <row r="63">
      <c r="A63" s="53" t="n"/>
      <c r="B63" s="52" t="n"/>
      <c r="C63" s="53" t="n"/>
      <c r="D63" s="53" t="n"/>
      <c r="E63" s="53" t="n"/>
      <c r="F63" s="58" t="n"/>
      <c r="G63" s="58" t="n"/>
      <c r="H63" s="58" t="n"/>
      <c r="I63" s="58" t="n"/>
      <c r="J63" s="58" t="n"/>
      <c r="K63" s="58" t="n"/>
      <c r="L63" s="58" t="n"/>
      <c r="M63" s="58" t="n"/>
      <c r="N63" s="58" t="n"/>
      <c r="O63" s="58" t="n"/>
      <c r="P63" s="58" t="n"/>
      <c r="Q63" s="58" t="n"/>
      <c r="R63" s="58" t="n"/>
      <c r="S63" s="58" t="n"/>
      <c r="T63" s="53" t="n"/>
      <c r="U63" s="58" t="n"/>
      <c r="V63" s="53" t="n"/>
      <c r="W63" s="53" t="n"/>
      <c r="X63" s="58" t="n"/>
      <c r="Y63" s="58" t="n"/>
      <c r="Z63" s="58" t="n"/>
      <c r="AA63" s="58" t="n"/>
      <c r="AB63" s="58" t="n"/>
      <c r="AC63" s="58" t="n"/>
    </row>
    <row r="64">
      <c r="A64" s="53" t="n"/>
      <c r="B64" s="52" t="n"/>
      <c r="C64" s="53" t="n"/>
      <c r="D64" s="53" t="n"/>
      <c r="E64" s="53" t="n"/>
      <c r="F64" s="58" t="n"/>
      <c r="G64" s="58" t="n"/>
      <c r="H64" s="58" t="n"/>
      <c r="I64" s="58" t="n"/>
      <c r="J64" s="58" t="n"/>
      <c r="K64" s="58" t="n"/>
      <c r="L64" s="58" t="n"/>
      <c r="M64" s="58" t="n"/>
      <c r="N64" s="58" t="n"/>
      <c r="O64" s="58" t="n"/>
      <c r="P64" s="58" t="n"/>
      <c r="Q64" s="58" t="n"/>
      <c r="R64" s="58" t="n"/>
      <c r="S64" s="58" t="n"/>
      <c r="T64" s="53" t="n"/>
      <c r="U64" s="58" t="n"/>
      <c r="V64" s="53" t="n"/>
      <c r="W64" s="53" t="n"/>
      <c r="X64" s="58" t="n"/>
      <c r="Y64" s="58" t="n"/>
      <c r="Z64" s="58" t="n"/>
      <c r="AA64" s="58" t="n"/>
      <c r="AB64" s="58" t="n"/>
      <c r="AC64" s="58" t="n"/>
    </row>
    <row r="65">
      <c r="A65" s="53" t="n"/>
      <c r="B65" s="52" t="n"/>
      <c r="C65" s="53" t="n"/>
      <c r="D65" s="53" t="n"/>
      <c r="E65" s="53" t="n"/>
      <c r="F65" s="58" t="n"/>
      <c r="G65" s="58" t="n"/>
      <c r="H65" s="58" t="n"/>
      <c r="I65" s="58" t="n"/>
      <c r="J65" s="58" t="n"/>
      <c r="K65" s="58" t="n"/>
      <c r="L65" s="58" t="n"/>
      <c r="M65" s="58" t="n"/>
      <c r="N65" s="58" t="n"/>
      <c r="O65" s="58" t="n"/>
      <c r="P65" s="58" t="n"/>
      <c r="Q65" s="58" t="n"/>
      <c r="R65" s="58" t="n"/>
      <c r="S65" s="58" t="n"/>
      <c r="T65" s="53" t="n"/>
      <c r="U65" s="58" t="n"/>
      <c r="V65" s="53" t="n"/>
      <c r="W65" s="53" t="n"/>
      <c r="X65" s="58" t="n"/>
      <c r="Y65" s="58" t="n"/>
      <c r="Z65" s="58" t="n"/>
      <c r="AA65" s="58" t="n"/>
      <c r="AB65" s="58" t="n"/>
      <c r="AC65" s="58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59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2026-10-28T16:18:43Z</dcterms:created>
  <dcterms:modified xmlns:dcterms="http://purl.org/dc/terms/" xmlns:xsi="http://www.w3.org/2001/XMLSchema-instance" xsi:type="dcterms:W3CDTF">2026-10-28T16:18:43Z</dcterms:modified>
</cp:coreProperties>
</file>