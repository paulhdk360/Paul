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Bon de livraison" sheetId="1" state="visible" r:id="rId1"/>
    <sheet xmlns:r="http://schemas.openxmlformats.org/officeDocument/2006/relationships" name="2 Import devis" sheetId="2" state="visible" r:id="rId2"/>
    <sheet xmlns:r="http://schemas.openxmlformats.org/officeDocument/2006/relationships" name="3 Catalogue outils" sheetId="3" state="visible" r:id="rId3"/>
    <sheet xmlns:r="http://schemas.openxmlformats.org/officeDocument/2006/relationships" name="Listes" sheetId="4" state="visible" r:id="rId4"/>
  </sheets>
  <definedNames>
    <definedName name="_xlnm._FilterDatabase" localSheetId="0" hidden="1">'1 Bon de livraison'!$A$14:$I$54</definedName>
    <definedName name="_xlnm.Print_Area" localSheetId="0">'1 Bon de livraison'!$A$1:$G$69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dd/mm/yyyy"/>
    <numFmt numFmtId="165" formatCode="#,##0.0"/>
    <numFmt numFmtId="166" formatCode="#,##0.0 &quot;kg&quot;"/>
    <numFmt numFmtId="167" formatCode="#,##0.00 &quot;€&quot;"/>
    <numFmt numFmtId="168" formatCode="0.000"/>
    <numFmt numFmtId="169" formatCode="0.000 &quot;m³&quot;"/>
  </numFmts>
  <fonts count="25">
    <font>
      <name val="Calibri"/>
      <family val="2"/>
      <color theme="1"/>
      <sz val="11"/>
      <scheme val="minor"/>
    </font>
    <font>
      <name val="Calibri"/>
      <b val="1"/>
      <color rgb="00FFFFFF"/>
      <sz val="9"/>
    </font>
    <font>
      <name val="Calibri"/>
      <b val="1"/>
      <color rgb="00FFFFFF"/>
      <sz val="18"/>
    </font>
    <font>
      <name val="Calibri"/>
      <color rgb="009FD8F5"/>
      <sz val="10"/>
    </font>
    <font>
      <name val="Calibri"/>
      <color rgb="000A4FA0"/>
      <sz val="10"/>
    </font>
    <font>
      <name val="Calibri"/>
      <color rgb="00B8C4D2"/>
      <sz val="7"/>
    </font>
    <font>
      <name val="Calibri"/>
      <i val="1"/>
      <color rgb="0051647A"/>
      <sz val="9"/>
    </font>
    <font>
      <name val="Calibri"/>
      <b val="1"/>
      <color rgb="00FFFFFF"/>
      <sz val="15"/>
    </font>
    <font>
      <name val="Calibri"/>
      <color rgb="009FD8F5"/>
      <sz val="11"/>
    </font>
    <font>
      <name val="Calibri"/>
      <color rgb="0051647A"/>
      <sz val="8"/>
    </font>
    <font>
      <name val="Calibri"/>
      <b val="1"/>
      <color rgb="0051647A"/>
      <sz val="7.5"/>
    </font>
    <font>
      <name val="Calibri"/>
      <b val="1"/>
      <color rgb="000A4FA0"/>
      <sz val="10.5"/>
    </font>
    <font>
      <name val="Calibri"/>
      <b val="1"/>
      <color rgb="0008203F"/>
      <sz val="8.5"/>
    </font>
    <font>
      <name val="Calibri"/>
      <b val="1"/>
      <color rgb="0051647A"/>
      <sz val="8"/>
    </font>
    <font>
      <name val="Calibri"/>
      <i val="1"/>
      <color rgb="0051647A"/>
      <sz val="7.5"/>
    </font>
    <font>
      <name val="Calibri"/>
      <color rgb="0051647A"/>
      <sz val="9"/>
    </font>
    <font>
      <name val="Calibri"/>
      <color rgb="000B1B2E"/>
      <sz val="10.5"/>
    </font>
    <font>
      <name val="Calibri"/>
      <color rgb="000A4FA0"/>
      <sz val="10.5"/>
    </font>
    <font>
      <name val="Calibri"/>
      <b val="1"/>
      <color rgb="00E2231A"/>
      <sz val="9"/>
    </font>
    <font>
      <name val="Calibri"/>
      <b val="1"/>
      <color rgb="00FFFFFF"/>
      <sz val="10.5"/>
    </font>
    <font>
      <name val="Calibri"/>
      <b val="1"/>
      <color rgb="00FFFFFF"/>
      <sz val="10"/>
    </font>
    <font>
      <name val="Calibri"/>
      <b val="1"/>
      <color rgb="0008203F"/>
      <sz val="10.5"/>
    </font>
    <font>
      <name val="Calibri"/>
      <b val="1"/>
      <color rgb="0051647A"/>
      <sz val="8.5"/>
    </font>
    <font>
      <name val="Calibri"/>
      <color rgb="00C9F0D8"/>
      <sz val="10"/>
    </font>
    <font>
      <name val="Calibri"/>
      <b val="1"/>
      <color rgb="0051647A"/>
      <sz val="9"/>
    </font>
  </fonts>
  <fills count="10">
    <fill>
      <patternFill/>
    </fill>
    <fill>
      <patternFill patternType="gray125"/>
    </fill>
    <fill>
      <patternFill patternType="solid">
        <fgColor rgb="0008203F"/>
        <bgColor rgb="0008203F"/>
      </patternFill>
    </fill>
    <fill>
      <patternFill patternType="solid">
        <fgColor rgb="0000AEEF"/>
        <bgColor rgb="0000AEEF"/>
      </patternFill>
    </fill>
    <fill>
      <patternFill patternType="solid">
        <fgColor rgb="000A4FA0"/>
        <bgColor rgb="000A4FA0"/>
      </patternFill>
    </fill>
    <fill>
      <patternFill patternType="solid">
        <fgColor rgb="007A8CA3"/>
        <bgColor rgb="007A8CA3"/>
      </patternFill>
    </fill>
    <fill>
      <patternFill patternType="solid">
        <fgColor rgb="00EAF6FD"/>
        <bgColor rgb="00EAF6FD"/>
      </patternFill>
    </fill>
    <fill>
      <patternFill patternType="solid">
        <fgColor rgb="00DCE8F5"/>
        <bgColor rgb="00DCE8F5"/>
      </patternFill>
    </fill>
    <fill>
      <patternFill patternType="solid">
        <fgColor rgb="002E8B57"/>
        <bgColor rgb="002E8B57"/>
      </patternFill>
    </fill>
    <fill>
      <patternFill patternType="solid">
        <fgColor rgb="00F2F5F9"/>
        <bgColor rgb="00F2F5F9"/>
      </patternFill>
    </fill>
  </fills>
  <borders count="16">
    <border>
      <left/>
      <right/>
      <top/>
      <bottom/>
      <diagonal/>
    </border>
    <border>
      <bottom style="thin">
        <color rgb="0000AEEF"/>
      </bottom>
    </border>
    <border>
      <bottom style="thin">
        <color rgb="00B7DDF2"/>
      </bottom>
    </border>
    <border>
      <bottom style="thin">
        <color rgb="00D5DEE8"/>
      </bottom>
    </border>
    <border>
      <left/>
      <right/>
      <top/>
      <bottom style="thin">
        <color rgb="00B7DDF2"/>
      </bottom>
      <diagonal/>
    </border>
    <border>
      <left style="thin">
        <color rgb="00D5DEE8"/>
      </left>
      <top style="thin">
        <color rgb="00D5DEE8"/>
      </top>
    </border>
    <border>
      <right style="thin">
        <color rgb="00D5DEE8"/>
      </right>
      <top style="thin">
        <color rgb="00D5DEE8"/>
      </top>
    </border>
    <border>
      <left style="thin">
        <color rgb="00D5DEE8"/>
      </left>
    </border>
    <border>
      <right style="thin">
        <color rgb="00D5DEE8"/>
      </right>
    </border>
    <border>
      <left style="thin">
        <color rgb="00D5DEE8"/>
      </left>
      <bottom style="thin">
        <color rgb="00D5DEE8"/>
      </bottom>
    </border>
    <border>
      <right style="thin">
        <color rgb="00D5DEE8"/>
      </right>
      <bottom style="thin">
        <color rgb="00D5DEE8"/>
      </bottom>
    </border>
    <border>
      <left style="thin">
        <color rgb="00D5DEE8"/>
      </left>
      <right style="thin">
        <color rgb="00D5DEE8"/>
      </right>
      <top style="thin">
        <color rgb="00D5DEE8"/>
      </top>
    </border>
    <border>
      <left style="thin">
        <color rgb="00D5DEE8"/>
      </left>
      <right style="thin">
        <color rgb="00D5DEE8"/>
      </right>
    </border>
    <border>
      <left style="thin">
        <color rgb="00D5DEE8"/>
      </left>
      <right style="thin">
        <color rgb="00D5DEE8"/>
      </right>
      <bottom style="thin">
        <color rgb="00D5DEE8"/>
      </bottom>
    </border>
    <border>
      <top style="thin">
        <color rgb="00D5DEE8"/>
      </top>
    </border>
    <border/>
  </borders>
  <cellStyleXfs count="1">
    <xf numFmtId="0" fontId="0" fillId="0" borderId="0"/>
  </cellStyleXfs>
  <cellXfs count="64">
    <xf numFmtId="0" fontId="0" fillId="0" borderId="0" pivotButton="0" quotePrefix="0" xfId="0"/>
    <xf numFmtId="0" fontId="0" fillId="2" borderId="0" pivotButton="0" quotePrefix="0" xfId="0"/>
    <xf numFmtId="0" fontId="7" fillId="2" borderId="0" applyAlignment="1" pivotButton="0" quotePrefix="0" xfId="0">
      <alignment horizontal="right" vertical="center"/>
    </xf>
    <xf numFmtId="0" fontId="8" fillId="2" borderId="0" applyAlignment="1" pivotButton="0" quotePrefix="0" xfId="0">
      <alignment horizontal="right" vertical="center"/>
    </xf>
    <xf numFmtId="0" fontId="0" fillId="3" borderId="0" pivotButton="0" quotePrefix="0" xfId="0"/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bottom" indent="1"/>
    </xf>
    <xf numFmtId="0" fontId="11" fillId="6" borderId="1" applyAlignment="1" pivotButton="0" quotePrefix="0" xfId="0">
      <alignment horizontal="left" vertical="center" wrapText="1" indent="1"/>
    </xf>
    <xf numFmtId="0" fontId="0" fillId="6" borderId="1" pivotButton="0" quotePrefix="0" xfId="0"/>
    <xf numFmtId="164" fontId="11" fillId="6" borderId="1" applyAlignment="1" pivotButton="0" quotePrefix="0" xfId="0">
      <alignment horizontal="left" vertical="center" wrapText="1" indent="1"/>
    </xf>
    <xf numFmtId="0" fontId="18" fillId="0" borderId="0" applyAlignment="1" pivotButton="0" quotePrefix="0" xfId="0">
      <alignment vertical="center" indent="1"/>
    </xf>
    <xf numFmtId="0" fontId="14" fillId="0" borderId="0" pivotButton="0" quotePrefix="0" xfId="0"/>
    <xf numFmtId="0" fontId="12" fillId="7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13" fillId="0" borderId="0" applyAlignment="1" pivotButton="0" quotePrefix="0" xfId="0">
      <alignment horizontal="center"/>
    </xf>
    <xf numFmtId="0" fontId="17" fillId="6" borderId="2" applyAlignment="1" pivotButton="0" quotePrefix="0" xfId="0">
      <alignment horizontal="left" vertical="center" wrapText="1" indent="1"/>
    </xf>
    <xf numFmtId="0" fontId="16" fillId="0" borderId="3" applyAlignment="1" pivotButton="0" quotePrefix="0" xfId="0">
      <alignment vertical="center" wrapText="1" indent="1"/>
    </xf>
    <xf numFmtId="0" fontId="16" fillId="0" borderId="3" applyAlignment="1" pivotButton="0" quotePrefix="0" xfId="0">
      <alignment horizontal="center" vertical="center"/>
    </xf>
    <xf numFmtId="165" fontId="16" fillId="0" borderId="3" applyAlignment="1" pivotButton="0" quotePrefix="0" xfId="0">
      <alignment horizontal="center" vertical="center"/>
    </xf>
    <xf numFmtId="4" fontId="16" fillId="0" borderId="3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13" fontId="15" fillId="0" borderId="0" applyAlignment="1" pivotButton="0" quotePrefix="0" xfId="0">
      <alignment horizontal="center" vertical="center"/>
    </xf>
    <xf numFmtId="0" fontId="19" fillId="2" borderId="0" applyAlignment="1" pivotButton="0" quotePrefix="0" xfId="0">
      <alignment horizontal="left" vertical="center" indent="1"/>
    </xf>
    <xf numFmtId="0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center" vertical="center"/>
    </xf>
    <xf numFmtId="166" fontId="19" fillId="2" borderId="0" applyAlignment="1" pivotButton="0" quotePrefix="0" xfId="0">
      <alignment horizontal="center" vertical="center"/>
    </xf>
    <xf numFmtId="167" fontId="19" fillId="2" borderId="0" applyAlignment="1" pivotButton="0" quotePrefix="0" xfId="0">
      <alignment horizontal="center" vertical="center"/>
    </xf>
    <xf numFmtId="0" fontId="20" fillId="2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17" fillId="6" borderId="2" applyAlignment="1" pivotButton="0" quotePrefix="0" xfId="0">
      <alignment horizontal="center" vertical="center"/>
    </xf>
    <xf numFmtId="0" fontId="0" fillId="0" borderId="4" pivotButton="0" quotePrefix="0" xfId="0"/>
    <xf numFmtId="165" fontId="17" fillId="6" borderId="2" applyAlignment="1" pivotButton="0" quotePrefix="0" xfId="0">
      <alignment horizontal="center" vertical="center"/>
    </xf>
    <xf numFmtId="168" fontId="17" fillId="6" borderId="2" applyAlignment="1" pivotButton="0" quotePrefix="0" xfId="0">
      <alignment horizontal="center" vertical="center"/>
    </xf>
    <xf numFmtId="0" fontId="20" fillId="2" borderId="0" applyAlignment="1" pivotButton="0" quotePrefix="0" xfId="0">
      <alignment horizontal="left" vertical="center" indent="1"/>
    </xf>
    <xf numFmtId="166" fontId="20" fillId="2" borderId="0" applyAlignment="1" pivotButton="0" quotePrefix="0" xfId="0">
      <alignment horizontal="center" vertical="center"/>
    </xf>
    <xf numFmtId="169" fontId="20" fillId="2" borderId="0" applyAlignment="1" pivotButton="0" quotePrefix="0" xfId="0">
      <alignment horizontal="center" vertical="center"/>
    </xf>
    <xf numFmtId="0" fontId="22" fillId="0" borderId="0" applyAlignment="1" pivotButton="0" quotePrefix="0" xfId="0">
      <alignment vertical="center" wrapText="1" indent="1"/>
    </xf>
    <xf numFmtId="0" fontId="13" fillId="0" borderId="5" applyAlignment="1" pivotButton="0" quotePrefix="0" xfId="0">
      <alignment vertical="top" wrapText="1" indent="1"/>
    </xf>
    <xf numFmtId="0" fontId="0" fillId="0" borderId="6" pivotButton="0" quotePrefix="0" xfId="0"/>
    <xf numFmtId="0" fontId="13" fillId="0" borderId="11" applyAlignment="1" pivotButton="0" quotePrefix="0" xfId="0">
      <alignment vertical="top" wrapText="1" indent="1"/>
    </xf>
    <xf numFmtId="0" fontId="0" fillId="0" borderId="14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3" pivotButton="0" quotePrefix="0" xfId="0"/>
    <xf numFmtId="0" fontId="0" fillId="0" borderId="3" pivotButton="0" quotePrefix="0" xfId="0"/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indent="1"/>
    </xf>
    <xf numFmtId="0" fontId="4" fillId="6" borderId="1" applyAlignment="1" pivotButton="0" quotePrefix="0" xfId="0">
      <alignment horizontal="center" vertical="center"/>
    </xf>
    <xf numFmtId="4" fontId="4" fillId="6" borderId="1" applyAlignment="1" pivotButton="0" quotePrefix="0" xfId="0">
      <alignment horizontal="center" vertical="center"/>
    </xf>
    <xf numFmtId="0" fontId="6" fillId="0" borderId="0" pivotButton="0" quotePrefix="0" xfId="0"/>
    <xf numFmtId="0" fontId="23" fillId="2" borderId="0" applyAlignment="1" pivotButton="0" quotePrefix="0" xfId="0">
      <alignment vertical="center"/>
    </xf>
    <xf numFmtId="0" fontId="0" fillId="8" borderId="0" pivotButton="0" quotePrefix="0" xfId="0"/>
    <xf numFmtId="0" fontId="24" fillId="0" borderId="0" pivotButton="0" quotePrefix="0" xfId="0"/>
    <xf numFmtId="13" fontId="4" fillId="6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3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2">
    <dxf>
      <font>
        <name val="Calibri"/>
        <color rgb="0008203F"/>
      </font>
      <fill>
        <patternFill patternType="solid">
          <fgColor rgb="0008203F"/>
          <bgColor rgb="0008203F"/>
        </patternFill>
      </fill>
    </dxf>
    <dxf>
      <font>
        <name val="Calibri"/>
        <b val="1"/>
        <color rgb="00FFFFFF"/>
      </font>
      <fill>
        <patternFill patternType="solid">
          <fgColor rgb="0008203F"/>
          <bgColor rgb="0008203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287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0A4FA0"/>
    <outlinePr summaryBelow="1" summaryRight="1"/>
    <pageSetUpPr fitToPage="1"/>
  </sheetPr>
  <dimension ref="A1:P69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2" customWidth="1" min="3" max="3"/>
    <col width="7" customWidth="1" min="4" max="4"/>
    <col width="9" customWidth="1" min="5" max="5"/>
    <col width="12" customWidth="1" min="6" max="6"/>
    <col width="14" customWidth="1" min="7" max="7"/>
    <col width="2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4" customWidth="1" min="13" max="13"/>
    <col width="12" customWidth="1" min="14" max="14"/>
    <col width="10" customWidth="1" min="15" max="15"/>
    <col width="10" customWidth="1" min="16" max="16"/>
  </cols>
  <sheetData>
    <row r="1" ht="34" customHeight="1">
      <c r="A1" s="1" t="n"/>
      <c r="B1" s="1" t="n"/>
      <c r="C1" s="2" t="inlineStr">
        <is>
          <t>BON DE LIVRAISON · DELIVERY TICKET</t>
        </is>
      </c>
    </row>
    <row r="2" ht="22" customHeight="1">
      <c r="A2" s="1" t="n"/>
      <c r="B2" s="1" t="n"/>
      <c r="C2" s="3">
        <f>"N° "&amp;A6</f>
        <v/>
      </c>
    </row>
    <row r="3" ht="5" customHeight="1">
      <c r="A3" s="4" t="n"/>
      <c r="B3" s="4" t="n"/>
      <c r="C3" s="4" t="n"/>
      <c r="D3" s="4" t="n"/>
      <c r="E3" s="4" t="n"/>
      <c r="F3" s="4" t="n"/>
      <c r="G3" s="4" t="n"/>
    </row>
    <row r="4" ht="18" customHeight="1">
      <c r="A4" s="5" t="inlineStr">
        <is>
          <t>ENEDRIL SAS · 3 Avenue des Lacs · 64140 Lons (France) · +33 (0)5 59 04 50 45 · SIRET 79464246200020 · TVA FR11794642462</t>
        </is>
      </c>
    </row>
    <row r="5" ht="15" customHeight="1">
      <c r="A5" s="6" t="inlineStr">
        <is>
          <t>N° DU BL · DELIVERY TICKET N°</t>
        </is>
      </c>
      <c r="C5" s="6" t="inlineStr">
        <is>
          <t>DATE</t>
        </is>
      </c>
      <c r="D5" s="6" t="inlineStr">
        <is>
          <t>N° DE DOSSIER (DEVIS) · JOB NUMBER</t>
        </is>
      </c>
    </row>
    <row r="6" ht="21" customHeight="1">
      <c r="A6" s="7" t="inlineStr">
        <is>
          <t>BL-26-0123</t>
        </is>
      </c>
      <c r="B6" s="8" t="n"/>
      <c r="C6" s="9" t="n">
        <v>46335</v>
      </c>
      <c r="D6" s="7" t="inlineStr">
        <is>
          <t>26-82-FR</t>
        </is>
      </c>
      <c r="E6" s="8" t="n"/>
      <c r="F6" s="8" t="n"/>
      <c r="G6" s="8" t="n"/>
    </row>
    <row r="7" ht="15" customHeight="1">
      <c r="A7" s="6" t="inlineStr">
        <is>
          <t>CLIENT · CUSTOMER</t>
        </is>
      </c>
      <c r="C7" s="6" t="inlineStr">
        <is>
          <t>PUITS / CHANTIER · WELL</t>
        </is>
      </c>
      <c r="D7" s="6" t="inlineStr">
        <is>
          <t>PO CLIENT · PURCHASE ORDER</t>
        </is>
      </c>
    </row>
    <row r="8" ht="21" customHeight="1">
      <c r="A8" s="7" t="inlineStr">
        <is>
          <t>Geopetrol</t>
        </is>
      </c>
      <c r="B8" s="8" t="n"/>
      <c r="C8" s="7" t="inlineStr">
        <is>
          <t>Puits Lacq-12 · CLU108</t>
        </is>
      </c>
      <c r="D8" s="7" t="inlineStr">
        <is>
          <t>PO-4500123</t>
        </is>
      </c>
      <c r="E8" s="8" t="n"/>
      <c r="F8" s="8" t="n"/>
      <c r="G8" s="8" t="n"/>
    </row>
    <row r="9" ht="15" customHeight="1">
      <c r="A9" s="6" t="inlineStr">
        <is>
          <t>TRANSPORTEUR · TRANSPORT COMPANY</t>
        </is>
      </c>
      <c r="C9" s="6" t="inlineStr">
        <is>
          <t>PO TRANSPORT · TRANSPORT PO N°</t>
        </is>
      </c>
      <c r="D9" s="6" t="inlineStr">
        <is>
          <t>DÉLAI · EXPECTED TIME OF ARRIVAL (ETA)</t>
        </is>
      </c>
    </row>
    <row r="10" ht="21" customHeight="1">
      <c r="A10" s="7" t="inlineStr">
        <is>
          <t>Transports Durand</t>
        </is>
      </c>
      <c r="B10" s="8" t="n"/>
      <c r="C10" s="7" t="inlineStr">
        <is>
          <t>TPO-778</t>
        </is>
      </c>
      <c r="D10" s="7" t="inlineStr">
        <is>
          <t>48 h après chargement</t>
        </is>
      </c>
      <c r="E10" s="8" t="n"/>
      <c r="F10" s="8" t="n"/>
      <c r="G10" s="8" t="n"/>
    </row>
    <row r="11" ht="15" customHeight="1">
      <c r="A11" s="6" t="inlineStr">
        <is>
          <t>ADRESSE DE CHARGEMENT · LOADING ADDRESS</t>
        </is>
      </c>
      <c r="D11" s="6" t="inlineStr">
        <is>
          <t>ADRESSE DE LIVRAISON · DELIVERY ADDRESS</t>
        </is>
      </c>
    </row>
    <row r="12" ht="34" customHeight="1">
      <c r="A12" s="7" t="inlineStr">
        <is>
          <t>Enedril · 3 Avenue des Lacs · 64140 Lons (France)</t>
        </is>
      </c>
      <c r="B12" s="8" t="n"/>
      <c r="C12" s="8" t="n"/>
      <c r="D12" s="7" t="inlineStr">
        <is>
          <t>Geopetrol · Base de Lacq · 64170 Lacq</t>
        </is>
      </c>
      <c r="E12" s="8" t="n"/>
      <c r="F12" s="8" t="n"/>
      <c r="G12" s="8" t="n"/>
    </row>
    <row r="13" ht="14" customHeight="1">
      <c r="A13" s="10">
        <f>IF(SUBTOTAL(103,C15:C54)&lt;SUM(I15:I54),"⚠  Appuyer sur Ctrl + Alt + L pour afficher toutes les lignes du BL.","")</f>
        <v/>
      </c>
      <c r="M13" s="11" t="inlineStr">
        <is>
          <t>Infos catalogue (non imprimées)</t>
        </is>
      </c>
    </row>
    <row r="14" ht="36" customHeight="1">
      <c r="A14" s="12" t="inlineStr">
        <is>
          <t>N°
Item</t>
        </is>
      </c>
      <c r="B14" s="12" t="inlineStr">
        <is>
          <t>N° de série
Serial number</t>
        </is>
      </c>
      <c r="C14" s="12" t="inlineStr">
        <is>
          <t>Description</t>
        </is>
      </c>
      <c r="D14" s="12" t="inlineStr">
        <is>
          <t>Qté
Qty</t>
        </is>
      </c>
      <c r="E14" s="12" t="inlineStr">
        <is>
          <t>Origine
Origin</t>
        </is>
      </c>
      <c r="F14" s="12" t="inlineStr">
        <is>
          <t>Poids net
kg / unité</t>
        </is>
      </c>
      <c r="G14" s="12" t="inlineStr">
        <is>
          <t>Valeur de remplacement
€ / unité</t>
        </is>
      </c>
      <c r="I14" s="13" t="inlineStr">
        <is>
          <t>actif</t>
        </is>
      </c>
      <c r="M14" s="14" t="inlineStr">
        <is>
          <t>Réf catalogue</t>
        </is>
      </c>
      <c r="N14" s="14" t="inlineStr">
        <is>
          <t>Code SH</t>
        </is>
      </c>
      <c r="O14" s="14" t="inlineStr">
        <is>
          <t>OD</t>
        </is>
      </c>
      <c r="P14" s="14" t="inlineStr">
        <is>
          <t>Lg</t>
        </is>
      </c>
    </row>
    <row r="15" ht="26" customHeight="1">
      <c r="A15" s="15">
        <f>IF(OR(J15=0,K15=1),"",COUNTIF(K$15:K15,0)-COUNTIF(J$15:J15,0))</f>
        <v/>
      </c>
      <c r="B15" s="15" t="n"/>
      <c r="C15" s="16">
        <f>IF(J15=0,"",IF(K15=1,UPPER(INDEX('2 Import devis'!$B$6:$B$29,J15)),IF(L15&gt;0,TRIM(SUBSTITUTE(INDEX('3 Catalogue outils'!$A$6:$AC$5005,L15,2),CHAR(10)," ")),INDEX('2 Import devis'!$B$6:$B$29,J15))))</f>
        <v/>
      </c>
      <c r="D15" s="17">
        <f>IF(OR(J15=0,K15=1),"",1)</f>
        <v/>
      </c>
      <c r="E15" s="17">
        <f>IF(OR(J15=0,K15=1),"",IF(L15&gt;0,IF(N(INDEX('3 Catalogue outils'!$A$6:$AC$5005,L15,22))=0,IF(ISTEXT(INDEX('3 Catalogue outils'!$A$6:$AC$5005,L15,22)),INDEX('3 Catalogue outils'!$A$6:$AC$5005,L15,22),"FR"),"FR"),"FR"))</f>
        <v/>
      </c>
      <c r="F15" s="18">
        <f>IF(L15&gt;0,IF(N(INDEX('3 Catalogue outils'!$A$6:$AC$5005,L15,3))=0,"",ROUND(INDEX('3 Catalogue outils'!$A$6:$AC$5005,L15,3),1)),"")</f>
        <v/>
      </c>
      <c r="G15" s="19">
        <f>IF(OR(D15="",INDEX('2 Import devis'!$G$6:$G$29,J15)=""),"",INDEX('2 Import devis'!$G$6:$G$29,J15))</f>
        <v/>
      </c>
      <c r="I15" s="13">
        <f>IF(J15=0,0,1)</f>
        <v/>
      </c>
      <c r="J15" s="13">
        <f>IF(1&gt;MAX('2 Import devis'!$L$6:$L$29),0,COUNTIF('2 Import devis'!$L$6:$L$29,"&lt;"&amp;1)+1)</f>
        <v/>
      </c>
      <c r="K15" s="13">
        <f>IF(J15=0,0,IF(N(INDEX('2 Import devis'!$C$6:$C$29,J15))=0,1,0))</f>
        <v/>
      </c>
      <c r="L15" s="13">
        <f>IF(OR(J15=0,K15=1,B15=""),0,IFERROR(MATCH(B15,'3 Catalogue outils'!$A$6:$A$5005,0),0))</f>
        <v/>
      </c>
      <c r="M15" s="20">
        <f>IF(L15&gt;0,IF(INDEX('3 Catalogue outils'!$A$6:$AC$5005,L15,20)=0,"",INDEX('3 Catalogue outils'!$A$6:$AC$5005,L15,20)),"")</f>
        <v/>
      </c>
      <c r="N15" s="20">
        <f>IF(L15&gt;0,IF(INDEX('3 Catalogue outils'!$A$6:$AC$5005,L15,23)=0,"",INDEX('3 Catalogue outils'!$A$6:$AC$5005,L15,23)),"")</f>
        <v/>
      </c>
      <c r="O15" s="21">
        <f>IF(L15&gt;0,IF(INDEX('3 Catalogue outils'!$A$6:$AC$5005,L15,4)=0,"",INDEX('3 Catalogue outils'!$A$6:$AC$5005,L15,4)),"")</f>
        <v/>
      </c>
      <c r="P15" s="20">
        <f>IF(L15&gt;0,IF(INDEX('3 Catalogue outils'!$A$6:$AC$5005,L15,5)=0,"",INDEX('3 Catalogue outils'!$A$6:$AC$5005,L15,5)),"")</f>
        <v/>
      </c>
    </row>
    <row r="16" ht="26" customHeight="1">
      <c r="A16" s="15">
        <f>IF(OR(J16=0,K16=1),"",COUNTIF(K$15:K16,0)-COUNTIF(J$15:J16,0))</f>
        <v/>
      </c>
      <c r="B16" s="15" t="n">
        <v>8020008</v>
      </c>
      <c r="C16" s="16">
        <f>IF(J16=0,"",IF(K16=1,UPPER(INDEX('2 Import devis'!$B$6:$B$29,J16)),IF(L16&gt;0,TRIM(SUBSTITUTE(INDEX('3 Catalogue outils'!$A$6:$AC$5005,L16,2),CHAR(10)," ")),INDEX('2 Import devis'!$B$6:$B$29,J16))))</f>
        <v/>
      </c>
      <c r="D16" s="17">
        <f>IF(OR(J16=0,K16=1),"",1)</f>
        <v/>
      </c>
      <c r="E16" s="17">
        <f>IF(OR(J16=0,K16=1),"",IF(L16&gt;0,IF(N(INDEX('3 Catalogue outils'!$A$6:$AC$5005,L16,22))=0,IF(ISTEXT(INDEX('3 Catalogue outils'!$A$6:$AC$5005,L16,22)),INDEX('3 Catalogue outils'!$A$6:$AC$5005,L16,22),"FR"),"FR"),"FR"))</f>
        <v/>
      </c>
      <c r="F16" s="18">
        <f>IF(L16&gt;0,IF(N(INDEX('3 Catalogue outils'!$A$6:$AC$5005,L16,3))=0,"",ROUND(INDEX('3 Catalogue outils'!$A$6:$AC$5005,L16,3),1)),"")</f>
        <v/>
      </c>
      <c r="G16" s="19">
        <f>IF(OR(D16="",INDEX('2 Import devis'!$G$6:$G$29,J16)=""),"",INDEX('2 Import devis'!$G$6:$G$29,J16))</f>
        <v/>
      </c>
      <c r="I16" s="13">
        <f>IF(J16=0,0,1)</f>
        <v/>
      </c>
      <c r="J16" s="13">
        <f>IF(2&gt;MAX('2 Import devis'!$L$6:$L$29),0,COUNTIF('2 Import devis'!$L$6:$L$29,"&lt;"&amp;2)+1)</f>
        <v/>
      </c>
      <c r="K16" s="13">
        <f>IF(J16=0,0,IF(N(INDEX('2 Import devis'!$C$6:$C$29,J16))=0,1,0))</f>
        <v/>
      </c>
      <c r="L16" s="13">
        <f>IF(OR(J16=0,K16=1,B16=""),0,IFERROR(MATCH(B16,'3 Catalogue outils'!$A$6:$A$5005,0),0))</f>
        <v/>
      </c>
      <c r="M16" s="20">
        <f>IF(L16&gt;0,IF(INDEX('3 Catalogue outils'!$A$6:$AC$5005,L16,20)=0,"",INDEX('3 Catalogue outils'!$A$6:$AC$5005,L16,20)),"")</f>
        <v/>
      </c>
      <c r="N16" s="20">
        <f>IF(L16&gt;0,IF(INDEX('3 Catalogue outils'!$A$6:$AC$5005,L16,23)=0,"",INDEX('3 Catalogue outils'!$A$6:$AC$5005,L16,23)),"")</f>
        <v/>
      </c>
      <c r="O16" s="21">
        <f>IF(L16&gt;0,IF(INDEX('3 Catalogue outils'!$A$6:$AC$5005,L16,4)=0,"",INDEX('3 Catalogue outils'!$A$6:$AC$5005,L16,4)),"")</f>
        <v/>
      </c>
      <c r="P16" s="20">
        <f>IF(L16&gt;0,IF(INDEX('3 Catalogue outils'!$A$6:$AC$5005,L16,5)=0,"",INDEX('3 Catalogue outils'!$A$6:$AC$5005,L16,5)),"")</f>
        <v/>
      </c>
    </row>
    <row r="17" ht="26" customHeight="1">
      <c r="A17" s="15">
        <f>IF(OR(J17=0,K17=1),"",COUNTIF(K$15:K17,0)-COUNTIF(J$15:J17,0))</f>
        <v/>
      </c>
      <c r="B17" s="15" t="n">
        <v>7050712</v>
      </c>
      <c r="C17" s="16">
        <f>IF(J17=0,"",IF(K17=1,UPPER(INDEX('2 Import devis'!$B$6:$B$29,J17)),IF(L17&gt;0,TRIM(SUBSTITUTE(INDEX('3 Catalogue outils'!$A$6:$AC$5005,L17,2),CHAR(10)," ")),INDEX('2 Import devis'!$B$6:$B$29,J17))))</f>
        <v/>
      </c>
      <c r="D17" s="17">
        <f>IF(OR(J17=0,K17=1),"",1)</f>
        <v/>
      </c>
      <c r="E17" s="17">
        <f>IF(OR(J17=0,K17=1),"",IF(L17&gt;0,IF(N(INDEX('3 Catalogue outils'!$A$6:$AC$5005,L17,22))=0,IF(ISTEXT(INDEX('3 Catalogue outils'!$A$6:$AC$5005,L17,22)),INDEX('3 Catalogue outils'!$A$6:$AC$5005,L17,22),"FR"),"FR"),"FR"))</f>
        <v/>
      </c>
      <c r="F17" s="18">
        <f>IF(L17&gt;0,IF(N(INDEX('3 Catalogue outils'!$A$6:$AC$5005,L17,3))=0,"",ROUND(INDEX('3 Catalogue outils'!$A$6:$AC$5005,L17,3),1)),"")</f>
        <v/>
      </c>
      <c r="G17" s="19">
        <f>IF(OR(D17="",INDEX('2 Import devis'!$G$6:$G$29,J17)=""),"",INDEX('2 Import devis'!$G$6:$G$29,J17))</f>
        <v/>
      </c>
      <c r="I17" s="13">
        <f>IF(J17=0,0,1)</f>
        <v/>
      </c>
      <c r="J17" s="13">
        <f>IF(3&gt;MAX('2 Import devis'!$L$6:$L$29),0,COUNTIF('2 Import devis'!$L$6:$L$29,"&lt;"&amp;3)+1)</f>
        <v/>
      </c>
      <c r="K17" s="13">
        <f>IF(J17=0,0,IF(N(INDEX('2 Import devis'!$C$6:$C$29,J17))=0,1,0))</f>
        <v/>
      </c>
      <c r="L17" s="13">
        <f>IF(OR(J17=0,K17=1,B17=""),0,IFERROR(MATCH(B17,'3 Catalogue outils'!$A$6:$A$5005,0),0))</f>
        <v/>
      </c>
      <c r="M17" s="20">
        <f>IF(L17&gt;0,IF(INDEX('3 Catalogue outils'!$A$6:$AC$5005,L17,20)=0,"",INDEX('3 Catalogue outils'!$A$6:$AC$5005,L17,20)),"")</f>
        <v/>
      </c>
      <c r="N17" s="20">
        <f>IF(L17&gt;0,IF(INDEX('3 Catalogue outils'!$A$6:$AC$5005,L17,23)=0,"",INDEX('3 Catalogue outils'!$A$6:$AC$5005,L17,23)),"")</f>
        <v/>
      </c>
      <c r="O17" s="21">
        <f>IF(L17&gt;0,IF(INDEX('3 Catalogue outils'!$A$6:$AC$5005,L17,4)=0,"",INDEX('3 Catalogue outils'!$A$6:$AC$5005,L17,4)),"")</f>
        <v/>
      </c>
      <c r="P17" s="20">
        <f>IF(L17&gt;0,IF(INDEX('3 Catalogue outils'!$A$6:$AC$5005,L17,5)=0,"",INDEX('3 Catalogue outils'!$A$6:$AC$5005,L17,5)),"")</f>
        <v/>
      </c>
    </row>
    <row r="18" ht="26" customHeight="1">
      <c r="A18" s="15">
        <f>IF(OR(J18=0,K18=1),"",COUNTIF(K$15:K18,0)-COUNTIF(J$15:J18,0))</f>
        <v/>
      </c>
      <c r="B18" s="15" t="n">
        <v>7050715</v>
      </c>
      <c r="C18" s="16">
        <f>IF(J18=0,"",IF(K18=1,UPPER(INDEX('2 Import devis'!$B$6:$B$29,J18)),IF(L18&gt;0,TRIM(SUBSTITUTE(INDEX('3 Catalogue outils'!$A$6:$AC$5005,L18,2),CHAR(10)," ")),INDEX('2 Import devis'!$B$6:$B$29,J18))))</f>
        <v/>
      </c>
      <c r="D18" s="17">
        <f>IF(OR(J18=0,K18=1),"",1)</f>
        <v/>
      </c>
      <c r="E18" s="17">
        <f>IF(OR(J18=0,K18=1),"",IF(L18&gt;0,IF(N(INDEX('3 Catalogue outils'!$A$6:$AC$5005,L18,22))=0,IF(ISTEXT(INDEX('3 Catalogue outils'!$A$6:$AC$5005,L18,22)),INDEX('3 Catalogue outils'!$A$6:$AC$5005,L18,22),"FR"),"FR"),"FR"))</f>
        <v/>
      </c>
      <c r="F18" s="18">
        <f>IF(L18&gt;0,IF(N(INDEX('3 Catalogue outils'!$A$6:$AC$5005,L18,3))=0,"",ROUND(INDEX('3 Catalogue outils'!$A$6:$AC$5005,L18,3),1)),"")</f>
        <v/>
      </c>
      <c r="G18" s="19">
        <f>IF(OR(D18="",INDEX('2 Import devis'!$G$6:$G$29,J18)=""),"",INDEX('2 Import devis'!$G$6:$G$29,J18))</f>
        <v/>
      </c>
      <c r="I18" s="13">
        <f>IF(J18=0,0,1)</f>
        <v/>
      </c>
      <c r="J18" s="13">
        <f>IF(4&gt;MAX('2 Import devis'!$L$6:$L$29),0,COUNTIF('2 Import devis'!$L$6:$L$29,"&lt;"&amp;4)+1)</f>
        <v/>
      </c>
      <c r="K18" s="13">
        <f>IF(J18=0,0,IF(N(INDEX('2 Import devis'!$C$6:$C$29,J18))=0,1,0))</f>
        <v/>
      </c>
      <c r="L18" s="13">
        <f>IF(OR(J18=0,K18=1,B18=""),0,IFERROR(MATCH(B18,'3 Catalogue outils'!$A$6:$A$5005,0),0))</f>
        <v/>
      </c>
      <c r="M18" s="20">
        <f>IF(L18&gt;0,IF(INDEX('3 Catalogue outils'!$A$6:$AC$5005,L18,20)=0,"",INDEX('3 Catalogue outils'!$A$6:$AC$5005,L18,20)),"")</f>
        <v/>
      </c>
      <c r="N18" s="20">
        <f>IF(L18&gt;0,IF(INDEX('3 Catalogue outils'!$A$6:$AC$5005,L18,23)=0,"",INDEX('3 Catalogue outils'!$A$6:$AC$5005,L18,23)),"")</f>
        <v/>
      </c>
      <c r="O18" s="21">
        <f>IF(L18&gt;0,IF(INDEX('3 Catalogue outils'!$A$6:$AC$5005,L18,4)=0,"",INDEX('3 Catalogue outils'!$A$6:$AC$5005,L18,4)),"")</f>
        <v/>
      </c>
      <c r="P18" s="20">
        <f>IF(L18&gt;0,IF(INDEX('3 Catalogue outils'!$A$6:$AC$5005,L18,5)=0,"",INDEX('3 Catalogue outils'!$A$6:$AC$5005,L18,5)),"")</f>
        <v/>
      </c>
    </row>
    <row r="19" ht="26" customHeight="1">
      <c r="A19" s="15">
        <f>IF(OR(J19=0,K19=1),"",COUNTIF(K$15:K19,0)-COUNTIF(J$15:J19,0))</f>
        <v/>
      </c>
      <c r="B19" s="15" t="n">
        <v>7050715</v>
      </c>
      <c r="C19" s="16">
        <f>IF(J19=0,"",IF(K19=1,UPPER(INDEX('2 Import devis'!$B$6:$B$29,J19)),IF(L19&gt;0,TRIM(SUBSTITUTE(INDEX('3 Catalogue outils'!$A$6:$AC$5005,L19,2),CHAR(10)," ")),INDEX('2 Import devis'!$B$6:$B$29,J19))))</f>
        <v/>
      </c>
      <c r="D19" s="17">
        <f>IF(OR(J19=0,K19=1),"",1)</f>
        <v/>
      </c>
      <c r="E19" s="17">
        <f>IF(OR(J19=0,K19=1),"",IF(L19&gt;0,IF(N(INDEX('3 Catalogue outils'!$A$6:$AC$5005,L19,22))=0,IF(ISTEXT(INDEX('3 Catalogue outils'!$A$6:$AC$5005,L19,22)),INDEX('3 Catalogue outils'!$A$6:$AC$5005,L19,22),"FR"),"FR"),"FR"))</f>
        <v/>
      </c>
      <c r="F19" s="18">
        <f>IF(L19&gt;0,IF(N(INDEX('3 Catalogue outils'!$A$6:$AC$5005,L19,3))=0,"",ROUND(INDEX('3 Catalogue outils'!$A$6:$AC$5005,L19,3),1)),"")</f>
        <v/>
      </c>
      <c r="G19" s="19">
        <f>IF(OR(D19="",INDEX('2 Import devis'!$G$6:$G$29,J19)=""),"",INDEX('2 Import devis'!$G$6:$G$29,J19))</f>
        <v/>
      </c>
      <c r="I19" s="13">
        <f>IF(J19=0,0,1)</f>
        <v/>
      </c>
      <c r="J19" s="13">
        <f>IF(5&gt;MAX('2 Import devis'!$L$6:$L$29),0,COUNTIF('2 Import devis'!$L$6:$L$29,"&lt;"&amp;5)+1)</f>
        <v/>
      </c>
      <c r="K19" s="13">
        <f>IF(J19=0,0,IF(N(INDEX('2 Import devis'!$C$6:$C$29,J19))=0,1,0))</f>
        <v/>
      </c>
      <c r="L19" s="13">
        <f>IF(OR(J19=0,K19=1,B19=""),0,IFERROR(MATCH(B19,'3 Catalogue outils'!$A$6:$A$5005,0),0))</f>
        <v/>
      </c>
      <c r="M19" s="20">
        <f>IF(L19&gt;0,IF(INDEX('3 Catalogue outils'!$A$6:$AC$5005,L19,20)=0,"",INDEX('3 Catalogue outils'!$A$6:$AC$5005,L19,20)),"")</f>
        <v/>
      </c>
      <c r="N19" s="20">
        <f>IF(L19&gt;0,IF(INDEX('3 Catalogue outils'!$A$6:$AC$5005,L19,23)=0,"",INDEX('3 Catalogue outils'!$A$6:$AC$5005,L19,23)),"")</f>
        <v/>
      </c>
      <c r="O19" s="21">
        <f>IF(L19&gt;0,IF(INDEX('3 Catalogue outils'!$A$6:$AC$5005,L19,4)=0,"",INDEX('3 Catalogue outils'!$A$6:$AC$5005,L19,4)),"")</f>
        <v/>
      </c>
      <c r="P19" s="20">
        <f>IF(L19&gt;0,IF(INDEX('3 Catalogue outils'!$A$6:$AC$5005,L19,5)=0,"",INDEX('3 Catalogue outils'!$A$6:$AC$5005,L19,5)),"")</f>
        <v/>
      </c>
    </row>
    <row r="20" hidden="1" ht="26" customHeight="1">
      <c r="A20" s="15">
        <f>IF(OR(J20=0,K20=1),"",COUNTIF(K$15:K20,0)-COUNTIF(J$15:J20,0))</f>
        <v/>
      </c>
      <c r="B20" s="15" t="n"/>
      <c r="C20" s="16">
        <f>IF(J20=0,"",IF(K20=1,UPPER(INDEX('2 Import devis'!$B$6:$B$29,J20)),IF(L20&gt;0,TRIM(SUBSTITUTE(INDEX('3 Catalogue outils'!$A$6:$AC$5005,L20,2),CHAR(10)," ")),INDEX('2 Import devis'!$B$6:$B$29,J20))))</f>
        <v/>
      </c>
      <c r="D20" s="17">
        <f>IF(OR(J20=0,K20=1),"",1)</f>
        <v/>
      </c>
      <c r="E20" s="17">
        <f>IF(OR(J20=0,K20=1),"",IF(L20&gt;0,IF(N(INDEX('3 Catalogue outils'!$A$6:$AC$5005,L20,22))=0,IF(ISTEXT(INDEX('3 Catalogue outils'!$A$6:$AC$5005,L20,22)),INDEX('3 Catalogue outils'!$A$6:$AC$5005,L20,22),"FR"),"FR"),"FR"))</f>
        <v/>
      </c>
      <c r="F20" s="18">
        <f>IF(L20&gt;0,IF(N(INDEX('3 Catalogue outils'!$A$6:$AC$5005,L20,3))=0,"",ROUND(INDEX('3 Catalogue outils'!$A$6:$AC$5005,L20,3),1)),"")</f>
        <v/>
      </c>
      <c r="G20" s="19">
        <f>IF(OR(D20="",INDEX('2 Import devis'!$G$6:$G$29,J20)=""),"",INDEX('2 Import devis'!$G$6:$G$29,J20))</f>
        <v/>
      </c>
      <c r="I20" s="13">
        <f>IF(J20=0,0,1)</f>
        <v/>
      </c>
      <c r="J20" s="13">
        <f>IF(6&gt;MAX('2 Import devis'!$L$6:$L$29),0,COUNTIF('2 Import devis'!$L$6:$L$29,"&lt;"&amp;6)+1)</f>
        <v/>
      </c>
      <c r="K20" s="13">
        <f>IF(J20=0,0,IF(N(INDEX('2 Import devis'!$C$6:$C$29,J20))=0,1,0))</f>
        <v/>
      </c>
      <c r="L20" s="13">
        <f>IF(OR(J20=0,K20=1,B20=""),0,IFERROR(MATCH(B20,'3 Catalogue outils'!$A$6:$A$5005,0),0))</f>
        <v/>
      </c>
      <c r="M20" s="20">
        <f>IF(L20&gt;0,IF(INDEX('3 Catalogue outils'!$A$6:$AC$5005,L20,20)=0,"",INDEX('3 Catalogue outils'!$A$6:$AC$5005,L20,20)),"")</f>
        <v/>
      </c>
      <c r="N20" s="20">
        <f>IF(L20&gt;0,IF(INDEX('3 Catalogue outils'!$A$6:$AC$5005,L20,23)=0,"",INDEX('3 Catalogue outils'!$A$6:$AC$5005,L20,23)),"")</f>
        <v/>
      </c>
      <c r="O20" s="21">
        <f>IF(L20&gt;0,IF(INDEX('3 Catalogue outils'!$A$6:$AC$5005,L20,4)=0,"",INDEX('3 Catalogue outils'!$A$6:$AC$5005,L20,4)),"")</f>
        <v/>
      </c>
      <c r="P20" s="20">
        <f>IF(L20&gt;0,IF(INDEX('3 Catalogue outils'!$A$6:$AC$5005,L20,5)=0,"",INDEX('3 Catalogue outils'!$A$6:$AC$5005,L20,5)),"")</f>
        <v/>
      </c>
    </row>
    <row r="21" hidden="1" ht="26" customHeight="1">
      <c r="A21" s="15">
        <f>IF(OR(J21=0,K21=1),"",COUNTIF(K$15:K21,0)-COUNTIF(J$15:J21,0))</f>
        <v/>
      </c>
      <c r="B21" s="15" t="n"/>
      <c r="C21" s="16">
        <f>IF(J21=0,"",IF(K21=1,UPPER(INDEX('2 Import devis'!$B$6:$B$29,J21)),IF(L21&gt;0,TRIM(SUBSTITUTE(INDEX('3 Catalogue outils'!$A$6:$AC$5005,L21,2),CHAR(10)," ")),INDEX('2 Import devis'!$B$6:$B$29,J21))))</f>
        <v/>
      </c>
      <c r="D21" s="17">
        <f>IF(OR(J21=0,K21=1),"",1)</f>
        <v/>
      </c>
      <c r="E21" s="17">
        <f>IF(OR(J21=0,K21=1),"",IF(L21&gt;0,IF(N(INDEX('3 Catalogue outils'!$A$6:$AC$5005,L21,22))=0,IF(ISTEXT(INDEX('3 Catalogue outils'!$A$6:$AC$5005,L21,22)),INDEX('3 Catalogue outils'!$A$6:$AC$5005,L21,22),"FR"),"FR"),"FR"))</f>
        <v/>
      </c>
      <c r="F21" s="18">
        <f>IF(L21&gt;0,IF(N(INDEX('3 Catalogue outils'!$A$6:$AC$5005,L21,3))=0,"",ROUND(INDEX('3 Catalogue outils'!$A$6:$AC$5005,L21,3),1)),"")</f>
        <v/>
      </c>
      <c r="G21" s="19">
        <f>IF(OR(D21="",INDEX('2 Import devis'!$G$6:$G$29,J21)=""),"",INDEX('2 Import devis'!$G$6:$G$29,J21))</f>
        <v/>
      </c>
      <c r="I21" s="13">
        <f>IF(J21=0,0,1)</f>
        <v/>
      </c>
      <c r="J21" s="13">
        <f>IF(7&gt;MAX('2 Import devis'!$L$6:$L$29),0,COUNTIF('2 Import devis'!$L$6:$L$29,"&lt;"&amp;7)+1)</f>
        <v/>
      </c>
      <c r="K21" s="13">
        <f>IF(J21=0,0,IF(N(INDEX('2 Import devis'!$C$6:$C$29,J21))=0,1,0))</f>
        <v/>
      </c>
      <c r="L21" s="13">
        <f>IF(OR(J21=0,K21=1,B21=""),0,IFERROR(MATCH(B21,'3 Catalogue outils'!$A$6:$A$5005,0),0))</f>
        <v/>
      </c>
      <c r="M21" s="20">
        <f>IF(L21&gt;0,IF(INDEX('3 Catalogue outils'!$A$6:$AC$5005,L21,20)=0,"",INDEX('3 Catalogue outils'!$A$6:$AC$5005,L21,20)),"")</f>
        <v/>
      </c>
      <c r="N21" s="20">
        <f>IF(L21&gt;0,IF(INDEX('3 Catalogue outils'!$A$6:$AC$5005,L21,23)=0,"",INDEX('3 Catalogue outils'!$A$6:$AC$5005,L21,23)),"")</f>
        <v/>
      </c>
      <c r="O21" s="21">
        <f>IF(L21&gt;0,IF(INDEX('3 Catalogue outils'!$A$6:$AC$5005,L21,4)=0,"",INDEX('3 Catalogue outils'!$A$6:$AC$5005,L21,4)),"")</f>
        <v/>
      </c>
      <c r="P21" s="20">
        <f>IF(L21&gt;0,IF(INDEX('3 Catalogue outils'!$A$6:$AC$5005,L21,5)=0,"",INDEX('3 Catalogue outils'!$A$6:$AC$5005,L21,5)),"")</f>
        <v/>
      </c>
    </row>
    <row r="22" hidden="1" ht="26" customHeight="1">
      <c r="A22" s="15">
        <f>IF(OR(J22=0,K22=1),"",COUNTIF(K$15:K22,0)-COUNTIF(J$15:J22,0))</f>
        <v/>
      </c>
      <c r="B22" s="15" t="n"/>
      <c r="C22" s="16">
        <f>IF(J22=0,"",IF(K22=1,UPPER(INDEX('2 Import devis'!$B$6:$B$29,J22)),IF(L22&gt;0,TRIM(SUBSTITUTE(INDEX('3 Catalogue outils'!$A$6:$AC$5005,L22,2),CHAR(10)," ")),INDEX('2 Import devis'!$B$6:$B$29,J22))))</f>
        <v/>
      </c>
      <c r="D22" s="17">
        <f>IF(OR(J22=0,K22=1),"",1)</f>
        <v/>
      </c>
      <c r="E22" s="17">
        <f>IF(OR(J22=0,K22=1),"",IF(L22&gt;0,IF(N(INDEX('3 Catalogue outils'!$A$6:$AC$5005,L22,22))=0,IF(ISTEXT(INDEX('3 Catalogue outils'!$A$6:$AC$5005,L22,22)),INDEX('3 Catalogue outils'!$A$6:$AC$5005,L22,22),"FR"),"FR"),"FR"))</f>
        <v/>
      </c>
      <c r="F22" s="18">
        <f>IF(L22&gt;0,IF(N(INDEX('3 Catalogue outils'!$A$6:$AC$5005,L22,3))=0,"",ROUND(INDEX('3 Catalogue outils'!$A$6:$AC$5005,L22,3),1)),"")</f>
        <v/>
      </c>
      <c r="G22" s="19">
        <f>IF(OR(D22="",INDEX('2 Import devis'!$G$6:$G$29,J22)=""),"",INDEX('2 Import devis'!$G$6:$G$29,J22))</f>
        <v/>
      </c>
      <c r="I22" s="13">
        <f>IF(J22=0,0,1)</f>
        <v/>
      </c>
      <c r="J22" s="13">
        <f>IF(8&gt;MAX('2 Import devis'!$L$6:$L$29),0,COUNTIF('2 Import devis'!$L$6:$L$29,"&lt;"&amp;8)+1)</f>
        <v/>
      </c>
      <c r="K22" s="13">
        <f>IF(J22=0,0,IF(N(INDEX('2 Import devis'!$C$6:$C$29,J22))=0,1,0))</f>
        <v/>
      </c>
      <c r="L22" s="13">
        <f>IF(OR(J22=0,K22=1,B22=""),0,IFERROR(MATCH(B22,'3 Catalogue outils'!$A$6:$A$5005,0),0))</f>
        <v/>
      </c>
      <c r="M22" s="20">
        <f>IF(L22&gt;0,IF(INDEX('3 Catalogue outils'!$A$6:$AC$5005,L22,20)=0,"",INDEX('3 Catalogue outils'!$A$6:$AC$5005,L22,20)),"")</f>
        <v/>
      </c>
      <c r="N22" s="20">
        <f>IF(L22&gt;0,IF(INDEX('3 Catalogue outils'!$A$6:$AC$5005,L22,23)=0,"",INDEX('3 Catalogue outils'!$A$6:$AC$5005,L22,23)),"")</f>
        <v/>
      </c>
      <c r="O22" s="21">
        <f>IF(L22&gt;0,IF(INDEX('3 Catalogue outils'!$A$6:$AC$5005,L22,4)=0,"",INDEX('3 Catalogue outils'!$A$6:$AC$5005,L22,4)),"")</f>
        <v/>
      </c>
      <c r="P22" s="20">
        <f>IF(L22&gt;0,IF(INDEX('3 Catalogue outils'!$A$6:$AC$5005,L22,5)=0,"",INDEX('3 Catalogue outils'!$A$6:$AC$5005,L22,5)),"")</f>
        <v/>
      </c>
    </row>
    <row r="23" hidden="1" ht="26" customHeight="1">
      <c r="A23" s="15">
        <f>IF(OR(J23=0,K23=1),"",COUNTIF(K$15:K23,0)-COUNTIF(J$15:J23,0))</f>
        <v/>
      </c>
      <c r="B23" s="15" t="n"/>
      <c r="C23" s="16">
        <f>IF(J23=0,"",IF(K23=1,UPPER(INDEX('2 Import devis'!$B$6:$B$29,J23)),IF(L23&gt;0,TRIM(SUBSTITUTE(INDEX('3 Catalogue outils'!$A$6:$AC$5005,L23,2),CHAR(10)," ")),INDEX('2 Import devis'!$B$6:$B$29,J23))))</f>
        <v/>
      </c>
      <c r="D23" s="17">
        <f>IF(OR(J23=0,K23=1),"",1)</f>
        <v/>
      </c>
      <c r="E23" s="17">
        <f>IF(OR(J23=0,K23=1),"",IF(L23&gt;0,IF(N(INDEX('3 Catalogue outils'!$A$6:$AC$5005,L23,22))=0,IF(ISTEXT(INDEX('3 Catalogue outils'!$A$6:$AC$5005,L23,22)),INDEX('3 Catalogue outils'!$A$6:$AC$5005,L23,22),"FR"),"FR"),"FR"))</f>
        <v/>
      </c>
      <c r="F23" s="18">
        <f>IF(L23&gt;0,IF(N(INDEX('3 Catalogue outils'!$A$6:$AC$5005,L23,3))=0,"",ROUND(INDEX('3 Catalogue outils'!$A$6:$AC$5005,L23,3),1)),"")</f>
        <v/>
      </c>
      <c r="G23" s="19">
        <f>IF(OR(D23="",INDEX('2 Import devis'!$G$6:$G$29,J23)=""),"",INDEX('2 Import devis'!$G$6:$G$29,J23))</f>
        <v/>
      </c>
      <c r="I23" s="13">
        <f>IF(J23=0,0,1)</f>
        <v/>
      </c>
      <c r="J23" s="13">
        <f>IF(9&gt;MAX('2 Import devis'!$L$6:$L$29),0,COUNTIF('2 Import devis'!$L$6:$L$29,"&lt;"&amp;9)+1)</f>
        <v/>
      </c>
      <c r="K23" s="13">
        <f>IF(J23=0,0,IF(N(INDEX('2 Import devis'!$C$6:$C$29,J23))=0,1,0))</f>
        <v/>
      </c>
      <c r="L23" s="13">
        <f>IF(OR(J23=0,K23=1,B23=""),0,IFERROR(MATCH(B23,'3 Catalogue outils'!$A$6:$A$5005,0),0))</f>
        <v/>
      </c>
      <c r="M23" s="20">
        <f>IF(L23&gt;0,IF(INDEX('3 Catalogue outils'!$A$6:$AC$5005,L23,20)=0,"",INDEX('3 Catalogue outils'!$A$6:$AC$5005,L23,20)),"")</f>
        <v/>
      </c>
      <c r="N23" s="20">
        <f>IF(L23&gt;0,IF(INDEX('3 Catalogue outils'!$A$6:$AC$5005,L23,23)=0,"",INDEX('3 Catalogue outils'!$A$6:$AC$5005,L23,23)),"")</f>
        <v/>
      </c>
      <c r="O23" s="21">
        <f>IF(L23&gt;0,IF(INDEX('3 Catalogue outils'!$A$6:$AC$5005,L23,4)=0,"",INDEX('3 Catalogue outils'!$A$6:$AC$5005,L23,4)),"")</f>
        <v/>
      </c>
      <c r="P23" s="20">
        <f>IF(L23&gt;0,IF(INDEX('3 Catalogue outils'!$A$6:$AC$5005,L23,5)=0,"",INDEX('3 Catalogue outils'!$A$6:$AC$5005,L23,5)),"")</f>
        <v/>
      </c>
    </row>
    <row r="24" hidden="1" ht="26" customHeight="1">
      <c r="A24" s="15">
        <f>IF(OR(J24=0,K24=1),"",COUNTIF(K$15:K24,0)-COUNTIF(J$15:J24,0))</f>
        <v/>
      </c>
      <c r="B24" s="15" t="n"/>
      <c r="C24" s="16">
        <f>IF(J24=0,"",IF(K24=1,UPPER(INDEX('2 Import devis'!$B$6:$B$29,J24)),IF(L24&gt;0,TRIM(SUBSTITUTE(INDEX('3 Catalogue outils'!$A$6:$AC$5005,L24,2),CHAR(10)," ")),INDEX('2 Import devis'!$B$6:$B$29,J24))))</f>
        <v/>
      </c>
      <c r="D24" s="17">
        <f>IF(OR(J24=0,K24=1),"",1)</f>
        <v/>
      </c>
      <c r="E24" s="17">
        <f>IF(OR(J24=0,K24=1),"",IF(L24&gt;0,IF(N(INDEX('3 Catalogue outils'!$A$6:$AC$5005,L24,22))=0,IF(ISTEXT(INDEX('3 Catalogue outils'!$A$6:$AC$5005,L24,22)),INDEX('3 Catalogue outils'!$A$6:$AC$5005,L24,22),"FR"),"FR"),"FR"))</f>
        <v/>
      </c>
      <c r="F24" s="18">
        <f>IF(L24&gt;0,IF(N(INDEX('3 Catalogue outils'!$A$6:$AC$5005,L24,3))=0,"",ROUND(INDEX('3 Catalogue outils'!$A$6:$AC$5005,L24,3),1)),"")</f>
        <v/>
      </c>
      <c r="G24" s="19">
        <f>IF(OR(D24="",INDEX('2 Import devis'!$G$6:$G$29,J24)=""),"",INDEX('2 Import devis'!$G$6:$G$29,J24))</f>
        <v/>
      </c>
      <c r="I24" s="13">
        <f>IF(J24=0,0,1)</f>
        <v/>
      </c>
      <c r="J24" s="13">
        <f>IF(10&gt;MAX('2 Import devis'!$L$6:$L$29),0,COUNTIF('2 Import devis'!$L$6:$L$29,"&lt;"&amp;10)+1)</f>
        <v/>
      </c>
      <c r="K24" s="13">
        <f>IF(J24=0,0,IF(N(INDEX('2 Import devis'!$C$6:$C$29,J24))=0,1,0))</f>
        <v/>
      </c>
      <c r="L24" s="13">
        <f>IF(OR(J24=0,K24=1,B24=""),0,IFERROR(MATCH(B24,'3 Catalogue outils'!$A$6:$A$5005,0),0))</f>
        <v/>
      </c>
      <c r="M24" s="20">
        <f>IF(L24&gt;0,IF(INDEX('3 Catalogue outils'!$A$6:$AC$5005,L24,20)=0,"",INDEX('3 Catalogue outils'!$A$6:$AC$5005,L24,20)),"")</f>
        <v/>
      </c>
      <c r="N24" s="20">
        <f>IF(L24&gt;0,IF(INDEX('3 Catalogue outils'!$A$6:$AC$5005,L24,23)=0,"",INDEX('3 Catalogue outils'!$A$6:$AC$5005,L24,23)),"")</f>
        <v/>
      </c>
      <c r="O24" s="21">
        <f>IF(L24&gt;0,IF(INDEX('3 Catalogue outils'!$A$6:$AC$5005,L24,4)=0,"",INDEX('3 Catalogue outils'!$A$6:$AC$5005,L24,4)),"")</f>
        <v/>
      </c>
      <c r="P24" s="20">
        <f>IF(L24&gt;0,IF(INDEX('3 Catalogue outils'!$A$6:$AC$5005,L24,5)=0,"",INDEX('3 Catalogue outils'!$A$6:$AC$5005,L24,5)),"")</f>
        <v/>
      </c>
    </row>
    <row r="25" hidden="1" ht="26" customHeight="1">
      <c r="A25" s="15">
        <f>IF(OR(J25=0,K25=1),"",COUNTIF(K$15:K25,0)-COUNTIF(J$15:J25,0))</f>
        <v/>
      </c>
      <c r="B25" s="15" t="n"/>
      <c r="C25" s="16">
        <f>IF(J25=0,"",IF(K25=1,UPPER(INDEX('2 Import devis'!$B$6:$B$29,J25)),IF(L25&gt;0,TRIM(SUBSTITUTE(INDEX('3 Catalogue outils'!$A$6:$AC$5005,L25,2),CHAR(10)," ")),INDEX('2 Import devis'!$B$6:$B$29,J25))))</f>
        <v/>
      </c>
      <c r="D25" s="17">
        <f>IF(OR(J25=0,K25=1),"",1)</f>
        <v/>
      </c>
      <c r="E25" s="17">
        <f>IF(OR(J25=0,K25=1),"",IF(L25&gt;0,IF(N(INDEX('3 Catalogue outils'!$A$6:$AC$5005,L25,22))=0,IF(ISTEXT(INDEX('3 Catalogue outils'!$A$6:$AC$5005,L25,22)),INDEX('3 Catalogue outils'!$A$6:$AC$5005,L25,22),"FR"),"FR"),"FR"))</f>
        <v/>
      </c>
      <c r="F25" s="18">
        <f>IF(L25&gt;0,IF(N(INDEX('3 Catalogue outils'!$A$6:$AC$5005,L25,3))=0,"",ROUND(INDEX('3 Catalogue outils'!$A$6:$AC$5005,L25,3),1)),"")</f>
        <v/>
      </c>
      <c r="G25" s="19">
        <f>IF(OR(D25="",INDEX('2 Import devis'!$G$6:$G$29,J25)=""),"",INDEX('2 Import devis'!$G$6:$G$29,J25))</f>
        <v/>
      </c>
      <c r="I25" s="13">
        <f>IF(J25=0,0,1)</f>
        <v/>
      </c>
      <c r="J25" s="13">
        <f>IF(11&gt;MAX('2 Import devis'!$L$6:$L$29),0,COUNTIF('2 Import devis'!$L$6:$L$29,"&lt;"&amp;11)+1)</f>
        <v/>
      </c>
      <c r="K25" s="13">
        <f>IF(J25=0,0,IF(N(INDEX('2 Import devis'!$C$6:$C$29,J25))=0,1,0))</f>
        <v/>
      </c>
      <c r="L25" s="13">
        <f>IF(OR(J25=0,K25=1,B25=""),0,IFERROR(MATCH(B25,'3 Catalogue outils'!$A$6:$A$5005,0),0))</f>
        <v/>
      </c>
      <c r="M25" s="20">
        <f>IF(L25&gt;0,IF(INDEX('3 Catalogue outils'!$A$6:$AC$5005,L25,20)=0,"",INDEX('3 Catalogue outils'!$A$6:$AC$5005,L25,20)),"")</f>
        <v/>
      </c>
      <c r="N25" s="20">
        <f>IF(L25&gt;0,IF(INDEX('3 Catalogue outils'!$A$6:$AC$5005,L25,23)=0,"",INDEX('3 Catalogue outils'!$A$6:$AC$5005,L25,23)),"")</f>
        <v/>
      </c>
      <c r="O25" s="21">
        <f>IF(L25&gt;0,IF(INDEX('3 Catalogue outils'!$A$6:$AC$5005,L25,4)=0,"",INDEX('3 Catalogue outils'!$A$6:$AC$5005,L25,4)),"")</f>
        <v/>
      </c>
      <c r="P25" s="20">
        <f>IF(L25&gt;0,IF(INDEX('3 Catalogue outils'!$A$6:$AC$5005,L25,5)=0,"",INDEX('3 Catalogue outils'!$A$6:$AC$5005,L25,5)),"")</f>
        <v/>
      </c>
    </row>
    <row r="26" hidden="1" ht="26" customHeight="1">
      <c r="A26" s="15">
        <f>IF(OR(J26=0,K26=1),"",COUNTIF(K$15:K26,0)-COUNTIF(J$15:J26,0))</f>
        <v/>
      </c>
      <c r="B26" s="15" t="n"/>
      <c r="C26" s="16">
        <f>IF(J26=0,"",IF(K26=1,UPPER(INDEX('2 Import devis'!$B$6:$B$29,J26)),IF(L26&gt;0,TRIM(SUBSTITUTE(INDEX('3 Catalogue outils'!$A$6:$AC$5005,L26,2),CHAR(10)," ")),INDEX('2 Import devis'!$B$6:$B$29,J26))))</f>
        <v/>
      </c>
      <c r="D26" s="17">
        <f>IF(OR(J26=0,K26=1),"",1)</f>
        <v/>
      </c>
      <c r="E26" s="17">
        <f>IF(OR(J26=0,K26=1),"",IF(L26&gt;0,IF(N(INDEX('3 Catalogue outils'!$A$6:$AC$5005,L26,22))=0,IF(ISTEXT(INDEX('3 Catalogue outils'!$A$6:$AC$5005,L26,22)),INDEX('3 Catalogue outils'!$A$6:$AC$5005,L26,22),"FR"),"FR"),"FR"))</f>
        <v/>
      </c>
      <c r="F26" s="18">
        <f>IF(L26&gt;0,IF(N(INDEX('3 Catalogue outils'!$A$6:$AC$5005,L26,3))=0,"",ROUND(INDEX('3 Catalogue outils'!$A$6:$AC$5005,L26,3),1)),"")</f>
        <v/>
      </c>
      <c r="G26" s="19">
        <f>IF(OR(D26="",INDEX('2 Import devis'!$G$6:$G$29,J26)=""),"",INDEX('2 Import devis'!$G$6:$G$29,J26))</f>
        <v/>
      </c>
      <c r="I26" s="13">
        <f>IF(J26=0,0,1)</f>
        <v/>
      </c>
      <c r="J26" s="13">
        <f>IF(12&gt;MAX('2 Import devis'!$L$6:$L$29),0,COUNTIF('2 Import devis'!$L$6:$L$29,"&lt;"&amp;12)+1)</f>
        <v/>
      </c>
      <c r="K26" s="13">
        <f>IF(J26=0,0,IF(N(INDEX('2 Import devis'!$C$6:$C$29,J26))=0,1,0))</f>
        <v/>
      </c>
      <c r="L26" s="13">
        <f>IF(OR(J26=0,K26=1,B26=""),0,IFERROR(MATCH(B26,'3 Catalogue outils'!$A$6:$A$5005,0),0))</f>
        <v/>
      </c>
      <c r="M26" s="20">
        <f>IF(L26&gt;0,IF(INDEX('3 Catalogue outils'!$A$6:$AC$5005,L26,20)=0,"",INDEX('3 Catalogue outils'!$A$6:$AC$5005,L26,20)),"")</f>
        <v/>
      </c>
      <c r="N26" s="20">
        <f>IF(L26&gt;0,IF(INDEX('3 Catalogue outils'!$A$6:$AC$5005,L26,23)=0,"",INDEX('3 Catalogue outils'!$A$6:$AC$5005,L26,23)),"")</f>
        <v/>
      </c>
      <c r="O26" s="21">
        <f>IF(L26&gt;0,IF(INDEX('3 Catalogue outils'!$A$6:$AC$5005,L26,4)=0,"",INDEX('3 Catalogue outils'!$A$6:$AC$5005,L26,4)),"")</f>
        <v/>
      </c>
      <c r="P26" s="20">
        <f>IF(L26&gt;0,IF(INDEX('3 Catalogue outils'!$A$6:$AC$5005,L26,5)=0,"",INDEX('3 Catalogue outils'!$A$6:$AC$5005,L26,5)),"")</f>
        <v/>
      </c>
    </row>
    <row r="27" hidden="1" ht="26" customHeight="1">
      <c r="A27" s="15">
        <f>IF(OR(J27=0,K27=1),"",COUNTIF(K$15:K27,0)-COUNTIF(J$15:J27,0))</f>
        <v/>
      </c>
      <c r="B27" s="15" t="n"/>
      <c r="C27" s="16">
        <f>IF(J27=0,"",IF(K27=1,UPPER(INDEX('2 Import devis'!$B$6:$B$29,J27)),IF(L27&gt;0,TRIM(SUBSTITUTE(INDEX('3 Catalogue outils'!$A$6:$AC$5005,L27,2),CHAR(10)," ")),INDEX('2 Import devis'!$B$6:$B$29,J27))))</f>
        <v/>
      </c>
      <c r="D27" s="17">
        <f>IF(OR(J27=0,K27=1),"",1)</f>
        <v/>
      </c>
      <c r="E27" s="17">
        <f>IF(OR(J27=0,K27=1),"",IF(L27&gt;0,IF(N(INDEX('3 Catalogue outils'!$A$6:$AC$5005,L27,22))=0,IF(ISTEXT(INDEX('3 Catalogue outils'!$A$6:$AC$5005,L27,22)),INDEX('3 Catalogue outils'!$A$6:$AC$5005,L27,22),"FR"),"FR"),"FR"))</f>
        <v/>
      </c>
      <c r="F27" s="18">
        <f>IF(L27&gt;0,IF(N(INDEX('3 Catalogue outils'!$A$6:$AC$5005,L27,3))=0,"",ROUND(INDEX('3 Catalogue outils'!$A$6:$AC$5005,L27,3),1)),"")</f>
        <v/>
      </c>
      <c r="G27" s="19">
        <f>IF(OR(D27="",INDEX('2 Import devis'!$G$6:$G$29,J27)=""),"",INDEX('2 Import devis'!$G$6:$G$29,J27))</f>
        <v/>
      </c>
      <c r="I27" s="13">
        <f>IF(J27=0,0,1)</f>
        <v/>
      </c>
      <c r="J27" s="13">
        <f>IF(13&gt;MAX('2 Import devis'!$L$6:$L$29),0,COUNTIF('2 Import devis'!$L$6:$L$29,"&lt;"&amp;13)+1)</f>
        <v/>
      </c>
      <c r="K27" s="13">
        <f>IF(J27=0,0,IF(N(INDEX('2 Import devis'!$C$6:$C$29,J27))=0,1,0))</f>
        <v/>
      </c>
      <c r="L27" s="13">
        <f>IF(OR(J27=0,K27=1,B27=""),0,IFERROR(MATCH(B27,'3 Catalogue outils'!$A$6:$A$5005,0),0))</f>
        <v/>
      </c>
      <c r="M27" s="20">
        <f>IF(L27&gt;0,IF(INDEX('3 Catalogue outils'!$A$6:$AC$5005,L27,20)=0,"",INDEX('3 Catalogue outils'!$A$6:$AC$5005,L27,20)),"")</f>
        <v/>
      </c>
      <c r="N27" s="20">
        <f>IF(L27&gt;0,IF(INDEX('3 Catalogue outils'!$A$6:$AC$5005,L27,23)=0,"",INDEX('3 Catalogue outils'!$A$6:$AC$5005,L27,23)),"")</f>
        <v/>
      </c>
      <c r="O27" s="21">
        <f>IF(L27&gt;0,IF(INDEX('3 Catalogue outils'!$A$6:$AC$5005,L27,4)=0,"",INDEX('3 Catalogue outils'!$A$6:$AC$5005,L27,4)),"")</f>
        <v/>
      </c>
      <c r="P27" s="20">
        <f>IF(L27&gt;0,IF(INDEX('3 Catalogue outils'!$A$6:$AC$5005,L27,5)=0,"",INDEX('3 Catalogue outils'!$A$6:$AC$5005,L27,5)),"")</f>
        <v/>
      </c>
    </row>
    <row r="28" hidden="1" ht="26" customHeight="1">
      <c r="A28" s="15">
        <f>IF(OR(J28=0,K28=1),"",COUNTIF(K$15:K28,0)-COUNTIF(J$15:J28,0))</f>
        <v/>
      </c>
      <c r="B28" s="15" t="n"/>
      <c r="C28" s="16">
        <f>IF(J28=0,"",IF(K28=1,UPPER(INDEX('2 Import devis'!$B$6:$B$29,J28)),IF(L28&gt;0,TRIM(SUBSTITUTE(INDEX('3 Catalogue outils'!$A$6:$AC$5005,L28,2),CHAR(10)," ")),INDEX('2 Import devis'!$B$6:$B$29,J28))))</f>
        <v/>
      </c>
      <c r="D28" s="17">
        <f>IF(OR(J28=0,K28=1),"",1)</f>
        <v/>
      </c>
      <c r="E28" s="17">
        <f>IF(OR(J28=0,K28=1),"",IF(L28&gt;0,IF(N(INDEX('3 Catalogue outils'!$A$6:$AC$5005,L28,22))=0,IF(ISTEXT(INDEX('3 Catalogue outils'!$A$6:$AC$5005,L28,22)),INDEX('3 Catalogue outils'!$A$6:$AC$5005,L28,22),"FR"),"FR"),"FR"))</f>
        <v/>
      </c>
      <c r="F28" s="18">
        <f>IF(L28&gt;0,IF(N(INDEX('3 Catalogue outils'!$A$6:$AC$5005,L28,3))=0,"",ROUND(INDEX('3 Catalogue outils'!$A$6:$AC$5005,L28,3),1)),"")</f>
        <v/>
      </c>
      <c r="G28" s="19">
        <f>IF(OR(D28="",INDEX('2 Import devis'!$G$6:$G$29,J28)=""),"",INDEX('2 Import devis'!$G$6:$G$29,J28))</f>
        <v/>
      </c>
      <c r="I28" s="13">
        <f>IF(J28=0,0,1)</f>
        <v/>
      </c>
      <c r="J28" s="13">
        <f>IF(14&gt;MAX('2 Import devis'!$L$6:$L$29),0,COUNTIF('2 Import devis'!$L$6:$L$29,"&lt;"&amp;14)+1)</f>
        <v/>
      </c>
      <c r="K28" s="13">
        <f>IF(J28=0,0,IF(N(INDEX('2 Import devis'!$C$6:$C$29,J28))=0,1,0))</f>
        <v/>
      </c>
      <c r="L28" s="13">
        <f>IF(OR(J28=0,K28=1,B28=""),0,IFERROR(MATCH(B28,'3 Catalogue outils'!$A$6:$A$5005,0),0))</f>
        <v/>
      </c>
      <c r="M28" s="20">
        <f>IF(L28&gt;0,IF(INDEX('3 Catalogue outils'!$A$6:$AC$5005,L28,20)=0,"",INDEX('3 Catalogue outils'!$A$6:$AC$5005,L28,20)),"")</f>
        <v/>
      </c>
      <c r="N28" s="20">
        <f>IF(L28&gt;0,IF(INDEX('3 Catalogue outils'!$A$6:$AC$5005,L28,23)=0,"",INDEX('3 Catalogue outils'!$A$6:$AC$5005,L28,23)),"")</f>
        <v/>
      </c>
      <c r="O28" s="21">
        <f>IF(L28&gt;0,IF(INDEX('3 Catalogue outils'!$A$6:$AC$5005,L28,4)=0,"",INDEX('3 Catalogue outils'!$A$6:$AC$5005,L28,4)),"")</f>
        <v/>
      </c>
      <c r="P28" s="20">
        <f>IF(L28&gt;0,IF(INDEX('3 Catalogue outils'!$A$6:$AC$5005,L28,5)=0,"",INDEX('3 Catalogue outils'!$A$6:$AC$5005,L28,5)),"")</f>
        <v/>
      </c>
    </row>
    <row r="29" hidden="1" ht="26" customHeight="1">
      <c r="A29" s="15">
        <f>IF(OR(J29=0,K29=1),"",COUNTIF(K$15:K29,0)-COUNTIF(J$15:J29,0))</f>
        <v/>
      </c>
      <c r="B29" s="15" t="n"/>
      <c r="C29" s="16">
        <f>IF(J29=0,"",IF(K29=1,UPPER(INDEX('2 Import devis'!$B$6:$B$29,J29)),IF(L29&gt;0,TRIM(SUBSTITUTE(INDEX('3 Catalogue outils'!$A$6:$AC$5005,L29,2),CHAR(10)," ")),INDEX('2 Import devis'!$B$6:$B$29,J29))))</f>
        <v/>
      </c>
      <c r="D29" s="17">
        <f>IF(OR(J29=0,K29=1),"",1)</f>
        <v/>
      </c>
      <c r="E29" s="17">
        <f>IF(OR(J29=0,K29=1),"",IF(L29&gt;0,IF(N(INDEX('3 Catalogue outils'!$A$6:$AC$5005,L29,22))=0,IF(ISTEXT(INDEX('3 Catalogue outils'!$A$6:$AC$5005,L29,22)),INDEX('3 Catalogue outils'!$A$6:$AC$5005,L29,22),"FR"),"FR"),"FR"))</f>
        <v/>
      </c>
      <c r="F29" s="18">
        <f>IF(L29&gt;0,IF(N(INDEX('3 Catalogue outils'!$A$6:$AC$5005,L29,3))=0,"",ROUND(INDEX('3 Catalogue outils'!$A$6:$AC$5005,L29,3),1)),"")</f>
        <v/>
      </c>
      <c r="G29" s="19">
        <f>IF(OR(D29="",INDEX('2 Import devis'!$G$6:$G$29,J29)=""),"",INDEX('2 Import devis'!$G$6:$G$29,J29))</f>
        <v/>
      </c>
      <c r="I29" s="13">
        <f>IF(J29=0,0,1)</f>
        <v/>
      </c>
      <c r="J29" s="13">
        <f>IF(15&gt;MAX('2 Import devis'!$L$6:$L$29),0,COUNTIF('2 Import devis'!$L$6:$L$29,"&lt;"&amp;15)+1)</f>
        <v/>
      </c>
      <c r="K29" s="13">
        <f>IF(J29=0,0,IF(N(INDEX('2 Import devis'!$C$6:$C$29,J29))=0,1,0))</f>
        <v/>
      </c>
      <c r="L29" s="13">
        <f>IF(OR(J29=0,K29=1,B29=""),0,IFERROR(MATCH(B29,'3 Catalogue outils'!$A$6:$A$5005,0),0))</f>
        <v/>
      </c>
      <c r="M29" s="20">
        <f>IF(L29&gt;0,IF(INDEX('3 Catalogue outils'!$A$6:$AC$5005,L29,20)=0,"",INDEX('3 Catalogue outils'!$A$6:$AC$5005,L29,20)),"")</f>
        <v/>
      </c>
      <c r="N29" s="20">
        <f>IF(L29&gt;0,IF(INDEX('3 Catalogue outils'!$A$6:$AC$5005,L29,23)=0,"",INDEX('3 Catalogue outils'!$A$6:$AC$5005,L29,23)),"")</f>
        <v/>
      </c>
      <c r="O29" s="21">
        <f>IF(L29&gt;0,IF(INDEX('3 Catalogue outils'!$A$6:$AC$5005,L29,4)=0,"",INDEX('3 Catalogue outils'!$A$6:$AC$5005,L29,4)),"")</f>
        <v/>
      </c>
      <c r="P29" s="20">
        <f>IF(L29&gt;0,IF(INDEX('3 Catalogue outils'!$A$6:$AC$5005,L29,5)=0,"",INDEX('3 Catalogue outils'!$A$6:$AC$5005,L29,5)),"")</f>
        <v/>
      </c>
    </row>
    <row r="30" hidden="1" ht="26" customHeight="1">
      <c r="A30" s="15">
        <f>IF(OR(J30=0,K30=1),"",COUNTIF(K$15:K30,0)-COUNTIF(J$15:J30,0))</f>
        <v/>
      </c>
      <c r="B30" s="15" t="n"/>
      <c r="C30" s="16">
        <f>IF(J30=0,"",IF(K30=1,UPPER(INDEX('2 Import devis'!$B$6:$B$29,J30)),IF(L30&gt;0,TRIM(SUBSTITUTE(INDEX('3 Catalogue outils'!$A$6:$AC$5005,L30,2),CHAR(10)," ")),INDEX('2 Import devis'!$B$6:$B$29,J30))))</f>
        <v/>
      </c>
      <c r="D30" s="17">
        <f>IF(OR(J30=0,K30=1),"",1)</f>
        <v/>
      </c>
      <c r="E30" s="17">
        <f>IF(OR(J30=0,K30=1),"",IF(L30&gt;0,IF(N(INDEX('3 Catalogue outils'!$A$6:$AC$5005,L30,22))=0,IF(ISTEXT(INDEX('3 Catalogue outils'!$A$6:$AC$5005,L30,22)),INDEX('3 Catalogue outils'!$A$6:$AC$5005,L30,22),"FR"),"FR"),"FR"))</f>
        <v/>
      </c>
      <c r="F30" s="18">
        <f>IF(L30&gt;0,IF(N(INDEX('3 Catalogue outils'!$A$6:$AC$5005,L30,3))=0,"",ROUND(INDEX('3 Catalogue outils'!$A$6:$AC$5005,L30,3),1)),"")</f>
        <v/>
      </c>
      <c r="G30" s="19">
        <f>IF(OR(D30="",INDEX('2 Import devis'!$G$6:$G$29,J30)=""),"",INDEX('2 Import devis'!$G$6:$G$29,J30))</f>
        <v/>
      </c>
      <c r="I30" s="13">
        <f>IF(J30=0,0,1)</f>
        <v/>
      </c>
      <c r="J30" s="13">
        <f>IF(16&gt;MAX('2 Import devis'!$L$6:$L$29),0,COUNTIF('2 Import devis'!$L$6:$L$29,"&lt;"&amp;16)+1)</f>
        <v/>
      </c>
      <c r="K30" s="13">
        <f>IF(J30=0,0,IF(N(INDEX('2 Import devis'!$C$6:$C$29,J30))=0,1,0))</f>
        <v/>
      </c>
      <c r="L30" s="13">
        <f>IF(OR(J30=0,K30=1,B30=""),0,IFERROR(MATCH(B30,'3 Catalogue outils'!$A$6:$A$5005,0),0))</f>
        <v/>
      </c>
      <c r="M30" s="20">
        <f>IF(L30&gt;0,IF(INDEX('3 Catalogue outils'!$A$6:$AC$5005,L30,20)=0,"",INDEX('3 Catalogue outils'!$A$6:$AC$5005,L30,20)),"")</f>
        <v/>
      </c>
      <c r="N30" s="20">
        <f>IF(L30&gt;0,IF(INDEX('3 Catalogue outils'!$A$6:$AC$5005,L30,23)=0,"",INDEX('3 Catalogue outils'!$A$6:$AC$5005,L30,23)),"")</f>
        <v/>
      </c>
      <c r="O30" s="21">
        <f>IF(L30&gt;0,IF(INDEX('3 Catalogue outils'!$A$6:$AC$5005,L30,4)=0,"",INDEX('3 Catalogue outils'!$A$6:$AC$5005,L30,4)),"")</f>
        <v/>
      </c>
      <c r="P30" s="20">
        <f>IF(L30&gt;0,IF(INDEX('3 Catalogue outils'!$A$6:$AC$5005,L30,5)=0,"",INDEX('3 Catalogue outils'!$A$6:$AC$5005,L30,5)),"")</f>
        <v/>
      </c>
    </row>
    <row r="31" hidden="1" ht="26" customHeight="1">
      <c r="A31" s="15">
        <f>IF(OR(J31=0,K31=1),"",COUNTIF(K$15:K31,0)-COUNTIF(J$15:J31,0))</f>
        <v/>
      </c>
      <c r="B31" s="15" t="n"/>
      <c r="C31" s="16">
        <f>IF(J31=0,"",IF(K31=1,UPPER(INDEX('2 Import devis'!$B$6:$B$29,J31)),IF(L31&gt;0,TRIM(SUBSTITUTE(INDEX('3 Catalogue outils'!$A$6:$AC$5005,L31,2),CHAR(10)," ")),INDEX('2 Import devis'!$B$6:$B$29,J31))))</f>
        <v/>
      </c>
      <c r="D31" s="17">
        <f>IF(OR(J31=0,K31=1),"",1)</f>
        <v/>
      </c>
      <c r="E31" s="17">
        <f>IF(OR(J31=0,K31=1),"",IF(L31&gt;0,IF(N(INDEX('3 Catalogue outils'!$A$6:$AC$5005,L31,22))=0,IF(ISTEXT(INDEX('3 Catalogue outils'!$A$6:$AC$5005,L31,22)),INDEX('3 Catalogue outils'!$A$6:$AC$5005,L31,22),"FR"),"FR"),"FR"))</f>
        <v/>
      </c>
      <c r="F31" s="18">
        <f>IF(L31&gt;0,IF(N(INDEX('3 Catalogue outils'!$A$6:$AC$5005,L31,3))=0,"",ROUND(INDEX('3 Catalogue outils'!$A$6:$AC$5005,L31,3),1)),"")</f>
        <v/>
      </c>
      <c r="G31" s="19">
        <f>IF(OR(D31="",INDEX('2 Import devis'!$G$6:$G$29,J31)=""),"",INDEX('2 Import devis'!$G$6:$G$29,J31))</f>
        <v/>
      </c>
      <c r="I31" s="13">
        <f>IF(J31=0,0,1)</f>
        <v/>
      </c>
      <c r="J31" s="13">
        <f>IF(17&gt;MAX('2 Import devis'!$L$6:$L$29),0,COUNTIF('2 Import devis'!$L$6:$L$29,"&lt;"&amp;17)+1)</f>
        <v/>
      </c>
      <c r="K31" s="13">
        <f>IF(J31=0,0,IF(N(INDEX('2 Import devis'!$C$6:$C$29,J31))=0,1,0))</f>
        <v/>
      </c>
      <c r="L31" s="13">
        <f>IF(OR(J31=0,K31=1,B31=""),0,IFERROR(MATCH(B31,'3 Catalogue outils'!$A$6:$A$5005,0),0))</f>
        <v/>
      </c>
      <c r="M31" s="20">
        <f>IF(L31&gt;0,IF(INDEX('3 Catalogue outils'!$A$6:$AC$5005,L31,20)=0,"",INDEX('3 Catalogue outils'!$A$6:$AC$5005,L31,20)),"")</f>
        <v/>
      </c>
      <c r="N31" s="20">
        <f>IF(L31&gt;0,IF(INDEX('3 Catalogue outils'!$A$6:$AC$5005,L31,23)=0,"",INDEX('3 Catalogue outils'!$A$6:$AC$5005,L31,23)),"")</f>
        <v/>
      </c>
      <c r="O31" s="21">
        <f>IF(L31&gt;0,IF(INDEX('3 Catalogue outils'!$A$6:$AC$5005,L31,4)=0,"",INDEX('3 Catalogue outils'!$A$6:$AC$5005,L31,4)),"")</f>
        <v/>
      </c>
      <c r="P31" s="20">
        <f>IF(L31&gt;0,IF(INDEX('3 Catalogue outils'!$A$6:$AC$5005,L31,5)=0,"",INDEX('3 Catalogue outils'!$A$6:$AC$5005,L31,5)),"")</f>
        <v/>
      </c>
    </row>
    <row r="32" hidden="1" ht="26" customHeight="1">
      <c r="A32" s="15">
        <f>IF(OR(J32=0,K32=1),"",COUNTIF(K$15:K32,0)-COUNTIF(J$15:J32,0))</f>
        <v/>
      </c>
      <c r="B32" s="15" t="n"/>
      <c r="C32" s="16">
        <f>IF(J32=0,"",IF(K32=1,UPPER(INDEX('2 Import devis'!$B$6:$B$29,J32)),IF(L32&gt;0,TRIM(SUBSTITUTE(INDEX('3 Catalogue outils'!$A$6:$AC$5005,L32,2),CHAR(10)," ")),INDEX('2 Import devis'!$B$6:$B$29,J32))))</f>
        <v/>
      </c>
      <c r="D32" s="17">
        <f>IF(OR(J32=0,K32=1),"",1)</f>
        <v/>
      </c>
      <c r="E32" s="17">
        <f>IF(OR(J32=0,K32=1),"",IF(L32&gt;0,IF(N(INDEX('3 Catalogue outils'!$A$6:$AC$5005,L32,22))=0,IF(ISTEXT(INDEX('3 Catalogue outils'!$A$6:$AC$5005,L32,22)),INDEX('3 Catalogue outils'!$A$6:$AC$5005,L32,22),"FR"),"FR"),"FR"))</f>
        <v/>
      </c>
      <c r="F32" s="18">
        <f>IF(L32&gt;0,IF(N(INDEX('3 Catalogue outils'!$A$6:$AC$5005,L32,3))=0,"",ROUND(INDEX('3 Catalogue outils'!$A$6:$AC$5005,L32,3),1)),"")</f>
        <v/>
      </c>
      <c r="G32" s="19">
        <f>IF(OR(D32="",INDEX('2 Import devis'!$G$6:$G$29,J32)=""),"",INDEX('2 Import devis'!$G$6:$G$29,J32))</f>
        <v/>
      </c>
      <c r="I32" s="13">
        <f>IF(J32=0,0,1)</f>
        <v/>
      </c>
      <c r="J32" s="13">
        <f>IF(18&gt;MAX('2 Import devis'!$L$6:$L$29),0,COUNTIF('2 Import devis'!$L$6:$L$29,"&lt;"&amp;18)+1)</f>
        <v/>
      </c>
      <c r="K32" s="13">
        <f>IF(J32=0,0,IF(N(INDEX('2 Import devis'!$C$6:$C$29,J32))=0,1,0))</f>
        <v/>
      </c>
      <c r="L32" s="13">
        <f>IF(OR(J32=0,K32=1,B32=""),0,IFERROR(MATCH(B32,'3 Catalogue outils'!$A$6:$A$5005,0),0))</f>
        <v/>
      </c>
      <c r="M32" s="20">
        <f>IF(L32&gt;0,IF(INDEX('3 Catalogue outils'!$A$6:$AC$5005,L32,20)=0,"",INDEX('3 Catalogue outils'!$A$6:$AC$5005,L32,20)),"")</f>
        <v/>
      </c>
      <c r="N32" s="20">
        <f>IF(L32&gt;0,IF(INDEX('3 Catalogue outils'!$A$6:$AC$5005,L32,23)=0,"",INDEX('3 Catalogue outils'!$A$6:$AC$5005,L32,23)),"")</f>
        <v/>
      </c>
      <c r="O32" s="21">
        <f>IF(L32&gt;0,IF(INDEX('3 Catalogue outils'!$A$6:$AC$5005,L32,4)=0,"",INDEX('3 Catalogue outils'!$A$6:$AC$5005,L32,4)),"")</f>
        <v/>
      </c>
      <c r="P32" s="20">
        <f>IF(L32&gt;0,IF(INDEX('3 Catalogue outils'!$A$6:$AC$5005,L32,5)=0,"",INDEX('3 Catalogue outils'!$A$6:$AC$5005,L32,5)),"")</f>
        <v/>
      </c>
    </row>
    <row r="33" hidden="1" ht="26" customHeight="1">
      <c r="A33" s="15">
        <f>IF(OR(J33=0,K33=1),"",COUNTIF(K$15:K33,0)-COUNTIF(J$15:J33,0))</f>
        <v/>
      </c>
      <c r="B33" s="15" t="n"/>
      <c r="C33" s="16">
        <f>IF(J33=0,"",IF(K33=1,UPPER(INDEX('2 Import devis'!$B$6:$B$29,J33)),IF(L33&gt;0,TRIM(SUBSTITUTE(INDEX('3 Catalogue outils'!$A$6:$AC$5005,L33,2),CHAR(10)," ")),INDEX('2 Import devis'!$B$6:$B$29,J33))))</f>
        <v/>
      </c>
      <c r="D33" s="17">
        <f>IF(OR(J33=0,K33=1),"",1)</f>
        <v/>
      </c>
      <c r="E33" s="17">
        <f>IF(OR(J33=0,K33=1),"",IF(L33&gt;0,IF(N(INDEX('3 Catalogue outils'!$A$6:$AC$5005,L33,22))=0,IF(ISTEXT(INDEX('3 Catalogue outils'!$A$6:$AC$5005,L33,22)),INDEX('3 Catalogue outils'!$A$6:$AC$5005,L33,22),"FR"),"FR"),"FR"))</f>
        <v/>
      </c>
      <c r="F33" s="18">
        <f>IF(L33&gt;0,IF(N(INDEX('3 Catalogue outils'!$A$6:$AC$5005,L33,3))=0,"",ROUND(INDEX('3 Catalogue outils'!$A$6:$AC$5005,L33,3),1)),"")</f>
        <v/>
      </c>
      <c r="G33" s="19">
        <f>IF(OR(D33="",INDEX('2 Import devis'!$G$6:$G$29,J33)=""),"",INDEX('2 Import devis'!$G$6:$G$29,J33))</f>
        <v/>
      </c>
      <c r="I33" s="13">
        <f>IF(J33=0,0,1)</f>
        <v/>
      </c>
      <c r="J33" s="13">
        <f>IF(19&gt;MAX('2 Import devis'!$L$6:$L$29),0,COUNTIF('2 Import devis'!$L$6:$L$29,"&lt;"&amp;19)+1)</f>
        <v/>
      </c>
      <c r="K33" s="13">
        <f>IF(J33=0,0,IF(N(INDEX('2 Import devis'!$C$6:$C$29,J33))=0,1,0))</f>
        <v/>
      </c>
      <c r="L33" s="13">
        <f>IF(OR(J33=0,K33=1,B33=""),0,IFERROR(MATCH(B33,'3 Catalogue outils'!$A$6:$A$5005,0),0))</f>
        <v/>
      </c>
      <c r="M33" s="20">
        <f>IF(L33&gt;0,IF(INDEX('3 Catalogue outils'!$A$6:$AC$5005,L33,20)=0,"",INDEX('3 Catalogue outils'!$A$6:$AC$5005,L33,20)),"")</f>
        <v/>
      </c>
      <c r="N33" s="20">
        <f>IF(L33&gt;0,IF(INDEX('3 Catalogue outils'!$A$6:$AC$5005,L33,23)=0,"",INDEX('3 Catalogue outils'!$A$6:$AC$5005,L33,23)),"")</f>
        <v/>
      </c>
      <c r="O33" s="21">
        <f>IF(L33&gt;0,IF(INDEX('3 Catalogue outils'!$A$6:$AC$5005,L33,4)=0,"",INDEX('3 Catalogue outils'!$A$6:$AC$5005,L33,4)),"")</f>
        <v/>
      </c>
      <c r="P33" s="20">
        <f>IF(L33&gt;0,IF(INDEX('3 Catalogue outils'!$A$6:$AC$5005,L33,5)=0,"",INDEX('3 Catalogue outils'!$A$6:$AC$5005,L33,5)),"")</f>
        <v/>
      </c>
    </row>
    <row r="34" hidden="1" ht="26" customHeight="1">
      <c r="A34" s="15">
        <f>IF(OR(J34=0,K34=1),"",COUNTIF(K$15:K34,0)-COUNTIF(J$15:J34,0))</f>
        <v/>
      </c>
      <c r="B34" s="15" t="n"/>
      <c r="C34" s="16">
        <f>IF(J34=0,"",IF(K34=1,UPPER(INDEX('2 Import devis'!$B$6:$B$29,J34)),IF(L34&gt;0,TRIM(SUBSTITUTE(INDEX('3 Catalogue outils'!$A$6:$AC$5005,L34,2),CHAR(10)," ")),INDEX('2 Import devis'!$B$6:$B$29,J34))))</f>
        <v/>
      </c>
      <c r="D34" s="17">
        <f>IF(OR(J34=0,K34=1),"",1)</f>
        <v/>
      </c>
      <c r="E34" s="17">
        <f>IF(OR(J34=0,K34=1),"",IF(L34&gt;0,IF(N(INDEX('3 Catalogue outils'!$A$6:$AC$5005,L34,22))=0,IF(ISTEXT(INDEX('3 Catalogue outils'!$A$6:$AC$5005,L34,22)),INDEX('3 Catalogue outils'!$A$6:$AC$5005,L34,22),"FR"),"FR"),"FR"))</f>
        <v/>
      </c>
      <c r="F34" s="18">
        <f>IF(L34&gt;0,IF(N(INDEX('3 Catalogue outils'!$A$6:$AC$5005,L34,3))=0,"",ROUND(INDEX('3 Catalogue outils'!$A$6:$AC$5005,L34,3),1)),"")</f>
        <v/>
      </c>
      <c r="G34" s="19">
        <f>IF(OR(D34="",INDEX('2 Import devis'!$G$6:$G$29,J34)=""),"",INDEX('2 Import devis'!$G$6:$G$29,J34))</f>
        <v/>
      </c>
      <c r="I34" s="13">
        <f>IF(J34=0,0,1)</f>
        <v/>
      </c>
      <c r="J34" s="13">
        <f>IF(20&gt;MAX('2 Import devis'!$L$6:$L$29),0,COUNTIF('2 Import devis'!$L$6:$L$29,"&lt;"&amp;20)+1)</f>
        <v/>
      </c>
      <c r="K34" s="13">
        <f>IF(J34=0,0,IF(N(INDEX('2 Import devis'!$C$6:$C$29,J34))=0,1,0))</f>
        <v/>
      </c>
      <c r="L34" s="13">
        <f>IF(OR(J34=0,K34=1,B34=""),0,IFERROR(MATCH(B34,'3 Catalogue outils'!$A$6:$A$5005,0),0))</f>
        <v/>
      </c>
      <c r="M34" s="20">
        <f>IF(L34&gt;0,IF(INDEX('3 Catalogue outils'!$A$6:$AC$5005,L34,20)=0,"",INDEX('3 Catalogue outils'!$A$6:$AC$5005,L34,20)),"")</f>
        <v/>
      </c>
      <c r="N34" s="20">
        <f>IF(L34&gt;0,IF(INDEX('3 Catalogue outils'!$A$6:$AC$5005,L34,23)=0,"",INDEX('3 Catalogue outils'!$A$6:$AC$5005,L34,23)),"")</f>
        <v/>
      </c>
      <c r="O34" s="21">
        <f>IF(L34&gt;0,IF(INDEX('3 Catalogue outils'!$A$6:$AC$5005,L34,4)=0,"",INDEX('3 Catalogue outils'!$A$6:$AC$5005,L34,4)),"")</f>
        <v/>
      </c>
      <c r="P34" s="20">
        <f>IF(L34&gt;0,IF(INDEX('3 Catalogue outils'!$A$6:$AC$5005,L34,5)=0,"",INDEX('3 Catalogue outils'!$A$6:$AC$5005,L34,5)),"")</f>
        <v/>
      </c>
    </row>
    <row r="35" hidden="1" ht="26" customHeight="1">
      <c r="A35" s="15">
        <f>IF(OR(J35=0,K35=1),"",COUNTIF(K$15:K35,0)-COUNTIF(J$15:J35,0))</f>
        <v/>
      </c>
      <c r="B35" s="15" t="n"/>
      <c r="C35" s="16">
        <f>IF(J35=0,"",IF(K35=1,UPPER(INDEX('2 Import devis'!$B$6:$B$29,J35)),IF(L35&gt;0,TRIM(SUBSTITUTE(INDEX('3 Catalogue outils'!$A$6:$AC$5005,L35,2),CHAR(10)," ")),INDEX('2 Import devis'!$B$6:$B$29,J35))))</f>
        <v/>
      </c>
      <c r="D35" s="17">
        <f>IF(OR(J35=0,K35=1),"",1)</f>
        <v/>
      </c>
      <c r="E35" s="17">
        <f>IF(OR(J35=0,K35=1),"",IF(L35&gt;0,IF(N(INDEX('3 Catalogue outils'!$A$6:$AC$5005,L35,22))=0,IF(ISTEXT(INDEX('3 Catalogue outils'!$A$6:$AC$5005,L35,22)),INDEX('3 Catalogue outils'!$A$6:$AC$5005,L35,22),"FR"),"FR"),"FR"))</f>
        <v/>
      </c>
      <c r="F35" s="18">
        <f>IF(L35&gt;0,IF(N(INDEX('3 Catalogue outils'!$A$6:$AC$5005,L35,3))=0,"",ROUND(INDEX('3 Catalogue outils'!$A$6:$AC$5005,L35,3),1)),"")</f>
        <v/>
      </c>
      <c r="G35" s="19">
        <f>IF(OR(D35="",INDEX('2 Import devis'!$G$6:$G$29,J35)=""),"",INDEX('2 Import devis'!$G$6:$G$29,J35))</f>
        <v/>
      </c>
      <c r="I35" s="13">
        <f>IF(J35=0,0,1)</f>
        <v/>
      </c>
      <c r="J35" s="13">
        <f>IF(21&gt;MAX('2 Import devis'!$L$6:$L$29),0,COUNTIF('2 Import devis'!$L$6:$L$29,"&lt;"&amp;21)+1)</f>
        <v/>
      </c>
      <c r="K35" s="13">
        <f>IF(J35=0,0,IF(N(INDEX('2 Import devis'!$C$6:$C$29,J35))=0,1,0))</f>
        <v/>
      </c>
      <c r="L35" s="13">
        <f>IF(OR(J35=0,K35=1,B35=""),0,IFERROR(MATCH(B35,'3 Catalogue outils'!$A$6:$A$5005,0),0))</f>
        <v/>
      </c>
      <c r="M35" s="20">
        <f>IF(L35&gt;0,IF(INDEX('3 Catalogue outils'!$A$6:$AC$5005,L35,20)=0,"",INDEX('3 Catalogue outils'!$A$6:$AC$5005,L35,20)),"")</f>
        <v/>
      </c>
      <c r="N35" s="20">
        <f>IF(L35&gt;0,IF(INDEX('3 Catalogue outils'!$A$6:$AC$5005,L35,23)=0,"",INDEX('3 Catalogue outils'!$A$6:$AC$5005,L35,23)),"")</f>
        <v/>
      </c>
      <c r="O35" s="21">
        <f>IF(L35&gt;0,IF(INDEX('3 Catalogue outils'!$A$6:$AC$5005,L35,4)=0,"",INDEX('3 Catalogue outils'!$A$6:$AC$5005,L35,4)),"")</f>
        <v/>
      </c>
      <c r="P35" s="20">
        <f>IF(L35&gt;0,IF(INDEX('3 Catalogue outils'!$A$6:$AC$5005,L35,5)=0,"",INDEX('3 Catalogue outils'!$A$6:$AC$5005,L35,5)),"")</f>
        <v/>
      </c>
    </row>
    <row r="36" hidden="1" ht="26" customHeight="1">
      <c r="A36" s="15">
        <f>IF(OR(J36=0,K36=1),"",COUNTIF(K$15:K36,0)-COUNTIF(J$15:J36,0))</f>
        <v/>
      </c>
      <c r="B36" s="15" t="n"/>
      <c r="C36" s="16">
        <f>IF(J36=0,"",IF(K36=1,UPPER(INDEX('2 Import devis'!$B$6:$B$29,J36)),IF(L36&gt;0,TRIM(SUBSTITUTE(INDEX('3 Catalogue outils'!$A$6:$AC$5005,L36,2),CHAR(10)," ")),INDEX('2 Import devis'!$B$6:$B$29,J36))))</f>
        <v/>
      </c>
      <c r="D36" s="17">
        <f>IF(OR(J36=0,K36=1),"",1)</f>
        <v/>
      </c>
      <c r="E36" s="17">
        <f>IF(OR(J36=0,K36=1),"",IF(L36&gt;0,IF(N(INDEX('3 Catalogue outils'!$A$6:$AC$5005,L36,22))=0,IF(ISTEXT(INDEX('3 Catalogue outils'!$A$6:$AC$5005,L36,22)),INDEX('3 Catalogue outils'!$A$6:$AC$5005,L36,22),"FR"),"FR"),"FR"))</f>
        <v/>
      </c>
      <c r="F36" s="18">
        <f>IF(L36&gt;0,IF(N(INDEX('3 Catalogue outils'!$A$6:$AC$5005,L36,3))=0,"",ROUND(INDEX('3 Catalogue outils'!$A$6:$AC$5005,L36,3),1)),"")</f>
        <v/>
      </c>
      <c r="G36" s="19">
        <f>IF(OR(D36="",INDEX('2 Import devis'!$G$6:$G$29,J36)=""),"",INDEX('2 Import devis'!$G$6:$G$29,J36))</f>
        <v/>
      </c>
      <c r="I36" s="13">
        <f>IF(J36=0,0,1)</f>
        <v/>
      </c>
      <c r="J36" s="13">
        <f>IF(22&gt;MAX('2 Import devis'!$L$6:$L$29),0,COUNTIF('2 Import devis'!$L$6:$L$29,"&lt;"&amp;22)+1)</f>
        <v/>
      </c>
      <c r="K36" s="13">
        <f>IF(J36=0,0,IF(N(INDEX('2 Import devis'!$C$6:$C$29,J36))=0,1,0))</f>
        <v/>
      </c>
      <c r="L36" s="13">
        <f>IF(OR(J36=0,K36=1,B36=""),0,IFERROR(MATCH(B36,'3 Catalogue outils'!$A$6:$A$5005,0),0))</f>
        <v/>
      </c>
      <c r="M36" s="20">
        <f>IF(L36&gt;0,IF(INDEX('3 Catalogue outils'!$A$6:$AC$5005,L36,20)=0,"",INDEX('3 Catalogue outils'!$A$6:$AC$5005,L36,20)),"")</f>
        <v/>
      </c>
      <c r="N36" s="20">
        <f>IF(L36&gt;0,IF(INDEX('3 Catalogue outils'!$A$6:$AC$5005,L36,23)=0,"",INDEX('3 Catalogue outils'!$A$6:$AC$5005,L36,23)),"")</f>
        <v/>
      </c>
      <c r="O36" s="21">
        <f>IF(L36&gt;0,IF(INDEX('3 Catalogue outils'!$A$6:$AC$5005,L36,4)=0,"",INDEX('3 Catalogue outils'!$A$6:$AC$5005,L36,4)),"")</f>
        <v/>
      </c>
      <c r="P36" s="20">
        <f>IF(L36&gt;0,IF(INDEX('3 Catalogue outils'!$A$6:$AC$5005,L36,5)=0,"",INDEX('3 Catalogue outils'!$A$6:$AC$5005,L36,5)),"")</f>
        <v/>
      </c>
    </row>
    <row r="37" hidden="1" ht="26" customHeight="1">
      <c r="A37" s="15">
        <f>IF(OR(J37=0,K37=1),"",COUNTIF(K$15:K37,0)-COUNTIF(J$15:J37,0))</f>
        <v/>
      </c>
      <c r="B37" s="15" t="n"/>
      <c r="C37" s="16">
        <f>IF(J37=0,"",IF(K37=1,UPPER(INDEX('2 Import devis'!$B$6:$B$29,J37)),IF(L37&gt;0,TRIM(SUBSTITUTE(INDEX('3 Catalogue outils'!$A$6:$AC$5005,L37,2),CHAR(10)," ")),INDEX('2 Import devis'!$B$6:$B$29,J37))))</f>
        <v/>
      </c>
      <c r="D37" s="17">
        <f>IF(OR(J37=0,K37=1),"",1)</f>
        <v/>
      </c>
      <c r="E37" s="17">
        <f>IF(OR(J37=0,K37=1),"",IF(L37&gt;0,IF(N(INDEX('3 Catalogue outils'!$A$6:$AC$5005,L37,22))=0,IF(ISTEXT(INDEX('3 Catalogue outils'!$A$6:$AC$5005,L37,22)),INDEX('3 Catalogue outils'!$A$6:$AC$5005,L37,22),"FR"),"FR"),"FR"))</f>
        <v/>
      </c>
      <c r="F37" s="18">
        <f>IF(L37&gt;0,IF(N(INDEX('3 Catalogue outils'!$A$6:$AC$5005,L37,3))=0,"",ROUND(INDEX('3 Catalogue outils'!$A$6:$AC$5005,L37,3),1)),"")</f>
        <v/>
      </c>
      <c r="G37" s="19">
        <f>IF(OR(D37="",INDEX('2 Import devis'!$G$6:$G$29,J37)=""),"",INDEX('2 Import devis'!$G$6:$G$29,J37))</f>
        <v/>
      </c>
      <c r="I37" s="13">
        <f>IF(J37=0,0,1)</f>
        <v/>
      </c>
      <c r="J37" s="13">
        <f>IF(23&gt;MAX('2 Import devis'!$L$6:$L$29),0,COUNTIF('2 Import devis'!$L$6:$L$29,"&lt;"&amp;23)+1)</f>
        <v/>
      </c>
      <c r="K37" s="13">
        <f>IF(J37=0,0,IF(N(INDEX('2 Import devis'!$C$6:$C$29,J37))=0,1,0))</f>
        <v/>
      </c>
      <c r="L37" s="13">
        <f>IF(OR(J37=0,K37=1,B37=""),0,IFERROR(MATCH(B37,'3 Catalogue outils'!$A$6:$A$5005,0),0))</f>
        <v/>
      </c>
      <c r="M37" s="20">
        <f>IF(L37&gt;0,IF(INDEX('3 Catalogue outils'!$A$6:$AC$5005,L37,20)=0,"",INDEX('3 Catalogue outils'!$A$6:$AC$5005,L37,20)),"")</f>
        <v/>
      </c>
      <c r="N37" s="20">
        <f>IF(L37&gt;0,IF(INDEX('3 Catalogue outils'!$A$6:$AC$5005,L37,23)=0,"",INDEX('3 Catalogue outils'!$A$6:$AC$5005,L37,23)),"")</f>
        <v/>
      </c>
      <c r="O37" s="21">
        <f>IF(L37&gt;0,IF(INDEX('3 Catalogue outils'!$A$6:$AC$5005,L37,4)=0,"",INDEX('3 Catalogue outils'!$A$6:$AC$5005,L37,4)),"")</f>
        <v/>
      </c>
      <c r="P37" s="20">
        <f>IF(L37&gt;0,IF(INDEX('3 Catalogue outils'!$A$6:$AC$5005,L37,5)=0,"",INDEX('3 Catalogue outils'!$A$6:$AC$5005,L37,5)),"")</f>
        <v/>
      </c>
    </row>
    <row r="38" hidden="1" ht="26" customHeight="1">
      <c r="A38" s="15">
        <f>IF(OR(J38=0,K38=1),"",COUNTIF(K$15:K38,0)-COUNTIF(J$15:J38,0))</f>
        <v/>
      </c>
      <c r="B38" s="15" t="n"/>
      <c r="C38" s="16">
        <f>IF(J38=0,"",IF(K38=1,UPPER(INDEX('2 Import devis'!$B$6:$B$29,J38)),IF(L38&gt;0,TRIM(SUBSTITUTE(INDEX('3 Catalogue outils'!$A$6:$AC$5005,L38,2),CHAR(10)," ")),INDEX('2 Import devis'!$B$6:$B$29,J38))))</f>
        <v/>
      </c>
      <c r="D38" s="17">
        <f>IF(OR(J38=0,K38=1),"",1)</f>
        <v/>
      </c>
      <c r="E38" s="17">
        <f>IF(OR(J38=0,K38=1),"",IF(L38&gt;0,IF(N(INDEX('3 Catalogue outils'!$A$6:$AC$5005,L38,22))=0,IF(ISTEXT(INDEX('3 Catalogue outils'!$A$6:$AC$5005,L38,22)),INDEX('3 Catalogue outils'!$A$6:$AC$5005,L38,22),"FR"),"FR"),"FR"))</f>
        <v/>
      </c>
      <c r="F38" s="18">
        <f>IF(L38&gt;0,IF(N(INDEX('3 Catalogue outils'!$A$6:$AC$5005,L38,3))=0,"",ROUND(INDEX('3 Catalogue outils'!$A$6:$AC$5005,L38,3),1)),"")</f>
        <v/>
      </c>
      <c r="G38" s="19">
        <f>IF(OR(D38="",INDEX('2 Import devis'!$G$6:$G$29,J38)=""),"",INDEX('2 Import devis'!$G$6:$G$29,J38))</f>
        <v/>
      </c>
      <c r="I38" s="13">
        <f>IF(J38=0,0,1)</f>
        <v/>
      </c>
      <c r="J38" s="13">
        <f>IF(24&gt;MAX('2 Import devis'!$L$6:$L$29),0,COUNTIF('2 Import devis'!$L$6:$L$29,"&lt;"&amp;24)+1)</f>
        <v/>
      </c>
      <c r="K38" s="13">
        <f>IF(J38=0,0,IF(N(INDEX('2 Import devis'!$C$6:$C$29,J38))=0,1,0))</f>
        <v/>
      </c>
      <c r="L38" s="13">
        <f>IF(OR(J38=0,K38=1,B38=""),0,IFERROR(MATCH(B38,'3 Catalogue outils'!$A$6:$A$5005,0),0))</f>
        <v/>
      </c>
      <c r="M38" s="20">
        <f>IF(L38&gt;0,IF(INDEX('3 Catalogue outils'!$A$6:$AC$5005,L38,20)=0,"",INDEX('3 Catalogue outils'!$A$6:$AC$5005,L38,20)),"")</f>
        <v/>
      </c>
      <c r="N38" s="20">
        <f>IF(L38&gt;0,IF(INDEX('3 Catalogue outils'!$A$6:$AC$5005,L38,23)=0,"",INDEX('3 Catalogue outils'!$A$6:$AC$5005,L38,23)),"")</f>
        <v/>
      </c>
      <c r="O38" s="21">
        <f>IF(L38&gt;0,IF(INDEX('3 Catalogue outils'!$A$6:$AC$5005,L38,4)=0,"",INDEX('3 Catalogue outils'!$A$6:$AC$5005,L38,4)),"")</f>
        <v/>
      </c>
      <c r="P38" s="20">
        <f>IF(L38&gt;0,IF(INDEX('3 Catalogue outils'!$A$6:$AC$5005,L38,5)=0,"",INDEX('3 Catalogue outils'!$A$6:$AC$5005,L38,5)),"")</f>
        <v/>
      </c>
    </row>
    <row r="39" hidden="1" ht="26" customHeight="1">
      <c r="A39" s="15">
        <f>IF(OR(J39=0,K39=1),"",COUNTIF(K$15:K39,0)-COUNTIF(J$15:J39,0))</f>
        <v/>
      </c>
      <c r="B39" s="15" t="n"/>
      <c r="C39" s="16">
        <f>IF(J39=0,"",IF(K39=1,UPPER(INDEX('2 Import devis'!$B$6:$B$29,J39)),IF(L39&gt;0,TRIM(SUBSTITUTE(INDEX('3 Catalogue outils'!$A$6:$AC$5005,L39,2),CHAR(10)," ")),INDEX('2 Import devis'!$B$6:$B$29,J39))))</f>
        <v/>
      </c>
      <c r="D39" s="17">
        <f>IF(OR(J39=0,K39=1),"",1)</f>
        <v/>
      </c>
      <c r="E39" s="17">
        <f>IF(OR(J39=0,K39=1),"",IF(L39&gt;0,IF(N(INDEX('3 Catalogue outils'!$A$6:$AC$5005,L39,22))=0,IF(ISTEXT(INDEX('3 Catalogue outils'!$A$6:$AC$5005,L39,22)),INDEX('3 Catalogue outils'!$A$6:$AC$5005,L39,22),"FR"),"FR"),"FR"))</f>
        <v/>
      </c>
      <c r="F39" s="18">
        <f>IF(L39&gt;0,IF(N(INDEX('3 Catalogue outils'!$A$6:$AC$5005,L39,3))=0,"",ROUND(INDEX('3 Catalogue outils'!$A$6:$AC$5005,L39,3),1)),"")</f>
        <v/>
      </c>
      <c r="G39" s="19">
        <f>IF(OR(D39="",INDEX('2 Import devis'!$G$6:$G$29,J39)=""),"",INDEX('2 Import devis'!$G$6:$G$29,J39))</f>
        <v/>
      </c>
      <c r="I39" s="13">
        <f>IF(J39=0,0,1)</f>
        <v/>
      </c>
      <c r="J39" s="13">
        <f>IF(25&gt;MAX('2 Import devis'!$L$6:$L$29),0,COUNTIF('2 Import devis'!$L$6:$L$29,"&lt;"&amp;25)+1)</f>
        <v/>
      </c>
      <c r="K39" s="13">
        <f>IF(J39=0,0,IF(N(INDEX('2 Import devis'!$C$6:$C$29,J39))=0,1,0))</f>
        <v/>
      </c>
      <c r="L39" s="13">
        <f>IF(OR(J39=0,K39=1,B39=""),0,IFERROR(MATCH(B39,'3 Catalogue outils'!$A$6:$A$5005,0),0))</f>
        <v/>
      </c>
      <c r="M39" s="20">
        <f>IF(L39&gt;0,IF(INDEX('3 Catalogue outils'!$A$6:$AC$5005,L39,20)=0,"",INDEX('3 Catalogue outils'!$A$6:$AC$5005,L39,20)),"")</f>
        <v/>
      </c>
      <c r="N39" s="20">
        <f>IF(L39&gt;0,IF(INDEX('3 Catalogue outils'!$A$6:$AC$5005,L39,23)=0,"",INDEX('3 Catalogue outils'!$A$6:$AC$5005,L39,23)),"")</f>
        <v/>
      </c>
      <c r="O39" s="21">
        <f>IF(L39&gt;0,IF(INDEX('3 Catalogue outils'!$A$6:$AC$5005,L39,4)=0,"",INDEX('3 Catalogue outils'!$A$6:$AC$5005,L39,4)),"")</f>
        <v/>
      </c>
      <c r="P39" s="20">
        <f>IF(L39&gt;0,IF(INDEX('3 Catalogue outils'!$A$6:$AC$5005,L39,5)=0,"",INDEX('3 Catalogue outils'!$A$6:$AC$5005,L39,5)),"")</f>
        <v/>
      </c>
    </row>
    <row r="40" hidden="1" ht="26" customHeight="1">
      <c r="A40" s="15">
        <f>IF(OR(J40=0,K40=1),"",COUNTIF(K$15:K40,0)-COUNTIF(J$15:J40,0))</f>
        <v/>
      </c>
      <c r="B40" s="15" t="n"/>
      <c r="C40" s="16">
        <f>IF(J40=0,"",IF(K40=1,UPPER(INDEX('2 Import devis'!$B$6:$B$29,J40)),IF(L40&gt;0,TRIM(SUBSTITUTE(INDEX('3 Catalogue outils'!$A$6:$AC$5005,L40,2),CHAR(10)," ")),INDEX('2 Import devis'!$B$6:$B$29,J40))))</f>
        <v/>
      </c>
      <c r="D40" s="17">
        <f>IF(OR(J40=0,K40=1),"",1)</f>
        <v/>
      </c>
      <c r="E40" s="17">
        <f>IF(OR(J40=0,K40=1),"",IF(L40&gt;0,IF(N(INDEX('3 Catalogue outils'!$A$6:$AC$5005,L40,22))=0,IF(ISTEXT(INDEX('3 Catalogue outils'!$A$6:$AC$5005,L40,22)),INDEX('3 Catalogue outils'!$A$6:$AC$5005,L40,22),"FR"),"FR"),"FR"))</f>
        <v/>
      </c>
      <c r="F40" s="18">
        <f>IF(L40&gt;0,IF(N(INDEX('3 Catalogue outils'!$A$6:$AC$5005,L40,3))=0,"",ROUND(INDEX('3 Catalogue outils'!$A$6:$AC$5005,L40,3),1)),"")</f>
        <v/>
      </c>
      <c r="G40" s="19">
        <f>IF(OR(D40="",INDEX('2 Import devis'!$G$6:$G$29,J40)=""),"",INDEX('2 Import devis'!$G$6:$G$29,J40))</f>
        <v/>
      </c>
      <c r="I40" s="13">
        <f>IF(J40=0,0,1)</f>
        <v/>
      </c>
      <c r="J40" s="13">
        <f>IF(26&gt;MAX('2 Import devis'!$L$6:$L$29),0,COUNTIF('2 Import devis'!$L$6:$L$29,"&lt;"&amp;26)+1)</f>
        <v/>
      </c>
      <c r="K40" s="13">
        <f>IF(J40=0,0,IF(N(INDEX('2 Import devis'!$C$6:$C$29,J40))=0,1,0))</f>
        <v/>
      </c>
      <c r="L40" s="13">
        <f>IF(OR(J40=0,K40=1,B40=""),0,IFERROR(MATCH(B40,'3 Catalogue outils'!$A$6:$A$5005,0),0))</f>
        <v/>
      </c>
      <c r="M40" s="20">
        <f>IF(L40&gt;0,IF(INDEX('3 Catalogue outils'!$A$6:$AC$5005,L40,20)=0,"",INDEX('3 Catalogue outils'!$A$6:$AC$5005,L40,20)),"")</f>
        <v/>
      </c>
      <c r="N40" s="20">
        <f>IF(L40&gt;0,IF(INDEX('3 Catalogue outils'!$A$6:$AC$5005,L40,23)=0,"",INDEX('3 Catalogue outils'!$A$6:$AC$5005,L40,23)),"")</f>
        <v/>
      </c>
      <c r="O40" s="21">
        <f>IF(L40&gt;0,IF(INDEX('3 Catalogue outils'!$A$6:$AC$5005,L40,4)=0,"",INDEX('3 Catalogue outils'!$A$6:$AC$5005,L40,4)),"")</f>
        <v/>
      </c>
      <c r="P40" s="20">
        <f>IF(L40&gt;0,IF(INDEX('3 Catalogue outils'!$A$6:$AC$5005,L40,5)=0,"",INDEX('3 Catalogue outils'!$A$6:$AC$5005,L40,5)),"")</f>
        <v/>
      </c>
    </row>
    <row r="41" hidden="1" ht="26" customHeight="1">
      <c r="A41" s="15">
        <f>IF(OR(J41=0,K41=1),"",COUNTIF(K$15:K41,0)-COUNTIF(J$15:J41,0))</f>
        <v/>
      </c>
      <c r="B41" s="15" t="n"/>
      <c r="C41" s="16">
        <f>IF(J41=0,"",IF(K41=1,UPPER(INDEX('2 Import devis'!$B$6:$B$29,J41)),IF(L41&gt;0,TRIM(SUBSTITUTE(INDEX('3 Catalogue outils'!$A$6:$AC$5005,L41,2),CHAR(10)," ")),INDEX('2 Import devis'!$B$6:$B$29,J41))))</f>
        <v/>
      </c>
      <c r="D41" s="17">
        <f>IF(OR(J41=0,K41=1),"",1)</f>
        <v/>
      </c>
      <c r="E41" s="17">
        <f>IF(OR(J41=0,K41=1),"",IF(L41&gt;0,IF(N(INDEX('3 Catalogue outils'!$A$6:$AC$5005,L41,22))=0,IF(ISTEXT(INDEX('3 Catalogue outils'!$A$6:$AC$5005,L41,22)),INDEX('3 Catalogue outils'!$A$6:$AC$5005,L41,22),"FR"),"FR"),"FR"))</f>
        <v/>
      </c>
      <c r="F41" s="18">
        <f>IF(L41&gt;0,IF(N(INDEX('3 Catalogue outils'!$A$6:$AC$5005,L41,3))=0,"",ROUND(INDEX('3 Catalogue outils'!$A$6:$AC$5005,L41,3),1)),"")</f>
        <v/>
      </c>
      <c r="G41" s="19">
        <f>IF(OR(D41="",INDEX('2 Import devis'!$G$6:$G$29,J41)=""),"",INDEX('2 Import devis'!$G$6:$G$29,J41))</f>
        <v/>
      </c>
      <c r="I41" s="13">
        <f>IF(J41=0,0,1)</f>
        <v/>
      </c>
      <c r="J41" s="13">
        <f>IF(27&gt;MAX('2 Import devis'!$L$6:$L$29),0,COUNTIF('2 Import devis'!$L$6:$L$29,"&lt;"&amp;27)+1)</f>
        <v/>
      </c>
      <c r="K41" s="13">
        <f>IF(J41=0,0,IF(N(INDEX('2 Import devis'!$C$6:$C$29,J41))=0,1,0))</f>
        <v/>
      </c>
      <c r="L41" s="13">
        <f>IF(OR(J41=0,K41=1,B41=""),0,IFERROR(MATCH(B41,'3 Catalogue outils'!$A$6:$A$5005,0),0))</f>
        <v/>
      </c>
      <c r="M41" s="20">
        <f>IF(L41&gt;0,IF(INDEX('3 Catalogue outils'!$A$6:$AC$5005,L41,20)=0,"",INDEX('3 Catalogue outils'!$A$6:$AC$5005,L41,20)),"")</f>
        <v/>
      </c>
      <c r="N41" s="20">
        <f>IF(L41&gt;0,IF(INDEX('3 Catalogue outils'!$A$6:$AC$5005,L41,23)=0,"",INDEX('3 Catalogue outils'!$A$6:$AC$5005,L41,23)),"")</f>
        <v/>
      </c>
      <c r="O41" s="21">
        <f>IF(L41&gt;0,IF(INDEX('3 Catalogue outils'!$A$6:$AC$5005,L41,4)=0,"",INDEX('3 Catalogue outils'!$A$6:$AC$5005,L41,4)),"")</f>
        <v/>
      </c>
      <c r="P41" s="20">
        <f>IF(L41&gt;0,IF(INDEX('3 Catalogue outils'!$A$6:$AC$5005,L41,5)=0,"",INDEX('3 Catalogue outils'!$A$6:$AC$5005,L41,5)),"")</f>
        <v/>
      </c>
    </row>
    <row r="42" hidden="1" ht="26" customHeight="1">
      <c r="A42" s="15">
        <f>IF(OR(J42=0,K42=1),"",COUNTIF(K$15:K42,0)-COUNTIF(J$15:J42,0))</f>
        <v/>
      </c>
      <c r="B42" s="15" t="n"/>
      <c r="C42" s="16">
        <f>IF(J42=0,"",IF(K42=1,UPPER(INDEX('2 Import devis'!$B$6:$B$29,J42)),IF(L42&gt;0,TRIM(SUBSTITUTE(INDEX('3 Catalogue outils'!$A$6:$AC$5005,L42,2),CHAR(10)," ")),INDEX('2 Import devis'!$B$6:$B$29,J42))))</f>
        <v/>
      </c>
      <c r="D42" s="17">
        <f>IF(OR(J42=0,K42=1),"",1)</f>
        <v/>
      </c>
      <c r="E42" s="17">
        <f>IF(OR(J42=0,K42=1),"",IF(L42&gt;0,IF(N(INDEX('3 Catalogue outils'!$A$6:$AC$5005,L42,22))=0,IF(ISTEXT(INDEX('3 Catalogue outils'!$A$6:$AC$5005,L42,22)),INDEX('3 Catalogue outils'!$A$6:$AC$5005,L42,22),"FR"),"FR"),"FR"))</f>
        <v/>
      </c>
      <c r="F42" s="18">
        <f>IF(L42&gt;0,IF(N(INDEX('3 Catalogue outils'!$A$6:$AC$5005,L42,3))=0,"",ROUND(INDEX('3 Catalogue outils'!$A$6:$AC$5005,L42,3),1)),"")</f>
        <v/>
      </c>
      <c r="G42" s="19">
        <f>IF(OR(D42="",INDEX('2 Import devis'!$G$6:$G$29,J42)=""),"",INDEX('2 Import devis'!$G$6:$G$29,J42))</f>
        <v/>
      </c>
      <c r="I42" s="13">
        <f>IF(J42=0,0,1)</f>
        <v/>
      </c>
      <c r="J42" s="13">
        <f>IF(28&gt;MAX('2 Import devis'!$L$6:$L$29),0,COUNTIF('2 Import devis'!$L$6:$L$29,"&lt;"&amp;28)+1)</f>
        <v/>
      </c>
      <c r="K42" s="13">
        <f>IF(J42=0,0,IF(N(INDEX('2 Import devis'!$C$6:$C$29,J42))=0,1,0))</f>
        <v/>
      </c>
      <c r="L42" s="13">
        <f>IF(OR(J42=0,K42=1,B42=""),0,IFERROR(MATCH(B42,'3 Catalogue outils'!$A$6:$A$5005,0),0))</f>
        <v/>
      </c>
      <c r="M42" s="20">
        <f>IF(L42&gt;0,IF(INDEX('3 Catalogue outils'!$A$6:$AC$5005,L42,20)=0,"",INDEX('3 Catalogue outils'!$A$6:$AC$5005,L42,20)),"")</f>
        <v/>
      </c>
      <c r="N42" s="20">
        <f>IF(L42&gt;0,IF(INDEX('3 Catalogue outils'!$A$6:$AC$5005,L42,23)=0,"",INDEX('3 Catalogue outils'!$A$6:$AC$5005,L42,23)),"")</f>
        <v/>
      </c>
      <c r="O42" s="21">
        <f>IF(L42&gt;0,IF(INDEX('3 Catalogue outils'!$A$6:$AC$5005,L42,4)=0,"",INDEX('3 Catalogue outils'!$A$6:$AC$5005,L42,4)),"")</f>
        <v/>
      </c>
      <c r="P42" s="20">
        <f>IF(L42&gt;0,IF(INDEX('3 Catalogue outils'!$A$6:$AC$5005,L42,5)=0,"",INDEX('3 Catalogue outils'!$A$6:$AC$5005,L42,5)),"")</f>
        <v/>
      </c>
    </row>
    <row r="43" hidden="1" ht="26" customHeight="1">
      <c r="A43" s="15">
        <f>IF(OR(J43=0,K43=1),"",COUNTIF(K$15:K43,0)-COUNTIF(J$15:J43,0))</f>
        <v/>
      </c>
      <c r="B43" s="15" t="n"/>
      <c r="C43" s="16">
        <f>IF(J43=0,"",IF(K43=1,UPPER(INDEX('2 Import devis'!$B$6:$B$29,J43)),IF(L43&gt;0,TRIM(SUBSTITUTE(INDEX('3 Catalogue outils'!$A$6:$AC$5005,L43,2),CHAR(10)," ")),INDEX('2 Import devis'!$B$6:$B$29,J43))))</f>
        <v/>
      </c>
      <c r="D43" s="17">
        <f>IF(OR(J43=0,K43=1),"",1)</f>
        <v/>
      </c>
      <c r="E43" s="17">
        <f>IF(OR(J43=0,K43=1),"",IF(L43&gt;0,IF(N(INDEX('3 Catalogue outils'!$A$6:$AC$5005,L43,22))=0,IF(ISTEXT(INDEX('3 Catalogue outils'!$A$6:$AC$5005,L43,22)),INDEX('3 Catalogue outils'!$A$6:$AC$5005,L43,22),"FR"),"FR"),"FR"))</f>
        <v/>
      </c>
      <c r="F43" s="18">
        <f>IF(L43&gt;0,IF(N(INDEX('3 Catalogue outils'!$A$6:$AC$5005,L43,3))=0,"",ROUND(INDEX('3 Catalogue outils'!$A$6:$AC$5005,L43,3),1)),"")</f>
        <v/>
      </c>
      <c r="G43" s="19">
        <f>IF(OR(D43="",INDEX('2 Import devis'!$G$6:$G$29,J43)=""),"",INDEX('2 Import devis'!$G$6:$G$29,J43))</f>
        <v/>
      </c>
      <c r="I43" s="13">
        <f>IF(J43=0,0,1)</f>
        <v/>
      </c>
      <c r="J43" s="13">
        <f>IF(29&gt;MAX('2 Import devis'!$L$6:$L$29),0,COUNTIF('2 Import devis'!$L$6:$L$29,"&lt;"&amp;29)+1)</f>
        <v/>
      </c>
      <c r="K43" s="13">
        <f>IF(J43=0,0,IF(N(INDEX('2 Import devis'!$C$6:$C$29,J43))=0,1,0))</f>
        <v/>
      </c>
      <c r="L43" s="13">
        <f>IF(OR(J43=0,K43=1,B43=""),0,IFERROR(MATCH(B43,'3 Catalogue outils'!$A$6:$A$5005,0),0))</f>
        <v/>
      </c>
      <c r="M43" s="20">
        <f>IF(L43&gt;0,IF(INDEX('3 Catalogue outils'!$A$6:$AC$5005,L43,20)=0,"",INDEX('3 Catalogue outils'!$A$6:$AC$5005,L43,20)),"")</f>
        <v/>
      </c>
      <c r="N43" s="20">
        <f>IF(L43&gt;0,IF(INDEX('3 Catalogue outils'!$A$6:$AC$5005,L43,23)=0,"",INDEX('3 Catalogue outils'!$A$6:$AC$5005,L43,23)),"")</f>
        <v/>
      </c>
      <c r="O43" s="21">
        <f>IF(L43&gt;0,IF(INDEX('3 Catalogue outils'!$A$6:$AC$5005,L43,4)=0,"",INDEX('3 Catalogue outils'!$A$6:$AC$5005,L43,4)),"")</f>
        <v/>
      </c>
      <c r="P43" s="20">
        <f>IF(L43&gt;0,IF(INDEX('3 Catalogue outils'!$A$6:$AC$5005,L43,5)=0,"",INDEX('3 Catalogue outils'!$A$6:$AC$5005,L43,5)),"")</f>
        <v/>
      </c>
    </row>
    <row r="44" hidden="1" ht="26" customHeight="1">
      <c r="A44" s="15">
        <f>IF(OR(J44=0,K44=1),"",COUNTIF(K$15:K44,0)-COUNTIF(J$15:J44,0))</f>
        <v/>
      </c>
      <c r="B44" s="15" t="n"/>
      <c r="C44" s="16">
        <f>IF(J44=0,"",IF(K44=1,UPPER(INDEX('2 Import devis'!$B$6:$B$29,J44)),IF(L44&gt;0,TRIM(SUBSTITUTE(INDEX('3 Catalogue outils'!$A$6:$AC$5005,L44,2),CHAR(10)," ")),INDEX('2 Import devis'!$B$6:$B$29,J44))))</f>
        <v/>
      </c>
      <c r="D44" s="17">
        <f>IF(OR(J44=0,K44=1),"",1)</f>
        <v/>
      </c>
      <c r="E44" s="17">
        <f>IF(OR(J44=0,K44=1),"",IF(L44&gt;0,IF(N(INDEX('3 Catalogue outils'!$A$6:$AC$5005,L44,22))=0,IF(ISTEXT(INDEX('3 Catalogue outils'!$A$6:$AC$5005,L44,22)),INDEX('3 Catalogue outils'!$A$6:$AC$5005,L44,22),"FR"),"FR"),"FR"))</f>
        <v/>
      </c>
      <c r="F44" s="18">
        <f>IF(L44&gt;0,IF(N(INDEX('3 Catalogue outils'!$A$6:$AC$5005,L44,3))=0,"",ROUND(INDEX('3 Catalogue outils'!$A$6:$AC$5005,L44,3),1)),"")</f>
        <v/>
      </c>
      <c r="G44" s="19">
        <f>IF(OR(D44="",INDEX('2 Import devis'!$G$6:$G$29,J44)=""),"",INDEX('2 Import devis'!$G$6:$G$29,J44))</f>
        <v/>
      </c>
      <c r="I44" s="13">
        <f>IF(J44=0,0,1)</f>
        <v/>
      </c>
      <c r="J44" s="13">
        <f>IF(30&gt;MAX('2 Import devis'!$L$6:$L$29),0,COUNTIF('2 Import devis'!$L$6:$L$29,"&lt;"&amp;30)+1)</f>
        <v/>
      </c>
      <c r="K44" s="13">
        <f>IF(J44=0,0,IF(N(INDEX('2 Import devis'!$C$6:$C$29,J44))=0,1,0))</f>
        <v/>
      </c>
      <c r="L44" s="13">
        <f>IF(OR(J44=0,K44=1,B44=""),0,IFERROR(MATCH(B44,'3 Catalogue outils'!$A$6:$A$5005,0),0))</f>
        <v/>
      </c>
      <c r="M44" s="20">
        <f>IF(L44&gt;0,IF(INDEX('3 Catalogue outils'!$A$6:$AC$5005,L44,20)=0,"",INDEX('3 Catalogue outils'!$A$6:$AC$5005,L44,20)),"")</f>
        <v/>
      </c>
      <c r="N44" s="20">
        <f>IF(L44&gt;0,IF(INDEX('3 Catalogue outils'!$A$6:$AC$5005,L44,23)=0,"",INDEX('3 Catalogue outils'!$A$6:$AC$5005,L44,23)),"")</f>
        <v/>
      </c>
      <c r="O44" s="21">
        <f>IF(L44&gt;0,IF(INDEX('3 Catalogue outils'!$A$6:$AC$5005,L44,4)=0,"",INDEX('3 Catalogue outils'!$A$6:$AC$5005,L44,4)),"")</f>
        <v/>
      </c>
      <c r="P44" s="20">
        <f>IF(L44&gt;0,IF(INDEX('3 Catalogue outils'!$A$6:$AC$5005,L44,5)=0,"",INDEX('3 Catalogue outils'!$A$6:$AC$5005,L44,5)),"")</f>
        <v/>
      </c>
    </row>
    <row r="45" hidden="1" ht="26" customHeight="1">
      <c r="A45" s="15">
        <f>IF(OR(J45=0,K45=1),"",COUNTIF(K$15:K45,0)-COUNTIF(J$15:J45,0))</f>
        <v/>
      </c>
      <c r="B45" s="15" t="n"/>
      <c r="C45" s="16">
        <f>IF(J45=0,"",IF(K45=1,UPPER(INDEX('2 Import devis'!$B$6:$B$29,J45)),IF(L45&gt;0,TRIM(SUBSTITUTE(INDEX('3 Catalogue outils'!$A$6:$AC$5005,L45,2),CHAR(10)," ")),INDEX('2 Import devis'!$B$6:$B$29,J45))))</f>
        <v/>
      </c>
      <c r="D45" s="17">
        <f>IF(OR(J45=0,K45=1),"",1)</f>
        <v/>
      </c>
      <c r="E45" s="17">
        <f>IF(OR(J45=0,K45=1),"",IF(L45&gt;0,IF(N(INDEX('3 Catalogue outils'!$A$6:$AC$5005,L45,22))=0,IF(ISTEXT(INDEX('3 Catalogue outils'!$A$6:$AC$5005,L45,22)),INDEX('3 Catalogue outils'!$A$6:$AC$5005,L45,22),"FR"),"FR"),"FR"))</f>
        <v/>
      </c>
      <c r="F45" s="18">
        <f>IF(L45&gt;0,IF(N(INDEX('3 Catalogue outils'!$A$6:$AC$5005,L45,3))=0,"",ROUND(INDEX('3 Catalogue outils'!$A$6:$AC$5005,L45,3),1)),"")</f>
        <v/>
      </c>
      <c r="G45" s="19">
        <f>IF(OR(D45="",INDEX('2 Import devis'!$G$6:$G$29,J45)=""),"",INDEX('2 Import devis'!$G$6:$G$29,J45))</f>
        <v/>
      </c>
      <c r="I45" s="13">
        <f>IF(J45=0,0,1)</f>
        <v/>
      </c>
      <c r="J45" s="13">
        <f>IF(31&gt;MAX('2 Import devis'!$L$6:$L$29),0,COUNTIF('2 Import devis'!$L$6:$L$29,"&lt;"&amp;31)+1)</f>
        <v/>
      </c>
      <c r="K45" s="13">
        <f>IF(J45=0,0,IF(N(INDEX('2 Import devis'!$C$6:$C$29,J45))=0,1,0))</f>
        <v/>
      </c>
      <c r="L45" s="13">
        <f>IF(OR(J45=0,K45=1,B45=""),0,IFERROR(MATCH(B45,'3 Catalogue outils'!$A$6:$A$5005,0),0))</f>
        <v/>
      </c>
      <c r="M45" s="20">
        <f>IF(L45&gt;0,IF(INDEX('3 Catalogue outils'!$A$6:$AC$5005,L45,20)=0,"",INDEX('3 Catalogue outils'!$A$6:$AC$5005,L45,20)),"")</f>
        <v/>
      </c>
      <c r="N45" s="20">
        <f>IF(L45&gt;0,IF(INDEX('3 Catalogue outils'!$A$6:$AC$5005,L45,23)=0,"",INDEX('3 Catalogue outils'!$A$6:$AC$5005,L45,23)),"")</f>
        <v/>
      </c>
      <c r="O45" s="21">
        <f>IF(L45&gt;0,IF(INDEX('3 Catalogue outils'!$A$6:$AC$5005,L45,4)=0,"",INDEX('3 Catalogue outils'!$A$6:$AC$5005,L45,4)),"")</f>
        <v/>
      </c>
      <c r="P45" s="20">
        <f>IF(L45&gt;0,IF(INDEX('3 Catalogue outils'!$A$6:$AC$5005,L45,5)=0,"",INDEX('3 Catalogue outils'!$A$6:$AC$5005,L45,5)),"")</f>
        <v/>
      </c>
    </row>
    <row r="46" hidden="1" ht="26" customHeight="1">
      <c r="A46" s="15">
        <f>IF(OR(J46=0,K46=1),"",COUNTIF(K$15:K46,0)-COUNTIF(J$15:J46,0))</f>
        <v/>
      </c>
      <c r="B46" s="15" t="n"/>
      <c r="C46" s="16">
        <f>IF(J46=0,"",IF(K46=1,UPPER(INDEX('2 Import devis'!$B$6:$B$29,J46)),IF(L46&gt;0,TRIM(SUBSTITUTE(INDEX('3 Catalogue outils'!$A$6:$AC$5005,L46,2),CHAR(10)," ")),INDEX('2 Import devis'!$B$6:$B$29,J46))))</f>
        <v/>
      </c>
      <c r="D46" s="17">
        <f>IF(OR(J46=0,K46=1),"",1)</f>
        <v/>
      </c>
      <c r="E46" s="17">
        <f>IF(OR(J46=0,K46=1),"",IF(L46&gt;0,IF(N(INDEX('3 Catalogue outils'!$A$6:$AC$5005,L46,22))=0,IF(ISTEXT(INDEX('3 Catalogue outils'!$A$6:$AC$5005,L46,22)),INDEX('3 Catalogue outils'!$A$6:$AC$5005,L46,22),"FR"),"FR"),"FR"))</f>
        <v/>
      </c>
      <c r="F46" s="18">
        <f>IF(L46&gt;0,IF(N(INDEX('3 Catalogue outils'!$A$6:$AC$5005,L46,3))=0,"",ROUND(INDEX('3 Catalogue outils'!$A$6:$AC$5005,L46,3),1)),"")</f>
        <v/>
      </c>
      <c r="G46" s="19">
        <f>IF(OR(D46="",INDEX('2 Import devis'!$G$6:$G$29,J46)=""),"",INDEX('2 Import devis'!$G$6:$G$29,J46))</f>
        <v/>
      </c>
      <c r="I46" s="13">
        <f>IF(J46=0,0,1)</f>
        <v/>
      </c>
      <c r="J46" s="13">
        <f>IF(32&gt;MAX('2 Import devis'!$L$6:$L$29),0,COUNTIF('2 Import devis'!$L$6:$L$29,"&lt;"&amp;32)+1)</f>
        <v/>
      </c>
      <c r="K46" s="13">
        <f>IF(J46=0,0,IF(N(INDEX('2 Import devis'!$C$6:$C$29,J46))=0,1,0))</f>
        <v/>
      </c>
      <c r="L46" s="13">
        <f>IF(OR(J46=0,K46=1,B46=""),0,IFERROR(MATCH(B46,'3 Catalogue outils'!$A$6:$A$5005,0),0))</f>
        <v/>
      </c>
      <c r="M46" s="20">
        <f>IF(L46&gt;0,IF(INDEX('3 Catalogue outils'!$A$6:$AC$5005,L46,20)=0,"",INDEX('3 Catalogue outils'!$A$6:$AC$5005,L46,20)),"")</f>
        <v/>
      </c>
      <c r="N46" s="20">
        <f>IF(L46&gt;0,IF(INDEX('3 Catalogue outils'!$A$6:$AC$5005,L46,23)=0,"",INDEX('3 Catalogue outils'!$A$6:$AC$5005,L46,23)),"")</f>
        <v/>
      </c>
      <c r="O46" s="21">
        <f>IF(L46&gt;0,IF(INDEX('3 Catalogue outils'!$A$6:$AC$5005,L46,4)=0,"",INDEX('3 Catalogue outils'!$A$6:$AC$5005,L46,4)),"")</f>
        <v/>
      </c>
      <c r="P46" s="20">
        <f>IF(L46&gt;0,IF(INDEX('3 Catalogue outils'!$A$6:$AC$5005,L46,5)=0,"",INDEX('3 Catalogue outils'!$A$6:$AC$5005,L46,5)),"")</f>
        <v/>
      </c>
    </row>
    <row r="47" hidden="1" ht="26" customHeight="1">
      <c r="A47" s="15">
        <f>IF(OR(J47=0,K47=1),"",COUNTIF(K$15:K47,0)-COUNTIF(J$15:J47,0))</f>
        <v/>
      </c>
      <c r="B47" s="15" t="n"/>
      <c r="C47" s="16">
        <f>IF(J47=0,"",IF(K47=1,UPPER(INDEX('2 Import devis'!$B$6:$B$29,J47)),IF(L47&gt;0,TRIM(SUBSTITUTE(INDEX('3 Catalogue outils'!$A$6:$AC$5005,L47,2),CHAR(10)," ")),INDEX('2 Import devis'!$B$6:$B$29,J47))))</f>
        <v/>
      </c>
      <c r="D47" s="17">
        <f>IF(OR(J47=0,K47=1),"",1)</f>
        <v/>
      </c>
      <c r="E47" s="17">
        <f>IF(OR(J47=0,K47=1),"",IF(L47&gt;0,IF(N(INDEX('3 Catalogue outils'!$A$6:$AC$5005,L47,22))=0,IF(ISTEXT(INDEX('3 Catalogue outils'!$A$6:$AC$5005,L47,22)),INDEX('3 Catalogue outils'!$A$6:$AC$5005,L47,22),"FR"),"FR"),"FR"))</f>
        <v/>
      </c>
      <c r="F47" s="18">
        <f>IF(L47&gt;0,IF(N(INDEX('3 Catalogue outils'!$A$6:$AC$5005,L47,3))=0,"",ROUND(INDEX('3 Catalogue outils'!$A$6:$AC$5005,L47,3),1)),"")</f>
        <v/>
      </c>
      <c r="G47" s="19">
        <f>IF(OR(D47="",INDEX('2 Import devis'!$G$6:$G$29,J47)=""),"",INDEX('2 Import devis'!$G$6:$G$29,J47))</f>
        <v/>
      </c>
      <c r="I47" s="13">
        <f>IF(J47=0,0,1)</f>
        <v/>
      </c>
      <c r="J47" s="13">
        <f>IF(33&gt;MAX('2 Import devis'!$L$6:$L$29),0,COUNTIF('2 Import devis'!$L$6:$L$29,"&lt;"&amp;33)+1)</f>
        <v/>
      </c>
      <c r="K47" s="13">
        <f>IF(J47=0,0,IF(N(INDEX('2 Import devis'!$C$6:$C$29,J47))=0,1,0))</f>
        <v/>
      </c>
      <c r="L47" s="13">
        <f>IF(OR(J47=0,K47=1,B47=""),0,IFERROR(MATCH(B47,'3 Catalogue outils'!$A$6:$A$5005,0),0))</f>
        <v/>
      </c>
      <c r="M47" s="20">
        <f>IF(L47&gt;0,IF(INDEX('3 Catalogue outils'!$A$6:$AC$5005,L47,20)=0,"",INDEX('3 Catalogue outils'!$A$6:$AC$5005,L47,20)),"")</f>
        <v/>
      </c>
      <c r="N47" s="20">
        <f>IF(L47&gt;0,IF(INDEX('3 Catalogue outils'!$A$6:$AC$5005,L47,23)=0,"",INDEX('3 Catalogue outils'!$A$6:$AC$5005,L47,23)),"")</f>
        <v/>
      </c>
      <c r="O47" s="21">
        <f>IF(L47&gt;0,IF(INDEX('3 Catalogue outils'!$A$6:$AC$5005,L47,4)=0,"",INDEX('3 Catalogue outils'!$A$6:$AC$5005,L47,4)),"")</f>
        <v/>
      </c>
      <c r="P47" s="20">
        <f>IF(L47&gt;0,IF(INDEX('3 Catalogue outils'!$A$6:$AC$5005,L47,5)=0,"",INDEX('3 Catalogue outils'!$A$6:$AC$5005,L47,5)),"")</f>
        <v/>
      </c>
    </row>
    <row r="48" hidden="1" ht="26" customHeight="1">
      <c r="A48" s="15">
        <f>IF(OR(J48=0,K48=1),"",COUNTIF(K$15:K48,0)-COUNTIF(J$15:J48,0))</f>
        <v/>
      </c>
      <c r="B48" s="15" t="n"/>
      <c r="C48" s="16">
        <f>IF(J48=0,"",IF(K48=1,UPPER(INDEX('2 Import devis'!$B$6:$B$29,J48)),IF(L48&gt;0,TRIM(SUBSTITUTE(INDEX('3 Catalogue outils'!$A$6:$AC$5005,L48,2),CHAR(10)," ")),INDEX('2 Import devis'!$B$6:$B$29,J48))))</f>
        <v/>
      </c>
      <c r="D48" s="17">
        <f>IF(OR(J48=0,K48=1),"",1)</f>
        <v/>
      </c>
      <c r="E48" s="17">
        <f>IF(OR(J48=0,K48=1),"",IF(L48&gt;0,IF(N(INDEX('3 Catalogue outils'!$A$6:$AC$5005,L48,22))=0,IF(ISTEXT(INDEX('3 Catalogue outils'!$A$6:$AC$5005,L48,22)),INDEX('3 Catalogue outils'!$A$6:$AC$5005,L48,22),"FR"),"FR"),"FR"))</f>
        <v/>
      </c>
      <c r="F48" s="18">
        <f>IF(L48&gt;0,IF(N(INDEX('3 Catalogue outils'!$A$6:$AC$5005,L48,3))=0,"",ROUND(INDEX('3 Catalogue outils'!$A$6:$AC$5005,L48,3),1)),"")</f>
        <v/>
      </c>
      <c r="G48" s="19">
        <f>IF(OR(D48="",INDEX('2 Import devis'!$G$6:$G$29,J48)=""),"",INDEX('2 Import devis'!$G$6:$G$29,J48))</f>
        <v/>
      </c>
      <c r="I48" s="13">
        <f>IF(J48=0,0,1)</f>
        <v/>
      </c>
      <c r="J48" s="13">
        <f>IF(34&gt;MAX('2 Import devis'!$L$6:$L$29),0,COUNTIF('2 Import devis'!$L$6:$L$29,"&lt;"&amp;34)+1)</f>
        <v/>
      </c>
      <c r="K48" s="13">
        <f>IF(J48=0,0,IF(N(INDEX('2 Import devis'!$C$6:$C$29,J48))=0,1,0))</f>
        <v/>
      </c>
      <c r="L48" s="13">
        <f>IF(OR(J48=0,K48=1,B48=""),0,IFERROR(MATCH(B48,'3 Catalogue outils'!$A$6:$A$5005,0),0))</f>
        <v/>
      </c>
      <c r="M48" s="20">
        <f>IF(L48&gt;0,IF(INDEX('3 Catalogue outils'!$A$6:$AC$5005,L48,20)=0,"",INDEX('3 Catalogue outils'!$A$6:$AC$5005,L48,20)),"")</f>
        <v/>
      </c>
      <c r="N48" s="20">
        <f>IF(L48&gt;0,IF(INDEX('3 Catalogue outils'!$A$6:$AC$5005,L48,23)=0,"",INDEX('3 Catalogue outils'!$A$6:$AC$5005,L48,23)),"")</f>
        <v/>
      </c>
      <c r="O48" s="21">
        <f>IF(L48&gt;0,IF(INDEX('3 Catalogue outils'!$A$6:$AC$5005,L48,4)=0,"",INDEX('3 Catalogue outils'!$A$6:$AC$5005,L48,4)),"")</f>
        <v/>
      </c>
      <c r="P48" s="20">
        <f>IF(L48&gt;0,IF(INDEX('3 Catalogue outils'!$A$6:$AC$5005,L48,5)=0,"",INDEX('3 Catalogue outils'!$A$6:$AC$5005,L48,5)),"")</f>
        <v/>
      </c>
    </row>
    <row r="49" hidden="1" ht="26" customHeight="1">
      <c r="A49" s="15">
        <f>IF(OR(J49=0,K49=1),"",COUNTIF(K$15:K49,0)-COUNTIF(J$15:J49,0))</f>
        <v/>
      </c>
      <c r="B49" s="15" t="n"/>
      <c r="C49" s="16">
        <f>IF(J49=0,"",IF(K49=1,UPPER(INDEX('2 Import devis'!$B$6:$B$29,J49)),IF(L49&gt;0,TRIM(SUBSTITUTE(INDEX('3 Catalogue outils'!$A$6:$AC$5005,L49,2),CHAR(10)," ")),INDEX('2 Import devis'!$B$6:$B$29,J49))))</f>
        <v/>
      </c>
      <c r="D49" s="17">
        <f>IF(OR(J49=0,K49=1),"",1)</f>
        <v/>
      </c>
      <c r="E49" s="17">
        <f>IF(OR(J49=0,K49=1),"",IF(L49&gt;0,IF(N(INDEX('3 Catalogue outils'!$A$6:$AC$5005,L49,22))=0,IF(ISTEXT(INDEX('3 Catalogue outils'!$A$6:$AC$5005,L49,22)),INDEX('3 Catalogue outils'!$A$6:$AC$5005,L49,22),"FR"),"FR"),"FR"))</f>
        <v/>
      </c>
      <c r="F49" s="18">
        <f>IF(L49&gt;0,IF(N(INDEX('3 Catalogue outils'!$A$6:$AC$5005,L49,3))=0,"",ROUND(INDEX('3 Catalogue outils'!$A$6:$AC$5005,L49,3),1)),"")</f>
        <v/>
      </c>
      <c r="G49" s="19">
        <f>IF(OR(D49="",INDEX('2 Import devis'!$G$6:$G$29,J49)=""),"",INDEX('2 Import devis'!$G$6:$G$29,J49))</f>
        <v/>
      </c>
      <c r="I49" s="13">
        <f>IF(J49=0,0,1)</f>
        <v/>
      </c>
      <c r="J49" s="13">
        <f>IF(35&gt;MAX('2 Import devis'!$L$6:$L$29),0,COUNTIF('2 Import devis'!$L$6:$L$29,"&lt;"&amp;35)+1)</f>
        <v/>
      </c>
      <c r="K49" s="13">
        <f>IF(J49=0,0,IF(N(INDEX('2 Import devis'!$C$6:$C$29,J49))=0,1,0))</f>
        <v/>
      </c>
      <c r="L49" s="13">
        <f>IF(OR(J49=0,K49=1,B49=""),0,IFERROR(MATCH(B49,'3 Catalogue outils'!$A$6:$A$5005,0),0))</f>
        <v/>
      </c>
      <c r="M49" s="20">
        <f>IF(L49&gt;0,IF(INDEX('3 Catalogue outils'!$A$6:$AC$5005,L49,20)=0,"",INDEX('3 Catalogue outils'!$A$6:$AC$5005,L49,20)),"")</f>
        <v/>
      </c>
      <c r="N49" s="20">
        <f>IF(L49&gt;0,IF(INDEX('3 Catalogue outils'!$A$6:$AC$5005,L49,23)=0,"",INDEX('3 Catalogue outils'!$A$6:$AC$5005,L49,23)),"")</f>
        <v/>
      </c>
      <c r="O49" s="21">
        <f>IF(L49&gt;0,IF(INDEX('3 Catalogue outils'!$A$6:$AC$5005,L49,4)=0,"",INDEX('3 Catalogue outils'!$A$6:$AC$5005,L49,4)),"")</f>
        <v/>
      </c>
      <c r="P49" s="20">
        <f>IF(L49&gt;0,IF(INDEX('3 Catalogue outils'!$A$6:$AC$5005,L49,5)=0,"",INDEX('3 Catalogue outils'!$A$6:$AC$5005,L49,5)),"")</f>
        <v/>
      </c>
    </row>
    <row r="50" hidden="1" ht="26" customHeight="1">
      <c r="A50" s="15">
        <f>IF(OR(J50=0,K50=1),"",COUNTIF(K$15:K50,0)-COUNTIF(J$15:J50,0))</f>
        <v/>
      </c>
      <c r="B50" s="15" t="n"/>
      <c r="C50" s="16">
        <f>IF(J50=0,"",IF(K50=1,UPPER(INDEX('2 Import devis'!$B$6:$B$29,J50)),IF(L50&gt;0,TRIM(SUBSTITUTE(INDEX('3 Catalogue outils'!$A$6:$AC$5005,L50,2),CHAR(10)," ")),INDEX('2 Import devis'!$B$6:$B$29,J50))))</f>
        <v/>
      </c>
      <c r="D50" s="17">
        <f>IF(OR(J50=0,K50=1),"",1)</f>
        <v/>
      </c>
      <c r="E50" s="17">
        <f>IF(OR(J50=0,K50=1),"",IF(L50&gt;0,IF(N(INDEX('3 Catalogue outils'!$A$6:$AC$5005,L50,22))=0,IF(ISTEXT(INDEX('3 Catalogue outils'!$A$6:$AC$5005,L50,22)),INDEX('3 Catalogue outils'!$A$6:$AC$5005,L50,22),"FR"),"FR"),"FR"))</f>
        <v/>
      </c>
      <c r="F50" s="18">
        <f>IF(L50&gt;0,IF(N(INDEX('3 Catalogue outils'!$A$6:$AC$5005,L50,3))=0,"",ROUND(INDEX('3 Catalogue outils'!$A$6:$AC$5005,L50,3),1)),"")</f>
        <v/>
      </c>
      <c r="G50" s="19">
        <f>IF(OR(D50="",INDEX('2 Import devis'!$G$6:$G$29,J50)=""),"",INDEX('2 Import devis'!$G$6:$G$29,J50))</f>
        <v/>
      </c>
      <c r="I50" s="13">
        <f>IF(J50=0,0,1)</f>
        <v/>
      </c>
      <c r="J50" s="13">
        <f>IF(36&gt;MAX('2 Import devis'!$L$6:$L$29),0,COUNTIF('2 Import devis'!$L$6:$L$29,"&lt;"&amp;36)+1)</f>
        <v/>
      </c>
      <c r="K50" s="13">
        <f>IF(J50=0,0,IF(N(INDEX('2 Import devis'!$C$6:$C$29,J50))=0,1,0))</f>
        <v/>
      </c>
      <c r="L50" s="13">
        <f>IF(OR(J50=0,K50=1,B50=""),0,IFERROR(MATCH(B50,'3 Catalogue outils'!$A$6:$A$5005,0),0))</f>
        <v/>
      </c>
      <c r="M50" s="20">
        <f>IF(L50&gt;0,IF(INDEX('3 Catalogue outils'!$A$6:$AC$5005,L50,20)=0,"",INDEX('3 Catalogue outils'!$A$6:$AC$5005,L50,20)),"")</f>
        <v/>
      </c>
      <c r="N50" s="20">
        <f>IF(L50&gt;0,IF(INDEX('3 Catalogue outils'!$A$6:$AC$5005,L50,23)=0,"",INDEX('3 Catalogue outils'!$A$6:$AC$5005,L50,23)),"")</f>
        <v/>
      </c>
      <c r="O50" s="21">
        <f>IF(L50&gt;0,IF(INDEX('3 Catalogue outils'!$A$6:$AC$5005,L50,4)=0,"",INDEX('3 Catalogue outils'!$A$6:$AC$5005,L50,4)),"")</f>
        <v/>
      </c>
      <c r="P50" s="20">
        <f>IF(L50&gt;0,IF(INDEX('3 Catalogue outils'!$A$6:$AC$5005,L50,5)=0,"",INDEX('3 Catalogue outils'!$A$6:$AC$5005,L50,5)),"")</f>
        <v/>
      </c>
    </row>
    <row r="51" hidden="1" ht="26" customHeight="1">
      <c r="A51" s="15">
        <f>IF(OR(J51=0,K51=1),"",COUNTIF(K$15:K51,0)-COUNTIF(J$15:J51,0))</f>
        <v/>
      </c>
      <c r="B51" s="15" t="n"/>
      <c r="C51" s="16">
        <f>IF(J51=0,"",IF(K51=1,UPPER(INDEX('2 Import devis'!$B$6:$B$29,J51)),IF(L51&gt;0,TRIM(SUBSTITUTE(INDEX('3 Catalogue outils'!$A$6:$AC$5005,L51,2),CHAR(10)," ")),INDEX('2 Import devis'!$B$6:$B$29,J51))))</f>
        <v/>
      </c>
      <c r="D51" s="17">
        <f>IF(OR(J51=0,K51=1),"",1)</f>
        <v/>
      </c>
      <c r="E51" s="17">
        <f>IF(OR(J51=0,K51=1),"",IF(L51&gt;0,IF(N(INDEX('3 Catalogue outils'!$A$6:$AC$5005,L51,22))=0,IF(ISTEXT(INDEX('3 Catalogue outils'!$A$6:$AC$5005,L51,22)),INDEX('3 Catalogue outils'!$A$6:$AC$5005,L51,22),"FR"),"FR"),"FR"))</f>
        <v/>
      </c>
      <c r="F51" s="18">
        <f>IF(L51&gt;0,IF(N(INDEX('3 Catalogue outils'!$A$6:$AC$5005,L51,3))=0,"",ROUND(INDEX('3 Catalogue outils'!$A$6:$AC$5005,L51,3),1)),"")</f>
        <v/>
      </c>
      <c r="G51" s="19">
        <f>IF(OR(D51="",INDEX('2 Import devis'!$G$6:$G$29,J51)=""),"",INDEX('2 Import devis'!$G$6:$G$29,J51))</f>
        <v/>
      </c>
      <c r="I51" s="13">
        <f>IF(J51=0,0,1)</f>
        <v/>
      </c>
      <c r="J51" s="13">
        <f>IF(37&gt;MAX('2 Import devis'!$L$6:$L$29),0,COUNTIF('2 Import devis'!$L$6:$L$29,"&lt;"&amp;37)+1)</f>
        <v/>
      </c>
      <c r="K51" s="13">
        <f>IF(J51=0,0,IF(N(INDEX('2 Import devis'!$C$6:$C$29,J51))=0,1,0))</f>
        <v/>
      </c>
      <c r="L51" s="13">
        <f>IF(OR(J51=0,K51=1,B51=""),0,IFERROR(MATCH(B51,'3 Catalogue outils'!$A$6:$A$5005,0),0))</f>
        <v/>
      </c>
      <c r="M51" s="20">
        <f>IF(L51&gt;0,IF(INDEX('3 Catalogue outils'!$A$6:$AC$5005,L51,20)=0,"",INDEX('3 Catalogue outils'!$A$6:$AC$5005,L51,20)),"")</f>
        <v/>
      </c>
      <c r="N51" s="20">
        <f>IF(L51&gt;0,IF(INDEX('3 Catalogue outils'!$A$6:$AC$5005,L51,23)=0,"",INDEX('3 Catalogue outils'!$A$6:$AC$5005,L51,23)),"")</f>
        <v/>
      </c>
      <c r="O51" s="21">
        <f>IF(L51&gt;0,IF(INDEX('3 Catalogue outils'!$A$6:$AC$5005,L51,4)=0,"",INDEX('3 Catalogue outils'!$A$6:$AC$5005,L51,4)),"")</f>
        <v/>
      </c>
      <c r="P51" s="20">
        <f>IF(L51&gt;0,IF(INDEX('3 Catalogue outils'!$A$6:$AC$5005,L51,5)=0,"",INDEX('3 Catalogue outils'!$A$6:$AC$5005,L51,5)),"")</f>
        <v/>
      </c>
    </row>
    <row r="52" hidden="1" ht="26" customHeight="1">
      <c r="A52" s="15">
        <f>IF(OR(J52=0,K52=1),"",COUNTIF(K$15:K52,0)-COUNTIF(J$15:J52,0))</f>
        <v/>
      </c>
      <c r="B52" s="15" t="n"/>
      <c r="C52" s="16">
        <f>IF(J52=0,"",IF(K52=1,UPPER(INDEX('2 Import devis'!$B$6:$B$29,J52)),IF(L52&gt;0,TRIM(SUBSTITUTE(INDEX('3 Catalogue outils'!$A$6:$AC$5005,L52,2),CHAR(10)," ")),INDEX('2 Import devis'!$B$6:$B$29,J52))))</f>
        <v/>
      </c>
      <c r="D52" s="17">
        <f>IF(OR(J52=0,K52=1),"",1)</f>
        <v/>
      </c>
      <c r="E52" s="17">
        <f>IF(OR(J52=0,K52=1),"",IF(L52&gt;0,IF(N(INDEX('3 Catalogue outils'!$A$6:$AC$5005,L52,22))=0,IF(ISTEXT(INDEX('3 Catalogue outils'!$A$6:$AC$5005,L52,22)),INDEX('3 Catalogue outils'!$A$6:$AC$5005,L52,22),"FR"),"FR"),"FR"))</f>
        <v/>
      </c>
      <c r="F52" s="18">
        <f>IF(L52&gt;0,IF(N(INDEX('3 Catalogue outils'!$A$6:$AC$5005,L52,3))=0,"",ROUND(INDEX('3 Catalogue outils'!$A$6:$AC$5005,L52,3),1)),"")</f>
        <v/>
      </c>
      <c r="G52" s="19">
        <f>IF(OR(D52="",INDEX('2 Import devis'!$G$6:$G$29,J52)=""),"",INDEX('2 Import devis'!$G$6:$G$29,J52))</f>
        <v/>
      </c>
      <c r="I52" s="13">
        <f>IF(J52=0,0,1)</f>
        <v/>
      </c>
      <c r="J52" s="13">
        <f>IF(38&gt;MAX('2 Import devis'!$L$6:$L$29),0,COUNTIF('2 Import devis'!$L$6:$L$29,"&lt;"&amp;38)+1)</f>
        <v/>
      </c>
      <c r="K52" s="13">
        <f>IF(J52=0,0,IF(N(INDEX('2 Import devis'!$C$6:$C$29,J52))=0,1,0))</f>
        <v/>
      </c>
      <c r="L52" s="13">
        <f>IF(OR(J52=0,K52=1,B52=""),0,IFERROR(MATCH(B52,'3 Catalogue outils'!$A$6:$A$5005,0),0))</f>
        <v/>
      </c>
      <c r="M52" s="20">
        <f>IF(L52&gt;0,IF(INDEX('3 Catalogue outils'!$A$6:$AC$5005,L52,20)=0,"",INDEX('3 Catalogue outils'!$A$6:$AC$5005,L52,20)),"")</f>
        <v/>
      </c>
      <c r="N52" s="20">
        <f>IF(L52&gt;0,IF(INDEX('3 Catalogue outils'!$A$6:$AC$5005,L52,23)=0,"",INDEX('3 Catalogue outils'!$A$6:$AC$5005,L52,23)),"")</f>
        <v/>
      </c>
      <c r="O52" s="21">
        <f>IF(L52&gt;0,IF(INDEX('3 Catalogue outils'!$A$6:$AC$5005,L52,4)=0,"",INDEX('3 Catalogue outils'!$A$6:$AC$5005,L52,4)),"")</f>
        <v/>
      </c>
      <c r="P52" s="20">
        <f>IF(L52&gt;0,IF(INDEX('3 Catalogue outils'!$A$6:$AC$5005,L52,5)=0,"",INDEX('3 Catalogue outils'!$A$6:$AC$5005,L52,5)),"")</f>
        <v/>
      </c>
    </row>
    <row r="53" hidden="1" ht="26" customHeight="1">
      <c r="A53" s="15">
        <f>IF(OR(J53=0,K53=1),"",COUNTIF(K$15:K53,0)-COUNTIF(J$15:J53,0))</f>
        <v/>
      </c>
      <c r="B53" s="15" t="n"/>
      <c r="C53" s="16">
        <f>IF(J53=0,"",IF(K53=1,UPPER(INDEX('2 Import devis'!$B$6:$B$29,J53)),IF(L53&gt;0,TRIM(SUBSTITUTE(INDEX('3 Catalogue outils'!$A$6:$AC$5005,L53,2),CHAR(10)," ")),INDEX('2 Import devis'!$B$6:$B$29,J53))))</f>
        <v/>
      </c>
      <c r="D53" s="17">
        <f>IF(OR(J53=0,K53=1),"",1)</f>
        <v/>
      </c>
      <c r="E53" s="17">
        <f>IF(OR(J53=0,K53=1),"",IF(L53&gt;0,IF(N(INDEX('3 Catalogue outils'!$A$6:$AC$5005,L53,22))=0,IF(ISTEXT(INDEX('3 Catalogue outils'!$A$6:$AC$5005,L53,22)),INDEX('3 Catalogue outils'!$A$6:$AC$5005,L53,22),"FR"),"FR"),"FR"))</f>
        <v/>
      </c>
      <c r="F53" s="18">
        <f>IF(L53&gt;0,IF(N(INDEX('3 Catalogue outils'!$A$6:$AC$5005,L53,3))=0,"",ROUND(INDEX('3 Catalogue outils'!$A$6:$AC$5005,L53,3),1)),"")</f>
        <v/>
      </c>
      <c r="G53" s="19">
        <f>IF(OR(D53="",INDEX('2 Import devis'!$G$6:$G$29,J53)=""),"",INDEX('2 Import devis'!$G$6:$G$29,J53))</f>
        <v/>
      </c>
      <c r="I53" s="13">
        <f>IF(J53=0,0,1)</f>
        <v/>
      </c>
      <c r="J53" s="13">
        <f>IF(39&gt;MAX('2 Import devis'!$L$6:$L$29),0,COUNTIF('2 Import devis'!$L$6:$L$29,"&lt;"&amp;39)+1)</f>
        <v/>
      </c>
      <c r="K53" s="13">
        <f>IF(J53=0,0,IF(N(INDEX('2 Import devis'!$C$6:$C$29,J53))=0,1,0))</f>
        <v/>
      </c>
      <c r="L53" s="13">
        <f>IF(OR(J53=0,K53=1,B53=""),0,IFERROR(MATCH(B53,'3 Catalogue outils'!$A$6:$A$5005,0),0))</f>
        <v/>
      </c>
      <c r="M53" s="20">
        <f>IF(L53&gt;0,IF(INDEX('3 Catalogue outils'!$A$6:$AC$5005,L53,20)=0,"",INDEX('3 Catalogue outils'!$A$6:$AC$5005,L53,20)),"")</f>
        <v/>
      </c>
      <c r="N53" s="20">
        <f>IF(L53&gt;0,IF(INDEX('3 Catalogue outils'!$A$6:$AC$5005,L53,23)=0,"",INDEX('3 Catalogue outils'!$A$6:$AC$5005,L53,23)),"")</f>
        <v/>
      </c>
      <c r="O53" s="21">
        <f>IF(L53&gt;0,IF(INDEX('3 Catalogue outils'!$A$6:$AC$5005,L53,4)=0,"",INDEX('3 Catalogue outils'!$A$6:$AC$5005,L53,4)),"")</f>
        <v/>
      </c>
      <c r="P53" s="20">
        <f>IF(L53&gt;0,IF(INDEX('3 Catalogue outils'!$A$6:$AC$5005,L53,5)=0,"",INDEX('3 Catalogue outils'!$A$6:$AC$5005,L53,5)),"")</f>
        <v/>
      </c>
    </row>
    <row r="54" hidden="1" ht="26" customHeight="1">
      <c r="A54" s="15">
        <f>IF(OR(J54=0,K54=1),"",COUNTIF(K$15:K54,0)-COUNTIF(J$15:J54,0))</f>
        <v/>
      </c>
      <c r="B54" s="15" t="n"/>
      <c r="C54" s="16">
        <f>IF(J54=0,"",IF(K54=1,UPPER(INDEX('2 Import devis'!$B$6:$B$29,J54)),IF(L54&gt;0,TRIM(SUBSTITUTE(INDEX('3 Catalogue outils'!$A$6:$AC$5005,L54,2),CHAR(10)," ")),INDEX('2 Import devis'!$B$6:$B$29,J54))))</f>
        <v/>
      </c>
      <c r="D54" s="17">
        <f>IF(OR(J54=0,K54=1),"",1)</f>
        <v/>
      </c>
      <c r="E54" s="17">
        <f>IF(OR(J54=0,K54=1),"",IF(L54&gt;0,IF(N(INDEX('3 Catalogue outils'!$A$6:$AC$5005,L54,22))=0,IF(ISTEXT(INDEX('3 Catalogue outils'!$A$6:$AC$5005,L54,22)),INDEX('3 Catalogue outils'!$A$6:$AC$5005,L54,22),"FR"),"FR"),"FR"))</f>
        <v/>
      </c>
      <c r="F54" s="18">
        <f>IF(L54&gt;0,IF(N(INDEX('3 Catalogue outils'!$A$6:$AC$5005,L54,3))=0,"",ROUND(INDEX('3 Catalogue outils'!$A$6:$AC$5005,L54,3),1)),"")</f>
        <v/>
      </c>
      <c r="G54" s="19">
        <f>IF(OR(D54="",INDEX('2 Import devis'!$G$6:$G$29,J54)=""),"",INDEX('2 Import devis'!$G$6:$G$29,J54))</f>
        <v/>
      </c>
      <c r="I54" s="13">
        <f>IF(J54=0,0,1)</f>
        <v/>
      </c>
      <c r="J54" s="13">
        <f>IF(40&gt;MAX('2 Import devis'!$L$6:$L$29),0,COUNTIF('2 Import devis'!$L$6:$L$29,"&lt;"&amp;40)+1)</f>
        <v/>
      </c>
      <c r="K54" s="13">
        <f>IF(J54=0,0,IF(N(INDEX('2 Import devis'!$C$6:$C$29,J54))=0,1,0))</f>
        <v/>
      </c>
      <c r="L54" s="13">
        <f>IF(OR(J54=0,K54=1,B54=""),0,IFERROR(MATCH(B54,'3 Catalogue outils'!$A$6:$A$5005,0),0))</f>
        <v/>
      </c>
      <c r="M54" s="20">
        <f>IF(L54&gt;0,IF(INDEX('3 Catalogue outils'!$A$6:$AC$5005,L54,20)=0,"",INDEX('3 Catalogue outils'!$A$6:$AC$5005,L54,20)),"")</f>
        <v/>
      </c>
      <c r="N54" s="20">
        <f>IF(L54&gt;0,IF(INDEX('3 Catalogue outils'!$A$6:$AC$5005,L54,23)=0,"",INDEX('3 Catalogue outils'!$A$6:$AC$5005,L54,23)),"")</f>
        <v/>
      </c>
      <c r="O54" s="21">
        <f>IF(L54&gt;0,IF(INDEX('3 Catalogue outils'!$A$6:$AC$5005,L54,4)=0,"",INDEX('3 Catalogue outils'!$A$6:$AC$5005,L54,4)),"")</f>
        <v/>
      </c>
      <c r="P54" s="20">
        <f>IF(L54&gt;0,IF(INDEX('3 Catalogue outils'!$A$6:$AC$5005,L54,5)=0,"",INDEX('3 Catalogue outils'!$A$6:$AC$5005,L54,5)),"")</f>
        <v/>
      </c>
    </row>
    <row r="55" ht="24" customHeight="1">
      <c r="A55" s="22" t="inlineStr">
        <is>
          <t>TOTAL</t>
        </is>
      </c>
      <c r="B55" s="23" t="n"/>
      <c r="C55" s="23" t="n"/>
      <c r="D55" s="24">
        <f>SUM(D15:D54)</f>
        <v/>
      </c>
      <c r="E55" s="24" t="n"/>
      <c r="F55" s="25">
        <f>SUMPRODUCT(IF(ISNUMBER(D15:D54),D15:D54,0)*IF(ISNUMBER(F15:F54),F15:F54,0))</f>
        <v/>
      </c>
      <c r="G55" s="26">
        <f>SUMPRODUCT(IF(ISNUMBER(D15:D54),D15:D54,0)*IF(ISNUMBER(G15:G54),G15:G54,0))</f>
        <v/>
      </c>
    </row>
    <row r="56" ht="18" customHeight="1"/>
    <row r="57" ht="18" customHeight="1"/>
    <row r="58" ht="22" customHeight="1">
      <c r="A58" s="27" t="inlineStr">
        <is>
          <t>COLISAGE · PACKING (ensemble des articles)</t>
        </is>
      </c>
      <c r="B58" s="1" t="n"/>
      <c r="C58" s="1" t="n"/>
      <c r="D58" s="1" t="n"/>
      <c r="E58" s="1" t="n"/>
      <c r="F58" s="1" t="n"/>
      <c r="G58" s="1" t="n"/>
    </row>
    <row r="59" ht="30" customHeight="1">
      <c r="A59" s="12" t="inlineStr">
        <is>
          <t>Colis · Package</t>
        </is>
      </c>
      <c r="B59" s="12" t="inlineStr">
        <is>
          <t>Type de colisage · Type</t>
        </is>
      </c>
      <c r="C59" s="12" t="inlineStr">
        <is>
          <t>Dimensions L × l × h (cm)</t>
        </is>
      </c>
      <c r="F59" s="12" t="inlineStr">
        <is>
          <t>Poids brut
kg</t>
        </is>
      </c>
      <c r="G59" s="12" t="inlineStr">
        <is>
          <t>Volume
m³</t>
        </is>
      </c>
    </row>
    <row r="60" ht="26" customHeight="1">
      <c r="A60" s="28" t="inlineStr">
        <is>
          <t>Colis 1</t>
        </is>
      </c>
      <c r="B60" s="29" t="inlineStr">
        <is>
          <t>Fishing basket</t>
        </is>
      </c>
      <c r="C60" s="29" t="inlineStr">
        <is>
          <t>120 × 80 × 60</t>
        </is>
      </c>
      <c r="D60" s="30" t="n"/>
      <c r="E60" s="30" t="n"/>
      <c r="F60" s="31" t="n">
        <v>145</v>
      </c>
      <c r="G60" s="32" t="n">
        <v>0.576</v>
      </c>
    </row>
    <row r="61" ht="26" customHeight="1">
      <c r="A61" s="28" t="inlineStr">
        <is>
          <t>Colis 2</t>
        </is>
      </c>
      <c r="B61" s="29" t="n"/>
      <c r="C61" s="29" t="n"/>
      <c r="D61" s="30" t="n"/>
      <c r="E61" s="30" t="n"/>
      <c r="F61" s="31" t="n"/>
      <c r="G61" s="32" t="n"/>
    </row>
    <row r="62" ht="26" customHeight="1">
      <c r="A62" s="28" t="inlineStr">
        <is>
          <t>Colis 3</t>
        </is>
      </c>
      <c r="B62" s="29" t="n"/>
      <c r="C62" s="29" t="n"/>
      <c r="D62" s="30" t="n"/>
      <c r="E62" s="30" t="n"/>
      <c r="F62" s="31" t="n"/>
      <c r="G62" s="32" t="n"/>
    </row>
    <row r="63" ht="22" customHeight="1">
      <c r="A63" s="33">
        <f>"TOTAL  ·  "&amp;COUNTA(B60:B62)&amp;" colis"</f>
        <v/>
      </c>
      <c r="B63" s="27" t="n"/>
      <c r="C63" s="27" t="n"/>
      <c r="D63" s="27" t="n"/>
      <c r="E63" s="27" t="n"/>
      <c r="F63" s="34">
        <f>SUM(F60:F62)</f>
        <v/>
      </c>
      <c r="G63" s="35">
        <f>SUM(G60:G62)</f>
        <v/>
      </c>
    </row>
    <row r="65" ht="26" customHeight="1">
      <c r="A65" s="36" t="inlineStr">
        <is>
          <t>Marchandises reçues en bon état, à retourner à Enedril à la fin de la location · Goods received in good condition, to be returned to Enedril at the end of the rental</t>
        </is>
      </c>
    </row>
    <row r="66" ht="17" customHeight="1">
      <c r="A66" s="37" t="inlineStr">
        <is>
          <t>EXPÉDITEUR · ENEDRIL
Nom, date, signature</t>
        </is>
      </c>
      <c r="B66" s="38" t="n"/>
      <c r="C66" s="39" t="inlineStr">
        <is>
          <t>TRANSPORTEUR
Nom, date, signature</t>
        </is>
      </c>
      <c r="D66" s="37" t="inlineStr">
        <is>
          <t>RÉCEPTION CLIENT · RECEIVED BY
Nom, date, signature, cachet</t>
        </is>
      </c>
      <c r="E66" s="40" t="n"/>
      <c r="F66" s="40" t="n"/>
      <c r="G66" s="38" t="n"/>
    </row>
    <row r="67" ht="17" customHeight="1">
      <c r="A67" s="41" t="n"/>
      <c r="B67" s="42" t="n"/>
      <c r="C67" s="43" t="n"/>
      <c r="D67" s="41" t="n"/>
      <c r="E67" s="44" t="n"/>
      <c r="F67" s="44" t="n"/>
      <c r="G67" s="42" t="n"/>
    </row>
    <row r="68" ht="17" customHeight="1">
      <c r="A68" s="41" t="n"/>
      <c r="B68" s="42" t="n"/>
      <c r="C68" s="43" t="n"/>
      <c r="D68" s="41" t="n"/>
      <c r="E68" s="44" t="n"/>
      <c r="F68" s="44" t="n"/>
      <c r="G68" s="42" t="n"/>
    </row>
    <row r="69" ht="17" customHeight="1">
      <c r="A69" s="45" t="n"/>
      <c r="B69" s="46" t="n"/>
      <c r="C69" s="47" t="n"/>
      <c r="D69" s="45" t="n"/>
      <c r="E69" s="48" t="n"/>
      <c r="F69" s="48" t="n"/>
      <c r="G69" s="46" t="n"/>
    </row>
  </sheetData>
  <autoFilter ref="A14:I54">
    <filterColumn colId="0" hiddenButton="1" showButton="0"/>
    <filterColumn colId="1" hiddenButton="1" showButton="0"/>
    <filterColumn colId="2" hiddenButton="1" showButton="0"/>
    <filterColumn colId="3" hiddenButton="1" showButton="0"/>
    <filterColumn colId="4" hiddenButton="1" showButton="0"/>
    <filterColumn colId="5" hiddenButton="1" showButton="0"/>
    <filterColumn colId="6" hiddenButton="1" showButton="0"/>
    <filterColumn colId="7" hiddenButton="1" showButton="0"/>
    <filterColumn colId="8" hiddenButton="1" showButton="0">
      <customFilters>
        <customFilter val="0" operator="greaterThan"/>
      </customFilters>
    </filterColumn>
  </autoFilter>
  <mergeCells count="31">
    <mergeCell ref="D9:G9"/>
    <mergeCell ref="D12:G12"/>
    <mergeCell ref="D8:G8"/>
    <mergeCell ref="A4:G4"/>
    <mergeCell ref="A55:C55"/>
    <mergeCell ref="A12:C12"/>
    <mergeCell ref="D5:G5"/>
    <mergeCell ref="C59:E59"/>
    <mergeCell ref="A6:B6"/>
    <mergeCell ref="A13:G13"/>
    <mergeCell ref="C60:E60"/>
    <mergeCell ref="A58:G58"/>
    <mergeCell ref="A7:B7"/>
    <mergeCell ref="C61:E61"/>
    <mergeCell ref="C1:G1"/>
    <mergeCell ref="D10:G10"/>
    <mergeCell ref="D66:G69"/>
    <mergeCell ref="C2:G2"/>
    <mergeCell ref="D6:G6"/>
    <mergeCell ref="A5:B5"/>
    <mergeCell ref="D11:G11"/>
    <mergeCell ref="A65:G65"/>
    <mergeCell ref="A8:B8"/>
    <mergeCell ref="C62:E62"/>
    <mergeCell ref="C66:C69"/>
    <mergeCell ref="A11:C11"/>
    <mergeCell ref="A10:B10"/>
    <mergeCell ref="A63:E63"/>
    <mergeCell ref="D7:G7"/>
    <mergeCell ref="A9:B9"/>
    <mergeCell ref="A66:B69"/>
  </mergeCells>
  <conditionalFormatting sqref="E15:E54">
    <cfRule type="expression" priority="1" dxfId="0" stopIfTrue="1">
      <formula>AND($K15=1)</formula>
    </cfRule>
  </conditionalFormatting>
  <conditionalFormatting sqref="A15:G54">
    <cfRule type="expression" priority="2" dxfId="1" stopIfTrue="1">
      <formula>AND($K15=1)</formula>
    </cfRule>
    <cfRule type="expression" priority="3" stopIfTrue="0">
      <formula>$K15=0</formula>
    </cfRule>
  </conditionalFormatting>
  <dataValidations count="2">
    <dataValidation sqref="B15:B54" showDropDown="0" showInputMessage="0" showErrorMessage="0" allowBlank="1" type="list">
      <formula1>='3 Catalogue outils'!$A$6:$A$5005</formula1>
    </dataValidation>
    <dataValidation sqref="B60:B62" showDropDown="0" showInputMessage="0" showErrorMessage="0" allowBlank="1" type="list">
      <formula1>=Listes!$A$2:$A$6</formula1>
    </dataValidation>
  </dataValidations>
  <pageMargins left="0.4" right="0.4" top="0.4" bottom="0.5" header="0.5" footer="0.5"/>
  <pageSetup orientation="portrait" paperSize="9" fitToHeight="0" fitToWidth="1"/>
  <headerFooter>
    <oddHeader/>
    <oddFooter>&amp;C&amp;8 Enedril · Bon de livraison &amp;P /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AEEF"/>
    <outlinePr summaryBelow="1" summaryRight="1"/>
    <pageSetUpPr fitToPage="1"/>
  </sheetPr>
  <dimension ref="A1:L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0" customWidth="1" min="2" max="2"/>
    <col width="7" customWidth="1" min="3" max="3"/>
    <col width="10" customWidth="1" min="4" max="4"/>
    <col width="10" customWidth="1" min="5" max="5"/>
    <col width="10" customWidth="1" min="6" max="6"/>
    <col width="12" customWidth="1" min="7" max="7"/>
    <col width="10" customWidth="1" min="8" max="8"/>
    <col width="10" customWidth="1" min="9" max="9"/>
    <col hidden="1" width="13" customWidth="1" min="11" max="11"/>
    <col hidden="1" width="13" customWidth="1" min="12" max="12"/>
  </cols>
  <sheetData>
    <row r="1" ht="30" customHeight="1">
      <c r="A1" s="1" t="n"/>
      <c r="B1" s="49" t="inlineStr">
        <is>
          <t>IMPORT DU DEVIS</t>
        </is>
      </c>
      <c r="C1" s="1" t="n"/>
      <c r="D1" s="1" t="n"/>
      <c r="E1" s="1" t="n"/>
      <c r="F1" s="1" t="n"/>
      <c r="G1" s="1" t="n"/>
      <c r="H1" s="1" t="n"/>
      <c r="I1" s="1" t="n"/>
    </row>
    <row r="2" ht="20" customHeight="1">
      <c r="A2" s="1" t="n"/>
      <c r="B2" s="50" t="inlineStr">
        <is>
          <t>Dans le classeur Devis, onglet « 2 Matériel » : copier les colonnes C à J (lignes 6 à 29) et les coller ici en B6. Seuls la description, la quantité et la valeur de remplacement passent sur le BL.</t>
        </is>
      </c>
      <c r="C2" s="1" t="n"/>
      <c r="D2" s="1" t="n"/>
      <c r="E2" s="1" t="n"/>
      <c r="F2" s="1" t="n"/>
      <c r="G2" s="1" t="n"/>
      <c r="H2" s="1" t="n"/>
      <c r="I2" s="1" t="n"/>
    </row>
    <row r="3" ht="5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</row>
    <row r="5" ht="32" customHeight="1">
      <c r="B5" s="51" t="inlineStr">
        <is>
          <t>Description</t>
        </is>
      </c>
      <c r="C5" s="51" t="inlineStr">
        <is>
          <t>Qté</t>
        </is>
      </c>
      <c r="D5" s="52" t="inlineStr">
        <is>
          <t>Stand-by</t>
        </is>
      </c>
      <c r="E5" s="52" t="inlineStr">
        <is>
          <t>Opér.</t>
        </is>
      </c>
      <c r="F5" s="52" t="inlineStr">
        <is>
          <t>UC</t>
        </is>
      </c>
      <c r="G5" s="51" t="inlineStr">
        <is>
          <t>Valeur remplac.
(LIH / DBR)</t>
        </is>
      </c>
      <c r="H5" s="52" t="inlineStr">
        <is>
          <t>Inspection</t>
        </is>
      </c>
      <c r="I5" s="52" t="inlineStr">
        <is>
          <t>Restocking</t>
        </is>
      </c>
      <c r="K5" s="13" t="inlineStr">
        <is>
          <t>lignes BL</t>
        </is>
      </c>
      <c r="L5" s="13" t="inlineStr">
        <is>
          <t>cumul</t>
        </is>
      </c>
    </row>
    <row r="6">
      <c r="B6" s="53" t="inlineStr">
        <is>
          <t>BHA #1</t>
        </is>
      </c>
      <c r="C6" s="54" t="n"/>
      <c r="D6" s="55" t="n"/>
      <c r="E6" s="55" t="n"/>
      <c r="F6" s="55" t="n"/>
      <c r="G6" s="55" t="n"/>
      <c r="H6" s="55" t="n"/>
      <c r="I6" s="55" t="n"/>
      <c r="K6" s="13">
        <f>IF(B6="",0,IF(N(C6)=0,1,MAX(1,INT(C6))))</f>
        <v/>
      </c>
      <c r="L6" s="13">
        <f>SUM(K$6:K6)</f>
        <v/>
      </c>
    </row>
    <row r="7">
      <c r="B7" s="53" t="inlineStr">
        <is>
          <t>Bit Sub 3-1/2" IF Box x 3-1/2" REG Box BF</t>
        </is>
      </c>
      <c r="C7" s="54" t="n">
        <v>1</v>
      </c>
      <c r="D7" s="55" t="n">
        <v>85</v>
      </c>
      <c r="E7" s="55" t="n">
        <v>120</v>
      </c>
      <c r="F7" s="55" t="n">
        <v>40</v>
      </c>
      <c r="G7" s="55" t="n">
        <v>4200</v>
      </c>
      <c r="H7" s="55" t="n">
        <v>150</v>
      </c>
      <c r="I7" s="55" t="n">
        <v>600</v>
      </c>
      <c r="K7" s="13">
        <f>IF(B7="",0,IF(N(C7)=0,1,MAX(1,INT(C7))))</f>
        <v/>
      </c>
      <c r="L7" s="13">
        <f>SUM(K$6:K7)</f>
        <v/>
      </c>
    </row>
    <row r="8">
      <c r="B8" s="53" t="inlineStr">
        <is>
          <t>Extension 11-3/4" FS</t>
        </is>
      </c>
      <c r="C8" s="54" t="n">
        <v>1</v>
      </c>
      <c r="D8" s="55" t="n">
        <v>20</v>
      </c>
      <c r="E8" s="55" t="n">
        <v>30</v>
      </c>
      <c r="F8" s="55" t="n">
        <v>10</v>
      </c>
      <c r="G8" s="55" t="n">
        <v>900</v>
      </c>
      <c r="H8" s="55" t="n">
        <v>60</v>
      </c>
      <c r="I8" s="55" t="n">
        <v>150</v>
      </c>
      <c r="K8" s="13">
        <f>IF(B8="",0,IF(N(C8)=0,1,MAX(1,INT(C8))))</f>
        <v/>
      </c>
      <c r="L8" s="13">
        <f>SUM(K$6:K8)</f>
        <v/>
      </c>
    </row>
    <row r="9">
      <c r="B9" s="53" t="inlineStr">
        <is>
          <t>Extension 3-7/8" SH</t>
        </is>
      </c>
      <c r="C9" s="54" t="n">
        <v>2</v>
      </c>
      <c r="D9" s="55" t="n">
        <v>20</v>
      </c>
      <c r="E9" s="55" t="n">
        <v>30</v>
      </c>
      <c r="F9" s="55" t="n">
        <v>10</v>
      </c>
      <c r="G9" s="55" t="n">
        <v>900</v>
      </c>
      <c r="H9" s="55" t="n">
        <v>60</v>
      </c>
      <c r="I9" s="55" t="n">
        <v>150</v>
      </c>
      <c r="K9" s="13">
        <f>IF(B9="",0,IF(N(C9)=0,1,MAX(1,INT(C9))))</f>
        <v/>
      </c>
      <c r="L9" s="13">
        <f>SUM(K$6:K9)</f>
        <v/>
      </c>
    </row>
    <row r="10">
      <c r="B10" s="53" t="n"/>
      <c r="C10" s="54" t="n"/>
      <c r="D10" s="55" t="n"/>
      <c r="E10" s="55" t="n"/>
      <c r="F10" s="55" t="n"/>
      <c r="G10" s="55" t="n"/>
      <c r="H10" s="55" t="n"/>
      <c r="I10" s="55" t="n"/>
      <c r="K10" s="13">
        <f>IF(B10="",0,IF(N(C10)=0,1,MAX(1,INT(C10))))</f>
        <v/>
      </c>
      <c r="L10" s="13">
        <f>SUM(K$6:K10)</f>
        <v/>
      </c>
    </row>
    <row r="11">
      <c r="B11" s="53" t="n"/>
      <c r="C11" s="54" t="n"/>
      <c r="D11" s="55" t="n"/>
      <c r="E11" s="55" t="n"/>
      <c r="F11" s="55" t="n"/>
      <c r="G11" s="55" t="n"/>
      <c r="H11" s="55" t="n"/>
      <c r="I11" s="55" t="n"/>
      <c r="K11" s="13">
        <f>IF(B11="",0,IF(N(C11)=0,1,MAX(1,INT(C11))))</f>
        <v/>
      </c>
      <c r="L11" s="13">
        <f>SUM(K$6:K11)</f>
        <v/>
      </c>
    </row>
    <row r="12">
      <c r="B12" s="53" t="n"/>
      <c r="C12" s="54" t="n"/>
      <c r="D12" s="55" t="n"/>
      <c r="E12" s="55" t="n"/>
      <c r="F12" s="55" t="n"/>
      <c r="G12" s="55" t="n"/>
      <c r="H12" s="55" t="n"/>
      <c r="I12" s="55" t="n"/>
      <c r="K12" s="13">
        <f>IF(B12="",0,IF(N(C12)=0,1,MAX(1,INT(C12))))</f>
        <v/>
      </c>
      <c r="L12" s="13">
        <f>SUM(K$6:K12)</f>
        <v/>
      </c>
    </row>
    <row r="13">
      <c r="B13" s="53" t="n"/>
      <c r="C13" s="54" t="n"/>
      <c r="D13" s="55" t="n"/>
      <c r="E13" s="55" t="n"/>
      <c r="F13" s="55" t="n"/>
      <c r="G13" s="55" t="n"/>
      <c r="H13" s="55" t="n"/>
      <c r="I13" s="55" t="n"/>
      <c r="K13" s="13">
        <f>IF(B13="",0,IF(N(C13)=0,1,MAX(1,INT(C13))))</f>
        <v/>
      </c>
      <c r="L13" s="13">
        <f>SUM(K$6:K13)</f>
        <v/>
      </c>
    </row>
    <row r="14">
      <c r="B14" s="53" t="n"/>
      <c r="C14" s="54" t="n"/>
      <c r="D14" s="55" t="n"/>
      <c r="E14" s="55" t="n"/>
      <c r="F14" s="55" t="n"/>
      <c r="G14" s="55" t="n"/>
      <c r="H14" s="55" t="n"/>
      <c r="I14" s="55" t="n"/>
      <c r="K14" s="13">
        <f>IF(B14="",0,IF(N(C14)=0,1,MAX(1,INT(C14))))</f>
        <v/>
      </c>
      <c r="L14" s="13">
        <f>SUM(K$6:K14)</f>
        <v/>
      </c>
    </row>
    <row r="15">
      <c r="B15" s="53" t="n"/>
      <c r="C15" s="54" t="n"/>
      <c r="D15" s="55" t="n"/>
      <c r="E15" s="55" t="n"/>
      <c r="F15" s="55" t="n"/>
      <c r="G15" s="55" t="n"/>
      <c r="H15" s="55" t="n"/>
      <c r="I15" s="55" t="n"/>
      <c r="K15" s="13">
        <f>IF(B15="",0,IF(N(C15)=0,1,MAX(1,INT(C15))))</f>
        <v/>
      </c>
      <c r="L15" s="13">
        <f>SUM(K$6:K15)</f>
        <v/>
      </c>
    </row>
    <row r="16">
      <c r="B16" s="53" t="n"/>
      <c r="C16" s="54" t="n"/>
      <c r="D16" s="55" t="n"/>
      <c r="E16" s="55" t="n"/>
      <c r="F16" s="55" t="n"/>
      <c r="G16" s="55" t="n"/>
      <c r="H16" s="55" t="n"/>
      <c r="I16" s="55" t="n"/>
      <c r="K16" s="13">
        <f>IF(B16="",0,IF(N(C16)=0,1,MAX(1,INT(C16))))</f>
        <v/>
      </c>
      <c r="L16" s="13">
        <f>SUM(K$6:K16)</f>
        <v/>
      </c>
    </row>
    <row r="17">
      <c r="B17" s="53" t="n"/>
      <c r="C17" s="54" t="n"/>
      <c r="D17" s="55" t="n"/>
      <c r="E17" s="55" t="n"/>
      <c r="F17" s="55" t="n"/>
      <c r="G17" s="55" t="n"/>
      <c r="H17" s="55" t="n"/>
      <c r="I17" s="55" t="n"/>
      <c r="K17" s="13">
        <f>IF(B17="",0,IF(N(C17)=0,1,MAX(1,INT(C17))))</f>
        <v/>
      </c>
      <c r="L17" s="13">
        <f>SUM(K$6:K17)</f>
        <v/>
      </c>
    </row>
    <row r="18">
      <c r="B18" s="53" t="n"/>
      <c r="C18" s="54" t="n"/>
      <c r="D18" s="55" t="n"/>
      <c r="E18" s="55" t="n"/>
      <c r="F18" s="55" t="n"/>
      <c r="G18" s="55" t="n"/>
      <c r="H18" s="55" t="n"/>
      <c r="I18" s="55" t="n"/>
      <c r="K18" s="13">
        <f>IF(B18="",0,IF(N(C18)=0,1,MAX(1,INT(C18))))</f>
        <v/>
      </c>
      <c r="L18" s="13">
        <f>SUM(K$6:K18)</f>
        <v/>
      </c>
    </row>
    <row r="19">
      <c r="B19" s="53" t="n"/>
      <c r="C19" s="54" t="n"/>
      <c r="D19" s="55" t="n"/>
      <c r="E19" s="55" t="n"/>
      <c r="F19" s="55" t="n"/>
      <c r="G19" s="55" t="n"/>
      <c r="H19" s="55" t="n"/>
      <c r="I19" s="55" t="n"/>
      <c r="K19" s="13">
        <f>IF(B19="",0,IF(N(C19)=0,1,MAX(1,INT(C19))))</f>
        <v/>
      </c>
      <c r="L19" s="13">
        <f>SUM(K$6:K19)</f>
        <v/>
      </c>
    </row>
    <row r="20">
      <c r="B20" s="53" t="n"/>
      <c r="C20" s="54" t="n"/>
      <c r="D20" s="55" t="n"/>
      <c r="E20" s="55" t="n"/>
      <c r="F20" s="55" t="n"/>
      <c r="G20" s="55" t="n"/>
      <c r="H20" s="55" t="n"/>
      <c r="I20" s="55" t="n"/>
      <c r="K20" s="13">
        <f>IF(B20="",0,IF(N(C20)=0,1,MAX(1,INT(C20))))</f>
        <v/>
      </c>
      <c r="L20" s="13">
        <f>SUM(K$6:K20)</f>
        <v/>
      </c>
    </row>
    <row r="21">
      <c r="B21" s="53" t="n"/>
      <c r="C21" s="54" t="n"/>
      <c r="D21" s="55" t="n"/>
      <c r="E21" s="55" t="n"/>
      <c r="F21" s="55" t="n"/>
      <c r="G21" s="55" t="n"/>
      <c r="H21" s="55" t="n"/>
      <c r="I21" s="55" t="n"/>
      <c r="K21" s="13">
        <f>IF(B21="",0,IF(N(C21)=0,1,MAX(1,INT(C21))))</f>
        <v/>
      </c>
      <c r="L21" s="13">
        <f>SUM(K$6:K21)</f>
        <v/>
      </c>
    </row>
    <row r="22">
      <c r="B22" s="53" t="n"/>
      <c r="C22" s="54" t="n"/>
      <c r="D22" s="55" t="n"/>
      <c r="E22" s="55" t="n"/>
      <c r="F22" s="55" t="n"/>
      <c r="G22" s="55" t="n"/>
      <c r="H22" s="55" t="n"/>
      <c r="I22" s="55" t="n"/>
      <c r="K22" s="13">
        <f>IF(B22="",0,IF(N(C22)=0,1,MAX(1,INT(C22))))</f>
        <v/>
      </c>
      <c r="L22" s="13">
        <f>SUM(K$6:K22)</f>
        <v/>
      </c>
    </row>
    <row r="23">
      <c r="B23" s="53" t="n"/>
      <c r="C23" s="54" t="n"/>
      <c r="D23" s="55" t="n"/>
      <c r="E23" s="55" t="n"/>
      <c r="F23" s="55" t="n"/>
      <c r="G23" s="55" t="n"/>
      <c r="H23" s="55" t="n"/>
      <c r="I23" s="55" t="n"/>
      <c r="K23" s="13">
        <f>IF(B23="",0,IF(N(C23)=0,1,MAX(1,INT(C23))))</f>
        <v/>
      </c>
      <c r="L23" s="13">
        <f>SUM(K$6:K23)</f>
        <v/>
      </c>
    </row>
    <row r="24">
      <c r="B24" s="53" t="n"/>
      <c r="C24" s="54" t="n"/>
      <c r="D24" s="55" t="n"/>
      <c r="E24" s="55" t="n"/>
      <c r="F24" s="55" t="n"/>
      <c r="G24" s="55" t="n"/>
      <c r="H24" s="55" t="n"/>
      <c r="I24" s="55" t="n"/>
      <c r="K24" s="13">
        <f>IF(B24="",0,IF(N(C24)=0,1,MAX(1,INT(C24))))</f>
        <v/>
      </c>
      <c r="L24" s="13">
        <f>SUM(K$6:K24)</f>
        <v/>
      </c>
    </row>
    <row r="25">
      <c r="B25" s="53" t="n"/>
      <c r="C25" s="54" t="n"/>
      <c r="D25" s="55" t="n"/>
      <c r="E25" s="55" t="n"/>
      <c r="F25" s="55" t="n"/>
      <c r="G25" s="55" t="n"/>
      <c r="H25" s="55" t="n"/>
      <c r="I25" s="55" t="n"/>
      <c r="K25" s="13">
        <f>IF(B25="",0,IF(N(C25)=0,1,MAX(1,INT(C25))))</f>
        <v/>
      </c>
      <c r="L25" s="13">
        <f>SUM(K$6:K25)</f>
        <v/>
      </c>
    </row>
    <row r="26">
      <c r="B26" s="53" t="n"/>
      <c r="C26" s="54" t="n"/>
      <c r="D26" s="55" t="n"/>
      <c r="E26" s="55" t="n"/>
      <c r="F26" s="55" t="n"/>
      <c r="G26" s="55" t="n"/>
      <c r="H26" s="55" t="n"/>
      <c r="I26" s="55" t="n"/>
      <c r="K26" s="13">
        <f>IF(B26="",0,IF(N(C26)=0,1,MAX(1,INT(C26))))</f>
        <v/>
      </c>
      <c r="L26" s="13">
        <f>SUM(K$6:K26)</f>
        <v/>
      </c>
    </row>
    <row r="27">
      <c r="B27" s="53" t="n"/>
      <c r="C27" s="54" t="n"/>
      <c r="D27" s="55" t="n"/>
      <c r="E27" s="55" t="n"/>
      <c r="F27" s="55" t="n"/>
      <c r="G27" s="55" t="n"/>
      <c r="H27" s="55" t="n"/>
      <c r="I27" s="55" t="n"/>
      <c r="K27" s="13">
        <f>IF(B27="",0,IF(N(C27)=0,1,MAX(1,INT(C27))))</f>
        <v/>
      </c>
      <c r="L27" s="13">
        <f>SUM(K$6:K27)</f>
        <v/>
      </c>
    </row>
    <row r="28">
      <c r="B28" s="53" t="n"/>
      <c r="C28" s="54" t="n"/>
      <c r="D28" s="55" t="n"/>
      <c r="E28" s="55" t="n"/>
      <c r="F28" s="55" t="n"/>
      <c r="G28" s="55" t="n"/>
      <c r="H28" s="55" t="n"/>
      <c r="I28" s="55" t="n"/>
      <c r="K28" s="13">
        <f>IF(B28="",0,IF(N(C28)=0,1,MAX(1,INT(C28))))</f>
        <v/>
      </c>
      <c r="L28" s="13">
        <f>SUM(K$6:K28)</f>
        <v/>
      </c>
    </row>
    <row r="29">
      <c r="B29" s="53" t="n"/>
      <c r="C29" s="54" t="n"/>
      <c r="D29" s="55" t="n"/>
      <c r="E29" s="55" t="n"/>
      <c r="F29" s="55" t="n"/>
      <c r="G29" s="55" t="n"/>
      <c r="H29" s="55" t="n"/>
      <c r="I29" s="55" t="n"/>
      <c r="K29" s="13">
        <f>IF(B29="",0,IF(N(C29)=0,1,MAX(1,INT(C29))))</f>
        <v/>
      </c>
      <c r="L29" s="13">
        <f>SUM(K$6:K29)</f>
        <v/>
      </c>
    </row>
    <row r="31">
      <c r="B31" s="56" t="inlineStr">
        <is>
          <t>Colonnes grises : tarifs, non repris sur le BL (le BL peut être envoyé au transporteur et au client sans les prix de location).</t>
        </is>
      </c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tabColor rgb="002E8B57"/>
    <outlinePr summaryBelow="1" summaryRight="1"/>
    <pageSetUpPr fitToPage="1"/>
  </sheetPr>
  <dimension ref="A1:AC500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2" customWidth="1" min="2" max="2"/>
    <col width="12" customWidth="1" min="3" max="3"/>
    <col width="10" customWidth="1" min="4" max="4"/>
    <col width="12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14" customWidth="1" min="20" max="20"/>
    <col width="7" customWidth="1" min="21" max="21"/>
    <col width="10" customWidth="1" min="22" max="22"/>
    <col width="14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</cols>
  <sheetData>
    <row r="1" ht="30" customHeight="1">
      <c r="A1" s="49" t="inlineStr">
        <is>
          <t>CATALOGUE OUTILS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</row>
    <row r="2" ht="20" customHeight="1">
      <c r="A2" s="57" t="inlineStr">
        <is>
          <t>Dans le registre « Fabrication - Achat - 2014 et + » : copier les colonnes Z à BB (à partir de la ligne 2) et les coller ici en A6. Le BL cherche le N° de série (colonne A) et reprend désignation, poids, référence, origine, code SH, OD et longueur.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</row>
    <row r="3" ht="5" customHeight="1">
      <c r="A3" s="58" t="n"/>
      <c r="B3" s="58" t="n"/>
      <c r="C3" s="58" t="n"/>
      <c r="D3" s="58" t="n"/>
      <c r="E3" s="58" t="n"/>
      <c r="F3" s="58" t="n"/>
      <c r="G3" s="58" t="n"/>
      <c r="H3" s="58" t="n"/>
      <c r="I3" s="58" t="n"/>
      <c r="J3" s="58" t="n"/>
      <c r="K3" s="58" t="n"/>
      <c r="L3" s="58" t="n"/>
      <c r="M3" s="58" t="n"/>
      <c r="N3" s="58" t="n"/>
      <c r="O3" s="58" t="n"/>
      <c r="P3" s="58" t="n"/>
      <c r="Q3" s="58" t="n"/>
      <c r="R3" s="58" t="n"/>
      <c r="S3" s="58" t="n"/>
      <c r="T3" s="58" t="n"/>
      <c r="U3" s="58" t="n"/>
      <c r="V3" s="58" t="n"/>
      <c r="W3" s="58" t="n"/>
      <c r="X3" s="58" t="n"/>
      <c r="Y3" s="58" t="n"/>
      <c r="Z3" s="58" t="n"/>
      <c r="AA3" s="58" t="n"/>
      <c r="AB3" s="58" t="n"/>
      <c r="AC3" s="58" t="n"/>
    </row>
    <row r="4">
      <c r="A4" s="59" t="inlineStr">
        <is>
          <t>Registre repris du lien de l'ancien BL : 2955 N° de série (dernière mise à jour connue). À remplacer par un nouveau copier-coller Z:BB quand le registre évolue.</t>
        </is>
      </c>
    </row>
    <row r="5" ht="30" customHeight="1">
      <c r="A5" s="51" t="inlineStr">
        <is>
          <t>N° de série</t>
        </is>
      </c>
      <c r="B5" s="51" t="inlineStr">
        <is>
          <t>Désignation</t>
        </is>
      </c>
      <c r="C5" s="51" t="inlineStr">
        <is>
          <t>Poids net (kg)</t>
        </is>
      </c>
      <c r="D5" s="51" t="inlineStr">
        <is>
          <t>OD</t>
        </is>
      </c>
      <c r="E5" s="51" t="inlineStr">
        <is>
          <t>Longueur (mm)</t>
        </is>
      </c>
      <c r="F5" s="52" t="inlineStr">
        <is>
          <t>col. 6</t>
        </is>
      </c>
      <c r="G5" s="52" t="inlineStr">
        <is>
          <t>col. 7</t>
        </is>
      </c>
      <c r="H5" s="52" t="inlineStr">
        <is>
          <t>col. 8</t>
        </is>
      </c>
      <c r="I5" s="52" t="inlineStr">
        <is>
          <t>col. 9</t>
        </is>
      </c>
      <c r="J5" s="52" t="inlineStr">
        <is>
          <t>col. 10</t>
        </is>
      </c>
      <c r="K5" s="52" t="inlineStr">
        <is>
          <t>col. 11</t>
        </is>
      </c>
      <c r="L5" s="52" t="inlineStr">
        <is>
          <t>col. 12</t>
        </is>
      </c>
      <c r="M5" s="52" t="inlineStr">
        <is>
          <t>col. 13</t>
        </is>
      </c>
      <c r="N5" s="52" t="inlineStr">
        <is>
          <t>col. 14</t>
        </is>
      </c>
      <c r="O5" s="52" t="inlineStr">
        <is>
          <t>col. 15</t>
        </is>
      </c>
      <c r="P5" s="52" t="inlineStr">
        <is>
          <t>col. 16</t>
        </is>
      </c>
      <c r="Q5" s="52" t="inlineStr">
        <is>
          <t>col. 17</t>
        </is>
      </c>
      <c r="R5" s="52" t="inlineStr">
        <is>
          <t>col. 18</t>
        </is>
      </c>
      <c r="S5" s="52" t="inlineStr">
        <is>
          <t>col. 19</t>
        </is>
      </c>
      <c r="T5" s="51" t="inlineStr">
        <is>
          <t>Référence</t>
        </is>
      </c>
      <c r="U5" s="52" t="inlineStr">
        <is>
          <t>col. 21</t>
        </is>
      </c>
      <c r="V5" s="51" t="inlineStr">
        <is>
          <t>Origine</t>
        </is>
      </c>
      <c r="W5" s="51" t="inlineStr">
        <is>
          <t>Code SH (HS)</t>
        </is>
      </c>
      <c r="X5" s="52" t="inlineStr">
        <is>
          <t>col. 24</t>
        </is>
      </c>
      <c r="Y5" s="52" t="inlineStr">
        <is>
          <t>col. 25</t>
        </is>
      </c>
      <c r="Z5" s="52" t="inlineStr">
        <is>
          <t>col. 26</t>
        </is>
      </c>
      <c r="AA5" s="52" t="inlineStr">
        <is>
          <t>col. 27</t>
        </is>
      </c>
      <c r="AB5" s="52" t="inlineStr">
        <is>
          <t>col. 28</t>
        </is>
      </c>
      <c r="AC5" s="52" t="inlineStr">
        <is>
          <t>col. 29</t>
        </is>
      </c>
    </row>
    <row r="6">
      <c r="A6" s="54" t="n">
        <v>2030001</v>
      </c>
      <c r="B6" s="53" t="n"/>
      <c r="C6" s="54" t="n"/>
      <c r="D6" s="60" t="n"/>
      <c r="E6" s="54" t="n"/>
      <c r="F6" s="61" t="n"/>
      <c r="G6" s="61" t="n"/>
      <c r="H6" s="61" t="n"/>
      <c r="I6" s="61" t="n"/>
      <c r="J6" s="61" t="n"/>
      <c r="K6" s="61" t="n"/>
      <c r="L6" s="61" t="n"/>
      <c r="M6" s="61" t="n"/>
      <c r="N6" s="61" t="n"/>
      <c r="O6" s="61" t="n"/>
      <c r="P6" s="61" t="n"/>
      <c r="Q6" s="61" t="n"/>
      <c r="R6" s="61" t="n"/>
      <c r="S6" s="61" t="n"/>
      <c r="T6" s="54" t="n"/>
      <c r="U6" s="61" t="n"/>
      <c r="V6" s="54" t="n"/>
      <c r="W6" s="54" t="n"/>
      <c r="X6" s="61" t="n"/>
      <c r="Y6" s="61" t="n"/>
      <c r="Z6" s="61" t="n"/>
      <c r="AA6" s="61" t="n"/>
      <c r="AB6" s="61" t="n"/>
      <c r="AC6" s="61" t="n"/>
    </row>
    <row r="7">
      <c r="A7" s="54" t="n">
        <v>2030002</v>
      </c>
      <c r="B7" s="53" t="n"/>
      <c r="C7" s="54" t="n"/>
      <c r="D7" s="60" t="n"/>
      <c r="E7" s="54" t="n"/>
      <c r="F7" s="61" t="n"/>
      <c r="G7" s="61" t="n"/>
      <c r="H7" s="61" t="n"/>
      <c r="I7" s="61" t="n"/>
      <c r="J7" s="61" t="n"/>
      <c r="K7" s="61" t="n"/>
      <c r="L7" s="61" t="n"/>
      <c r="M7" s="61" t="n"/>
      <c r="N7" s="61" t="n"/>
      <c r="O7" s="61" t="n"/>
      <c r="P7" s="61" t="n"/>
      <c r="Q7" s="61" t="n"/>
      <c r="R7" s="61" t="n"/>
      <c r="S7" s="61" t="n"/>
      <c r="T7" s="54" t="n"/>
      <c r="U7" s="61" t="n"/>
      <c r="V7" s="54" t="n"/>
      <c r="W7" s="54" t="n"/>
      <c r="X7" s="61" t="n"/>
      <c r="Y7" s="61" t="n"/>
      <c r="Z7" s="61" t="n"/>
      <c r="AA7" s="61" t="n"/>
      <c r="AB7" s="61" t="n"/>
      <c r="AC7" s="61" t="n"/>
    </row>
    <row r="8">
      <c r="A8" s="54" t="n">
        <v>10</v>
      </c>
      <c r="B8" s="53" t="inlineStr">
        <is>
          <t>Loading Basket 4200mm x 1200mm L</t>
        </is>
      </c>
      <c r="C8" s="54" t="n">
        <v>780</v>
      </c>
      <c r="D8" s="60" t="n">
        <v>1200</v>
      </c>
      <c r="E8" s="54" t="n">
        <v>4200</v>
      </c>
      <c r="F8" s="61" t="n"/>
      <c r="G8" s="61" t="n"/>
      <c r="H8" s="61" t="n"/>
      <c r="I8" s="61" t="n"/>
      <c r="J8" s="61" t="n"/>
      <c r="K8" s="61" t="n"/>
      <c r="L8" s="61" t="n"/>
      <c r="M8" s="61" t="n"/>
      <c r="N8" s="61" t="n"/>
      <c r="O8" s="61" t="n"/>
      <c r="P8" s="61" t="n"/>
      <c r="Q8" s="61" t="n"/>
      <c r="R8" s="61" t="n"/>
      <c r="S8" s="61" t="n"/>
      <c r="T8" s="54" t="n">
        <v>5</v>
      </c>
      <c r="U8" s="61" t="n"/>
      <c r="V8" s="54" t="inlineStr">
        <is>
          <t>FR</t>
        </is>
      </c>
      <c r="W8" s="54" t="n">
        <v>86090090</v>
      </c>
      <c r="X8" s="61" t="n"/>
      <c r="Y8" s="61" t="n"/>
      <c r="Z8" s="61" t="n"/>
      <c r="AA8" s="61" t="n"/>
      <c r="AB8" s="61" t="n"/>
      <c r="AC8" s="61" t="n"/>
    </row>
    <row r="9">
      <c r="A9" s="54" t="n">
        <v>11</v>
      </c>
      <c r="B9" s="53" t="inlineStr">
        <is>
          <t>Loading Basket 4200mm x 1200mm L</t>
        </is>
      </c>
      <c r="C9" s="54" t="n">
        <v>780</v>
      </c>
      <c r="D9" s="60" t="n">
        <v>1200</v>
      </c>
      <c r="E9" s="54" t="n">
        <v>4200</v>
      </c>
      <c r="F9" s="61" t="n"/>
      <c r="G9" s="61" t="n"/>
      <c r="H9" s="61" t="n"/>
      <c r="I9" s="61" t="n"/>
      <c r="J9" s="61" t="n"/>
      <c r="K9" s="61" t="n"/>
      <c r="L9" s="61" t="n"/>
      <c r="M9" s="61" t="n"/>
      <c r="N9" s="61" t="n"/>
      <c r="O9" s="61" t="n"/>
      <c r="P9" s="61" t="n"/>
      <c r="Q9" s="61" t="n"/>
      <c r="R9" s="61" t="n"/>
      <c r="S9" s="61" t="n"/>
      <c r="T9" s="54" t="n">
        <v>6</v>
      </c>
      <c r="U9" s="61" t="n"/>
      <c r="V9" s="54" t="inlineStr">
        <is>
          <t>FR</t>
        </is>
      </c>
      <c r="W9" s="54" t="n">
        <v>86090090</v>
      </c>
      <c r="X9" s="61" t="n"/>
      <c r="Y9" s="61" t="n"/>
      <c r="Z9" s="61" t="n"/>
      <c r="AA9" s="61" t="n"/>
      <c r="AB9" s="61" t="n"/>
      <c r="AC9" s="61" t="n"/>
    </row>
    <row r="10">
      <c r="A10" s="54" t="n">
        <v>12</v>
      </c>
      <c r="B10" s="53" t="inlineStr">
        <is>
          <t>Loading Basket 3200mm x 1200mm M</t>
        </is>
      </c>
      <c r="C10" s="54" t="n">
        <v>500</v>
      </c>
      <c r="D10" s="60" t="n">
        <v>1200</v>
      </c>
      <c r="E10" s="54" t="n">
        <v>3200</v>
      </c>
      <c r="F10" s="61" t="n"/>
      <c r="G10" s="61" t="n"/>
      <c r="H10" s="61" t="n"/>
      <c r="I10" s="61" t="n"/>
      <c r="J10" s="61" t="n"/>
      <c r="K10" s="61" t="n"/>
      <c r="L10" s="61" t="n"/>
      <c r="M10" s="61" t="n"/>
      <c r="N10" s="61" t="n"/>
      <c r="O10" s="61" t="n"/>
      <c r="P10" s="61" t="n"/>
      <c r="Q10" s="61" t="n"/>
      <c r="R10" s="61" t="n"/>
      <c r="S10" s="61" t="n"/>
      <c r="T10" s="54" t="n">
        <v>11</v>
      </c>
      <c r="U10" s="61" t="n"/>
      <c r="V10" s="54" t="inlineStr">
        <is>
          <t>FR</t>
        </is>
      </c>
      <c r="W10" s="54" t="n">
        <v>86090090</v>
      </c>
      <c r="X10" s="61" t="n"/>
      <c r="Y10" s="61" t="n"/>
      <c r="Z10" s="61" t="n"/>
      <c r="AA10" s="61" t="n"/>
      <c r="AB10" s="61" t="n"/>
      <c r="AC10" s="61" t="n"/>
    </row>
    <row r="11">
      <c r="A11" s="54" t="n">
        <v>13</v>
      </c>
      <c r="B11" s="53" t="inlineStr">
        <is>
          <t>Loading Basket 3200mm x 1200mm M</t>
        </is>
      </c>
      <c r="C11" s="54" t="n">
        <v>500</v>
      </c>
      <c r="D11" s="60" t="n">
        <v>1200</v>
      </c>
      <c r="E11" s="54" t="n">
        <v>3200</v>
      </c>
      <c r="F11" s="61" t="n"/>
      <c r="G11" s="61" t="n"/>
      <c r="H11" s="61" t="n"/>
      <c r="I11" s="61" t="n"/>
      <c r="J11" s="61" t="n"/>
      <c r="K11" s="61" t="n"/>
      <c r="L11" s="61" t="n"/>
      <c r="M11" s="61" t="n"/>
      <c r="N11" s="61" t="n"/>
      <c r="O11" s="61" t="n"/>
      <c r="P11" s="61" t="n"/>
      <c r="Q11" s="61" t="n"/>
      <c r="R11" s="61" t="n"/>
      <c r="S11" s="61" t="n"/>
      <c r="T11" s="54" t="n">
        <v>12</v>
      </c>
      <c r="U11" s="61" t="n"/>
      <c r="V11" s="54" t="inlineStr">
        <is>
          <t>FR</t>
        </is>
      </c>
      <c r="W11" s="54" t="n">
        <v>86090090</v>
      </c>
      <c r="X11" s="61" t="n"/>
      <c r="Y11" s="61" t="n"/>
      <c r="Z11" s="61" t="n"/>
      <c r="AA11" s="61" t="n"/>
      <c r="AB11" s="61" t="n"/>
      <c r="AC11" s="61" t="n"/>
    </row>
    <row r="12">
      <c r="A12" s="54" t="n">
        <v>14</v>
      </c>
      <c r="B12" s="53" t="inlineStr">
        <is>
          <t>Loading Basket 2200mm x 1200mm S</t>
        </is>
      </c>
      <c r="C12" s="54" t="n">
        <v>400</v>
      </c>
      <c r="D12" s="60" t="n">
        <v>1200</v>
      </c>
      <c r="E12" s="54" t="n">
        <v>2200</v>
      </c>
      <c r="F12" s="61" t="n"/>
      <c r="G12" s="61" t="n"/>
      <c r="H12" s="61" t="n"/>
      <c r="I12" s="61" t="n"/>
      <c r="J12" s="61" t="n"/>
      <c r="K12" s="61" t="n"/>
      <c r="L12" s="61" t="n"/>
      <c r="M12" s="61" t="n"/>
      <c r="N12" s="61" t="n"/>
      <c r="O12" s="61" t="n"/>
      <c r="P12" s="61" t="n"/>
      <c r="Q12" s="61" t="n"/>
      <c r="R12" s="61" t="n"/>
      <c r="S12" s="61" t="n"/>
      <c r="T12" s="54" t="n">
        <v>13</v>
      </c>
      <c r="U12" s="61" t="n"/>
      <c r="V12" s="54" t="inlineStr">
        <is>
          <t>FR</t>
        </is>
      </c>
      <c r="W12" s="54" t="n">
        <v>86090090</v>
      </c>
      <c r="X12" s="61" t="n"/>
      <c r="Y12" s="61" t="n"/>
      <c r="Z12" s="61" t="n"/>
      <c r="AA12" s="61" t="n"/>
      <c r="AB12" s="61" t="n"/>
      <c r="AC12" s="61" t="n"/>
    </row>
    <row r="13">
      <c r="A13" s="54" t="n">
        <v>15</v>
      </c>
      <c r="B13" s="53" t="inlineStr">
        <is>
          <t>Loading Basket 2200mm x 1200mm S</t>
        </is>
      </c>
      <c r="C13" s="54" t="n">
        <v>400</v>
      </c>
      <c r="D13" s="60" t="n">
        <v>1200</v>
      </c>
      <c r="E13" s="54" t="n">
        <v>2200</v>
      </c>
      <c r="F13" s="61" t="n"/>
      <c r="G13" s="61" t="n"/>
      <c r="H13" s="61" t="n"/>
      <c r="I13" s="61" t="n"/>
      <c r="J13" s="61" t="n"/>
      <c r="K13" s="61" t="n"/>
      <c r="L13" s="61" t="n"/>
      <c r="M13" s="61" t="n"/>
      <c r="N13" s="61" t="n"/>
      <c r="O13" s="61" t="n"/>
      <c r="P13" s="61" t="n"/>
      <c r="Q13" s="61" t="n"/>
      <c r="R13" s="61" t="n"/>
      <c r="S13" s="61" t="n"/>
      <c r="T13" s="54" t="n">
        <v>14</v>
      </c>
      <c r="U13" s="61" t="n"/>
      <c r="V13" s="54" t="inlineStr">
        <is>
          <t>FR</t>
        </is>
      </c>
      <c r="W13" s="54" t="n">
        <v>86090090</v>
      </c>
      <c r="X13" s="61" t="n"/>
      <c r="Y13" s="61" t="n"/>
      <c r="Z13" s="61" t="n"/>
      <c r="AA13" s="61" t="n"/>
      <c r="AB13" s="61" t="n"/>
      <c r="AC13" s="61" t="n"/>
    </row>
    <row r="14">
      <c r="A14" s="54" t="inlineStr">
        <is>
          <t>"1"</t>
        </is>
      </c>
      <c r="B14" s="53" t="inlineStr">
        <is>
          <t>Bac à boue</t>
        </is>
      </c>
      <c r="C14" s="54" t="n"/>
      <c r="D14" s="60" t="n"/>
      <c r="E14" s="54" t="n"/>
      <c r="F14" s="61" t="n"/>
      <c r="G14" s="61" t="n"/>
      <c r="H14" s="61" t="n"/>
      <c r="I14" s="61" t="n"/>
      <c r="J14" s="61" t="n"/>
      <c r="K14" s="61" t="n"/>
      <c r="L14" s="61" t="n"/>
      <c r="M14" s="61" t="n"/>
      <c r="N14" s="61" t="n"/>
      <c r="O14" s="61" t="n"/>
      <c r="P14" s="61" t="n"/>
      <c r="Q14" s="61" t="n"/>
      <c r="R14" s="61" t="n"/>
      <c r="S14" s="61" t="n"/>
      <c r="T14" s="54" t="n"/>
      <c r="U14" s="61" t="n"/>
      <c r="V14" s="54" t="inlineStr">
        <is>
          <t>FR</t>
        </is>
      </c>
      <c r="W14" s="54" t="n"/>
      <c r="X14" s="61" t="n"/>
      <c r="Y14" s="61" t="n"/>
      <c r="Z14" s="61" t="n"/>
      <c r="AA14" s="61" t="n"/>
      <c r="AB14" s="61" t="n"/>
      <c r="AC14" s="61" t="n"/>
    </row>
    <row r="15">
      <c r="A15" s="54" t="inlineStr">
        <is>
          <t>"2"</t>
        </is>
      </c>
      <c r="B15" s="53" t="inlineStr">
        <is>
          <t>Bac à boue</t>
        </is>
      </c>
      <c r="C15" s="54" t="n"/>
      <c r="D15" s="60" t="n"/>
      <c r="E15" s="54" t="n"/>
      <c r="F15" s="61" t="n"/>
      <c r="G15" s="61" t="n"/>
      <c r="H15" s="61" t="n"/>
      <c r="I15" s="61" t="n"/>
      <c r="J15" s="61" t="n"/>
      <c r="K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54" t="n"/>
      <c r="U15" s="61" t="n"/>
      <c r="V15" s="54" t="inlineStr">
        <is>
          <t>FR</t>
        </is>
      </c>
      <c r="W15" s="54" t="n"/>
      <c r="X15" s="61" t="n"/>
      <c r="Y15" s="61" t="n"/>
      <c r="Z15" s="61" t="n"/>
      <c r="AA15" s="61" t="n"/>
      <c r="AB15" s="61" t="n"/>
      <c r="AC15" s="61" t="n"/>
    </row>
    <row r="16">
      <c r="A16" s="54" t="inlineStr">
        <is>
          <t>1013-02237</t>
        </is>
      </c>
      <c r="B16" s="53" t="inlineStr">
        <is>
          <t>Wachs Machine to cut form 7" to 9-5/8" csg</t>
        </is>
      </c>
      <c r="C16" s="54" t="n"/>
      <c r="D16" s="60" t="n"/>
      <c r="E16" s="54" t="n"/>
      <c r="F16" s="61" t="n"/>
      <c r="G16" s="61" t="n"/>
      <c r="H16" s="61" t="n"/>
      <c r="I16" s="61" t="n"/>
      <c r="J16" s="61" t="n"/>
      <c r="K16" s="61" t="n"/>
      <c r="L16" s="61" t="n"/>
      <c r="M16" s="61" t="n"/>
      <c r="N16" s="61" t="n"/>
      <c r="O16" s="61" t="n"/>
      <c r="P16" s="61" t="n"/>
      <c r="Q16" s="61" t="n"/>
      <c r="R16" s="61" t="n"/>
      <c r="S16" s="61" t="n"/>
      <c r="T16" s="54" t="n"/>
      <c r="U16" s="61" t="n"/>
      <c r="V16" s="54" t="n"/>
      <c r="W16" s="54" t="n"/>
      <c r="X16" s="61" t="n"/>
      <c r="Y16" s="61" t="n"/>
      <c r="Z16" s="61" t="n"/>
      <c r="AA16" s="61" t="n"/>
      <c r="AB16" s="61" t="n"/>
      <c r="AC16" s="61" t="n"/>
    </row>
    <row r="17">
      <c r="A17" s="54" t="n">
        <v>3020003</v>
      </c>
      <c r="B17" s="53" t="inlineStr">
        <is>
          <t>DTU 8200
4-1/2" REG Pin up x 4-1/2" REG Box down</t>
        </is>
      </c>
      <c r="C17" s="54" t="n">
        <v>308</v>
      </c>
      <c r="D17" s="60" t="n">
        <v>8200</v>
      </c>
      <c r="E17" s="54" t="n">
        <v>1880</v>
      </c>
      <c r="F17" s="61" t="n"/>
      <c r="G17" s="61" t="n"/>
      <c r="H17" s="61" t="n"/>
      <c r="I17" s="61" t="n"/>
      <c r="J17" s="61" t="n"/>
      <c r="K17" s="61" t="n"/>
      <c r="L17" s="61" t="n"/>
      <c r="M17" s="61" t="n"/>
      <c r="N17" s="61" t="n"/>
      <c r="O17" s="61" t="n"/>
      <c r="P17" s="61" t="n"/>
      <c r="Q17" s="61" t="n"/>
      <c r="R17" s="61" t="n"/>
      <c r="S17" s="61" t="n"/>
      <c r="T17" s="54" t="n">
        <v>8</v>
      </c>
      <c r="U17" s="61" t="n"/>
      <c r="V17" s="54" t="inlineStr">
        <is>
          <t>FR</t>
        </is>
      </c>
      <c r="W17" s="54" t="n"/>
      <c r="X17" s="61" t="n"/>
      <c r="Y17" s="61" t="n"/>
      <c r="Z17" s="61" t="n"/>
      <c r="AA17" s="61" t="n"/>
      <c r="AB17" s="61" t="n"/>
      <c r="AC17" s="61" t="n"/>
    </row>
    <row r="18">
      <c r="A18" s="54" t="n">
        <v>2050004</v>
      </c>
      <c r="B18" s="53" t="inlineStr">
        <is>
          <t>Section Mill 5500 
3-1/2" REG Pin up</t>
        </is>
      </c>
      <c r="C18" s="54" t="n">
        <v>170</v>
      </c>
      <c r="D18" s="60" t="n">
        <v>5500</v>
      </c>
      <c r="E18" s="54" t="n">
        <v>1280</v>
      </c>
      <c r="F18" s="61" t="n"/>
      <c r="G18" s="61" t="n"/>
      <c r="H18" s="61" t="n"/>
      <c r="I18" s="61" t="n"/>
      <c r="J18" s="61" t="n"/>
      <c r="K18" s="61" t="n"/>
      <c r="L18" s="61" t="n"/>
      <c r="M18" s="61" t="n"/>
      <c r="N18" s="61" t="n"/>
      <c r="O18" s="61" t="n"/>
      <c r="P18" s="61" t="n"/>
      <c r="Q18" s="61" t="n"/>
      <c r="R18" s="61" t="n"/>
      <c r="S18" s="61" t="n"/>
      <c r="T18" s="54" t="n">
        <v>8</v>
      </c>
      <c r="U18" s="61" t="n"/>
      <c r="V18" s="54" t="inlineStr">
        <is>
          <t>FR</t>
        </is>
      </c>
      <c r="W18" s="54" t="n"/>
      <c r="X18" s="61" t="n"/>
      <c r="Y18" s="61" t="n"/>
      <c r="Z18" s="61" t="n"/>
      <c r="AA18" s="61" t="n"/>
      <c r="AB18" s="61" t="n"/>
      <c r="AC18" s="61" t="n"/>
    </row>
    <row r="19">
      <c r="A19" s="54" t="n">
        <v>2050005</v>
      </c>
      <c r="B19" s="53" t="inlineStr">
        <is>
          <t>Section Mill 5500 
3-1/2" REG Pin up</t>
        </is>
      </c>
      <c r="C19" s="54" t="n">
        <v>170</v>
      </c>
      <c r="D19" s="60" t="n">
        <v>5500</v>
      </c>
      <c r="E19" s="54" t="n">
        <v>1955</v>
      </c>
      <c r="F19" s="61" t="n"/>
      <c r="G19" s="61" t="n"/>
      <c r="H19" s="61" t="n"/>
      <c r="I19" s="61" t="n"/>
      <c r="J19" s="61" t="n"/>
      <c r="K19" s="61" t="n"/>
      <c r="L19" s="61" t="n"/>
      <c r="M19" s="61" t="n"/>
      <c r="N19" s="61" t="n"/>
      <c r="O19" s="61" t="n"/>
      <c r="P19" s="61" t="n"/>
      <c r="Q19" s="61" t="n"/>
      <c r="R19" s="61" t="n"/>
      <c r="S19" s="61" t="n"/>
      <c r="T19" s="54" t="n">
        <v>9</v>
      </c>
      <c r="U19" s="61" t="n"/>
      <c r="V19" s="54" t="inlineStr">
        <is>
          <t>FR</t>
        </is>
      </c>
      <c r="W19" s="54" t="n"/>
      <c r="X19" s="61" t="n"/>
      <c r="Y19" s="61" t="n"/>
      <c r="Z19" s="61" t="n"/>
      <c r="AA19" s="61" t="n"/>
      <c r="AB19" s="61" t="n"/>
      <c r="AC19" s="61" t="n"/>
    </row>
    <row r="20">
      <c r="A20" s="54" t="n">
        <v>2050006</v>
      </c>
      <c r="B20" s="53" t="inlineStr">
        <is>
          <t>Section Mill 8200 
4-1/2" REG Pin up</t>
        </is>
      </c>
      <c r="C20" s="54" t="n">
        <v>426</v>
      </c>
      <c r="D20" s="60" t="n">
        <v>8200</v>
      </c>
      <c r="E20" s="54" t="n">
        <v>2380</v>
      </c>
      <c r="F20" s="61" t="n"/>
      <c r="G20" s="61" t="n"/>
      <c r="H20" s="61" t="n"/>
      <c r="I20" s="61" t="n"/>
      <c r="J20" s="61" t="n"/>
      <c r="K20" s="61" t="n"/>
      <c r="L20" s="61" t="n"/>
      <c r="M20" s="61" t="n"/>
      <c r="N20" s="61" t="n"/>
      <c r="O20" s="61" t="n"/>
      <c r="P20" s="61" t="n"/>
      <c r="Q20" s="61" t="n"/>
      <c r="R20" s="61" t="n"/>
      <c r="S20" s="61" t="n"/>
      <c r="T20" s="54" t="n">
        <v>10</v>
      </c>
      <c r="U20" s="61" t="n"/>
      <c r="V20" s="54" t="inlineStr">
        <is>
          <t>FR</t>
        </is>
      </c>
      <c r="W20" s="54" t="n"/>
      <c r="X20" s="61" t="n"/>
      <c r="Y20" s="61" t="n"/>
      <c r="Z20" s="61" t="n"/>
      <c r="AA20" s="61" t="n"/>
      <c r="AB20" s="61" t="n"/>
      <c r="AC20" s="61" t="n"/>
    </row>
    <row r="21">
      <c r="A21" s="54" t="n">
        <v>8020007</v>
      </c>
      <c r="B21" s="53" t="inlineStr">
        <is>
          <t>Bit Sub
4-1/2" IF Box x 4-1/2" REG Box BF</t>
        </is>
      </c>
      <c r="C21" s="54" t="n">
        <v>88.14139629749998</v>
      </c>
      <c r="D21" s="60" t="n">
        <v>6.5</v>
      </c>
      <c r="E21" s="54" t="n">
        <v>600</v>
      </c>
      <c r="F21" s="61" t="n"/>
      <c r="G21" s="61" t="n"/>
      <c r="H21" s="61" t="n"/>
      <c r="I21" s="61" t="n"/>
      <c r="J21" s="61" t="n"/>
      <c r="K21" s="61" t="n"/>
      <c r="L21" s="61" t="n"/>
      <c r="M21" s="61" t="n"/>
      <c r="N21" s="61" t="n"/>
      <c r="O21" s="61" t="n"/>
      <c r="P21" s="61" t="n"/>
      <c r="Q21" s="61" t="n"/>
      <c r="R21" s="61" t="n"/>
      <c r="S21" s="61" t="n"/>
      <c r="T21" s="54" t="n">
        <v>50</v>
      </c>
      <c r="U21" s="61" t="n"/>
      <c r="V21" s="54" t="inlineStr">
        <is>
          <t>FR</t>
        </is>
      </c>
      <c r="W21" s="54" t="n"/>
      <c r="X21" s="61" t="n"/>
      <c r="Y21" s="61" t="n"/>
      <c r="Z21" s="61" t="n"/>
      <c r="AA21" s="61" t="n"/>
      <c r="AB21" s="61" t="n"/>
      <c r="AC21" s="61" t="n"/>
    </row>
    <row r="22">
      <c r="A22" s="54" t="n">
        <v>8020008</v>
      </c>
      <c r="B22" s="53" t="inlineStr">
        <is>
          <t>Bit Sub
3-1/2" IF Box x 3-1/2" REG Box BF</t>
        </is>
      </c>
      <c r="C22" s="54" t="n">
        <v>34.664011317</v>
      </c>
      <c r="D22" s="60" t="n">
        <v>4.75</v>
      </c>
      <c r="E22" s="54" t="n">
        <v>450</v>
      </c>
      <c r="F22" s="61" t="n"/>
      <c r="G22" s="61" t="n"/>
      <c r="H22" s="61" t="n"/>
      <c r="I22" s="61" t="n"/>
      <c r="J22" s="61" t="n"/>
      <c r="K22" s="61" t="n"/>
      <c r="L22" s="61" t="n"/>
      <c r="M22" s="61" t="n"/>
      <c r="N22" s="61" t="n"/>
      <c r="O22" s="61" t="n"/>
      <c r="P22" s="61" t="n"/>
      <c r="Q22" s="61" t="n"/>
      <c r="R22" s="61" t="n"/>
      <c r="S22" s="61" t="n"/>
      <c r="T22" s="54" t="n">
        <v>36</v>
      </c>
      <c r="U22" s="61" t="n"/>
      <c r="V22" s="54" t="inlineStr">
        <is>
          <t>FR</t>
        </is>
      </c>
      <c r="W22" s="54" t="n"/>
      <c r="X22" s="61" t="n"/>
      <c r="Y22" s="61" t="n"/>
      <c r="Z22" s="61" t="n"/>
      <c r="AA22" s="61" t="n"/>
      <c r="AB22" s="61" t="n"/>
      <c r="AC22" s="61" t="n"/>
    </row>
    <row r="23">
      <c r="A23" s="54" t="n">
        <v>8020009</v>
      </c>
      <c r="B23" s="53" t="inlineStr">
        <is>
          <t>Bit Sub
2-3/8" IF Box x 2-3/8" REG Box BF</t>
        </is>
      </c>
      <c r="C23" s="54" t="n">
        <v>17.77641606</v>
      </c>
      <c r="D23" s="60" t="n">
        <v>3.5</v>
      </c>
      <c r="E23" s="54" t="n">
        <v>400</v>
      </c>
      <c r="F23" s="61" t="n"/>
      <c r="G23" s="61" t="n"/>
      <c r="H23" s="61" t="n"/>
      <c r="I23" s="61" t="n"/>
      <c r="J23" s="61" t="n"/>
      <c r="K23" s="61" t="n"/>
      <c r="L23" s="61" t="n"/>
      <c r="M23" s="61" t="n"/>
      <c r="N23" s="61" t="n"/>
      <c r="O23" s="61" t="n"/>
      <c r="P23" s="61" t="n"/>
      <c r="Q23" s="61" t="n"/>
      <c r="R23" s="61" t="n"/>
      <c r="S23" s="61" t="n"/>
      <c r="T23" s="54" t="n">
        <v>73</v>
      </c>
      <c r="U23" s="61" t="n"/>
      <c r="V23" s="54" t="n"/>
      <c r="W23" s="54" t="n"/>
      <c r="X23" s="61" t="n"/>
      <c r="Y23" s="61" t="n"/>
      <c r="Z23" s="61" t="n"/>
      <c r="AA23" s="61" t="n"/>
      <c r="AB23" s="61" t="n"/>
      <c r="AC23" s="61" t="n"/>
    </row>
    <row r="24">
      <c r="A24" s="54" t="n">
        <v>8130010</v>
      </c>
      <c r="B24" s="53" t="inlineStr">
        <is>
          <t>XO
3-1/2" EU Pin x 3-1/2" IF Box</t>
        </is>
      </c>
      <c r="C24" s="54" t="n">
        <v>23.8413835671375</v>
      </c>
      <c r="D24" s="60" t="n">
        <v>4.75</v>
      </c>
      <c r="E24" s="54" t="n">
        <v>445</v>
      </c>
      <c r="F24" s="61" t="n"/>
      <c r="G24" s="61" t="n"/>
      <c r="H24" s="61" t="n"/>
      <c r="I24" s="61" t="n"/>
      <c r="J24" s="61" t="n"/>
      <c r="K24" s="61" t="n"/>
      <c r="L24" s="61" t="n"/>
      <c r="M24" s="61" t="n"/>
      <c r="N24" s="61" t="n"/>
      <c r="O24" s="61" t="n"/>
      <c r="P24" s="61" t="n"/>
      <c r="Q24" s="61" t="n"/>
      <c r="R24" s="61" t="n"/>
      <c r="S24" s="61" t="n"/>
      <c r="T24" s="54" t="n">
        <v>100</v>
      </c>
      <c r="U24" s="61" t="n"/>
      <c r="V24" s="54" t="inlineStr">
        <is>
          <t>FR</t>
        </is>
      </c>
      <c r="W24" s="54" t="n"/>
      <c r="X24" s="61" t="n"/>
      <c r="Y24" s="61" t="n"/>
      <c r="Z24" s="61" t="n"/>
      <c r="AA24" s="61" t="n"/>
      <c r="AB24" s="61" t="n"/>
      <c r="AC24" s="61" t="n"/>
    </row>
    <row r="25">
      <c r="A25" s="54" t="n">
        <v>8130011</v>
      </c>
      <c r="B25" s="53" t="inlineStr">
        <is>
          <t>XO
2-7/8" EU Pin x 2-3/8" REG Box</t>
        </is>
      </c>
      <c r="C25" s="54" t="n">
        <v>10.0942884807375</v>
      </c>
      <c r="D25" s="60" t="n">
        <v>3.125</v>
      </c>
      <c r="E25" s="54" t="n">
        <v>340</v>
      </c>
      <c r="F25" s="61" t="n"/>
      <c r="G25" s="61" t="n"/>
      <c r="H25" s="61" t="n"/>
      <c r="I25" s="61" t="n"/>
      <c r="J25" s="61" t="n"/>
      <c r="K25" s="61" t="n"/>
      <c r="L25" s="61" t="n"/>
      <c r="M25" s="61" t="n"/>
      <c r="N25" s="61" t="n"/>
      <c r="O25" s="61" t="n"/>
      <c r="P25" s="61" t="n"/>
      <c r="Q25" s="61" t="n"/>
      <c r="R25" s="61" t="n"/>
      <c r="S25" s="61" t="n"/>
      <c r="T25" s="54" t="n">
        <v>68</v>
      </c>
      <c r="U25" s="61" t="n"/>
      <c r="V25" s="54" t="inlineStr">
        <is>
          <t>FR</t>
        </is>
      </c>
      <c r="W25" s="54" t="n"/>
      <c r="X25" s="61" t="n"/>
      <c r="Y25" s="61" t="n"/>
      <c r="Z25" s="61" t="n"/>
      <c r="AA25" s="61" t="n"/>
      <c r="AB25" s="61" t="n"/>
      <c r="AC25" s="61" t="n"/>
    </row>
    <row r="26">
      <c r="A26" s="54" t="n">
        <v>8130012</v>
      </c>
      <c r="B26" s="53" t="inlineStr">
        <is>
          <t>XO
2-7/8" EU Pin x 3-1/2" IF Box</t>
        </is>
      </c>
      <c r="C26" s="54" t="n">
        <v>31.108728105</v>
      </c>
      <c r="D26" s="60" t="n">
        <v>4.75</v>
      </c>
      <c r="E26" s="54" t="n">
        <v>450</v>
      </c>
      <c r="F26" s="61" t="n"/>
      <c r="G26" s="61" t="n"/>
      <c r="H26" s="61" t="n"/>
      <c r="I26" s="61" t="n"/>
      <c r="J26" s="61" t="n"/>
      <c r="K26" s="61" t="n"/>
      <c r="L26" s="61" t="n"/>
      <c r="M26" s="61" t="n"/>
      <c r="N26" s="61" t="n"/>
      <c r="O26" s="61" t="n"/>
      <c r="P26" s="61" t="n"/>
      <c r="Q26" s="61" t="n"/>
      <c r="R26" s="61" t="n"/>
      <c r="S26" s="61" t="n"/>
      <c r="T26" s="54" t="n">
        <v>76</v>
      </c>
      <c r="U26" s="61" t="n"/>
      <c r="V26" s="54" t="inlineStr">
        <is>
          <t>FR</t>
        </is>
      </c>
      <c r="W26" s="54" t="n"/>
      <c r="X26" s="61" t="n"/>
      <c r="Y26" s="61" t="n"/>
      <c r="Z26" s="61" t="n"/>
      <c r="AA26" s="61" t="n"/>
      <c r="AB26" s="61" t="n"/>
      <c r="AC26" s="61" t="n"/>
    </row>
    <row r="27">
      <c r="A27" s="54" t="n">
        <v>8130013</v>
      </c>
      <c r="B27" s="53" t="inlineStr">
        <is>
          <t>XO
2-3/8" EU Pin x 2-3/8" REG Box</t>
        </is>
      </c>
      <c r="C27" s="54" t="n">
        <v>12.702730642875</v>
      </c>
      <c r="D27" s="60" t="n">
        <v>3.5</v>
      </c>
      <c r="E27" s="54" t="n">
        <v>350</v>
      </c>
      <c r="F27" s="61" t="n"/>
      <c r="G27" s="61" t="n"/>
      <c r="H27" s="61" t="n"/>
      <c r="I27" s="61" t="n"/>
      <c r="J27" s="61" t="n"/>
      <c r="K27" s="61" t="n"/>
      <c r="L27" s="61" t="n"/>
      <c r="M27" s="61" t="n"/>
      <c r="N27" s="61" t="n"/>
      <c r="O27" s="61" t="n"/>
      <c r="P27" s="61" t="n"/>
      <c r="Q27" s="61" t="n"/>
      <c r="R27" s="61" t="n"/>
      <c r="S27" s="61" t="n"/>
      <c r="T27" s="54" t="n">
        <v>14</v>
      </c>
      <c r="U27" s="61" t="n"/>
      <c r="V27" s="54" t="inlineStr">
        <is>
          <t>FR</t>
        </is>
      </c>
      <c r="W27" s="54" t="n"/>
      <c r="X27" s="61" t="n"/>
      <c r="Y27" s="61" t="n"/>
      <c r="Z27" s="61" t="n"/>
      <c r="AA27" s="61" t="n"/>
      <c r="AB27" s="61" t="n"/>
      <c r="AC27" s="61" t="n"/>
    </row>
    <row r="28">
      <c r="A28" s="54" t="n">
        <v>8130014</v>
      </c>
      <c r="B28" s="53" t="inlineStr">
        <is>
          <t>XO
2-3/8" EU Pin x 2-7/8" IF Box</t>
        </is>
      </c>
      <c r="C28" s="54" t="n">
        <v>19.29173208178125</v>
      </c>
      <c r="D28" s="60" t="n">
        <v>4.125</v>
      </c>
      <c r="E28" s="54" t="n">
        <v>350</v>
      </c>
      <c r="F28" s="61" t="n"/>
      <c r="G28" s="61" t="n"/>
      <c r="H28" s="61" t="n"/>
      <c r="I28" s="61" t="n"/>
      <c r="J28" s="61" t="n"/>
      <c r="K28" s="61" t="n"/>
      <c r="L28" s="61" t="n"/>
      <c r="M28" s="61" t="n"/>
      <c r="N28" s="61" t="n"/>
      <c r="O28" s="61" t="n"/>
      <c r="P28" s="61" t="n"/>
      <c r="Q28" s="61" t="n"/>
      <c r="R28" s="61" t="n"/>
      <c r="S28" s="61" t="n"/>
      <c r="T28" s="54" t="n">
        <v>15</v>
      </c>
      <c r="U28" s="61" t="n"/>
      <c r="V28" s="54" t="inlineStr">
        <is>
          <t>FR</t>
        </is>
      </c>
      <c r="W28" s="54" t="n"/>
      <c r="X28" s="61" t="n"/>
      <c r="Y28" s="61" t="n"/>
      <c r="Z28" s="61" t="n"/>
      <c r="AA28" s="61" t="n"/>
      <c r="AB28" s="61" t="n"/>
      <c r="AC28" s="61" t="n"/>
    </row>
    <row r="29">
      <c r="A29" s="54" t="n">
        <v>8130015</v>
      </c>
      <c r="B29" s="53" t="n"/>
      <c r="C29" s="54" t="n"/>
      <c r="D29" s="60" t="n"/>
      <c r="E29" s="54" t="n"/>
      <c r="F29" s="61" t="n"/>
      <c r="G29" s="61" t="n"/>
      <c r="H29" s="61" t="n"/>
      <c r="I29" s="61" t="n"/>
      <c r="J29" s="61" t="n"/>
      <c r="K29" s="61" t="n"/>
      <c r="L29" s="61" t="n"/>
      <c r="M29" s="61" t="n"/>
      <c r="N29" s="61" t="n"/>
      <c r="O29" s="61" t="n"/>
      <c r="P29" s="61" t="n"/>
      <c r="Q29" s="61" t="n"/>
      <c r="R29" s="61" t="n"/>
      <c r="S29" s="61" t="n"/>
      <c r="T29" s="54" t="n"/>
      <c r="U29" s="61" t="n"/>
      <c r="V29" s="54" t="n"/>
      <c r="W29" s="54" t="n"/>
      <c r="X29" s="61" t="n"/>
      <c r="Y29" s="61" t="n"/>
      <c r="Z29" s="61" t="n"/>
      <c r="AA29" s="61" t="n"/>
      <c r="AB29" s="61" t="n"/>
      <c r="AC29" s="61" t="n"/>
    </row>
    <row r="30">
      <c r="A30" s="54" t="n">
        <v>8130016</v>
      </c>
      <c r="B30" s="53" t="inlineStr">
        <is>
          <t>XO
6-5/8" REG Pin x 7-5/8" REG Box</t>
        </is>
      </c>
      <c r="C30" s="54" t="n">
        <v>101.6810998632</v>
      </c>
      <c r="D30" s="60" t="n">
        <v>9.5</v>
      </c>
      <c r="E30" s="54" t="n">
        <v>330</v>
      </c>
      <c r="F30" s="61" t="n"/>
      <c r="G30" s="61" t="n"/>
      <c r="H30" s="61" t="n"/>
      <c r="I30" s="61" t="n"/>
      <c r="J30" s="61" t="n"/>
      <c r="K30" s="61" t="n"/>
      <c r="L30" s="61" t="n"/>
      <c r="M30" s="61" t="n"/>
      <c r="N30" s="61" t="n"/>
      <c r="O30" s="61" t="n"/>
      <c r="P30" s="61" t="n"/>
      <c r="Q30" s="61" t="n"/>
      <c r="R30" s="61" t="n"/>
      <c r="S30" s="61" t="n"/>
      <c r="T30" s="54" t="n">
        <v>215</v>
      </c>
      <c r="U30" s="61" t="n"/>
      <c r="V30" s="54" t="inlineStr">
        <is>
          <t>FR</t>
        </is>
      </c>
      <c r="W30" s="54" t="n"/>
      <c r="X30" s="61" t="n"/>
      <c r="Y30" s="61" t="n"/>
      <c r="Z30" s="61" t="n"/>
      <c r="AA30" s="61" t="n"/>
      <c r="AB30" s="61" t="n"/>
      <c r="AC30" s="61" t="n"/>
    </row>
    <row r="31">
      <c r="A31" s="54" t="n">
        <v>8130017</v>
      </c>
      <c r="B31" s="53" t="inlineStr">
        <is>
          <t>XO
2-3/8" REG Pin x 2-7/8" EU Box</t>
        </is>
      </c>
      <c r="C31" s="54" t="n">
        <v>17.77641606</v>
      </c>
      <c r="D31" s="60" t="n">
        <v>3.5</v>
      </c>
      <c r="E31" s="54" t="n">
        <v>400</v>
      </c>
      <c r="F31" s="61" t="n"/>
      <c r="G31" s="61" t="n"/>
      <c r="H31" s="61" t="n"/>
      <c r="I31" s="61" t="n"/>
      <c r="J31" s="61" t="n"/>
      <c r="K31" s="61" t="n"/>
      <c r="L31" s="61" t="n"/>
      <c r="M31" s="61" t="n"/>
      <c r="N31" s="61" t="n"/>
      <c r="O31" s="61" t="n"/>
      <c r="P31" s="61" t="n"/>
      <c r="Q31" s="61" t="n"/>
      <c r="R31" s="61" t="n"/>
      <c r="S31" s="61" t="n"/>
      <c r="T31" s="54" t="n">
        <v>50</v>
      </c>
      <c r="U31" s="61" t="n"/>
      <c r="V31" s="54" t="inlineStr">
        <is>
          <t>FR</t>
        </is>
      </c>
      <c r="W31" s="54" t="n"/>
      <c r="X31" s="61" t="n"/>
      <c r="Y31" s="61" t="n"/>
      <c r="Z31" s="61" t="n"/>
      <c r="AA31" s="61" t="n"/>
      <c r="AB31" s="61" t="n"/>
      <c r="AC31" s="61" t="n"/>
    </row>
    <row r="32">
      <c r="A32" s="54" t="n">
        <v>8135406</v>
      </c>
      <c r="B32" s="53" t="inlineStr">
        <is>
          <t>XO
3-1/2" REG Pin x 3-1/2" REG Pin</t>
        </is>
      </c>
      <c r="C32" s="54" t="n">
        <v>17.77641606</v>
      </c>
      <c r="D32" s="60" t="n">
        <v>4.5</v>
      </c>
      <c r="E32" s="54" t="n">
        <v>250</v>
      </c>
      <c r="F32" s="61" t="n"/>
      <c r="G32" s="61" t="n"/>
      <c r="H32" s="61" t="n"/>
      <c r="I32" s="61" t="n"/>
      <c r="J32" s="61" t="n"/>
      <c r="K32" s="61" t="n"/>
      <c r="L32" s="61" t="n"/>
      <c r="M32" s="61" t="n"/>
      <c r="N32" s="61" t="n"/>
      <c r="O32" s="61" t="n"/>
      <c r="P32" s="61" t="n"/>
      <c r="Q32" s="61" t="n"/>
      <c r="R32" s="61" t="n"/>
      <c r="S32" s="61" t="n"/>
      <c r="T32" s="54" t="n">
        <v>135</v>
      </c>
      <c r="U32" s="61" t="n"/>
      <c r="V32" s="54" t="inlineStr">
        <is>
          <t>FR</t>
        </is>
      </c>
      <c r="W32" s="54" t="n"/>
      <c r="X32" s="61" t="n"/>
      <c r="Y32" s="61" t="n"/>
      <c r="Z32" s="61" t="n"/>
      <c r="AA32" s="61" t="n"/>
      <c r="AB32" s="61" t="n"/>
      <c r="AC32" s="61" t="n"/>
    </row>
    <row r="33">
      <c r="A33" s="54" t="n">
        <v>8130019</v>
      </c>
      <c r="B33" s="53" t="inlineStr">
        <is>
          <t>XO
2-3/8" REG Pin x 2-3/8" IF Box BF</t>
        </is>
      </c>
      <c r="C33" s="54" t="n">
        <v>16.41849538875</v>
      </c>
      <c r="D33" s="60" t="n">
        <v>3.375</v>
      </c>
      <c r="E33" s="54" t="n">
        <v>400</v>
      </c>
      <c r="F33" s="61" t="n"/>
      <c r="G33" s="61" t="n"/>
      <c r="H33" s="61" t="n"/>
      <c r="I33" s="61" t="n"/>
      <c r="J33" s="61" t="n"/>
      <c r="K33" s="61" t="n"/>
      <c r="L33" s="61" t="n"/>
      <c r="M33" s="61" t="n"/>
      <c r="N33" s="61" t="n"/>
      <c r="O33" s="61" t="n"/>
      <c r="P33" s="61" t="n"/>
      <c r="Q33" s="61" t="n"/>
      <c r="R33" s="61" t="n"/>
      <c r="S33" s="61" t="n"/>
      <c r="T33" s="54" t="n">
        <v>46</v>
      </c>
      <c r="U33" s="61" t="n"/>
      <c r="V33" s="54" t="inlineStr">
        <is>
          <t>FR</t>
        </is>
      </c>
      <c r="W33" s="54" t="n"/>
      <c r="X33" s="61" t="n"/>
      <c r="Y33" s="61" t="n"/>
      <c r="Z33" s="61" t="n"/>
      <c r="AA33" s="61" t="n"/>
      <c r="AB33" s="61" t="n"/>
      <c r="AC33" s="61" t="n"/>
    </row>
    <row r="34">
      <c r="A34" s="54" t="n">
        <v>8130020</v>
      </c>
      <c r="B34" s="53" t="inlineStr">
        <is>
          <t>XO
2-3/8" REG Pin x 2-3/8" REG Pin</t>
        </is>
      </c>
      <c r="C34" s="54" t="n">
        <v>17.77641606</v>
      </c>
      <c r="D34" s="60" t="n">
        <v>3.5</v>
      </c>
      <c r="E34" s="54" t="n">
        <v>400</v>
      </c>
      <c r="F34" s="61" t="n"/>
      <c r="G34" s="61" t="n"/>
      <c r="H34" s="61" t="n"/>
      <c r="I34" s="61" t="n"/>
      <c r="J34" s="61" t="n"/>
      <c r="K34" s="61" t="n"/>
      <c r="L34" s="61" t="n"/>
      <c r="M34" s="61" t="n"/>
      <c r="N34" s="61" t="n"/>
      <c r="O34" s="61" t="n"/>
      <c r="P34" s="61" t="n"/>
      <c r="Q34" s="61" t="n"/>
      <c r="R34" s="61" t="n"/>
      <c r="S34" s="61" t="n"/>
      <c r="T34" s="54" t="n">
        <v>49</v>
      </c>
      <c r="U34" s="61" t="n"/>
      <c r="V34" s="54" t="inlineStr">
        <is>
          <t>FR</t>
        </is>
      </c>
      <c r="W34" s="54" t="n"/>
      <c r="X34" s="61" t="n"/>
      <c r="Y34" s="61" t="n"/>
      <c r="Z34" s="61" t="n"/>
      <c r="AA34" s="61" t="n"/>
      <c r="AB34" s="61" t="n"/>
      <c r="AC34" s="61" t="n"/>
    </row>
    <row r="35">
      <c r="A35" s="54" t="n">
        <v>8080021</v>
      </c>
      <c r="B35" s="53" t="inlineStr">
        <is>
          <t>Float Sub 6-1/2" Lg 585 mm
4-1/2" IF Pin x 4-1/2" IF Box BF (4R)</t>
        </is>
      </c>
      <c r="C35" s="54" t="n">
        <v>78</v>
      </c>
      <c r="D35" s="60" t="n">
        <v>6.5</v>
      </c>
      <c r="E35" s="54" t="n">
        <v>585</v>
      </c>
      <c r="F35" s="61" t="n"/>
      <c r="G35" s="61" t="n"/>
      <c r="H35" s="61" t="n"/>
      <c r="I35" s="61" t="n"/>
      <c r="J35" s="61" t="n"/>
      <c r="K35" s="61" t="n"/>
      <c r="L35" s="61" t="n"/>
      <c r="M35" s="61" t="n"/>
      <c r="N35" s="61" t="n"/>
      <c r="O35" s="61" t="n"/>
      <c r="P35" s="61" t="n"/>
      <c r="Q35" s="61" t="n"/>
      <c r="R35" s="61" t="n"/>
      <c r="S35" s="61" t="n"/>
      <c r="T35" s="54" t="n">
        <v>16</v>
      </c>
      <c r="U35" s="61" t="n"/>
      <c r="V35" s="54" t="inlineStr">
        <is>
          <t>FR</t>
        </is>
      </c>
      <c r="W35" s="54" t="n"/>
      <c r="X35" s="61" t="n"/>
      <c r="Y35" s="61" t="n"/>
      <c r="Z35" s="61" t="n"/>
      <c r="AA35" s="61" t="n"/>
      <c r="AB35" s="61" t="n"/>
      <c r="AC35" s="61" t="n"/>
    </row>
    <row r="36">
      <c r="A36" s="54" t="n">
        <v>8130022</v>
      </c>
      <c r="B36" s="53" t="inlineStr">
        <is>
          <t>XO
3-1/2" IF Pin x 3-1/2" REG Pin</t>
        </is>
      </c>
      <c r="C36" s="54" t="n">
        <v>35.930580961275</v>
      </c>
      <c r="D36" s="60" t="n">
        <v>4.75</v>
      </c>
      <c r="E36" s="54" t="n">
        <v>490</v>
      </c>
      <c r="F36" s="61" t="n"/>
      <c r="G36" s="61" t="n"/>
      <c r="H36" s="61" t="n"/>
      <c r="I36" s="61" t="n"/>
      <c r="J36" s="61" t="n"/>
      <c r="K36" s="61" t="n"/>
      <c r="L36" s="61" t="n"/>
      <c r="M36" s="61" t="n"/>
      <c r="N36" s="61" t="n"/>
      <c r="O36" s="61" t="n"/>
      <c r="P36" s="61" t="n"/>
      <c r="Q36" s="61" t="n"/>
      <c r="R36" s="61" t="n"/>
      <c r="S36" s="61" t="n"/>
      <c r="T36" s="54" t="n">
        <v>120</v>
      </c>
      <c r="U36" s="61" t="n"/>
      <c r="V36" s="54" t="inlineStr">
        <is>
          <t>FR</t>
        </is>
      </c>
      <c r="W36" s="54" t="n"/>
      <c r="X36" s="61" t="n"/>
      <c r="Y36" s="61" t="n"/>
      <c r="Z36" s="61" t="n"/>
      <c r="AA36" s="61" t="n"/>
      <c r="AB36" s="61" t="n"/>
      <c r="AC36" s="61" t="n"/>
    </row>
    <row r="37">
      <c r="A37" s="54" t="n">
        <v>8130023</v>
      </c>
      <c r="B37" s="53" t="inlineStr">
        <is>
          <t>XO
3-1/2" IF Pin x 3-1/2" IF Pin</t>
        </is>
      </c>
      <c r="C37" s="54" t="n">
        <v>32.21975410875</v>
      </c>
      <c r="D37" s="60" t="n">
        <v>4.75</v>
      </c>
      <c r="E37" s="54" t="n">
        <v>500</v>
      </c>
      <c r="F37" s="61" t="n"/>
      <c r="G37" s="61" t="n"/>
      <c r="H37" s="61" t="n"/>
      <c r="I37" s="61" t="n"/>
      <c r="J37" s="61" t="n"/>
      <c r="K37" s="61" t="n"/>
      <c r="L37" s="61" t="n"/>
      <c r="M37" s="61" t="n"/>
      <c r="N37" s="61" t="n"/>
      <c r="O37" s="61" t="n"/>
      <c r="P37" s="61" t="n"/>
      <c r="Q37" s="61" t="n"/>
      <c r="R37" s="61" t="n"/>
      <c r="S37" s="61" t="n"/>
      <c r="T37" s="54" t="n">
        <v>114</v>
      </c>
      <c r="U37" s="61" t="n"/>
      <c r="V37" s="54" t="inlineStr">
        <is>
          <t>FR</t>
        </is>
      </c>
      <c r="W37" s="54" t="n"/>
      <c r="X37" s="61" t="n"/>
      <c r="Y37" s="61" t="n"/>
      <c r="Z37" s="61" t="n"/>
      <c r="AA37" s="61" t="n"/>
      <c r="AB37" s="61" t="n"/>
      <c r="AC37" s="61" t="n"/>
    </row>
    <row r="38">
      <c r="A38" s="54" t="n">
        <v>8130024</v>
      </c>
      <c r="B38" s="53" t="inlineStr">
        <is>
          <t>XO
2-3/8" IF Pin x 2-3/8" REG Pin</t>
        </is>
      </c>
      <c r="C38" s="54" t="n">
        <v>17.77641606</v>
      </c>
      <c r="D38" s="60" t="n">
        <v>3.5</v>
      </c>
      <c r="E38" s="54" t="n">
        <v>400</v>
      </c>
      <c r="F38" s="61" t="n"/>
      <c r="G38" s="61" t="n"/>
      <c r="H38" s="61" t="n"/>
      <c r="I38" s="61" t="n"/>
      <c r="J38" s="61" t="n"/>
      <c r="K38" s="61" t="n"/>
      <c r="L38" s="61" t="n"/>
      <c r="M38" s="61" t="n"/>
      <c r="N38" s="61" t="n"/>
      <c r="O38" s="61" t="n"/>
      <c r="P38" s="61" t="n"/>
      <c r="Q38" s="61" t="n"/>
      <c r="R38" s="61" t="n"/>
      <c r="S38" s="61" t="n"/>
      <c r="T38" s="54" t="n">
        <v>26</v>
      </c>
      <c r="U38" s="61" t="n"/>
      <c r="V38" s="54" t="inlineStr">
        <is>
          <t>FR</t>
        </is>
      </c>
      <c r="W38" s="54" t="n"/>
      <c r="X38" s="61" t="n"/>
      <c r="Y38" s="61" t="n"/>
      <c r="Z38" s="61" t="n"/>
      <c r="AA38" s="61" t="n"/>
      <c r="AB38" s="61" t="n"/>
      <c r="AC38" s="61" t="n"/>
    </row>
    <row r="39">
      <c r="A39" s="54" t="n">
        <v>8130025</v>
      </c>
      <c r="B39" s="53" t="n"/>
      <c r="C39" s="54" t="n"/>
      <c r="D39" s="60" t="n"/>
      <c r="E39" s="54" t="n"/>
      <c r="F39" s="61" t="n"/>
      <c r="G39" s="61" t="n"/>
      <c r="H39" s="61" t="n"/>
      <c r="I39" s="61" t="n"/>
      <c r="J39" s="61" t="n"/>
      <c r="K39" s="61" t="n"/>
      <c r="L39" s="61" t="n"/>
      <c r="M39" s="61" t="n"/>
      <c r="N39" s="61" t="n"/>
      <c r="O39" s="61" t="n"/>
      <c r="P39" s="61" t="n"/>
      <c r="Q39" s="61" t="n"/>
      <c r="R39" s="61" t="n"/>
      <c r="S39" s="61" t="n"/>
      <c r="T39" s="54" t="n"/>
      <c r="U39" s="61" t="n"/>
      <c r="V39" s="54" t="n"/>
      <c r="W39" s="54" t="n"/>
      <c r="X39" s="61" t="n"/>
      <c r="Y39" s="61" t="n"/>
      <c r="Z39" s="61" t="n"/>
      <c r="AA39" s="61" t="n"/>
      <c r="AB39" s="61" t="n"/>
      <c r="AC39" s="61" t="n"/>
    </row>
    <row r="40">
      <c r="A40" s="54" t="n">
        <v>8130026</v>
      </c>
      <c r="B40" s="53" t="inlineStr">
        <is>
          <t>XO
2-3/8" IF Pin x 2-3/8" IF Pin</t>
        </is>
      </c>
      <c r="C40" s="54" t="n">
        <v>15.80125872</v>
      </c>
      <c r="D40" s="60" t="n">
        <v>3.5</v>
      </c>
      <c r="E40" s="54" t="n">
        <v>400</v>
      </c>
      <c r="F40" s="61" t="n"/>
      <c r="G40" s="61" t="n"/>
      <c r="H40" s="61" t="n"/>
      <c r="I40" s="61" t="n"/>
      <c r="J40" s="61" t="n"/>
      <c r="K40" s="61" t="n"/>
      <c r="L40" s="61" t="n"/>
      <c r="M40" s="61" t="n"/>
      <c r="N40" s="61" t="n"/>
      <c r="O40" s="61" t="n"/>
      <c r="P40" s="61" t="n"/>
      <c r="Q40" s="61" t="n"/>
      <c r="R40" s="61" t="n"/>
      <c r="S40" s="61" t="n"/>
      <c r="T40" s="54" t="n">
        <v>19</v>
      </c>
      <c r="U40" s="61" t="n"/>
      <c r="V40" s="54" t="inlineStr">
        <is>
          <t>FR</t>
        </is>
      </c>
      <c r="W40" s="54" t="n"/>
      <c r="X40" s="61" t="n"/>
      <c r="Y40" s="61" t="n"/>
      <c r="Z40" s="61" t="n"/>
      <c r="AA40" s="61" t="n"/>
      <c r="AB40" s="61" t="n"/>
      <c r="AC40" s="61" t="n"/>
    </row>
    <row r="41">
      <c r="A41" s="54" t="n">
        <v>8130027</v>
      </c>
      <c r="B41" s="53" t="n"/>
      <c r="C41" s="54" t="n"/>
      <c r="D41" s="60" t="n"/>
      <c r="E41" s="54" t="n"/>
      <c r="F41" s="61" t="n"/>
      <c r="G41" s="61" t="n"/>
      <c r="H41" s="61" t="n"/>
      <c r="I41" s="61" t="n"/>
      <c r="J41" s="61" t="n"/>
      <c r="K41" s="61" t="n"/>
      <c r="L41" s="61" t="n"/>
      <c r="M41" s="61" t="n"/>
      <c r="N41" s="61" t="n"/>
      <c r="O41" s="61" t="n"/>
      <c r="P41" s="61" t="n"/>
      <c r="Q41" s="61" t="n"/>
      <c r="R41" s="61" t="n"/>
      <c r="S41" s="61" t="n"/>
      <c r="T41" s="54" t="n"/>
      <c r="U41" s="61" t="n"/>
      <c r="V41" s="54" t="n"/>
      <c r="W41" s="54" t="n"/>
      <c r="X41" s="61" t="n"/>
      <c r="Y41" s="61" t="n"/>
      <c r="Z41" s="61" t="n"/>
      <c r="AA41" s="61" t="n"/>
      <c r="AB41" s="61" t="n"/>
      <c r="AC41" s="61" t="n"/>
    </row>
    <row r="42">
      <c r="A42" s="54" t="n">
        <v>1060028</v>
      </c>
      <c r="B42" s="53" t="inlineStr">
        <is>
          <t>Impression block 4 1/2" OD
 2-3/8" REG Box</t>
        </is>
      </c>
      <c r="C42" s="54" t="n">
        <v>28</v>
      </c>
      <c r="D42" s="60" t="n">
        <v>4.5</v>
      </c>
      <c r="E42" s="54" t="n">
        <v>530</v>
      </c>
      <c r="F42" s="61" t="n"/>
      <c r="G42" s="61" t="n"/>
      <c r="H42" s="61" t="n"/>
      <c r="I42" s="61" t="n"/>
      <c r="J42" s="61" t="n"/>
      <c r="K42" s="61" t="n"/>
      <c r="L42" s="61" t="n"/>
      <c r="M42" s="61" t="n"/>
      <c r="N42" s="61" t="n"/>
      <c r="O42" s="61" t="n"/>
      <c r="P42" s="61" t="n"/>
      <c r="Q42" s="61" t="n"/>
      <c r="R42" s="61" t="n"/>
      <c r="S42" s="61" t="n"/>
      <c r="T42" s="54" t="n">
        <v>8</v>
      </c>
      <c r="U42" s="61" t="n"/>
      <c r="V42" s="54" t="inlineStr">
        <is>
          <t>FR</t>
        </is>
      </c>
      <c r="W42" s="54" t="n"/>
      <c r="X42" s="61" t="n"/>
      <c r="Y42" s="61" t="n"/>
      <c r="Z42" s="61" t="n"/>
      <c r="AA42" s="61" t="n"/>
      <c r="AB42" s="61" t="n"/>
      <c r="AC42" s="61" t="n"/>
    </row>
    <row r="43">
      <c r="A43" s="54" t="n">
        <v>8130029</v>
      </c>
      <c r="B43" s="53" t="inlineStr">
        <is>
          <t>XO
3-1/2" IF Pin x 3-1/2" REG Pin</t>
        </is>
      </c>
      <c r="C43" s="54" t="n">
        <v>36.91075279125</v>
      </c>
      <c r="D43" s="60" t="n">
        <v>4.75</v>
      </c>
      <c r="E43" s="54" t="n">
        <v>460</v>
      </c>
      <c r="F43" s="61" t="n"/>
      <c r="G43" s="61" t="n"/>
      <c r="H43" s="61" t="n"/>
      <c r="I43" s="61" t="n"/>
      <c r="J43" s="61" t="n"/>
      <c r="K43" s="61" t="n"/>
      <c r="L43" s="61" t="n"/>
      <c r="M43" s="61" t="n"/>
      <c r="N43" s="61" t="n"/>
      <c r="O43" s="61" t="n"/>
      <c r="P43" s="61" t="n"/>
      <c r="Q43" s="61" t="n"/>
      <c r="R43" s="61" t="n"/>
      <c r="S43" s="61" t="n"/>
      <c r="T43" s="54" t="n">
        <v>118</v>
      </c>
      <c r="U43" s="61" t="n"/>
      <c r="V43" s="54" t="inlineStr">
        <is>
          <t>FR</t>
        </is>
      </c>
      <c r="W43" s="54" t="n"/>
      <c r="X43" s="61" t="n"/>
      <c r="Y43" s="61" t="n"/>
      <c r="Z43" s="61" t="n"/>
      <c r="AA43" s="61" t="n"/>
      <c r="AB43" s="61" t="n"/>
      <c r="AC43" s="61" t="n"/>
    </row>
    <row r="44">
      <c r="A44" s="54" t="n">
        <v>5170030</v>
      </c>
      <c r="B44" s="53" t="inlineStr">
        <is>
          <t>WO Junk Catcher w/ saver sub
4-1/2" FJWP Pin x Box</t>
        </is>
      </c>
      <c r="C44" s="54" t="n">
        <v>26</v>
      </c>
      <c r="D44" s="60" t="n">
        <v>4.625</v>
      </c>
      <c r="E44" s="54" t="n">
        <v>500</v>
      </c>
      <c r="F44" s="61" t="n"/>
      <c r="G44" s="61" t="n"/>
      <c r="H44" s="61" t="n"/>
      <c r="I44" s="61" t="n"/>
      <c r="J44" s="61" t="n"/>
      <c r="K44" s="61" t="n"/>
      <c r="L44" s="61" t="n"/>
      <c r="M44" s="61" t="n"/>
      <c r="N44" s="61" t="n"/>
      <c r="O44" s="61" t="n"/>
      <c r="P44" s="61" t="n"/>
      <c r="Q44" s="61" t="n"/>
      <c r="R44" s="61" t="n"/>
      <c r="S44" s="61" t="n"/>
      <c r="T44" s="54" t="n">
        <v>5</v>
      </c>
      <c r="U44" s="61" t="n"/>
      <c r="V44" s="54" t="inlineStr">
        <is>
          <t>FR</t>
        </is>
      </c>
      <c r="W44" s="54" t="n"/>
      <c r="X44" s="61" t="n"/>
      <c r="Y44" s="61" t="n"/>
      <c r="Z44" s="61" t="n"/>
      <c r="AA44" s="61" t="n"/>
      <c r="AB44" s="61" t="n"/>
      <c r="AC44" s="61" t="n"/>
    </row>
    <row r="45">
      <c r="A45" s="54" t="n">
        <v>5120031</v>
      </c>
      <c r="B45" s="53" t="inlineStr">
        <is>
          <t>WO Top Sub
2-7/8" EU Box x 4-1/2" FJWP Pin</t>
        </is>
      </c>
      <c r="C45" s="54" t="n">
        <v>16</v>
      </c>
      <c r="D45" s="60" t="n">
        <v>4.5</v>
      </c>
      <c r="E45" s="54" t="n">
        <v>420</v>
      </c>
      <c r="F45" s="61" t="n"/>
      <c r="G45" s="61" t="n"/>
      <c r="H45" s="61" t="n"/>
      <c r="I45" s="61" t="n"/>
      <c r="J45" s="61" t="n"/>
      <c r="K45" s="61" t="n"/>
      <c r="L45" s="61" t="n"/>
      <c r="M45" s="61" t="n"/>
      <c r="N45" s="61" t="n"/>
      <c r="O45" s="61" t="n"/>
      <c r="P45" s="61" t="n"/>
      <c r="Q45" s="61" t="n"/>
      <c r="R45" s="61" t="n"/>
      <c r="S45" s="61" t="n"/>
      <c r="T45" s="54" t="n">
        <v>18</v>
      </c>
      <c r="U45" s="61" t="n"/>
      <c r="V45" s="54" t="inlineStr">
        <is>
          <t>FR</t>
        </is>
      </c>
      <c r="W45" s="54" t="n"/>
      <c r="X45" s="61" t="n"/>
      <c r="Y45" s="61" t="n"/>
      <c r="Z45" s="61" t="n"/>
      <c r="AA45" s="61" t="n"/>
      <c r="AB45" s="61" t="n"/>
      <c r="AC45" s="61" t="n"/>
    </row>
    <row r="46">
      <c r="A46" s="54" t="n">
        <v>5120032</v>
      </c>
      <c r="B46" s="53" t="inlineStr">
        <is>
          <t>WO Top Sub
3-1/2" IF Box x 5-3/8" BRS Pin</t>
        </is>
      </c>
      <c r="C46" s="54" t="n">
        <v>52</v>
      </c>
      <c r="D46" s="60" t="n">
        <v>5.375</v>
      </c>
      <c r="E46" s="54" t="n">
        <v>580</v>
      </c>
      <c r="F46" s="61" t="n"/>
      <c r="G46" s="61" t="n"/>
      <c r="H46" s="61" t="n"/>
      <c r="I46" s="61" t="n"/>
      <c r="J46" s="61" t="n"/>
      <c r="K46" s="61" t="n"/>
      <c r="L46" s="61" t="n"/>
      <c r="M46" s="61" t="n"/>
      <c r="N46" s="61" t="n"/>
      <c r="O46" s="61" t="n"/>
      <c r="P46" s="61" t="n"/>
      <c r="Q46" s="61" t="n"/>
      <c r="R46" s="61" t="n"/>
      <c r="S46" s="61" t="n"/>
      <c r="T46" s="54" t="n">
        <v>19</v>
      </c>
      <c r="U46" s="61" t="n"/>
      <c r="V46" s="54" t="n"/>
      <c r="W46" s="54" t="n"/>
      <c r="X46" s="61" t="n"/>
      <c r="Y46" s="61" t="n"/>
      <c r="Z46" s="61" t="n"/>
      <c r="AA46" s="61" t="n"/>
      <c r="AB46" s="61" t="n"/>
      <c r="AC46" s="61" t="n"/>
    </row>
    <row r="47">
      <c r="A47" s="54" t="n">
        <v>5120033</v>
      </c>
      <c r="B47" s="53" t="inlineStr">
        <is>
          <t>WO Top Sub
2-7/8" EU Box x 4-1/2" FJWP Pin</t>
        </is>
      </c>
      <c r="C47" s="54" t="n"/>
      <c r="D47" s="60" t="n"/>
      <c r="E47" s="54" t="n"/>
      <c r="F47" s="61" t="n"/>
      <c r="G47" s="61" t="n"/>
      <c r="H47" s="61" t="n"/>
      <c r="I47" s="61" t="n"/>
      <c r="J47" s="61" t="n"/>
      <c r="K47" s="61" t="n"/>
      <c r="L47" s="61" t="n"/>
      <c r="M47" s="61" t="n"/>
      <c r="N47" s="61" t="n"/>
      <c r="O47" s="61" t="n"/>
      <c r="P47" s="61" t="n"/>
      <c r="Q47" s="61" t="n"/>
      <c r="R47" s="61" t="n"/>
      <c r="S47" s="61" t="n"/>
      <c r="T47" s="54" t="n"/>
      <c r="U47" s="61" t="n"/>
      <c r="V47" s="54" t="n"/>
      <c r="W47" s="54" t="n"/>
      <c r="X47" s="61" t="n"/>
      <c r="Y47" s="61" t="n"/>
      <c r="Z47" s="61" t="n"/>
      <c r="AA47" s="61" t="n"/>
      <c r="AB47" s="61" t="n"/>
      <c r="AC47" s="61" t="n"/>
    </row>
    <row r="48">
      <c r="A48" s="54" t="n">
        <v>8130034</v>
      </c>
      <c r="B48" s="53" t="inlineStr">
        <is>
          <t>XO
2-7/8" EU Pin x 2-7/8" IF Box</t>
        </is>
      </c>
      <c r="C48" s="54" t="n">
        <v>16</v>
      </c>
      <c r="D48" s="60" t="n">
        <v>4.0625</v>
      </c>
      <c r="E48" s="54" t="n">
        <v>445</v>
      </c>
      <c r="F48" s="61" t="n"/>
      <c r="G48" s="61" t="n"/>
      <c r="H48" s="61" t="n"/>
      <c r="I48" s="61" t="n"/>
      <c r="J48" s="61" t="n"/>
      <c r="K48" s="61" t="n"/>
      <c r="L48" s="61" t="n"/>
      <c r="M48" s="61" t="n"/>
      <c r="N48" s="61" t="n"/>
      <c r="O48" s="61" t="n"/>
      <c r="P48" s="61" t="n"/>
      <c r="Q48" s="61" t="n"/>
      <c r="R48" s="61" t="n"/>
      <c r="S48" s="61" t="n"/>
      <c r="T48" s="54" t="n">
        <v>74</v>
      </c>
      <c r="U48" s="61" t="n"/>
      <c r="V48" s="54" t="inlineStr">
        <is>
          <t>FR</t>
        </is>
      </c>
      <c r="W48" s="54" t="n"/>
      <c r="X48" s="61" t="n"/>
      <c r="Y48" s="61" t="n"/>
      <c r="Z48" s="61" t="n"/>
      <c r="AA48" s="61" t="n"/>
      <c r="AB48" s="61" t="n"/>
      <c r="AC48" s="61" t="n"/>
    </row>
    <row r="49">
      <c r="A49" s="54" t="n">
        <v>8130035</v>
      </c>
      <c r="B49" s="53" t="inlineStr">
        <is>
          <t>XO
2-7/8" IF Pin x 2-7/8" EU Box</t>
        </is>
      </c>
      <c r="C49" s="54" t="n">
        <v>38.51556813</v>
      </c>
      <c r="D49" s="60" t="n">
        <v>4.75</v>
      </c>
      <c r="E49" s="54" t="n">
        <v>480</v>
      </c>
      <c r="F49" s="61" t="n"/>
      <c r="G49" s="61" t="n"/>
      <c r="H49" s="61" t="n"/>
      <c r="I49" s="61" t="n"/>
      <c r="J49" s="61" t="n"/>
      <c r="K49" s="61" t="n"/>
      <c r="L49" s="61" t="n"/>
      <c r="M49" s="61" t="n"/>
      <c r="N49" s="61" t="n"/>
      <c r="O49" s="61" t="n"/>
      <c r="P49" s="61" t="n"/>
      <c r="Q49" s="61" t="n"/>
      <c r="R49" s="61" t="n"/>
      <c r="S49" s="61" t="n"/>
      <c r="T49" s="54" t="n">
        <v>81</v>
      </c>
      <c r="U49" s="61" t="n"/>
      <c r="V49" s="54" t="inlineStr">
        <is>
          <t>FR</t>
        </is>
      </c>
      <c r="W49" s="54" t="n"/>
      <c r="X49" s="61" t="n"/>
      <c r="Y49" s="61" t="n"/>
      <c r="Z49" s="61" t="n"/>
      <c r="AA49" s="61" t="n"/>
      <c r="AB49" s="61" t="n"/>
      <c r="AC49" s="61" t="n"/>
    </row>
    <row r="50">
      <c r="A50" s="54" t="n">
        <v>8020036</v>
      </c>
      <c r="B50" s="53" t="inlineStr">
        <is>
          <t>Bit Sub
2-3/8" IF Box x 3-1/2" REG Box</t>
        </is>
      </c>
      <c r="C50" s="54" t="n">
        <v>18</v>
      </c>
      <c r="D50" s="60" t="n">
        <v>4.125</v>
      </c>
      <c r="E50" s="54" t="n">
        <v>500</v>
      </c>
      <c r="F50" s="61" t="n"/>
      <c r="G50" s="61" t="n"/>
      <c r="H50" s="61" t="n"/>
      <c r="I50" s="61" t="n"/>
      <c r="J50" s="61" t="n"/>
      <c r="K50" s="61" t="n"/>
      <c r="L50" s="61" t="n"/>
      <c r="M50" s="61" t="n"/>
      <c r="N50" s="61" t="n"/>
      <c r="O50" s="61" t="n"/>
      <c r="P50" s="61" t="n"/>
      <c r="Q50" s="61" t="n"/>
      <c r="R50" s="61" t="n"/>
      <c r="S50" s="61" t="n"/>
      <c r="T50" s="54" t="n">
        <v>11</v>
      </c>
      <c r="U50" s="61" t="n"/>
      <c r="V50" s="54" t="inlineStr">
        <is>
          <t>FR</t>
        </is>
      </c>
      <c r="W50" s="54" t="n"/>
      <c r="X50" s="61" t="n"/>
      <c r="Y50" s="61" t="n"/>
      <c r="Z50" s="61" t="n"/>
      <c r="AA50" s="61" t="n"/>
      <c r="AB50" s="61" t="n"/>
      <c r="AC50" s="61" t="n"/>
    </row>
    <row r="51">
      <c r="A51" s="54" t="n">
        <v>8130037</v>
      </c>
      <c r="B51" s="53" t="inlineStr">
        <is>
          <t>XO
2-7/8" REG Pin x 2-3/8" REG Box</t>
        </is>
      </c>
      <c r="C51" s="54" t="n">
        <v>20</v>
      </c>
      <c r="D51" s="60" t="n">
        <v>3.75</v>
      </c>
      <c r="E51" s="54" t="n">
        <v>500</v>
      </c>
      <c r="F51" s="61" t="n"/>
      <c r="G51" s="61" t="n"/>
      <c r="H51" s="61" t="n"/>
      <c r="I51" s="61" t="n"/>
      <c r="J51" s="61" t="n"/>
      <c r="K51" s="61" t="n"/>
      <c r="L51" s="61" t="n"/>
      <c r="M51" s="61" t="n"/>
      <c r="N51" s="61" t="n"/>
      <c r="O51" s="61" t="n"/>
      <c r="P51" s="61" t="n"/>
      <c r="Q51" s="61" t="n"/>
      <c r="R51" s="61" t="n"/>
      <c r="S51" s="61" t="n"/>
      <c r="T51" s="54" t="n">
        <v>90</v>
      </c>
      <c r="U51" s="61" t="n"/>
      <c r="V51" s="54" t="inlineStr">
        <is>
          <t>FR</t>
        </is>
      </c>
      <c r="W51" s="54" t="n"/>
      <c r="X51" s="61" t="n"/>
      <c r="Y51" s="61" t="n"/>
      <c r="Z51" s="61" t="n"/>
      <c r="AA51" s="61" t="n"/>
      <c r="AB51" s="61" t="n"/>
      <c r="AC51" s="61" t="n"/>
    </row>
    <row r="52">
      <c r="A52" s="54" t="n">
        <v>8130038</v>
      </c>
      <c r="B52" s="53" t="inlineStr">
        <is>
          <t>XO
2-3/8" REG Pin x 2-7/8" REG Box</t>
        </is>
      </c>
      <c r="C52" s="54" t="n">
        <v>22</v>
      </c>
      <c r="D52" s="60" t="n">
        <v>3.75</v>
      </c>
      <c r="E52" s="54" t="n">
        <v>515</v>
      </c>
      <c r="F52" s="61" t="n"/>
      <c r="G52" s="61" t="n"/>
      <c r="H52" s="61" t="n"/>
      <c r="I52" s="61" t="n"/>
      <c r="J52" s="61" t="n"/>
      <c r="K52" s="61" t="n"/>
      <c r="L52" s="61" t="n"/>
      <c r="M52" s="61" t="n"/>
      <c r="N52" s="61" t="n"/>
      <c r="O52" s="61" t="n"/>
      <c r="P52" s="61" t="n"/>
      <c r="Q52" s="61" t="n"/>
      <c r="R52" s="61" t="n"/>
      <c r="S52" s="61" t="n"/>
      <c r="T52" s="54" t="n">
        <v>53</v>
      </c>
      <c r="U52" s="61" t="n"/>
      <c r="V52" s="54" t="inlineStr">
        <is>
          <t>FR</t>
        </is>
      </c>
      <c r="W52" s="54" t="n"/>
      <c r="X52" s="61" t="n"/>
      <c r="Y52" s="61" t="n"/>
      <c r="Z52" s="61" t="n"/>
      <c r="AA52" s="61" t="n"/>
      <c r="AB52" s="61" t="n"/>
      <c r="AC52" s="61" t="n"/>
    </row>
    <row r="53">
      <c r="A53" s="54" t="n">
        <v>8020039</v>
      </c>
      <c r="B53" s="53" t="inlineStr">
        <is>
          <t>Bit Sub
2-3/8" REG Box x 2-3/8" REG Box</t>
        </is>
      </c>
      <c r="C53" s="54" t="n">
        <v>11.87563350675</v>
      </c>
      <c r="D53" s="60" t="n">
        <v>3.125</v>
      </c>
      <c r="E53" s="54" t="n">
        <v>400</v>
      </c>
      <c r="F53" s="61" t="n"/>
      <c r="G53" s="61" t="n"/>
      <c r="H53" s="61" t="n"/>
      <c r="I53" s="61" t="n"/>
      <c r="J53" s="61" t="n"/>
      <c r="K53" s="61" t="n"/>
      <c r="L53" s="61" t="n"/>
      <c r="M53" s="61" t="n"/>
      <c r="N53" s="61" t="n"/>
      <c r="O53" s="61" t="n"/>
      <c r="P53" s="61" t="n"/>
      <c r="Q53" s="61" t="n"/>
      <c r="R53" s="61" t="n"/>
      <c r="S53" s="61" t="n"/>
      <c r="T53" s="54" t="n">
        <v>13</v>
      </c>
      <c r="U53" s="61" t="n"/>
      <c r="V53" s="54" t="inlineStr">
        <is>
          <t>FR</t>
        </is>
      </c>
      <c r="W53" s="54" t="n"/>
      <c r="X53" s="61" t="n"/>
      <c r="Y53" s="61" t="n"/>
      <c r="Z53" s="61" t="n"/>
      <c r="AA53" s="61" t="n"/>
      <c r="AB53" s="61" t="n"/>
      <c r="AC53" s="61" t="n"/>
    </row>
    <row r="54">
      <c r="A54" s="54" t="n">
        <v>8130040</v>
      </c>
      <c r="B54" s="53" t="inlineStr">
        <is>
          <t>XO
2-7/8" EU Pin x 2-3/8" REG Box</t>
        </is>
      </c>
      <c r="C54" s="54" t="n">
        <v>10.24273389957188</v>
      </c>
      <c r="D54" s="60" t="n">
        <v>3.125</v>
      </c>
      <c r="E54" s="54" t="n">
        <v>345</v>
      </c>
      <c r="F54" s="61" t="n"/>
      <c r="G54" s="61" t="n"/>
      <c r="H54" s="61" t="n"/>
      <c r="I54" s="61" t="n"/>
      <c r="J54" s="61" t="n"/>
      <c r="K54" s="61" t="n"/>
      <c r="L54" s="61" t="n"/>
      <c r="M54" s="61" t="n"/>
      <c r="N54" s="61" t="n"/>
      <c r="O54" s="61" t="n"/>
      <c r="P54" s="61" t="n"/>
      <c r="Q54" s="61" t="n"/>
      <c r="R54" s="61" t="n"/>
      <c r="S54" s="61" t="n"/>
      <c r="T54" s="54" t="n">
        <v>67</v>
      </c>
      <c r="U54" s="61" t="n"/>
      <c r="V54" s="54" t="n"/>
      <c r="W54" s="54" t="n"/>
      <c r="X54" s="61" t="n"/>
      <c r="Y54" s="61" t="n"/>
      <c r="Z54" s="61" t="n"/>
      <c r="AA54" s="61" t="n"/>
      <c r="AB54" s="61" t="n"/>
      <c r="AC54" s="61" t="n"/>
    </row>
    <row r="55">
      <c r="A55" s="54" t="n">
        <v>5120041</v>
      </c>
      <c r="B55" s="53" t="n"/>
      <c r="C55" s="54" t="n"/>
      <c r="D55" s="60" t="n"/>
      <c r="E55" s="54" t="n"/>
      <c r="F55" s="61" t="n"/>
      <c r="G55" s="61" t="n"/>
      <c r="H55" s="61" t="n"/>
      <c r="I55" s="61" t="n"/>
      <c r="J55" s="61" t="n"/>
      <c r="K55" s="61" t="n"/>
      <c r="L55" s="61" t="n"/>
      <c r="M55" s="61" t="n"/>
      <c r="N55" s="61" t="n"/>
      <c r="O55" s="61" t="n"/>
      <c r="P55" s="61" t="n"/>
      <c r="Q55" s="61" t="n"/>
      <c r="R55" s="61" t="n"/>
      <c r="S55" s="61" t="n"/>
      <c r="T55" s="54" t="n"/>
      <c r="U55" s="61" t="n"/>
      <c r="V55" s="54" t="n"/>
      <c r="W55" s="54" t="n"/>
      <c r="X55" s="61" t="n"/>
      <c r="Y55" s="61" t="n"/>
      <c r="Z55" s="61" t="n"/>
      <c r="AA55" s="61" t="n"/>
      <c r="AB55" s="61" t="n"/>
      <c r="AC55" s="61" t="n"/>
    </row>
    <row r="56">
      <c r="A56" s="54" t="n">
        <v>5100042</v>
      </c>
      <c r="B56" s="53" t="inlineStr">
        <is>
          <t>WO Pipe
4-1/2" FJWP Pin x Box</t>
        </is>
      </c>
      <c r="C56" s="54" t="n">
        <v>0</v>
      </c>
      <c r="D56" s="60" t="n">
        <v>4.5</v>
      </c>
      <c r="E56" s="54" t="n">
        <v>0</v>
      </c>
      <c r="F56" s="61" t="n"/>
      <c r="G56" s="61" t="n"/>
      <c r="H56" s="61" t="n"/>
      <c r="I56" s="61" t="n"/>
      <c r="J56" s="61" t="n"/>
      <c r="K56" s="61" t="n"/>
      <c r="L56" s="61" t="n"/>
      <c r="M56" s="61" t="n"/>
      <c r="N56" s="61" t="n"/>
      <c r="O56" s="61" t="n"/>
      <c r="P56" s="61" t="n"/>
      <c r="Q56" s="61" t="n"/>
      <c r="R56" s="61" t="n"/>
      <c r="S56" s="61" t="n"/>
      <c r="T56" s="54" t="n">
        <v>22</v>
      </c>
      <c r="U56" s="61" t="n"/>
      <c r="V56" s="54" t="inlineStr">
        <is>
          <t>n° réattribué</t>
        </is>
      </c>
      <c r="W56" s="54" t="n"/>
      <c r="X56" s="61" t="n"/>
      <c r="Y56" s="61" t="n"/>
      <c r="Z56" s="61" t="n"/>
      <c r="AA56" s="61" t="n"/>
      <c r="AB56" s="61" t="n"/>
      <c r="AC56" s="61" t="n"/>
    </row>
    <row r="57">
      <c r="A57" s="54" t="n">
        <v>5100043</v>
      </c>
      <c r="B57" s="53" t="inlineStr">
        <is>
          <t>WO Pipe
4-1/2" FJWP Pin x Box</t>
        </is>
      </c>
      <c r="C57" s="54" t="n">
        <v>0</v>
      </c>
      <c r="D57" s="60" t="n">
        <v>4.5</v>
      </c>
      <c r="E57" s="54" t="n">
        <v>0</v>
      </c>
      <c r="F57" s="61" t="n"/>
      <c r="G57" s="61" t="n"/>
      <c r="H57" s="61" t="n"/>
      <c r="I57" s="61" t="n"/>
      <c r="J57" s="61" t="n"/>
      <c r="K57" s="61" t="n"/>
      <c r="L57" s="61" t="n"/>
      <c r="M57" s="61" t="n"/>
      <c r="N57" s="61" t="n"/>
      <c r="O57" s="61" t="n"/>
      <c r="P57" s="61" t="n"/>
      <c r="Q57" s="61" t="n"/>
      <c r="R57" s="61" t="n"/>
      <c r="S57" s="61" t="n"/>
      <c r="T57" s="54" t="n">
        <v>23</v>
      </c>
      <c r="U57" s="61" t="n"/>
      <c r="V57" s="54" t="inlineStr">
        <is>
          <t>n° réattribué</t>
        </is>
      </c>
      <c r="W57" s="54" t="n"/>
      <c r="X57" s="61" t="n"/>
      <c r="Y57" s="61" t="n"/>
      <c r="Z57" s="61" t="n"/>
      <c r="AA57" s="61" t="n"/>
      <c r="AB57" s="61" t="n"/>
      <c r="AC57" s="61" t="n"/>
    </row>
    <row r="58">
      <c r="A58" s="54" t="n">
        <v>5100044</v>
      </c>
      <c r="B58" s="53" t="inlineStr">
        <is>
          <t>WO Pipe
4-1/2" FJWP Pin x Box</t>
        </is>
      </c>
      <c r="C58" s="54" t="n">
        <v>0</v>
      </c>
      <c r="D58" s="60" t="n">
        <v>4.5</v>
      </c>
      <c r="E58" s="54" t="n">
        <v>0</v>
      </c>
      <c r="F58" s="61" t="n"/>
      <c r="G58" s="61" t="n"/>
      <c r="H58" s="61" t="n"/>
      <c r="I58" s="61" t="n"/>
      <c r="J58" s="61" t="n"/>
      <c r="K58" s="61" t="n"/>
      <c r="L58" s="61" t="n"/>
      <c r="M58" s="61" t="n"/>
      <c r="N58" s="61" t="n"/>
      <c r="O58" s="61" t="n"/>
      <c r="P58" s="61" t="n"/>
      <c r="Q58" s="61" t="n"/>
      <c r="R58" s="61" t="n"/>
      <c r="S58" s="61" t="n"/>
      <c r="T58" s="54" t="n">
        <v>24</v>
      </c>
      <c r="U58" s="61" t="n"/>
      <c r="V58" s="54" t="inlineStr">
        <is>
          <t>n° réattribué</t>
        </is>
      </c>
      <c r="W58" s="54" t="n"/>
      <c r="X58" s="61" t="n"/>
      <c r="Y58" s="61" t="n"/>
      <c r="Z58" s="61" t="n"/>
      <c r="AA58" s="61" t="n"/>
      <c r="AB58" s="61" t="n"/>
      <c r="AC58" s="61" t="n"/>
    </row>
    <row r="59">
      <c r="A59" s="54" t="n">
        <v>5100045</v>
      </c>
      <c r="B59" s="53" t="inlineStr">
        <is>
          <t>WO Pipe
4-1/2" FJWP Pin x Box</t>
        </is>
      </c>
      <c r="C59" s="54" t="n">
        <v>0</v>
      </c>
      <c r="D59" s="60" t="n">
        <v>4.5</v>
      </c>
      <c r="E59" s="54" t="n">
        <v>0</v>
      </c>
      <c r="F59" s="61" t="n"/>
      <c r="G59" s="61" t="n"/>
      <c r="H59" s="61" t="n"/>
      <c r="I59" s="61" t="n"/>
      <c r="J59" s="61" t="n"/>
      <c r="K59" s="61" t="n"/>
      <c r="L59" s="61" t="n"/>
      <c r="M59" s="61" t="n"/>
      <c r="N59" s="61" t="n"/>
      <c r="O59" s="61" t="n"/>
      <c r="P59" s="61" t="n"/>
      <c r="Q59" s="61" t="n"/>
      <c r="R59" s="61" t="n"/>
      <c r="S59" s="61" t="n"/>
      <c r="T59" s="54" t="n">
        <v>25</v>
      </c>
      <c r="U59" s="61" t="n"/>
      <c r="V59" s="54" t="inlineStr">
        <is>
          <t>n° réattribué</t>
        </is>
      </c>
      <c r="W59" s="54" t="n"/>
      <c r="X59" s="61" t="n"/>
      <c r="Y59" s="61" t="n"/>
      <c r="Z59" s="61" t="n"/>
      <c r="AA59" s="61" t="n"/>
      <c r="AB59" s="61" t="n"/>
      <c r="AC59" s="61" t="n"/>
    </row>
    <row r="60">
      <c r="A60" s="54" t="n">
        <v>5090046</v>
      </c>
      <c r="B60" s="53" t="inlineStr">
        <is>
          <t>WO Extension Lg 2007 mm
4-1/2" FJWP Pin x Box</t>
        </is>
      </c>
      <c r="C60" s="54" t="n">
        <v>64</v>
      </c>
      <c r="D60" s="60" t="n">
        <v>4.5</v>
      </c>
      <c r="E60" s="54" t="n">
        <v>2007</v>
      </c>
      <c r="F60" s="61" t="n"/>
      <c r="G60" s="61" t="n"/>
      <c r="H60" s="61" t="n"/>
      <c r="I60" s="61" t="n"/>
      <c r="J60" s="61" t="n"/>
      <c r="K60" s="61" t="n"/>
      <c r="L60" s="61" t="n"/>
      <c r="M60" s="61" t="n"/>
      <c r="N60" s="61" t="n"/>
      <c r="O60" s="61" t="n"/>
      <c r="P60" s="61" t="n"/>
      <c r="Q60" s="61" t="n"/>
      <c r="R60" s="61" t="n"/>
      <c r="S60" s="61" t="n"/>
      <c r="T60" s="54" t="n">
        <v>34</v>
      </c>
      <c r="U60" s="61" t="n"/>
      <c r="V60" s="54" t="inlineStr">
        <is>
          <t>FR</t>
        </is>
      </c>
      <c r="W60" s="54" t="n"/>
      <c r="X60" s="61" t="n"/>
      <c r="Y60" s="61" t="n"/>
      <c r="Z60" s="61" t="n"/>
      <c r="AA60" s="61" t="n"/>
      <c r="AB60" s="61" t="n"/>
      <c r="AC60" s="61" t="n"/>
    </row>
    <row r="61">
      <c r="A61" s="54" t="n">
        <v>5090047</v>
      </c>
      <c r="B61" s="53" t="inlineStr">
        <is>
          <t>WO Extension Lg 1960 mm
4-1/2" FJWP Pin x Box</t>
        </is>
      </c>
      <c r="C61" s="54" t="n">
        <v>47</v>
      </c>
      <c r="D61" s="60" t="n">
        <v>4.5</v>
      </c>
      <c r="E61" s="54" t="n">
        <v>1960</v>
      </c>
      <c r="F61" s="61" t="n"/>
      <c r="G61" s="61" t="n"/>
      <c r="H61" s="61" t="n"/>
      <c r="I61" s="61" t="n"/>
      <c r="J61" s="61" t="n"/>
      <c r="K61" s="61" t="n"/>
      <c r="L61" s="61" t="n"/>
      <c r="M61" s="61" t="n"/>
      <c r="N61" s="61" t="n"/>
      <c r="O61" s="61" t="n"/>
      <c r="P61" s="61" t="n"/>
      <c r="Q61" s="61" t="n"/>
      <c r="R61" s="61" t="n"/>
      <c r="S61" s="61" t="n"/>
      <c r="T61" s="54" t="n">
        <v>31</v>
      </c>
      <c r="U61" s="61" t="n"/>
      <c r="V61" s="54" t="inlineStr">
        <is>
          <t>FR</t>
        </is>
      </c>
      <c r="W61" s="54" t="n"/>
      <c r="X61" s="61" t="n"/>
      <c r="Y61" s="61" t="n"/>
      <c r="Z61" s="61" t="n"/>
      <c r="AA61" s="61" t="n"/>
      <c r="AB61" s="61" t="n"/>
      <c r="AC61" s="61" t="n"/>
    </row>
    <row r="62">
      <c r="A62" s="54" t="n">
        <v>5090048</v>
      </c>
      <c r="B62" s="53" t="inlineStr">
        <is>
          <t>WO Extension Lg 2000 mm
4-1/2" FJWP Pin x Box</t>
        </is>
      </c>
      <c r="C62" s="54" t="n">
        <v>47</v>
      </c>
      <c r="D62" s="60" t="n">
        <v>4.5</v>
      </c>
      <c r="E62" s="54" t="n">
        <v>2000</v>
      </c>
      <c r="F62" s="61" t="n"/>
      <c r="G62" s="61" t="n"/>
      <c r="H62" s="61" t="n"/>
      <c r="I62" s="61" t="n"/>
      <c r="J62" s="61" t="n"/>
      <c r="K62" s="61" t="n"/>
      <c r="L62" s="61" t="n"/>
      <c r="M62" s="61" t="n"/>
      <c r="N62" s="61" t="n"/>
      <c r="O62" s="61" t="n"/>
      <c r="P62" s="61" t="n"/>
      <c r="Q62" s="61" t="n"/>
      <c r="R62" s="61" t="n"/>
      <c r="S62" s="61" t="n"/>
      <c r="T62" s="54" t="n">
        <v>32</v>
      </c>
      <c r="U62" s="61" t="n"/>
      <c r="V62" s="54" t="inlineStr">
        <is>
          <t>FR</t>
        </is>
      </c>
      <c r="W62" s="54" t="n"/>
      <c r="X62" s="61" t="n"/>
      <c r="Y62" s="61" t="n"/>
      <c r="Z62" s="61" t="n"/>
      <c r="AA62" s="61" t="n"/>
      <c r="AB62" s="61" t="n"/>
      <c r="AC62" s="61" t="n"/>
    </row>
    <row r="63">
      <c r="A63" s="54" t="n">
        <v>5170049</v>
      </c>
      <c r="B63" s="53" t="n"/>
      <c r="C63" s="54" t="n"/>
      <c r="D63" s="60" t="n"/>
      <c r="E63" s="54" t="n"/>
      <c r="F63" s="61" t="n"/>
      <c r="G63" s="61" t="n"/>
      <c r="H63" s="61" t="n"/>
      <c r="I63" s="61" t="n"/>
      <c r="J63" s="61" t="n"/>
      <c r="K63" s="61" t="n"/>
      <c r="L63" s="61" t="n"/>
      <c r="M63" s="61" t="n"/>
      <c r="N63" s="61" t="n"/>
      <c r="O63" s="61" t="n"/>
      <c r="P63" s="61" t="n"/>
      <c r="Q63" s="61" t="n"/>
      <c r="R63" s="61" t="n"/>
      <c r="S63" s="61" t="n"/>
      <c r="T63" s="54" t="n"/>
      <c r="U63" s="61" t="n"/>
      <c r="V63" s="54" t="n"/>
      <c r="W63" s="54" t="n"/>
      <c r="X63" s="61" t="n"/>
      <c r="Y63" s="61" t="n"/>
      <c r="Z63" s="61" t="n"/>
      <c r="AA63" s="61" t="n"/>
      <c r="AB63" s="61" t="n"/>
      <c r="AC63" s="61" t="n"/>
    </row>
    <row r="64">
      <c r="A64" s="54" t="n">
        <v>5110050</v>
      </c>
      <c r="B64" s="53" t="inlineStr">
        <is>
          <t>WO Shoe
4-1/2" FJWP Box</t>
        </is>
      </c>
      <c r="C64" s="54" t="n">
        <v>7.666079425875003</v>
      </c>
      <c r="D64" s="60" t="inlineStr">
        <is>
          <t>flush</t>
        </is>
      </c>
      <c r="E64" s="54" t="n">
        <v>600</v>
      </c>
      <c r="F64" s="61" t="n"/>
      <c r="G64" s="61" t="n"/>
      <c r="H64" s="61" t="n"/>
      <c r="I64" s="61" t="n"/>
      <c r="J64" s="61" t="n"/>
      <c r="K64" s="61" t="n"/>
      <c r="L64" s="61" t="n"/>
      <c r="M64" s="61" t="n"/>
      <c r="N64" s="61" t="n"/>
      <c r="O64" s="61" t="n"/>
      <c r="P64" s="61" t="n"/>
      <c r="Q64" s="61" t="n"/>
      <c r="R64" s="61" t="n"/>
      <c r="S64" s="61" t="n"/>
      <c r="T64" s="54" t="n">
        <v>48</v>
      </c>
      <c r="U64" s="61" t="n"/>
      <c r="V64" s="54" t="inlineStr">
        <is>
          <t>FR</t>
        </is>
      </c>
      <c r="W64" s="54" t="n"/>
      <c r="X64" s="61" t="n"/>
      <c r="Y64" s="61" t="n"/>
      <c r="Z64" s="61" t="n"/>
      <c r="AA64" s="61" t="n"/>
      <c r="AB64" s="61" t="n"/>
      <c r="AC64" s="61" t="n"/>
    </row>
    <row r="65">
      <c r="A65" s="54" t="n">
        <v>5110051</v>
      </c>
      <c r="B65" s="53" t="n"/>
      <c r="C65" s="54" t="n"/>
      <c r="D65" s="60" t="n"/>
      <c r="E65" s="54" t="n"/>
      <c r="F65" s="61" t="n"/>
      <c r="G65" s="61" t="n"/>
      <c r="H65" s="61" t="n"/>
      <c r="I65" s="61" t="n"/>
      <c r="J65" s="61" t="n"/>
      <c r="K65" s="61" t="n"/>
      <c r="L65" s="61" t="n"/>
      <c r="M65" s="61" t="n"/>
      <c r="N65" s="61" t="n"/>
      <c r="O65" s="61" t="n"/>
      <c r="P65" s="61" t="n"/>
      <c r="Q65" s="61" t="n"/>
      <c r="R65" s="61" t="n"/>
      <c r="S65" s="61" t="n"/>
      <c r="T65" s="54" t="n"/>
      <c r="U65" s="61" t="n"/>
      <c r="V65" s="54" t="n"/>
      <c r="W65" s="54" t="n"/>
      <c r="X65" s="61" t="n"/>
      <c r="Y65" s="61" t="n"/>
      <c r="Z65" s="61" t="n"/>
      <c r="AA65" s="61" t="n"/>
      <c r="AB65" s="61" t="n"/>
      <c r="AC65" s="61" t="n"/>
    </row>
    <row r="66">
      <c r="A66" t="n">
        <v>5110052</v>
      </c>
      <c r="D66" s="62" t="n"/>
    </row>
    <row r="67">
      <c r="A67" t="n">
        <v>5110053</v>
      </c>
      <c r="D67" s="62" t="n"/>
    </row>
    <row r="68">
      <c r="A68" t="n">
        <v>5110054</v>
      </c>
      <c r="D68" s="62" t="n"/>
    </row>
    <row r="69">
      <c r="A69" t="n">
        <v>5170055</v>
      </c>
      <c r="B69" t="inlineStr">
        <is>
          <t>WO Junk Catcher
4-1/2" FJWP Pin x Box</t>
        </is>
      </c>
      <c r="C69" t="n">
        <v>22</v>
      </c>
      <c r="D69" s="62" t="n">
        <v>4.5</v>
      </c>
      <c r="E69" t="n">
        <v>505</v>
      </c>
      <c r="T69" t="n">
        <v>6</v>
      </c>
      <c r="V69" t="inlineStr">
        <is>
          <t>FR</t>
        </is>
      </c>
    </row>
    <row r="70">
      <c r="A70" t="n">
        <v>5150056</v>
      </c>
      <c r="B70" t="inlineStr">
        <is>
          <t>WO Lift Plug 
4-1/2" FJWP Pin</t>
        </is>
      </c>
      <c r="C70" t="n">
        <v>8</v>
      </c>
      <c r="D70" s="62" t="n">
        <v>6</v>
      </c>
      <c r="T70" t="n">
        <v>6</v>
      </c>
      <c r="V70" t="inlineStr">
        <is>
          <t>FR</t>
        </is>
      </c>
    </row>
    <row r="71">
      <c r="A71" t="n">
        <v>8130057</v>
      </c>
      <c r="B71" t="inlineStr">
        <is>
          <t>XO
2-7/8" REG Pin x 3-1/2" REG Box</t>
        </is>
      </c>
      <c r="C71" t="n">
        <v>20.62249433960625</v>
      </c>
      <c r="D71" s="62" t="n">
        <v>4</v>
      </c>
      <c r="E71" t="n">
        <v>370</v>
      </c>
      <c r="T71" t="n">
        <v>95</v>
      </c>
      <c r="V71" t="inlineStr">
        <is>
          <t>FR</t>
        </is>
      </c>
    </row>
    <row r="72">
      <c r="A72" t="n">
        <v>3010058</v>
      </c>
      <c r="B72" t="inlineStr">
        <is>
          <t>RTU 5700
3-1/2" IF Box up</t>
        </is>
      </c>
      <c r="C72" t="n">
        <v>156</v>
      </c>
      <c r="D72" s="62" t="n">
        <v>5700</v>
      </c>
      <c r="E72" t="n">
        <v>1870</v>
      </c>
      <c r="T72" t="n">
        <v>7</v>
      </c>
      <c r="V72" t="inlineStr">
        <is>
          <t>FR</t>
        </is>
      </c>
    </row>
    <row r="73">
      <c r="A73" t="n">
        <v>8130059</v>
      </c>
      <c r="B73" t="inlineStr">
        <is>
          <t>XO
7-5/8" REG Pin x 6-5/8" REG Box</t>
        </is>
      </c>
      <c r="C73" t="n">
        <v>104.7623453136</v>
      </c>
      <c r="D73" s="62" t="n">
        <v>9.5</v>
      </c>
      <c r="E73" t="n">
        <v>340</v>
      </c>
      <c r="T73" t="n">
        <v>226</v>
      </c>
      <c r="V73" t="inlineStr">
        <is>
          <t>FR</t>
        </is>
      </c>
    </row>
    <row r="74">
      <c r="A74" t="n">
        <v>8130060</v>
      </c>
      <c r="B74" t="inlineStr">
        <is>
          <t>XO
6-5/8" REG Pin x 7-5/8" REG Box</t>
        </is>
      </c>
      <c r="C74" t="n">
        <v>104.7623453136</v>
      </c>
      <c r="D74" s="62" t="n">
        <v>9.5</v>
      </c>
      <c r="E74" t="n">
        <v>340</v>
      </c>
      <c r="T74" t="n">
        <v>216</v>
      </c>
      <c r="V74" t="inlineStr">
        <is>
          <t>FR</t>
        </is>
      </c>
    </row>
    <row r="75">
      <c r="A75" t="n">
        <v>8130061</v>
      </c>
      <c r="B75" t="inlineStr">
        <is>
          <t>XO
2-3/8" IF Pin x 2-7/8" EU Box</t>
        </is>
      </c>
      <c r="C75" t="n">
        <v>13.54669135634374</v>
      </c>
      <c r="D75" s="62" t="n">
        <v>3.668</v>
      </c>
      <c r="E75" t="n">
        <v>330</v>
      </c>
      <c r="T75" t="n">
        <v>31</v>
      </c>
      <c r="V75" t="inlineStr">
        <is>
          <t>FR</t>
        </is>
      </c>
    </row>
    <row r="76">
      <c r="A76" t="n">
        <v>4040062</v>
      </c>
      <c r="B76" t="inlineStr">
        <is>
          <t>Intensifier 6-1/2" OD 
4-1/2" IF Pin x Box</t>
        </is>
      </c>
      <c r="C76" t="n">
        <v>460</v>
      </c>
      <c r="D76" s="62" t="n">
        <v>6.5</v>
      </c>
      <c r="E76" t="n">
        <v>3940</v>
      </c>
      <c r="T76" t="n">
        <v>12</v>
      </c>
    </row>
    <row r="77">
      <c r="A77" t="n">
        <v>4040063</v>
      </c>
      <c r="D77" s="62" t="n"/>
    </row>
    <row r="78">
      <c r="A78" t="n">
        <v>4040064</v>
      </c>
      <c r="D78" s="62" t="n"/>
    </row>
    <row r="79">
      <c r="A79" t="n">
        <v>4030065</v>
      </c>
      <c r="D79" s="62" t="n"/>
    </row>
    <row r="80">
      <c r="A80" t="n">
        <v>4030066</v>
      </c>
      <c r="B80" t="inlineStr">
        <is>
          <t>Jar Z 6-1/4" OD 
4-1/2" IF Pin down x Box up</t>
        </is>
      </c>
      <c r="C80" t="n">
        <v>300</v>
      </c>
      <c r="D80" s="62" t="n">
        <v>6.25</v>
      </c>
      <c r="E80" t="n">
        <v>2385</v>
      </c>
      <c r="T80" t="n">
        <v>17</v>
      </c>
    </row>
    <row r="81">
      <c r="A81" t="inlineStr">
        <is>
          <t>(4030067)</t>
        </is>
      </c>
      <c r="D81" s="62" t="n"/>
    </row>
    <row r="82">
      <c r="A82" t="n">
        <v>4030067</v>
      </c>
      <c r="B82" t="inlineStr">
        <is>
          <t>Jar Z 6-1/4" OD 
4-1/2" IF Pin down x Box up</t>
        </is>
      </c>
      <c r="C82" t="n">
        <v>300</v>
      </c>
      <c r="D82" s="62" t="n">
        <v>6.25</v>
      </c>
      <c r="E82" t="n">
        <v>2385</v>
      </c>
      <c r="T82" t="n">
        <v>18</v>
      </c>
    </row>
    <row r="83">
      <c r="A83" t="n">
        <v>4030068</v>
      </c>
      <c r="D83" s="62" t="n"/>
    </row>
    <row r="84">
      <c r="A84" t="n">
        <v>4030069</v>
      </c>
      <c r="D84" s="62" t="n"/>
    </row>
    <row r="85">
      <c r="A85" t="n">
        <v>4030070</v>
      </c>
      <c r="D85" s="62" t="n"/>
    </row>
    <row r="86">
      <c r="A86" t="n">
        <v>4030070</v>
      </c>
      <c r="B86" t="inlineStr">
        <is>
          <t>Jar Z 3-1/8" 
2-3/8" REG Pin down x Box up</t>
        </is>
      </c>
      <c r="C86" t="n">
        <v>58</v>
      </c>
      <c r="D86" s="62" t="n">
        <v>3.125</v>
      </c>
      <c r="E86" t="n">
        <v>1900</v>
      </c>
      <c r="T86" t="n">
        <v>5</v>
      </c>
    </row>
    <row r="87">
      <c r="A87" t="n">
        <v>4030071</v>
      </c>
      <c r="B87" t="inlineStr">
        <is>
          <t>Jar Z 3-1/8" 
2-3/8" REG Pin down x Box up</t>
        </is>
      </c>
      <c r="C87" t="n">
        <v>60</v>
      </c>
      <c r="D87" s="62" t="n">
        <v>3.125</v>
      </c>
      <c r="E87" t="n">
        <v>1900</v>
      </c>
      <c r="T87" t="n">
        <v>6</v>
      </c>
    </row>
    <row r="88">
      <c r="A88" t="n">
        <v>4020072</v>
      </c>
      <c r="B88" t="inlineStr">
        <is>
          <t>Bumper Sub 8" OD
6-5/8" REG Pin down x Box up</t>
        </is>
      </c>
      <c r="C88" t="n">
        <v>277</v>
      </c>
      <c r="D88" s="62" t="n">
        <v>7.75</v>
      </c>
      <c r="E88" t="n">
        <v>1580</v>
      </c>
      <c r="T88" t="n">
        <v>23</v>
      </c>
    </row>
    <row r="89">
      <c r="A89" t="n">
        <v>4020073</v>
      </c>
      <c r="B89" t="inlineStr">
        <is>
          <t>Bumper Sub 6-1/4" OD
4-1/2" IF Pin down x Box up</t>
        </is>
      </c>
      <c r="C89" t="n">
        <v>157</v>
      </c>
      <c r="D89" s="62" t="n">
        <v>6.25</v>
      </c>
      <c r="E89" t="n">
        <v>1420</v>
      </c>
      <c r="T89" t="n">
        <v>16</v>
      </c>
    </row>
    <row r="90">
      <c r="A90" t="n">
        <v>4020074</v>
      </c>
      <c r="B90" t="inlineStr">
        <is>
          <t xml:space="preserve">Bumper Sub 6-1/4" OD
4-1/2" IF Pin down x Box up </t>
        </is>
      </c>
      <c r="C90" t="n">
        <v>157</v>
      </c>
      <c r="D90" s="62" t="n">
        <v>6.25</v>
      </c>
      <c r="E90" t="n">
        <v>1420</v>
      </c>
      <c r="T90" t="n">
        <v>17</v>
      </c>
    </row>
    <row r="91">
      <c r="A91" t="n">
        <v>4020075</v>
      </c>
      <c r="D91" s="62" t="n"/>
    </row>
    <row r="92">
      <c r="A92" t="n">
        <v>4020075</v>
      </c>
      <c r="B92" t="inlineStr">
        <is>
          <t xml:space="preserve">Bumper Sub 4-3/4" OD
3-1/2" IF Pin down x Box up </t>
        </is>
      </c>
      <c r="C92" t="n">
        <v>98</v>
      </c>
      <c r="D92" s="62" t="n">
        <v>4.75</v>
      </c>
      <c r="E92" t="n">
        <v>1455</v>
      </c>
      <c r="T92" t="n">
        <v>11</v>
      </c>
    </row>
    <row r="93">
      <c r="A93" t="n">
        <v>4020076</v>
      </c>
      <c r="D93" s="62" t="n"/>
    </row>
    <row r="94">
      <c r="A94" t="n">
        <v>4020077</v>
      </c>
      <c r="D94" s="62" t="n"/>
    </row>
    <row r="95">
      <c r="A95" t="n">
        <v>4020078</v>
      </c>
      <c r="D95" s="62" t="n"/>
    </row>
    <row r="96">
      <c r="A96" t="n">
        <v>7040079</v>
      </c>
      <c r="D96" s="62" t="n"/>
    </row>
    <row r="97">
      <c r="A97" t="n">
        <v>7120080</v>
      </c>
      <c r="B97" t="inlineStr">
        <is>
          <t>Releasing Spear 8-1/4" OD Mandrel CA 9281
6-5/8" REG Box</t>
        </is>
      </c>
      <c r="C97" t="n">
        <v>230</v>
      </c>
      <c r="D97" s="62" t="n">
        <v>8.25</v>
      </c>
      <c r="E97" t="inlineStr">
        <is>
          <t>CA 9281</t>
        </is>
      </c>
      <c r="T97" t="n">
        <v>30</v>
      </c>
    </row>
    <row r="98">
      <c r="A98" t="n">
        <v>7120081</v>
      </c>
      <c r="B98" t="inlineStr">
        <is>
          <t>Releasing Spear 2-13/16" OD Mandrel CA 9410
2-3/8" REG Box</t>
        </is>
      </c>
      <c r="C98" t="n">
        <v>24</v>
      </c>
      <c r="D98" s="62" t="n">
        <v>2.8125</v>
      </c>
      <c r="E98" t="inlineStr">
        <is>
          <t>CA 9410</t>
        </is>
      </c>
      <c r="T98" t="n">
        <v>13</v>
      </c>
    </row>
    <row r="99">
      <c r="A99" t="n">
        <v>7120082</v>
      </c>
      <c r="D99" s="62" t="n"/>
    </row>
    <row r="100">
      <c r="A100" t="n">
        <v>7040083</v>
      </c>
      <c r="B100" t="inlineStr">
        <is>
          <t>3-7/8" XSH Overshot - CA 21300
2-3/8" REG Box</t>
        </is>
      </c>
      <c r="C100" t="n">
        <v>18</v>
      </c>
      <c r="D100" s="62" t="inlineStr">
        <is>
          <t>3-7/8" XSH</t>
        </is>
      </c>
      <c r="E100" t="n">
        <v>822</v>
      </c>
      <c r="T100" t="n">
        <v>13</v>
      </c>
    </row>
    <row r="101">
      <c r="A101" t="n">
        <v>7040084</v>
      </c>
      <c r="B101" t="inlineStr">
        <is>
          <t>8-1/8" SH Overshot - CA 9217
4-1/2" IF Box</t>
        </is>
      </c>
      <c r="C101" t="n">
        <v>96</v>
      </c>
      <c r="D101" s="62" t="inlineStr">
        <is>
          <t>8-1/8" SH</t>
        </is>
      </c>
      <c r="E101" t="n">
        <v>1250</v>
      </c>
      <c r="T101" t="n">
        <v>65</v>
      </c>
    </row>
    <row r="102">
      <c r="A102" t="n">
        <v>1050085</v>
      </c>
      <c r="B102" t="inlineStr">
        <is>
          <t>External Casing Patch for 7" csg</t>
        </is>
      </c>
      <c r="C102" t="n">
        <v>85</v>
      </c>
      <c r="D102" s="62" t="n">
        <v>8.375</v>
      </c>
      <c r="E102" t="inlineStr">
        <is>
          <t>Packer</t>
        </is>
      </c>
      <c r="T102" t="n">
        <v>6</v>
      </c>
    </row>
    <row r="103">
      <c r="A103" t="inlineStr">
        <is>
          <t xml:space="preserve"> - </t>
        </is>
      </c>
      <c r="B103" t="inlineStr">
        <is>
          <t>Seg. Gr. 9283 13 3/8" csg</t>
        </is>
      </c>
      <c r="D103" s="62" t="n"/>
    </row>
    <row r="104">
      <c r="A104" t="n">
        <v>7120086</v>
      </c>
      <c r="D104" s="62" t="n"/>
    </row>
    <row r="105">
      <c r="A105" t="n">
        <v>7040087</v>
      </c>
      <c r="D105" s="62" t="n"/>
    </row>
    <row r="106">
      <c r="A106" t="n">
        <v>5090088</v>
      </c>
      <c r="B106" t="inlineStr">
        <is>
          <t>WO Extension Lg 5600 mm
3-3/4" ACME Pin x Box</t>
        </is>
      </c>
      <c r="C106" t="n">
        <v>120.200668872375</v>
      </c>
      <c r="D106" s="62" t="n">
        <v>3.75</v>
      </c>
      <c r="E106" t="n">
        <v>5600</v>
      </c>
      <c r="T106" t="n">
        <v>14</v>
      </c>
      <c r="V106" t="inlineStr">
        <is>
          <t>FR</t>
        </is>
      </c>
    </row>
    <row r="107">
      <c r="A107" t="n">
        <v>5090089</v>
      </c>
      <c r="B107" t="inlineStr">
        <is>
          <t>WO Extension Lg 1130 mm
3-3/4" ACME(6) Pin x Box</t>
        </is>
      </c>
      <c r="C107" t="n">
        <v>19.18062948140625</v>
      </c>
      <c r="D107" s="62" t="n">
        <v>3.75</v>
      </c>
      <c r="E107" t="n">
        <v>1130</v>
      </c>
      <c r="T107" t="n">
        <v>16</v>
      </c>
      <c r="V107" t="inlineStr">
        <is>
          <t>FR</t>
        </is>
      </c>
    </row>
    <row r="108">
      <c r="A108" t="n">
        <v>5090090</v>
      </c>
      <c r="B108" t="inlineStr">
        <is>
          <t>WO Extension Lg 1920 mm
3-3/4" ACME Pin x Box</t>
        </is>
      </c>
      <c r="C108" t="n">
        <v>41.21165789910001</v>
      </c>
      <c r="D108" s="62" t="n">
        <v>3.75</v>
      </c>
      <c r="E108" t="n">
        <v>1920</v>
      </c>
      <c r="T108" t="n">
        <v>13</v>
      </c>
      <c r="V108" t="inlineStr">
        <is>
          <t>FR</t>
        </is>
      </c>
    </row>
    <row r="109">
      <c r="A109" t="n">
        <v>5110091</v>
      </c>
      <c r="B109" t="inlineStr">
        <is>
          <t>WO Shoe
3-3/4" ACME(4) Box</t>
        </is>
      </c>
      <c r="C109" t="n">
        <v>14</v>
      </c>
      <c r="D109" s="62" t="inlineStr">
        <is>
          <t>flush</t>
        </is>
      </c>
      <c r="E109" t="n">
        <v>600</v>
      </c>
      <c r="T109" t="n">
        <v>26</v>
      </c>
      <c r="V109" t="inlineStr">
        <is>
          <t>FR</t>
        </is>
      </c>
    </row>
    <row r="110">
      <c r="A110" t="n">
        <v>5110092</v>
      </c>
      <c r="B110" t="inlineStr">
        <is>
          <t>WO Shoe
3-3/4" ACME(4) Box</t>
        </is>
      </c>
      <c r="C110" t="n">
        <v>14</v>
      </c>
      <c r="D110" s="62" t="n">
        <v>0</v>
      </c>
      <c r="E110" t="n">
        <v>600</v>
      </c>
      <c r="T110" t="n">
        <v>27</v>
      </c>
      <c r="V110" t="inlineStr">
        <is>
          <t>FR</t>
        </is>
      </c>
    </row>
    <row r="111">
      <c r="A111" t="n">
        <v>5110093</v>
      </c>
      <c r="B111" t="inlineStr">
        <is>
          <t>WO Shoe
3-3/4" ACME(4) Box</t>
        </is>
      </c>
      <c r="C111" t="n">
        <v>14</v>
      </c>
      <c r="D111" s="62" t="n">
        <v>0</v>
      </c>
      <c r="E111" t="n">
        <v>600</v>
      </c>
      <c r="T111" t="n">
        <v>28</v>
      </c>
      <c r="V111" t="inlineStr">
        <is>
          <t>FR</t>
        </is>
      </c>
    </row>
    <row r="112">
      <c r="A112" t="n">
        <v>5110094</v>
      </c>
      <c r="B112" t="inlineStr">
        <is>
          <t>WO Shoe
3-3/4" ACME(4) Box</t>
        </is>
      </c>
      <c r="C112" t="n">
        <v>14</v>
      </c>
      <c r="D112" s="62" t="n">
        <v>0</v>
      </c>
      <c r="E112" t="n">
        <v>600</v>
      </c>
      <c r="T112" t="n">
        <v>29</v>
      </c>
      <c r="V112" t="inlineStr">
        <is>
          <t>FR</t>
        </is>
      </c>
    </row>
    <row r="113">
      <c r="A113" t="n">
        <v>5110095</v>
      </c>
      <c r="B113" t="inlineStr">
        <is>
          <t>WO Shoe
3-3/4" ACME(4) Box</t>
        </is>
      </c>
      <c r="C113" t="n">
        <v>14</v>
      </c>
      <c r="D113" s="62" t="n">
        <v>0</v>
      </c>
      <c r="E113" t="n">
        <v>600</v>
      </c>
      <c r="T113" t="n">
        <v>30</v>
      </c>
      <c r="V113" t="inlineStr">
        <is>
          <t>FR</t>
        </is>
      </c>
    </row>
    <row r="114">
      <c r="A114" t="n">
        <v>5110096</v>
      </c>
      <c r="B114" t="inlineStr">
        <is>
          <t>WO Shoe
3-3/4" ACME(4) Box</t>
        </is>
      </c>
      <c r="C114" t="n">
        <v>14</v>
      </c>
      <c r="D114" s="62" t="n">
        <v>0</v>
      </c>
      <c r="E114" t="n">
        <v>600</v>
      </c>
      <c r="T114" t="n">
        <v>31</v>
      </c>
      <c r="V114" t="inlineStr">
        <is>
          <t>FR</t>
        </is>
      </c>
    </row>
    <row r="115">
      <c r="A115" t="n">
        <v>5120097</v>
      </c>
      <c r="B115" t="inlineStr">
        <is>
          <t>WO Top Sub
2-3/8" REG Pin x 3-3/4" ACME(6) Pin</t>
        </is>
      </c>
      <c r="C115" t="n">
        <v>32</v>
      </c>
      <c r="D115" s="62" t="n">
        <v>3.75</v>
      </c>
      <c r="E115" t="n">
        <v>670</v>
      </c>
      <c r="T115" t="n">
        <v>9</v>
      </c>
      <c r="V115" t="inlineStr">
        <is>
          <t>FR</t>
        </is>
      </c>
    </row>
    <row r="116">
      <c r="A116" t="n">
        <v>2030098</v>
      </c>
      <c r="B116" t="inlineStr">
        <is>
          <t>Pipe Cutter 3600s
2-3/8" IF Box up x 2-3/8" REG Box down</t>
        </is>
      </c>
      <c r="C116" t="n">
        <v>40</v>
      </c>
      <c r="D116" s="62" t="n">
        <v>3600</v>
      </c>
      <c r="E116" t="n">
        <v>910</v>
      </c>
      <c r="T116" t="n">
        <v>6</v>
      </c>
    </row>
    <row r="117">
      <c r="A117" t="n">
        <v>8020099</v>
      </c>
      <c r="B117" t="inlineStr">
        <is>
          <t>Bit Sub
2-7/8" REG Box x 2-7/8" REG Box BF</t>
        </is>
      </c>
      <c r="C117" t="n">
        <v>23.072306677875</v>
      </c>
      <c r="D117" s="62" t="n">
        <v>3.875</v>
      </c>
      <c r="E117" t="n">
        <v>445</v>
      </c>
      <c r="T117" t="n">
        <v>23</v>
      </c>
      <c r="V117" t="inlineStr">
        <is>
          <t>FR</t>
        </is>
      </c>
    </row>
    <row r="118">
      <c r="A118" t="n">
        <v>8020100</v>
      </c>
      <c r="B118" t="inlineStr">
        <is>
          <t>Bit Sub
2-3/8" REG Box x 2-7/8" REG Box</t>
        </is>
      </c>
      <c r="C118" t="n">
        <v>22</v>
      </c>
      <c r="D118" s="62" t="n">
        <v>3.875</v>
      </c>
      <c r="E118" t="n">
        <v>550</v>
      </c>
      <c r="T118" t="n">
        <v>17</v>
      </c>
      <c r="V118" t="inlineStr">
        <is>
          <t>FR</t>
        </is>
      </c>
    </row>
    <row r="119">
      <c r="A119" t="n">
        <v>8130101</v>
      </c>
      <c r="B119" t="inlineStr">
        <is>
          <t>XO
3-1/2" EU Pin x 4-1/2" IF Box</t>
        </is>
      </c>
      <c r="C119" t="n">
        <v>59.37816753375</v>
      </c>
      <c r="D119" s="62" t="n">
        <v>6.25</v>
      </c>
      <c r="E119" t="n">
        <v>500</v>
      </c>
      <c r="T119" t="n">
        <v>99</v>
      </c>
      <c r="V119" t="inlineStr">
        <is>
          <t>FR</t>
        </is>
      </c>
    </row>
    <row r="120">
      <c r="A120" t="n">
        <v>5100102</v>
      </c>
      <c r="D120" s="62" t="n"/>
    </row>
    <row r="121">
      <c r="A121" t="n">
        <v>5100103</v>
      </c>
      <c r="D121" s="62" t="n"/>
    </row>
    <row r="122">
      <c r="A122" t="n">
        <v>5100104</v>
      </c>
      <c r="D122" s="62" t="n"/>
    </row>
    <row r="123">
      <c r="A123" t="n">
        <v>5100105</v>
      </c>
      <c r="D123" s="62" t="n"/>
    </row>
    <row r="124">
      <c r="A124" t="n">
        <v>5100106</v>
      </c>
      <c r="D124" s="62" t="n"/>
    </row>
    <row r="125">
      <c r="A125" t="n">
        <v>5100107</v>
      </c>
      <c r="D125" s="62" t="n"/>
    </row>
    <row r="126">
      <c r="A126" t="n">
        <v>5100108</v>
      </c>
      <c r="D126" s="62" t="n"/>
      <c r="V126" t="inlineStr">
        <is>
          <t>FR</t>
        </is>
      </c>
    </row>
    <row r="127">
      <c r="A127" t="n">
        <v>5090109</v>
      </c>
      <c r="B127" t="inlineStr">
        <is>
          <t>WO Extension Lg 1190 mm
5-1/2" FJWP Pin x Box</t>
        </is>
      </c>
      <c r="C127" t="n">
        <v>30.48223288621875</v>
      </c>
      <c r="D127" s="62" t="n">
        <v>5.5</v>
      </c>
      <c r="E127" t="n">
        <v>1190</v>
      </c>
      <c r="T127" t="n">
        <v>42</v>
      </c>
      <c r="V127" t="inlineStr">
        <is>
          <t>FR</t>
        </is>
      </c>
    </row>
    <row r="128">
      <c r="A128" t="n">
        <v>5090110</v>
      </c>
      <c r="B128" t="inlineStr">
        <is>
          <t>WO Extension Lg 2040 mm
5-1/2" FJWP Pin x Box</t>
        </is>
      </c>
      <c r="C128" t="n">
        <v>52.25525637637499</v>
      </c>
      <c r="D128" s="62" t="n">
        <v>5.5</v>
      </c>
      <c r="E128" t="n">
        <v>2040</v>
      </c>
      <c r="T128" t="n">
        <v>45</v>
      </c>
      <c r="V128" t="inlineStr">
        <is>
          <t>FR</t>
        </is>
      </c>
    </row>
    <row r="129">
      <c r="A129" t="n">
        <v>5090111</v>
      </c>
      <c r="B129" t="inlineStr">
        <is>
          <t>WO Extension Lg 3020 mm
5-1/2" FJWP Pin x Box</t>
        </is>
      </c>
      <c r="C129" t="n">
        <v>77.35827169443749</v>
      </c>
      <c r="D129" s="62" t="n">
        <v>5.5</v>
      </c>
      <c r="E129" t="n">
        <v>3020</v>
      </c>
      <c r="T129" t="n">
        <v>56</v>
      </c>
      <c r="V129" t="inlineStr">
        <is>
          <t>FR</t>
        </is>
      </c>
    </row>
    <row r="130">
      <c r="A130" t="n">
        <v>8130112</v>
      </c>
      <c r="B130" t="inlineStr">
        <is>
          <t>XO
2-3/8" REG Pin x 2-1/4" PRT Box</t>
        </is>
      </c>
      <c r="C130" t="n">
        <v>10</v>
      </c>
      <c r="D130" s="62" t="n">
        <v>3.375</v>
      </c>
      <c r="E130" t="n">
        <v>300</v>
      </c>
      <c r="T130" t="n">
        <v>40</v>
      </c>
      <c r="V130" t="inlineStr">
        <is>
          <t>FR</t>
        </is>
      </c>
    </row>
    <row r="131">
      <c r="A131" t="n">
        <v>5090113</v>
      </c>
      <c r="D131" s="62" t="n"/>
    </row>
    <row r="132">
      <c r="A132" t="inlineStr">
        <is>
          <t xml:space="preserve"> - </t>
        </is>
      </c>
      <c r="B132" t="inlineStr">
        <is>
          <t>set de protecteurs 5-3/4" BRS</t>
        </is>
      </c>
      <c r="D132" s="62" t="n"/>
      <c r="T132" t="e">
        <v>#N/A</v>
      </c>
      <c r="V132" t="inlineStr">
        <is>
          <t>FR</t>
        </is>
      </c>
    </row>
    <row r="133">
      <c r="A133" t="n">
        <v>5100114</v>
      </c>
      <c r="B133" t="inlineStr">
        <is>
          <t>WO Pipe
7-5/8" FJWP Pin x Box</t>
        </is>
      </c>
      <c r="C133" t="n">
        <v>386.6370493049997</v>
      </c>
      <c r="D133" s="62" t="n">
        <v>7.625</v>
      </c>
      <c r="E133" t="n">
        <v>9000</v>
      </c>
      <c r="T133" t="n">
        <v>91</v>
      </c>
      <c r="V133" t="inlineStr">
        <is>
          <t>FR</t>
        </is>
      </c>
    </row>
    <row r="134">
      <c r="A134" t="n">
        <v>5100115</v>
      </c>
      <c r="B134" t="inlineStr">
        <is>
          <t>WO Pipe
7-5/8" FJWP Pin x Box</t>
        </is>
      </c>
      <c r="C134" t="e">
        <v>#VALUE!</v>
      </c>
      <c r="D134" s="62" t="e">
        <v>#VALUE!</v>
      </c>
      <c r="E134" t="e">
        <v>#VALUE!</v>
      </c>
      <c r="T134" t="n">
        <v>92</v>
      </c>
      <c r="V134" t="inlineStr">
        <is>
          <t>FR</t>
        </is>
      </c>
    </row>
    <row r="135">
      <c r="A135" t="n">
        <v>5100116</v>
      </c>
      <c r="B135" t="inlineStr">
        <is>
          <t>WO Pipe
7-5/8" FJWP Pin x Box</t>
        </is>
      </c>
      <c r="C135" t="n">
        <v>386.6370493049997</v>
      </c>
      <c r="D135" s="62" t="n">
        <v>7.625</v>
      </c>
      <c r="E135" t="n">
        <v>9000</v>
      </c>
      <c r="T135" t="n">
        <v>93</v>
      </c>
      <c r="V135" t="inlineStr">
        <is>
          <t>FR</t>
        </is>
      </c>
    </row>
    <row r="136">
      <c r="A136" t="n">
        <v>5100117</v>
      </c>
      <c r="B136" t="inlineStr">
        <is>
          <t>WO Pipe
7-5/8" FJWP Pin x Box</t>
        </is>
      </c>
      <c r="C136" t="n">
        <v>386.6370493049997</v>
      </c>
      <c r="D136" s="62" t="n">
        <v>7.625</v>
      </c>
      <c r="E136" t="n">
        <v>9000</v>
      </c>
      <c r="T136" t="n">
        <v>94</v>
      </c>
      <c r="V136" t="inlineStr">
        <is>
          <t>FR</t>
        </is>
      </c>
    </row>
    <row r="137">
      <c r="A137" t="n">
        <v>5090118</v>
      </c>
      <c r="D137" s="62" t="n"/>
    </row>
    <row r="138">
      <c r="A138" t="n">
        <v>5090119</v>
      </c>
      <c r="D138" s="62" t="n"/>
    </row>
    <row r="139">
      <c r="A139" t="n">
        <v>5090120</v>
      </c>
      <c r="D139" s="62" t="n"/>
    </row>
    <row r="140">
      <c r="A140" t="n">
        <v>5090121</v>
      </c>
      <c r="D140" s="62" t="n"/>
    </row>
    <row r="141">
      <c r="A141" t="n">
        <v>5090122</v>
      </c>
      <c r="D141" s="62" t="n"/>
    </row>
    <row r="142">
      <c r="A142" t="n">
        <v>5090123</v>
      </c>
      <c r="D142" s="62" t="n"/>
    </row>
    <row r="143">
      <c r="A143" t="n">
        <v>5100124</v>
      </c>
      <c r="D143" s="62" t="n"/>
    </row>
    <row r="144">
      <c r="A144" t="n">
        <v>5110125</v>
      </c>
      <c r="D144" s="62" t="n"/>
    </row>
    <row r="145">
      <c r="A145" t="n">
        <v>5110126</v>
      </c>
      <c r="D145" s="62" t="n"/>
    </row>
    <row r="146">
      <c r="A146" t="n">
        <v>5110127</v>
      </c>
      <c r="D146" s="62" t="n"/>
    </row>
    <row r="147">
      <c r="A147" t="n">
        <v>5110128</v>
      </c>
      <c r="D147" s="62" t="n"/>
    </row>
    <row r="148">
      <c r="A148" t="n">
        <v>5110129</v>
      </c>
      <c r="D148" s="62" t="n"/>
    </row>
    <row r="149">
      <c r="A149" t="n">
        <v>5110130</v>
      </c>
      <c r="D149" s="62" t="n"/>
    </row>
    <row r="150">
      <c r="A150" t="n">
        <v>5110131</v>
      </c>
      <c r="D150" s="62" t="n"/>
    </row>
    <row r="151">
      <c r="A151" t="n">
        <v>5110132</v>
      </c>
      <c r="B151" t="inlineStr">
        <is>
          <t>WO Shoe
7-5/8" FJWP Box</t>
        </is>
      </c>
      <c r="C151" t="n">
        <v>0</v>
      </c>
      <c r="D151" s="62" t="inlineStr">
        <is>
          <t>flush</t>
        </is>
      </c>
      <c r="E151" t="n">
        <v>360</v>
      </c>
      <c r="T151" t="n">
        <v>155</v>
      </c>
      <c r="V151" t="inlineStr">
        <is>
          <t>FR</t>
        </is>
      </c>
    </row>
    <row r="152">
      <c r="A152" t="n">
        <v>5120133</v>
      </c>
      <c r="D152" s="62" t="n"/>
    </row>
    <row r="153">
      <c r="A153" t="n">
        <v>5120134</v>
      </c>
      <c r="D153" s="62" t="n"/>
    </row>
    <row r="154">
      <c r="A154" t="n">
        <v>5150135</v>
      </c>
      <c r="B154" t="inlineStr">
        <is>
          <t>WO Lift Plug 
7-5/8" FJWP Pin</t>
        </is>
      </c>
      <c r="C154" t="n">
        <v>28</v>
      </c>
      <c r="D154" s="62" t="n">
        <v>8.625</v>
      </c>
      <c r="T154" t="n">
        <v>21</v>
      </c>
    </row>
    <row r="155">
      <c r="A155" t="n">
        <v>5150136</v>
      </c>
      <c r="B155" t="inlineStr">
        <is>
          <t>WO Lift Plug 
7-5/8" FJWP Pin</t>
        </is>
      </c>
      <c r="C155" t="n">
        <v>0</v>
      </c>
      <c r="D155" s="62" t="n">
        <v>8.625</v>
      </c>
      <c r="T155" t="n">
        <v>22</v>
      </c>
    </row>
    <row r="156">
      <c r="A156" t="n">
        <v>7040137</v>
      </c>
      <c r="B156" t="inlineStr">
        <is>
          <t>2-5/16" SFS Overshot - CA 11480
7/8" ROD Pin</t>
        </is>
      </c>
      <c r="C156" t="n">
        <v>4</v>
      </c>
      <c r="D156" s="62" t="inlineStr">
        <is>
          <t>2-5/16" SFS</t>
        </is>
      </c>
      <c r="E156" t="n">
        <v>285</v>
      </c>
      <c r="T156" t="n">
        <v>6</v>
      </c>
    </row>
    <row r="157">
      <c r="A157" t="n">
        <v>5100137</v>
      </c>
      <c r="C157" t="e">
        <v>#VALUE!</v>
      </c>
      <c r="D157" s="62" t="e">
        <v>#VALUE!</v>
      </c>
      <c r="E157" t="e">
        <v>#VALUE!</v>
      </c>
      <c r="T157" t="e">
        <v>#N/A</v>
      </c>
    </row>
    <row r="158">
      <c r="A158" t="inlineStr">
        <is>
          <t xml:space="preserve"> - </t>
        </is>
      </c>
      <c r="B158" t="inlineStr">
        <is>
          <t>Set Protecteurs 7 5/8" HYD</t>
        </is>
      </c>
      <c r="D158" s="62" t="n"/>
      <c r="T158" t="e">
        <v>#N/A</v>
      </c>
      <c r="V158" t="inlineStr">
        <is>
          <t>FR</t>
        </is>
      </c>
    </row>
    <row r="159">
      <c r="A159" t="n">
        <v>2015</v>
      </c>
      <c r="D159" s="62" t="n"/>
    </row>
    <row r="160">
      <c r="A160" t="inlineStr">
        <is>
          <t xml:space="preserve"> - </t>
        </is>
      </c>
      <c r="D160" s="62" t="n"/>
    </row>
    <row r="161">
      <c r="A161" t="inlineStr">
        <is>
          <t>ref 807-2,875-10,40HT26</t>
        </is>
      </c>
      <c r="B161" t="inlineStr">
        <is>
          <t>DP 2-7/8" 10,40# Range2
HT 26 Pin x Box</t>
        </is>
      </c>
      <c r="C161" t="n">
        <v>10.4</v>
      </c>
      <c r="D161" s="62" t="n">
        <v>2.875</v>
      </c>
      <c r="E161" t="inlineStr">
        <is>
          <t>R2</t>
        </is>
      </c>
      <c r="T161" t="n">
        <v>10</v>
      </c>
    </row>
    <row r="162">
      <c r="A162" t="n">
        <v>8065260</v>
      </c>
      <c r="D162" s="62" t="n"/>
    </row>
    <row r="163">
      <c r="A163" t="n">
        <v>8065261</v>
      </c>
      <c r="D163" s="62" t="n"/>
    </row>
    <row r="164">
      <c r="A164" t="n">
        <v>8065262</v>
      </c>
      <c r="D164" s="62" t="n"/>
    </row>
    <row r="165">
      <c r="A165" t="n">
        <v>8065263</v>
      </c>
      <c r="D165" s="62" t="n"/>
    </row>
    <row r="166">
      <c r="A166" t="n">
        <v>5095264</v>
      </c>
      <c r="B166" t="inlineStr">
        <is>
          <t>WO Extension Lg 6300 mm
2-1/2" HQ Box x Box</t>
        </is>
      </c>
      <c r="C166" t="n">
        <v>76</v>
      </c>
      <c r="D166" s="62" t="n">
        <v>2.5</v>
      </c>
      <c r="E166" t="n">
        <v>6300</v>
      </c>
      <c r="T166" t="e">
        <v>#N/A</v>
      </c>
    </row>
    <row r="167">
      <c r="A167" t="inlineStr">
        <is>
          <t xml:space="preserve"> - </t>
        </is>
      </c>
      <c r="D167" s="62" t="n"/>
    </row>
    <row r="168">
      <c r="A168" t="n">
        <v>8095196</v>
      </c>
      <c r="B168" t="inlineStr">
        <is>
          <t>Near Bit Stab
3-1/2" IF Box x 3-1/2" REG Box BF</t>
        </is>
      </c>
      <c r="C168" t="n">
        <v>114</v>
      </c>
      <c r="D168" s="62" t="n">
        <v>5.875</v>
      </c>
      <c r="E168" t="n">
        <v>1600</v>
      </c>
      <c r="T168" t="n">
        <v>6</v>
      </c>
    </row>
    <row r="169">
      <c r="A169" t="n">
        <v>8115197</v>
      </c>
      <c r="B169" t="inlineStr">
        <is>
          <t>String Stab
3-1/2" IF Pin x 3-1/2" IF Box</t>
        </is>
      </c>
      <c r="C169" t="n">
        <v>112</v>
      </c>
      <c r="D169" s="62" t="n">
        <v>6.75</v>
      </c>
      <c r="E169" t="n">
        <v>1485</v>
      </c>
      <c r="T169" t="n">
        <v>22</v>
      </c>
    </row>
    <row r="170">
      <c r="A170" t="n">
        <v>8115198</v>
      </c>
      <c r="B170" t="inlineStr">
        <is>
          <t>String Stab
3-1/2" IF Pin x 3-1/2" IF Box</t>
        </is>
      </c>
      <c r="C170" t="n">
        <v>104</v>
      </c>
      <c r="D170" s="62" t="n">
        <v>6</v>
      </c>
      <c r="E170" t="n">
        <v>1310</v>
      </c>
      <c r="T170" t="n">
        <v>19</v>
      </c>
    </row>
    <row r="171">
      <c r="A171" t="n">
        <v>8115200</v>
      </c>
      <c r="B171" t="inlineStr">
        <is>
          <t>String Stab
3-1/2" IF Pin SRG x 3-1/2" IF Box BB</t>
        </is>
      </c>
      <c r="C171" t="n">
        <v>100</v>
      </c>
      <c r="D171" s="62" t="n">
        <v>5.875</v>
      </c>
      <c r="E171" t="n">
        <v>1340</v>
      </c>
      <c r="T171" t="n">
        <v>12</v>
      </c>
    </row>
    <row r="172">
      <c r="A172" t="n">
        <v>8115250</v>
      </c>
      <c r="D172" s="62" t="n"/>
    </row>
    <row r="173">
      <c r="A173" t="n">
        <v>8115251</v>
      </c>
      <c r="B173" t="inlineStr">
        <is>
          <t>String Stab
6-5/8" REG Pin x 6-5/8" REG Box</t>
        </is>
      </c>
      <c r="C173" t="n">
        <v>402</v>
      </c>
      <c r="D173" s="62" t="n">
        <v>11.6875</v>
      </c>
      <c r="E173" t="n">
        <v>1450</v>
      </c>
      <c r="T173" t="n">
        <v>63</v>
      </c>
      <c r="V173" t="inlineStr">
        <is>
          <t>sortie de 7055251 et 7055252</t>
        </is>
      </c>
    </row>
    <row r="174">
      <c r="A174" t="n">
        <v>8095252</v>
      </c>
      <c r="D174" s="62" t="n"/>
    </row>
    <row r="175">
      <c r="A175" t="n">
        <v>8115253</v>
      </c>
      <c r="D175" s="62" t="n"/>
      <c r="V175" t="inlineStr">
        <is>
          <t>sortie de 2015253</t>
        </is>
      </c>
    </row>
    <row r="176">
      <c r="A176" t="n">
        <v>8115254</v>
      </c>
      <c r="D176" s="62" t="n"/>
      <c r="V176" t="inlineStr">
        <is>
          <t>sortie de 7015254</t>
        </is>
      </c>
    </row>
    <row r="177">
      <c r="A177" t="n">
        <v>8115255</v>
      </c>
      <c r="D177" s="62" t="n"/>
      <c r="V177" t="inlineStr">
        <is>
          <t>sortie de 8135255</t>
        </is>
      </c>
    </row>
    <row r="178">
      <c r="A178" t="n">
        <v>8115256</v>
      </c>
      <c r="B178" t="inlineStr">
        <is>
          <t>String Stab
4" IF Pin x 4" IF Box</t>
        </is>
      </c>
      <c r="C178" t="n">
        <v>188</v>
      </c>
      <c r="D178" s="62" t="n">
        <v>8.25</v>
      </c>
      <c r="E178" t="n">
        <v>1250</v>
      </c>
      <c r="T178" t="n">
        <v>32</v>
      </c>
    </row>
    <row r="179">
      <c r="A179" t="n">
        <v>8115257</v>
      </c>
      <c r="D179" s="62" t="n"/>
    </row>
    <row r="180">
      <c r="A180" t="n">
        <v>8095258</v>
      </c>
      <c r="D180" s="62" t="n"/>
    </row>
    <row r="181">
      <c r="A181" t="n">
        <v>8115259</v>
      </c>
      <c r="D181" s="62" t="n"/>
    </row>
    <row r="182">
      <c r="A182" t="inlineStr">
        <is>
          <t xml:space="preserve"> - </t>
        </is>
      </c>
      <c r="D182" s="62" t="n"/>
    </row>
    <row r="183">
      <c r="A183" t="n">
        <v>8025001</v>
      </c>
      <c r="B183" t="inlineStr">
        <is>
          <t>Bit Sub
7-5/8" REG Box x 7-5/8" REG Box BF</t>
        </is>
      </c>
      <c r="C183" t="n">
        <v>283.3116309562499</v>
      </c>
      <c r="D183" s="62" t="n">
        <v>9.5</v>
      </c>
      <c r="E183" t="n">
        <v>900</v>
      </c>
      <c r="T183" t="n">
        <v>64</v>
      </c>
    </row>
    <row r="184">
      <c r="A184" t="n">
        <v>8025002</v>
      </c>
      <c r="D184" s="62" t="n"/>
    </row>
    <row r="185">
      <c r="A185" t="n">
        <v>8135003</v>
      </c>
      <c r="B185" t="inlineStr">
        <is>
          <t>XO
2-7/8" EU Pin x 2-7/8" EU Pin</t>
        </is>
      </c>
      <c r="C185" t="n">
        <v>7.667005280878125</v>
      </c>
      <c r="D185" s="62" t="n">
        <v>3.5</v>
      </c>
      <c r="E185" t="n">
        <v>260</v>
      </c>
      <c r="T185" t="n">
        <v>73</v>
      </c>
    </row>
    <row r="186">
      <c r="A186" t="n">
        <v>8135004</v>
      </c>
      <c r="D186" s="62" t="n"/>
    </row>
    <row r="187">
      <c r="A187" t="n">
        <v>8025005</v>
      </c>
      <c r="B187" t="inlineStr">
        <is>
          <t>Bit Sub
2-7/8" EU Box x 3-1/2" REG Box</t>
        </is>
      </c>
      <c r="C187" t="n">
        <v>24.85434609513984</v>
      </c>
      <c r="D187" s="62" t="n">
        <v>4.3125</v>
      </c>
      <c r="E187" t="n">
        <v>405</v>
      </c>
      <c r="T187" t="n">
        <v>26</v>
      </c>
    </row>
    <row r="188">
      <c r="A188" t="n">
        <v>5085006</v>
      </c>
      <c r="B188" t="inlineStr">
        <is>
          <t>Taper Mill 
3-1/2" REG Pin</t>
        </is>
      </c>
      <c r="C188" t="n">
        <v>82</v>
      </c>
      <c r="D188" s="62" t="n">
        <v>5.75</v>
      </c>
      <c r="E188" t="n">
        <v>82</v>
      </c>
      <c r="T188" t="n">
        <v>19</v>
      </c>
    </row>
    <row r="189">
      <c r="A189" t="n">
        <v>5085007</v>
      </c>
      <c r="B189" t="inlineStr">
        <is>
          <t>Taper Mill 
3-1/2" REG Pin</t>
        </is>
      </c>
      <c r="C189" t="n">
        <v>70</v>
      </c>
      <c r="D189" s="62" t="n">
        <v>5.875</v>
      </c>
      <c r="E189" t="n">
        <v>70</v>
      </c>
      <c r="T189" t="n">
        <v>21</v>
      </c>
    </row>
    <row r="190">
      <c r="A190" t="n">
        <v>5065008</v>
      </c>
      <c r="B190" t="inlineStr">
        <is>
          <t>String Mill 6 OD 
3-1/2" IF Box x Taper Mill 6"</t>
        </is>
      </c>
      <c r="C190" t="n">
        <v>184</v>
      </c>
      <c r="D190" s="62" t="n">
        <v>6</v>
      </c>
      <c r="E190" t="n">
        <v>2575</v>
      </c>
      <c r="T190" t="n">
        <v>13</v>
      </c>
    </row>
    <row r="191">
      <c r="A191" t="n">
        <v>8025009</v>
      </c>
      <c r="D191" s="62" t="n"/>
    </row>
    <row r="192">
      <c r="A192" t="n">
        <v>5045010</v>
      </c>
      <c r="B192" t="inlineStr">
        <is>
          <t>Viper Pilot Mill
3-1/2" REG Pin x Pilot</t>
        </is>
      </c>
      <c r="C192" t="n">
        <v>61</v>
      </c>
      <c r="D192" s="62" t="n">
        <v>5.9375</v>
      </c>
      <c r="E192" t="n">
        <v>1100</v>
      </c>
      <c r="T192" t="n">
        <v>13</v>
      </c>
    </row>
    <row r="193">
      <c r="A193" t="n">
        <v>5115011</v>
      </c>
      <c r="D193" s="62" t="n"/>
    </row>
    <row r="194">
      <c r="A194" t="n">
        <v>5115012</v>
      </c>
      <c r="D194" s="62" t="n"/>
    </row>
    <row r="195">
      <c r="A195" t="n">
        <v>7085013</v>
      </c>
      <c r="B195" t="inlineStr">
        <is>
          <t>Extension PMT Lg 910 mm
2-1/4" PRT Box x 2-1/4" PRT Pin</t>
        </is>
      </c>
      <c r="C195" t="n">
        <v>18</v>
      </c>
      <c r="D195" s="62" t="n">
        <v>2.25</v>
      </c>
      <c r="E195" t="n">
        <v>910</v>
      </c>
      <c r="T195" t="n">
        <v>21</v>
      </c>
    </row>
    <row r="196">
      <c r="A196" t="n">
        <v>7105014</v>
      </c>
      <c r="B196" t="inlineStr">
        <is>
          <t>Packer Retriever Tool PR 250 325 - SN5455
2-1/4" PRT Box</t>
        </is>
      </c>
      <c r="C196" t="n">
        <v>18</v>
      </c>
      <c r="D196" s="62" t="inlineStr">
        <is>
          <t>PR250325</t>
        </is>
      </c>
      <c r="E196" t="n">
        <v>785</v>
      </c>
      <c r="T196" t="n">
        <v>5</v>
      </c>
    </row>
    <row r="197">
      <c r="A197" t="n">
        <v>4035015</v>
      </c>
      <c r="D197" s="62" t="n"/>
    </row>
    <row r="198">
      <c r="A198" t="n">
        <v>5075016</v>
      </c>
      <c r="B198" t="inlineStr">
        <is>
          <t>Super Junk Mill 12" OD
6-5/8" REG Pin</t>
        </is>
      </c>
      <c r="C198" t="n">
        <v>182</v>
      </c>
      <c r="D198" s="62" t="n">
        <v>12</v>
      </c>
    </row>
    <row r="199">
      <c r="A199" t="n">
        <v>5075017</v>
      </c>
      <c r="B199" t="inlineStr">
        <is>
          <t>Super Junk Mill 
6-5/8" REG Pin</t>
        </is>
      </c>
      <c r="C199" t="n">
        <v>156</v>
      </c>
      <c r="D199" s="62" t="n">
        <v>10.5</v>
      </c>
      <c r="E199" t="n">
        <v>640</v>
      </c>
      <c r="T199" t="n">
        <v>75</v>
      </c>
    </row>
    <row r="200">
      <c r="A200" t="n">
        <v>5035018</v>
      </c>
      <c r="B200" t="inlineStr">
        <is>
          <t>Junk Mill 
3-1/2" REG Pin</t>
        </is>
      </c>
      <c r="C200" t="n">
        <v>50</v>
      </c>
      <c r="D200" s="62" t="n">
        <v>6.6875</v>
      </c>
      <c r="E200" t="n">
        <v>0</v>
      </c>
      <c r="T200" t="n">
        <v>68</v>
      </c>
    </row>
    <row r="201">
      <c r="A201" t="n">
        <v>5075019</v>
      </c>
      <c r="B201" t="inlineStr">
        <is>
          <t>Super Junk Mill 
3-1/2" REG Pin</t>
        </is>
      </c>
      <c r="C201" t="n">
        <v>58</v>
      </c>
      <c r="D201" s="62" t="n">
        <v>5.5</v>
      </c>
      <c r="E201" t="n">
        <v>645</v>
      </c>
      <c r="T201" t="n">
        <v>23</v>
      </c>
    </row>
    <row r="202">
      <c r="A202" t="n">
        <v>5035020</v>
      </c>
      <c r="B202" t="inlineStr">
        <is>
          <t>Junk Mill 
3-1/2" REG Pin</t>
        </is>
      </c>
      <c r="C202" t="n">
        <v>52</v>
      </c>
      <c r="D202" s="62" t="n">
        <v>6</v>
      </c>
      <c r="E202" t="n">
        <v>0</v>
      </c>
      <c r="T202" t="n">
        <v>34</v>
      </c>
    </row>
    <row r="203">
      <c r="A203" t="n">
        <v>5035021</v>
      </c>
      <c r="B203" t="inlineStr">
        <is>
          <t>Junk Mill 
3-1/2" REG Pin</t>
        </is>
      </c>
      <c r="C203" t="n">
        <v>50</v>
      </c>
      <c r="D203" s="62" t="n">
        <v>6</v>
      </c>
      <c r="E203" t="n">
        <v>0</v>
      </c>
      <c r="T203" t="n">
        <v>33</v>
      </c>
    </row>
    <row r="204">
      <c r="A204" t="n">
        <v>5035022</v>
      </c>
      <c r="B204" t="inlineStr">
        <is>
          <t>Junk Mill 
3-1/2" REG Pin</t>
        </is>
      </c>
      <c r="C204" t="n">
        <v>66</v>
      </c>
      <c r="D204" s="62" t="n">
        <v>5.125</v>
      </c>
      <c r="E204" t="n">
        <v>2</v>
      </c>
      <c r="T204" t="n">
        <v>22</v>
      </c>
    </row>
    <row r="205">
      <c r="A205" t="n">
        <v>5035023</v>
      </c>
      <c r="B205" t="inlineStr">
        <is>
          <t>Junk Mill 
3-1/2" REG Pin</t>
        </is>
      </c>
      <c r="C205" t="n">
        <v>46</v>
      </c>
      <c r="D205" s="62" t="n">
        <v>6</v>
      </c>
      <c r="E205" t="n">
        <v>0</v>
      </c>
      <c r="T205" t="n">
        <v>32</v>
      </c>
    </row>
    <row r="206">
      <c r="A206" t="n">
        <v>5075024</v>
      </c>
      <c r="B206" t="inlineStr">
        <is>
          <t>Super Junk Mill 
2-3/8" REG Pin</t>
        </is>
      </c>
      <c r="C206" t="n">
        <v>22</v>
      </c>
      <c r="D206" s="62" t="n">
        <v>4.5</v>
      </c>
      <c r="E206" t="n">
        <v>525</v>
      </c>
      <c r="T206" t="n">
        <v>12</v>
      </c>
    </row>
    <row r="207">
      <c r="A207" t="n">
        <v>5075025</v>
      </c>
      <c r="B207" t="inlineStr">
        <is>
          <t>Super Junk Mill 
2-3/8" REG Pin</t>
        </is>
      </c>
      <c r="C207" t="n">
        <v>22</v>
      </c>
      <c r="D207" s="62" t="n">
        <v>4.5</v>
      </c>
      <c r="E207" t="n">
        <v>520</v>
      </c>
      <c r="T207" t="n">
        <v>13</v>
      </c>
    </row>
    <row r="208">
      <c r="A208" t="n">
        <v>5075026</v>
      </c>
      <c r="D208" s="62" t="n"/>
    </row>
    <row r="209">
      <c r="A209" t="n">
        <v>5075027</v>
      </c>
      <c r="B209" t="inlineStr">
        <is>
          <t>Super Junk Mill 
6-5/8" REG Pin</t>
        </is>
      </c>
      <c r="C209" t="n">
        <v>156</v>
      </c>
      <c r="D209" s="62" t="n">
        <v>9.375</v>
      </c>
      <c r="E209" t="n">
        <v>600</v>
      </c>
      <c r="T209" t="n">
        <v>74</v>
      </c>
    </row>
    <row r="210">
      <c r="A210" t="n">
        <v>5075028</v>
      </c>
      <c r="D210" s="62" t="n"/>
    </row>
    <row r="211">
      <c r="A211" t="n">
        <v>5035029</v>
      </c>
      <c r="B211" t="inlineStr">
        <is>
          <t>Junk Mill 
3-1/2" REG Pin</t>
        </is>
      </c>
      <c r="C211" t="n">
        <v>48</v>
      </c>
      <c r="D211" s="62" t="n">
        <v>6</v>
      </c>
      <c r="E211" t="n">
        <v>0</v>
      </c>
      <c r="T211" t="n">
        <v>35</v>
      </c>
    </row>
    <row r="212">
      <c r="A212" t="n">
        <v>5075030</v>
      </c>
      <c r="B212" t="inlineStr">
        <is>
          <t>Super Junk Mill 
6-5/8" REG Pin</t>
        </is>
      </c>
      <c r="C212" t="n">
        <v>136</v>
      </c>
      <c r="D212" s="62" t="n">
        <v>12.75</v>
      </c>
      <c r="E212" t="n">
        <v>390</v>
      </c>
      <c r="T212" t="n">
        <v>86</v>
      </c>
    </row>
    <row r="213">
      <c r="A213" t="n">
        <v>5085031</v>
      </c>
      <c r="C213" t="n">
        <v>0</v>
      </c>
      <c r="D213" s="62" t="n">
        <v>6.5</v>
      </c>
      <c r="E213" t="n">
        <v>970</v>
      </c>
    </row>
    <row r="214">
      <c r="A214" t="n">
        <v>8135032</v>
      </c>
      <c r="D214" s="62" t="n"/>
    </row>
    <row r="215">
      <c r="A215" t="n">
        <v>8025033</v>
      </c>
      <c r="B215" t="inlineStr">
        <is>
          <t>Bit Sub
3-1/2" IF Box x 3-1/2" REG Box BF</t>
        </is>
      </c>
      <c r="C215" t="n">
        <v>36.5095489565625</v>
      </c>
      <c r="D215" s="62" t="n">
        <v>4.75</v>
      </c>
      <c r="E215" t="n">
        <v>455</v>
      </c>
      <c r="T215" t="n">
        <v>34</v>
      </c>
    </row>
    <row r="216">
      <c r="A216" t="n">
        <v>5055034</v>
      </c>
      <c r="B216" t="inlineStr">
        <is>
          <t>Pilot Mill
4-1/2" IF Box x SJM - Pilot</t>
        </is>
      </c>
      <c r="C216" t="n">
        <v>84</v>
      </c>
      <c r="D216" s="62" t="n">
        <v>7.5</v>
      </c>
      <c r="E216" t="n">
        <v>710</v>
      </c>
      <c r="T216" t="n">
        <v>13</v>
      </c>
    </row>
    <row r="217">
      <c r="A217" t="n">
        <v>5075035</v>
      </c>
      <c r="B217" t="inlineStr">
        <is>
          <t>Super Junk Mill 
6-5/8" REG Pin</t>
        </is>
      </c>
      <c r="C217" t="n">
        <v>182</v>
      </c>
      <c r="D217" s="62" t="n">
        <v>11.625</v>
      </c>
      <c r="E217" t="n">
        <v>650</v>
      </c>
      <c r="T217" t="n">
        <v>80</v>
      </c>
    </row>
    <row r="218">
      <c r="A218" t="n">
        <v>5035036</v>
      </c>
      <c r="D218" s="62" t="n"/>
    </row>
    <row r="219">
      <c r="A219" t="n">
        <v>5035037</v>
      </c>
      <c r="B219" t="inlineStr">
        <is>
          <t>Junk Mill 
6-5/8" REG Pin</t>
        </is>
      </c>
      <c r="C219" t="n">
        <v>178</v>
      </c>
      <c r="D219" s="62" t="n">
        <v>12.0625</v>
      </c>
      <c r="E219" t="n">
        <v>0</v>
      </c>
      <c r="T219" t="n">
        <v>89</v>
      </c>
    </row>
    <row r="220">
      <c r="A220" t="n">
        <v>5035038</v>
      </c>
      <c r="D220" s="62" t="n"/>
    </row>
    <row r="221">
      <c r="A221" t="n">
        <v>5035039</v>
      </c>
      <c r="D221" s="62" t="n"/>
    </row>
    <row r="222">
      <c r="A222" t="n">
        <v>5035040</v>
      </c>
      <c r="B222" t="inlineStr">
        <is>
          <t>Junk Mill 
4-1/2" REG Pin</t>
        </is>
      </c>
      <c r="C222" t="n">
        <v>96</v>
      </c>
      <c r="D222" s="62" t="n">
        <v>8.5</v>
      </c>
      <c r="E222" t="n">
        <v>0</v>
      </c>
      <c r="T222" t="n">
        <v>72</v>
      </c>
    </row>
    <row r="223">
      <c r="A223" t="n">
        <v>5075041</v>
      </c>
      <c r="D223" s="62" t="n"/>
    </row>
    <row r="224">
      <c r="A224" t="n">
        <v>5075042</v>
      </c>
      <c r="B224" t="inlineStr">
        <is>
          <t>Super Junk Mill 
6-5/8" REG Pin</t>
        </is>
      </c>
      <c r="C224" t="n">
        <v>222</v>
      </c>
      <c r="D224" s="62" t="n">
        <v>12</v>
      </c>
      <c r="E224" t="n">
        <v>760</v>
      </c>
      <c r="T224" t="n">
        <v>78</v>
      </c>
    </row>
    <row r="225">
      <c r="A225" t="n">
        <v>5025043</v>
      </c>
      <c r="B225" t="inlineStr">
        <is>
          <t>Economill 
6-5/8" REG Pin</t>
        </is>
      </c>
      <c r="C225" t="n">
        <v>76</v>
      </c>
      <c r="D225" s="62" t="n">
        <v>12.125</v>
      </c>
      <c r="E225" t="n">
        <v>165</v>
      </c>
      <c r="T225" t="n">
        <v>60</v>
      </c>
    </row>
    <row r="226">
      <c r="A226" t="n">
        <v>5025044</v>
      </c>
      <c r="B226" t="inlineStr">
        <is>
          <t>Economill 
4-1/2" REG Pin</t>
        </is>
      </c>
      <c r="C226" t="n">
        <v>32</v>
      </c>
      <c r="D226" s="62" t="n">
        <v>8.1875</v>
      </c>
      <c r="E226" t="n">
        <v>130</v>
      </c>
      <c r="T226" t="n">
        <v>52</v>
      </c>
    </row>
    <row r="227">
      <c r="A227" t="n">
        <v>5025045</v>
      </c>
      <c r="B227" t="inlineStr">
        <is>
          <t>Economill 
4-1/2" REG Pin</t>
        </is>
      </c>
      <c r="C227" t="n">
        <v>36</v>
      </c>
      <c r="D227" s="62" t="n">
        <v>9.875</v>
      </c>
      <c r="E227" t="n">
        <v>140</v>
      </c>
      <c r="T227" t="n">
        <v>59</v>
      </c>
    </row>
    <row r="228">
      <c r="A228" t="n">
        <v>5115046</v>
      </c>
      <c r="B228" t="inlineStr">
        <is>
          <t>WO Shoe
5-1/2" FJWP Box</t>
        </is>
      </c>
      <c r="C228" t="n">
        <v>12</v>
      </c>
      <c r="D228" s="62" t="inlineStr">
        <is>
          <t>flush</t>
        </is>
      </c>
      <c r="E228" t="n">
        <v>535</v>
      </c>
      <c r="T228" t="n">
        <v>96</v>
      </c>
    </row>
    <row r="229">
      <c r="A229" t="n">
        <v>5115047</v>
      </c>
      <c r="B229" t="inlineStr">
        <is>
          <t>WO Shoe
5-1/2" FJWP Box</t>
        </is>
      </c>
      <c r="C229" t="n">
        <v>12</v>
      </c>
      <c r="D229" s="62" t="n">
        <v>6.0625</v>
      </c>
      <c r="E229" t="n">
        <v>410</v>
      </c>
      <c r="T229" t="n">
        <v>100</v>
      </c>
    </row>
    <row r="230">
      <c r="A230" t="n">
        <v>5115048</v>
      </c>
      <c r="B230" t="inlineStr">
        <is>
          <t>WO Shoe
5-1/2" FJWP Box</t>
        </is>
      </c>
      <c r="C230" t="n">
        <v>14</v>
      </c>
      <c r="D230" s="62" t="n">
        <v>5.9375</v>
      </c>
      <c r="E230" t="n">
        <v>460</v>
      </c>
      <c r="T230" t="n">
        <v>102</v>
      </c>
    </row>
    <row r="231">
      <c r="A231" t="n">
        <v>5115049</v>
      </c>
      <c r="B231" t="inlineStr">
        <is>
          <t>WO Shoe
5-1/2" FJWP Box</t>
        </is>
      </c>
      <c r="C231" t="n">
        <v>12</v>
      </c>
      <c r="D231" s="62" t="inlineStr">
        <is>
          <t>flush</t>
        </is>
      </c>
      <c r="E231" t="n">
        <v>490</v>
      </c>
      <c r="T231" t="n">
        <v>101</v>
      </c>
    </row>
    <row r="232">
      <c r="A232" t="n">
        <v>5115050</v>
      </c>
      <c r="D232" s="62" t="n"/>
    </row>
    <row r="233">
      <c r="A233" t="n">
        <v>5115051</v>
      </c>
      <c r="B233" t="inlineStr">
        <is>
          <t>WO Shoe
5-1/2" FJWP Box</t>
        </is>
      </c>
      <c r="C233" t="n">
        <v>12</v>
      </c>
      <c r="D233" s="62" t="inlineStr">
        <is>
          <t>flush</t>
        </is>
      </c>
      <c r="E233" t="n">
        <v>460</v>
      </c>
      <c r="T233" t="n">
        <v>97</v>
      </c>
    </row>
    <row r="234">
      <c r="A234" t="n">
        <v>8135052</v>
      </c>
      <c r="B234" t="inlineStr">
        <is>
          <t>XO
4-1/2" IF Pin x 4-1/2" IF Pin</t>
        </is>
      </c>
      <c r="C234" t="n">
        <v>31.03095628473749</v>
      </c>
      <c r="D234" s="62" t="n">
        <v>6.375</v>
      </c>
      <c r="E234" t="n">
        <v>240</v>
      </c>
      <c r="T234" t="n">
        <v>169</v>
      </c>
    </row>
    <row r="235">
      <c r="A235" t="n">
        <v>8135053</v>
      </c>
      <c r="B235" t="inlineStr">
        <is>
          <t>XO
4" IF Pin x 4-1/2" REG Pin</t>
        </is>
      </c>
      <c r="C235" t="n">
        <v>24.53145416279999</v>
      </c>
      <c r="D235" s="62" t="n">
        <v>5.8125</v>
      </c>
      <c r="E235" t="n">
        <v>240</v>
      </c>
      <c r="T235" t="n">
        <v>149</v>
      </c>
    </row>
    <row r="236">
      <c r="A236" t="n">
        <v>8025054</v>
      </c>
      <c r="B236" t="inlineStr">
        <is>
          <t>Bit Sub
4" IF Box x 4-1/2" REG Box</t>
        </is>
      </c>
      <c r="C236" t="n">
        <v>52.85335870839373</v>
      </c>
      <c r="D236" s="62" t="n">
        <v>6</v>
      </c>
      <c r="E236" t="n">
        <v>510</v>
      </c>
      <c r="T236" t="n">
        <v>45</v>
      </c>
    </row>
    <row r="237">
      <c r="A237" t="n">
        <v>8025055</v>
      </c>
      <c r="B237" t="inlineStr">
        <is>
          <t>Bit Sub
2-7/8" IF Box x 3-1/2" REG Box</t>
        </is>
      </c>
      <c r="C237" t="n">
        <v>21.44743114739063</v>
      </c>
      <c r="D237" s="62" t="n">
        <v>4.8125</v>
      </c>
      <c r="E237" t="n">
        <v>300</v>
      </c>
      <c r="T237" t="n">
        <v>22</v>
      </c>
    </row>
    <row r="238">
      <c r="A238" t="n">
        <v>8025056</v>
      </c>
      <c r="B238" t="inlineStr">
        <is>
          <t>Bit Sub
3-1/2" IF Box x 3-1/2" IF Box</t>
        </is>
      </c>
      <c r="C238" t="n">
        <v>24.73329055348125</v>
      </c>
      <c r="D238" s="62" t="n">
        <v>4.75</v>
      </c>
      <c r="E238" t="n">
        <v>370</v>
      </c>
      <c r="T238" t="n">
        <v>30</v>
      </c>
      <c r="V238" t="inlineStr">
        <is>
          <t>réattribution n° d'immo</t>
        </is>
      </c>
    </row>
    <row r="239">
      <c r="A239" t="n">
        <v>8025057</v>
      </c>
      <c r="B239" t="inlineStr">
        <is>
          <t>Bit Sub
6-5/8" REG Box x 6-5/8" REG Box BF</t>
        </is>
      </c>
      <c r="C239" t="n">
        <v>138.7440014932969</v>
      </c>
      <c r="D239" s="62" t="n">
        <v>8</v>
      </c>
      <c r="E239" t="n">
        <v>860</v>
      </c>
      <c r="T239" t="n">
        <v>57</v>
      </c>
    </row>
    <row r="240">
      <c r="A240" t="n">
        <v>8135058</v>
      </c>
      <c r="D240" s="62" t="n"/>
    </row>
    <row r="241">
      <c r="A241" t="n">
        <v>8025059</v>
      </c>
      <c r="D241" s="62" t="n"/>
    </row>
    <row r="242">
      <c r="A242" t="n">
        <v>8025060</v>
      </c>
      <c r="D242" s="62" t="n"/>
      <c r="V242" t="inlineStr">
        <is>
          <t>réattribution n° d'immo</t>
        </is>
      </c>
    </row>
    <row r="243">
      <c r="A243" t="n">
        <v>8025061</v>
      </c>
      <c r="B243" t="inlineStr">
        <is>
          <t>Bit Sub
4" IF Box x 4-1/2" REG Box</t>
        </is>
      </c>
      <c r="C243" t="n">
        <v>54.5637215175</v>
      </c>
      <c r="D243" s="62" t="n">
        <v>5.875</v>
      </c>
      <c r="E243" t="n">
        <v>500</v>
      </c>
      <c r="T243" t="n">
        <v>43</v>
      </c>
    </row>
    <row r="244">
      <c r="A244" t="n">
        <v>8135062</v>
      </c>
      <c r="B244" t="inlineStr">
        <is>
          <t>XO
4" IF Pin x 4-1/2" REG Pin</t>
        </is>
      </c>
      <c r="C244" t="n">
        <v>31.77225752390625</v>
      </c>
      <c r="D244" s="62" t="n">
        <v>6.25</v>
      </c>
      <c r="E244" t="n">
        <v>250</v>
      </c>
      <c r="T244" t="n">
        <v>148</v>
      </c>
    </row>
    <row r="245">
      <c r="A245" t="n">
        <v>8135063</v>
      </c>
      <c r="B245" t="inlineStr">
        <is>
          <t>XO
2-3/8" IF Pin x 3-1/2" REG Pin</t>
        </is>
      </c>
      <c r="C245" t="n">
        <v>11.949701907</v>
      </c>
      <c r="D245" s="62" t="n">
        <v>4</v>
      </c>
      <c r="E245" t="n">
        <v>220</v>
      </c>
      <c r="T245" t="n">
        <v>38</v>
      </c>
    </row>
    <row r="246">
      <c r="A246" t="n">
        <v>8025064</v>
      </c>
      <c r="B246" t="inlineStr">
        <is>
          <t>Bit Sub
4-1/2" IF Box x 4-1/2" REG Box BF</t>
        </is>
      </c>
      <c r="C246" t="n">
        <v>68.52669512879531</v>
      </c>
      <c r="D246" s="62" t="n">
        <v>6.375</v>
      </c>
      <c r="E246" t="n">
        <v>530</v>
      </c>
      <c r="T246" t="n">
        <v>49</v>
      </c>
    </row>
    <row r="247">
      <c r="A247" t="n">
        <v>8025065</v>
      </c>
      <c r="B247" t="inlineStr">
        <is>
          <t>Bit Sub
HT 26 Box x HT 26 Box</t>
        </is>
      </c>
      <c r="C247" t="n">
        <v>15.8321205534375</v>
      </c>
      <c r="D247" s="62" t="n">
        <v>3.3125</v>
      </c>
      <c r="E247" t="n">
        <v>450</v>
      </c>
      <c r="T247" t="n">
        <v>6</v>
      </c>
    </row>
    <row r="248">
      <c r="A248" t="n">
        <v>8025066</v>
      </c>
      <c r="D248" s="62" t="n"/>
    </row>
    <row r="249">
      <c r="A249" t="n">
        <v>8025067</v>
      </c>
      <c r="B249" t="inlineStr">
        <is>
          <t>Bit Sub
3-1/2" IF Box x 3-1/2" IF Box</t>
        </is>
      </c>
      <c r="C249" t="n">
        <v>61.498992727575</v>
      </c>
      <c r="D249" s="62" t="n">
        <v>4.75</v>
      </c>
      <c r="E249" t="n">
        <v>920</v>
      </c>
      <c r="T249" t="n">
        <v>31</v>
      </c>
    </row>
    <row r="250">
      <c r="A250" t="n">
        <v>8135068</v>
      </c>
      <c r="B250" t="inlineStr">
        <is>
          <t>XO
HT 26 Pin x 2-3/8" REG Box</t>
        </is>
      </c>
      <c r="C250" t="n">
        <v>12</v>
      </c>
      <c r="D250" s="62" t="n">
        <v>3.375</v>
      </c>
      <c r="E250" t="n">
        <v>290</v>
      </c>
      <c r="T250" t="n">
        <v>5</v>
      </c>
    </row>
    <row r="251">
      <c r="A251" t="n">
        <v>8025069</v>
      </c>
      <c r="B251" t="inlineStr">
        <is>
          <t>Bit Sub
3-1/2" IF Box x 6-5/8" REG Box</t>
        </is>
      </c>
      <c r="C251" t="n">
        <v>86</v>
      </c>
      <c r="D251" s="62" t="n">
        <v>7.75</v>
      </c>
      <c r="E251" t="n">
        <v>800</v>
      </c>
      <c r="T251" t="n">
        <v>39</v>
      </c>
    </row>
    <row r="252">
      <c r="A252" t="n">
        <v>5025070</v>
      </c>
      <c r="B252" t="inlineStr">
        <is>
          <t>Economill 
2-3/8" REG Pin</t>
        </is>
      </c>
      <c r="C252" t="n">
        <v>7</v>
      </c>
      <c r="D252" s="62" t="n">
        <v>4.1875</v>
      </c>
      <c r="E252" t="n">
        <v>130</v>
      </c>
      <c r="T252" t="n">
        <v>14</v>
      </c>
    </row>
    <row r="253">
      <c r="A253" t="n">
        <v>5025071</v>
      </c>
      <c r="D253" s="62" t="n"/>
    </row>
    <row r="254">
      <c r="A254" t="n">
        <v>5025071</v>
      </c>
      <c r="B254" t="inlineStr">
        <is>
          <t>Economill 
2-3/8" REG Pin</t>
        </is>
      </c>
      <c r="C254" t="n">
        <v>7</v>
      </c>
      <c r="D254" s="62" t="n">
        <v>4.125</v>
      </c>
      <c r="E254" t="n">
        <v>115</v>
      </c>
      <c r="T254" t="n">
        <v>11</v>
      </c>
      <c r="V254" t="inlineStr">
        <is>
          <t>reconstruite</t>
        </is>
      </c>
    </row>
    <row r="255">
      <c r="A255" t="n">
        <v>5025072</v>
      </c>
      <c r="B255" t="inlineStr">
        <is>
          <t>Economill 
2-3/8" REG Pin</t>
        </is>
      </c>
      <c r="C255" t="n">
        <v>6</v>
      </c>
      <c r="D255" s="62" t="n">
        <v>3.75</v>
      </c>
      <c r="E255" t="n">
        <v>125</v>
      </c>
      <c r="T255" t="n">
        <v>10</v>
      </c>
    </row>
    <row r="256">
      <c r="A256" t="n">
        <v>5025073</v>
      </c>
      <c r="B256" t="inlineStr">
        <is>
          <t>Economill 
2-3/8" REG Pin</t>
        </is>
      </c>
      <c r="C256" t="n">
        <v>7</v>
      </c>
      <c r="D256" s="62" t="n">
        <v>4.125</v>
      </c>
      <c r="E256" t="n">
        <v>130</v>
      </c>
      <c r="T256" t="n">
        <v>13</v>
      </c>
    </row>
    <row r="257">
      <c r="A257" t="n">
        <v>5025074</v>
      </c>
      <c r="B257" t="inlineStr">
        <is>
          <t>Economill 
2-3/8" REG Pin</t>
        </is>
      </c>
      <c r="C257" t="n">
        <v>6</v>
      </c>
      <c r="D257" s="62" t="n">
        <v>3.4375</v>
      </c>
      <c r="E257" t="n">
        <v>130</v>
      </c>
      <c r="T257" t="n">
        <v>5</v>
      </c>
    </row>
    <row r="258">
      <c r="A258" t="n">
        <v>5025075</v>
      </c>
      <c r="D258" s="62" t="n"/>
    </row>
    <row r="259">
      <c r="A259" t="n">
        <v>5025075</v>
      </c>
      <c r="B259" t="inlineStr">
        <is>
          <t>Economill 
2-3/8" REG Pin</t>
        </is>
      </c>
      <c r="C259" t="n">
        <v>5</v>
      </c>
      <c r="D259" s="62" t="n">
        <v>3.75</v>
      </c>
      <c r="E259" t="n">
        <v>110</v>
      </c>
      <c r="T259" t="n">
        <v>6</v>
      </c>
      <c r="V259" t="inlineStr">
        <is>
          <t>reconstruite</t>
        </is>
      </c>
    </row>
    <row r="260">
      <c r="A260" t="n">
        <v>5025076</v>
      </c>
      <c r="B260" t="inlineStr">
        <is>
          <t>Economill 
3-1/2" REG Pin</t>
        </is>
      </c>
      <c r="C260" t="n">
        <v>20</v>
      </c>
      <c r="D260" s="62" t="n">
        <v>6.5</v>
      </c>
      <c r="E260" t="n">
        <v>180</v>
      </c>
      <c r="T260" t="n">
        <v>50</v>
      </c>
    </row>
    <row r="261">
      <c r="A261" t="n">
        <v>5025077</v>
      </c>
      <c r="B261" t="inlineStr">
        <is>
          <t>Economill 
3-1/2" REG Pin</t>
        </is>
      </c>
      <c r="C261" t="n">
        <v>21</v>
      </c>
      <c r="D261" s="62" t="n">
        <v>6.75</v>
      </c>
      <c r="E261" t="n">
        <v>200</v>
      </c>
      <c r="T261" t="n">
        <v>48</v>
      </c>
    </row>
    <row r="262">
      <c r="A262" t="n">
        <v>5025078</v>
      </c>
      <c r="B262" t="inlineStr">
        <is>
          <t>Economill 
3-1/2" REG Pin</t>
        </is>
      </c>
      <c r="C262" t="n">
        <v>16</v>
      </c>
      <c r="D262" s="62" t="n">
        <v>5.75</v>
      </c>
      <c r="E262" t="n">
        <v>165</v>
      </c>
      <c r="T262" t="n">
        <v>26</v>
      </c>
    </row>
    <row r="263">
      <c r="A263" t="n">
        <v>5025079</v>
      </c>
      <c r="B263" t="inlineStr">
        <is>
          <t>Economill 
3-1/2" REG Pin</t>
        </is>
      </c>
      <c r="C263" t="n">
        <v>14</v>
      </c>
      <c r="D263" s="62" t="n">
        <v>5.875</v>
      </c>
      <c r="E263" t="n">
        <v>140</v>
      </c>
      <c r="T263" t="n">
        <v>29</v>
      </c>
    </row>
    <row r="264">
      <c r="A264" t="n">
        <v>5025080</v>
      </c>
      <c r="B264" t="inlineStr">
        <is>
          <t>Economill 
3-1/2" REG Pin</t>
        </is>
      </c>
      <c r="C264" t="n">
        <v>17</v>
      </c>
      <c r="D264" s="62" t="n">
        <v>6.6875</v>
      </c>
      <c r="E264" t="n">
        <v>175</v>
      </c>
      <c r="T264" t="n">
        <v>49</v>
      </c>
    </row>
    <row r="265">
      <c r="A265" t="n">
        <v>5025081</v>
      </c>
      <c r="B265" t="inlineStr">
        <is>
          <t>Economill 
3-1/2" REG Pin</t>
        </is>
      </c>
      <c r="C265" t="n">
        <v>17</v>
      </c>
      <c r="D265" s="62" t="n">
        <v>5.5</v>
      </c>
      <c r="E265" t="n">
        <v>170</v>
      </c>
      <c r="T265" t="n">
        <v>23</v>
      </c>
    </row>
    <row r="266">
      <c r="A266" t="n">
        <v>5115081</v>
      </c>
      <c r="B266" t="inlineStr">
        <is>
          <t>WO Lip Guide
5-1/2" FJWP Box</t>
        </is>
      </c>
      <c r="C266" t="n">
        <v>14</v>
      </c>
      <c r="D266" s="62" t="inlineStr">
        <is>
          <t>flush</t>
        </is>
      </c>
      <c r="E266" t="n">
        <v>345</v>
      </c>
      <c r="T266" t="n">
        <v>95</v>
      </c>
    </row>
    <row r="267">
      <c r="A267" t="n">
        <v>5025082</v>
      </c>
      <c r="D267" s="62" t="n"/>
    </row>
    <row r="268">
      <c r="A268" t="n">
        <v>8135083</v>
      </c>
      <c r="B268" t="inlineStr">
        <is>
          <t>XO
4-1/2" IF Pin x 3-1/2" IF Box</t>
        </is>
      </c>
      <c r="C268" t="n">
        <v>57.96747312732187</v>
      </c>
      <c r="D268" s="62" t="n">
        <v>6.5</v>
      </c>
      <c r="E268" t="n">
        <v>415</v>
      </c>
      <c r="T268" t="n">
        <v>160</v>
      </c>
    </row>
    <row r="269">
      <c r="A269" t="n">
        <v>8025084</v>
      </c>
      <c r="B269" t="inlineStr">
        <is>
          <t>Bit Sub
4" IF Box x 4-1/2" REG Box</t>
        </is>
      </c>
      <c r="C269" t="n">
        <v>35.3861782194375</v>
      </c>
      <c r="D269" s="62" t="n">
        <v>6</v>
      </c>
      <c r="E269" t="n">
        <v>315</v>
      </c>
      <c r="T269" t="n">
        <v>44</v>
      </c>
    </row>
    <row r="270">
      <c r="A270" t="n">
        <v>8135085</v>
      </c>
      <c r="B270" t="inlineStr">
        <is>
          <t>XO
4-1/2" REG Pin x 3-1/2" IF Box</t>
        </is>
      </c>
      <c r="C270" t="n">
        <v>40</v>
      </c>
      <c r="D270" s="62" t="n">
        <v>5.75</v>
      </c>
      <c r="E270" t="n">
        <v>460</v>
      </c>
      <c r="T270" t="n">
        <v>182</v>
      </c>
    </row>
    <row r="271">
      <c r="A271" t="n">
        <v>8135086</v>
      </c>
      <c r="D271" s="62" t="n"/>
    </row>
    <row r="272">
      <c r="A272" t="n">
        <v>8135087</v>
      </c>
      <c r="B272" t="inlineStr">
        <is>
          <t>XO
4-1/2" IF Pin x 4" IF Box</t>
        </is>
      </c>
      <c r="C272" t="n">
        <v>40.61031507457032</v>
      </c>
      <c r="D272" s="62" t="n">
        <v>6.25</v>
      </c>
      <c r="E272" t="n">
        <v>330</v>
      </c>
      <c r="T272" t="n">
        <v>165</v>
      </c>
    </row>
    <row r="273">
      <c r="A273" t="n">
        <v>8135088</v>
      </c>
      <c r="B273" t="inlineStr">
        <is>
          <t>XO
3-1/2" IF Pin x 2-7/8" IF Box</t>
        </is>
      </c>
      <c r="C273" t="n">
        <v>23.38015346641406</v>
      </c>
      <c r="D273" s="62" t="n">
        <v>4.6875</v>
      </c>
      <c r="E273" t="n">
        <v>350</v>
      </c>
      <c r="T273" t="n">
        <v>104</v>
      </c>
    </row>
    <row r="274">
      <c r="A274" t="n">
        <v>8135089</v>
      </c>
      <c r="B274" t="inlineStr">
        <is>
          <t>XO
4-1/2" IF Pin x 3-1/2" IF Box</t>
        </is>
      </c>
      <c r="C274" t="n">
        <v>52.81076937825001</v>
      </c>
      <c r="D274" s="62" t="n">
        <v>6.25</v>
      </c>
      <c r="E274" t="n">
        <v>400</v>
      </c>
      <c r="T274" t="n">
        <v>159</v>
      </c>
    </row>
    <row r="275">
      <c r="A275" t="n">
        <v>8085090</v>
      </c>
      <c r="B275" t="inlineStr">
        <is>
          <t>Float Sub 7-11/16" Lg 480 mm
6-5/8" REG Pin x 6-5/8" REG Box BF (5F-6R)</t>
        </is>
      </c>
      <c r="C275" t="n">
        <v>102.458818065825</v>
      </c>
      <c r="D275" s="62" t="n">
        <v>7.6875</v>
      </c>
      <c r="E275" t="n">
        <v>480</v>
      </c>
      <c r="T275" t="n">
        <v>27</v>
      </c>
    </row>
    <row r="276">
      <c r="A276" t="n">
        <v>8135091</v>
      </c>
      <c r="B276" t="inlineStr">
        <is>
          <t>XO
4" IF Pin x 4-1/2" IF Box</t>
        </is>
      </c>
      <c r="C276" t="n">
        <v>70.48071211289063</v>
      </c>
      <c r="D276" s="62" t="n">
        <v>6.5</v>
      </c>
      <c r="E276" t="n">
        <v>500</v>
      </c>
      <c r="T276" t="n">
        <v>144</v>
      </c>
    </row>
    <row r="277">
      <c r="A277" t="n">
        <v>8135092</v>
      </c>
      <c r="B277" t="inlineStr">
        <is>
          <t>Latéral Jet Sub 6-7/16" OD
4-1/2" IF Pin x Box</t>
        </is>
      </c>
      <c r="C277" t="n">
        <v>71.29083524062499</v>
      </c>
      <c r="D277" s="62" t="n">
        <v>6.4375</v>
      </c>
      <c r="E277" t="n">
        <v>500</v>
      </c>
      <c r="T277" t="n">
        <v>6</v>
      </c>
    </row>
    <row r="278">
      <c r="A278" t="n">
        <v>8135093</v>
      </c>
      <c r="B278" t="inlineStr">
        <is>
          <t>XO
4" IF Pin x 4-1/2" IF Box</t>
        </is>
      </c>
      <c r="C278" t="n">
        <v>71.18551923401952</v>
      </c>
      <c r="D278" s="62" t="n">
        <v>6.5</v>
      </c>
      <c r="E278" t="n">
        <v>505</v>
      </c>
      <c r="T278" t="n">
        <v>145</v>
      </c>
    </row>
    <row r="279">
      <c r="A279" t="n">
        <v>5155094</v>
      </c>
      <c r="D279" s="62" t="n"/>
    </row>
    <row r="280">
      <c r="A280" t="n">
        <v>5115095</v>
      </c>
      <c r="D280" s="62" t="n"/>
    </row>
    <row r="281">
      <c r="A281" t="n">
        <v>5115096</v>
      </c>
      <c r="B281" t="inlineStr">
        <is>
          <t>WO Shoe
5-1/2" FJWP Box</t>
        </is>
      </c>
      <c r="C281" t="n">
        <v>0</v>
      </c>
      <c r="D281" s="62" t="n">
        <v>5.75</v>
      </c>
      <c r="E281" t="n">
        <v>340</v>
      </c>
      <c r="T281" t="n">
        <v>98</v>
      </c>
    </row>
    <row r="282">
      <c r="A282" t="n">
        <v>5115097</v>
      </c>
      <c r="B282" t="inlineStr">
        <is>
          <t>WO Shoe
4-1/2" FJWP Box</t>
        </is>
      </c>
      <c r="D282" s="62" t="n"/>
    </row>
    <row r="283">
      <c r="A283" t="n">
        <v>8085098</v>
      </c>
      <c r="B283" t="inlineStr">
        <is>
          <t>Float Sub 4-3/4" Lg 500 mm
3-1/2" IF Pin x 3-1/2" IF Box BF (3-1/2" IF)</t>
        </is>
      </c>
      <c r="C283" t="n">
        <v>34.00202498976562</v>
      </c>
      <c r="D283" s="62" t="n">
        <v>4.75</v>
      </c>
      <c r="E283" t="n">
        <v>500</v>
      </c>
      <c r="T283" t="n">
        <v>7</v>
      </c>
    </row>
    <row r="284">
      <c r="A284" t="n">
        <v>8135099</v>
      </c>
      <c r="B284" t="inlineStr">
        <is>
          <t>XO
2-7/8" EU Pin x 3-1/2" IF Box</t>
        </is>
      </c>
      <c r="C284" t="n">
        <v>29.331086499</v>
      </c>
      <c r="D284" s="62" t="n">
        <v>4.75</v>
      </c>
      <c r="E284" t="n">
        <v>400</v>
      </c>
      <c r="T284" t="n">
        <v>75</v>
      </c>
    </row>
    <row r="285">
      <c r="A285" t="n">
        <v>8135100</v>
      </c>
      <c r="D285" s="62" t="n"/>
    </row>
    <row r="286">
      <c r="A286" t="n">
        <v>8135101</v>
      </c>
      <c r="D286" s="62" t="n"/>
    </row>
    <row r="287">
      <c r="A287" t="n">
        <v>7025102</v>
      </c>
      <c r="B287" t="inlineStr">
        <is>
          <t>Fishing Magnet 3-3/4" OD
2-3/8" REG Pin</t>
        </is>
      </c>
      <c r="C287" t="n">
        <v>17</v>
      </c>
      <c r="D287" s="62" t="n">
        <v>3.75</v>
      </c>
      <c r="E287" t="n">
        <v>400</v>
      </c>
      <c r="T287" t="n">
        <v>5</v>
      </c>
    </row>
    <row r="288">
      <c r="A288" t="n">
        <v>8025103</v>
      </c>
      <c r="B288" t="inlineStr">
        <is>
          <t>Bit Sub
5-3/8" BRS Box x 5-3/8" BRS Box</t>
        </is>
      </c>
      <c r="C288" t="n">
        <v>28.04785146466874</v>
      </c>
      <c r="D288" s="62" t="n">
        <v>5.75</v>
      </c>
      <c r="E288" t="n">
        <v>510</v>
      </c>
      <c r="T288" t="n">
        <v>40</v>
      </c>
    </row>
    <row r="289">
      <c r="A289" t="n">
        <v>8025104</v>
      </c>
      <c r="D289" s="62" t="n"/>
      <c r="V289" t="n">
        <v>2018</v>
      </c>
    </row>
    <row r="290">
      <c r="A290" t="n">
        <v>5025105</v>
      </c>
      <c r="B290" t="inlineStr">
        <is>
          <t>Economill 
3-1/2" REG Pin</t>
        </is>
      </c>
      <c r="C290" t="n">
        <v>10</v>
      </c>
      <c r="D290" s="62" t="n">
        <v>4.75</v>
      </c>
      <c r="E290" t="n">
        <v>130</v>
      </c>
      <c r="T290" t="n">
        <v>18</v>
      </c>
    </row>
    <row r="291">
      <c r="A291" t="n">
        <v>8135106</v>
      </c>
      <c r="B291" t="inlineStr">
        <is>
          <t>XO
2-3/8" REG Pin x 2-3/8" IF Box</t>
        </is>
      </c>
      <c r="C291" t="n">
        <v>10.999157437125</v>
      </c>
      <c r="D291" s="62" t="n">
        <v>3.375</v>
      </c>
      <c r="E291" t="n">
        <v>275</v>
      </c>
      <c r="T291" t="n">
        <v>43</v>
      </c>
    </row>
    <row r="292">
      <c r="A292" t="n">
        <v>8135107</v>
      </c>
      <c r="B292" t="inlineStr">
        <is>
          <t>XO
2-3/8" REG Pin x 2-3/8" IF Box</t>
        </is>
      </c>
      <c r="C292" t="n">
        <v>8.619710079093748</v>
      </c>
      <c r="D292" s="62" t="n">
        <v>3.375</v>
      </c>
      <c r="E292" t="n">
        <v>210</v>
      </c>
      <c r="T292" t="n">
        <v>42</v>
      </c>
    </row>
    <row r="293">
      <c r="A293" t="n">
        <v>8135108</v>
      </c>
      <c r="B293" t="inlineStr">
        <is>
          <t>XO
4-1/2" IF Pin x 4" IF Box</t>
        </is>
      </c>
      <c r="C293" t="n">
        <v>31.6309103267625</v>
      </c>
      <c r="D293" s="62" t="n">
        <v>6.25</v>
      </c>
      <c r="E293" t="n">
        <v>260</v>
      </c>
      <c r="T293" t="n">
        <v>166</v>
      </c>
    </row>
    <row r="294">
      <c r="A294" t="n">
        <v>5065109</v>
      </c>
      <c r="B294" t="inlineStr">
        <is>
          <t>String Mill 5,875 OD 
3-1/2" IF Box x 3-1/2" IF Pin SRG</t>
        </is>
      </c>
      <c r="C294" t="n">
        <v>154</v>
      </c>
      <c r="D294" s="62" t="n">
        <v>5.875</v>
      </c>
      <c r="E294" t="n">
        <v>2000</v>
      </c>
      <c r="T294" t="n">
        <v>10</v>
      </c>
    </row>
    <row r="295">
      <c r="A295" t="n">
        <v>8135110</v>
      </c>
      <c r="B295" t="inlineStr">
        <is>
          <t>XO
4-1/2" IF Pin x 6-5/8" REG Box</t>
        </is>
      </c>
      <c r="C295" t="n">
        <v>90.77082450637501</v>
      </c>
      <c r="D295" s="62" t="n">
        <v>7.75</v>
      </c>
      <c r="E295" t="n">
        <v>450</v>
      </c>
      <c r="T295" t="n">
        <v>174</v>
      </c>
    </row>
    <row r="296">
      <c r="A296" t="n">
        <v>8135111</v>
      </c>
      <c r="B296" t="inlineStr">
        <is>
          <t>XO
6-5/8" REG Pin x 4-1/2" IF Box</t>
        </is>
      </c>
      <c r="C296" t="n">
        <v>74</v>
      </c>
      <c r="D296" s="62" t="n">
        <v>7.75</v>
      </c>
      <c r="E296" t="n">
        <v>430</v>
      </c>
      <c r="T296" t="n">
        <v>263</v>
      </c>
    </row>
    <row r="297">
      <c r="A297" t="n">
        <v>8135112</v>
      </c>
      <c r="B297" t="inlineStr">
        <is>
          <t>XO
6-5/8" REG Pin x 4" IF Box</t>
        </is>
      </c>
      <c r="C297" t="n">
        <v>168</v>
      </c>
      <c r="D297" s="62" t="n">
        <v>8</v>
      </c>
      <c r="E297" t="n">
        <v>925</v>
      </c>
      <c r="T297" t="n">
        <v>205</v>
      </c>
    </row>
    <row r="298">
      <c r="A298" t="n">
        <v>8135113</v>
      </c>
      <c r="B298" t="inlineStr">
        <is>
          <t>XO
3-1/2" REG Pin x 3-1/2" IF Box</t>
        </is>
      </c>
      <c r="C298" t="n">
        <v>80</v>
      </c>
      <c r="D298" s="62" t="n">
        <v>4.75</v>
      </c>
      <c r="E298" t="n">
        <v>1135</v>
      </c>
      <c r="T298" t="n">
        <v>133</v>
      </c>
    </row>
    <row r="299">
      <c r="A299" t="n">
        <v>8135114</v>
      </c>
      <c r="B299" t="inlineStr">
        <is>
          <t>XO
4-1/2" REG Pin x 4-1/2" IF Box</t>
        </is>
      </c>
      <c r="C299" t="n">
        <v>142</v>
      </c>
      <c r="D299" s="62" t="n">
        <v>6.5</v>
      </c>
      <c r="E299" t="n">
        <v>1120</v>
      </c>
      <c r="T299" t="n">
        <v>183</v>
      </c>
    </row>
    <row r="300">
      <c r="A300" t="n">
        <v>8085115</v>
      </c>
      <c r="B300" t="inlineStr">
        <is>
          <t xml:space="preserve">7-11/16" OD Saver Sub
6-5/8" REG Pin x Box
Set on : </t>
        </is>
      </c>
      <c r="C300" t="n">
        <v>102.458818065825</v>
      </c>
      <c r="D300" s="62" t="n">
        <v>7.6875</v>
      </c>
      <c r="E300" t="n">
        <v>480</v>
      </c>
      <c r="T300" t="n">
        <v>95</v>
      </c>
    </row>
    <row r="301">
      <c r="A301" t="n">
        <v>8135116</v>
      </c>
      <c r="B301" t="inlineStr">
        <is>
          <t>XO
6-5/8" REG Pin x 4-1/2" IF Box</t>
        </is>
      </c>
      <c r="C301" t="n">
        <v>92.67808581281251</v>
      </c>
      <c r="D301" s="62" t="n">
        <v>7.75</v>
      </c>
      <c r="E301" t="n">
        <v>500</v>
      </c>
      <c r="T301" t="n">
        <v>208</v>
      </c>
    </row>
    <row r="302">
      <c r="A302" t="n">
        <v>8135302</v>
      </c>
      <c r="B302" t="inlineStr">
        <is>
          <t>XO
4" IF Pin x 3-1/2" IF Box</t>
        </is>
      </c>
      <c r="C302" t="n">
        <v>55.04871522997031</v>
      </c>
      <c r="D302" s="62" t="n">
        <v>5.625</v>
      </c>
      <c r="E302" t="n">
        <v>530</v>
      </c>
      <c r="T302" t="n">
        <v>138</v>
      </c>
    </row>
    <row r="303">
      <c r="A303" t="n">
        <v>8135118</v>
      </c>
      <c r="B303" t="inlineStr">
        <is>
          <t>XO
6-5/8" REG Pin x 3-1/2" IF Box</t>
        </is>
      </c>
      <c r="C303" t="n">
        <v>59.84541569199374</v>
      </c>
      <c r="D303" s="62" t="n">
        <v>7.875</v>
      </c>
      <c r="E303" t="n">
        <v>280</v>
      </c>
      <c r="T303" t="n">
        <v>202</v>
      </c>
    </row>
    <row r="304">
      <c r="A304" t="n">
        <v>5055119</v>
      </c>
      <c r="B304" t="inlineStr">
        <is>
          <t>Pilot Mill
2-3/8" REG Box x Pilot</t>
        </is>
      </c>
      <c r="C304" t="n">
        <v>60</v>
      </c>
      <c r="D304" s="62" t="n">
        <v>6.625</v>
      </c>
      <c r="E304" t="n">
        <v>900</v>
      </c>
      <c r="T304" t="n">
        <v>12</v>
      </c>
    </row>
    <row r="305">
      <c r="A305" t="n">
        <v>5055120</v>
      </c>
      <c r="B305" t="inlineStr">
        <is>
          <t>Pilot Mill
2-3/8" REG Box x Pilot</t>
        </is>
      </c>
      <c r="C305" t="n">
        <v>56</v>
      </c>
      <c r="D305" s="62" t="n">
        <v>6.25</v>
      </c>
      <c r="E305" t="n">
        <v>950</v>
      </c>
      <c r="T305" t="n">
        <v>11</v>
      </c>
    </row>
    <row r="306">
      <c r="A306" t="n">
        <v>5045121</v>
      </c>
      <c r="B306" t="inlineStr">
        <is>
          <t xml:space="preserve">Viper Pilot Mill
3-1/2" REG Pin x  - </t>
        </is>
      </c>
      <c r="C306" t="n">
        <v>44</v>
      </c>
      <c r="D306" s="62" t="n">
        <v>6.1875</v>
      </c>
      <c r="E306" t="n">
        <v>790</v>
      </c>
      <c r="T306" t="n">
        <v>16</v>
      </c>
    </row>
    <row r="307">
      <c r="A307" t="n">
        <v>5045122</v>
      </c>
      <c r="B307" t="inlineStr">
        <is>
          <t>Viper Pilot Mill
3-1/2" REG Pin x 2-3/8" REG Pin</t>
        </is>
      </c>
      <c r="C307" t="n">
        <v>54</v>
      </c>
      <c r="D307" s="62" t="n">
        <v>5.75</v>
      </c>
      <c r="E307" t="n">
        <v>830</v>
      </c>
      <c r="T307" t="n">
        <v>12</v>
      </c>
    </row>
    <row r="308">
      <c r="A308" t="n">
        <v>5045123</v>
      </c>
      <c r="B308" t="inlineStr">
        <is>
          <t>Viper Pilot Mill
2-3/8" REG Pin x Pilot</t>
        </is>
      </c>
      <c r="C308" t="n">
        <v>16</v>
      </c>
      <c r="D308" s="62" t="n">
        <v>4.375</v>
      </c>
      <c r="E308" t="n">
        <v>560</v>
      </c>
      <c r="T308" t="n">
        <v>10</v>
      </c>
    </row>
    <row r="309">
      <c r="A309" t="n">
        <v>5055124</v>
      </c>
      <c r="B309" t="inlineStr">
        <is>
          <t>Pilot Mill
2-3/8" REG Pin x Pilot</t>
        </is>
      </c>
      <c r="C309" t="n">
        <v>22</v>
      </c>
      <c r="D309" s="62" t="n">
        <v>4.3125</v>
      </c>
      <c r="E309" t="n">
        <v>600</v>
      </c>
      <c r="T309" t="n">
        <v>5</v>
      </c>
    </row>
    <row r="310">
      <c r="A310" t="n">
        <v>5045125</v>
      </c>
      <c r="B310" t="inlineStr">
        <is>
          <t>Viper Pilot Mill
2-3/8" REG Pin x 2-1/4" PRT Pin</t>
        </is>
      </c>
      <c r="C310" t="n">
        <v>32</v>
      </c>
      <c r="D310" s="62" t="n">
        <v>3.875</v>
      </c>
      <c r="E310" t="n">
        <v>975</v>
      </c>
      <c r="T310" t="n">
        <v>9</v>
      </c>
    </row>
    <row r="311">
      <c r="A311" t="n">
        <v>5045126</v>
      </c>
      <c r="B311" t="inlineStr">
        <is>
          <t>Viper Pilot Mill
2-3/8" REG Pin x Pilot</t>
        </is>
      </c>
      <c r="C311" t="n">
        <v>16</v>
      </c>
      <c r="D311" s="62" t="n">
        <v>3.0625</v>
      </c>
      <c r="E311" t="n">
        <v>700</v>
      </c>
      <c r="T311" t="n">
        <v>5</v>
      </c>
    </row>
    <row r="312">
      <c r="A312" t="n">
        <v>5045127</v>
      </c>
      <c r="B312" t="inlineStr">
        <is>
          <t>Viper Pilot Mill
2-3/8" REG Pin x Pilot</t>
        </is>
      </c>
      <c r="C312" t="n">
        <v>16</v>
      </c>
      <c r="D312" s="62" t="n">
        <v>3.0625</v>
      </c>
      <c r="E312" t="n">
        <v>670</v>
      </c>
      <c r="T312" t="n">
        <v>6</v>
      </c>
    </row>
    <row r="313">
      <c r="A313" t="n">
        <v>5055128</v>
      </c>
      <c r="B313" t="inlineStr">
        <is>
          <t>Pilot Mill
2-3/8" REG Pin x Pilot</t>
        </is>
      </c>
      <c r="C313" t="n">
        <v>28</v>
      </c>
      <c r="D313" s="62" t="n">
        <v>5.5625</v>
      </c>
      <c r="E313" t="n">
        <v>640</v>
      </c>
      <c r="T313" t="n">
        <v>6</v>
      </c>
    </row>
    <row r="314">
      <c r="A314" t="n">
        <v>5125129</v>
      </c>
      <c r="D314" s="62" t="n"/>
    </row>
    <row r="315">
      <c r="A315" t="n">
        <v>5045130</v>
      </c>
      <c r="B315" t="inlineStr">
        <is>
          <t>Viper Pilot Mill
3-1/2" REG Pin x Pilot</t>
        </is>
      </c>
      <c r="C315" t="n">
        <v>43</v>
      </c>
      <c r="D315" s="62" t="n">
        <v>6</v>
      </c>
      <c r="E315" t="n">
        <v>655</v>
      </c>
      <c r="T315" t="n">
        <v>15</v>
      </c>
    </row>
    <row r="316">
      <c r="A316" t="n">
        <v>5055131</v>
      </c>
      <c r="B316" t="inlineStr">
        <is>
          <t>Pilot Mill
2-7/8" REG Pin x Pilot</t>
        </is>
      </c>
      <c r="C316" t="n">
        <v>38</v>
      </c>
      <c r="D316" s="62" t="n">
        <v>5.9375</v>
      </c>
      <c r="E316" t="n">
        <v>605</v>
      </c>
      <c r="T316" t="n">
        <v>9</v>
      </c>
    </row>
    <row r="317">
      <c r="A317" t="n">
        <v>5055132</v>
      </c>
      <c r="B317" t="inlineStr">
        <is>
          <t>Pilot Mill
2-7/8" REG Pin x Pilot</t>
        </is>
      </c>
      <c r="C317" t="n">
        <v>36</v>
      </c>
      <c r="D317" s="62" t="n">
        <v>5.6875</v>
      </c>
      <c r="E317" t="n">
        <v>595</v>
      </c>
      <c r="T317" t="n">
        <v>8</v>
      </c>
    </row>
    <row r="318">
      <c r="A318" t="n">
        <v>5125133</v>
      </c>
      <c r="B318" t="inlineStr">
        <is>
          <t>WO Top Sub
2-3/8" REG Box x 4" FJWP Pin x 2-3/8" REG Box in</t>
        </is>
      </c>
      <c r="C318" t="n">
        <v>24</v>
      </c>
      <c r="D318" s="62" t="n">
        <v>4</v>
      </c>
      <c r="E318" t="n">
        <v>540</v>
      </c>
      <c r="T318" t="n">
        <v>11</v>
      </c>
    </row>
    <row r="319">
      <c r="A319" t="n">
        <v>7125134</v>
      </c>
      <c r="B319" t="inlineStr">
        <is>
          <t>Releasing Spear 11-3/4" OD Mandrel Type AZ RSP13
6-5/8" REG Box</t>
        </is>
      </c>
      <c r="C319" t="n">
        <v>634</v>
      </c>
      <c r="D319" s="62" t="n">
        <v>11.75</v>
      </c>
      <c r="E319" t="inlineStr">
        <is>
          <t>CA RSP-13</t>
        </is>
      </c>
      <c r="T319" t="n">
        <v>35</v>
      </c>
    </row>
    <row r="320">
      <c r="A320" t="n">
        <v>1095135</v>
      </c>
      <c r="D320" s="62" t="n"/>
    </row>
    <row r="321">
      <c r="A321" t="n">
        <v>1095136</v>
      </c>
      <c r="D321" s="62" t="n"/>
    </row>
    <row r="322">
      <c r="A322" t="n">
        <v>5035137</v>
      </c>
      <c r="B322" t="inlineStr">
        <is>
          <t>Junk Mill 
2-3/8' REG Pin</t>
        </is>
      </c>
      <c r="C322" t="n">
        <v>12</v>
      </c>
      <c r="D322" s="62" t="n">
        <v>4.125</v>
      </c>
      <c r="E322" t="n">
        <v>0</v>
      </c>
      <c r="T322" t="n">
        <v>8</v>
      </c>
    </row>
    <row r="323">
      <c r="A323" t="n">
        <v>5025138</v>
      </c>
      <c r="D323" s="62" t="n"/>
    </row>
    <row r="324">
      <c r="A324" t="n">
        <v>5035139</v>
      </c>
      <c r="B324" t="inlineStr">
        <is>
          <t>Junk Mill 
3-1/2" REG Pin</t>
        </is>
      </c>
      <c r="C324" t="n">
        <v>34</v>
      </c>
      <c r="D324" s="62" t="n">
        <v>5.5</v>
      </c>
      <c r="E324" t="n">
        <v>0</v>
      </c>
      <c r="T324" t="n">
        <v>23</v>
      </c>
    </row>
    <row r="325">
      <c r="A325" t="n">
        <v>5035140</v>
      </c>
      <c r="B325" t="inlineStr">
        <is>
          <t>Junk Mill 
2-3/8" REG Pin</t>
        </is>
      </c>
      <c r="C325" t="n">
        <v>18</v>
      </c>
      <c r="D325" s="62" t="n">
        <v>4.25</v>
      </c>
      <c r="E325" t="n">
        <v>0</v>
      </c>
      <c r="T325" t="n">
        <v>9</v>
      </c>
    </row>
    <row r="326">
      <c r="A326" t="n">
        <v>5035141</v>
      </c>
      <c r="D326" s="62" t="n"/>
    </row>
    <row r="327">
      <c r="A327" t="n">
        <v>5075142</v>
      </c>
      <c r="B327" t="inlineStr">
        <is>
          <t>Super Junk Mill 
2-3/8" REG Pin</t>
        </is>
      </c>
      <c r="C327" t="n">
        <v>20</v>
      </c>
      <c r="D327" s="62" t="n">
        <v>3.875</v>
      </c>
      <c r="E327" t="n">
        <v>495</v>
      </c>
      <c r="T327" t="n">
        <v>7</v>
      </c>
    </row>
    <row r="328">
      <c r="A328" t="n">
        <v>5075143</v>
      </c>
      <c r="B328" t="inlineStr">
        <is>
          <t>Super Junk Mill 
2-3/8" REG Pin</t>
        </is>
      </c>
      <c r="C328" t="n">
        <v>22</v>
      </c>
      <c r="D328" s="62" t="n">
        <v>3.875</v>
      </c>
      <c r="E328" t="n">
        <v>450</v>
      </c>
      <c r="T328" t="n">
        <v>8</v>
      </c>
    </row>
    <row r="329">
      <c r="A329" t="n">
        <v>5075144</v>
      </c>
      <c r="B329" t="inlineStr">
        <is>
          <t>Super Junk Mill 
2-3/8" REG Pin</t>
        </is>
      </c>
      <c r="C329" t="n">
        <v>12</v>
      </c>
      <c r="D329" s="62" t="n">
        <v>4.375</v>
      </c>
      <c r="E329" t="n">
        <v>255</v>
      </c>
      <c r="T329" t="n">
        <v>10</v>
      </c>
    </row>
    <row r="330">
      <c r="A330" t="n">
        <v>5075145</v>
      </c>
      <c r="B330" t="inlineStr">
        <is>
          <t>Super Junk Mill 
3-1/2" REG Pin</t>
        </is>
      </c>
      <c r="C330" t="n">
        <v>58</v>
      </c>
      <c r="D330" s="62" t="n">
        <v>5.5</v>
      </c>
      <c r="E330" t="n">
        <v>650</v>
      </c>
      <c r="T330" t="n">
        <v>24</v>
      </c>
    </row>
    <row r="331">
      <c r="A331" t="n">
        <v>5075146</v>
      </c>
      <c r="B331" t="inlineStr">
        <is>
          <t>Super Junk Mill 
3-1/2" REG Pin</t>
        </is>
      </c>
      <c r="C331" t="n">
        <v>60</v>
      </c>
      <c r="D331" s="62" t="n">
        <v>6.125</v>
      </c>
      <c r="E331" t="n">
        <v>640</v>
      </c>
      <c r="T331" t="n">
        <v>58</v>
      </c>
    </row>
    <row r="332">
      <c r="A332" t="n">
        <v>5075147</v>
      </c>
      <c r="B332" t="inlineStr">
        <is>
          <t>Super Junk Mill 9 1/2" OD
4-1/2" REG Pin</t>
        </is>
      </c>
      <c r="D332" s="62" t="n">
        <v>9.5</v>
      </c>
    </row>
    <row r="333">
      <c r="A333" t="n">
        <v>5075148</v>
      </c>
      <c r="B333" t="inlineStr">
        <is>
          <t>Super Junk Mill 
2-3/8" REG Pin</t>
        </is>
      </c>
      <c r="C333" t="n">
        <v>17</v>
      </c>
      <c r="D333" s="62" t="n">
        <v>4.5</v>
      </c>
      <c r="E333" t="n">
        <v>400</v>
      </c>
      <c r="T333" t="n">
        <v>11</v>
      </c>
    </row>
    <row r="334">
      <c r="A334" t="n">
        <v>5085149</v>
      </c>
      <c r="B334" t="inlineStr">
        <is>
          <t>Taper Mill 
2-3/8" REG Pin</t>
        </is>
      </c>
      <c r="C334" t="n">
        <v>0</v>
      </c>
      <c r="D334" s="62" t="n">
        <v>3.75</v>
      </c>
      <c r="E334" t="n">
        <v>0</v>
      </c>
      <c r="T334" t="n">
        <v>9</v>
      </c>
    </row>
    <row r="335">
      <c r="A335" t="n">
        <v>5085150</v>
      </c>
      <c r="B335" t="inlineStr">
        <is>
          <t>Taper Mill 
2-1/4" PRT Box</t>
        </is>
      </c>
      <c r="C335" t="n">
        <v>8</v>
      </c>
      <c r="D335" s="62" t="n">
        <v>2.875</v>
      </c>
      <c r="E335" t="n">
        <v>8</v>
      </c>
      <c r="T335" t="n">
        <v>6</v>
      </c>
    </row>
    <row r="336">
      <c r="A336" t="n">
        <v>5085151</v>
      </c>
      <c r="B336" t="inlineStr">
        <is>
          <t>Taper Mill 
2-3/8" REG Pin</t>
        </is>
      </c>
      <c r="C336" t="n">
        <v>0</v>
      </c>
      <c r="D336" s="62" t="n">
        <v>3.4375</v>
      </c>
      <c r="E336" t="n">
        <v>0</v>
      </c>
      <c r="T336" t="n">
        <v>8</v>
      </c>
    </row>
    <row r="337">
      <c r="A337" t="n">
        <v>5085152</v>
      </c>
      <c r="B337" t="inlineStr">
        <is>
          <t>Taper Mill 
2-3/8" REG Pin</t>
        </is>
      </c>
      <c r="C337" t="n">
        <v>34</v>
      </c>
      <c r="D337" s="62" t="n">
        <v>3.875</v>
      </c>
      <c r="E337" t="n">
        <v>34</v>
      </c>
      <c r="T337" t="n">
        <v>10</v>
      </c>
    </row>
    <row r="338">
      <c r="A338" t="n">
        <v>5085153</v>
      </c>
      <c r="B338" t="inlineStr">
        <is>
          <t>Taper Mill 
2-7/8" REG Pin</t>
        </is>
      </c>
      <c r="C338" t="n">
        <v>54</v>
      </c>
      <c r="D338" s="62" t="n">
        <v>4.6875</v>
      </c>
      <c r="E338" t="n">
        <v>54</v>
      </c>
      <c r="T338" t="n">
        <v>15</v>
      </c>
    </row>
    <row r="339">
      <c r="A339" t="n">
        <v>5085154</v>
      </c>
      <c r="B339" t="inlineStr">
        <is>
          <t>Taper Mill 
2-3/8" REG Pin</t>
        </is>
      </c>
      <c r="C339" t="n">
        <v>40</v>
      </c>
      <c r="D339" s="62" t="n">
        <v>4.625</v>
      </c>
      <c r="E339" t="n">
        <v>40</v>
      </c>
      <c r="T339" t="n">
        <v>18</v>
      </c>
    </row>
    <row r="340">
      <c r="A340" t="n">
        <v>5085155</v>
      </c>
      <c r="B340" t="inlineStr">
        <is>
          <t>Taper Mill 
3-1/2" REG Pin</t>
        </is>
      </c>
      <c r="C340" t="n">
        <v>38</v>
      </c>
      <c r="D340" s="62" t="n">
        <v>6.125</v>
      </c>
      <c r="E340" t="n">
        <v>38</v>
      </c>
      <c r="T340" t="n">
        <v>24</v>
      </c>
    </row>
    <row r="341">
      <c r="A341" t="n">
        <v>5085156</v>
      </c>
      <c r="B341" t="inlineStr">
        <is>
          <t>Taper Mill 
4-1/2" REG Pin</t>
        </is>
      </c>
      <c r="C341" t="n">
        <v>58</v>
      </c>
      <c r="D341" s="62" t="n">
        <v>7.375</v>
      </c>
      <c r="E341" t="n">
        <v>58</v>
      </c>
      <c r="T341" t="n">
        <v>37</v>
      </c>
    </row>
    <row r="342">
      <c r="A342" t="n">
        <v>5055157</v>
      </c>
      <c r="B342" t="inlineStr">
        <is>
          <t>Pilot Mill
3-1/2" REG Box x Pilot</t>
        </is>
      </c>
      <c r="C342" t="n">
        <v>78</v>
      </c>
      <c r="D342" s="62" t="n">
        <v>8.375</v>
      </c>
      <c r="E342" t="n">
        <v>950</v>
      </c>
      <c r="T342" t="n">
        <v>14</v>
      </c>
    </row>
    <row r="343">
      <c r="A343" t="n">
        <v>5045158</v>
      </c>
      <c r="B343" t="inlineStr">
        <is>
          <t>Viper Pilot Mill
4-1/2" REG Pin x Pilot</t>
        </is>
      </c>
      <c r="C343" t="n">
        <v>96</v>
      </c>
      <c r="D343" s="62" t="n">
        <v>8.5625</v>
      </c>
      <c r="E343" t="n">
        <v>925</v>
      </c>
      <c r="T343" t="n">
        <v>31</v>
      </c>
    </row>
    <row r="344">
      <c r="A344" t="n">
        <v>5115159</v>
      </c>
      <c r="B344" t="inlineStr">
        <is>
          <t>WO Shoe
8-5/8" FJWP Box</t>
        </is>
      </c>
      <c r="C344" t="n">
        <v>56</v>
      </c>
      <c r="D344" s="62" t="n">
        <v>8.75</v>
      </c>
      <c r="E344" t="n">
        <v>1010</v>
      </c>
      <c r="T344" t="n">
        <v>198</v>
      </c>
    </row>
    <row r="345">
      <c r="A345" t="n">
        <v>5115160</v>
      </c>
      <c r="B345" t="inlineStr">
        <is>
          <t>WO Shoe
8-5/8" FJWP Box</t>
        </is>
      </c>
      <c r="C345" t="n">
        <v>56</v>
      </c>
      <c r="D345" s="62" t="n">
        <v>8.75</v>
      </c>
      <c r="E345" t="n">
        <v>1010</v>
      </c>
      <c r="T345" t="n">
        <v>199</v>
      </c>
    </row>
    <row r="346">
      <c r="A346" t="n">
        <v>5045161</v>
      </c>
      <c r="B346" t="inlineStr">
        <is>
          <t>Viper Pilot Mill
4-1/2" IF Box x 3-1/2" IF Box</t>
        </is>
      </c>
      <c r="C346" t="n">
        <v>88</v>
      </c>
      <c r="D346" s="62" t="n">
        <v>7.375</v>
      </c>
      <c r="E346" t="n">
        <v>990</v>
      </c>
      <c r="T346" t="n">
        <v>19</v>
      </c>
    </row>
    <row r="347">
      <c r="A347" t="n">
        <v>5045162</v>
      </c>
      <c r="B347" t="inlineStr">
        <is>
          <t>Viper Pilot Mill
4-1/2" REG Pin x Pilot</t>
        </is>
      </c>
      <c r="C347" t="n">
        <v>168</v>
      </c>
      <c r="D347" s="62" t="n">
        <v>7.75</v>
      </c>
      <c r="E347" t="n">
        <v>1380</v>
      </c>
      <c r="T347" t="n">
        <v>20</v>
      </c>
    </row>
    <row r="348">
      <c r="A348" t="n">
        <v>7045163</v>
      </c>
      <c r="D348" s="62" t="n"/>
    </row>
    <row r="349">
      <c r="A349" t="n">
        <v>7045164</v>
      </c>
      <c r="D349" s="62" t="n"/>
    </row>
    <row r="350">
      <c r="A350" t="n">
        <v>7045165</v>
      </c>
      <c r="B350" t="inlineStr">
        <is>
          <t>9-5/8" FS Overshot - CA 264
4-1/2" IF Box</t>
        </is>
      </c>
      <c r="C350" t="n">
        <v>132</v>
      </c>
      <c r="D350" s="62" t="inlineStr">
        <is>
          <t>9-5/8" FS</t>
        </is>
      </c>
      <c r="E350" t="n">
        <v>1230</v>
      </c>
      <c r="T350" t="n">
        <v>82</v>
      </c>
    </row>
    <row r="351">
      <c r="A351" t="n">
        <v>7045166</v>
      </c>
      <c r="B351" t="inlineStr">
        <is>
          <t>9-5/8" FS Overshot - CA 264
6-5/8" REG Box</t>
        </is>
      </c>
      <c r="C351" t="n">
        <v>154</v>
      </c>
      <c r="D351" s="62" t="inlineStr">
        <is>
          <t>9-5/8" FS</t>
        </is>
      </c>
      <c r="E351" t="n">
        <v>1200</v>
      </c>
      <c r="T351" t="n">
        <v>83</v>
      </c>
    </row>
    <row r="352">
      <c r="A352" t="n">
        <v>7045167</v>
      </c>
      <c r="D352" s="62" t="n"/>
    </row>
    <row r="353">
      <c r="A353" t="n">
        <v>7045168</v>
      </c>
      <c r="D353" s="62" t="n"/>
    </row>
    <row r="354">
      <c r="A354" t="n">
        <v>7055169</v>
      </c>
      <c r="B354" t="inlineStr">
        <is>
          <t>Extension 5-3/4" FS Lg 790mm CA 8975
5-3/4" FS Sellers Pin x Box</t>
        </is>
      </c>
      <c r="C354" t="n">
        <v>29.01320961459374</v>
      </c>
      <c r="D354" s="62" t="inlineStr">
        <is>
          <t>5-3/4" FS</t>
        </is>
      </c>
      <c r="E354" t="n">
        <v>790</v>
      </c>
      <c r="T354" t="n">
        <v>24</v>
      </c>
    </row>
    <row r="355">
      <c r="A355" t="n">
        <v>7055170</v>
      </c>
      <c r="B355" t="inlineStr">
        <is>
          <t>Extension 9-5/8" FS Lg 815mm CA 264
9-5/8" FS Sellers Pin x Box</t>
        </is>
      </c>
      <c r="C355" t="n">
        <v>85.71935960932497</v>
      </c>
      <c r="D355" s="62" t="inlineStr">
        <is>
          <t>9-5/8" FS</t>
        </is>
      </c>
      <c r="E355" t="n">
        <v>815</v>
      </c>
      <c r="T355" t="n">
        <v>60</v>
      </c>
    </row>
    <row r="356">
      <c r="A356" t="n">
        <v>7055171</v>
      </c>
      <c r="B356" t="inlineStr">
        <is>
          <t>Extension 9-5/8" FS Lg 815mm CA 264
9-5/8" FS Sellers Pin x Box</t>
        </is>
      </c>
      <c r="C356" t="n">
        <v>79.12943231541566</v>
      </c>
      <c r="D356" s="62" t="inlineStr">
        <is>
          <t>9-5/8" FS</t>
        </is>
      </c>
      <c r="E356" t="n">
        <v>815</v>
      </c>
      <c r="T356" t="n">
        <v>61</v>
      </c>
    </row>
    <row r="357">
      <c r="A357" t="n">
        <v>7055172</v>
      </c>
      <c r="B357" t="inlineStr">
        <is>
          <t>Extension 11-3/4" FS Lg 620mm CA C-12822/C-5329
11-3/4" FS Sellers Pin x Box</t>
        </is>
      </c>
      <c r="C357" t="n">
        <v>0</v>
      </c>
      <c r="D357" s="62" t="inlineStr">
        <is>
          <t>11-3/4" FS</t>
        </is>
      </c>
      <c r="E357" t="n">
        <v>620</v>
      </c>
      <c r="T357" t="n">
        <v>73</v>
      </c>
    </row>
    <row r="358">
      <c r="A358" t="n">
        <v>2055173</v>
      </c>
      <c r="B358" t="inlineStr">
        <is>
          <t>Section Mill 3600
2-3/8" REG Pin up</t>
        </is>
      </c>
      <c r="C358" t="n">
        <v>84</v>
      </c>
      <c r="D358" s="62" t="n">
        <v>3600</v>
      </c>
      <c r="E358" t="n">
        <v>1400</v>
      </c>
      <c r="T358" t="n">
        <v>6</v>
      </c>
    </row>
    <row r="359">
      <c r="A359" t="n">
        <v>5085174</v>
      </c>
      <c r="B359" t="inlineStr">
        <is>
          <t>Taper Mill 
HT 26 Pin</t>
        </is>
      </c>
      <c r="C359" t="n">
        <v>30</v>
      </c>
      <c r="D359" s="62" t="n">
        <v>4.375</v>
      </c>
      <c r="E359" t="n">
        <v>30</v>
      </c>
      <c r="T359" t="n">
        <v>13</v>
      </c>
    </row>
    <row r="360">
      <c r="A360" t="n">
        <v>5085175</v>
      </c>
      <c r="B360" t="inlineStr">
        <is>
          <t>Taper Mill 
HT 26 Box</t>
        </is>
      </c>
      <c r="C360" t="n">
        <v>14</v>
      </c>
      <c r="D360" s="62" t="n">
        <v>2.9375</v>
      </c>
      <c r="E360" t="n">
        <v>14</v>
      </c>
      <c r="T360" t="n">
        <v>7</v>
      </c>
    </row>
    <row r="361">
      <c r="A361" t="n">
        <v>8135176</v>
      </c>
      <c r="B361" t="inlineStr">
        <is>
          <t>XO
2-3/8" REG Pin x HT 26 Box</t>
        </is>
      </c>
      <c r="C361" t="n">
        <v>11.08248438740625</v>
      </c>
      <c r="D361" s="62" t="n">
        <v>3.375</v>
      </c>
      <c r="E361" t="n">
        <v>270</v>
      </c>
      <c r="T361" t="n">
        <v>39</v>
      </c>
    </row>
    <row r="362">
      <c r="A362" t="n">
        <v>2035177</v>
      </c>
      <c r="B362" t="inlineStr">
        <is>
          <t>Pipe Cutter 8200s
4-1/2" IF Box up x 4-1/2" REG Box down</t>
        </is>
      </c>
      <c r="C362" t="n">
        <v>412</v>
      </c>
      <c r="D362" s="62" t="n">
        <v>8200</v>
      </c>
      <c r="E362" t="n">
        <v>2200</v>
      </c>
      <c r="T362" t="n">
        <v>11</v>
      </c>
    </row>
    <row r="363">
      <c r="A363" t="n">
        <v>8025178</v>
      </c>
      <c r="D363" s="62" t="n"/>
    </row>
    <row r="364">
      <c r="A364" t="n">
        <v>5035179</v>
      </c>
      <c r="B364" t="inlineStr">
        <is>
          <t>Junk Mill 
7-5/8" REG Box</t>
        </is>
      </c>
      <c r="C364" t="n">
        <v>372</v>
      </c>
      <c r="D364" s="62" t="n">
        <v>17.375</v>
      </c>
      <c r="E364" t="n">
        <v>0</v>
      </c>
      <c r="T364" t="n">
        <v>93</v>
      </c>
    </row>
    <row r="365">
      <c r="A365" t="n">
        <v>5125180</v>
      </c>
      <c r="B365" t="inlineStr">
        <is>
          <t>WO Top Sub
4-1/2" IF Box x 8-5/8" FJWP Pin x 4-1/2" REG Box in</t>
        </is>
      </c>
      <c r="C365" t="n">
        <v>146</v>
      </c>
      <c r="D365" s="62" t="n">
        <v>8.625</v>
      </c>
      <c r="E365" t="n">
        <v>730</v>
      </c>
      <c r="T365" t="n">
        <v>43</v>
      </c>
    </row>
    <row r="366">
      <c r="A366" t="n">
        <v>8135181</v>
      </c>
      <c r="B366" t="inlineStr">
        <is>
          <t>XO
3-1/2" IF Pin x 2-7/8" IF Box</t>
        </is>
      </c>
      <c r="C366" t="n">
        <v>26.39797784909999</v>
      </c>
      <c r="D366" s="62" t="n">
        <v>4.75</v>
      </c>
      <c r="E366" t="n">
        <v>360</v>
      </c>
      <c r="T366" t="n">
        <v>105</v>
      </c>
    </row>
    <row r="367">
      <c r="A367" t="n">
        <v>5115182</v>
      </c>
      <c r="B367" t="inlineStr">
        <is>
          <t>WO Shoe
8-5/8" FJWP Box</t>
        </is>
      </c>
      <c r="C367" t="n">
        <v>54</v>
      </c>
      <c r="D367" s="62" t="n">
        <v>9.25</v>
      </c>
      <c r="E367" t="n">
        <v>940</v>
      </c>
      <c r="T367" t="n">
        <v>200</v>
      </c>
    </row>
    <row r="368">
      <c r="A368" t="n">
        <v>5115183</v>
      </c>
      <c r="B368" t="inlineStr">
        <is>
          <t>WO Shoe
8-5/8" FJWP Box</t>
        </is>
      </c>
      <c r="C368" t="n">
        <v>0</v>
      </c>
      <c r="D368" s="62" t="n">
        <v>9.25</v>
      </c>
      <c r="E368" t="n">
        <v>560</v>
      </c>
      <c r="T368" t="n">
        <v>202</v>
      </c>
    </row>
    <row r="369">
      <c r="A369" t="n">
        <v>1035184</v>
      </c>
      <c r="B369" t="inlineStr">
        <is>
          <t>Casing Scraper 4-3/8" OD Body
3-1/2" REG Pin x 3-1/2" REG Box</t>
        </is>
      </c>
      <c r="C369" t="n">
        <v>92</v>
      </c>
      <c r="D369" s="62" t="n">
        <v>4.375</v>
      </c>
      <c r="E369" t="n">
        <v>1180</v>
      </c>
      <c r="T369" t="n">
        <v>11</v>
      </c>
    </row>
    <row r="370">
      <c r="A370" t="n">
        <v>1035185</v>
      </c>
      <c r="B370" t="inlineStr">
        <is>
          <t>Casing Scraper 7-1/4"de garniture OD Body
4-1/2" IF Box x 4-1/2" IF Pin down</t>
        </is>
      </c>
      <c r="C370" t="n">
        <v>166</v>
      </c>
      <c r="D370" s="62" t="n">
        <v>7.25</v>
      </c>
      <c r="E370" t="n">
        <v>1120</v>
      </c>
      <c r="T370" t="n">
        <v>16</v>
      </c>
    </row>
    <row r="371">
      <c r="A371" t="n">
        <v>3015187</v>
      </c>
      <c r="B371" t="inlineStr">
        <is>
          <t>RTU 8200
4-1/2" REG Pin up</t>
        </is>
      </c>
      <c r="C371" t="n">
        <v>410</v>
      </c>
      <c r="D371" s="62" t="n">
        <v>8200</v>
      </c>
      <c r="E371" t="n">
        <v>2370</v>
      </c>
      <c r="T371" t="n">
        <v>9</v>
      </c>
    </row>
    <row r="372">
      <c r="A372" t="n">
        <v>7045188</v>
      </c>
      <c r="D372" s="62" t="n"/>
    </row>
    <row r="373">
      <c r="A373" t="n">
        <v>7125189</v>
      </c>
      <c r="D373" s="62" t="n"/>
    </row>
    <row r="374">
      <c r="A374" t="n">
        <v>5125190</v>
      </c>
      <c r="D374" s="62" t="n"/>
    </row>
    <row r="375">
      <c r="A375" t="n">
        <v>1030295</v>
      </c>
      <c r="B375" t="inlineStr">
        <is>
          <t>Casing Scraper 9-1/4" OD Body
6-5/8" REG Pin x 6-5/8" REG Box</t>
        </is>
      </c>
      <c r="C375" t="n">
        <v>292</v>
      </c>
      <c r="D375" s="62" t="n">
        <v>9.25</v>
      </c>
      <c r="E375" t="n">
        <v>1130</v>
      </c>
      <c r="T375" t="n">
        <v>19</v>
      </c>
    </row>
    <row r="376">
      <c r="A376" t="n">
        <v>1035192</v>
      </c>
      <c r="B376" t="inlineStr">
        <is>
          <t xml:space="preserve">Casing Scraper 3-5/8" OD Body
2-3/8" REG Pin  x 2-3/8" REG Box </t>
        </is>
      </c>
      <c r="C376" t="n">
        <v>26</v>
      </c>
      <c r="D376" s="62" t="n">
        <v>3.625</v>
      </c>
      <c r="E376" t="n">
        <v>675</v>
      </c>
      <c r="T376" t="n">
        <v>7</v>
      </c>
    </row>
    <row r="377">
      <c r="A377" t="n">
        <v>1035194</v>
      </c>
      <c r="B377" t="inlineStr">
        <is>
          <t>Casing Scraper 4-1/4" OD Body
2-7/8" REG Pin x 2-7/8" REG Box</t>
        </is>
      </c>
      <c r="C377" t="n">
        <v>104</v>
      </c>
      <c r="D377" s="62" t="n">
        <v>4.25</v>
      </c>
      <c r="E377" t="n">
        <v>1715</v>
      </c>
      <c r="T377" t="n">
        <v>9</v>
      </c>
    </row>
    <row r="378">
      <c r="A378" t="n">
        <v>1035195</v>
      </c>
      <c r="B378" t="inlineStr">
        <is>
          <t>Casing Scraper  OD Body
3-1/2" REG Pin x 3-1/2" REG Box</t>
        </is>
      </c>
      <c r="C378" t="n">
        <v>294</v>
      </c>
      <c r="D378" s="62" t="n">
        <v>0</v>
      </c>
      <c r="E378" t="n">
        <v>1395</v>
      </c>
      <c r="T378" t="n">
        <v>10</v>
      </c>
    </row>
    <row r="379">
      <c r="A379" t="inlineStr">
        <is>
          <t>voir stab</t>
        </is>
      </c>
      <c r="D379" s="62" t="n"/>
    </row>
    <row r="380">
      <c r="A380" t="inlineStr">
        <is>
          <t>voir stab</t>
        </is>
      </c>
      <c r="D380" s="62" t="n"/>
    </row>
    <row r="381">
      <c r="A381" t="inlineStr">
        <is>
          <t>voir stab</t>
        </is>
      </c>
      <c r="D381" s="62" t="n"/>
    </row>
    <row r="382">
      <c r="A382" t="n">
        <v>8085199</v>
      </c>
      <c r="B382" t="inlineStr">
        <is>
          <t>Short DC 4-1/16" Lg 1310mm
3-1/2" REG Pin x Box</t>
        </is>
      </c>
      <c r="C382" t="n">
        <v>70.66989515186252</v>
      </c>
      <c r="D382" s="62" t="n">
        <v>4.0625</v>
      </c>
      <c r="E382" t="n">
        <v>1310</v>
      </c>
      <c r="T382" t="n">
        <v>12</v>
      </c>
    </row>
    <row r="383">
      <c r="A383" t="inlineStr">
        <is>
          <t>voir stab</t>
        </is>
      </c>
      <c r="D383" s="62" t="n"/>
    </row>
    <row r="384">
      <c r="A384" t="n">
        <v>7125430</v>
      </c>
      <c r="B384" t="inlineStr">
        <is>
          <t>Releasing Spear 5-11/16" OD Mandrel CA 9266
3-1/2" IF Box</t>
        </is>
      </c>
      <c r="C384" t="n">
        <v>114</v>
      </c>
      <c r="D384" s="62" t="n">
        <v>5.6875</v>
      </c>
      <c r="E384" t="inlineStr">
        <is>
          <t>CA 9266</t>
        </is>
      </c>
      <c r="T384" t="n">
        <v>25</v>
      </c>
    </row>
    <row r="385">
      <c r="A385" t="n">
        <v>5115202</v>
      </c>
      <c r="B385" t="inlineStr">
        <is>
          <t>WO Shoe
5-1/2" FJWP Box</t>
        </is>
      </c>
      <c r="C385" t="n">
        <v>25</v>
      </c>
      <c r="D385" s="62" t="n">
        <v>6.0625</v>
      </c>
      <c r="E385" t="n">
        <v>885</v>
      </c>
      <c r="T385" t="n">
        <v>107</v>
      </c>
    </row>
    <row r="386">
      <c r="A386" t="n">
        <v>8135203</v>
      </c>
      <c r="B386" t="inlineStr">
        <is>
          <t>XO
2-3/8" REG Pin x 3-1/2" REG Pin</t>
        </is>
      </c>
      <c r="C386" t="n">
        <v>36</v>
      </c>
      <c r="D386" s="62" t="n">
        <v>4.75</v>
      </c>
      <c r="E386" t="n">
        <v>530</v>
      </c>
      <c r="T386" t="n">
        <v>64</v>
      </c>
    </row>
    <row r="387">
      <c r="A387" t="n">
        <v>5075204</v>
      </c>
      <c r="B387" t="inlineStr">
        <is>
          <t>Super Junk Mill 
3-1/2" REG Pin</t>
        </is>
      </c>
      <c r="C387" t="n">
        <v>80</v>
      </c>
      <c r="D387" s="62" t="n">
        <v>6.125</v>
      </c>
      <c r="E387" t="n">
        <v>780</v>
      </c>
      <c r="T387" t="n">
        <v>54</v>
      </c>
    </row>
    <row r="388">
      <c r="A388" t="n">
        <v>1095205</v>
      </c>
      <c r="B388" t="inlineStr">
        <is>
          <t>Junk Sub 7-5/8" OD Cup 
4-1/2" REG Pin x Box</t>
        </is>
      </c>
      <c r="C388" t="n">
        <v>130</v>
      </c>
      <c r="D388" s="62" t="n">
        <v>7.625</v>
      </c>
      <c r="E388" t="n">
        <v>1080</v>
      </c>
      <c r="T388" t="n">
        <v>29</v>
      </c>
    </row>
    <row r="389">
      <c r="A389" t="n">
        <v>7045206</v>
      </c>
      <c r="B389" t="inlineStr">
        <is>
          <t>11-1/4" FS Overshot - CA C12822
6-5/8" REG Box</t>
        </is>
      </c>
      <c r="C389" t="n">
        <v>202</v>
      </c>
      <c r="D389" s="62" t="inlineStr">
        <is>
          <t>11-1/4" FS</t>
        </is>
      </c>
      <c r="E389" t="n">
        <v>1320</v>
      </c>
      <c r="T389" t="n">
        <v>87</v>
      </c>
    </row>
    <row r="390">
      <c r="A390" t="n">
        <v>1105207</v>
      </c>
      <c r="B390" t="inlineStr">
        <is>
          <t>Reverse Circulating Junk Basket 7-1/8" OD Barrel 
4" IF Box</t>
        </is>
      </c>
      <c r="C390" t="n">
        <v>79</v>
      </c>
      <c r="D390" s="62" t="n">
        <v>6.5</v>
      </c>
      <c r="E390" t="n">
        <v>1000</v>
      </c>
      <c r="T390" t="n">
        <v>8</v>
      </c>
    </row>
    <row r="391">
      <c r="A391" t="n">
        <v>1085208</v>
      </c>
      <c r="B391" t="inlineStr">
        <is>
          <t>Reverse Circulating Junk Basket 11-1/8" OD Barrel 
6-5/8" REG Box</t>
        </is>
      </c>
      <c r="C391" t="n">
        <v>347</v>
      </c>
      <c r="D391" s="62" t="n">
        <v>11.125</v>
      </c>
      <c r="E391" t="n">
        <v>1640</v>
      </c>
      <c r="T391" t="n">
        <v>12</v>
      </c>
    </row>
    <row r="392">
      <c r="A392" t="n">
        <v>1085209</v>
      </c>
      <c r="B392" t="inlineStr">
        <is>
          <t>Reverse Circulating Junk Basket 7-7/8" OD Barrel 
4-1/2" IF Box</t>
        </is>
      </c>
      <c r="C392" t="n">
        <v>146</v>
      </c>
      <c r="D392" s="62" t="n">
        <v>7.875</v>
      </c>
      <c r="E392" t="n">
        <v>1230</v>
      </c>
      <c r="T392" t="n">
        <v>8</v>
      </c>
    </row>
    <row r="393">
      <c r="A393" t="n">
        <v>7095210</v>
      </c>
      <c r="D393" s="62" t="n"/>
    </row>
    <row r="394">
      <c r="A394" t="n">
        <v>7095211</v>
      </c>
      <c r="D394" s="62" t="n"/>
    </row>
    <row r="395">
      <c r="A395" t="n">
        <v>1085212</v>
      </c>
      <c r="B395" t="inlineStr">
        <is>
          <t>Reverse Circulating Junk Basket 5-1/8" OD Barrel 
3-1/2" IF Box</t>
        </is>
      </c>
      <c r="C395" t="n">
        <v>94</v>
      </c>
      <c r="D395" s="62" t="n">
        <v>5.125</v>
      </c>
      <c r="E395" t="n">
        <v>1320</v>
      </c>
      <c r="T395" t="n">
        <v>5</v>
      </c>
    </row>
    <row r="396">
      <c r="A396" t="n">
        <v>5115215</v>
      </c>
      <c r="B396" t="inlineStr">
        <is>
          <t>WO Shoe
4" FJWP Box</t>
        </is>
      </c>
      <c r="C396" t="n">
        <v>12</v>
      </c>
      <c r="D396" s="62" t="n">
        <v>4.25</v>
      </c>
      <c r="E396" t="n">
        <v>655</v>
      </c>
      <c r="T396" t="n">
        <v>38</v>
      </c>
    </row>
    <row r="397">
      <c r="A397" t="n">
        <v>5115216</v>
      </c>
      <c r="B397" t="inlineStr">
        <is>
          <t>WO Shoe
4" FJWP Box</t>
        </is>
      </c>
      <c r="C397" t="n">
        <v>12</v>
      </c>
      <c r="D397" s="62" t="n">
        <v>4.125</v>
      </c>
      <c r="E397" t="n">
        <v>600</v>
      </c>
      <c r="T397" t="n">
        <v>40</v>
      </c>
    </row>
    <row r="398">
      <c r="A398" t="n">
        <v>1095217</v>
      </c>
      <c r="D398" s="62" t="n"/>
    </row>
    <row r="399">
      <c r="A399" t="n">
        <v>1095218</v>
      </c>
      <c r="D399" s="62" t="n"/>
    </row>
    <row r="400">
      <c r="A400" t="n">
        <v>1095219</v>
      </c>
      <c r="B400" t="inlineStr">
        <is>
          <t>Junk Sub 3-1/2" OD Cup 
2-3/8" REG Pin x Box</t>
        </is>
      </c>
      <c r="C400" t="n">
        <v>0</v>
      </c>
      <c r="D400" s="62" t="n">
        <v>3.5</v>
      </c>
      <c r="E400" t="n">
        <v>665</v>
      </c>
      <c r="T400" t="n">
        <v>5</v>
      </c>
    </row>
    <row r="401">
      <c r="A401" t="n">
        <v>1095220</v>
      </c>
      <c r="B401" t="inlineStr">
        <is>
          <t>Junk Sub 3-1/2" OD Cup 
2-3/8" REG Pin x Box</t>
        </is>
      </c>
      <c r="C401" t="n">
        <v>0</v>
      </c>
      <c r="D401" s="62" t="n">
        <v>3.5</v>
      </c>
      <c r="E401" t="n">
        <v>695</v>
      </c>
      <c r="T401" t="n">
        <v>6</v>
      </c>
    </row>
    <row r="402">
      <c r="A402" t="n">
        <v>5075221</v>
      </c>
      <c r="B402" t="inlineStr">
        <is>
          <t>Super Junk Mill 
3-1/2" REG Pin</t>
        </is>
      </c>
      <c r="C402" t="n">
        <v>60</v>
      </c>
      <c r="D402" s="62" t="n">
        <v>4.625</v>
      </c>
      <c r="E402" t="n">
        <v>870</v>
      </c>
      <c r="T402" t="n">
        <v>14</v>
      </c>
    </row>
    <row r="403">
      <c r="A403" t="n">
        <v>5075222</v>
      </c>
      <c r="B403" t="inlineStr">
        <is>
          <t>Super Junk Mill 
3-1/2" REG Pin</t>
        </is>
      </c>
      <c r="C403" t="n">
        <v>51</v>
      </c>
      <c r="D403" s="62" t="n">
        <v>6.125</v>
      </c>
      <c r="E403" t="n">
        <v>520</v>
      </c>
      <c r="T403" t="n">
        <v>57</v>
      </c>
    </row>
    <row r="404">
      <c r="A404" t="n">
        <v>7125223</v>
      </c>
      <c r="D404" s="62" t="n"/>
    </row>
    <row r="405">
      <c r="A405" t="n">
        <v>7125224</v>
      </c>
      <c r="D405" s="62" t="n"/>
      <c r="V405" t="inlineStr">
        <is>
          <t>RDC ou Cameroun 2017 ou 2018</t>
        </is>
      </c>
    </row>
    <row r="406">
      <c r="A406" t="n">
        <v>7125225</v>
      </c>
      <c r="B406" t="inlineStr">
        <is>
          <t>Releasing Spear 2-5/16" OD Mandrel CA 1227
2-3/8" IF Box</t>
        </is>
      </c>
      <c r="C406" t="n">
        <v>10</v>
      </c>
      <c r="D406" s="62" t="n">
        <v>2.3125</v>
      </c>
      <c r="E406" t="inlineStr">
        <is>
          <t>CA 1227</t>
        </is>
      </c>
      <c r="T406" t="n">
        <v>10</v>
      </c>
    </row>
    <row r="407">
      <c r="A407" t="n">
        <v>8025227</v>
      </c>
      <c r="D407" s="62" t="n"/>
      <c r="V407" t="inlineStr">
        <is>
          <t>RDC ou Cameroun 2017 ou 2018</t>
        </is>
      </c>
    </row>
    <row r="408">
      <c r="A408" t="n">
        <v>5075228</v>
      </c>
      <c r="B408" t="inlineStr">
        <is>
          <t>Super Junk Mill 
3-1/2" REG Pin</t>
        </is>
      </c>
      <c r="C408" t="n">
        <v>82</v>
      </c>
      <c r="D408" s="62" t="n">
        <v>5.875</v>
      </c>
      <c r="E408" t="n">
        <v>890</v>
      </c>
      <c r="T408" t="n">
        <v>28</v>
      </c>
    </row>
    <row r="409">
      <c r="A409" t="n">
        <v>5075229</v>
      </c>
      <c r="B409" t="inlineStr">
        <is>
          <t>Super Junk Mill 
3-1/2" REG Pin</t>
        </is>
      </c>
      <c r="C409" t="n">
        <v>64</v>
      </c>
      <c r="D409" s="62" t="n">
        <v>5.875</v>
      </c>
      <c r="E409" t="n">
        <v>700</v>
      </c>
      <c r="T409" t="n">
        <v>29</v>
      </c>
    </row>
    <row r="410">
      <c r="A410" t="n">
        <v>5075230</v>
      </c>
      <c r="B410" t="inlineStr">
        <is>
          <t>Super Junk Mill 
3-1/2" REG Pin</t>
        </is>
      </c>
      <c r="C410" t="n">
        <v>56</v>
      </c>
      <c r="D410" s="62" t="n">
        <v>5.875</v>
      </c>
      <c r="E410" t="n">
        <v>640</v>
      </c>
      <c r="T410" t="n">
        <v>51</v>
      </c>
    </row>
    <row r="411">
      <c r="A411" t="n">
        <v>5075231</v>
      </c>
      <c r="B411" t="inlineStr">
        <is>
          <t>Super Junk Mill 
3-1/2" IF Pin</t>
        </is>
      </c>
      <c r="C411" t="n">
        <v>55</v>
      </c>
      <c r="D411" s="62" t="n">
        <v>5.625</v>
      </c>
      <c r="E411" t="n">
        <v>600</v>
      </c>
      <c r="T411" t="n">
        <v>25</v>
      </c>
    </row>
    <row r="412">
      <c r="A412" t="n">
        <v>5115232</v>
      </c>
      <c r="D412" s="62" t="n"/>
    </row>
    <row r="413">
      <c r="A413" t="n">
        <v>5115233</v>
      </c>
      <c r="B413" t="inlineStr">
        <is>
          <t>WO Shoe
5-1/2" FJWP Box</t>
        </is>
      </c>
      <c r="C413" t="n">
        <v>14</v>
      </c>
      <c r="D413" s="62" t="n">
        <v>6</v>
      </c>
      <c r="E413" t="n">
        <v>500</v>
      </c>
      <c r="T413" t="n">
        <v>106</v>
      </c>
    </row>
    <row r="414">
      <c r="A414" t="n">
        <v>5115234</v>
      </c>
      <c r="D414" s="62" t="n"/>
    </row>
    <row r="415">
      <c r="A415" t="n">
        <v>5115235</v>
      </c>
      <c r="B415" t="inlineStr">
        <is>
          <t>WO Shoe
5-3/8" BRS Box</t>
        </is>
      </c>
      <c r="C415" t="n">
        <v>24</v>
      </c>
      <c r="D415" s="62" t="n">
        <v>5.625</v>
      </c>
      <c r="E415" t="n">
        <v>550</v>
      </c>
      <c r="T415" t="n">
        <v>91</v>
      </c>
    </row>
    <row r="416">
      <c r="A416" t="n">
        <v>5115236</v>
      </c>
      <c r="B416" t="inlineStr">
        <is>
          <t>WO Shoe
5-3/8" BRS Box</t>
        </is>
      </c>
      <c r="C416" t="n">
        <v>22</v>
      </c>
      <c r="D416" s="62" t="n">
        <v>5.625</v>
      </c>
      <c r="E416" t="n">
        <v>480</v>
      </c>
      <c r="T416" t="n">
        <v>90</v>
      </c>
    </row>
    <row r="417">
      <c r="A417" t="n">
        <v>5115237</v>
      </c>
      <c r="B417" t="inlineStr">
        <is>
          <t>WO Shoe
5-3/8" BRS Box</t>
        </is>
      </c>
      <c r="C417" t="n">
        <v>20</v>
      </c>
      <c r="D417" s="62" t="n">
        <v>5.625</v>
      </c>
      <c r="E417" t="n">
        <v>550</v>
      </c>
      <c r="T417" t="n">
        <v>92</v>
      </c>
    </row>
    <row r="418">
      <c r="A418" t="n">
        <v>5115238</v>
      </c>
      <c r="B418" t="inlineStr">
        <is>
          <t>WO Shoe
5-3/8" BRS Box</t>
        </is>
      </c>
      <c r="C418" t="n">
        <v>14</v>
      </c>
      <c r="D418" s="62" t="n">
        <v>5.8125</v>
      </c>
      <c r="E418" t="n">
        <v>320</v>
      </c>
      <c r="T418" t="n">
        <v>84</v>
      </c>
    </row>
    <row r="419">
      <c r="A419" t="n">
        <v>5115239</v>
      </c>
      <c r="B419" t="inlineStr">
        <is>
          <t>WO Shoe
5-3/8" BRS Box</t>
        </is>
      </c>
      <c r="C419" t="n">
        <v>16</v>
      </c>
      <c r="D419" s="62" t="n">
        <v>5.625</v>
      </c>
      <c r="E419" t="n">
        <v>400</v>
      </c>
      <c r="T419" t="n">
        <v>85</v>
      </c>
    </row>
    <row r="420">
      <c r="A420" t="n">
        <v>5115240</v>
      </c>
      <c r="B420" t="inlineStr">
        <is>
          <t>WO Shoe
5-3/8" BRS Box</t>
        </is>
      </c>
      <c r="C420" t="n">
        <v>20</v>
      </c>
      <c r="D420" s="62" t="n">
        <v>5.875</v>
      </c>
      <c r="E420" t="n">
        <v>500</v>
      </c>
      <c r="T420" t="n">
        <v>83</v>
      </c>
    </row>
    <row r="421">
      <c r="A421" t="n">
        <v>5115241</v>
      </c>
      <c r="B421" t="inlineStr">
        <is>
          <t>WO Shoe
5-3/8" BRS Box</t>
        </is>
      </c>
      <c r="C421" t="n">
        <v>18</v>
      </c>
      <c r="D421" s="62" t="n">
        <v>5.875</v>
      </c>
      <c r="E421" t="n">
        <v>410</v>
      </c>
      <c r="T421" t="n">
        <v>86</v>
      </c>
    </row>
    <row r="422">
      <c r="A422" t="n">
        <v>5115242</v>
      </c>
      <c r="B422" t="inlineStr">
        <is>
          <t>WO Shoe
5-3/8" BRS Box</t>
        </is>
      </c>
      <c r="C422" t="n">
        <v>24</v>
      </c>
      <c r="D422" s="62" t="n">
        <v>5.875</v>
      </c>
      <c r="E422" t="n">
        <v>560</v>
      </c>
      <c r="T422" t="n">
        <v>88</v>
      </c>
    </row>
    <row r="423">
      <c r="A423" t="n">
        <v>2035243</v>
      </c>
      <c r="B423" t="inlineStr">
        <is>
          <t>Pipe Cutter 11700s
6-5/8" REG Box up x nose down</t>
        </is>
      </c>
      <c r="C423" t="n">
        <v>820</v>
      </c>
      <c r="D423" s="62" t="n">
        <v>11700</v>
      </c>
      <c r="E423" t="n">
        <v>2460</v>
      </c>
      <c r="T423" t="n">
        <v>14</v>
      </c>
    </row>
    <row r="424">
      <c r="A424" t="n">
        <v>2055244</v>
      </c>
      <c r="B424" t="inlineStr">
        <is>
          <t>Section Mill 5500 
3-1/2" REG Pin up</t>
        </is>
      </c>
      <c r="C424" t="n">
        <v>158</v>
      </c>
      <c r="D424" s="62" t="n">
        <v>5500</v>
      </c>
      <c r="E424" t="n">
        <v>1705</v>
      </c>
      <c r="T424" t="n">
        <v>7</v>
      </c>
    </row>
    <row r="425">
      <c r="A425" t="n">
        <v>8015245</v>
      </c>
      <c r="B425" t="inlineStr">
        <is>
          <t>Bull Nose 5-1/2" OD 
3-1/2" REG Pin</t>
        </is>
      </c>
      <c r="C425" t="n">
        <v>34</v>
      </c>
      <c r="D425" s="62" t="n">
        <v>5.5</v>
      </c>
      <c r="E425" t="n">
        <v>360</v>
      </c>
      <c r="T425" t="n">
        <v>12</v>
      </c>
    </row>
    <row r="426">
      <c r="A426" t="n">
        <v>8015246</v>
      </c>
      <c r="B426" t="inlineStr">
        <is>
          <t>Bull Nose 5-1/2" OD 
3-1/2" REG Pin</t>
        </is>
      </c>
      <c r="C426" t="n">
        <v>42</v>
      </c>
      <c r="D426" s="62" t="n">
        <v>5.5</v>
      </c>
      <c r="E426" t="n">
        <v>435</v>
      </c>
      <c r="T426" t="n">
        <v>13</v>
      </c>
    </row>
    <row r="427">
      <c r="A427" t="n">
        <v>7135247</v>
      </c>
      <c r="B427" t="inlineStr">
        <is>
          <t>Pack Off 6-1/2" OD body CA 9625
4-1/2" IF Pin down x Box up</t>
        </is>
      </c>
      <c r="C427" t="n">
        <v>127</v>
      </c>
      <c r="D427" s="62" t="n">
        <v>6.5</v>
      </c>
      <c r="E427" t="inlineStr">
        <is>
          <t>CA 9625</t>
        </is>
      </c>
      <c r="T427" t="n">
        <v>11</v>
      </c>
    </row>
    <row r="428">
      <c r="A428" t="n">
        <v>8135248</v>
      </c>
      <c r="B428" t="inlineStr">
        <is>
          <t>WO Top Sub
2-3/8" REG Pin x 2-1/2" HQ Pin</t>
        </is>
      </c>
      <c r="C428" t="n">
        <v>12</v>
      </c>
      <c r="D428" s="62" t="n">
        <v>3.1875</v>
      </c>
      <c r="E428" t="n">
        <v>515</v>
      </c>
      <c r="T428" t="n">
        <v>5</v>
      </c>
    </row>
    <row r="429">
      <c r="A429" t="n">
        <v>3035249</v>
      </c>
      <c r="B429" t="inlineStr">
        <is>
          <t>Master Driller 8200
6-5/8" REG Pin up x 4-1/2" REG Box down</t>
        </is>
      </c>
      <c r="C429" t="n">
        <v>312</v>
      </c>
      <c r="D429" s="62" t="n">
        <v>8200</v>
      </c>
      <c r="E429" t="n">
        <v>1500</v>
      </c>
      <c r="T429" t="n">
        <v>5</v>
      </c>
    </row>
    <row r="430">
      <c r="A430" t="inlineStr">
        <is>
          <t>voir stab</t>
        </is>
      </c>
      <c r="D430" s="62" t="n"/>
    </row>
    <row r="431">
      <c r="A431" t="inlineStr">
        <is>
          <t>voir stab</t>
        </is>
      </c>
      <c r="D431" s="62" t="n"/>
    </row>
    <row r="432">
      <c r="A432" t="inlineStr">
        <is>
          <t>voir stab</t>
        </is>
      </c>
      <c r="D432" s="62" t="n"/>
    </row>
    <row r="433">
      <c r="A433" t="inlineStr">
        <is>
          <t>voir stab</t>
        </is>
      </c>
      <c r="D433" s="62" t="n"/>
    </row>
    <row r="434">
      <c r="A434" t="inlineStr">
        <is>
          <t>voir stab</t>
        </is>
      </c>
      <c r="D434" s="62" t="n"/>
    </row>
    <row r="435">
      <c r="A435" t="inlineStr">
        <is>
          <t>voir stab</t>
        </is>
      </c>
      <c r="D435" s="62" t="n"/>
    </row>
    <row r="436">
      <c r="A436" t="inlineStr">
        <is>
          <t>voir stab</t>
        </is>
      </c>
      <c r="D436" s="62" t="n"/>
    </row>
    <row r="437">
      <c r="A437" t="inlineStr">
        <is>
          <t>voir stab</t>
        </is>
      </c>
      <c r="D437" s="62" t="n"/>
    </row>
    <row r="438">
      <c r="A438" t="inlineStr">
        <is>
          <t>voir stab</t>
        </is>
      </c>
      <c r="D438" s="62" t="n"/>
    </row>
    <row r="439">
      <c r="A439" t="inlineStr">
        <is>
          <t>voir stab</t>
        </is>
      </c>
      <c r="D439" s="62" t="n"/>
    </row>
    <row r="440">
      <c r="A440" t="inlineStr">
        <is>
          <t>voir tubulaire</t>
        </is>
      </c>
      <c r="D440" s="62" t="n"/>
    </row>
    <row r="441">
      <c r="A441" t="inlineStr">
        <is>
          <t>voir tubulaire</t>
        </is>
      </c>
      <c r="D441" s="62" t="n"/>
    </row>
    <row r="442">
      <c r="A442" t="inlineStr">
        <is>
          <t>voir tubulaire</t>
        </is>
      </c>
      <c r="D442" s="62" t="n"/>
    </row>
    <row r="443">
      <c r="A443" t="inlineStr">
        <is>
          <t>voir tubulaire</t>
        </is>
      </c>
      <c r="D443" s="62" t="n"/>
    </row>
    <row r="444">
      <c r="A444" t="inlineStr">
        <is>
          <t>voir tubulaire</t>
        </is>
      </c>
      <c r="D444" s="62" t="n"/>
    </row>
    <row r="445">
      <c r="A445" t="n">
        <v>8105265</v>
      </c>
      <c r="D445" s="62" t="n"/>
    </row>
    <row r="446">
      <c r="A446" t="n">
        <v>8105266</v>
      </c>
      <c r="D446" s="62" t="n"/>
    </row>
    <row r="447">
      <c r="A447" t="n">
        <v>7135267</v>
      </c>
      <c r="B447" t="inlineStr">
        <is>
          <t>Pack Off 6-1/4" OD body CA 9625
4-1/2" IF Pin down x Box up</t>
        </is>
      </c>
      <c r="C447" t="n">
        <v>94</v>
      </c>
      <c r="D447" s="62" t="n">
        <v>6.25</v>
      </c>
      <c r="E447" t="inlineStr">
        <is>
          <t>CA 9625</t>
        </is>
      </c>
      <c r="T447" t="n">
        <v>10</v>
      </c>
    </row>
    <row r="448">
      <c r="A448" t="n">
        <v>5095268</v>
      </c>
      <c r="C448" t="n">
        <v>117.3243459960001</v>
      </c>
      <c r="D448" s="62" t="n">
        <v>8.625</v>
      </c>
      <c r="E448" t="n">
        <v>2400</v>
      </c>
      <c r="T448" t="n">
        <v>169</v>
      </c>
      <c r="V448" t="inlineStr">
        <is>
          <t>transfo spéciale  en araignée</t>
        </is>
      </c>
    </row>
    <row r="449">
      <c r="A449" t="n">
        <v>5095269</v>
      </c>
      <c r="B449" t="inlineStr">
        <is>
          <t>WO Internal Hook Lg 1700 mm
8-5/8" FJWP Pin x Box</t>
        </is>
      </c>
      <c r="C449" t="n">
        <v>0</v>
      </c>
      <c r="D449" s="62" t="n">
        <v>8.625</v>
      </c>
      <c r="E449" t="n">
        <v>1700</v>
      </c>
      <c r="T449" t="n">
        <v>18</v>
      </c>
    </row>
    <row r="450">
      <c r="A450" t="n">
        <v>5115270</v>
      </c>
      <c r="B450" t="inlineStr">
        <is>
          <t>WO Shoe
2-1/2" HQ Box</t>
        </is>
      </c>
      <c r="C450" t="n">
        <v>6</v>
      </c>
      <c r="D450" s="62" t="n">
        <v>2.875</v>
      </c>
      <c r="E450" t="n">
        <v>450</v>
      </c>
      <c r="T450" t="n">
        <v>5</v>
      </c>
    </row>
    <row r="451">
      <c r="A451" t="n">
        <v>5115271</v>
      </c>
      <c r="B451" t="inlineStr">
        <is>
          <t>WO Shoe
2-1/2" HQ Box</t>
        </is>
      </c>
      <c r="C451" t="n">
        <v>6</v>
      </c>
      <c r="D451" s="62" t="n">
        <v>2.875</v>
      </c>
      <c r="E451" t="n">
        <v>460</v>
      </c>
      <c r="T451" t="n">
        <v>6</v>
      </c>
    </row>
    <row r="452">
      <c r="A452" t="n">
        <v>8135272</v>
      </c>
      <c r="B452" t="inlineStr">
        <is>
          <t>XO
HT 26 Pin x 3-1/2" IF Box</t>
        </is>
      </c>
      <c r="C452" t="n">
        <v>12</v>
      </c>
      <c r="D452" s="62" t="n">
        <v>4.6875</v>
      </c>
      <c r="E452" t="n">
        <v>250</v>
      </c>
      <c r="T452" t="n">
        <v>6</v>
      </c>
    </row>
    <row r="453">
      <c r="A453" t="n">
        <v>8135273</v>
      </c>
      <c r="B453" t="inlineStr">
        <is>
          <t>XO
3-1/2" EU Pin x 3-1/2" EU Pin</t>
        </is>
      </c>
      <c r="C453" t="n">
        <v>6.399509781600004</v>
      </c>
      <c r="D453" s="62" t="n">
        <v>3.75</v>
      </c>
      <c r="E453" t="n">
        <v>320</v>
      </c>
      <c r="T453" t="n">
        <v>98</v>
      </c>
    </row>
    <row r="454">
      <c r="A454" t="n">
        <v>5115274</v>
      </c>
      <c r="B454" t="inlineStr">
        <is>
          <t>WO Shoe
5-3/8" BRS Box</t>
        </is>
      </c>
      <c r="C454" t="n">
        <v>0</v>
      </c>
      <c r="D454" s="62" t="n">
        <v>5.875</v>
      </c>
      <c r="E454" t="n">
        <v>475</v>
      </c>
      <c r="T454" t="n">
        <v>82</v>
      </c>
    </row>
    <row r="455">
      <c r="A455" t="n">
        <v>5115275</v>
      </c>
      <c r="B455" t="inlineStr">
        <is>
          <t>WO Shoe
5-3/8" BRS Box</t>
        </is>
      </c>
      <c r="C455" t="n">
        <v>0</v>
      </c>
      <c r="D455" s="62" t="n">
        <v>5.75</v>
      </c>
      <c r="E455" t="n">
        <v>590</v>
      </c>
      <c r="T455" t="n">
        <v>87</v>
      </c>
    </row>
    <row r="456">
      <c r="A456" t="n">
        <v>5115276</v>
      </c>
      <c r="B456" t="inlineStr">
        <is>
          <t>WO Shoe
5-1/2" FJWP Box</t>
        </is>
      </c>
      <c r="C456" t="n">
        <v>0</v>
      </c>
      <c r="D456" s="62" t="n">
        <v>5.875</v>
      </c>
      <c r="E456" t="n">
        <v>390</v>
      </c>
      <c r="T456" t="n">
        <v>94</v>
      </c>
    </row>
    <row r="457">
      <c r="A457" t="n">
        <v>5115277</v>
      </c>
      <c r="B457" t="inlineStr">
        <is>
          <t>WO Shoe
5-3/8" BRS Box</t>
        </is>
      </c>
      <c r="C457" t="n">
        <v>20</v>
      </c>
      <c r="D457" s="62" t="n">
        <v>6</v>
      </c>
      <c r="E457" t="n">
        <v>470</v>
      </c>
      <c r="T457" t="n">
        <v>89</v>
      </c>
    </row>
    <row r="458">
      <c r="A458" t="n">
        <v>5115278</v>
      </c>
      <c r="B458" t="inlineStr">
        <is>
          <t>WO Shoe
8-5/8" FJWP Box</t>
        </is>
      </c>
      <c r="C458" t="n">
        <v>0</v>
      </c>
      <c r="D458" s="62" t="inlineStr">
        <is>
          <t>flush</t>
        </is>
      </c>
      <c r="E458" t="n">
        <v>300</v>
      </c>
      <c r="T458" t="n">
        <v>197</v>
      </c>
    </row>
    <row r="459">
      <c r="A459" t="n">
        <v>5115279</v>
      </c>
      <c r="B459" t="inlineStr">
        <is>
          <t>WO Shoe
8-5/8" FJWP Box</t>
        </is>
      </c>
      <c r="C459" t="n">
        <v>56</v>
      </c>
      <c r="D459" s="62" t="n">
        <v>8.75</v>
      </c>
      <c r="E459" t="n">
        <v>1010</v>
      </c>
      <c r="T459" t="n">
        <v>201</v>
      </c>
    </row>
    <row r="460">
      <c r="A460" t="n">
        <v>5115280</v>
      </c>
      <c r="B460" t="inlineStr">
        <is>
          <t>WO Shoe
4-1/2" FJWP Box</t>
        </is>
      </c>
      <c r="C460" t="n">
        <v>8.554900228874995</v>
      </c>
      <c r="D460" s="62" t="n">
        <v>4.875</v>
      </c>
      <c r="E460" t="n">
        <v>350</v>
      </c>
      <c r="T460" t="n">
        <v>49</v>
      </c>
    </row>
    <row r="461">
      <c r="A461" t="n">
        <v>5105281</v>
      </c>
      <c r="B461" t="inlineStr">
        <is>
          <t>WO Pipe
5-3/8" BRS Pin x Box</t>
        </is>
      </c>
      <c r="C461" t="n">
        <v>374.7564779049</v>
      </c>
      <c r="D461" s="62" t="n">
        <v>5.375</v>
      </c>
      <c r="E461" t="n">
        <v>9730</v>
      </c>
      <c r="T461" t="n">
        <v>38</v>
      </c>
    </row>
    <row r="462">
      <c r="A462" t="n">
        <v>5105282</v>
      </c>
      <c r="B462" t="inlineStr">
        <is>
          <t>WO Pipe
5-3/8" BRS Pin x Box</t>
        </is>
      </c>
      <c r="C462" t="n">
        <v>372.8306994984</v>
      </c>
      <c r="D462" s="62" t="n">
        <v>5.375</v>
      </c>
      <c r="E462" t="n">
        <v>9680</v>
      </c>
      <c r="T462" t="n">
        <v>39</v>
      </c>
    </row>
    <row r="463">
      <c r="A463" t="n">
        <v>5105283</v>
      </c>
      <c r="B463" t="inlineStr">
        <is>
          <t>WO Pipe
5-3/8" BRS Pin x Box</t>
        </is>
      </c>
      <c r="C463" t="n">
        <v>374.3713222236</v>
      </c>
      <c r="D463" s="62" t="n">
        <v>5.375</v>
      </c>
      <c r="E463" t="n">
        <v>9720</v>
      </c>
      <c r="T463" t="n">
        <v>40</v>
      </c>
    </row>
    <row r="464">
      <c r="A464" t="n">
        <v>5105284</v>
      </c>
      <c r="B464" t="inlineStr">
        <is>
          <t>WO Pipe
5-3/8" BRS Pin x Box</t>
        </is>
      </c>
      <c r="C464" t="n">
        <v>369.94203188865</v>
      </c>
      <c r="D464" s="62" t="n">
        <v>5.375</v>
      </c>
      <c r="E464" t="n">
        <v>9605</v>
      </c>
      <c r="T464" t="n">
        <v>41</v>
      </c>
    </row>
    <row r="465">
      <c r="A465" t="n">
        <v>5105285</v>
      </c>
      <c r="B465" t="inlineStr">
        <is>
          <t>WO Pipe
5-3/8" BRS Pin x Box</t>
        </is>
      </c>
      <c r="C465" t="n">
        <v>373.2158551797</v>
      </c>
      <c r="D465" s="62" t="n">
        <v>5.375</v>
      </c>
      <c r="E465" t="n">
        <v>9690</v>
      </c>
      <c r="T465" t="n">
        <v>42</v>
      </c>
    </row>
    <row r="466">
      <c r="A466" t="n">
        <v>5105286</v>
      </c>
      <c r="B466" t="inlineStr">
        <is>
          <t>WO Pipe
5-3/8" BRS Pin x Box</t>
        </is>
      </c>
      <c r="C466" t="n">
        <v>346.64011317</v>
      </c>
      <c r="D466" s="62" t="n">
        <v>5.375</v>
      </c>
      <c r="E466" t="n">
        <v>9000</v>
      </c>
      <c r="T466" t="n">
        <v>43</v>
      </c>
    </row>
    <row r="467">
      <c r="A467" t="n">
        <v>5105287</v>
      </c>
      <c r="B467" t="inlineStr">
        <is>
          <t>WO Pipe
5-3/8" BRS Pin x Box</t>
        </is>
      </c>
      <c r="C467" t="n">
        <v>346.64011317</v>
      </c>
      <c r="D467" s="62" t="n">
        <v>5.375</v>
      </c>
      <c r="E467" t="n">
        <v>9000</v>
      </c>
      <c r="T467" t="n">
        <v>44</v>
      </c>
    </row>
    <row r="468">
      <c r="A468" t="n">
        <v>5105288</v>
      </c>
      <c r="B468" t="inlineStr">
        <is>
          <t>WO Pipe
5-3/8" BRS Pin x Box</t>
        </is>
      </c>
      <c r="C468" t="n">
        <v>346.64011317</v>
      </c>
      <c r="D468" s="62" t="n">
        <v>5.375</v>
      </c>
      <c r="E468" t="n">
        <v>9000</v>
      </c>
      <c r="T468" t="n">
        <v>45</v>
      </c>
    </row>
    <row r="469">
      <c r="A469" t="n">
        <v>5105289</v>
      </c>
      <c r="B469" t="inlineStr">
        <is>
          <t>WO Pipe
5-3/8" BRS Pin x Box</t>
        </is>
      </c>
      <c r="C469" t="n">
        <v>346.64011317</v>
      </c>
      <c r="D469" s="62" t="n">
        <v>5.375</v>
      </c>
      <c r="E469" t="n">
        <v>9000</v>
      </c>
      <c r="T469" t="n">
        <v>46</v>
      </c>
    </row>
    <row r="470">
      <c r="A470" t="n">
        <v>5105290</v>
      </c>
      <c r="B470" t="inlineStr">
        <is>
          <t>WO Pipe
5-3/8" BRS Pin x Box</t>
        </is>
      </c>
      <c r="C470" t="n">
        <v>346.64011317</v>
      </c>
      <c r="D470" s="62" t="n">
        <v>5.375</v>
      </c>
      <c r="E470" t="n">
        <v>9000</v>
      </c>
      <c r="T470" t="n">
        <v>47</v>
      </c>
    </row>
    <row r="471">
      <c r="A471" t="n">
        <v>5105291</v>
      </c>
      <c r="C471" t="e">
        <v>#N/A</v>
      </c>
      <c r="D471" s="62" t="e">
        <v>#N/A</v>
      </c>
      <c r="E471" t="e">
        <v>#N/A</v>
      </c>
      <c r="T471" t="e">
        <v>#N/A</v>
      </c>
    </row>
    <row r="472">
      <c r="A472" t="n">
        <v>5105292</v>
      </c>
      <c r="B472" t="inlineStr">
        <is>
          <t>WO Pipe
8-5/8" FJWP Pin x Box</t>
        </is>
      </c>
      <c r="C472" t="n">
        <v>546.7618203854622</v>
      </c>
      <c r="D472" s="62" t="n">
        <v>8.625</v>
      </c>
      <c r="E472" t="n">
        <v>9660</v>
      </c>
      <c r="T472" t="n">
        <v>129</v>
      </c>
    </row>
    <row r="473">
      <c r="A473" t="n">
        <v>5105293</v>
      </c>
      <c r="B473" t="inlineStr">
        <is>
          <t>WO Pipe
8-5/8" FJWP Pin x Box</t>
        </is>
      </c>
      <c r="C473" t="n">
        <v>455.6095436178003</v>
      </c>
      <c r="D473" s="62" t="n">
        <v>8.625</v>
      </c>
      <c r="E473" t="n">
        <v>9320</v>
      </c>
      <c r="T473" t="n">
        <v>130</v>
      </c>
    </row>
    <row r="474">
      <c r="A474" t="n">
        <v>5105294</v>
      </c>
      <c r="B474" t="inlineStr">
        <is>
          <t>WO Pipe
8-5/8" FJWP Pin x Box</t>
        </is>
      </c>
      <c r="C474" t="n">
        <v>521.8575552747373</v>
      </c>
      <c r="D474" s="62" t="n">
        <v>8.625</v>
      </c>
      <c r="E474" t="n">
        <v>9220</v>
      </c>
      <c r="T474" t="n">
        <v>131</v>
      </c>
    </row>
    <row r="475">
      <c r="A475" t="n">
        <v>5125295</v>
      </c>
      <c r="B475" t="inlineStr">
        <is>
          <t>WO Top Sub
3-1/2" REG Pin x 5-1/2" FJWP Pin</t>
        </is>
      </c>
      <c r="C475" t="n">
        <v>62</v>
      </c>
      <c r="D475" s="62" t="n">
        <v>5.5</v>
      </c>
      <c r="E475" t="n">
        <v>720</v>
      </c>
      <c r="T475" t="n">
        <v>22</v>
      </c>
    </row>
    <row r="476">
      <c r="A476" t="n">
        <v>8085296</v>
      </c>
      <c r="D476" s="62" t="n"/>
    </row>
    <row r="477">
      <c r="A477" t="n">
        <v>5115297</v>
      </c>
      <c r="B477" t="inlineStr">
        <is>
          <t>WO Shoe
4-1/2" FJWP Box</t>
        </is>
      </c>
      <c r="C477" t="n">
        <v>8.578663840621878</v>
      </c>
      <c r="D477" s="62" t="n">
        <v>0</v>
      </c>
      <c r="E477" t="n">
        <v>380</v>
      </c>
      <c r="T477" t="n">
        <v>47</v>
      </c>
    </row>
    <row r="478">
      <c r="A478" t="n">
        <v>5045298</v>
      </c>
      <c r="B478" t="inlineStr">
        <is>
          <t>Viper Pilot Mill
HT 26 Box x Pilot</t>
        </is>
      </c>
      <c r="C478" t="n">
        <v>22</v>
      </c>
      <c r="D478" s="62" t="n">
        <v>3.625</v>
      </c>
      <c r="E478" t="n">
        <v>740</v>
      </c>
      <c r="T478" t="n">
        <v>7</v>
      </c>
    </row>
    <row r="479">
      <c r="A479" t="n">
        <v>5045299</v>
      </c>
      <c r="B479" t="inlineStr">
        <is>
          <t>Viper Pilot Mill
HT 26 Pin x Pilot</t>
        </is>
      </c>
      <c r="C479" t="n">
        <v>24</v>
      </c>
      <c r="D479" s="62" t="n">
        <v>3.875</v>
      </c>
      <c r="E479" t="n">
        <v>740</v>
      </c>
      <c r="T479" t="n">
        <v>8</v>
      </c>
    </row>
    <row r="480">
      <c r="A480" t="n">
        <v>2035400</v>
      </c>
      <c r="B480" t="inlineStr">
        <is>
          <t>Pipe Cutter 11700s
6-5/8" REG Box up x Box down</t>
        </is>
      </c>
      <c r="C480" t="n">
        <v>916</v>
      </c>
      <c r="D480" s="62" t="n">
        <v>11700</v>
      </c>
      <c r="E480" t="n">
        <v>2610</v>
      </c>
      <c r="T480" t="n">
        <v>15</v>
      </c>
    </row>
    <row r="481">
      <c r="A481" t="n">
        <v>3025401</v>
      </c>
      <c r="B481" t="inlineStr">
        <is>
          <t>DTU 5700
3-1/2" REG Pin up x 3-1/2" REG Box down</t>
        </is>
      </c>
      <c r="C481" t="n">
        <v>168</v>
      </c>
      <c r="D481" s="62" t="n">
        <v>5700</v>
      </c>
      <c r="E481" t="n">
        <v>1750</v>
      </c>
      <c r="T481" t="n">
        <v>6</v>
      </c>
    </row>
    <row r="482">
      <c r="A482" t="n">
        <v>8135402</v>
      </c>
      <c r="D482" s="62" t="n"/>
    </row>
    <row r="483">
      <c r="A483" t="n">
        <v>5085403</v>
      </c>
      <c r="B483" t="inlineStr">
        <is>
          <t>Taper Mill 
3-1/2" IF Pin</t>
        </is>
      </c>
      <c r="C483" t="n">
        <v>0</v>
      </c>
      <c r="D483" s="62" t="n">
        <v>6</v>
      </c>
      <c r="E483" t="n">
        <v>0</v>
      </c>
      <c r="T483" t="n">
        <v>20</v>
      </c>
    </row>
    <row r="484">
      <c r="A484" t="n">
        <v>8135404</v>
      </c>
      <c r="B484" t="inlineStr">
        <is>
          <t xml:space="preserve">XO
3-1/2" IF Pin x 4-1/2" IF Box </t>
        </is>
      </c>
      <c r="C484" t="n">
        <v>72.56157123241402</v>
      </c>
      <c r="D484" s="62" t="n">
        <v>6.6875</v>
      </c>
      <c r="E484" t="n">
        <v>470</v>
      </c>
      <c r="T484" t="n">
        <v>126</v>
      </c>
    </row>
    <row r="485">
      <c r="A485" t="n">
        <v>8135405</v>
      </c>
      <c r="D485" s="62" t="n"/>
    </row>
    <row r="486">
      <c r="A486" t="n">
        <v>8135406</v>
      </c>
      <c r="D486" s="62" t="n"/>
      <c r="V486" t="inlineStr">
        <is>
          <t>réattribution n° d'immo</t>
        </is>
      </c>
    </row>
    <row r="487">
      <c r="A487" t="n">
        <v>8135407</v>
      </c>
      <c r="D487" s="62" t="n"/>
    </row>
    <row r="488">
      <c r="A488" t="n">
        <v>5035408</v>
      </c>
      <c r="D488" s="62" t="n"/>
      <c r="V488" t="inlineStr">
        <is>
          <t>RDC 2017 ou Cameroun 2018</t>
        </is>
      </c>
    </row>
    <row r="489">
      <c r="A489" t="n">
        <v>3065409</v>
      </c>
      <c r="B489" t="inlineStr">
        <is>
          <t>Roller Reamer 8200
4-1/2" IF Box up x 4-1/2" REG Box BF down</t>
        </is>
      </c>
      <c r="C489" t="n">
        <v>268</v>
      </c>
      <c r="D489" s="62" t="n">
        <v>8200</v>
      </c>
      <c r="E489" t="n">
        <v>1780</v>
      </c>
      <c r="T489" t="n">
        <v>5</v>
      </c>
    </row>
    <row r="490">
      <c r="A490" t="n">
        <v>3065410</v>
      </c>
      <c r="B490" t="inlineStr">
        <is>
          <t>Roller Reamer 8200
4-1/2" IF Box up x 4-1/2" REF Box BF down</t>
        </is>
      </c>
      <c r="C490" t="n">
        <v>264</v>
      </c>
      <c r="D490" s="62" t="n">
        <v>8200</v>
      </c>
      <c r="E490" t="n">
        <v>1760</v>
      </c>
      <c r="T490" t="n">
        <v>6</v>
      </c>
    </row>
    <row r="491">
      <c r="A491" t="n">
        <v>8095411</v>
      </c>
      <c r="D491" s="62" t="n"/>
    </row>
    <row r="492">
      <c r="A492" t="n">
        <v>8095412</v>
      </c>
      <c r="D492" s="62" t="n"/>
    </row>
    <row r="493">
      <c r="A493" t="n">
        <v>8095413</v>
      </c>
      <c r="D493" s="62" t="n"/>
    </row>
    <row r="494">
      <c r="A494" t="n">
        <v>5035414</v>
      </c>
      <c r="B494" t="inlineStr">
        <is>
          <t>Junk Mill 
3-1/2" REG Pin</t>
        </is>
      </c>
      <c r="C494" t="n">
        <v>42</v>
      </c>
      <c r="D494" s="62" t="n">
        <v>5.75</v>
      </c>
      <c r="E494" t="n">
        <v>0</v>
      </c>
      <c r="T494" t="n">
        <v>24</v>
      </c>
    </row>
    <row r="495">
      <c r="A495" t="n">
        <v>5075415</v>
      </c>
      <c r="B495" t="inlineStr">
        <is>
          <t>Super Junk Mill 
3-1/2" IF Box</t>
        </is>
      </c>
      <c r="C495" t="n">
        <v>30</v>
      </c>
      <c r="D495" s="62" t="n">
        <v>6</v>
      </c>
      <c r="E495" t="n">
        <v>440</v>
      </c>
      <c r="T495" t="n">
        <v>52</v>
      </c>
    </row>
    <row r="496">
      <c r="A496" t="n">
        <v>5035416</v>
      </c>
      <c r="B496" t="inlineStr">
        <is>
          <t>Junk Mill 
3-1/2" REG Pin</t>
        </is>
      </c>
      <c r="C496" t="n">
        <v>52</v>
      </c>
      <c r="D496" s="62" t="n">
        <v>5.75</v>
      </c>
      <c r="E496" t="n">
        <v>3</v>
      </c>
      <c r="T496" t="n">
        <v>25</v>
      </c>
      <c r="V496" t="inlineStr">
        <is>
          <t>RDC 2017 ou Cameroun 2018</t>
        </is>
      </c>
    </row>
    <row r="497">
      <c r="A497" t="n">
        <v>5045417</v>
      </c>
      <c r="B497" t="inlineStr">
        <is>
          <t>Viper Pilot Mill
3-1/2" REG Pin x Pilot</t>
        </is>
      </c>
      <c r="C497" t="n">
        <v>34</v>
      </c>
      <c r="D497" s="62" t="n">
        <v>5.3125</v>
      </c>
      <c r="E497" t="n">
        <v>620</v>
      </c>
      <c r="T497" t="n">
        <v>11</v>
      </c>
    </row>
    <row r="498">
      <c r="A498" t="n">
        <v>5035418</v>
      </c>
      <c r="B498" t="inlineStr">
        <is>
          <t>Junk Mill 
3-1/2" REG Pin</t>
        </is>
      </c>
      <c r="C498" t="n">
        <v>42</v>
      </c>
      <c r="D498" s="62" t="n">
        <v>5.9375</v>
      </c>
      <c r="E498" t="n">
        <v>0</v>
      </c>
      <c r="T498" t="n">
        <v>41</v>
      </c>
    </row>
    <row r="499">
      <c r="A499" t="n">
        <v>8135419</v>
      </c>
      <c r="D499" s="62" t="n"/>
      <c r="V499" t="inlineStr">
        <is>
          <t>RDC 2017 ou Cameroun 2018</t>
        </is>
      </c>
    </row>
    <row r="500">
      <c r="A500" t="n">
        <v>5055420</v>
      </c>
      <c r="B500" t="inlineStr">
        <is>
          <t>Pilot Mill
3-1/2" IF Box x 2-7/8" REG Box</t>
        </is>
      </c>
      <c r="C500" t="n">
        <v>0</v>
      </c>
      <c r="D500" s="62" t="n">
        <v>5.1875</v>
      </c>
      <c r="E500" t="n">
        <v>620</v>
      </c>
      <c r="T500" t="n">
        <v>7</v>
      </c>
      <c r="V500" t="n">
        <v>2019</v>
      </c>
    </row>
    <row r="501">
      <c r="A501" t="n">
        <v>8085421</v>
      </c>
      <c r="D501" s="62" t="n"/>
    </row>
    <row r="502">
      <c r="A502" t="n">
        <v>5025422</v>
      </c>
      <c r="B502" t="inlineStr">
        <is>
          <t>Economill 
3-1/2" REG Pin</t>
        </is>
      </c>
      <c r="C502" t="n">
        <v>19</v>
      </c>
      <c r="D502" s="62" t="n">
        <v>6</v>
      </c>
      <c r="E502" t="n">
        <v>160</v>
      </c>
      <c r="T502" t="n">
        <v>32</v>
      </c>
    </row>
    <row r="503">
      <c r="A503" t="n">
        <v>5025423</v>
      </c>
      <c r="B503" t="inlineStr">
        <is>
          <t>Economill 
3-1/2" REG Pin</t>
        </is>
      </c>
      <c r="C503" t="n">
        <v>19</v>
      </c>
      <c r="D503" s="62" t="n">
        <v>6</v>
      </c>
      <c r="E503" t="n">
        <v>160</v>
      </c>
      <c r="T503" t="n">
        <v>31</v>
      </c>
    </row>
    <row r="504">
      <c r="A504" t="n">
        <v>5025424</v>
      </c>
      <c r="B504" t="inlineStr">
        <is>
          <t>Economill 
3-1/2" REG Pin</t>
        </is>
      </c>
      <c r="C504" t="n">
        <v>17</v>
      </c>
      <c r="D504" s="62" t="n">
        <v>6</v>
      </c>
      <c r="E504" t="n">
        <v>160</v>
      </c>
      <c r="T504" t="n">
        <v>25</v>
      </c>
    </row>
    <row r="505">
      <c r="A505" t="n">
        <v>5025425</v>
      </c>
      <c r="D505" s="62" t="n"/>
    </row>
    <row r="506">
      <c r="A506" t="n">
        <v>5025426</v>
      </c>
      <c r="B506" t="inlineStr">
        <is>
          <t>Economill 
2-7/8" REG Pin</t>
        </is>
      </c>
      <c r="C506" t="n">
        <v>11</v>
      </c>
      <c r="D506" s="62" t="n">
        <v>5</v>
      </c>
      <c r="E506" t="n">
        <v>150</v>
      </c>
      <c r="T506" t="n">
        <v>22</v>
      </c>
    </row>
    <row r="507">
      <c r="A507" t="n">
        <v>5075427</v>
      </c>
      <c r="B507" t="inlineStr">
        <is>
          <t>Super Junk Mill 
4-1/2" REG Pin</t>
        </is>
      </c>
      <c r="C507" t="n">
        <v>116</v>
      </c>
      <c r="D507" s="62" t="n">
        <v>8.5625</v>
      </c>
      <c r="E507" t="n">
        <v>680</v>
      </c>
      <c r="T507" t="n">
        <v>66</v>
      </c>
    </row>
    <row r="508">
      <c r="A508" t="n">
        <v>5075428</v>
      </c>
      <c r="B508" t="inlineStr">
        <is>
          <t>Super Junk Mill 
4-1/2" REG Pin</t>
        </is>
      </c>
      <c r="C508" t="n">
        <v>122</v>
      </c>
      <c r="D508" s="62" t="n">
        <v>8.6875</v>
      </c>
      <c r="E508" t="n">
        <v>660</v>
      </c>
      <c r="T508" t="n">
        <v>71</v>
      </c>
    </row>
    <row r="509">
      <c r="A509" t="n">
        <v>8095429</v>
      </c>
      <c r="B509" t="inlineStr">
        <is>
          <t>Near Bit Stab
NC 35 Box x 3-1/2" REG Box BF</t>
        </is>
      </c>
      <c r="C509" t="n">
        <v>0</v>
      </c>
      <c r="D509" s="62" t="n">
        <v>6.0625</v>
      </c>
      <c r="E509" t="n">
        <v>1310</v>
      </c>
      <c r="T509" t="n">
        <v>8</v>
      </c>
    </row>
    <row r="510">
      <c r="A510" t="n">
        <v>7125201</v>
      </c>
      <c r="D510" s="62" t="n"/>
      <c r="V510" t="inlineStr">
        <is>
          <t>réattibution n° immo</t>
        </is>
      </c>
    </row>
    <row r="511">
      <c r="A511" t="n">
        <v>7125431</v>
      </c>
      <c r="B511" t="inlineStr">
        <is>
          <t>Releasing Spear 8-1/4" OD Mandrel Heavy Duty CA 17246 (grapples CA 9281 compatibles)
6-5/8" REG Box</t>
        </is>
      </c>
      <c r="C511" t="n">
        <v>270</v>
      </c>
      <c r="D511" s="62" t="n">
        <v>8.25</v>
      </c>
      <c r="E511" t="inlineStr">
        <is>
          <t>CA 17246</t>
        </is>
      </c>
      <c r="T511" t="n">
        <v>32</v>
      </c>
    </row>
    <row r="512">
      <c r="A512" t="n">
        <v>5085432</v>
      </c>
      <c r="B512" t="inlineStr">
        <is>
          <t>Taper Mill 
3-1/2" REG Pin</t>
        </is>
      </c>
      <c r="C512" t="n">
        <v>86</v>
      </c>
      <c r="D512" s="62" t="n">
        <v>6</v>
      </c>
      <c r="E512" t="n">
        <v>86</v>
      </c>
      <c r="T512" t="n">
        <v>23</v>
      </c>
    </row>
    <row r="513">
      <c r="A513" t="n">
        <v>8135433</v>
      </c>
      <c r="B513" t="inlineStr">
        <is>
          <t>XO
2-3/8" REG Pin x 2-3/8" PAC Box</t>
        </is>
      </c>
      <c r="C513" t="n">
        <v>9.3585423715875</v>
      </c>
      <c r="D513" s="62" t="n">
        <v>3.5625</v>
      </c>
      <c r="E513" t="n">
        <v>210</v>
      </c>
      <c r="T513" t="n">
        <v>41</v>
      </c>
    </row>
    <row r="514">
      <c r="A514" t="n">
        <v>8135434</v>
      </c>
      <c r="B514" t="inlineStr">
        <is>
          <t>XO
2-7/8" IF Pin x 3-1/2" REG Box LH</t>
        </is>
      </c>
      <c r="C514" t="n">
        <v>25.84801997724375</v>
      </c>
      <c r="D514" s="62" t="n">
        <v>4.625</v>
      </c>
      <c r="E514" t="n">
        <v>330</v>
      </c>
      <c r="T514" t="n">
        <v>85</v>
      </c>
    </row>
    <row r="515">
      <c r="A515" t="n">
        <v>8085435</v>
      </c>
      <c r="B515" t="inlineStr">
        <is>
          <t>Short DC 5-1/8" Lg 420mm
NC35 Pin x Box</t>
        </is>
      </c>
      <c r="C515" t="n">
        <v>34.70567479214061</v>
      </c>
      <c r="D515" s="62" t="n">
        <v>5.125</v>
      </c>
      <c r="E515" t="n">
        <v>420</v>
      </c>
      <c r="T515" t="n">
        <v>10</v>
      </c>
    </row>
    <row r="516">
      <c r="A516" t="n">
        <v>7095436</v>
      </c>
      <c r="D516" s="62" t="n"/>
      <c r="V516" t="inlineStr">
        <is>
          <t>sorti des immos mais tjs en stock</t>
        </is>
      </c>
    </row>
    <row r="517">
      <c r="A517" t="n">
        <v>7095437</v>
      </c>
      <c r="D517" s="62" t="n"/>
      <c r="V517" t="inlineStr">
        <is>
          <t>sorti des immos mais tjs en stock</t>
        </is>
      </c>
    </row>
    <row r="518">
      <c r="A518" t="n">
        <v>7095438</v>
      </c>
      <c r="D518" s="62" t="n"/>
      <c r="V518" t="inlineStr">
        <is>
          <t>sorti des immos mais tjs en stock</t>
        </is>
      </c>
    </row>
    <row r="519">
      <c r="A519" t="n">
        <v>8135439</v>
      </c>
      <c r="D519" s="62" t="n"/>
    </row>
    <row r="520">
      <c r="A520" t="n">
        <v>5075440</v>
      </c>
      <c r="B520" t="inlineStr">
        <is>
          <t>Super Junk Mill 
2-3/8" REG Pin</t>
        </is>
      </c>
      <c r="C520" t="n">
        <v>23</v>
      </c>
      <c r="D520" s="62" t="n">
        <v>3.875</v>
      </c>
      <c r="E520" t="n">
        <v>560</v>
      </c>
      <c r="T520" t="n">
        <v>6</v>
      </c>
    </row>
    <row r="521">
      <c r="A521" t="n">
        <v>7015441</v>
      </c>
      <c r="D521" s="62" t="n"/>
      <c r="V521" t="n">
        <v>1607028</v>
      </c>
    </row>
    <row r="522">
      <c r="A522" t="n">
        <v>5065442</v>
      </c>
      <c r="B522" t="inlineStr">
        <is>
          <t>String Mill 9,6875 OD 
4-1/2" IF Box x 4-1/2" IF Pin</t>
        </is>
      </c>
      <c r="C522" t="n">
        <v>346</v>
      </c>
      <c r="D522" s="62" t="n">
        <v>9.6875</v>
      </c>
      <c r="E522" t="n">
        <v>1800</v>
      </c>
      <c r="T522" t="n">
        <v>22</v>
      </c>
    </row>
    <row r="523">
      <c r="A523" t="n">
        <v>3025443</v>
      </c>
      <c r="B523" t="inlineStr">
        <is>
          <t>DTU 5700
3-1/2" REG Pin up x 3-1/2" REG Box down</t>
        </is>
      </c>
      <c r="C523" t="n">
        <v>168</v>
      </c>
      <c r="D523" s="62" t="n">
        <v>5700</v>
      </c>
      <c r="E523" t="n">
        <v>1750</v>
      </c>
      <c r="T523" t="n">
        <v>7</v>
      </c>
    </row>
    <row r="524">
      <c r="A524" t="n">
        <v>8135444</v>
      </c>
      <c r="B524" t="inlineStr">
        <is>
          <t>XO
4-1/2" REG Pin x 6-5/8" REG Box</t>
        </is>
      </c>
      <c r="C524" t="n">
        <v>96</v>
      </c>
      <c r="D524" s="62" t="n">
        <v>7.5</v>
      </c>
      <c r="E524" t="n">
        <v>320</v>
      </c>
      <c r="T524" t="n">
        <v>186</v>
      </c>
    </row>
    <row r="525">
      <c r="A525" t="n">
        <v>8115445</v>
      </c>
      <c r="D525" s="62" t="n"/>
      <c r="V525" t="n">
        <v>1605023</v>
      </c>
    </row>
    <row r="526">
      <c r="A526" t="n">
        <v>7095446</v>
      </c>
      <c r="B526" t="inlineStr">
        <is>
          <t>Taper Tap 3-7/8" OD to catch from 1-1/2" to 3"
Lg catch 585mm
2-3/8" IF Box</t>
        </is>
      </c>
      <c r="C526" t="n">
        <v>22</v>
      </c>
      <c r="D526" s="62" t="n">
        <v>3.875</v>
      </c>
      <c r="E526" t="n">
        <v>775</v>
      </c>
      <c r="T526" t="n">
        <v>12</v>
      </c>
    </row>
    <row r="527">
      <c r="A527" t="n">
        <v>7095447</v>
      </c>
      <c r="B527" t="inlineStr">
        <is>
          <t>Taper Tap 5-11/16" OD to catch from 3-7/8" to 5-1/4"
Lg catch 250mm
4" IF Box</t>
        </is>
      </c>
      <c r="C527" t="n">
        <v>82</v>
      </c>
      <c r="D527" s="62" t="n">
        <v>5.6875</v>
      </c>
      <c r="E527" t="n">
        <v>970</v>
      </c>
      <c r="T527" t="n">
        <v>22</v>
      </c>
    </row>
    <row r="528">
      <c r="A528" t="n">
        <v>7095448</v>
      </c>
      <c r="B528" t="inlineStr">
        <is>
          <t>Taper Tap 8" OD to catch from 1-1/4" to 2-1/8" 
Lg catch 320mm
2-3/8" REG Box</t>
        </is>
      </c>
      <c r="C528" t="n">
        <v>8</v>
      </c>
      <c r="D528" s="62" t="n">
        <v>3.0625</v>
      </c>
      <c r="E528" t="n">
        <v>470</v>
      </c>
      <c r="T528" t="n">
        <v>5</v>
      </c>
    </row>
    <row r="529">
      <c r="A529" t="n">
        <v>7045449</v>
      </c>
      <c r="B529" t="inlineStr">
        <is>
          <t>4-1/4" SH Overshot - CA C-5126
2-3/8" IF Box</t>
        </is>
      </c>
      <c r="C529" t="n">
        <v>20</v>
      </c>
      <c r="D529" s="62" t="inlineStr">
        <is>
          <t>4-1/4" SH</t>
        </is>
      </c>
      <c r="E529" t="n">
        <v>835</v>
      </c>
      <c r="T529" t="n">
        <v>24</v>
      </c>
    </row>
    <row r="530">
      <c r="A530" t="n">
        <v>3035450</v>
      </c>
      <c r="B530" t="inlineStr">
        <is>
          <t>Master Driller 14000
7-5/8" REG Pin up x 7-5/8" REG Box down</t>
        </is>
      </c>
      <c r="C530" t="n">
        <v>690</v>
      </c>
      <c r="D530" s="62" t="n">
        <v>14000</v>
      </c>
      <c r="E530" t="n">
        <v>1860</v>
      </c>
      <c r="T530" t="n">
        <v>6</v>
      </c>
    </row>
    <row r="531">
      <c r="A531" t="n">
        <v>5145451</v>
      </c>
      <c r="D531" s="62" t="n"/>
    </row>
    <row r="532">
      <c r="A532" t="n">
        <v>3055452</v>
      </c>
      <c r="B532" t="inlineStr">
        <is>
          <t>SPX 5700
3-1/2" IF Pin up x nose down</t>
        </is>
      </c>
      <c r="C532" t="n">
        <v>160</v>
      </c>
      <c r="D532" s="62" t="n">
        <v>5700</v>
      </c>
      <c r="E532" t="n">
        <v>1820</v>
      </c>
      <c r="T532" t="n">
        <v>7</v>
      </c>
    </row>
    <row r="533">
      <c r="A533" t="n">
        <v>3015453</v>
      </c>
      <c r="B533" t="inlineStr">
        <is>
          <t>RTU 5700
0 up</t>
        </is>
      </c>
      <c r="C533" t="n">
        <v>166</v>
      </c>
      <c r="D533" s="62" t="n">
        <v>5700</v>
      </c>
      <c r="E533" t="n">
        <v>1865</v>
      </c>
      <c r="T533" t="n">
        <v>8</v>
      </c>
    </row>
    <row r="534">
      <c r="A534" t="n">
        <v>5115454</v>
      </c>
      <c r="D534" s="62" t="n"/>
    </row>
    <row r="535">
      <c r="A535" t="n">
        <v>5115455</v>
      </c>
      <c r="D535" s="62" t="n"/>
    </row>
    <row r="536">
      <c r="A536" t="n">
        <v>5115456</v>
      </c>
      <c r="D536" s="62" t="n"/>
    </row>
    <row r="537">
      <c r="A537" t="n">
        <v>5115457</v>
      </c>
      <c r="D537" s="62" t="n"/>
    </row>
    <row r="538">
      <c r="A538" t="n">
        <v>5115458</v>
      </c>
      <c r="D538" s="62" t="n"/>
    </row>
    <row r="539">
      <c r="A539" t="n">
        <v>5115459</v>
      </c>
      <c r="D539" s="62" t="n"/>
    </row>
    <row r="540">
      <c r="A540" t="n">
        <v>5115460</v>
      </c>
      <c r="D540" s="62" t="n"/>
    </row>
    <row r="541">
      <c r="A541" t="n">
        <v>5115461</v>
      </c>
      <c r="D541" s="62" t="n"/>
    </row>
    <row r="542">
      <c r="A542" t="n">
        <v>4055462</v>
      </c>
      <c r="B542" t="inlineStr">
        <is>
          <t>Safety Joint 3-1/2" OD teeth and spring type
2-3/8" IF Pin down x Box up</t>
        </is>
      </c>
      <c r="C542" t="n">
        <v>46</v>
      </c>
      <c r="D542" s="62" t="n">
        <v>3.5</v>
      </c>
      <c r="E542" t="n">
        <v>1180</v>
      </c>
      <c r="T542" t="n">
        <v>5</v>
      </c>
    </row>
    <row r="543">
      <c r="A543" t="n">
        <v>5075463</v>
      </c>
      <c r="B543" t="inlineStr">
        <is>
          <t>Super Junk Mill 
6-5/8" REG Pin</t>
        </is>
      </c>
      <c r="C543" t="n">
        <v>200</v>
      </c>
      <c r="D543" s="62" t="n">
        <v>12.25</v>
      </c>
      <c r="E543" t="n">
        <v>670</v>
      </c>
      <c r="T543" t="n">
        <v>85</v>
      </c>
    </row>
    <row r="544">
      <c r="A544" t="n">
        <v>7085464</v>
      </c>
      <c r="B544" t="inlineStr">
        <is>
          <t>Extension PMT Lg 1830 mm
2-1/4" PRT Box x 2-1/4" PRT Pin</t>
        </is>
      </c>
      <c r="C544" t="n">
        <v>36</v>
      </c>
      <c r="D544" s="62" t="n">
        <v>2.25</v>
      </c>
      <c r="E544" t="n">
        <v>1830</v>
      </c>
      <c r="T544" t="n">
        <v>22</v>
      </c>
    </row>
    <row r="545">
      <c r="A545" t="n">
        <v>3015465</v>
      </c>
      <c r="B545" t="inlineStr">
        <is>
          <t>RTU 8200
4-1/2" REG Pin up</t>
        </is>
      </c>
      <c r="C545" t="n">
        <v>412</v>
      </c>
      <c r="D545" s="62" t="n">
        <v>8200</v>
      </c>
      <c r="E545" t="n">
        <v>2390</v>
      </c>
      <c r="T545" t="n">
        <v>10</v>
      </c>
    </row>
    <row r="546">
      <c r="A546" t="n">
        <v>1035466</v>
      </c>
      <c r="B546" t="inlineStr">
        <is>
          <t>Casing Scraper 7-13/16" OD Body
4-1/2" IF Box x 4-1/2" REG Box</t>
        </is>
      </c>
      <c r="C546" t="n">
        <v>198</v>
      </c>
      <c r="D546" s="62" t="n">
        <v>7.8125</v>
      </c>
      <c r="E546" t="n">
        <v>1500</v>
      </c>
      <c r="T546" t="n">
        <v>17</v>
      </c>
    </row>
    <row r="547">
      <c r="A547" t="n">
        <v>8135467</v>
      </c>
      <c r="B547" t="inlineStr">
        <is>
          <t>XO
2-3/8" REG Pin x 2-3/8" REG Pin</t>
        </is>
      </c>
      <c r="C547" t="n">
        <v>13.2397265446875</v>
      </c>
      <c r="D547" s="62" t="n">
        <v>3.0625</v>
      </c>
      <c r="E547" t="n">
        <v>400</v>
      </c>
      <c r="T547" t="n">
        <v>48</v>
      </c>
    </row>
    <row r="548">
      <c r="A548" t="n">
        <v>5145468</v>
      </c>
      <c r="B548" t="inlineStr">
        <is>
          <t>Elevator for 4-1/2" OD 90° 
Center Latch 25T</t>
        </is>
      </c>
      <c r="C548" t="n">
        <v>66</v>
      </c>
      <c r="D548" s="62" t="inlineStr">
        <is>
          <t>for 4-1/2" OD</t>
        </is>
      </c>
      <c r="E548" t="inlineStr">
        <is>
          <t>90°</t>
        </is>
      </c>
      <c r="T548" t="n">
        <v>6</v>
      </c>
    </row>
    <row r="549">
      <c r="A549" t="n">
        <v>5145469</v>
      </c>
      <c r="B549" t="inlineStr">
        <is>
          <t>Elevator for 5" OD 90° 
Center Latch 25T</t>
        </is>
      </c>
      <c r="C549" t="n">
        <v>64</v>
      </c>
      <c r="D549" s="62" t="inlineStr">
        <is>
          <t>for 5" OD</t>
        </is>
      </c>
      <c r="E549" t="inlineStr">
        <is>
          <t>90°</t>
        </is>
      </c>
      <c r="T549" t="n">
        <v>7</v>
      </c>
    </row>
    <row r="550">
      <c r="A550" t="n">
        <v>5145470</v>
      </c>
      <c r="B550" t="inlineStr">
        <is>
          <t>Elevator for 3-1/2" OD 90° 
Center Latch</t>
        </is>
      </c>
      <c r="C550" t="n">
        <v>32</v>
      </c>
      <c r="D550" s="62" t="inlineStr">
        <is>
          <t xml:space="preserve"> for 3-1/2" OD</t>
        </is>
      </c>
      <c r="E550" t="inlineStr">
        <is>
          <t>90°</t>
        </is>
      </c>
      <c r="T550" t="n">
        <v>5</v>
      </c>
    </row>
    <row r="551">
      <c r="A551" t="n">
        <v>5145471</v>
      </c>
      <c r="B551" t="inlineStr">
        <is>
          <t>Elevator for 6-5/8" OD 90° 
Side Door 320T</t>
        </is>
      </c>
      <c r="C551" t="n">
        <v>174</v>
      </c>
      <c r="D551" s="62" t="inlineStr">
        <is>
          <t>for 6-5/8" OD</t>
        </is>
      </c>
      <c r="E551" t="inlineStr">
        <is>
          <t>90°</t>
        </is>
      </c>
      <c r="T551" t="n">
        <v>8</v>
      </c>
    </row>
    <row r="552">
      <c r="A552" t="n">
        <v>5145472</v>
      </c>
      <c r="B552" t="inlineStr">
        <is>
          <t>Elevator for 7" OD 90° 
Side Door 150T</t>
        </is>
      </c>
      <c r="C552" t="n">
        <v>132</v>
      </c>
      <c r="D552" s="62" t="inlineStr">
        <is>
          <t>for 7" OD</t>
        </is>
      </c>
      <c r="E552" t="inlineStr">
        <is>
          <t>90°</t>
        </is>
      </c>
      <c r="T552" t="n">
        <v>9</v>
      </c>
    </row>
    <row r="553">
      <c r="A553" t="n">
        <v>5145473</v>
      </c>
      <c r="B553" t="inlineStr">
        <is>
          <t>DP Elevator for 5-1/2" DP 18°
Center Latch</t>
        </is>
      </c>
      <c r="C553" t="n">
        <v>288</v>
      </c>
      <c r="D553" s="62" t="inlineStr">
        <is>
          <t xml:space="preserve">5-1/2" DP </t>
        </is>
      </c>
      <c r="E553" t="inlineStr">
        <is>
          <t>18°</t>
        </is>
      </c>
      <c r="T553" t="n">
        <v>16</v>
      </c>
    </row>
    <row r="554">
      <c r="A554" t="n">
        <v>5145474</v>
      </c>
      <c r="B554" t="inlineStr">
        <is>
          <t>DP Elevator for 3-1/2" DP 18°
Center Latch 250T</t>
        </is>
      </c>
      <c r="C554" t="n">
        <v>224</v>
      </c>
      <c r="D554" s="62" t="inlineStr">
        <is>
          <t>3-1/2" DP</t>
        </is>
      </c>
      <c r="E554" t="inlineStr">
        <is>
          <t>18°</t>
        </is>
      </c>
      <c r="T554" t="n">
        <v>13</v>
      </c>
    </row>
    <row r="555">
      <c r="A555" t="n">
        <v>5145475</v>
      </c>
      <c r="B555" t="inlineStr">
        <is>
          <t>DP Elevator for 2-7/8" Tbg with slips
Center Latch 50T</t>
        </is>
      </c>
      <c r="C555" t="n">
        <v>132</v>
      </c>
      <c r="D555" s="62" t="inlineStr">
        <is>
          <t>2-3/8"-3/1/2" Tbg</t>
        </is>
      </c>
      <c r="E555" t="inlineStr">
        <is>
          <t>à peignes</t>
        </is>
      </c>
      <c r="T555" t="n">
        <v>6</v>
      </c>
    </row>
    <row r="556">
      <c r="A556" t="n">
        <v>8015476</v>
      </c>
      <c r="B556" t="inlineStr">
        <is>
          <t>Bull Nose 6-1/2" OD 
4-1/2" IF Box</t>
        </is>
      </c>
      <c r="C556" t="n">
        <v>20</v>
      </c>
      <c r="D556" s="62" t="n">
        <v>6.5</v>
      </c>
      <c r="E556" t="n">
        <v>240</v>
      </c>
      <c r="T556" t="n">
        <v>17</v>
      </c>
    </row>
    <row r="557">
      <c r="A557" t="n">
        <v>5035477</v>
      </c>
      <c r="B557" t="inlineStr">
        <is>
          <t>Junk Mill 
7-5/8" REG Pin</t>
        </is>
      </c>
      <c r="C557" t="n">
        <v>444</v>
      </c>
      <c r="D557" s="62" t="n">
        <v>15.125</v>
      </c>
      <c r="E557" t="n">
        <v>0</v>
      </c>
      <c r="T557" t="n">
        <v>91</v>
      </c>
    </row>
    <row r="558">
      <c r="A558" t="n">
        <v>8085478</v>
      </c>
      <c r="B558" t="inlineStr">
        <is>
          <t>Float Sub 4-3/4" Lg 405 mm
3-1/2" IF Pin x 3-1/2" IF Box BF (3-1/2" IF)</t>
        </is>
      </c>
      <c r="C558" t="n">
        <v>24</v>
      </c>
      <c r="D558" s="62" t="n">
        <v>4.75</v>
      </c>
      <c r="E558" t="n">
        <v>405</v>
      </c>
      <c r="T558" t="n">
        <v>8</v>
      </c>
    </row>
    <row r="559">
      <c r="A559" t="n">
        <v>7055479</v>
      </c>
      <c r="B559" t="inlineStr">
        <is>
          <t>Extension 8-1/8" FS Lg 820mm CA C-5342
8-1/8" FS Sellers Pin x Box</t>
        </is>
      </c>
      <c r="C559" t="n">
        <v>68.9734201678032</v>
      </c>
      <c r="D559" s="62" t="inlineStr">
        <is>
          <t>8-1/8" FS</t>
        </is>
      </c>
      <c r="E559" t="n">
        <v>820</v>
      </c>
      <c r="T559" t="n">
        <v>44</v>
      </c>
    </row>
    <row r="560">
      <c r="A560" t="n">
        <v>8115480</v>
      </c>
      <c r="B560" t="inlineStr">
        <is>
          <t>String Stab
4-1/2" IF Pin x 4-1/2" IF Box</t>
        </is>
      </c>
      <c r="C560" t="n">
        <v>248</v>
      </c>
      <c r="D560" s="62" t="n">
        <v>8.5</v>
      </c>
      <c r="E560" t="n">
        <v>1590</v>
      </c>
      <c r="T560" t="n">
        <v>35</v>
      </c>
    </row>
    <row r="561">
      <c r="A561" t="n">
        <v>8025481</v>
      </c>
      <c r="B561" t="inlineStr">
        <is>
          <t>Bit Sub
7-5/8" REG Box x 7-5/8" REG Box BF</t>
        </is>
      </c>
      <c r="C561" t="n">
        <v>285.6571302975</v>
      </c>
      <c r="D561" s="62" t="n">
        <v>9.5</v>
      </c>
      <c r="E561" t="n">
        <v>890</v>
      </c>
      <c r="T561" t="n">
        <v>65</v>
      </c>
    </row>
    <row r="562">
      <c r="A562" t="n">
        <v>3025482</v>
      </c>
      <c r="B562" t="inlineStr">
        <is>
          <t>KWA 12000
6-5/8" REG Pin up x 6-5/8" REG Box down</t>
        </is>
      </c>
      <c r="C562" t="n">
        <v>0</v>
      </c>
      <c r="D562" s="62" t="n">
        <v>12000</v>
      </c>
      <c r="E562" t="n">
        <v>2840</v>
      </c>
      <c r="T562" t="n">
        <v>9</v>
      </c>
    </row>
    <row r="563">
      <c r="A563" t="n">
        <v>5155483</v>
      </c>
      <c r="D563" s="62" t="n"/>
    </row>
    <row r="564">
      <c r="A564" t="n">
        <v>5155484</v>
      </c>
      <c r="D564" s="62" t="n"/>
    </row>
    <row r="565">
      <c r="A565" t="n">
        <v>5155485</v>
      </c>
      <c r="D565" s="62" t="n"/>
    </row>
    <row r="566">
      <c r="A566" t="n">
        <v>5155486</v>
      </c>
      <c r="D566" s="62" t="n"/>
    </row>
    <row r="567">
      <c r="A567" t="n">
        <v>8135487</v>
      </c>
      <c r="B567" t="inlineStr">
        <is>
          <t>XO
5-3/4" FS Pin x 5-3/8" BRS Box</t>
        </is>
      </c>
      <c r="C567" t="n">
        <v>28.04785146466874</v>
      </c>
      <c r="D567" s="62" t="n">
        <v>5.75</v>
      </c>
      <c r="E567" t="n">
        <v>510</v>
      </c>
      <c r="T567" t="n">
        <v>197</v>
      </c>
    </row>
    <row r="568">
      <c r="A568" t="n">
        <v>5025488</v>
      </c>
      <c r="B568" t="inlineStr">
        <is>
          <t>Economill 
2-3/8" REG Pin</t>
        </is>
      </c>
      <c r="C568" t="n">
        <v>7</v>
      </c>
      <c r="D568" s="62" t="n">
        <v>4.125</v>
      </c>
      <c r="E568" t="n">
        <v>130</v>
      </c>
      <c r="T568" t="n">
        <v>12</v>
      </c>
    </row>
    <row r="569">
      <c r="A569" t="n">
        <v>5025489</v>
      </c>
      <c r="B569" t="inlineStr">
        <is>
          <t>Economill 
2-3/8" REG Pin</t>
        </is>
      </c>
      <c r="C569" t="n">
        <v>7</v>
      </c>
      <c r="D569" s="62" t="n">
        <v>4.25</v>
      </c>
      <c r="E569" t="n">
        <v>130</v>
      </c>
      <c r="T569" t="n">
        <v>15</v>
      </c>
    </row>
    <row r="570">
      <c r="A570" t="n">
        <v>7045490</v>
      </c>
      <c r="B570" t="inlineStr">
        <is>
          <t>7-3/4" SFS Overshot - CA 9163
4-1/2" IF Box</t>
        </is>
      </c>
      <c r="C570" t="n">
        <v>0</v>
      </c>
      <c r="D570" s="62" t="inlineStr">
        <is>
          <t>7-3/4" SFS</t>
        </is>
      </c>
      <c r="E570" t="n">
        <v>0</v>
      </c>
      <c r="T570" t="n">
        <v>53</v>
      </c>
    </row>
    <row r="571">
      <c r="A571" t="n">
        <v>7045491</v>
      </c>
      <c r="B571" t="inlineStr">
        <is>
          <t>8-5/8" FS Overshot - CA C-4817
4-1/2" IF Box</t>
        </is>
      </c>
      <c r="C571" t="n">
        <v>118</v>
      </c>
      <c r="D571" s="62" t="inlineStr">
        <is>
          <t>8-5/8" FS</t>
        </is>
      </c>
      <c r="E571" t="n">
        <v>1230</v>
      </c>
      <c r="T571" t="n">
        <v>73</v>
      </c>
    </row>
    <row r="572">
      <c r="A572" t="n">
        <v>7045492</v>
      </c>
      <c r="B572" t="inlineStr">
        <is>
          <t>9-3/8" FS Overshot - CA C-1500
6-5/8" REG Box</t>
        </is>
      </c>
      <c r="C572" t="n">
        <v>162</v>
      </c>
      <c r="D572" s="62" t="inlineStr">
        <is>
          <t>9-3/8" FS</t>
        </is>
      </c>
      <c r="E572" t="n">
        <v>1215</v>
      </c>
      <c r="T572" t="n">
        <v>80</v>
      </c>
    </row>
    <row r="573">
      <c r="A573" t="n">
        <v>7045493</v>
      </c>
      <c r="B573" t="inlineStr">
        <is>
          <t>3-7/8" SH Overshot - CA C-1835
2-3/8" REG Box</t>
        </is>
      </c>
      <c r="C573" t="n">
        <v>26</v>
      </c>
      <c r="D573" s="62" t="inlineStr">
        <is>
          <t>3-7/8" SH</t>
        </is>
      </c>
      <c r="E573" t="n">
        <v>920</v>
      </c>
      <c r="T573" t="n">
        <v>10</v>
      </c>
    </row>
    <row r="574">
      <c r="A574" t="n">
        <v>8085494</v>
      </c>
      <c r="B574" t="inlineStr">
        <is>
          <t xml:space="preserve">Flex Collar 4-3/4" OD
3-1/2" IF Pin x Box
Set on : </t>
        </is>
      </c>
      <c r="C574" t="n">
        <v>23.6710262465625</v>
      </c>
      <c r="D574" s="62" t="n">
        <v>4.75</v>
      </c>
      <c r="E574" t="n">
        <v>295</v>
      </c>
      <c r="T574" t="n">
        <v>37</v>
      </c>
    </row>
    <row r="575">
      <c r="A575" t="n">
        <v>8135495</v>
      </c>
      <c r="B575" t="inlineStr">
        <is>
          <t>XO
1-1/4" REG Pin x 2-3/8" REG Box</t>
        </is>
      </c>
      <c r="C575" t="n">
        <v>12</v>
      </c>
      <c r="D575" s="62" t="n">
        <v>3.5</v>
      </c>
      <c r="E575" t="n">
        <v>305</v>
      </c>
      <c r="T575" t="n">
        <v>9</v>
      </c>
    </row>
    <row r="576">
      <c r="A576" t="n">
        <v>5025496</v>
      </c>
      <c r="B576" t="inlineStr">
        <is>
          <t>Economill 
2-3/8" REG Pin</t>
        </is>
      </c>
      <c r="C576" t="n">
        <v>5</v>
      </c>
      <c r="D576" s="62" t="n">
        <v>3.75</v>
      </c>
      <c r="E576" t="n">
        <v>110</v>
      </c>
      <c r="T576" t="n">
        <v>7</v>
      </c>
    </row>
    <row r="577">
      <c r="A577" t="n">
        <v>7045497</v>
      </c>
      <c r="B577" t="inlineStr">
        <is>
          <t>4-1/8" FS Overshot - CA 9105
2-3/8" IF Box</t>
        </is>
      </c>
      <c r="C577" t="n">
        <v>22</v>
      </c>
      <c r="D577" s="62" t="inlineStr">
        <is>
          <t>4-1/8" FS</t>
        </is>
      </c>
      <c r="E577" t="n">
        <v>750</v>
      </c>
      <c r="T577" t="n">
        <v>17</v>
      </c>
    </row>
    <row r="578">
      <c r="A578" t="n">
        <v>8015498</v>
      </c>
      <c r="B578" t="inlineStr">
        <is>
          <t>Bull Nose 4" OD
2-3/8" REG Box</t>
        </is>
      </c>
      <c r="C578" t="n">
        <v>0</v>
      </c>
      <c r="D578" s="62" t="n">
        <v>4</v>
      </c>
      <c r="E578" t="n">
        <v>0</v>
      </c>
      <c r="T578" t="n">
        <v>5</v>
      </c>
    </row>
    <row r="579">
      <c r="A579" t="n">
        <v>5095499</v>
      </c>
      <c r="B579" t="inlineStr">
        <is>
          <t>WO Extension Lg 3010 mm
8-1/8" FJWP Pin x Box</t>
        </is>
      </c>
      <c r="C579" t="n">
        <v>159.963672309919</v>
      </c>
      <c r="D579" s="62" t="n">
        <v>8.125</v>
      </c>
      <c r="E579" t="n">
        <v>3010</v>
      </c>
      <c r="T579" t="n">
        <v>97</v>
      </c>
    </row>
    <row r="580">
      <c r="A580" t="n">
        <v>5100138</v>
      </c>
      <c r="B580" t="inlineStr">
        <is>
          <t>WO Pipe
7-5/8" FJWP Pin x Box</t>
        </is>
      </c>
      <c r="C580" t="n">
        <v>386.6370493049997</v>
      </c>
      <c r="D580" s="62" t="n">
        <v>7.625</v>
      </c>
      <c r="E580" t="n">
        <v>9000</v>
      </c>
      <c r="T580" t="n">
        <v>95</v>
      </c>
      <c r="V580" t="inlineStr">
        <is>
          <t>FR</t>
        </is>
      </c>
    </row>
    <row r="581">
      <c r="A581" t="inlineStr">
        <is>
          <t>ref 807-2,875-10,40NC26</t>
        </is>
      </c>
      <c r="B581" t="inlineStr">
        <is>
          <t>DP 2-7/8" 10,40 # Range 2
2-3/8" IF Pin x Box</t>
        </is>
      </c>
      <c r="C581" t="n">
        <v>10.4</v>
      </c>
      <c r="D581" s="62" t="n">
        <v>2.875</v>
      </c>
      <c r="E581" t="inlineStr">
        <is>
          <t>R2</t>
        </is>
      </c>
      <c r="T581" t="n">
        <v>11</v>
      </c>
    </row>
    <row r="582">
      <c r="A582" t="inlineStr">
        <is>
          <t>lot</t>
        </is>
      </c>
      <c r="D582" s="62" t="n"/>
    </row>
    <row r="583">
      <c r="A583" t="n">
        <v>4035300</v>
      </c>
      <c r="B583" t="inlineStr">
        <is>
          <t>Jar Z 8" 
6-5/8" REG Pin down  x Box up</t>
        </is>
      </c>
      <c r="C583" t="n">
        <v>448</v>
      </c>
      <c r="D583" s="62" t="n">
        <v>8</v>
      </c>
      <c r="E583" t="n">
        <v>2300</v>
      </c>
      <c r="T583" t="n">
        <v>26</v>
      </c>
    </row>
    <row r="584">
      <c r="A584" t="n">
        <v>4035301</v>
      </c>
      <c r="D584" s="62" t="n"/>
      <c r="V584" t="inlineStr">
        <is>
          <t>RDC</t>
        </is>
      </c>
    </row>
    <row r="585">
      <c r="A585" t="n">
        <v>4025302</v>
      </c>
      <c r="D585" s="62" t="n"/>
      <c r="V585" t="inlineStr">
        <is>
          <t>RDC</t>
        </is>
      </c>
    </row>
    <row r="586">
      <c r="A586" t="n">
        <v>4025303</v>
      </c>
      <c r="B586" t="inlineStr">
        <is>
          <t xml:space="preserve">Bumper Sub 8" OD
6-5/8" REG Pin down x Box up </t>
        </is>
      </c>
      <c r="C586" t="n">
        <v>277</v>
      </c>
      <c r="D586" s="62" t="n">
        <v>8</v>
      </c>
      <c r="E586" t="n">
        <v>1570</v>
      </c>
      <c r="T586" t="n">
        <v>24</v>
      </c>
    </row>
    <row r="587">
      <c r="A587" t="n">
        <v>4035304</v>
      </c>
      <c r="B587" t="inlineStr">
        <is>
          <t>Jar Z 4-3/4" 
3-1/2" IF Pin down x Box up</t>
        </is>
      </c>
      <c r="C587" t="n">
        <v>180</v>
      </c>
      <c r="D587" s="62" t="n">
        <v>4.75</v>
      </c>
    </row>
    <row r="588">
      <c r="A588" t="n">
        <v>4055307</v>
      </c>
      <c r="B588" t="inlineStr">
        <is>
          <t>Safety Joint 8" OD teeth and spring type
6-5/8" REG Pin down x Box up</t>
        </is>
      </c>
      <c r="C588" t="n">
        <v>292</v>
      </c>
      <c r="D588" s="62" t="n">
        <v>8</v>
      </c>
      <c r="E588" t="n">
        <v>1575</v>
      </c>
      <c r="T588" t="n">
        <v>18</v>
      </c>
    </row>
    <row r="589">
      <c r="A589" t="n">
        <v>5110138</v>
      </c>
      <c r="B589" t="inlineStr">
        <is>
          <t>WO Shoe
3-3/4" ACME(6) Box</t>
        </is>
      </c>
      <c r="C589" t="n">
        <v>12</v>
      </c>
      <c r="D589" s="62" t="n">
        <v>3.875</v>
      </c>
      <c r="E589" t="n">
        <v>610</v>
      </c>
      <c r="T589" t="n">
        <v>33</v>
      </c>
      <c r="V589" t="inlineStr">
        <is>
          <t>FR</t>
        </is>
      </c>
    </row>
    <row r="590">
      <c r="A590" t="n">
        <v>5110139</v>
      </c>
      <c r="B590" t="inlineStr">
        <is>
          <t>WO Shoe
3-3/4" ACME(6) Box</t>
        </is>
      </c>
      <c r="C590" t="n">
        <v>12</v>
      </c>
      <c r="D590" s="62" t="n">
        <v>3.875</v>
      </c>
      <c r="E590" t="n">
        <v>610</v>
      </c>
      <c r="T590" t="n">
        <v>34</v>
      </c>
      <c r="V590" t="inlineStr">
        <is>
          <t>FR</t>
        </is>
      </c>
    </row>
    <row r="591">
      <c r="A591" t="n">
        <v>5090140</v>
      </c>
      <c r="B591" t="inlineStr">
        <is>
          <t>WO Extension Lg 1130 mm
3-3/4" ACME(6) Pin x Box</t>
        </is>
      </c>
      <c r="C591" t="n">
        <v>19.18062948140625</v>
      </c>
      <c r="D591" s="62" t="n">
        <v>3.75</v>
      </c>
      <c r="E591" t="n">
        <v>1130</v>
      </c>
      <c r="T591" t="n">
        <v>17</v>
      </c>
      <c r="V591" t="inlineStr">
        <is>
          <t>FR</t>
        </is>
      </c>
    </row>
    <row r="592">
      <c r="A592" t="n">
        <v>5090141</v>
      </c>
      <c r="B592" t="inlineStr">
        <is>
          <t>WO Extension Lg 1130 mm
3-3/4" ACME(6) Pin x Box</t>
        </is>
      </c>
      <c r="C592" t="n">
        <v>19.18062948140625</v>
      </c>
      <c r="D592" s="62" t="n">
        <v>3.75</v>
      </c>
      <c r="E592" t="n">
        <v>1130</v>
      </c>
      <c r="T592" t="n">
        <v>18</v>
      </c>
      <c r="V592" t="inlineStr">
        <is>
          <t>FR</t>
        </is>
      </c>
    </row>
    <row r="593">
      <c r="A593" t="n">
        <v>5090089</v>
      </c>
      <c r="B593" t="inlineStr">
        <is>
          <t>ajout de travaux sur immo existante</t>
        </is>
      </c>
      <c r="C593" t="n">
        <v>19.18062948140625</v>
      </c>
      <c r="D593" s="62" t="n">
        <v>3.75</v>
      </c>
      <c r="E593" t="n">
        <v>1130</v>
      </c>
      <c r="T593" t="n">
        <v>16</v>
      </c>
      <c r="V593" t="inlineStr">
        <is>
          <t>FR</t>
        </is>
      </c>
    </row>
    <row r="594">
      <c r="A594" t="n">
        <v>5120142</v>
      </c>
      <c r="B594" t="inlineStr">
        <is>
          <t>WO Top Sub
2-3/8" REG Box x 3-3/4" ACME(4) Pin</t>
        </is>
      </c>
      <c r="C594" t="n">
        <v>14</v>
      </c>
      <c r="D594" s="62" t="n">
        <v>3.75</v>
      </c>
      <c r="E594" t="n">
        <v>330</v>
      </c>
      <c r="T594" t="n">
        <v>10</v>
      </c>
      <c r="V594" t="inlineStr">
        <is>
          <t>FR</t>
        </is>
      </c>
    </row>
    <row r="595">
      <c r="A595" t="inlineStr">
        <is>
          <t xml:space="preserve"> - </t>
        </is>
      </c>
      <c r="D595" s="62" t="n"/>
      <c r="V595" t="inlineStr">
        <is>
          <t>FR</t>
        </is>
      </c>
    </row>
    <row r="596">
      <c r="A596" t="n">
        <v>5110143</v>
      </c>
      <c r="B596" t="inlineStr">
        <is>
          <t>WO Shoe
10-3/4" FJWP Box</t>
        </is>
      </c>
      <c r="C596" t="n">
        <v>60</v>
      </c>
      <c r="D596" s="62" t="n">
        <v>11.25</v>
      </c>
      <c r="E596" t="n">
        <v>720</v>
      </c>
      <c r="T596" t="n">
        <v>214</v>
      </c>
      <c r="V596" t="inlineStr">
        <is>
          <t>FR</t>
        </is>
      </c>
    </row>
    <row r="597">
      <c r="A597" t="n">
        <v>5110144</v>
      </c>
      <c r="B597" t="inlineStr">
        <is>
          <t>WO Shoe
10-3/4" FJWP Box</t>
        </is>
      </c>
      <c r="C597" t="n">
        <v>60</v>
      </c>
      <c r="D597" s="62" t="n">
        <v>11.375</v>
      </c>
      <c r="E597" t="n">
        <v>700</v>
      </c>
      <c r="T597" t="n">
        <v>215</v>
      </c>
      <c r="V597" t="inlineStr">
        <is>
          <t>FR</t>
        </is>
      </c>
    </row>
    <row r="598">
      <c r="A598" t="n">
        <v>5110145</v>
      </c>
      <c r="B598" t="inlineStr">
        <is>
          <t>WO Shoe
10-3/4" FJWP Box</t>
        </is>
      </c>
      <c r="C598" t="n">
        <v>60</v>
      </c>
      <c r="D598" s="62" t="n">
        <v>11.5</v>
      </c>
      <c r="E598" t="n">
        <v>700</v>
      </c>
      <c r="T598" t="n">
        <v>216</v>
      </c>
      <c r="V598" t="inlineStr">
        <is>
          <t>FR</t>
        </is>
      </c>
    </row>
    <row r="599">
      <c r="A599" t="n">
        <v>5110146</v>
      </c>
      <c r="B599" t="inlineStr">
        <is>
          <t>WO Shoe
10-3/4" FJWP Box</t>
        </is>
      </c>
      <c r="C599" t="n">
        <v>58</v>
      </c>
      <c r="D599" s="62" t="n">
        <v>11.25</v>
      </c>
      <c r="E599" t="n">
        <v>700</v>
      </c>
      <c r="T599" t="n">
        <v>217</v>
      </c>
      <c r="V599" t="inlineStr">
        <is>
          <t>FR</t>
        </is>
      </c>
    </row>
    <row r="600">
      <c r="A600" t="n">
        <v>5110147</v>
      </c>
      <c r="B600" t="inlineStr">
        <is>
          <t>WO Shoe
10-3/4" FJWP Box</t>
        </is>
      </c>
      <c r="C600" t="n">
        <v>0</v>
      </c>
      <c r="D600" s="62" t="inlineStr">
        <is>
          <t>flush</t>
        </is>
      </c>
      <c r="E600" t="n">
        <v>700</v>
      </c>
      <c r="T600" t="n">
        <v>218</v>
      </c>
      <c r="V600" t="inlineStr">
        <is>
          <t>FR</t>
        </is>
      </c>
    </row>
    <row r="601">
      <c r="A601" t="n">
        <v>5110148</v>
      </c>
      <c r="B601" t="inlineStr">
        <is>
          <t>WO Shoe
10-3/4" FJWP Box</t>
        </is>
      </c>
      <c r="C601" t="n">
        <v>0</v>
      </c>
      <c r="D601" s="62" t="inlineStr">
        <is>
          <t>flush</t>
        </is>
      </c>
      <c r="E601" t="n">
        <v>700</v>
      </c>
      <c r="T601" t="n">
        <v>219</v>
      </c>
      <c r="V601" t="inlineStr">
        <is>
          <t>FR</t>
        </is>
      </c>
    </row>
    <row r="602">
      <c r="A602" t="n">
        <v>5090149</v>
      </c>
      <c r="B602" t="inlineStr">
        <is>
          <t>WO Extension Lg 1400 mm
10-3/4" FJWP Pin x Box</t>
        </is>
      </c>
      <c r="C602" t="n">
        <v>99.80716933687519</v>
      </c>
      <c r="D602" s="62" t="n">
        <v>10.75</v>
      </c>
      <c r="E602" t="n">
        <v>1400</v>
      </c>
      <c r="T602" t="n">
        <v>122</v>
      </c>
      <c r="V602" t="inlineStr">
        <is>
          <t>FR</t>
        </is>
      </c>
    </row>
    <row r="603">
      <c r="A603" t="n">
        <v>5090150</v>
      </c>
      <c r="C603" t="n">
        <v>99.80716933687519</v>
      </c>
      <c r="D603" s="62" t="n">
        <v>10.75</v>
      </c>
      <c r="E603" t="n">
        <v>1400</v>
      </c>
      <c r="T603" t="n">
        <v>123</v>
      </c>
    </row>
    <row r="604">
      <c r="A604" t="n">
        <v>5090151</v>
      </c>
      <c r="B604" t="inlineStr">
        <is>
          <t>WO Extension Lg 1400 mm
10-3/4" FJWP Pin x Box</t>
        </is>
      </c>
      <c r="C604" t="n">
        <v>99.80716933687519</v>
      </c>
      <c r="D604" s="62" t="n">
        <v>10.75</v>
      </c>
      <c r="E604" t="n">
        <v>1400</v>
      </c>
      <c r="T604" t="n">
        <v>124</v>
      </c>
      <c r="V604" t="inlineStr">
        <is>
          <t>FR</t>
        </is>
      </c>
    </row>
    <row r="605">
      <c r="A605" t="n">
        <v>5090152</v>
      </c>
      <c r="B605" t="inlineStr">
        <is>
          <t>WO Extension Lg 2410 mm
10-3/4" FJWP Pin x Box</t>
        </is>
      </c>
      <c r="C605" t="n">
        <v>171.8109129299066</v>
      </c>
      <c r="D605" s="62" t="n">
        <v>10.75</v>
      </c>
      <c r="E605" t="n">
        <v>2410</v>
      </c>
      <c r="T605" t="n">
        <v>127</v>
      </c>
      <c r="V605" t="inlineStr">
        <is>
          <t>FR</t>
        </is>
      </c>
    </row>
    <row r="606">
      <c r="A606" t="n">
        <v>5100153</v>
      </c>
      <c r="B606" t="inlineStr">
        <is>
          <t>WO Pipe
10-3/4" FJWP Pin x Box</t>
        </is>
      </c>
      <c r="C606" t="n">
        <v>671.5596679666888</v>
      </c>
      <c r="D606" s="62" t="n">
        <v>10.75</v>
      </c>
      <c r="E606" t="n">
        <v>9420</v>
      </c>
      <c r="T606" t="n">
        <v>146</v>
      </c>
      <c r="V606" t="inlineStr">
        <is>
          <t>FR</t>
        </is>
      </c>
    </row>
    <row r="607">
      <c r="A607" t="n">
        <v>5100154</v>
      </c>
      <c r="B607" t="inlineStr">
        <is>
          <t>WO Pipe
10-3/4" FJWP Pin x Box</t>
        </is>
      </c>
      <c r="C607" t="n">
        <v>670.1338512618763</v>
      </c>
      <c r="D607" s="62" t="n">
        <v>10.75</v>
      </c>
      <c r="E607" t="n">
        <v>9400</v>
      </c>
      <c r="T607" t="n">
        <v>147</v>
      </c>
      <c r="V607" t="inlineStr">
        <is>
          <t>FR</t>
        </is>
      </c>
    </row>
    <row r="608">
      <c r="A608" t="n">
        <v>5100155</v>
      </c>
      <c r="B608" t="inlineStr">
        <is>
          <t>WO Pipe
10-3/4" FJWP Pin x Box</t>
        </is>
      </c>
      <c r="C608" t="n">
        <v>669.4209429094702</v>
      </c>
      <c r="D608" s="62" t="n">
        <v>10.75</v>
      </c>
      <c r="E608" t="n">
        <v>9390</v>
      </c>
      <c r="T608" t="n">
        <v>148</v>
      </c>
      <c r="V608" t="inlineStr">
        <is>
          <t>FR</t>
        </is>
      </c>
    </row>
    <row r="609">
      <c r="A609" t="n">
        <v>5100156</v>
      </c>
      <c r="B609" t="inlineStr">
        <is>
          <t>WO Pipe
10-3/4" FJWP Pin x Box</t>
        </is>
      </c>
      <c r="C609" t="n">
        <v>670.1338512618763</v>
      </c>
      <c r="D609" s="62" t="n">
        <v>10.75</v>
      </c>
      <c r="E609" t="n">
        <v>9400</v>
      </c>
      <c r="T609" t="n">
        <v>149</v>
      </c>
      <c r="V609" t="inlineStr">
        <is>
          <t>FR</t>
        </is>
      </c>
    </row>
    <row r="610">
      <c r="A610" t="n">
        <v>5100157</v>
      </c>
      <c r="B610" t="inlineStr">
        <is>
          <t>WO Pipe
10-3/4" FJWP Pin x Box</t>
        </is>
      </c>
      <c r="C610" t="n">
        <v>670.1338512618763</v>
      </c>
      <c r="D610" s="62" t="n">
        <v>10.75</v>
      </c>
      <c r="E610" t="n">
        <v>9400</v>
      </c>
      <c r="T610" t="n">
        <v>150</v>
      </c>
      <c r="V610" t="inlineStr">
        <is>
          <t>FR</t>
        </is>
      </c>
    </row>
    <row r="611">
      <c r="A611" t="n">
        <v>5100158</v>
      </c>
      <c r="B611" t="inlineStr">
        <is>
          <t>WO Pipe
10-3/4" FJWP Pin x Box</t>
        </is>
      </c>
      <c r="C611" t="n">
        <v>670.1338512618763</v>
      </c>
      <c r="D611" s="62" t="n">
        <v>10.75</v>
      </c>
      <c r="E611" t="n">
        <v>9400</v>
      </c>
      <c r="T611" t="n">
        <v>151</v>
      </c>
      <c r="V611" t="inlineStr">
        <is>
          <t>FR</t>
        </is>
      </c>
    </row>
    <row r="612">
      <c r="A612" t="n">
        <v>5100159</v>
      </c>
      <c r="B612" t="inlineStr">
        <is>
          <t>WO Pipe
10-3/4" FJWP Pin x Box</t>
        </is>
      </c>
      <c r="C612" t="n">
        <v>670.1338512618763</v>
      </c>
      <c r="D612" s="62" t="n">
        <v>10.75</v>
      </c>
      <c r="E612" t="n">
        <v>9400</v>
      </c>
      <c r="T612" t="n">
        <v>152</v>
      </c>
      <c r="V612" t="inlineStr">
        <is>
          <t>FR</t>
        </is>
      </c>
    </row>
    <row r="613">
      <c r="A613" t="n">
        <v>5100160</v>
      </c>
      <c r="B613" t="inlineStr">
        <is>
          <t>WO Pipe
10-3/4" FJWP Pin x Box</t>
        </is>
      </c>
      <c r="C613" t="n">
        <v>651.5982340993139</v>
      </c>
      <c r="D613" s="62" t="n">
        <v>10.75</v>
      </c>
      <c r="E613" t="n">
        <v>9140</v>
      </c>
      <c r="T613" t="n">
        <v>153</v>
      </c>
      <c r="V613" t="inlineStr">
        <is>
          <t>FR</t>
        </is>
      </c>
    </row>
    <row r="614">
      <c r="A614" t="n">
        <v>5100161</v>
      </c>
      <c r="B614" t="inlineStr">
        <is>
          <t>WO Pipe
10-3/4" FJWP Pin x Box</t>
        </is>
      </c>
      <c r="C614" t="n">
        <v>0</v>
      </c>
      <c r="D614" s="62" t="n">
        <v>10.75</v>
      </c>
      <c r="E614" t="n">
        <v>9420</v>
      </c>
      <c r="T614" t="n">
        <v>154</v>
      </c>
      <c r="V614" t="inlineStr">
        <is>
          <t>FR</t>
        </is>
      </c>
    </row>
    <row r="615">
      <c r="A615" t="n">
        <v>5090162</v>
      </c>
      <c r="B615" t="inlineStr">
        <is>
          <t>WO Extension Lg 3910 mm
10-3/4" FJWP Pin x Box</t>
        </is>
      </c>
      <c r="C615" t="n">
        <v>278.7471657908443</v>
      </c>
      <c r="D615" s="62" t="n">
        <v>10.75</v>
      </c>
      <c r="E615" t="n">
        <v>3910</v>
      </c>
      <c r="T615" t="n">
        <v>131</v>
      </c>
      <c r="V615" t="inlineStr">
        <is>
          <t>FR</t>
        </is>
      </c>
    </row>
    <row r="616">
      <c r="A616" t="n">
        <v>5090163</v>
      </c>
      <c r="B616" t="inlineStr">
        <is>
          <t>WO Extension Lg 3905 mm
10-3/4" FJWP Pin x Box</t>
        </is>
      </c>
      <c r="C616" t="n">
        <v>278.3907116146412</v>
      </c>
      <c r="D616" s="62" t="n">
        <v>10.75</v>
      </c>
      <c r="E616" t="n">
        <v>3905</v>
      </c>
      <c r="T616" t="n">
        <v>130</v>
      </c>
      <c r="V616" t="inlineStr">
        <is>
          <t>FR</t>
        </is>
      </c>
    </row>
    <row r="617">
      <c r="A617" t="n">
        <v>5090164</v>
      </c>
      <c r="B617" t="inlineStr">
        <is>
          <t>WO Extension Lg 2905 mm
10-3/4" FJWP Pin x Box</t>
        </is>
      </c>
      <c r="C617" t="n">
        <v>207.099876374016</v>
      </c>
      <c r="D617" s="62" t="n">
        <v>10.75</v>
      </c>
      <c r="E617" t="n">
        <v>2905</v>
      </c>
      <c r="T617" t="n">
        <v>129</v>
      </c>
      <c r="V617" t="inlineStr">
        <is>
          <t>FR</t>
        </is>
      </c>
    </row>
    <row r="618">
      <c r="A618" t="n">
        <v>5090165</v>
      </c>
      <c r="C618" t="n">
        <v>206.7434221978129</v>
      </c>
      <c r="D618" s="62" t="n">
        <v>10.75</v>
      </c>
      <c r="E618" t="n">
        <v>2900</v>
      </c>
      <c r="T618" t="n">
        <v>128</v>
      </c>
    </row>
    <row r="619">
      <c r="A619" t="n">
        <v>5090166</v>
      </c>
      <c r="B619" t="inlineStr">
        <is>
          <t>WO Extension Lg 1900 mm
10-3/4" FJWP Pin x Box</t>
        </is>
      </c>
      <c r="C619" t="n">
        <v>135.4525869571878</v>
      </c>
      <c r="D619" s="62" t="n">
        <v>10.75</v>
      </c>
      <c r="E619" t="n">
        <v>1900</v>
      </c>
      <c r="T619" t="n">
        <v>125</v>
      </c>
      <c r="V619" t="inlineStr">
        <is>
          <t>FR</t>
        </is>
      </c>
    </row>
    <row r="620">
      <c r="A620" t="n">
        <v>5090167</v>
      </c>
      <c r="C620" t="n">
        <v>135.4525869571878</v>
      </c>
      <c r="D620" s="62" t="n">
        <v>10.75</v>
      </c>
      <c r="E620" t="n">
        <v>1900</v>
      </c>
      <c r="T620" t="n">
        <v>126</v>
      </c>
    </row>
    <row r="621">
      <c r="A621" t="n">
        <v>5120168</v>
      </c>
      <c r="B621" t="inlineStr">
        <is>
          <t>WO Top Sub
6-5/8" REG Box x 10-3/4" FJWP Pin x 6-5/8" REG Box in</t>
        </is>
      </c>
      <c r="C621" t="n">
        <v>206</v>
      </c>
      <c r="D621" s="62" t="n">
        <v>10.75</v>
      </c>
      <c r="E621" t="n">
        <v>760</v>
      </c>
      <c r="T621" t="n">
        <v>46</v>
      </c>
      <c r="V621" t="inlineStr">
        <is>
          <t>FR</t>
        </is>
      </c>
    </row>
    <row r="622">
      <c r="A622" t="inlineStr">
        <is>
          <t xml:space="preserve"> - </t>
        </is>
      </c>
      <c r="D622" s="62" t="n"/>
      <c r="V622" t="inlineStr">
        <is>
          <t>FR</t>
        </is>
      </c>
    </row>
    <row r="623">
      <c r="A623" t="inlineStr">
        <is>
          <t>lot</t>
        </is>
      </c>
      <c r="D623" s="62" t="n"/>
    </row>
    <row r="624">
      <c r="A624" t="n">
        <v>4025305</v>
      </c>
      <c r="B624" t="inlineStr">
        <is>
          <t>Surface Bumper Sub 7" OD 
4-1/2" IF Pin down x Box up</t>
        </is>
      </c>
      <c r="C624" t="n">
        <v>0</v>
      </c>
      <c r="D624" s="62" t="n">
        <v>7</v>
      </c>
      <c r="E624" t="n">
        <v>2800</v>
      </c>
      <c r="T624" t="n">
        <v>22</v>
      </c>
    </row>
    <row r="625">
      <c r="A625" t="n">
        <v>4025306</v>
      </c>
      <c r="D625" s="62" t="n"/>
    </row>
    <row r="626">
      <c r="A626" t="n">
        <v>8130169</v>
      </c>
      <c r="D626" s="62" t="n"/>
    </row>
    <row r="627">
      <c r="A627" t="n">
        <v>5110170</v>
      </c>
      <c r="D627" s="62" t="n"/>
      <c r="V627" t="n">
        <v>1506041</v>
      </c>
    </row>
    <row r="628">
      <c r="A628" t="n">
        <v>5110171</v>
      </c>
      <c r="D628" s="62" t="n"/>
      <c r="V628" t="n">
        <v>1507050</v>
      </c>
    </row>
    <row r="629">
      <c r="A629" t="n">
        <v>5110172</v>
      </c>
      <c r="B629" t="inlineStr">
        <is>
          <t>WO Shoe
6" FJWP Box</t>
        </is>
      </c>
      <c r="C629" t="n">
        <v>0</v>
      </c>
      <c r="D629" s="62" t="n">
        <v>6.125</v>
      </c>
      <c r="E629" t="n">
        <v>825</v>
      </c>
      <c r="T629" t="n">
        <v>249</v>
      </c>
      <c r="V629" t="inlineStr">
        <is>
          <t>FR</t>
        </is>
      </c>
    </row>
    <row r="630">
      <c r="A630" t="n">
        <v>5110173</v>
      </c>
      <c r="B630" t="inlineStr">
        <is>
          <t>WO Shoe
6" FJWP Box</t>
        </is>
      </c>
      <c r="C630" t="n">
        <v>0</v>
      </c>
      <c r="D630" s="62" t="n">
        <v>6.125</v>
      </c>
      <c r="E630" t="n">
        <v>960</v>
      </c>
      <c r="T630" t="n">
        <v>250</v>
      </c>
      <c r="V630" t="inlineStr">
        <is>
          <t>FR</t>
        </is>
      </c>
    </row>
    <row r="631">
      <c r="A631" t="n">
        <v>5100174</v>
      </c>
      <c r="B631" t="inlineStr">
        <is>
          <t>WO Pipe
6" FJWP Pin x Box</t>
        </is>
      </c>
      <c r="C631" t="n">
        <v>267.3622354357497</v>
      </c>
      <c r="D631" s="62" t="n">
        <v>6</v>
      </c>
      <c r="E631" t="n">
        <v>9520</v>
      </c>
      <c r="T631" t="n">
        <v>84</v>
      </c>
      <c r="V631" t="inlineStr">
        <is>
          <t>FR</t>
        </is>
      </c>
    </row>
    <row r="632">
      <c r="A632" t="n">
        <v>5100175</v>
      </c>
      <c r="C632" t="e">
        <v>#VALUE!</v>
      </c>
      <c r="D632" s="62" t="e">
        <v>#VALUE!</v>
      </c>
      <c r="E632" t="e">
        <v>#VALUE!</v>
      </c>
      <c r="T632" t="e">
        <v>#N/A</v>
      </c>
      <c r="V632" t="n">
        <v>1507050</v>
      </c>
    </row>
    <row r="633">
      <c r="A633" t="n">
        <v>5100176</v>
      </c>
      <c r="C633" t="e">
        <v>#VALUE!</v>
      </c>
      <c r="D633" s="62" t="e">
        <v>#VALUE!</v>
      </c>
      <c r="E633" t="e">
        <v>#VALUE!</v>
      </c>
      <c r="T633" t="e">
        <v>#N/A</v>
      </c>
      <c r="V633" t="n">
        <v>1507050</v>
      </c>
    </row>
    <row r="634">
      <c r="A634" t="n">
        <v>5100177</v>
      </c>
      <c r="B634" t="inlineStr">
        <is>
          <t>WO Pipe
6" FJWP Pin x Box</t>
        </is>
      </c>
      <c r="C634" t="n">
        <v>273.8216171742184</v>
      </c>
      <c r="D634" s="62" t="n">
        <v>6</v>
      </c>
      <c r="E634" t="n">
        <v>9750</v>
      </c>
      <c r="T634" t="n">
        <v>85</v>
      </c>
      <c r="V634" t="inlineStr">
        <is>
          <t>FR</t>
        </is>
      </c>
    </row>
    <row r="635">
      <c r="A635" t="n">
        <v>5100178</v>
      </c>
      <c r="B635" t="inlineStr">
        <is>
          <t>WO Pipe
6" FJWP Pin x Box</t>
        </is>
      </c>
      <c r="C635" t="n">
        <v>269.6089769099997</v>
      </c>
      <c r="D635" s="62" t="n">
        <v>6</v>
      </c>
      <c r="E635" t="n">
        <v>9600</v>
      </c>
      <c r="T635" t="n">
        <v>86</v>
      </c>
      <c r="V635" t="inlineStr">
        <is>
          <t>FR</t>
        </is>
      </c>
    </row>
    <row r="636">
      <c r="A636" t="n">
        <v>5120179</v>
      </c>
      <c r="B636" t="inlineStr">
        <is>
          <t>WO Top Sub
3-1/2" IF Pin x 6" FJWP Pin x 3-1/2" REG Box in</t>
        </is>
      </c>
      <c r="C636" t="n">
        <v>64</v>
      </c>
      <c r="D636" s="62" t="n">
        <v>6</v>
      </c>
      <c r="E636" t="n">
        <v>530</v>
      </c>
      <c r="T636" t="n">
        <v>27</v>
      </c>
      <c r="V636" t="inlineStr">
        <is>
          <t>FR</t>
        </is>
      </c>
    </row>
    <row r="637">
      <c r="A637" t="n">
        <v>5090180</v>
      </c>
      <c r="B637" t="inlineStr">
        <is>
          <t>WO Extension Lg 1395 mm
6" FJWP Pin x Box</t>
        </is>
      </c>
      <c r="C637" t="n">
        <v>42.85852248590859</v>
      </c>
      <c r="D637" s="62" t="n">
        <v>6</v>
      </c>
      <c r="E637" t="n">
        <v>1395</v>
      </c>
      <c r="T637" t="n">
        <v>71</v>
      </c>
      <c r="V637" t="inlineStr">
        <is>
          <t>FR</t>
        </is>
      </c>
    </row>
    <row r="638">
      <c r="A638" t="n">
        <v>8020181</v>
      </c>
      <c r="B638" t="inlineStr">
        <is>
          <t>Bit Sub
2-3/8" REG Box x 2-3/8" REG Box</t>
        </is>
      </c>
      <c r="C638" t="n">
        <v>22.24058026673438</v>
      </c>
      <c r="D638" s="62" t="n">
        <v>3.125</v>
      </c>
      <c r="E638" t="n">
        <v>700</v>
      </c>
      <c r="T638" t="n">
        <v>14</v>
      </c>
      <c r="V638" t="inlineStr">
        <is>
          <t>FR</t>
        </is>
      </c>
    </row>
    <row r="639">
      <c r="A639" t="n">
        <v>8020182</v>
      </c>
      <c r="D639" s="62" t="n"/>
      <c r="V639" t="n">
        <v>1704017</v>
      </c>
    </row>
    <row r="640">
      <c r="A640" t="n">
        <v>8020183</v>
      </c>
      <c r="D640" s="62" t="n"/>
      <c r="V640" t="n">
        <v>1704017</v>
      </c>
    </row>
    <row r="641">
      <c r="A641" t="n">
        <v>8130184</v>
      </c>
      <c r="D641" s="62" t="n"/>
      <c r="V641" t="n">
        <v>1704017</v>
      </c>
    </row>
    <row r="642">
      <c r="A642" t="n">
        <v>8130185</v>
      </c>
      <c r="D642" s="62" t="n"/>
      <c r="V642" t="n">
        <v>1704017</v>
      </c>
    </row>
    <row r="643">
      <c r="A643" t="n">
        <v>5110186</v>
      </c>
      <c r="B643" t="inlineStr">
        <is>
          <t>WO Shoe
6" FJWP Box</t>
        </is>
      </c>
      <c r="C643" t="n">
        <v>0</v>
      </c>
      <c r="D643" s="62" t="n">
        <v>6.125</v>
      </c>
      <c r="E643" t="n">
        <v>900</v>
      </c>
      <c r="T643" t="n">
        <v>248</v>
      </c>
      <c r="V643" t="inlineStr">
        <is>
          <t>FR</t>
        </is>
      </c>
    </row>
    <row r="644">
      <c r="A644" t="n">
        <v>1090187</v>
      </c>
      <c r="B644" t="inlineStr">
        <is>
          <t>Junk Sub 9-5/8" OD Cup 
6-5/8" REG Pin x Box</t>
        </is>
      </c>
      <c r="C644" t="n">
        <v>281</v>
      </c>
      <c r="D644" s="62" t="n">
        <v>9.625</v>
      </c>
      <c r="E644" t="n">
        <v>1405</v>
      </c>
      <c r="T644" t="n">
        <v>35</v>
      </c>
      <c r="V644" t="inlineStr">
        <is>
          <t>FR</t>
        </is>
      </c>
    </row>
    <row r="645">
      <c r="A645" t="n">
        <v>1090188</v>
      </c>
      <c r="B645" t="inlineStr">
        <is>
          <t>Junk Sub 9-5/8" OD Cup 
6-5/8" REG Pin x Box</t>
        </is>
      </c>
      <c r="C645" t="n">
        <v>280</v>
      </c>
      <c r="D645" s="62" t="n">
        <v>9.625</v>
      </c>
      <c r="E645" t="n">
        <v>1405</v>
      </c>
      <c r="T645" t="n">
        <v>36</v>
      </c>
      <c r="V645" t="inlineStr">
        <is>
          <t>FR</t>
        </is>
      </c>
    </row>
    <row r="646">
      <c r="A646" t="n">
        <v>1090189</v>
      </c>
      <c r="B646" t="inlineStr">
        <is>
          <t>Junk Sub 7" OD Cup 
4-1/2" REG Pin x Box</t>
        </is>
      </c>
      <c r="C646" t="n">
        <v>129</v>
      </c>
      <c r="D646" s="62" t="n">
        <v>7</v>
      </c>
      <c r="E646" t="n">
        <v>1200</v>
      </c>
      <c r="T646" t="n">
        <v>28</v>
      </c>
      <c r="V646" t="inlineStr">
        <is>
          <t>FR</t>
        </is>
      </c>
    </row>
    <row r="647">
      <c r="A647" t="n">
        <v>1065213</v>
      </c>
      <c r="B647" t="inlineStr">
        <is>
          <t>Impression Block 11-3/4" 
6-5/8" REG Box</t>
        </is>
      </c>
      <c r="C647" t="n">
        <v>254</v>
      </c>
      <c r="D647" s="62" t="n">
        <v>11.75</v>
      </c>
      <c r="E647" t="n">
        <v>750</v>
      </c>
      <c r="T647" t="n">
        <v>26</v>
      </c>
      <c r="V647" t="inlineStr">
        <is>
          <t>FR</t>
        </is>
      </c>
    </row>
    <row r="648">
      <c r="A648" t="n">
        <v>1065214</v>
      </c>
      <c r="B648" t="inlineStr">
        <is>
          <t>Impression Block 7-7/8" 
4-1/2" IF Box</t>
        </is>
      </c>
      <c r="C648" t="n">
        <v>75</v>
      </c>
      <c r="D648" s="62" t="n">
        <v>7.875</v>
      </c>
      <c r="E648" t="n">
        <v>420</v>
      </c>
      <c r="T648" t="n">
        <v>15</v>
      </c>
      <c r="V648" t="inlineStr">
        <is>
          <t>FR</t>
        </is>
      </c>
    </row>
    <row r="649">
      <c r="A649" t="n">
        <v>5100190</v>
      </c>
      <c r="B649" t="inlineStr">
        <is>
          <t>WO Pipe
4" FJWP Pin x Box</t>
        </is>
      </c>
      <c r="C649" t="e">
        <v>#N/A</v>
      </c>
      <c r="D649" s="62" t="e">
        <v>#N/A</v>
      </c>
      <c r="E649" t="e">
        <v>#N/A</v>
      </c>
      <c r="T649" t="e">
        <v>#N/A</v>
      </c>
      <c r="V649" t="inlineStr">
        <is>
          <t>FR</t>
        </is>
      </c>
    </row>
    <row r="650">
      <c r="A650" t="n">
        <v>5100191</v>
      </c>
      <c r="B650" t="inlineStr">
        <is>
          <t>WO Pipe
4" FJWP Pin x Box</t>
        </is>
      </c>
      <c r="C650" t="n">
        <v>197.614491867</v>
      </c>
      <c r="D650" s="62" t="n">
        <v>4</v>
      </c>
      <c r="E650" t="n">
        <v>9200</v>
      </c>
      <c r="T650" t="n">
        <v>16</v>
      </c>
      <c r="V650" t="inlineStr">
        <is>
          <t>FR</t>
        </is>
      </c>
    </row>
    <row r="651">
      <c r="A651" t="n">
        <v>5100192</v>
      </c>
      <c r="B651" t="inlineStr">
        <is>
          <t>WO Pipe
4" FJWP Pin x Box</t>
        </is>
      </c>
      <c r="C651" t="n">
        <v>197.614491867</v>
      </c>
      <c r="D651" s="62" t="n">
        <v>4</v>
      </c>
      <c r="E651" t="n">
        <v>9200</v>
      </c>
      <c r="T651" t="n">
        <v>17</v>
      </c>
      <c r="V651" t="inlineStr">
        <is>
          <t>FR</t>
        </is>
      </c>
    </row>
    <row r="652">
      <c r="A652" t="n">
        <v>5100193</v>
      </c>
      <c r="B652" t="inlineStr">
        <is>
          <t>WO Pipe
4" FJWP Pin x Box</t>
        </is>
      </c>
      <c r="C652" t="n">
        <v>197.614491867</v>
      </c>
      <c r="D652" s="62" t="n">
        <v>4</v>
      </c>
      <c r="E652" t="n">
        <v>9200</v>
      </c>
      <c r="T652" t="n">
        <v>18</v>
      </c>
      <c r="V652" t="inlineStr">
        <is>
          <t>FR</t>
        </is>
      </c>
    </row>
    <row r="653">
      <c r="A653" t="n">
        <v>5100194</v>
      </c>
      <c r="B653" t="inlineStr">
        <is>
          <t>WO Pipe
4" FJWP Pin x Box</t>
        </is>
      </c>
      <c r="C653" t="n">
        <v>197.614491867</v>
      </c>
      <c r="D653" s="62" t="n">
        <v>4</v>
      </c>
      <c r="E653" t="n">
        <v>9200</v>
      </c>
      <c r="T653" t="n">
        <v>19</v>
      </c>
      <c r="V653" t="inlineStr">
        <is>
          <t>FR</t>
        </is>
      </c>
    </row>
    <row r="654">
      <c r="A654" t="n">
        <v>5090195</v>
      </c>
      <c r="B654" t="inlineStr">
        <is>
          <t>WO Extension Lg 4000 mm
4" FJWP Pin x Box</t>
        </is>
      </c>
      <c r="C654" t="n">
        <v>85.91934429</v>
      </c>
      <c r="D654" s="62" t="n">
        <v>4</v>
      </c>
      <c r="E654" t="n">
        <v>4000</v>
      </c>
      <c r="T654" t="n">
        <v>24</v>
      </c>
      <c r="V654" t="inlineStr">
        <is>
          <t>FR</t>
        </is>
      </c>
    </row>
    <row r="655">
      <c r="A655" t="n">
        <v>5090297</v>
      </c>
      <c r="B655" t="inlineStr">
        <is>
          <t>WO Extension Lg 930 mm
4" FJWP Pin x Box</t>
        </is>
      </c>
      <c r="C655" t="n">
        <v>19.976247547425</v>
      </c>
      <c r="D655" s="62" t="n">
        <v>4</v>
      </c>
      <c r="E655" t="n">
        <v>930</v>
      </c>
      <c r="T655" t="n">
        <v>23</v>
      </c>
      <c r="V655" t="inlineStr">
        <is>
          <t>FR</t>
        </is>
      </c>
    </row>
    <row r="656">
      <c r="A656" t="n">
        <v>5110197</v>
      </c>
      <c r="B656" t="inlineStr">
        <is>
          <t>WO Shoe
4" FJWP Box</t>
        </is>
      </c>
      <c r="C656" t="n">
        <v>0</v>
      </c>
      <c r="D656" s="62" t="n">
        <v>0</v>
      </c>
      <c r="E656" t="n">
        <v>500</v>
      </c>
      <c r="T656" t="n">
        <v>41</v>
      </c>
      <c r="V656" t="inlineStr">
        <is>
          <t>FR</t>
        </is>
      </c>
    </row>
    <row r="657">
      <c r="A657" t="n">
        <v>5110198</v>
      </c>
      <c r="B657" t="inlineStr">
        <is>
          <t>WO Shoe
4" FJWP Box</t>
        </is>
      </c>
      <c r="C657" t="n">
        <v>0</v>
      </c>
      <c r="D657" s="62" t="n">
        <v>0</v>
      </c>
      <c r="E657" t="n">
        <v>500</v>
      </c>
      <c r="T657" t="n">
        <v>42</v>
      </c>
      <c r="V657" t="inlineStr">
        <is>
          <t>FR</t>
        </is>
      </c>
    </row>
    <row r="658">
      <c r="A658" t="n">
        <v>5110199</v>
      </c>
      <c r="B658" t="inlineStr">
        <is>
          <t>WO Shoe
4" FJWP Box</t>
        </is>
      </c>
      <c r="C658" t="n">
        <v>0</v>
      </c>
      <c r="D658" s="62" t="n">
        <v>0</v>
      </c>
      <c r="E658" t="n">
        <v>500</v>
      </c>
      <c r="T658" t="n">
        <v>43</v>
      </c>
      <c r="V658" t="inlineStr">
        <is>
          <t>FR</t>
        </is>
      </c>
    </row>
    <row r="659">
      <c r="A659" t="n">
        <v>5110200</v>
      </c>
      <c r="B659" t="inlineStr">
        <is>
          <t>WO Shoe
4" FJWP Box</t>
        </is>
      </c>
      <c r="C659" t="n">
        <v>0</v>
      </c>
      <c r="D659" s="62" t="n">
        <v>0</v>
      </c>
      <c r="E659" t="n">
        <v>500</v>
      </c>
      <c r="T659" t="n">
        <v>44</v>
      </c>
      <c r="V659" t="inlineStr">
        <is>
          <t>FR</t>
        </is>
      </c>
    </row>
    <row r="660">
      <c r="A660" t="n">
        <v>5110201</v>
      </c>
      <c r="B660" t="inlineStr">
        <is>
          <t>WO Shoe
4" FJWP Box</t>
        </is>
      </c>
      <c r="C660" t="n">
        <v>0</v>
      </c>
      <c r="D660" s="62" t="n">
        <v>0</v>
      </c>
      <c r="E660" t="n">
        <v>500</v>
      </c>
      <c r="T660" t="n">
        <v>45</v>
      </c>
      <c r="V660" t="inlineStr">
        <is>
          <t>FR</t>
        </is>
      </c>
    </row>
    <row r="661">
      <c r="A661" t="n">
        <v>5080203</v>
      </c>
      <c r="B661" t="inlineStr">
        <is>
          <t>Taper Mill 
4" IF Pin</t>
        </is>
      </c>
      <c r="C661" t="n">
        <v>102</v>
      </c>
      <c r="D661" s="62" t="n">
        <v>8.375</v>
      </c>
      <c r="E661" t="n">
        <v>102</v>
      </c>
      <c r="T661" t="n">
        <v>38</v>
      </c>
      <c r="V661" t="inlineStr">
        <is>
          <t>FR</t>
        </is>
      </c>
    </row>
    <row r="662">
      <c r="A662" t="n">
        <v>8015226</v>
      </c>
      <c r="B662" t="inlineStr">
        <is>
          <t>Bull Nose 8-3/8" OD
4-1/2" REG Pin</t>
        </is>
      </c>
      <c r="C662" t="n">
        <v>96</v>
      </c>
      <c r="D662" s="62" t="n">
        <v>8.375</v>
      </c>
      <c r="E662" t="n">
        <v>665</v>
      </c>
      <c r="T662" t="n">
        <v>21</v>
      </c>
      <c r="V662" t="inlineStr">
        <is>
          <t>FR</t>
        </is>
      </c>
    </row>
    <row r="663">
      <c r="A663" t="n">
        <v>7140206</v>
      </c>
      <c r="B663" t="inlineStr">
        <is>
          <t>Spear Stop Sub 6-1/2" OD body
4-1/2" IF Box up x Pin down</t>
        </is>
      </c>
      <c r="C663" t="n">
        <v>148</v>
      </c>
      <c r="D663" s="62" t="n">
        <v>6.5</v>
      </c>
      <c r="E663" t="n">
        <v>1040</v>
      </c>
      <c r="T663" t="n">
        <v>8</v>
      </c>
      <c r="V663" t="inlineStr">
        <is>
          <t>FR</t>
        </is>
      </c>
    </row>
    <row r="664">
      <c r="A664" t="n">
        <v>3050207</v>
      </c>
      <c r="B664" t="inlineStr">
        <is>
          <t>SPX 8200
4-1/2" REG Pin up x nose down</t>
        </is>
      </c>
      <c r="C664" t="n">
        <v>0</v>
      </c>
      <c r="D664" s="62" t="n">
        <v>8200</v>
      </c>
      <c r="E664" t="n">
        <v>1790</v>
      </c>
      <c r="T664" t="n">
        <v>8</v>
      </c>
      <c r="V664" t="inlineStr">
        <is>
          <t>mise au rebut en attendant éventuelle réparation</t>
        </is>
      </c>
    </row>
    <row r="665">
      <c r="A665" t="n">
        <v>8010208</v>
      </c>
      <c r="B665" t="inlineStr">
        <is>
          <t>Bull Nose 5-7/8" OD 
3-1/2" REG Pin</t>
        </is>
      </c>
      <c r="C665" t="n">
        <v>42</v>
      </c>
      <c r="D665" s="62" t="n">
        <v>5.875</v>
      </c>
      <c r="E665" t="n">
        <v>420</v>
      </c>
      <c r="T665" t="n">
        <v>14</v>
      </c>
      <c r="V665" t="inlineStr">
        <is>
          <t>FR</t>
        </is>
      </c>
    </row>
    <row r="666">
      <c r="A666" t="n">
        <v>8010209</v>
      </c>
      <c r="B666" t="inlineStr">
        <is>
          <t>Bull Nose 6-7/8" OD 
3-1/2" REG Pin</t>
        </is>
      </c>
      <c r="C666" t="n">
        <v>52</v>
      </c>
      <c r="D666" s="62" t="n">
        <v>6.875</v>
      </c>
      <c r="E666" t="n">
        <v>450</v>
      </c>
      <c r="T666" t="n">
        <v>15</v>
      </c>
      <c r="V666" t="inlineStr">
        <is>
          <t>FR</t>
        </is>
      </c>
    </row>
    <row r="667">
      <c r="A667" t="n">
        <v>8110210</v>
      </c>
      <c r="B667" t="inlineStr">
        <is>
          <t>String Stab
2-3/8" REG Pin x 2-3/8" REG Box</t>
        </is>
      </c>
      <c r="C667" t="n">
        <v>56</v>
      </c>
      <c r="D667" s="62" t="n">
        <v>3.875</v>
      </c>
      <c r="E667" t="n">
        <v>1565</v>
      </c>
      <c r="T667" t="n">
        <v>5</v>
      </c>
      <c r="V667" t="inlineStr">
        <is>
          <t>FR</t>
        </is>
      </c>
    </row>
    <row r="668">
      <c r="A668" t="n">
        <v>8110211</v>
      </c>
      <c r="B668" t="inlineStr">
        <is>
          <t>String Stab
2-3/8" REG Pin x 2-3/8" REG Box</t>
        </is>
      </c>
      <c r="C668" t="n">
        <v>0</v>
      </c>
      <c r="D668" s="62" t="n">
        <v>3.5</v>
      </c>
      <c r="E668" t="n">
        <v>1090</v>
      </c>
      <c r="T668" t="n">
        <v>6</v>
      </c>
      <c r="V668" t="inlineStr">
        <is>
          <t>FR</t>
        </is>
      </c>
    </row>
    <row r="669">
      <c r="A669" t="n">
        <v>8110252</v>
      </c>
      <c r="D669" s="62" t="n"/>
    </row>
    <row r="670">
      <c r="A670" t="n">
        <v>8080213</v>
      </c>
      <c r="B670" t="inlineStr">
        <is>
          <t>Short DC 3-1/8" Lg 1500mm
2-3/8" REG Pin x Box</t>
        </is>
      </c>
      <c r="C670" t="n">
        <v>51.9404656753125</v>
      </c>
      <c r="D670" s="62" t="n">
        <v>3.125</v>
      </c>
      <c r="E670" t="n">
        <v>1500</v>
      </c>
      <c r="T670" t="n">
        <v>7</v>
      </c>
      <c r="V670" t="inlineStr">
        <is>
          <t>FR</t>
        </is>
      </c>
    </row>
    <row r="671">
      <c r="A671" t="n">
        <v>8080214</v>
      </c>
      <c r="B671" t="inlineStr">
        <is>
          <t>Short DC 3-1/8" Lg 1500mm
2-3/8" REG Pin x Box</t>
        </is>
      </c>
      <c r="C671" t="n">
        <v>51.9404656753125</v>
      </c>
      <c r="D671" s="62" t="n">
        <v>3.125</v>
      </c>
      <c r="E671" t="n">
        <v>1500</v>
      </c>
      <c r="T671" t="n">
        <v>8</v>
      </c>
      <c r="V671" t="inlineStr">
        <is>
          <t>FR</t>
        </is>
      </c>
    </row>
    <row r="672">
      <c r="A672" t="n">
        <v>8080215</v>
      </c>
      <c r="B672" t="inlineStr">
        <is>
          <t>Short DC 3-1/8" Lg 3050mm
2-3/8" REG Pin x Box</t>
        </is>
      </c>
      <c r="C672" t="n">
        <v>105.6122802064688</v>
      </c>
      <c r="D672" s="62" t="n">
        <v>3.125</v>
      </c>
      <c r="E672" t="n">
        <v>3050</v>
      </c>
      <c r="T672" t="n">
        <v>9</v>
      </c>
      <c r="V672" t="inlineStr">
        <is>
          <t>FR</t>
        </is>
      </c>
    </row>
    <row r="673">
      <c r="A673" t="n">
        <v>5080216</v>
      </c>
      <c r="B673" t="inlineStr">
        <is>
          <t>Taper Mill 
4" IF Pin</t>
        </is>
      </c>
      <c r="C673" t="n">
        <v>126</v>
      </c>
      <c r="D673" s="62" t="n">
        <v>8.375</v>
      </c>
      <c r="E673" t="n">
        <v>126</v>
      </c>
      <c r="T673" t="n">
        <v>39</v>
      </c>
      <c r="V673" t="inlineStr">
        <is>
          <t>FR</t>
        </is>
      </c>
    </row>
    <row r="674">
      <c r="A674" t="n">
        <v>5090217</v>
      </c>
      <c r="B674" t="inlineStr">
        <is>
          <t>WO Extension Lg 2825 mm
8-5/8" FJWP Pin x Box</t>
        </is>
      </c>
      <c r="C674" t="n">
        <v>138.1005322661251</v>
      </c>
      <c r="D674" s="62" t="n">
        <v>8.625</v>
      </c>
      <c r="E674" t="n">
        <v>2825</v>
      </c>
      <c r="T674" t="n">
        <v>171</v>
      </c>
      <c r="V674" t="inlineStr">
        <is>
          <t>FR</t>
        </is>
      </c>
    </row>
    <row r="675">
      <c r="A675" t="n">
        <v>5090218</v>
      </c>
      <c r="B675" t="inlineStr">
        <is>
          <t>WO Extension Lg 2705 mm
8-5/8" FJWP Pin x Box</t>
        </is>
      </c>
      <c r="C675" t="n">
        <v>132.2343149663251</v>
      </c>
      <c r="D675" s="62" t="n">
        <v>8.625</v>
      </c>
      <c r="E675" t="n">
        <v>2705</v>
      </c>
      <c r="T675" t="n">
        <v>113</v>
      </c>
      <c r="V675" t="inlineStr">
        <is>
          <t>FR</t>
        </is>
      </c>
    </row>
    <row r="676">
      <c r="A676" t="n">
        <v>5090219</v>
      </c>
      <c r="B676" t="inlineStr">
        <is>
          <t>WO Extension Lg 2660 mm
8-5/8" FJWP Pin x Box</t>
        </is>
      </c>
      <c r="C676" t="n">
        <v>130.0344834789001</v>
      </c>
      <c r="D676" s="62" t="n">
        <v>8.625</v>
      </c>
      <c r="E676" t="n">
        <v>2660</v>
      </c>
      <c r="T676" t="n">
        <v>170</v>
      </c>
      <c r="V676" t="inlineStr">
        <is>
          <t>FR</t>
        </is>
      </c>
    </row>
    <row r="677">
      <c r="A677" t="n">
        <v>2016</v>
      </c>
      <c r="D677" s="62" t="n"/>
    </row>
    <row r="678">
      <c r="A678" t="n">
        <v>8130220</v>
      </c>
      <c r="B678" t="inlineStr">
        <is>
          <t>XO
4-1/2" REG Pin x 4-1/2" REG Pin</t>
        </is>
      </c>
      <c r="C678" t="n">
        <v>76</v>
      </c>
      <c r="D678" s="62" t="n">
        <v>5.75</v>
      </c>
      <c r="E678" t="n">
        <v>605</v>
      </c>
      <c r="T678" t="n">
        <v>184</v>
      </c>
      <c r="V678" t="inlineStr">
        <is>
          <t>FR</t>
        </is>
      </c>
    </row>
    <row r="679">
      <c r="A679" t="n">
        <v>8020221</v>
      </c>
      <c r="D679" s="62" t="n"/>
      <c r="V679" t="inlineStr">
        <is>
          <t>RDC 1611A2017</t>
        </is>
      </c>
    </row>
    <row r="680">
      <c r="A680" t="n">
        <v>5060222</v>
      </c>
      <c r="D680" s="62" t="n"/>
      <c r="V680" t="inlineStr">
        <is>
          <t>RDC 0405A2018</t>
        </is>
      </c>
    </row>
    <row r="681">
      <c r="A681" t="n">
        <v>8100223</v>
      </c>
      <c r="B681" t="inlineStr">
        <is>
          <t>Non Rotating Sleeve type Stabilizer 5" OD body
3-1/2" IF Box up x Pin down</t>
        </is>
      </c>
      <c r="C681" t="n">
        <v>115</v>
      </c>
      <c r="D681" s="62" t="n">
        <v>5</v>
      </c>
      <c r="E681" t="n">
        <v>1700</v>
      </c>
      <c r="T681" t="n">
        <v>5</v>
      </c>
      <c r="V681" t="inlineStr">
        <is>
          <t>FR</t>
        </is>
      </c>
    </row>
    <row r="682">
      <c r="A682" t="n">
        <v>5045133</v>
      </c>
      <c r="B682" t="inlineStr">
        <is>
          <t>Viper Pilot Mill
4" IF Pin x 3-1/2" REG Box</t>
        </is>
      </c>
      <c r="C682" t="n">
        <v>0</v>
      </c>
      <c r="D682" s="62" t="n">
        <v>7.75</v>
      </c>
      <c r="E682" t="n">
        <v>1400</v>
      </c>
      <c r="T682" t="n">
        <v>21</v>
      </c>
      <c r="V682" t="inlineStr">
        <is>
          <t>FR</t>
        </is>
      </c>
    </row>
    <row r="683">
      <c r="A683" t="n">
        <v>5080225</v>
      </c>
      <c r="C683" t="n">
        <v>0</v>
      </c>
      <c r="D683" s="62" t="n">
        <v>12.25</v>
      </c>
      <c r="E683" t="n">
        <v>1740</v>
      </c>
      <c r="V683" t="inlineStr">
        <is>
          <t>1911085 / CI-1211A2019</t>
        </is>
      </c>
    </row>
    <row r="684">
      <c r="A684" t="n">
        <v>8130226</v>
      </c>
      <c r="B684" t="inlineStr">
        <is>
          <t>XO
7-5/8" REG Pin x 6-5/8" REG Box</t>
        </is>
      </c>
      <c r="C684" t="n">
        <v>274.7409911923219</v>
      </c>
      <c r="D684" s="62" t="n">
        <v>9.5</v>
      </c>
      <c r="E684" t="n">
        <v>860</v>
      </c>
      <c r="T684" t="n">
        <v>227</v>
      </c>
      <c r="V684" t="inlineStr">
        <is>
          <t>FR</t>
        </is>
      </c>
    </row>
    <row r="685">
      <c r="A685" t="n">
        <v>5080203</v>
      </c>
      <c r="B685" t="inlineStr">
        <is>
          <t>Taper Mill 
4" IF Pin</t>
        </is>
      </c>
      <c r="C685" t="n">
        <v>102</v>
      </c>
      <c r="D685" s="62" t="n">
        <v>8.375</v>
      </c>
      <c r="E685" t="n">
        <v>102</v>
      </c>
      <c r="T685" t="n">
        <v>38</v>
      </c>
      <c r="V685" t="inlineStr">
        <is>
          <t>FR</t>
        </is>
      </c>
    </row>
    <row r="686">
      <c r="A686" t="n">
        <v>5100227</v>
      </c>
      <c r="B686" t="inlineStr">
        <is>
          <t>WO Pipe
6" FJWP Pin x Box</t>
        </is>
      </c>
      <c r="C686" t="n">
        <v>269.6089769099997</v>
      </c>
      <c r="D686" s="62" t="n">
        <v>6</v>
      </c>
      <c r="E686" t="n">
        <v>9600</v>
      </c>
      <c r="T686" t="n">
        <v>87</v>
      </c>
      <c r="V686" t="inlineStr">
        <is>
          <t>FR</t>
        </is>
      </c>
    </row>
    <row r="687">
      <c r="A687" t="n">
        <v>5100228</v>
      </c>
      <c r="B687" t="inlineStr">
        <is>
          <t>WO Pipe
6" FJWP Pin x Box</t>
        </is>
      </c>
      <c r="C687" t="n">
        <v>269.6089769099997</v>
      </c>
      <c r="D687" s="62" t="n">
        <v>6</v>
      </c>
      <c r="E687" t="n">
        <v>9600</v>
      </c>
      <c r="T687" t="n">
        <v>88</v>
      </c>
      <c r="V687" t="inlineStr">
        <is>
          <t>FR</t>
        </is>
      </c>
    </row>
    <row r="688">
      <c r="A688" t="n">
        <v>5100229</v>
      </c>
      <c r="B688" t="inlineStr">
        <is>
          <t>WO Pipe
6" FJWP Pin x Box</t>
        </is>
      </c>
      <c r="C688" t="n">
        <v>269.6089769099997</v>
      </c>
      <c r="D688" s="62" t="n">
        <v>6</v>
      </c>
      <c r="E688" t="n">
        <v>9600</v>
      </c>
      <c r="T688" t="n">
        <v>89</v>
      </c>
      <c r="V688" t="inlineStr">
        <is>
          <t>FR</t>
        </is>
      </c>
    </row>
    <row r="689">
      <c r="A689" t="n">
        <v>5110230</v>
      </c>
      <c r="B689" t="inlineStr">
        <is>
          <t>WO Shoe
6" FJWP Box</t>
        </is>
      </c>
      <c r="C689" t="e">
        <v>#VALUE!</v>
      </c>
      <c r="D689" s="62" t="n">
        <v>0</v>
      </c>
      <c r="E689" t="e">
        <v>#VALUE!</v>
      </c>
      <c r="T689" t="n">
        <v>139</v>
      </c>
      <c r="V689" t="inlineStr">
        <is>
          <t>sorti des immos mais tjs en stock</t>
        </is>
      </c>
    </row>
    <row r="690">
      <c r="A690" t="n">
        <v>5110231</v>
      </c>
      <c r="B690" t="inlineStr">
        <is>
          <t>WO Shoe
6" FJWP Box</t>
        </is>
      </c>
      <c r="C690" t="e">
        <v>#VALUE!</v>
      </c>
      <c r="D690" s="62" t="n">
        <v>0</v>
      </c>
      <c r="E690" t="e">
        <v>#VALUE!</v>
      </c>
      <c r="T690" t="n">
        <v>251</v>
      </c>
      <c r="V690" t="inlineStr">
        <is>
          <t>sorti des immos mais tjs en stock</t>
        </is>
      </c>
    </row>
    <row r="691">
      <c r="A691" t="n">
        <v>5110232</v>
      </c>
      <c r="B691" t="inlineStr">
        <is>
          <t>WO Shoe
6" FJWP Box</t>
        </is>
      </c>
      <c r="C691" t="n">
        <v>0</v>
      </c>
      <c r="D691" s="62" t="n">
        <v>0</v>
      </c>
      <c r="E691" t="n">
        <v>800</v>
      </c>
      <c r="T691" t="n">
        <v>140</v>
      </c>
      <c r="V691" t="inlineStr">
        <is>
          <t>FR</t>
        </is>
      </c>
    </row>
    <row r="692">
      <c r="A692" t="n">
        <v>5110233</v>
      </c>
      <c r="B692" t="inlineStr">
        <is>
          <t>WO Shoe
6" FJWP Box</t>
        </is>
      </c>
      <c r="C692" t="n">
        <v>0</v>
      </c>
      <c r="D692" s="62" t="n">
        <v>0</v>
      </c>
      <c r="E692" t="n">
        <v>800</v>
      </c>
      <c r="T692" t="n">
        <v>141</v>
      </c>
      <c r="V692" t="inlineStr">
        <is>
          <t>FR</t>
        </is>
      </c>
    </row>
    <row r="693">
      <c r="A693" t="n">
        <v>5110234</v>
      </c>
      <c r="B693" t="inlineStr">
        <is>
          <t>WO Shoe
6" FJWP Box</t>
        </is>
      </c>
      <c r="C693" t="n">
        <v>0</v>
      </c>
      <c r="D693" s="62" t="n">
        <v>0</v>
      </c>
      <c r="E693" t="n">
        <v>800</v>
      </c>
      <c r="T693" t="n">
        <v>252</v>
      </c>
      <c r="V693" t="inlineStr">
        <is>
          <t>FR</t>
        </is>
      </c>
    </row>
    <row r="694">
      <c r="A694" t="n">
        <v>5110235</v>
      </c>
      <c r="B694" t="inlineStr">
        <is>
          <t>WO Shoe
6" FJWP Box</t>
        </is>
      </c>
      <c r="C694" t="n">
        <v>0</v>
      </c>
      <c r="D694" s="62" t="n">
        <v>0</v>
      </c>
      <c r="E694" t="n">
        <v>630</v>
      </c>
      <c r="T694" t="n">
        <v>253</v>
      </c>
      <c r="V694" t="inlineStr">
        <is>
          <t>FR</t>
        </is>
      </c>
    </row>
    <row r="695">
      <c r="A695" t="n">
        <v>5110236</v>
      </c>
      <c r="B695" t="inlineStr">
        <is>
          <t>WO Shoe
6" FJWP Box</t>
        </is>
      </c>
      <c r="C695" t="n">
        <v>0</v>
      </c>
      <c r="D695" s="62" t="n">
        <v>0</v>
      </c>
      <c r="E695" t="n">
        <v>630</v>
      </c>
      <c r="T695" t="n">
        <v>142</v>
      </c>
      <c r="V695" t="inlineStr">
        <is>
          <t>FR</t>
        </is>
      </c>
    </row>
    <row r="696">
      <c r="A696" t="n">
        <v>5090298</v>
      </c>
      <c r="B696" t="inlineStr">
        <is>
          <t>WO Extension Lg 950 mm
6" FJWP Pin x Box</t>
        </is>
      </c>
      <c r="C696" t="n">
        <v>29.18680742767969</v>
      </c>
      <c r="D696" s="62" t="n">
        <v>6</v>
      </c>
      <c r="E696" t="n">
        <v>950</v>
      </c>
      <c r="T696" t="n">
        <v>68</v>
      </c>
      <c r="V696" t="inlineStr">
        <is>
          <t>FR</t>
        </is>
      </c>
    </row>
    <row r="697">
      <c r="A697" t="n">
        <v>5090299</v>
      </c>
      <c r="B697" t="inlineStr">
        <is>
          <t>WO Extension Lg 920 mm
6" FJWP Pin x Box</t>
        </is>
      </c>
      <c r="C697" t="n">
        <v>28.26511877206875</v>
      </c>
      <c r="D697" s="62" t="n">
        <v>6</v>
      </c>
      <c r="E697" t="n">
        <v>920</v>
      </c>
      <c r="T697" t="n">
        <v>67</v>
      </c>
      <c r="V697" t="inlineStr">
        <is>
          <t>FR</t>
        </is>
      </c>
    </row>
    <row r="698">
      <c r="A698" t="n">
        <v>5090300</v>
      </c>
      <c r="B698" t="inlineStr">
        <is>
          <t>WO Extension Lg 1020 mm
6" FJWP Pin x Box</t>
        </is>
      </c>
      <c r="C698" t="n">
        <v>31.33741429077187</v>
      </c>
      <c r="D698" s="62" t="n">
        <v>6</v>
      </c>
      <c r="E698" t="n">
        <v>1020</v>
      </c>
      <c r="T698" t="n">
        <v>69</v>
      </c>
      <c r="V698" t="inlineStr">
        <is>
          <t>FR</t>
        </is>
      </c>
    </row>
    <row r="699">
      <c r="A699" t="n">
        <v>5090301</v>
      </c>
      <c r="B699" t="inlineStr">
        <is>
          <t>WO Extension Lg 1055 mm
6" FJWP Pin x Box</t>
        </is>
      </c>
      <c r="C699" t="n">
        <v>32.41271772231796</v>
      </c>
      <c r="D699" s="62" t="n">
        <v>6</v>
      </c>
      <c r="E699" t="n">
        <v>1055</v>
      </c>
      <c r="T699" t="n">
        <v>70</v>
      </c>
      <c r="V699" t="inlineStr">
        <is>
          <t>FR</t>
        </is>
      </c>
    </row>
    <row r="700">
      <c r="A700" t="n">
        <v>5090241</v>
      </c>
      <c r="B700" t="inlineStr">
        <is>
          <t>WO Extension Lg 1920 mm
6" FJWP Pin x Box</t>
        </is>
      </c>
      <c r="C700" t="n">
        <v>58.98807395909999</v>
      </c>
      <c r="D700" s="62" t="n">
        <v>6</v>
      </c>
      <c r="E700" t="n">
        <v>1920</v>
      </c>
      <c r="T700" t="n">
        <v>72</v>
      </c>
      <c r="V700" t="inlineStr">
        <is>
          <t>FR</t>
        </is>
      </c>
    </row>
    <row r="701">
      <c r="A701" t="n">
        <v>5090242</v>
      </c>
      <c r="B701" t="inlineStr">
        <is>
          <t>WO Extension Lg 2740 mm
6" FJWP Pin x Box</t>
        </is>
      </c>
      <c r="C701" t="n">
        <v>84.18089721246562</v>
      </c>
      <c r="D701" s="62" t="n">
        <v>6</v>
      </c>
      <c r="E701" t="n">
        <v>2740</v>
      </c>
      <c r="T701" t="n">
        <v>73</v>
      </c>
      <c r="V701" t="inlineStr">
        <is>
          <t>FR</t>
        </is>
      </c>
    </row>
    <row r="702">
      <c r="A702" t="n">
        <v>5150243</v>
      </c>
      <c r="B702" t="inlineStr">
        <is>
          <t>WO Lift Plug 
6" FJWP Pin</t>
        </is>
      </c>
      <c r="C702" t="n">
        <v>20</v>
      </c>
      <c r="D702" s="62" t="n">
        <v>7</v>
      </c>
      <c r="T702" t="n">
        <v>19</v>
      </c>
      <c r="V702" t="inlineStr">
        <is>
          <t>FR</t>
        </is>
      </c>
    </row>
    <row r="703">
      <c r="A703" t="n">
        <v>5150244</v>
      </c>
      <c r="B703" t="inlineStr">
        <is>
          <t>WO Lift Plug 
6" FJWP Pin</t>
        </is>
      </c>
      <c r="C703" t="n">
        <v>20</v>
      </c>
      <c r="D703" s="62" t="n">
        <v>7</v>
      </c>
      <c r="T703" t="n">
        <v>20</v>
      </c>
      <c r="V703" t="inlineStr">
        <is>
          <t>FR</t>
        </is>
      </c>
    </row>
    <row r="704">
      <c r="A704" t="n">
        <v>5120294</v>
      </c>
      <c r="B704" t="inlineStr">
        <is>
          <t>WO Top Sub
3-1/2" IF Box x 6" FJWP Pin x 3-1/2" REG Box in</t>
        </is>
      </c>
      <c r="C704" t="n">
        <v>73</v>
      </c>
      <c r="D704" s="62" t="n">
        <v>6</v>
      </c>
      <c r="E704" t="n">
        <v>725</v>
      </c>
      <c r="T704" t="n">
        <v>28</v>
      </c>
      <c r="V704" t="inlineStr">
        <is>
          <t>FR</t>
        </is>
      </c>
    </row>
    <row r="705">
      <c r="A705" t="n">
        <v>8130246</v>
      </c>
      <c r="B705" t="inlineStr">
        <is>
          <t>XO
3-1/2" IF Pin x 2-3/8" REG Box</t>
        </is>
      </c>
      <c r="C705" t="n">
        <v>34</v>
      </c>
      <c r="D705" s="62" t="n">
        <v>4.75</v>
      </c>
      <c r="E705" t="n">
        <v>500</v>
      </c>
      <c r="T705" t="n">
        <v>103</v>
      </c>
      <c r="V705" t="inlineStr">
        <is>
          <t>FR</t>
        </is>
      </c>
    </row>
    <row r="706">
      <c r="A706" t="n">
        <v>7040247</v>
      </c>
      <c r="D706" s="62" t="n"/>
      <c r="V706" t="inlineStr">
        <is>
          <t>RDC</t>
        </is>
      </c>
    </row>
    <row r="707">
      <c r="A707" t="n">
        <v>5040248</v>
      </c>
      <c r="C707" t="e">
        <v>#N/A</v>
      </c>
      <c r="D707" s="62" t="e">
        <v>#N/A</v>
      </c>
      <c r="E707" t="e">
        <v>#N/A</v>
      </c>
      <c r="T707" t="e">
        <v>#N/A</v>
      </c>
      <c r="V707" t="inlineStr">
        <is>
          <t>ACHAT VENTE</t>
        </is>
      </c>
    </row>
    <row r="708">
      <c r="A708" t="n">
        <v>5040249</v>
      </c>
      <c r="C708" t="e">
        <v>#N/A</v>
      </c>
      <c r="D708" s="62" t="e">
        <v>#N/A</v>
      </c>
      <c r="E708" t="e">
        <v>#N/A</v>
      </c>
      <c r="T708" t="e">
        <v>#N/A</v>
      </c>
      <c r="V708" t="inlineStr">
        <is>
          <t>ACHAT VENTE</t>
        </is>
      </c>
    </row>
    <row r="709">
      <c r="A709" t="n">
        <v>5040250</v>
      </c>
      <c r="C709" t="e">
        <v>#N/A</v>
      </c>
      <c r="D709" s="62" t="e">
        <v>#N/A</v>
      </c>
      <c r="E709" t="e">
        <v>#N/A</v>
      </c>
      <c r="T709" t="e">
        <v>#N/A</v>
      </c>
      <c r="V709" t="inlineStr">
        <is>
          <t>ACHAT VENTE</t>
        </is>
      </c>
    </row>
    <row r="710">
      <c r="A710" t="n">
        <v>8110251</v>
      </c>
      <c r="D710" s="62" t="n"/>
      <c r="V710" t="inlineStr">
        <is>
          <t>ACHAT VENTE</t>
        </is>
      </c>
    </row>
    <row r="711">
      <c r="A711" t="n">
        <v>8110252</v>
      </c>
      <c r="D711" s="62" t="n"/>
      <c r="V711" t="inlineStr">
        <is>
          <t>réattribution n° d'immo</t>
        </is>
      </c>
    </row>
    <row r="712">
      <c r="A712" t="n">
        <v>1090253</v>
      </c>
      <c r="D712" s="62" t="n"/>
      <c r="V712" t="inlineStr">
        <is>
          <t>ACHAT VENTE</t>
        </is>
      </c>
    </row>
    <row r="713">
      <c r="A713" t="n">
        <v>1090254</v>
      </c>
      <c r="D713" s="62" t="n"/>
      <c r="V713" t="inlineStr">
        <is>
          <t>ACHAT VENTE</t>
        </is>
      </c>
    </row>
    <row r="714">
      <c r="A714" t="n">
        <v>1090255</v>
      </c>
      <c r="D714" s="62" t="n">
        <v>3.5</v>
      </c>
      <c r="V714" t="inlineStr">
        <is>
          <t>RDC mai 2018</t>
        </is>
      </c>
    </row>
    <row r="715">
      <c r="A715" t="n">
        <v>5170256</v>
      </c>
      <c r="D715" s="62" t="n"/>
      <c r="V715" t="inlineStr">
        <is>
          <t>ACHAT VENTE</t>
        </is>
      </c>
    </row>
    <row r="716">
      <c r="A716" t="n">
        <v>5020257</v>
      </c>
      <c r="D716" s="62" t="n"/>
      <c r="V716" t="inlineStr">
        <is>
          <t>ACHAT VENTE</t>
        </is>
      </c>
    </row>
    <row r="717">
      <c r="A717" t="n">
        <v>5020258</v>
      </c>
      <c r="D717" s="62" t="n"/>
      <c r="V717" t="inlineStr">
        <is>
          <t>ACHAT VENTE</t>
        </is>
      </c>
    </row>
    <row r="718">
      <c r="A718" t="n">
        <v>5020259</v>
      </c>
      <c r="D718" s="62" t="n"/>
      <c r="V718" t="inlineStr">
        <is>
          <t>ACHAT VENTE</t>
        </is>
      </c>
    </row>
    <row r="719">
      <c r="A719" t="n">
        <v>5030260</v>
      </c>
      <c r="B719" t="inlineStr">
        <is>
          <t>Junk Mill 
2-3/8" REG Pin</t>
        </is>
      </c>
      <c r="C719" t="n">
        <v>18</v>
      </c>
      <c r="D719" s="62" t="n">
        <v>4.875</v>
      </c>
      <c r="E719" t="n">
        <v>0</v>
      </c>
      <c r="T719" t="n">
        <v>15</v>
      </c>
      <c r="V719" t="inlineStr">
        <is>
          <t>FR</t>
        </is>
      </c>
    </row>
    <row r="720">
      <c r="A720" t="n">
        <v>5030261</v>
      </c>
      <c r="B720" t="inlineStr">
        <is>
          <t>Junk Mill 
2-3/8" REG Pin</t>
        </is>
      </c>
      <c r="C720" t="n">
        <v>18</v>
      </c>
      <c r="D720" s="62" t="n">
        <v>4.875</v>
      </c>
      <c r="E720" t="n">
        <v>0</v>
      </c>
      <c r="T720" t="n">
        <v>16</v>
      </c>
      <c r="V720" t="inlineStr">
        <is>
          <t>FR</t>
        </is>
      </c>
    </row>
    <row r="721">
      <c r="A721" t="n">
        <v>5090262</v>
      </c>
      <c r="D721" s="62" t="n"/>
      <c r="V721" t="inlineStr">
        <is>
          <t>ACHAT VENTE</t>
        </is>
      </c>
    </row>
    <row r="722">
      <c r="A722" t="n">
        <v>5090263</v>
      </c>
      <c r="D722" s="62" t="n"/>
      <c r="V722" t="inlineStr">
        <is>
          <t>ACHAT VENTE</t>
        </is>
      </c>
    </row>
    <row r="723">
      <c r="A723" t="n">
        <v>5090264</v>
      </c>
      <c r="D723" s="62" t="n"/>
      <c r="V723" t="inlineStr">
        <is>
          <t>ACHAT VENTE</t>
        </is>
      </c>
    </row>
    <row r="724">
      <c r="A724" t="n">
        <v>5090265</v>
      </c>
      <c r="D724" s="62" t="n"/>
      <c r="V724" t="inlineStr">
        <is>
          <t>ACHAT VENTE</t>
        </is>
      </c>
    </row>
    <row r="725">
      <c r="A725" t="n">
        <v>5090266</v>
      </c>
      <c r="D725" s="62" t="n"/>
      <c r="V725" t="inlineStr">
        <is>
          <t>ACHAT VENTE</t>
        </is>
      </c>
    </row>
    <row r="726">
      <c r="A726" t="n">
        <v>5090267</v>
      </c>
      <c r="D726" s="62" t="n"/>
      <c r="V726" t="inlineStr">
        <is>
          <t>ACHAT VENTE</t>
        </is>
      </c>
    </row>
    <row r="727">
      <c r="A727" t="n">
        <v>5090268</v>
      </c>
      <c r="D727" s="62" t="n"/>
      <c r="V727" t="inlineStr">
        <is>
          <t>ACHAT VENTE</t>
        </is>
      </c>
    </row>
    <row r="728">
      <c r="A728" t="n">
        <v>5090269</v>
      </c>
      <c r="D728" s="62" t="n"/>
      <c r="V728" t="inlineStr">
        <is>
          <t>ACHAT VENTE</t>
        </is>
      </c>
    </row>
    <row r="729">
      <c r="A729" t="n">
        <v>5090270</v>
      </c>
      <c r="D729" s="62" t="n"/>
      <c r="V729" t="inlineStr">
        <is>
          <t>ACHAT VENTE</t>
        </is>
      </c>
    </row>
    <row r="730">
      <c r="A730" t="n">
        <v>5090271</v>
      </c>
      <c r="D730" s="62" t="n"/>
      <c r="V730" t="inlineStr">
        <is>
          <t>ACHAT VENTE</t>
        </is>
      </c>
    </row>
    <row r="731">
      <c r="A731" t="n">
        <v>5090272</v>
      </c>
      <c r="D731" s="62" t="n"/>
      <c r="V731" t="inlineStr">
        <is>
          <t>ACHAT VENTE</t>
        </is>
      </c>
    </row>
    <row r="732">
      <c r="A732" t="n">
        <v>5090273</v>
      </c>
      <c r="D732" s="62" t="n"/>
      <c r="V732" t="inlineStr">
        <is>
          <t>ACHAT VENTE</t>
        </is>
      </c>
    </row>
    <row r="733">
      <c r="A733" t="n">
        <v>5150274</v>
      </c>
      <c r="D733" s="62" t="n"/>
      <c r="V733" t="inlineStr">
        <is>
          <t>ACHAT VENTE</t>
        </is>
      </c>
    </row>
    <row r="734">
      <c r="A734" t="n">
        <v>5150275</v>
      </c>
      <c r="D734" s="62" t="n"/>
      <c r="V734" t="inlineStr">
        <is>
          <t>ACHAT VENTE</t>
        </is>
      </c>
    </row>
    <row r="735">
      <c r="A735" t="n">
        <v>5120276</v>
      </c>
      <c r="D735" s="62" t="n"/>
      <c r="V735" t="inlineStr">
        <is>
          <t>ACHAT VENTE</t>
        </is>
      </c>
    </row>
    <row r="736">
      <c r="A736" t="n">
        <v>8130277</v>
      </c>
      <c r="D736" s="62" t="n"/>
      <c r="V736" t="inlineStr">
        <is>
          <t>ACHAT VENTE</t>
        </is>
      </c>
    </row>
    <row r="737">
      <c r="A737" t="n">
        <v>8130278</v>
      </c>
      <c r="B737" t="inlineStr">
        <is>
          <t>XO
2-3/8" IF Pin x 2-3/8" REG Box</t>
        </is>
      </c>
      <c r="C737" t="n">
        <v>19</v>
      </c>
      <c r="D737" s="62" t="n">
        <v>3.375</v>
      </c>
      <c r="E737" t="n">
        <v>500</v>
      </c>
      <c r="T737" t="n">
        <v>22</v>
      </c>
      <c r="V737" t="inlineStr">
        <is>
          <t>ACHAT VENTE</t>
        </is>
      </c>
    </row>
    <row r="738">
      <c r="A738" t="n">
        <v>7030279</v>
      </c>
      <c r="D738" s="62" t="n"/>
      <c r="V738" t="inlineStr">
        <is>
          <t>ACHAT VENTE</t>
        </is>
      </c>
    </row>
    <row r="739">
      <c r="A739" t="n">
        <v>8100280</v>
      </c>
      <c r="D739" s="62" t="n"/>
      <c r="V739" t="inlineStr">
        <is>
          <t>ACHAT VENTE</t>
        </is>
      </c>
    </row>
    <row r="740">
      <c r="A740" t="n">
        <v>8100281</v>
      </c>
      <c r="D740" s="62" t="n"/>
      <c r="V740" t="inlineStr">
        <is>
          <t>ACHAT VENTE</t>
        </is>
      </c>
    </row>
    <row r="741">
      <c r="A741" t="n">
        <v>8100282</v>
      </c>
      <c r="D741" s="62" t="n"/>
      <c r="V741" t="inlineStr">
        <is>
          <t>ACHAT VENTE</t>
        </is>
      </c>
    </row>
    <row r="742">
      <c r="A742" t="n">
        <v>1120283</v>
      </c>
      <c r="D742" s="62" t="n"/>
      <c r="V742" t="inlineStr">
        <is>
          <t>ACHAT VENTE</t>
        </is>
      </c>
    </row>
    <row r="743">
      <c r="A743" t="n">
        <v>1120284</v>
      </c>
      <c r="D743" s="62" t="n"/>
      <c r="V743" t="inlineStr">
        <is>
          <t>ACHAT VENTE</t>
        </is>
      </c>
    </row>
    <row r="744">
      <c r="A744" t="n">
        <v>1120285</v>
      </c>
      <c r="D744" s="62" t="n"/>
      <c r="V744" t="inlineStr">
        <is>
          <t>ACHAT VENTE</t>
        </is>
      </c>
    </row>
    <row r="745">
      <c r="A745" t="n">
        <v>7025103</v>
      </c>
      <c r="D745" s="62" t="n"/>
      <c r="V745" t="inlineStr">
        <is>
          <t>ACHAT VENTE</t>
        </is>
      </c>
    </row>
    <row r="746">
      <c r="A746" t="n">
        <v>7025104</v>
      </c>
      <c r="D746" s="62" t="n"/>
      <c r="V746" t="inlineStr">
        <is>
          <t>ACHAT VENTE</t>
        </is>
      </c>
    </row>
    <row r="747">
      <c r="A747" t="n">
        <v>7025105</v>
      </c>
      <c r="D747" s="62" t="n"/>
      <c r="V747" t="inlineStr">
        <is>
          <t>ACHAT VENTE</t>
        </is>
      </c>
    </row>
    <row r="748">
      <c r="A748" t="n">
        <v>70420094</v>
      </c>
      <c r="D748" s="62" t="n"/>
      <c r="V748" t="inlineStr">
        <is>
          <t>ACHAT VENTE</t>
        </is>
      </c>
    </row>
    <row r="749">
      <c r="A749" t="n">
        <v>70520095</v>
      </c>
      <c r="D749" s="62" t="n"/>
      <c r="V749" t="inlineStr">
        <is>
          <t>ACHAT VENTE</t>
        </is>
      </c>
    </row>
    <row r="750">
      <c r="A750" t="n">
        <v>70520096</v>
      </c>
      <c r="D750" s="62" t="n"/>
      <c r="V750" t="inlineStr">
        <is>
          <t>ACHAT VENTE</t>
        </is>
      </c>
    </row>
    <row r="751">
      <c r="A751" t="n">
        <v>1120287</v>
      </c>
      <c r="D751" s="62" t="n"/>
      <c r="V751" t="inlineStr">
        <is>
          <t>ACHAT VENTE</t>
        </is>
      </c>
    </row>
    <row r="752">
      <c r="A752" t="n">
        <v>1120288</v>
      </c>
      <c r="D752" s="62" t="n"/>
      <c r="V752" t="inlineStr">
        <is>
          <t>ACHAT VENTE</t>
        </is>
      </c>
    </row>
    <row r="753">
      <c r="A753" t="n">
        <v>1120289</v>
      </c>
      <c r="D753" s="62" t="n"/>
      <c r="V753" t="inlineStr">
        <is>
          <t>ACHAT VENTE</t>
        </is>
      </c>
    </row>
    <row r="754">
      <c r="A754" t="n">
        <v>1120290</v>
      </c>
      <c r="D754" s="62" t="n"/>
      <c r="V754" t="inlineStr">
        <is>
          <t>ACHAT VENTE</t>
        </is>
      </c>
    </row>
    <row r="755">
      <c r="A755" t="n">
        <v>10620097</v>
      </c>
      <c r="D755" s="62" t="n"/>
      <c r="V755" t="inlineStr">
        <is>
          <t>ACHAT VENTE</t>
        </is>
      </c>
    </row>
    <row r="756">
      <c r="A756" t="n">
        <v>10620098</v>
      </c>
      <c r="D756" s="62" t="n"/>
      <c r="V756" t="inlineStr">
        <is>
          <t>ACHAT VENTE</t>
        </is>
      </c>
    </row>
    <row r="757">
      <c r="A757" t="n">
        <v>16020099</v>
      </c>
      <c r="D757" s="62" t="n"/>
      <c r="V757" t="inlineStr">
        <is>
          <t>ACHAT VENTE</t>
        </is>
      </c>
    </row>
    <row r="758">
      <c r="A758" t="n">
        <v>10620100</v>
      </c>
      <c r="D758" s="62" t="n"/>
      <c r="V758" t="inlineStr">
        <is>
          <t>ACHAT VENTE</t>
        </is>
      </c>
    </row>
    <row r="759">
      <c r="A759" t="n">
        <v>55020103</v>
      </c>
      <c r="D759" s="62" t="n"/>
      <c r="V759" t="inlineStr">
        <is>
          <t>ACHAT VENTE</t>
        </is>
      </c>
    </row>
    <row r="760">
      <c r="A760" t="n">
        <v>55020104</v>
      </c>
      <c r="D760" s="62" t="n"/>
      <c r="V760" t="inlineStr">
        <is>
          <t>ACHAT VENTE</t>
        </is>
      </c>
    </row>
    <row r="761">
      <c r="A761" t="n">
        <v>55020105</v>
      </c>
      <c r="D761" s="62" t="n"/>
      <c r="V761" t="inlineStr">
        <is>
          <t>ACHAT VENTE</t>
        </is>
      </c>
    </row>
    <row r="762">
      <c r="A762" t="n">
        <v>55020106</v>
      </c>
      <c r="D762" s="62" t="n"/>
      <c r="V762" t="inlineStr">
        <is>
          <t>ACHAT VENTE</t>
        </is>
      </c>
    </row>
    <row r="763">
      <c r="A763" t="n">
        <v>1060107</v>
      </c>
      <c r="D763" s="62" t="n"/>
      <c r="V763" t="inlineStr">
        <is>
          <t>ACHAT VENTE</t>
        </is>
      </c>
    </row>
    <row r="764">
      <c r="A764" t="n">
        <v>1060108</v>
      </c>
      <c r="D764" s="62" t="n"/>
      <c r="V764" t="inlineStr">
        <is>
          <t>ACHAT VENTE</t>
        </is>
      </c>
    </row>
    <row r="765">
      <c r="A765" t="n">
        <v>5160109</v>
      </c>
      <c r="D765" s="62" t="n"/>
      <c r="V765" t="inlineStr">
        <is>
          <t>ACHAT VENTE</t>
        </is>
      </c>
    </row>
    <row r="766">
      <c r="A766" t="n">
        <v>5160110</v>
      </c>
      <c r="D766" s="62" t="n"/>
      <c r="V766" t="inlineStr">
        <is>
          <t>ACHAT VENTE</t>
        </is>
      </c>
    </row>
    <row r="767">
      <c r="A767" t="n">
        <v>8130111</v>
      </c>
      <c r="D767" s="62" t="n"/>
      <c r="V767" t="inlineStr">
        <is>
          <t>ACHAT VENTE</t>
        </is>
      </c>
    </row>
    <row r="768">
      <c r="A768" t="n">
        <v>5090112</v>
      </c>
      <c r="D768" s="62" t="n"/>
      <c r="V768" t="inlineStr">
        <is>
          <t>ACHAT VENTE</t>
        </is>
      </c>
    </row>
    <row r="769">
      <c r="A769" t="n">
        <v>5100286</v>
      </c>
      <c r="D769" s="62" t="n"/>
      <c r="T769" t="e">
        <v>#N/A</v>
      </c>
      <c r="V769" t="inlineStr">
        <is>
          <t>RDC</t>
        </is>
      </c>
    </row>
    <row r="770">
      <c r="A770" t="n">
        <v>5100287</v>
      </c>
      <c r="D770" s="62" t="n"/>
      <c r="T770" t="e">
        <v>#N/A</v>
      </c>
      <c r="V770" t="inlineStr">
        <is>
          <t>RDC</t>
        </is>
      </c>
    </row>
    <row r="771">
      <c r="A771" t="n">
        <v>5100288</v>
      </c>
      <c r="D771" s="62" t="n"/>
      <c r="T771" t="e">
        <v>#N/A</v>
      </c>
      <c r="V771" t="inlineStr">
        <is>
          <t>RDC</t>
        </is>
      </c>
    </row>
    <row r="772">
      <c r="A772" t="n">
        <v>5100289</v>
      </c>
      <c r="D772" s="62" t="n"/>
      <c r="T772" t="e">
        <v>#N/A</v>
      </c>
      <c r="V772" t="inlineStr">
        <is>
          <t>RDC</t>
        </is>
      </c>
    </row>
    <row r="773">
      <c r="A773" t="n">
        <v>5100290</v>
      </c>
      <c r="D773" s="62" t="n"/>
      <c r="T773" t="e">
        <v>#N/A</v>
      </c>
      <c r="V773" t="inlineStr">
        <is>
          <t>RDC</t>
        </is>
      </c>
    </row>
    <row r="774">
      <c r="A774" t="n">
        <v>5030291</v>
      </c>
      <c r="B774" t="inlineStr">
        <is>
          <t>Junk Mill 
3-1/2" REG Pin</t>
        </is>
      </c>
      <c r="C774" t="n">
        <v>58</v>
      </c>
      <c r="D774" s="62" t="n">
        <v>5.75</v>
      </c>
      <c r="E774" t="n">
        <v>0</v>
      </c>
      <c r="T774" t="n">
        <v>26</v>
      </c>
      <c r="V774" t="inlineStr">
        <is>
          <t>FR</t>
        </is>
      </c>
    </row>
    <row r="775">
      <c r="A775" t="n">
        <v>5030292</v>
      </c>
      <c r="B775" t="inlineStr">
        <is>
          <t>Junk Mill 
3-1/2" REG Pin</t>
        </is>
      </c>
      <c r="C775" t="n">
        <v>58</v>
      </c>
      <c r="D775" s="62" t="n">
        <v>5.75</v>
      </c>
      <c r="E775" t="n">
        <v>0</v>
      </c>
      <c r="T775" t="n">
        <v>27</v>
      </c>
      <c r="V775" t="inlineStr">
        <is>
          <t>FR</t>
        </is>
      </c>
    </row>
    <row r="776">
      <c r="A776" t="n">
        <v>5030293</v>
      </c>
      <c r="B776" t="inlineStr">
        <is>
          <t>Junk Mill 
3-1/2" REG Pin</t>
        </is>
      </c>
      <c r="C776" t="n">
        <v>58</v>
      </c>
      <c r="D776" s="62" t="n">
        <v>5.75</v>
      </c>
      <c r="E776" t="n">
        <v>0</v>
      </c>
      <c r="T776" t="n">
        <v>28</v>
      </c>
      <c r="V776" t="inlineStr">
        <is>
          <t>FR</t>
        </is>
      </c>
    </row>
    <row r="777">
      <c r="A777" t="n">
        <v>5030294</v>
      </c>
      <c r="B777" t="inlineStr">
        <is>
          <t>Junk Mill 
3-1/2" REG Pin</t>
        </is>
      </c>
      <c r="C777" t="n">
        <v>58</v>
      </c>
      <c r="D777" s="62" t="n">
        <v>5.75</v>
      </c>
      <c r="E777" t="n">
        <v>0</v>
      </c>
      <c r="T777" t="n">
        <v>29</v>
      </c>
      <c r="V777" t="inlineStr">
        <is>
          <t>FR</t>
        </is>
      </c>
    </row>
    <row r="778">
      <c r="A778" t="n">
        <v>5120291</v>
      </c>
      <c r="B778" t="inlineStr">
        <is>
          <t>WO Top Sub
4-1/2" IF Box x 7-5/8" FJWP Pin x 4-1/2" REG Box in</t>
        </is>
      </c>
      <c r="C778" t="n">
        <v>110</v>
      </c>
      <c r="D778" s="62" t="n">
        <v>7.5</v>
      </c>
      <c r="E778" t="n">
        <v>695</v>
      </c>
      <c r="T778" t="n">
        <v>30</v>
      </c>
    </row>
    <row r="779">
      <c r="A779" t="n">
        <v>5120292</v>
      </c>
      <c r="B779" t="inlineStr">
        <is>
          <t>WO Top Sub
4-1/2" IF Box x 7-5/8" FJWP Pin x 4-1/2" REG Box in</t>
        </is>
      </c>
      <c r="C779" t="n">
        <v>104</v>
      </c>
      <c r="D779" s="62" t="n">
        <v>7.625</v>
      </c>
      <c r="E779" t="n">
        <v>750</v>
      </c>
      <c r="T779" t="n">
        <v>31</v>
      </c>
    </row>
    <row r="780">
      <c r="A780" t="n">
        <v>5120293</v>
      </c>
      <c r="B780" t="inlineStr">
        <is>
          <t>WO Top Sub
4-1/2" IF Box x 7-5/8" FJWP Pin x 4-1/2" REG Box in</t>
        </is>
      </c>
      <c r="C780" t="n">
        <v>104</v>
      </c>
      <c r="D780" s="62" t="n">
        <v>7.625</v>
      </c>
      <c r="E780" t="n">
        <v>750</v>
      </c>
      <c r="T780" t="n">
        <v>32</v>
      </c>
    </row>
    <row r="781">
      <c r="A781" t="n">
        <v>5120295</v>
      </c>
      <c r="B781" t="inlineStr">
        <is>
          <t>WO Top Sub
4-1/2" REG Box x 6-1/4" FJWP Pin</t>
        </is>
      </c>
      <c r="C781" t="n">
        <v>52</v>
      </c>
      <c r="D781" s="62" t="n">
        <v>6.25</v>
      </c>
      <c r="E781" t="n">
        <v>485</v>
      </c>
      <c r="T781" t="n">
        <v>29</v>
      </c>
    </row>
    <row r="782">
      <c r="A782" t="n">
        <v>5120296</v>
      </c>
      <c r="B782" t="inlineStr">
        <is>
          <t>WO Top Sub
2-3/8" REG Pin x 4" ACME Pin  x 2-3/8" REG Box in</t>
        </is>
      </c>
      <c r="C782" t="n">
        <v>22</v>
      </c>
      <c r="D782" s="62" t="n">
        <v>4</v>
      </c>
      <c r="E782" t="n">
        <v>450</v>
      </c>
      <c r="T782" t="n">
        <v>12</v>
      </c>
    </row>
    <row r="783">
      <c r="A783" t="n">
        <v>5060296</v>
      </c>
      <c r="B783" t="inlineStr">
        <is>
          <t>String Mill 5,75 OD 
3-1/2" IF Box x 3-1/2" IF Pin</t>
        </is>
      </c>
      <c r="C783" t="n">
        <v>120</v>
      </c>
      <c r="D783" s="62" t="n">
        <v>5.75</v>
      </c>
      <c r="E783" t="n">
        <v>1790</v>
      </c>
      <c r="T783" t="n">
        <v>9</v>
      </c>
      <c r="V783" t="inlineStr">
        <is>
          <t>FR</t>
        </is>
      </c>
    </row>
    <row r="784">
      <c r="A784" t="n">
        <v>51220101</v>
      </c>
      <c r="D784" s="62" t="n"/>
    </row>
    <row r="785">
      <c r="A785" t="n">
        <v>51220102</v>
      </c>
      <c r="D785" s="62" t="n"/>
    </row>
    <row r="786">
      <c r="A786" t="inlineStr">
        <is>
          <t>512xxxx</t>
        </is>
      </c>
      <c r="D786" s="62" t="n"/>
      <c r="V786" t="inlineStr">
        <is>
          <t>ACHAT VENTE</t>
        </is>
      </c>
    </row>
    <row r="787">
      <c r="A787" t="n">
        <v>5120102</v>
      </c>
      <c r="D787" s="62" t="n"/>
      <c r="V787" t="inlineStr">
        <is>
          <t>ACHAT VENTE</t>
        </is>
      </c>
    </row>
    <row r="788">
      <c r="A788" t="inlineStr">
        <is>
          <t>512xxxx</t>
        </is>
      </c>
      <c r="D788" s="62" t="n"/>
      <c r="V788" t="inlineStr">
        <is>
          <t>ACHAT VENTE</t>
        </is>
      </c>
    </row>
    <row r="789">
      <c r="A789" t="n">
        <v>7120113</v>
      </c>
      <c r="D789" s="62" t="n"/>
      <c r="V789" t="inlineStr">
        <is>
          <t>RDC</t>
        </is>
      </c>
    </row>
    <row r="790">
      <c r="A790" t="n">
        <v>7120114</v>
      </c>
      <c r="D790" s="62" t="n"/>
      <c r="V790" t="inlineStr">
        <is>
          <t>RDC</t>
        </is>
      </c>
    </row>
    <row r="791">
      <c r="A791" t="n">
        <v>8130301</v>
      </c>
      <c r="D791" s="62" t="n"/>
    </row>
    <row r="792">
      <c r="A792" t="n">
        <v>5030302</v>
      </c>
      <c r="D792" s="62" t="n"/>
      <c r="V792" t="inlineStr">
        <is>
          <t>Cameroun</t>
        </is>
      </c>
    </row>
    <row r="793">
      <c r="A793" t="n">
        <v>5030303</v>
      </c>
      <c r="D793" s="62" t="n"/>
      <c r="V793" t="inlineStr">
        <is>
          <t>Cameroun</t>
        </is>
      </c>
    </row>
    <row r="794">
      <c r="A794" t="n">
        <v>5030304</v>
      </c>
      <c r="D794" s="62" t="n"/>
      <c r="V794" t="inlineStr">
        <is>
          <t>Cameroun</t>
        </is>
      </c>
    </row>
    <row r="795">
      <c r="A795" t="n">
        <v>5030305</v>
      </c>
      <c r="D795" s="62" t="n"/>
      <c r="V795" t="inlineStr">
        <is>
          <t>Cameroun</t>
        </is>
      </c>
    </row>
    <row r="796">
      <c r="A796" t="n">
        <v>5030306</v>
      </c>
      <c r="B796" t="inlineStr">
        <is>
          <t>Junk Mill 
3-1/2" REG Pin</t>
        </is>
      </c>
      <c r="C796" t="n">
        <v>60</v>
      </c>
      <c r="D796" s="62" t="n">
        <v>6.25</v>
      </c>
      <c r="E796" t="n">
        <v>0</v>
      </c>
      <c r="T796" t="n">
        <v>36</v>
      </c>
    </row>
    <row r="797">
      <c r="A797" t="n">
        <v>5030307</v>
      </c>
      <c r="D797" s="62" t="n"/>
      <c r="V797" t="inlineStr">
        <is>
          <t>Cameroun</t>
        </is>
      </c>
    </row>
    <row r="798">
      <c r="A798" t="inlineStr">
        <is>
          <t>reprendre la numérotation chronologique à xxx0600</t>
        </is>
      </c>
      <c r="D798" s="62" t="n"/>
    </row>
    <row r="799">
      <c r="A799" t="n">
        <v>8100341</v>
      </c>
      <c r="B799" t="inlineStr">
        <is>
          <t>Non Rotating Sleeve type Stabilizer 5-5/8" OD body
3-1/2" IF Box up x Pin down</t>
        </is>
      </c>
      <c r="C799" t="n">
        <v>130</v>
      </c>
      <c r="D799" s="62" t="n">
        <v>5.375</v>
      </c>
      <c r="E799" t="n">
        <v>1910</v>
      </c>
      <c r="T799" t="n">
        <v>6</v>
      </c>
    </row>
    <row r="800">
      <c r="A800" t="n">
        <v>1090345</v>
      </c>
      <c r="D800" s="62" t="n">
        <v>5.125</v>
      </c>
    </row>
    <row r="801">
      <c r="A801" t="n">
        <v>1090346</v>
      </c>
      <c r="D801" s="62" t="n">
        <v>5.125</v>
      </c>
    </row>
    <row r="802">
      <c r="A802" t="n">
        <v>5120347</v>
      </c>
      <c r="B802" t="inlineStr">
        <is>
          <t>WO Top Sub
3-1/2" IF Box x 5-1/2" FJWP Pin x 3-1/2" REG Box in</t>
        </is>
      </c>
      <c r="C802" t="n">
        <v>74</v>
      </c>
      <c r="D802" s="62" t="n">
        <v>5.5</v>
      </c>
      <c r="E802" t="n">
        <v>660</v>
      </c>
      <c r="T802" t="n">
        <v>25</v>
      </c>
    </row>
    <row r="803">
      <c r="A803" t="n">
        <v>5070348</v>
      </c>
      <c r="B803" t="inlineStr">
        <is>
          <t>Super Junk Mill 
2-3/8" REG Pin</t>
        </is>
      </c>
      <c r="C803" t="n">
        <v>28</v>
      </c>
      <c r="D803" s="62" t="n">
        <v>4.75</v>
      </c>
      <c r="E803" t="n">
        <v>590</v>
      </c>
      <c r="T803" t="n">
        <v>15</v>
      </c>
    </row>
    <row r="804">
      <c r="A804" t="n">
        <v>8080349</v>
      </c>
      <c r="B804" t="inlineStr">
        <is>
          <t>Orienting Sub 6" Lg 560mm
4-1/2" IF Pin x Box</t>
        </is>
      </c>
      <c r="C804" t="n">
        <v>79.6383439488</v>
      </c>
      <c r="D804" s="62" t="n">
        <v>6</v>
      </c>
      <c r="E804" t="n">
        <v>560</v>
      </c>
      <c r="T804" t="n">
        <v>19</v>
      </c>
    </row>
    <row r="805">
      <c r="A805" t="n">
        <v>5030350</v>
      </c>
      <c r="B805" t="inlineStr">
        <is>
          <t>Junk Mill 
3-1/2" REG Pin</t>
        </is>
      </c>
      <c r="C805" t="n">
        <v>58</v>
      </c>
      <c r="D805" s="62" t="n">
        <v>5.875</v>
      </c>
      <c r="E805" t="n">
        <v>0</v>
      </c>
      <c r="T805" t="n">
        <v>30</v>
      </c>
    </row>
    <row r="806">
      <c r="A806" t="n">
        <v>5090351</v>
      </c>
      <c r="B806" t="inlineStr">
        <is>
          <t>WO Internal Hook Lg 2030 mm
4-1/2" FJWP Pin x Box</t>
        </is>
      </c>
      <c r="C806" t="n">
        <v>47</v>
      </c>
      <c r="D806" s="62" t="n">
        <v>4.5</v>
      </c>
      <c r="E806" t="n">
        <v>2030</v>
      </c>
      <c r="T806" t="n">
        <v>12</v>
      </c>
      <c r="V806" t="inlineStr">
        <is>
          <t>FR</t>
        </is>
      </c>
    </row>
    <row r="807">
      <c r="A807" t="n">
        <v>5090352</v>
      </c>
      <c r="B807" t="inlineStr">
        <is>
          <t>WO Extension Lg 2025 mm
4-1/2" FJWP Pin x Box</t>
        </is>
      </c>
      <c r="C807" t="n">
        <v>47</v>
      </c>
      <c r="D807" s="62" t="n">
        <v>4.5</v>
      </c>
      <c r="E807" t="n">
        <v>2025</v>
      </c>
      <c r="T807" t="n">
        <v>33</v>
      </c>
      <c r="V807" t="inlineStr">
        <is>
          <t>FR</t>
        </is>
      </c>
    </row>
    <row r="808">
      <c r="A808" t="n">
        <v>5090353</v>
      </c>
      <c r="B808" t="inlineStr">
        <is>
          <t>WO Extension Lg 1220 mm
4-1/2" FJWP Pin x Box</t>
        </is>
      </c>
      <c r="C808" t="n">
        <v>30</v>
      </c>
      <c r="D808" s="62" t="n">
        <v>4.5</v>
      </c>
      <c r="E808" t="n">
        <v>1220</v>
      </c>
      <c r="T808" t="n">
        <v>27</v>
      </c>
      <c r="V808" t="inlineStr">
        <is>
          <t>FR</t>
        </is>
      </c>
    </row>
    <row r="809">
      <c r="A809" t="n">
        <v>5090354</v>
      </c>
      <c r="B809" t="inlineStr">
        <is>
          <t>WO Extension Lg 1015 mm
4-1/2" FJWP Pin x Box</t>
        </is>
      </c>
      <c r="C809" t="n">
        <v>24</v>
      </c>
      <c r="D809" s="62" t="n">
        <v>4.5</v>
      </c>
      <c r="E809" t="n">
        <v>1015</v>
      </c>
      <c r="T809" t="n">
        <v>26</v>
      </c>
      <c r="V809" t="inlineStr">
        <is>
          <t>FR</t>
        </is>
      </c>
    </row>
    <row r="810">
      <c r="A810" t="inlineStr">
        <is>
          <t>8130355-1</t>
        </is>
      </c>
      <c r="B810" t="inlineStr">
        <is>
          <t>XO
2-7/8" IF Pin x 3-1/2" IF Box</t>
        </is>
      </c>
      <c r="C810" t="n">
        <v>22.28995920023437</v>
      </c>
      <c r="D810" s="62" t="n">
        <v>4.75</v>
      </c>
      <c r="E810" t="n">
        <v>300</v>
      </c>
      <c r="T810" t="n">
        <v>256</v>
      </c>
    </row>
    <row r="811">
      <c r="A811" t="inlineStr">
        <is>
          <t>8130355-2</t>
        </is>
      </c>
      <c r="B811" t="inlineStr">
        <is>
          <t>XO
2-7/8" IF Pin x 3-1/2" IF Box</t>
        </is>
      </c>
      <c r="C811" t="n">
        <v>22.28995920023437</v>
      </c>
      <c r="D811" s="62" t="n">
        <v>4.75</v>
      </c>
      <c r="E811" t="n">
        <v>300</v>
      </c>
      <c r="T811" t="n">
        <v>86</v>
      </c>
    </row>
    <row r="812">
      <c r="A812" t="inlineStr">
        <is>
          <t>8130355-3</t>
        </is>
      </c>
      <c r="B812" t="inlineStr">
        <is>
          <t>XO
2-7/8" IF Pin x 3-1/2" IF Box</t>
        </is>
      </c>
      <c r="C812" t="n">
        <v>22.28995920023437</v>
      </c>
      <c r="D812" s="62" t="n">
        <v>4.75</v>
      </c>
      <c r="E812" t="n">
        <v>300</v>
      </c>
      <c r="T812" t="n">
        <v>87</v>
      </c>
    </row>
    <row r="813">
      <c r="A813" t="n">
        <v>5070356</v>
      </c>
      <c r="B813" t="inlineStr">
        <is>
          <t>Super Junk Mill 
2-3/8" REG Pin</t>
        </is>
      </c>
      <c r="C813" t="n">
        <v>28</v>
      </c>
      <c r="D813" s="62" t="n">
        <v>4.875</v>
      </c>
      <c r="E813" t="n">
        <v>590</v>
      </c>
      <c r="T813" t="n">
        <v>22</v>
      </c>
    </row>
    <row r="814">
      <c r="A814" t="n">
        <v>5090604</v>
      </c>
      <c r="B814" t="inlineStr">
        <is>
          <t>WO Extension Lg 4020 mm
4-1/2" FJWP Pin x Box</t>
        </is>
      </c>
      <c r="C814" t="n">
        <v>321.5753665253999</v>
      </c>
      <c r="D814" s="62" t="n">
        <v>4.5</v>
      </c>
      <c r="E814" t="n">
        <v>4020</v>
      </c>
      <c r="T814" t="n">
        <v>37</v>
      </c>
      <c r="V814" t="inlineStr">
        <is>
          <t>FR</t>
        </is>
      </c>
    </row>
    <row r="815">
      <c r="A815" t="n">
        <v>5090605</v>
      </c>
      <c r="B815" t="inlineStr">
        <is>
          <t>WO Extension Lg 4020 mm
4-1/2" FJWP Pin x Box</t>
        </is>
      </c>
      <c r="C815" t="n">
        <v>321.5753665253999</v>
      </c>
      <c r="D815" s="62" t="n">
        <v>4.5</v>
      </c>
      <c r="E815" t="n">
        <v>4020</v>
      </c>
      <c r="T815" t="n">
        <v>38</v>
      </c>
      <c r="V815" t="inlineStr">
        <is>
          <t>FR</t>
        </is>
      </c>
    </row>
    <row r="816">
      <c r="A816" t="n">
        <v>5110606</v>
      </c>
      <c r="B816" t="inlineStr">
        <is>
          <t>WO Shoe
4-1/2" FJWP Box</t>
        </is>
      </c>
      <c r="C816" t="n">
        <v>10.5769675557</v>
      </c>
      <c r="D816" s="62" t="n">
        <v>4.875</v>
      </c>
      <c r="E816" t="n">
        <v>630</v>
      </c>
      <c r="T816" t="n">
        <v>50</v>
      </c>
      <c r="V816" t="inlineStr">
        <is>
          <t>FR</t>
        </is>
      </c>
    </row>
    <row r="817">
      <c r="A817" t="n">
        <v>5110607</v>
      </c>
      <c r="B817" t="inlineStr">
        <is>
          <t>WO Shoe
4-1/2" FJWP Box</t>
        </is>
      </c>
      <c r="C817" t="n">
        <v>10.5769675557</v>
      </c>
      <c r="D817" s="62" t="inlineStr">
        <is>
          <t>flush</t>
        </is>
      </c>
      <c r="E817" t="n">
        <v>630</v>
      </c>
      <c r="T817" t="n">
        <v>51</v>
      </c>
      <c r="V817" t="inlineStr">
        <is>
          <t>FR</t>
        </is>
      </c>
    </row>
    <row r="818">
      <c r="A818" t="n">
        <v>5110608</v>
      </c>
      <c r="B818" t="inlineStr">
        <is>
          <t>WO Shoe
4-1/2" FJWP Box</t>
        </is>
      </c>
      <c r="C818" t="n">
        <v>10.5769675557</v>
      </c>
      <c r="D818" s="62" t="inlineStr">
        <is>
          <t>flush</t>
        </is>
      </c>
      <c r="E818" t="n">
        <v>630</v>
      </c>
      <c r="T818" t="n">
        <v>52</v>
      </c>
      <c r="V818" t="inlineStr">
        <is>
          <t>FR</t>
        </is>
      </c>
    </row>
    <row r="819">
      <c r="A819" t="n">
        <v>5110609</v>
      </c>
      <c r="B819" t="inlineStr">
        <is>
          <t>WO Shoe
4-1/2" FJWP Box</t>
        </is>
      </c>
      <c r="C819" t="n">
        <v>10.5769675557</v>
      </c>
      <c r="D819" s="62" t="n">
        <v>4.875</v>
      </c>
      <c r="E819" t="n">
        <v>630</v>
      </c>
      <c r="T819" t="n">
        <v>53</v>
      </c>
      <c r="V819" t="inlineStr">
        <is>
          <t>FR</t>
        </is>
      </c>
    </row>
    <row r="820">
      <c r="A820" t="n">
        <v>5110610</v>
      </c>
      <c r="B820" t="inlineStr">
        <is>
          <t>WO Shoe
4-1/2" FJWP Box</t>
        </is>
      </c>
      <c r="C820" t="n">
        <v>10.5769675557</v>
      </c>
      <c r="D820" s="62" t="n">
        <v>4.75</v>
      </c>
      <c r="E820" t="n">
        <v>630</v>
      </c>
      <c r="T820" t="n">
        <v>54</v>
      </c>
      <c r="V820" t="inlineStr">
        <is>
          <t>FR</t>
        </is>
      </c>
    </row>
    <row r="821">
      <c r="A821" t="n">
        <v>5110611</v>
      </c>
      <c r="B821" t="inlineStr">
        <is>
          <t>WO Shoe
4-1/2" FJWP Box</t>
        </is>
      </c>
      <c r="C821" t="n">
        <v>10.5769675557</v>
      </c>
      <c r="D821" s="62" t="n">
        <v>4.875</v>
      </c>
      <c r="E821" t="n">
        <v>630</v>
      </c>
      <c r="T821" t="n">
        <v>55</v>
      </c>
      <c r="V821" t="inlineStr">
        <is>
          <t>FR</t>
        </is>
      </c>
    </row>
    <row r="822">
      <c r="A822" t="n">
        <v>5100612</v>
      </c>
      <c r="B822" t="inlineStr">
        <is>
          <t>WO Pipe
4-1/2" FJWP Pin x Box</t>
        </is>
      </c>
      <c r="C822" t="n">
        <v>0</v>
      </c>
      <c r="D822" s="62" t="n">
        <v>4.5</v>
      </c>
      <c r="E822" t="n">
        <v>0</v>
      </c>
      <c r="T822" t="n">
        <v>26</v>
      </c>
      <c r="V822" t="inlineStr">
        <is>
          <t>FR</t>
        </is>
      </c>
    </row>
    <row r="823">
      <c r="A823" t="n">
        <v>5100613</v>
      </c>
      <c r="B823" t="inlineStr">
        <is>
          <t>WO Pipe
4-1/2" FJWP Pin x Box</t>
        </is>
      </c>
      <c r="C823" t="n">
        <v>0</v>
      </c>
      <c r="D823" s="62" t="n">
        <v>4.5</v>
      </c>
      <c r="E823" t="n">
        <v>0</v>
      </c>
      <c r="T823" t="n">
        <v>27</v>
      </c>
      <c r="V823" t="inlineStr">
        <is>
          <t>FR</t>
        </is>
      </c>
    </row>
    <row r="824">
      <c r="A824" t="n">
        <v>5100614</v>
      </c>
      <c r="B824" t="inlineStr">
        <is>
          <t>WO Pipe
4-1/2" FJWP Pin x Box</t>
        </is>
      </c>
      <c r="C824" t="n">
        <v>0</v>
      </c>
      <c r="D824" s="62" t="n">
        <v>4.5</v>
      </c>
      <c r="E824" t="n">
        <v>0</v>
      </c>
      <c r="T824" t="n">
        <v>28</v>
      </c>
      <c r="V824" t="inlineStr">
        <is>
          <t>FR</t>
        </is>
      </c>
    </row>
    <row r="825">
      <c r="A825" t="n">
        <v>5100619</v>
      </c>
      <c r="B825" t="inlineStr">
        <is>
          <t>WO Pipe
5-1/2" FJWP Pin x Box</t>
        </is>
      </c>
      <c r="C825" t="n">
        <v>0</v>
      </c>
      <c r="D825" s="62" t="n">
        <v>5.5</v>
      </c>
      <c r="E825" t="n">
        <v>0</v>
      </c>
      <c r="T825" t="n">
        <v>53</v>
      </c>
      <c r="V825" t="inlineStr">
        <is>
          <t>FR</t>
        </is>
      </c>
    </row>
    <row r="826">
      <c r="A826" t="n">
        <v>5100620</v>
      </c>
      <c r="B826" t="inlineStr">
        <is>
          <t>WO Pipe
5-1/2" FJWP Pin x Box</t>
        </is>
      </c>
      <c r="C826" t="n">
        <v>0</v>
      </c>
      <c r="D826" s="62" t="n">
        <v>5.5</v>
      </c>
      <c r="E826" t="n">
        <v>0</v>
      </c>
      <c r="T826" t="n">
        <v>54</v>
      </c>
      <c r="V826" t="inlineStr">
        <is>
          <t>FR</t>
        </is>
      </c>
    </row>
    <row r="827">
      <c r="A827" t="n">
        <v>1060621</v>
      </c>
      <c r="B827" t="inlineStr">
        <is>
          <t>Impression Block 6-3/4" 
3-1/2" REG Box</t>
        </is>
      </c>
      <c r="C827" t="n">
        <v>64</v>
      </c>
      <c r="D827" s="62" t="n">
        <v>6.75</v>
      </c>
      <c r="E827" t="n">
        <v>600</v>
      </c>
      <c r="T827" t="n">
        <v>11</v>
      </c>
    </row>
    <row r="828">
      <c r="A828" t="n">
        <v>1060622</v>
      </c>
      <c r="B828" t="inlineStr">
        <is>
          <t>Impression Block 6-3/4" 
3-1/2" REG Box</t>
        </is>
      </c>
      <c r="C828" t="n">
        <v>62</v>
      </c>
      <c r="D828" s="62" t="n">
        <v>6.75</v>
      </c>
      <c r="E828" t="n">
        <v>600</v>
      </c>
      <c r="T828" t="n">
        <v>12</v>
      </c>
    </row>
    <row r="829">
      <c r="A829" t="n">
        <v>1060623</v>
      </c>
      <c r="B829" t="inlineStr">
        <is>
          <t>Impression Block 6" 
3-1/2" REG Box</t>
        </is>
      </c>
      <c r="C829" t="n">
        <v>58</v>
      </c>
      <c r="D829" s="62" t="n">
        <v>6</v>
      </c>
      <c r="E829" t="n">
        <v>600</v>
      </c>
      <c r="T829" t="n">
        <v>9</v>
      </c>
    </row>
    <row r="830">
      <c r="A830" t="n">
        <v>1060624</v>
      </c>
      <c r="B830" t="inlineStr">
        <is>
          <t>Impression Block 5-7/8"
3-1/2" REG Box</t>
        </is>
      </c>
      <c r="C830" t="n">
        <v>58</v>
      </c>
      <c r="D830" s="62" t="n">
        <v>6</v>
      </c>
      <c r="E830" t="n">
        <v>600</v>
      </c>
      <c r="T830" t="n">
        <v>10</v>
      </c>
    </row>
    <row r="831">
      <c r="A831" t="n">
        <v>5110625</v>
      </c>
      <c r="B831" t="inlineStr">
        <is>
          <t>WO Shoe
4-1/2" FJWP Box</t>
        </is>
      </c>
      <c r="C831" t="n">
        <v>10.5769675557</v>
      </c>
      <c r="D831" s="62" t="n">
        <v>4.875</v>
      </c>
      <c r="E831" t="n">
        <v>630</v>
      </c>
      <c r="T831" t="n">
        <v>56</v>
      </c>
    </row>
    <row r="832">
      <c r="A832" t="n">
        <v>5110626</v>
      </c>
      <c r="B832" t="inlineStr">
        <is>
          <t>WO Shoe
4-1/2" FJWP Box</t>
        </is>
      </c>
      <c r="C832" t="n">
        <v>10.5769675557</v>
      </c>
      <c r="D832" s="62" t="n">
        <v>4.875</v>
      </c>
      <c r="E832" t="n">
        <v>630</v>
      </c>
      <c r="T832" t="n">
        <v>57</v>
      </c>
    </row>
    <row r="833">
      <c r="A833" t="n">
        <v>5060627</v>
      </c>
      <c r="B833" t="inlineStr">
        <is>
          <t>String Mill 8,5 OD 
4-1/2" IF Box x 4-1/2" IF Pin</t>
        </is>
      </c>
      <c r="C833" t="n">
        <v>226</v>
      </c>
      <c r="D833" s="62" t="n">
        <v>8.5</v>
      </c>
      <c r="E833" t="n">
        <v>1585</v>
      </c>
      <c r="T833" t="n">
        <v>18</v>
      </c>
      <c r="V833" t="inlineStr">
        <is>
          <t>FR</t>
        </is>
      </c>
    </row>
    <row r="834">
      <c r="A834" t="n">
        <v>5060628</v>
      </c>
      <c r="B834" t="inlineStr">
        <is>
          <t>String Mill 8,5 OD 
4-1/2" IF Box x 4-1/2" IF Pin</t>
        </is>
      </c>
      <c r="C834" t="n">
        <v>228</v>
      </c>
      <c r="D834" s="62" t="n">
        <v>8.5</v>
      </c>
      <c r="E834" t="n">
        <v>1585</v>
      </c>
      <c r="T834" t="n">
        <v>19</v>
      </c>
      <c r="V834" t="inlineStr">
        <is>
          <t>FR</t>
        </is>
      </c>
    </row>
    <row r="835">
      <c r="A835" t="n">
        <v>8020629</v>
      </c>
      <c r="B835" t="inlineStr">
        <is>
          <t>Bit Sub
4-1/2" IF Box x 6-5/8" REG Box</t>
        </is>
      </c>
      <c r="C835" t="n">
        <v>101.10336634125</v>
      </c>
      <c r="D835" s="62" t="n">
        <v>7.5</v>
      </c>
      <c r="E835" t="n">
        <v>500</v>
      </c>
      <c r="T835" t="n">
        <v>54</v>
      </c>
      <c r="V835" t="inlineStr">
        <is>
          <t>FR</t>
        </is>
      </c>
    </row>
    <row r="836">
      <c r="A836" t="n">
        <v>7040630</v>
      </c>
      <c r="B836" t="inlineStr">
        <is>
          <t>5-3/4" FS Overshot - CA 8975
3-1/2" IF Box</t>
        </is>
      </c>
      <c r="C836" t="n">
        <v>70</v>
      </c>
      <c r="D836" s="62" t="inlineStr">
        <is>
          <t>5-3/4" FS</t>
        </is>
      </c>
      <c r="E836" t="n">
        <v>1220</v>
      </c>
      <c r="T836" t="n">
        <v>34</v>
      </c>
    </row>
    <row r="837">
      <c r="A837" t="n">
        <v>5050632</v>
      </c>
      <c r="B837" t="inlineStr">
        <is>
          <t>Pilot Mill
4-1/2" IF Box x Pilot</t>
        </is>
      </c>
      <c r="C837" t="n">
        <v>180</v>
      </c>
      <c r="D837" s="62" t="n">
        <v>12</v>
      </c>
      <c r="E837" t="n">
        <v>1300</v>
      </c>
      <c r="T837" t="n">
        <v>16</v>
      </c>
      <c r="V837" t="inlineStr">
        <is>
          <t>FR</t>
        </is>
      </c>
    </row>
    <row r="838">
      <c r="A838" t="n">
        <v>4030633</v>
      </c>
      <c r="B838" t="inlineStr">
        <is>
          <t>Jar Z 4-3/4" 
3-1/2" IF Pin down x Box up</t>
        </is>
      </c>
      <c r="C838" t="n">
        <v>180</v>
      </c>
      <c r="D838" s="62" t="n">
        <v>4.75</v>
      </c>
      <c r="E838" t="n">
        <v>2140</v>
      </c>
      <c r="T838" t="n">
        <v>10</v>
      </c>
    </row>
    <row r="839">
      <c r="A839" t="n">
        <v>7040310</v>
      </c>
      <c r="B839" t="inlineStr">
        <is>
          <t>7-5/8" SH Overshot - CA 9860
4-1/2" IF Box</t>
        </is>
      </c>
      <c r="C839" t="n">
        <v>98</v>
      </c>
      <c r="D839" s="62" t="inlineStr">
        <is>
          <t>7-5/8" SH</t>
        </is>
      </c>
      <c r="E839" t="n">
        <v>1220</v>
      </c>
      <c r="T839" t="n">
        <v>48</v>
      </c>
    </row>
    <row r="840">
      <c r="A840" t="n">
        <v>8020310</v>
      </c>
      <c r="B840" t="inlineStr">
        <is>
          <t>Bit Sub
3-1/2" IF Box x 3-1/2" REG Box</t>
        </is>
      </c>
      <c r="C840" t="n">
        <v>38.11436429531249</v>
      </c>
      <c r="D840" s="62" t="n">
        <v>4.75</v>
      </c>
      <c r="E840" t="n">
        <v>475</v>
      </c>
      <c r="T840" t="n">
        <v>32</v>
      </c>
      <c r="V840" t="inlineStr">
        <is>
          <t>FR</t>
        </is>
      </c>
    </row>
    <row r="841">
      <c r="A841" t="n">
        <v>2010343</v>
      </c>
      <c r="B841" t="inlineStr">
        <is>
          <t>Hydraulic External Cutter 5-5/8" OD body 
5-1/2" FJWP Box</t>
        </is>
      </c>
      <c r="C841" t="n">
        <v>82</v>
      </c>
      <c r="D841" s="62" t="n">
        <v>5.625</v>
      </c>
      <c r="E841" t="n">
        <v>1130</v>
      </c>
      <c r="T841" t="n">
        <v>6</v>
      </c>
    </row>
    <row r="842">
      <c r="A842" t="n">
        <v>2020335</v>
      </c>
      <c r="D842" s="62" t="n"/>
      <c r="V842" t="inlineStr">
        <is>
          <t>n° réattribué au 2020311</t>
        </is>
      </c>
    </row>
    <row r="843">
      <c r="A843" t="n">
        <v>7040631</v>
      </c>
      <c r="B843" t="inlineStr">
        <is>
          <t>5-3/4" FS Overshot - CA 8975
3-1/2" IF Box</t>
        </is>
      </c>
      <c r="C843" t="n">
        <v>70</v>
      </c>
      <c r="D843" s="62" t="inlineStr">
        <is>
          <t>5-3/4" FS</t>
        </is>
      </c>
      <c r="E843" t="n">
        <v>1220</v>
      </c>
      <c r="T843" t="n">
        <v>33</v>
      </c>
    </row>
    <row r="844">
      <c r="A844" t="n">
        <v>4020634</v>
      </c>
      <c r="B844" t="inlineStr">
        <is>
          <t>Bumper Sub 4-3/4" OD
3-1/2" IF Pin down x Box up</t>
        </is>
      </c>
      <c r="C844" t="n">
        <v>98</v>
      </c>
      <c r="D844" s="62" t="n">
        <v>4.75</v>
      </c>
      <c r="E844" t="n">
        <v>1455</v>
      </c>
      <c r="T844" t="n">
        <v>10</v>
      </c>
    </row>
    <row r="845">
      <c r="A845" t="n">
        <v>4040635</v>
      </c>
      <c r="B845" t="inlineStr">
        <is>
          <t>Intensifier 4-3/4" OD 
3-1/2" IF Pin x Box</t>
        </is>
      </c>
      <c r="C845" t="n">
        <v>202</v>
      </c>
      <c r="D845" s="62" t="n">
        <v>4.75</v>
      </c>
      <c r="E845" t="n">
        <v>3500</v>
      </c>
      <c r="T845" t="n">
        <v>8</v>
      </c>
    </row>
    <row r="846">
      <c r="A846" t="n">
        <v>2030636</v>
      </c>
      <c r="B846" t="inlineStr">
        <is>
          <t>Pipe Cutter 8200s
6-5/8" REG Box up x Box down</t>
        </is>
      </c>
      <c r="C846" t="n">
        <v>400</v>
      </c>
      <c r="D846" s="62" t="n">
        <v>8200</v>
      </c>
      <c r="E846" t="n">
        <v>0</v>
      </c>
      <c r="T846" t="n">
        <v>12</v>
      </c>
      <c r="V846" t="inlineStr">
        <is>
          <t>FR</t>
        </is>
      </c>
    </row>
    <row r="847">
      <c r="A847" t="n">
        <v>1090637</v>
      </c>
      <c r="D847" s="62" t="n">
        <v>6.625</v>
      </c>
      <c r="V847" t="inlineStr">
        <is>
          <t>parti à la place du 1091001 destiné à Perenco</t>
        </is>
      </c>
    </row>
    <row r="848">
      <c r="A848" t="n">
        <v>5070638</v>
      </c>
      <c r="B848" t="inlineStr">
        <is>
          <t>Super Junk Mill 
4-1/2" REG Pin</t>
        </is>
      </c>
      <c r="C848" t="n">
        <v>118</v>
      </c>
      <c r="D848" s="62" t="n">
        <v>8.125</v>
      </c>
      <c r="E848" t="n">
        <v>775</v>
      </c>
      <c r="T848" t="n">
        <v>63</v>
      </c>
      <c r="V848" t="inlineStr">
        <is>
          <t>FR</t>
        </is>
      </c>
    </row>
    <row r="849">
      <c r="A849" t="n">
        <v>5070639</v>
      </c>
      <c r="B849" t="inlineStr">
        <is>
          <t>Super Junk Mill 
4-1/2" REG Pin</t>
        </is>
      </c>
      <c r="C849" t="n">
        <v>122</v>
      </c>
      <c r="D849" s="62" t="n">
        <v>8.5</v>
      </c>
      <c r="E849" t="n">
        <v>775</v>
      </c>
      <c r="T849" t="n">
        <v>64</v>
      </c>
      <c r="V849" t="inlineStr">
        <is>
          <t>FR</t>
        </is>
      </c>
    </row>
    <row r="850">
      <c r="A850" t="n">
        <v>5070640</v>
      </c>
      <c r="B850" t="inlineStr">
        <is>
          <t>Super Junk Mill 
0</t>
        </is>
      </c>
      <c r="C850" t="n">
        <v>0</v>
      </c>
      <c r="D850" s="62" t="n">
        <v>6.625</v>
      </c>
      <c r="E850" t="n">
        <v>680</v>
      </c>
      <c r="T850" t="n">
        <v>59</v>
      </c>
      <c r="V850" t="inlineStr">
        <is>
          <t>FR</t>
        </is>
      </c>
    </row>
    <row r="851">
      <c r="A851" t="n">
        <v>5120641</v>
      </c>
      <c r="B851" t="inlineStr">
        <is>
          <t>WO Top Sub
4-1/2" REG Pin x 7-5/8" FJWP Pin x 4-1/2" REG Box in</t>
        </is>
      </c>
      <c r="C851" t="n">
        <v>126</v>
      </c>
      <c r="D851" s="62" t="n">
        <v>7.625</v>
      </c>
      <c r="E851" t="n">
        <v>660</v>
      </c>
      <c r="T851" t="n">
        <v>33</v>
      </c>
      <c r="V851" t="inlineStr">
        <is>
          <t>FR</t>
        </is>
      </c>
    </row>
    <row r="852">
      <c r="A852" t="n">
        <v>7020642</v>
      </c>
      <c r="B852" t="inlineStr">
        <is>
          <t>String Magnet 6-1/2" OD
4-1/2" IF Pin x Box</t>
        </is>
      </c>
      <c r="C852" t="n">
        <v>176</v>
      </c>
      <c r="D852" s="62" t="n">
        <v>6.5</v>
      </c>
      <c r="E852" t="n">
        <v>1520</v>
      </c>
      <c r="T852" t="n">
        <v>11</v>
      </c>
      <c r="V852" t="inlineStr">
        <is>
          <t>FR</t>
        </is>
      </c>
    </row>
    <row r="853">
      <c r="A853" t="n">
        <v>7040337</v>
      </c>
      <c r="B853" t="inlineStr">
        <is>
          <t>5-7/8" SH Overshot - CA C-5171
3-1/2" IF Box</t>
        </is>
      </c>
      <c r="C853" t="n">
        <v>44</v>
      </c>
      <c r="D853" s="62" t="inlineStr">
        <is>
          <t>5-7/8" SH</t>
        </is>
      </c>
      <c r="E853" t="n">
        <v>1110</v>
      </c>
      <c r="T853" t="n">
        <v>40</v>
      </c>
    </row>
    <row r="854">
      <c r="A854" t="n">
        <v>5080643</v>
      </c>
      <c r="B854" t="inlineStr">
        <is>
          <t>Taper Mill 
6-5/8" REG Box</t>
        </is>
      </c>
      <c r="C854" t="n">
        <v>338</v>
      </c>
      <c r="D854" s="62" t="n">
        <v>12.25</v>
      </c>
      <c r="E854" t="n">
        <v>338</v>
      </c>
      <c r="T854" t="n">
        <v>45</v>
      </c>
    </row>
    <row r="855">
      <c r="A855" t="n">
        <v>5060644</v>
      </c>
      <c r="B855" t="inlineStr">
        <is>
          <t>String Mill 12,25 OD 
6-5/8" REG Box x 6-5/8" REG Pin</t>
        </is>
      </c>
      <c r="C855" t="n">
        <v>490</v>
      </c>
      <c r="D855" s="62" t="n">
        <v>12.25</v>
      </c>
      <c r="E855" t="n">
        <v>1720</v>
      </c>
      <c r="T855" t="n">
        <v>25</v>
      </c>
      <c r="V855" t="inlineStr">
        <is>
          <t>FR</t>
        </is>
      </c>
    </row>
    <row r="856">
      <c r="A856" t="n">
        <v>5060645</v>
      </c>
      <c r="B856" t="inlineStr">
        <is>
          <t>String Mill 12,1875 OD 
6-5/8" REG Box x 6-5/8" REG Pin</t>
        </is>
      </c>
      <c r="C856" t="n">
        <v>510</v>
      </c>
      <c r="D856" s="62" t="n">
        <v>12.1875</v>
      </c>
      <c r="E856" t="n">
        <v>1710</v>
      </c>
      <c r="T856" t="n">
        <v>26</v>
      </c>
      <c r="V856" t="inlineStr">
        <is>
          <t>FR</t>
        </is>
      </c>
    </row>
    <row r="857">
      <c r="A857" t="n">
        <v>5060646</v>
      </c>
      <c r="B857" t="inlineStr">
        <is>
          <t>String Mill 8 1/2 blank OD 
4-1/2" IF Box x 4-1/2" IF Pin</t>
        </is>
      </c>
      <c r="C857" t="n">
        <v>0</v>
      </c>
      <c r="D857" s="62" t="inlineStr">
        <is>
          <t>8 1/2 blank</t>
        </is>
      </c>
      <c r="E857" t="n">
        <v>0</v>
      </c>
      <c r="T857" t="n">
        <v>20</v>
      </c>
      <c r="V857" t="inlineStr">
        <is>
          <t>FR</t>
        </is>
      </c>
    </row>
    <row r="858">
      <c r="A858" t="inlineStr">
        <is>
          <t xml:space="preserve"> - </t>
        </is>
      </c>
      <c r="D858" s="62" t="n"/>
    </row>
    <row r="859">
      <c r="A859" t="n">
        <v>5030647</v>
      </c>
      <c r="B859" t="inlineStr">
        <is>
          <t>Junk Mill 
3-1/2" REG Pin</t>
        </is>
      </c>
      <c r="C859" t="n">
        <v>60</v>
      </c>
      <c r="D859" s="62" t="n">
        <v>6.25</v>
      </c>
      <c r="E859" t="n">
        <v>0</v>
      </c>
      <c r="T859" t="n">
        <v>66</v>
      </c>
    </row>
    <row r="860">
      <c r="A860" t="n">
        <v>5030648</v>
      </c>
      <c r="B860" t="inlineStr">
        <is>
          <t>Junk Mill 
3-1/2" REG Pin</t>
        </is>
      </c>
      <c r="C860" t="n">
        <v>60</v>
      </c>
      <c r="D860" s="62" t="n">
        <v>6.75</v>
      </c>
      <c r="E860" t="n">
        <v>0</v>
      </c>
      <c r="T860" t="n">
        <v>67</v>
      </c>
    </row>
    <row r="861">
      <c r="A861" t="n">
        <v>5030649</v>
      </c>
      <c r="B861" t="inlineStr">
        <is>
          <t>Junk Mill  5-7/8" OD
3-1/2" REG Pin</t>
        </is>
      </c>
      <c r="C861" t="n">
        <v>60</v>
      </c>
      <c r="D861" s="62" t="n">
        <v>5.875</v>
      </c>
      <c r="E861" t="n">
        <v>700</v>
      </c>
      <c r="V861" t="inlineStr">
        <is>
          <t>CI1405A2019</t>
        </is>
      </c>
    </row>
    <row r="862">
      <c r="A862" t="n">
        <v>5030650</v>
      </c>
      <c r="B862" t="inlineStr">
        <is>
          <t>Junk Mill  5-7/8" OD
3-1/2" REG Pin</t>
        </is>
      </c>
      <c r="C862" t="n">
        <v>60</v>
      </c>
      <c r="D862" s="62" t="n">
        <v>5.875</v>
      </c>
      <c r="E862" t="n">
        <v>700</v>
      </c>
      <c r="V862" t="inlineStr">
        <is>
          <t>CI1405A2019</t>
        </is>
      </c>
    </row>
    <row r="863">
      <c r="A863" t="n">
        <v>5030651</v>
      </c>
      <c r="B863" t="inlineStr">
        <is>
          <t>Junk Mill  6-3/4" OD
3-1/2" REG Pin</t>
        </is>
      </c>
      <c r="D863" s="62" t="n">
        <v>6.75</v>
      </c>
      <c r="V863" t="inlineStr">
        <is>
          <t>CI1405A2019</t>
        </is>
      </c>
    </row>
    <row r="864">
      <c r="A864" t="n">
        <v>5030652</v>
      </c>
      <c r="B864" t="inlineStr">
        <is>
          <t>Junk Mill 
3-1/2" REG Pin</t>
        </is>
      </c>
      <c r="C864" t="n">
        <v>60</v>
      </c>
      <c r="D864" s="62" t="n">
        <v>6.125</v>
      </c>
      <c r="E864" t="n">
        <v>0</v>
      </c>
      <c r="T864" t="n">
        <v>42</v>
      </c>
    </row>
    <row r="865">
      <c r="A865" t="n">
        <v>5030653</v>
      </c>
      <c r="B865" t="inlineStr">
        <is>
          <t>Junk Mill 
3-1/2" REG Pin</t>
        </is>
      </c>
      <c r="C865" t="n">
        <v>58</v>
      </c>
      <c r="D865" s="62" t="n">
        <v>6.125</v>
      </c>
      <c r="E865" t="n">
        <v>0</v>
      </c>
      <c r="T865" t="n">
        <v>43</v>
      </c>
    </row>
    <row r="866">
      <c r="A866" t="n">
        <v>5030654</v>
      </c>
      <c r="B866" t="inlineStr">
        <is>
          <t>Junk Mill 
3-1/2" REG Pin</t>
        </is>
      </c>
      <c r="C866" t="n">
        <v>58</v>
      </c>
      <c r="D866" s="62" t="n">
        <v>6.125</v>
      </c>
      <c r="E866" t="n">
        <v>0</v>
      </c>
      <c r="T866" t="n">
        <v>44</v>
      </c>
    </row>
    <row r="867">
      <c r="A867" t="n">
        <v>5030655</v>
      </c>
      <c r="B867" t="inlineStr">
        <is>
          <t>Junk Mill 
3-1/2" REG Pin</t>
        </is>
      </c>
      <c r="C867" t="n">
        <v>60</v>
      </c>
      <c r="D867" s="62" t="inlineStr">
        <is>
          <t>6-1/8" blank</t>
        </is>
      </c>
      <c r="E867" t="n">
        <v>0</v>
      </c>
      <c r="T867" t="n">
        <v>40</v>
      </c>
    </row>
    <row r="868">
      <c r="A868" t="n">
        <v>5110656</v>
      </c>
      <c r="B868" t="inlineStr">
        <is>
          <t>WO Shoe
5-1/2" FJWP Box</t>
        </is>
      </c>
      <c r="C868" t="n">
        <v>18</v>
      </c>
      <c r="D868" s="62" t="n">
        <v>5.875</v>
      </c>
      <c r="E868" t="n">
        <v>630</v>
      </c>
      <c r="T868" t="n">
        <v>103</v>
      </c>
    </row>
    <row r="869">
      <c r="A869" t="n">
        <v>5110657</v>
      </c>
      <c r="B869" t="inlineStr">
        <is>
          <t>WO Shoe
5-1/2" FJWP Box</t>
        </is>
      </c>
      <c r="C869" t="n">
        <v>18</v>
      </c>
      <c r="D869" s="62" t="n">
        <v>5.875</v>
      </c>
      <c r="E869" t="n">
        <v>630</v>
      </c>
      <c r="T869" t="n">
        <v>104</v>
      </c>
    </row>
    <row r="870">
      <c r="A870" t="n">
        <v>5110658</v>
      </c>
      <c r="D870" s="62" t="n"/>
      <c r="V870" t="inlineStr">
        <is>
          <t>pb Cr</t>
        </is>
      </c>
    </row>
    <row r="871">
      <c r="A871" t="n">
        <v>5110659</v>
      </c>
      <c r="D871" s="62" t="n"/>
      <c r="V871" t="inlineStr">
        <is>
          <t>pb Cr</t>
        </is>
      </c>
    </row>
    <row r="872">
      <c r="A872" t="n">
        <v>5110660</v>
      </c>
      <c r="D872" s="62" t="n"/>
      <c r="V872" t="inlineStr">
        <is>
          <t>pb Cr</t>
        </is>
      </c>
    </row>
    <row r="873">
      <c r="A873" t="n">
        <v>5110661</v>
      </c>
      <c r="B873" t="inlineStr">
        <is>
          <t>WO Shoe
5-1/2" FJWP Box</t>
        </is>
      </c>
      <c r="C873" t="n">
        <v>18</v>
      </c>
      <c r="D873" s="62" t="n">
        <v>5.875</v>
      </c>
      <c r="E873" t="n">
        <v>630</v>
      </c>
      <c r="T873" t="n">
        <v>105</v>
      </c>
    </row>
    <row r="874">
      <c r="A874" t="n">
        <v>8130661</v>
      </c>
      <c r="B874" t="inlineStr">
        <is>
          <t>XO
2-3/8" IF Pin x 2-3/8" REG Box</t>
        </is>
      </c>
      <c r="C874" t="n">
        <v>12</v>
      </c>
      <c r="D874" s="62" t="n">
        <v>3.5</v>
      </c>
      <c r="E874" t="n">
        <v>315</v>
      </c>
      <c r="T874" t="n">
        <v>11</v>
      </c>
    </row>
    <row r="875">
      <c r="A875" t="n">
        <v>8130662</v>
      </c>
      <c r="B875" t="inlineStr">
        <is>
          <t>XO
1-1/4" REG Pin x 2-3/8" REG Box</t>
        </is>
      </c>
      <c r="C875" t="n">
        <v>12</v>
      </c>
      <c r="D875" s="62" t="n">
        <v>3.5</v>
      </c>
      <c r="E875" t="n">
        <v>310</v>
      </c>
      <c r="T875" t="n">
        <v>10</v>
      </c>
    </row>
    <row r="876">
      <c r="A876" t="n">
        <v>7120663</v>
      </c>
      <c r="B876" t="inlineStr">
        <is>
          <t>Releasing Spear 2-5/16" OD Mandrel CA 1227
1-1/4" REG Box</t>
        </is>
      </c>
      <c r="C876" t="n">
        <v>18</v>
      </c>
      <c r="D876" s="62" t="n">
        <v>2.3125</v>
      </c>
      <c r="E876" t="inlineStr">
        <is>
          <t>CA 1227</t>
        </is>
      </c>
      <c r="T876" t="n">
        <v>8</v>
      </c>
    </row>
    <row r="877">
      <c r="A877" t="n">
        <v>7120664</v>
      </c>
      <c r="B877" t="inlineStr">
        <is>
          <t>Releasing Spear 2-5/16" OD Mandrel CA 1227
1-1/4" REG Box</t>
        </is>
      </c>
      <c r="C877" t="n">
        <v>8</v>
      </c>
      <c r="D877" s="62" t="n">
        <v>2.3125</v>
      </c>
      <c r="E877" t="inlineStr">
        <is>
          <t>CA 1227</t>
        </is>
      </c>
      <c r="T877" t="n">
        <v>9</v>
      </c>
    </row>
    <row r="878">
      <c r="A878" t="n">
        <v>7120665</v>
      </c>
      <c r="D878" s="62" t="n"/>
      <c r="V878" t="inlineStr">
        <is>
          <t>CI-1201A2021</t>
        </is>
      </c>
    </row>
    <row r="879">
      <c r="A879" t="n">
        <v>7120666</v>
      </c>
      <c r="B879" t="inlineStr">
        <is>
          <t>Releasing Spear 5-11/16" OD Mandrel CA 9266
3-1/2" IF Box</t>
        </is>
      </c>
      <c r="C879" t="n">
        <v>86</v>
      </c>
      <c r="D879" s="62" t="n">
        <v>5.6875</v>
      </c>
      <c r="E879" t="inlineStr">
        <is>
          <t>CA 9266</t>
        </is>
      </c>
      <c r="T879" t="n">
        <v>26</v>
      </c>
    </row>
    <row r="880">
      <c r="A880" t="n">
        <v>5110667</v>
      </c>
      <c r="B880" t="inlineStr">
        <is>
          <t>WO Shoe
5-3/4" FJWP Box</t>
        </is>
      </c>
      <c r="C880" t="n">
        <v>28</v>
      </c>
      <c r="D880" s="62" t="n">
        <v>6.75</v>
      </c>
      <c r="E880" t="n">
        <v>725</v>
      </c>
      <c r="T880" t="n">
        <v>130</v>
      </c>
    </row>
    <row r="881">
      <c r="A881" t="n">
        <v>5110668</v>
      </c>
      <c r="B881" t="inlineStr">
        <is>
          <t>WO Shoe
5-3/4" FJWP Box</t>
        </is>
      </c>
      <c r="C881" t="n">
        <v>26</v>
      </c>
      <c r="D881" s="62" t="n">
        <v>6.75</v>
      </c>
      <c r="E881" t="n">
        <v>720</v>
      </c>
      <c r="T881" t="n">
        <v>131</v>
      </c>
    </row>
    <row r="882">
      <c r="A882" t="n">
        <v>5110669</v>
      </c>
      <c r="B882" t="inlineStr">
        <is>
          <t>WO Shoe
5-3/4" FJWP Box</t>
        </is>
      </c>
      <c r="C882" t="n">
        <v>26</v>
      </c>
      <c r="D882" s="62" t="n">
        <v>6.75</v>
      </c>
      <c r="E882" t="n">
        <v>715</v>
      </c>
      <c r="T882" t="n">
        <v>132</v>
      </c>
    </row>
    <row r="883">
      <c r="A883" t="n">
        <v>5110670</v>
      </c>
      <c r="B883" t="inlineStr">
        <is>
          <t>WO Shoe
5-3/4" FJWP Box</t>
        </is>
      </c>
      <c r="C883" t="n">
        <v>0</v>
      </c>
      <c r="D883" s="62" t="n">
        <v>6.75</v>
      </c>
      <c r="E883" t="n">
        <v>700</v>
      </c>
      <c r="T883" t="n">
        <v>133</v>
      </c>
    </row>
    <row r="884">
      <c r="A884" t="n">
        <v>5030671</v>
      </c>
      <c r="B884" t="inlineStr">
        <is>
          <t>Junk Mill 
2-3/8" REG Pin</t>
        </is>
      </c>
      <c r="C884" t="n">
        <v>24</v>
      </c>
      <c r="D884" s="62" t="n">
        <v>4.75</v>
      </c>
      <c r="E884" t="n">
        <v>0</v>
      </c>
      <c r="T884" t="n">
        <v>17</v>
      </c>
    </row>
    <row r="885">
      <c r="A885" t="n">
        <v>5030672</v>
      </c>
      <c r="B885" t="inlineStr">
        <is>
          <t>Junk Mill 
2-3/8" REG Pin</t>
        </is>
      </c>
      <c r="C885" t="n">
        <v>24</v>
      </c>
      <c r="D885" s="62" t="n">
        <v>4.875</v>
      </c>
      <c r="E885" t="n">
        <v>0</v>
      </c>
      <c r="T885" t="n">
        <v>18</v>
      </c>
    </row>
    <row r="886">
      <c r="A886" t="n">
        <v>5030673</v>
      </c>
      <c r="B886" t="inlineStr">
        <is>
          <t>Junk Mill 
2-3/8" REG Pin</t>
        </is>
      </c>
      <c r="C886" t="n">
        <v>24</v>
      </c>
      <c r="D886" s="62" t="n">
        <v>4.875</v>
      </c>
      <c r="E886" t="n">
        <v>0</v>
      </c>
      <c r="T886" t="n">
        <v>19</v>
      </c>
    </row>
    <row r="887">
      <c r="A887" t="n">
        <v>5030674</v>
      </c>
      <c r="B887" t="inlineStr">
        <is>
          <t>Junk Mill 
4-1/2" REG Pin</t>
        </is>
      </c>
      <c r="C887" t="n">
        <v>104</v>
      </c>
      <c r="D887" s="62" t="n">
        <v>8.25</v>
      </c>
      <c r="E887" t="n">
        <v>0</v>
      </c>
      <c r="T887" t="n">
        <v>73</v>
      </c>
    </row>
    <row r="888">
      <c r="A888" t="n">
        <v>5030675</v>
      </c>
      <c r="B888" t="inlineStr">
        <is>
          <t>Junk Mill 
4-1/2" REG Pin</t>
        </is>
      </c>
      <c r="C888" t="n">
        <v>104</v>
      </c>
      <c r="D888" s="62" t="n">
        <v>8.5</v>
      </c>
      <c r="E888" t="n">
        <v>0</v>
      </c>
      <c r="T888" t="n">
        <v>74</v>
      </c>
    </row>
    <row r="889">
      <c r="A889" t="n">
        <v>5020676</v>
      </c>
      <c r="B889" t="inlineStr">
        <is>
          <t>Economill 
3-1/2" REG Pin</t>
        </is>
      </c>
      <c r="C889" t="n">
        <v>16</v>
      </c>
      <c r="D889" s="62" t="n">
        <v>4.625</v>
      </c>
      <c r="E889" t="n">
        <v>210</v>
      </c>
      <c r="T889" t="n">
        <v>16</v>
      </c>
    </row>
    <row r="890">
      <c r="A890" t="n">
        <v>5020677</v>
      </c>
      <c r="B890" t="inlineStr">
        <is>
          <t>Economill 
3-1/2" REG Pin</t>
        </is>
      </c>
      <c r="C890" t="n">
        <v>18</v>
      </c>
      <c r="D890" s="62" t="n">
        <v>4.625</v>
      </c>
      <c r="E890" t="n">
        <v>210</v>
      </c>
      <c r="T890" t="n">
        <v>17</v>
      </c>
    </row>
    <row r="891">
      <c r="A891" t="n">
        <v>5020678</v>
      </c>
      <c r="B891" t="inlineStr">
        <is>
          <t>Economill 
3-1/2" REG Pin</t>
        </is>
      </c>
      <c r="C891" t="n">
        <v>17</v>
      </c>
      <c r="D891" s="62" t="n">
        <v>4.875</v>
      </c>
      <c r="E891" t="n">
        <v>210</v>
      </c>
      <c r="T891" t="n">
        <v>19</v>
      </c>
    </row>
    <row r="892">
      <c r="A892" t="n">
        <v>4020679</v>
      </c>
      <c r="B892" t="inlineStr">
        <is>
          <t xml:space="preserve">Bumper Sub 3-5/32" OD
2-3/8" REG Pin down x Box up </t>
        </is>
      </c>
      <c r="C892" t="n">
        <v>42</v>
      </c>
      <c r="D892" s="62" t="n">
        <v>3.15625</v>
      </c>
      <c r="E892" t="n">
        <v>1370</v>
      </c>
      <c r="T892" t="n">
        <v>6</v>
      </c>
    </row>
    <row r="893">
      <c r="A893" t="n">
        <v>4020680</v>
      </c>
      <c r="B893" t="inlineStr">
        <is>
          <t xml:space="preserve">Bumper Sub 3-5/32" OD
2-3/8" REG Pin down x Box up </t>
        </is>
      </c>
      <c r="C893" t="n">
        <v>42</v>
      </c>
      <c r="D893" s="62" t="n">
        <v>3.15625</v>
      </c>
      <c r="E893" t="n">
        <v>1370</v>
      </c>
      <c r="T893" t="n">
        <v>5</v>
      </c>
    </row>
    <row r="894">
      <c r="A894" t="n">
        <v>6040681</v>
      </c>
      <c r="D894" s="62" t="n"/>
    </row>
    <row r="895">
      <c r="A895" t="n">
        <v>6040682</v>
      </c>
      <c r="D895" s="62" t="n"/>
    </row>
    <row r="896">
      <c r="A896" t="n">
        <v>6040683</v>
      </c>
      <c r="B896" t="inlineStr">
        <is>
          <t>UBHO 6-3/4" OD
4-1/2" IF Pin x Box</t>
        </is>
      </c>
      <c r="C896" t="n">
        <v>122</v>
      </c>
      <c r="D896" s="62" t="n">
        <v>6.75</v>
      </c>
      <c r="E896" t="n">
        <v>870</v>
      </c>
      <c r="T896" t="n">
        <v>19</v>
      </c>
      <c r="V896" t="inlineStr">
        <is>
          <t>FR</t>
        </is>
      </c>
    </row>
    <row r="897">
      <c r="A897" t="n">
        <v>6040684</v>
      </c>
      <c r="B897" t="inlineStr">
        <is>
          <t>UBHO 6-3/4" OD
4-1/2" IF Pin x Box</t>
        </is>
      </c>
      <c r="C897" t="n">
        <v>126</v>
      </c>
      <c r="D897" s="62" t="n">
        <v>6.75</v>
      </c>
      <c r="E897" t="n">
        <v>900</v>
      </c>
      <c r="T897" t="n">
        <v>20</v>
      </c>
      <c r="V897" t="inlineStr">
        <is>
          <t>FR</t>
        </is>
      </c>
    </row>
    <row r="898">
      <c r="A898" t="n">
        <v>8020685</v>
      </c>
      <c r="B898" t="inlineStr">
        <is>
          <t>Bit Sub
6-5/8" REG Box x 7-5/8" REG Box BF</t>
        </is>
      </c>
      <c r="C898" t="n">
        <v>248.116796104125</v>
      </c>
      <c r="D898" s="62" t="n">
        <v>9.375</v>
      </c>
      <c r="E898" t="n">
        <v>800</v>
      </c>
      <c r="T898" t="n">
        <v>61</v>
      </c>
      <c r="V898" t="inlineStr">
        <is>
          <t>FR</t>
        </is>
      </c>
    </row>
    <row r="899">
      <c r="A899" t="n">
        <v>2741</v>
      </c>
      <c r="B899" t="inlineStr">
        <is>
          <t xml:space="preserve">9-5/8" PDM   - lobes - stages
7-5/8" REG Box x Box
Rotor : 
Stator : 
Bent : </t>
        </is>
      </c>
      <c r="C899" t="n">
        <v>2900</v>
      </c>
      <c r="D899" s="62" t="n">
        <v>9.625</v>
      </c>
      <c r="E899" t="n">
        <v>9500</v>
      </c>
      <c r="T899" t="n">
        <v>5</v>
      </c>
    </row>
    <row r="900">
      <c r="A900" t="n">
        <v>2739</v>
      </c>
      <c r="B900" t="inlineStr">
        <is>
          <t xml:space="preserve">8-1/2" PDM   - lobes - stages
6-5/8" REG Box x Box
Rotor : 
Stator : 
Bent : </t>
        </is>
      </c>
      <c r="C900" t="n">
        <v>2200</v>
      </c>
      <c r="D900" s="62" t="n">
        <v>8.5</v>
      </c>
      <c r="E900" t="n">
        <v>9500</v>
      </c>
      <c r="T900" t="n">
        <v>16</v>
      </c>
    </row>
    <row r="901">
      <c r="A901" t="n">
        <v>2740</v>
      </c>
      <c r="B901" t="inlineStr">
        <is>
          <t xml:space="preserve">8-1/2" PDM  - lobes - stages
6-5/8" REG Box x Box
Rotor : 
Stator : 
Bent : </t>
        </is>
      </c>
      <c r="C901" t="n">
        <v>2200</v>
      </c>
      <c r="D901" s="62" t="n">
        <v>8.5</v>
      </c>
      <c r="E901" t="n">
        <v>9500</v>
      </c>
      <c r="T901" t="n">
        <v>17</v>
      </c>
    </row>
    <row r="902">
      <c r="A902" t="n">
        <v>2738</v>
      </c>
      <c r="B902" t="inlineStr">
        <is>
          <t xml:space="preserve">6-3/4" PDM  - lobes - stages
4-1/2" IF Box x 4-1/2" REG Box
Rotor : 
Stator : 
Bent : </t>
        </is>
      </c>
      <c r="C902" t="n">
        <v>1500</v>
      </c>
      <c r="D902" s="62" t="n">
        <v>6.75</v>
      </c>
      <c r="E902" t="n">
        <v>9840</v>
      </c>
      <c r="T902" t="n">
        <v>22</v>
      </c>
    </row>
    <row r="903">
      <c r="A903" t="n">
        <v>2737</v>
      </c>
      <c r="B903" t="inlineStr">
        <is>
          <t>6-3/4" PDM
#N/A x A</t>
        </is>
      </c>
      <c r="C903" t="e">
        <v>#N/A</v>
      </c>
      <c r="D903" s="62" t="e">
        <v>#N/A</v>
      </c>
      <c r="E903" t="e">
        <v>#N/A</v>
      </c>
      <c r="T903" t="e">
        <v>#N/A</v>
      </c>
    </row>
    <row r="904">
      <c r="A904" t="n">
        <v>84</v>
      </c>
      <c r="B904" t="inlineStr">
        <is>
          <t>Drilling Jar Hydro Méca 8-1/8" OD
6-5/8" REG Pin down x Box up</t>
        </is>
      </c>
      <c r="C904" t="n">
        <v>1086</v>
      </c>
      <c r="D904" s="62" t="n">
        <v>8</v>
      </c>
      <c r="E904" t="n">
        <v>5530</v>
      </c>
      <c r="T904" t="n">
        <v>25</v>
      </c>
    </row>
    <row r="905">
      <c r="A905" t="n">
        <v>106</v>
      </c>
      <c r="B905" t="inlineStr">
        <is>
          <t>Drilling Jar Hydro Méca 6-7/8" OD
4-1/2" IF Pin down x Box up</t>
        </is>
      </c>
      <c r="C905" t="n">
        <v>730</v>
      </c>
      <c r="D905" s="62" t="n">
        <v>6.8125</v>
      </c>
      <c r="E905" t="n">
        <v>5475</v>
      </c>
      <c r="T905" t="n">
        <v>14</v>
      </c>
    </row>
    <row r="906">
      <c r="A906" t="n">
        <v>107</v>
      </c>
      <c r="B906" t="inlineStr">
        <is>
          <t>Drilling Jar Hydro Méca 6-7/8" OD
4-1/2" IF Pin down x Box up</t>
        </is>
      </c>
      <c r="C906" t="n">
        <v>730</v>
      </c>
      <c r="D906" s="62" t="n">
        <v>6.8125</v>
      </c>
      <c r="E906" t="n">
        <v>5475</v>
      </c>
      <c r="T906" t="n">
        <v>15</v>
      </c>
    </row>
    <row r="907">
      <c r="A907" t="n">
        <v>2747</v>
      </c>
      <c r="B907" t="inlineStr">
        <is>
          <t xml:space="preserve">8-1/2" PDM   - lobes - stages
6-5/8" REG Box x Box
Rotor : 
Stator : 
Bent : </t>
        </is>
      </c>
      <c r="C907" t="n">
        <v>2200</v>
      </c>
      <c r="D907" s="62" t="n">
        <v>8.5</v>
      </c>
      <c r="E907" t="n">
        <v>9500</v>
      </c>
      <c r="T907" t="n">
        <v>18</v>
      </c>
    </row>
    <row r="908">
      <c r="A908" t="n">
        <v>2748</v>
      </c>
      <c r="B908" t="inlineStr">
        <is>
          <t xml:space="preserve">9-5/8" PDM   - lobes - stages
7-5/8" REG Box x Box
Rotor : 
Stator : 
Bent : </t>
        </is>
      </c>
      <c r="C908" t="n">
        <v>2900</v>
      </c>
      <c r="D908" s="62" t="n">
        <v>9.625</v>
      </c>
      <c r="E908" t="n">
        <v>9500</v>
      </c>
      <c r="T908" t="n">
        <v>6</v>
      </c>
    </row>
    <row r="909">
      <c r="A909" t="n">
        <v>2750</v>
      </c>
      <c r="B909" t="inlineStr">
        <is>
          <t xml:space="preserve">9-5/8" PDM - lobes - stages
7-5/8" REG Box x Box
Rotor : 
Stator : 
Bent : </t>
        </is>
      </c>
      <c r="C909" t="n">
        <v>2900</v>
      </c>
      <c r="D909" s="62" t="n">
        <v>9.625</v>
      </c>
      <c r="E909" t="n">
        <v>9500</v>
      </c>
      <c r="T909" t="n">
        <v>7</v>
      </c>
      <c r="V909" t="inlineStr">
        <is>
          <t>UAE</t>
        </is>
      </c>
    </row>
    <row r="910">
      <c r="A910" t="n">
        <v>2751</v>
      </c>
      <c r="B910" t="inlineStr">
        <is>
          <t>9-5/8" PDM
#N/A x A</t>
        </is>
      </c>
      <c r="C910" t="e">
        <v>#N/A</v>
      </c>
      <c r="D910" s="62" t="e">
        <v>#N/A</v>
      </c>
      <c r="E910" t="e">
        <v>#N/A</v>
      </c>
      <c r="T910" t="e">
        <v>#N/A</v>
      </c>
      <c r="V910" t="inlineStr">
        <is>
          <t>LIH le 07/01/20</t>
        </is>
      </c>
    </row>
    <row r="911">
      <c r="A911" t="n">
        <v>2746</v>
      </c>
      <c r="B911" t="inlineStr">
        <is>
          <t xml:space="preserve">6-3/4" PDM  - lobes - stages
4-1/2" IF Box x 4-1/2" REG Box
Rotor : 
Stator : 
Bent : </t>
        </is>
      </c>
      <c r="C911" t="n">
        <v>1500</v>
      </c>
      <c r="D911" s="62" t="n">
        <v>6.75</v>
      </c>
      <c r="E911" t="n">
        <v>9840</v>
      </c>
      <c r="T911" t="n">
        <v>23</v>
      </c>
    </row>
    <row r="912">
      <c r="A912" t="n">
        <v>5070686</v>
      </c>
      <c r="B912" t="inlineStr">
        <is>
          <t>Super Junk Mill 
4-1/2" REG Pin</t>
        </is>
      </c>
      <c r="C912" t="n">
        <v>116</v>
      </c>
      <c r="D912" s="62" t="n">
        <v>8.375</v>
      </c>
      <c r="E912" t="n">
        <v>770</v>
      </c>
      <c r="T912" t="n">
        <v>65</v>
      </c>
      <c r="V912" t="inlineStr">
        <is>
          <t>FR</t>
        </is>
      </c>
    </row>
    <row r="913">
      <c r="A913" t="n">
        <v>5070687</v>
      </c>
      <c r="B913" t="inlineStr">
        <is>
          <t>Super Junk Mill 
4-1/2" REG Pin</t>
        </is>
      </c>
      <c r="C913" t="n">
        <v>118</v>
      </c>
      <c r="D913" s="62" t="n">
        <v>8.5</v>
      </c>
      <c r="E913" t="n">
        <v>770</v>
      </c>
      <c r="T913" t="n">
        <v>69</v>
      </c>
      <c r="V913" t="inlineStr">
        <is>
          <t>FR</t>
        </is>
      </c>
    </row>
    <row r="914">
      <c r="A914" t="n">
        <v>5070688</v>
      </c>
      <c r="B914" t="inlineStr">
        <is>
          <t>Super Junk Mill 
4-1/2" REG Pin</t>
        </is>
      </c>
      <c r="C914" t="n">
        <v>118</v>
      </c>
      <c r="D914" s="62" t="n">
        <v>8.625</v>
      </c>
      <c r="E914" t="n">
        <v>770</v>
      </c>
      <c r="T914" t="n">
        <v>70</v>
      </c>
      <c r="V914" t="inlineStr">
        <is>
          <t>FR</t>
        </is>
      </c>
    </row>
    <row r="915">
      <c r="A915" t="n">
        <v>2030689</v>
      </c>
      <c r="B915" t="inlineStr">
        <is>
          <t>Pipe Cutter 5700s
3-1/2" IF Box up x 3-1/2" REG Box down</t>
        </is>
      </c>
      <c r="C915" t="n">
        <v>150</v>
      </c>
      <c r="D915" s="62" t="n">
        <v>5700</v>
      </c>
      <c r="E915" t="n">
        <v>1760</v>
      </c>
      <c r="T915" t="n">
        <v>10</v>
      </c>
      <c r="V915" t="inlineStr">
        <is>
          <t>FR</t>
        </is>
      </c>
    </row>
    <row r="916">
      <c r="A916" t="n">
        <v>8080690</v>
      </c>
      <c r="B916" t="inlineStr">
        <is>
          <t xml:space="preserve">Flex Collar 6-5/8" OD
4-1/2" IF Pin x Box
Set on : </t>
        </is>
      </c>
      <c r="C916" t="n">
        <v>374</v>
      </c>
      <c r="D916" s="62" t="n">
        <v>6.625</v>
      </c>
      <c r="E916" t="n">
        <v>3520</v>
      </c>
      <c r="T916" t="n">
        <v>48</v>
      </c>
      <c r="V916" t="inlineStr">
        <is>
          <t>FR</t>
        </is>
      </c>
    </row>
    <row r="917">
      <c r="A917" t="n">
        <v>8080691</v>
      </c>
      <c r="B917" t="inlineStr">
        <is>
          <t xml:space="preserve">Flex Collar 6-5/8" OD
4-1/2" IF Pin x Box
Set on : </t>
        </is>
      </c>
      <c r="C917" t="n">
        <v>314</v>
      </c>
      <c r="D917" s="62" t="n">
        <v>6.625</v>
      </c>
      <c r="E917" t="n">
        <v>3520</v>
      </c>
      <c r="T917" t="n">
        <v>49</v>
      </c>
      <c r="V917" t="inlineStr">
        <is>
          <t>FR</t>
        </is>
      </c>
    </row>
    <row r="918">
      <c r="A918" t="n">
        <v>8080692</v>
      </c>
      <c r="B918" t="inlineStr">
        <is>
          <t xml:space="preserve">6-3/4" OD Saver Sub for DJ
4-1/2" IF Pin x Box 
Set on : </t>
        </is>
      </c>
      <c r="C918" t="n">
        <v>101.8859452826414</v>
      </c>
      <c r="D918" s="62" t="n">
        <v>6.75</v>
      </c>
      <c r="E918" t="n">
        <v>685</v>
      </c>
      <c r="T918" t="n">
        <v>65</v>
      </c>
      <c r="V918" t="inlineStr">
        <is>
          <t>FR</t>
        </is>
      </c>
    </row>
    <row r="919">
      <c r="A919" t="n">
        <v>8080693</v>
      </c>
      <c r="B919" t="inlineStr">
        <is>
          <t xml:space="preserve">6-3/4" OD Saver Sub for DJ
4-1/2" IF Pin x Box
Set on : </t>
        </is>
      </c>
      <c r="C919" t="n">
        <v>104.1170243764219</v>
      </c>
      <c r="D919" s="62" t="n">
        <v>6.75</v>
      </c>
      <c r="E919" t="n">
        <v>700</v>
      </c>
      <c r="T919" t="n">
        <v>64</v>
      </c>
      <c r="V919" t="inlineStr">
        <is>
          <t>FR</t>
        </is>
      </c>
    </row>
    <row r="920">
      <c r="A920" t="n">
        <v>8080694</v>
      </c>
      <c r="B920" t="inlineStr">
        <is>
          <t>Float Sub 9-1/2" Lg 1010 mm
7-5/8" REG Pin x 7-5/8" REG Box BF (5F-6R)</t>
        </is>
      </c>
      <c r="C920" t="n">
        <v>300</v>
      </c>
      <c r="D920" s="62" t="n">
        <v>9.5</v>
      </c>
      <c r="E920" t="n">
        <v>1010</v>
      </c>
      <c r="T920" t="n">
        <v>43</v>
      </c>
      <c r="V920" t="inlineStr">
        <is>
          <t>FR</t>
        </is>
      </c>
    </row>
    <row r="921">
      <c r="A921" t="n">
        <v>8080695</v>
      </c>
      <c r="B921" t="inlineStr">
        <is>
          <t xml:space="preserve">Flex Collar 8" OD
6-5/8" REG Pin x Box
Set on : </t>
        </is>
      </c>
      <c r="C921" t="n">
        <v>650</v>
      </c>
      <c r="D921" s="62" t="n">
        <v>8</v>
      </c>
      <c r="E921" t="n">
        <v>3610</v>
      </c>
      <c r="T921" t="n">
        <v>84</v>
      </c>
      <c r="V921" t="inlineStr">
        <is>
          <t>FR</t>
        </is>
      </c>
    </row>
    <row r="922">
      <c r="A922" t="n">
        <v>8080696</v>
      </c>
      <c r="B922" t="inlineStr">
        <is>
          <t xml:space="preserve">Flex Collar 8" OD
6-5/8" REG Pin x Box
Set on : </t>
        </is>
      </c>
      <c r="C922" t="n">
        <v>550</v>
      </c>
      <c r="D922" s="62" t="n">
        <v>8</v>
      </c>
      <c r="E922" t="n">
        <v>3440</v>
      </c>
      <c r="T922" t="n">
        <v>85</v>
      </c>
      <c r="V922" t="inlineStr">
        <is>
          <t>FR</t>
        </is>
      </c>
    </row>
    <row r="923">
      <c r="A923" t="n">
        <v>8080697</v>
      </c>
      <c r="B923" t="inlineStr">
        <is>
          <t xml:space="preserve">Saver Sub 8" OD for DJ
6-5/8" REG Pin x Box
Set on : </t>
        </is>
      </c>
      <c r="C923" t="n">
        <v>132</v>
      </c>
      <c r="D923" s="62" t="n">
        <v>8</v>
      </c>
      <c r="E923" t="n">
        <v>620</v>
      </c>
      <c r="T923" t="n">
        <v>97</v>
      </c>
      <c r="V923" t="inlineStr">
        <is>
          <t>FR</t>
        </is>
      </c>
    </row>
    <row r="924">
      <c r="A924" t="n">
        <v>8080698</v>
      </c>
      <c r="B924" t="inlineStr">
        <is>
          <t xml:space="preserve">Saver Sub 8" OD for DJ
6-5/8" REG Pin x Box
Set on : </t>
        </is>
      </c>
      <c r="C924" t="n">
        <v>132.533057514</v>
      </c>
      <c r="D924" s="62" t="n">
        <v>8</v>
      </c>
      <c r="E924" t="n">
        <v>610</v>
      </c>
      <c r="T924" t="n">
        <v>96</v>
      </c>
      <c r="V924" t="inlineStr">
        <is>
          <t>FR</t>
        </is>
      </c>
    </row>
    <row r="925">
      <c r="A925" t="n">
        <v>8020699</v>
      </c>
      <c r="B925" t="inlineStr">
        <is>
          <t>Bit Sub
6-5/8" REG Box x 6-5/8" REG Box BF</t>
        </is>
      </c>
      <c r="C925" t="n">
        <v>225.229660426875</v>
      </c>
      <c r="D925" s="62" t="n">
        <v>8.125</v>
      </c>
      <c r="E925" t="n">
        <v>1000</v>
      </c>
      <c r="T925" t="n">
        <v>58</v>
      </c>
    </row>
    <row r="926">
      <c r="A926" t="n">
        <v>6040700</v>
      </c>
      <c r="B926" t="inlineStr">
        <is>
          <t>UBHO 9-1/2" OD
7-5/8" REG Pin x Box</t>
        </is>
      </c>
      <c r="C926" t="n">
        <v>260</v>
      </c>
      <c r="D926" s="62" t="n">
        <v>9.5</v>
      </c>
      <c r="E926" t="n">
        <v>860</v>
      </c>
      <c r="T926" t="n">
        <v>32</v>
      </c>
      <c r="V926" t="inlineStr">
        <is>
          <t>FR</t>
        </is>
      </c>
    </row>
    <row r="927">
      <c r="A927" t="n">
        <v>6040701</v>
      </c>
      <c r="D927" s="62" t="n"/>
      <c r="V927" t="inlineStr">
        <is>
          <t>FR</t>
        </is>
      </c>
    </row>
    <row r="928">
      <c r="A928" t="n">
        <v>6040702</v>
      </c>
      <c r="B928" t="inlineStr">
        <is>
          <t>UBHO 9-1/2" OD
7-5/8" REG Pin x Box</t>
        </is>
      </c>
      <c r="C928" t="n">
        <v>268</v>
      </c>
      <c r="D928" s="62" t="n">
        <v>9.4375</v>
      </c>
      <c r="E928" t="n">
        <v>880</v>
      </c>
      <c r="T928" t="n">
        <v>33</v>
      </c>
      <c r="V928" t="inlineStr">
        <is>
          <t>FR</t>
        </is>
      </c>
    </row>
    <row r="929">
      <c r="A929" t="n">
        <v>6040703</v>
      </c>
      <c r="B929" t="inlineStr">
        <is>
          <t>UBHO 9-3/8" OD
7-5/8" REG Pin x Box</t>
        </is>
      </c>
      <c r="C929" t="n">
        <v>266</v>
      </c>
      <c r="D929" s="62" t="n">
        <v>9.375</v>
      </c>
      <c r="E929" t="n">
        <v>880</v>
      </c>
      <c r="T929" t="n">
        <v>34</v>
      </c>
      <c r="V929" t="inlineStr">
        <is>
          <t>FR</t>
        </is>
      </c>
    </row>
    <row r="930">
      <c r="A930" t="n">
        <v>6040704</v>
      </c>
      <c r="B930" t="inlineStr">
        <is>
          <t>UBHO 6-3/4" OD
4-1/2" IF Pin x Box</t>
        </is>
      </c>
      <c r="C930" t="n">
        <v>124</v>
      </c>
      <c r="D930" s="62" t="n">
        <v>6.75</v>
      </c>
      <c r="E930" t="n">
        <v>905</v>
      </c>
      <c r="T930" t="n">
        <v>21</v>
      </c>
      <c r="V930" t="inlineStr">
        <is>
          <t>FR</t>
        </is>
      </c>
    </row>
    <row r="931">
      <c r="A931" t="n">
        <v>6040705</v>
      </c>
      <c r="B931" t="inlineStr">
        <is>
          <t>UBHO 6-3/4" OD
4-1/2" IF Pin x Box</t>
        </is>
      </c>
      <c r="C931" t="n">
        <v>124</v>
      </c>
      <c r="D931" s="62" t="n">
        <v>6.75</v>
      </c>
      <c r="E931" t="n">
        <v>905</v>
      </c>
      <c r="T931" t="n">
        <v>22</v>
      </c>
      <c r="V931" t="inlineStr">
        <is>
          <t>FR</t>
        </is>
      </c>
    </row>
    <row r="932">
      <c r="A932" t="n">
        <v>6040706</v>
      </c>
      <c r="B932" t="inlineStr">
        <is>
          <t>UBHO 8" OD
6-5/8" REG Pin x Box</t>
        </is>
      </c>
      <c r="C932" t="n">
        <v>186</v>
      </c>
      <c r="D932" s="62" t="n">
        <v>8</v>
      </c>
      <c r="E932" t="n">
        <v>890</v>
      </c>
      <c r="T932" t="n">
        <v>45</v>
      </c>
      <c r="V932" t="inlineStr">
        <is>
          <t>FR</t>
        </is>
      </c>
    </row>
    <row r="933">
      <c r="A933" t="n">
        <v>6040707</v>
      </c>
      <c r="B933" t="inlineStr">
        <is>
          <t>UBHO 8" OD
6-5/8" REG Pin x Box</t>
        </is>
      </c>
      <c r="C933" t="n">
        <v>188</v>
      </c>
      <c r="D933" s="62" t="n">
        <v>8</v>
      </c>
      <c r="E933" t="n">
        <v>890</v>
      </c>
      <c r="T933" t="n">
        <v>26</v>
      </c>
      <c r="V933" t="inlineStr">
        <is>
          <t>FR</t>
        </is>
      </c>
    </row>
    <row r="934">
      <c r="A934" t="n">
        <v>8080708</v>
      </c>
      <c r="B934" t="inlineStr">
        <is>
          <t>Float Sub 6-3/4" Lg 600 mm
4-1/2" IF Pin x 4-1/2" IF Box BF (4R)</t>
        </is>
      </c>
      <c r="C934" t="n">
        <v>84</v>
      </c>
      <c r="D934" s="62" t="n">
        <v>6.75</v>
      </c>
      <c r="E934" t="n">
        <v>600</v>
      </c>
      <c r="T934" t="n">
        <v>18</v>
      </c>
      <c r="V934" t="inlineStr">
        <is>
          <t>FR</t>
        </is>
      </c>
    </row>
    <row r="935">
      <c r="A935" t="n">
        <v>8080709</v>
      </c>
      <c r="B935" t="inlineStr">
        <is>
          <t>Short DC 6-3/4" Lg 2900mm
4-1/2" IF Pin x Box</t>
        </is>
      </c>
      <c r="C935" t="n">
        <v>410.0858703508124</v>
      </c>
      <c r="D935" s="62" t="n">
        <v>6.75</v>
      </c>
      <c r="E935" t="n">
        <v>2900</v>
      </c>
      <c r="T935" t="n">
        <v>20</v>
      </c>
      <c r="V935" t="inlineStr">
        <is>
          <t>FR</t>
        </is>
      </c>
    </row>
    <row r="936">
      <c r="A936" t="n">
        <v>1070710</v>
      </c>
      <c r="D936" s="62" t="n"/>
    </row>
    <row r="937">
      <c r="A937" t="n">
        <v>1070711</v>
      </c>
      <c r="D937" s="62" t="n"/>
    </row>
    <row r="938">
      <c r="A938" t="n">
        <v>2886</v>
      </c>
      <c r="B938" t="inlineStr">
        <is>
          <t xml:space="preserve">4-3/4" PDM  - lobes - stages
3-1/2" IF Box x 3-1/2" REG Box
Rotor : 
Stator : 
Bent : </t>
        </is>
      </c>
      <c r="C938" t="n">
        <v>470</v>
      </c>
      <c r="D938" s="62" t="n">
        <v>4.75</v>
      </c>
      <c r="E938" t="n">
        <v>6745</v>
      </c>
      <c r="T938" t="n">
        <v>30</v>
      </c>
    </row>
    <row r="939">
      <c r="A939" t="n">
        <v>2887</v>
      </c>
      <c r="B939" t="inlineStr">
        <is>
          <t xml:space="preserve">4-3/4" PDM  - lobes - stages
3-1/2" IF Box x 3-1/2" REG Box
Rotor : 
Stator : 
Bent : </t>
        </is>
      </c>
      <c r="C939" t="n">
        <v>470</v>
      </c>
      <c r="D939" s="62" t="n">
        <v>4.75</v>
      </c>
      <c r="E939" t="n">
        <v>6745</v>
      </c>
      <c r="T939" t="n">
        <v>31</v>
      </c>
    </row>
    <row r="940">
      <c r="A940" t="inlineStr">
        <is>
          <t>605-962-001</t>
        </is>
      </c>
      <c r="B940" t="inlineStr">
        <is>
          <t xml:space="preserve">Sleeve 0 for PDM 9-5/8"
Set on : </t>
        </is>
      </c>
      <c r="C940" t="n">
        <v>250</v>
      </c>
      <c r="D940" s="62" t="n">
        <v>0</v>
      </c>
      <c r="T940" t="n">
        <v>44</v>
      </c>
      <c r="V940" t="inlineStr">
        <is>
          <t>FR</t>
        </is>
      </c>
    </row>
    <row r="941">
      <c r="A941" t="inlineStr">
        <is>
          <t>605-962-002</t>
        </is>
      </c>
      <c r="B941" t="inlineStr">
        <is>
          <t xml:space="preserve">Sleeve 0 for PDM 9-5/8"
Set on : </t>
        </is>
      </c>
      <c r="C941" t="n">
        <v>140</v>
      </c>
      <c r="D941" s="62" t="n">
        <v>0</v>
      </c>
      <c r="T941" t="n">
        <v>52</v>
      </c>
      <c r="V941" t="inlineStr">
        <is>
          <t>FR</t>
        </is>
      </c>
    </row>
    <row r="942">
      <c r="A942" t="inlineStr">
        <is>
          <t>605-962-003</t>
        </is>
      </c>
      <c r="B942" t="inlineStr">
        <is>
          <t xml:space="preserve">Sleeve 0 for PDM 9-5/8"
Set on : </t>
        </is>
      </c>
      <c r="C942" t="n">
        <v>140</v>
      </c>
      <c r="D942" s="62" t="n">
        <v>0</v>
      </c>
      <c r="T942" t="n">
        <v>51</v>
      </c>
      <c r="V942" t="inlineStr">
        <is>
          <t>FR</t>
        </is>
      </c>
    </row>
    <row r="943">
      <c r="A943" t="inlineStr">
        <is>
          <t>Cabine n°1</t>
        </is>
      </c>
      <c r="B943" t="inlineStr">
        <is>
          <t>Cabine de chantier n°1 (Container RJMU 012355-9)</t>
        </is>
      </c>
      <c r="C943" t="n">
        <v>2500</v>
      </c>
      <c r="D943" s="62" t="n"/>
      <c r="E943" t="inlineStr">
        <is>
          <t>20ft</t>
        </is>
      </c>
      <c r="T943" t="n">
        <v>5</v>
      </c>
    </row>
    <row r="944">
      <c r="A944" t="inlineStr">
        <is>
          <t>Cabine n°2</t>
        </is>
      </c>
      <c r="B944" t="inlineStr">
        <is>
          <t>Cabine de chantier n°2  (Container RJMU 012312-1)</t>
        </is>
      </c>
      <c r="C944" t="n">
        <v>2500</v>
      </c>
      <c r="D944" s="62" t="n"/>
      <c r="E944" t="inlineStr">
        <is>
          <t>20ft</t>
        </is>
      </c>
      <c r="T944" t="n">
        <v>6</v>
      </c>
    </row>
    <row r="945">
      <c r="A945" t="inlineStr">
        <is>
          <t>605-850-004</t>
        </is>
      </c>
      <c r="B945" t="inlineStr">
        <is>
          <t>Sleeve 0 for PDM 8-1/2"</t>
        </is>
      </c>
      <c r="C945" t="n">
        <v>106</v>
      </c>
      <c r="D945" s="62" t="n">
        <v>0</v>
      </c>
      <c r="T945" t="n">
        <v>68</v>
      </c>
      <c r="V945" t="inlineStr">
        <is>
          <t>FR</t>
        </is>
      </c>
    </row>
    <row r="946">
      <c r="A946" t="inlineStr">
        <is>
          <t>605-850-005</t>
        </is>
      </c>
      <c r="B946" t="inlineStr">
        <is>
          <t>Sleeve 0 for PDM 8-1/2"</t>
        </is>
      </c>
      <c r="C946" t="n">
        <v>70</v>
      </c>
      <c r="D946" s="62" t="n">
        <v>0</v>
      </c>
      <c r="T946" t="n">
        <v>67</v>
      </c>
      <c r="V946" t="inlineStr">
        <is>
          <t>FR</t>
        </is>
      </c>
    </row>
    <row r="947">
      <c r="A947" t="n">
        <v>7050712</v>
      </c>
      <c r="B947" t="inlineStr">
        <is>
          <t>Extension 11-3/4" FS Lg 300mm CA 5329
11-3/4" FS Sellers Pin x Box</t>
        </is>
      </c>
      <c r="C947" t="n">
        <v>163.61709615225</v>
      </c>
      <c r="D947" s="62" t="inlineStr">
        <is>
          <t>11-3/4" FS</t>
        </is>
      </c>
      <c r="E947" t="n">
        <v>300</v>
      </c>
      <c r="T947" t="n">
        <v>72</v>
      </c>
      <c r="V947" t="inlineStr">
        <is>
          <t>FR</t>
        </is>
      </c>
    </row>
    <row r="948">
      <c r="A948" t="n">
        <v>8120713</v>
      </c>
      <c r="B948" t="inlineStr">
        <is>
          <t>Top Sub 3-1/2" REG Box</t>
        </is>
      </c>
      <c r="D948" s="62" t="n"/>
      <c r="V948" t="inlineStr">
        <is>
          <t>FR</t>
        </is>
      </c>
    </row>
    <row r="949">
      <c r="A949" t="n">
        <v>2050714</v>
      </c>
      <c r="B949" t="inlineStr">
        <is>
          <t>Section Mill 8200 
4-1/2" REG Pin up</t>
        </is>
      </c>
      <c r="C949" t="n">
        <v>428</v>
      </c>
      <c r="D949" s="62" t="n">
        <v>8200</v>
      </c>
      <c r="E949" t="n">
        <v>2380</v>
      </c>
      <c r="T949" t="n">
        <v>11</v>
      </c>
      <c r="V949" t="inlineStr">
        <is>
          <t>FR</t>
        </is>
      </c>
    </row>
    <row r="950">
      <c r="A950" t="n">
        <v>7050715</v>
      </c>
      <c r="B950" t="inlineStr">
        <is>
          <t>Extension 3-7/8" SH Lg 800mm CA C-1835
3-7/8" SH Sellers Pin x Box</t>
        </is>
      </c>
      <c r="C950" t="n">
        <v>17.81345026012501</v>
      </c>
      <c r="D950" s="62" t="inlineStr">
        <is>
          <t>3-7/8" SH</t>
        </is>
      </c>
      <c r="E950" t="n">
        <v>800</v>
      </c>
      <c r="T950" t="n">
        <v>5</v>
      </c>
      <c r="V950" t="inlineStr">
        <is>
          <t>FR</t>
        </is>
      </c>
    </row>
    <row r="951">
      <c r="A951" t="inlineStr">
        <is>
          <t>605-675-006</t>
        </is>
      </c>
      <c r="B951" t="inlineStr">
        <is>
          <t>Sleeve 0 for PDM 6-3/4"</t>
        </is>
      </c>
      <c r="C951" t="n">
        <v>26</v>
      </c>
      <c r="D951" s="62" t="n">
        <v>0</v>
      </c>
      <c r="T951" t="n">
        <v>87</v>
      </c>
      <c r="V951" t="inlineStr">
        <is>
          <t>FR</t>
        </is>
      </c>
    </row>
    <row r="952">
      <c r="A952" t="n">
        <v>7040087</v>
      </c>
      <c r="D952" s="62" t="n"/>
      <c r="V952" t="inlineStr">
        <is>
          <t>FR</t>
        </is>
      </c>
    </row>
    <row r="953">
      <c r="A953" t="n">
        <v>7040717</v>
      </c>
      <c r="B953" t="inlineStr">
        <is>
          <t>8-1/8" FS Overshot - CA C-5342
4-1/2" IF Box</t>
        </is>
      </c>
      <c r="C953" t="n">
        <v>142</v>
      </c>
      <c r="D953" s="62" t="inlineStr">
        <is>
          <t>8-1/8" FS</t>
        </is>
      </c>
      <c r="E953" t="n">
        <v>1330</v>
      </c>
      <c r="T953" t="n">
        <v>58</v>
      </c>
      <c r="V953" t="inlineStr">
        <is>
          <t>FR</t>
        </is>
      </c>
    </row>
    <row r="954">
      <c r="A954" t="n">
        <v>6070718</v>
      </c>
      <c r="B954" t="inlineStr">
        <is>
          <t>fin cutter 7-5/8"</t>
        </is>
      </c>
      <c r="D954" s="62" t="n"/>
      <c r="V954" t="inlineStr">
        <is>
          <t>FR</t>
        </is>
      </c>
    </row>
    <row r="955">
      <c r="A955" t="inlineStr">
        <is>
          <t>601-962-7-6-007-1</t>
        </is>
      </c>
      <c r="B955" t="inlineStr">
        <is>
          <t>Top Sub PDM 9-5/8"</t>
        </is>
      </c>
      <c r="D955" s="62" t="n"/>
      <c r="V955" t="inlineStr">
        <is>
          <t>FR</t>
        </is>
      </c>
    </row>
    <row r="956">
      <c r="A956" t="n">
        <v>2969</v>
      </c>
      <c r="B956" t="inlineStr">
        <is>
          <t xml:space="preserve">9-5/8" PDM  - lobes - stages
7-5/8" REG Box x Box
Rotor : 
Stator : 
Bent : </t>
        </is>
      </c>
      <c r="C956" t="n">
        <v>2900</v>
      </c>
      <c r="D956" s="62" t="n">
        <v>9.625</v>
      </c>
      <c r="E956" t="n">
        <v>11018</v>
      </c>
      <c r="T956" t="n">
        <v>4</v>
      </c>
    </row>
    <row r="957">
      <c r="A957" t="n">
        <v>5060719</v>
      </c>
      <c r="B957" t="inlineStr">
        <is>
          <t>String Mill 6 OD 
3-1/2" IF Box x 3-1/2" IF Pin</t>
        </is>
      </c>
      <c r="C957" t="n">
        <v>114</v>
      </c>
      <c r="D957" s="62" t="n">
        <v>6</v>
      </c>
      <c r="E957" t="n">
        <v>1400</v>
      </c>
      <c r="T957" t="n">
        <v>12</v>
      </c>
    </row>
    <row r="958">
      <c r="A958" t="n">
        <v>5060720</v>
      </c>
      <c r="B958" t="inlineStr">
        <is>
          <t>String Mill 6,125 OD 
3-1/2" IF Box x 3-1/2" IF Pin</t>
        </is>
      </c>
      <c r="C958" t="n">
        <v>104</v>
      </c>
      <c r="D958" s="62" t="n">
        <v>6.125</v>
      </c>
      <c r="E958" t="n">
        <v>1400</v>
      </c>
      <c r="T958" t="n">
        <v>15</v>
      </c>
    </row>
    <row r="959">
      <c r="A959" t="n">
        <v>5060721</v>
      </c>
      <c r="B959" t="inlineStr">
        <is>
          <t>String Mill 6 3/4 blank OD 
3-1/2" IF Box x 3-1/2" IF Pin</t>
        </is>
      </c>
      <c r="C959" t="n">
        <v>0</v>
      </c>
      <c r="D959" s="62" t="inlineStr">
        <is>
          <t>6 3/4 blank</t>
        </is>
      </c>
      <c r="E959" t="n">
        <v>1400</v>
      </c>
      <c r="T959" t="n">
        <v>16</v>
      </c>
    </row>
    <row r="960">
      <c r="A960" t="n">
        <v>5060722</v>
      </c>
      <c r="B960" t="inlineStr">
        <is>
          <t>String Mill 6 3/4 blank OD 
3-1/2" IF Box x 3-1/2" IF Pin</t>
        </is>
      </c>
      <c r="C960" t="n">
        <v>0</v>
      </c>
      <c r="D960" s="62" t="inlineStr">
        <is>
          <t>6 3/4 blank</t>
        </is>
      </c>
      <c r="E960" t="n">
        <v>1400</v>
      </c>
      <c r="T960" t="n">
        <v>17</v>
      </c>
    </row>
    <row r="961">
      <c r="A961" t="n">
        <v>8110723</v>
      </c>
      <c r="B961" t="inlineStr">
        <is>
          <t>String Stab
4-1/2" IF Pin SRG x 4-1/2" IF Box BB</t>
        </is>
      </c>
      <c r="C961" t="n">
        <v>236</v>
      </c>
      <c r="D961" s="62" t="n">
        <v>8.375</v>
      </c>
      <c r="E961" t="n">
        <v>1580</v>
      </c>
      <c r="T961" t="n">
        <v>40</v>
      </c>
      <c r="V961" t="inlineStr">
        <is>
          <t>FR</t>
        </is>
      </c>
    </row>
    <row r="962">
      <c r="A962" t="n">
        <v>8110724</v>
      </c>
      <c r="B962" t="inlineStr">
        <is>
          <t>String Stab
4-1/2" IF Pin x 4-1/2" IF Box</t>
        </is>
      </c>
      <c r="C962" t="n">
        <v>240</v>
      </c>
      <c r="D962" s="62" t="n">
        <v>8.375</v>
      </c>
      <c r="E962" t="n">
        <v>1580</v>
      </c>
      <c r="T962" t="n">
        <v>38</v>
      </c>
      <c r="V962" t="inlineStr">
        <is>
          <t>FR</t>
        </is>
      </c>
    </row>
    <row r="963">
      <c r="A963" t="n">
        <v>8110725</v>
      </c>
      <c r="B963" t="inlineStr">
        <is>
          <t>String Stab
4-1/2" IF Pin x 4-1/2" IF Box</t>
        </is>
      </c>
      <c r="C963" t="n">
        <v>246</v>
      </c>
      <c r="D963" s="62" t="n">
        <v>9.125</v>
      </c>
      <c r="E963" t="n">
        <v>1590</v>
      </c>
      <c r="T963" t="n">
        <v>43</v>
      </c>
      <c r="V963" t="inlineStr">
        <is>
          <t>FR</t>
        </is>
      </c>
    </row>
    <row r="964">
      <c r="A964" t="n">
        <v>8110726</v>
      </c>
      <c r="D964" s="62" t="n"/>
      <c r="V964" t="inlineStr">
        <is>
          <t>FR</t>
        </is>
      </c>
    </row>
    <row r="965">
      <c r="A965" t="inlineStr">
        <is>
          <t>605-962-SLK1</t>
        </is>
      </c>
      <c r="B965" t="inlineStr">
        <is>
          <t xml:space="preserve">Sleeve 0 for PDM 9-5/8"
Set on : </t>
        </is>
      </c>
      <c r="C965" t="n">
        <v>38</v>
      </c>
      <c r="D965" s="62" t="n">
        <v>0</v>
      </c>
      <c r="T965" t="n">
        <v>63</v>
      </c>
    </row>
    <row r="966">
      <c r="A966" t="inlineStr">
        <is>
          <t>605-962-SLK2</t>
        </is>
      </c>
      <c r="B966" t="inlineStr">
        <is>
          <t xml:space="preserve">Sleeve 0 for PDM 9-5/8"
Set on : </t>
        </is>
      </c>
      <c r="C966" t="n">
        <v>38</v>
      </c>
      <c r="D966" s="62" t="n">
        <v>0</v>
      </c>
      <c r="T966" t="n">
        <v>62</v>
      </c>
    </row>
    <row r="967">
      <c r="A967" t="inlineStr">
        <is>
          <t>605-962-SLK3</t>
        </is>
      </c>
      <c r="B967" t="inlineStr">
        <is>
          <t xml:space="preserve">Sleeve 0 for PDM 9-5/8"
Set on : </t>
        </is>
      </c>
      <c r="C967" t="n">
        <v>38</v>
      </c>
      <c r="D967" s="62" t="n">
        <v>0</v>
      </c>
      <c r="T967" t="n">
        <v>61</v>
      </c>
    </row>
    <row r="968">
      <c r="A968" t="inlineStr">
        <is>
          <t>605-962-SLK4</t>
        </is>
      </c>
      <c r="D968" s="62" t="n"/>
    </row>
    <row r="969">
      <c r="A969" t="inlineStr">
        <is>
          <t>605-850-SLK5</t>
        </is>
      </c>
      <c r="B969" t="inlineStr">
        <is>
          <t>Sleeve 0 for PDM 8-1/2"</t>
        </is>
      </c>
      <c r="C969" t="n">
        <v>28</v>
      </c>
      <c r="D969" s="62" t="n">
        <v>0</v>
      </c>
      <c r="T969" t="n">
        <v>77</v>
      </c>
    </row>
    <row r="970">
      <c r="A970" t="inlineStr">
        <is>
          <t>605-850-SLK6</t>
        </is>
      </c>
      <c r="B970" t="inlineStr">
        <is>
          <t>Sleeve 0 for PDM 8-1/2"</t>
        </is>
      </c>
      <c r="C970" t="n">
        <v>28</v>
      </c>
      <c r="D970" s="62" t="n">
        <v>0</v>
      </c>
      <c r="T970" t="n">
        <v>78</v>
      </c>
    </row>
    <row r="971">
      <c r="A971" t="inlineStr">
        <is>
          <t>605-850-SLK7</t>
        </is>
      </c>
      <c r="B971" t="inlineStr">
        <is>
          <t>Sleeve 0 for PDM 8-1/2"</t>
        </is>
      </c>
      <c r="C971" t="n">
        <v>28</v>
      </c>
      <c r="D971" s="62" t="n">
        <v>0</v>
      </c>
      <c r="T971" t="n">
        <v>79</v>
      </c>
    </row>
    <row r="972">
      <c r="A972" t="inlineStr">
        <is>
          <t>605-675-SLK8</t>
        </is>
      </c>
      <c r="B972" t="inlineStr">
        <is>
          <t>Sleeve 0 for PDM 6-3/4"</t>
        </is>
      </c>
      <c r="C972" t="n">
        <v>0</v>
      </c>
      <c r="D972" s="62" t="n">
        <v>0</v>
      </c>
      <c r="T972" t="n">
        <v>94</v>
      </c>
    </row>
    <row r="973">
      <c r="A973" t="inlineStr">
        <is>
          <t>605-675-SLK9</t>
        </is>
      </c>
      <c r="B973" t="inlineStr">
        <is>
          <t>Sleeve 0 for PDM 6-3/4"</t>
        </is>
      </c>
      <c r="C973" t="n">
        <v>0</v>
      </c>
      <c r="D973" s="62" t="n">
        <v>0</v>
      </c>
      <c r="T973" t="n">
        <v>95</v>
      </c>
    </row>
    <row r="974">
      <c r="A974" t="inlineStr">
        <is>
          <t>605-475-SLK10</t>
        </is>
      </c>
      <c r="B974" t="inlineStr">
        <is>
          <t>Sleeve 0 for PDM 4-3/4"</t>
        </is>
      </c>
      <c r="C974" t="n">
        <v>6</v>
      </c>
      <c r="D974" s="62" t="n">
        <v>0</v>
      </c>
      <c r="T974" t="n">
        <v>105</v>
      </c>
    </row>
    <row r="975">
      <c r="A975" t="inlineStr">
        <is>
          <t>605-962-SLK11</t>
        </is>
      </c>
      <c r="B975" t="inlineStr">
        <is>
          <t xml:space="preserve">Sleeve 0 for PDM 9-5/8"
Set on : </t>
        </is>
      </c>
      <c r="C975" t="n">
        <v>38</v>
      </c>
      <c r="D975" s="62" t="n">
        <v>0</v>
      </c>
      <c r="T975" t="n">
        <v>60</v>
      </c>
    </row>
    <row r="976">
      <c r="A976" t="inlineStr">
        <is>
          <t>605-962-SLK12</t>
        </is>
      </c>
      <c r="B976" t="inlineStr">
        <is>
          <t xml:space="preserve">Sleeve 0 for PDM 9-5/8"
Set on : </t>
        </is>
      </c>
      <c r="C976" t="n">
        <v>38</v>
      </c>
      <c r="D976" s="62" t="n">
        <v>0</v>
      </c>
      <c r="T976" t="n">
        <v>59</v>
      </c>
    </row>
    <row r="977">
      <c r="A977" t="inlineStr">
        <is>
          <t>605-475-SLK13</t>
        </is>
      </c>
      <c r="B977" t="inlineStr">
        <is>
          <t>Sleeve 0 for PDM 4-3/4"</t>
        </is>
      </c>
      <c r="C977" t="n">
        <v>6</v>
      </c>
      <c r="D977" s="62" t="n">
        <v>0</v>
      </c>
      <c r="T977" t="n">
        <v>106</v>
      </c>
    </row>
    <row r="978">
      <c r="A978" t="n">
        <v>8080727</v>
      </c>
      <c r="B978" t="inlineStr">
        <is>
          <t>Float Sub 9-1/2" Lg 1120 mm
7-5/8" REG Pin x 6-5/8" REG Box BF (5F-6R)</t>
        </is>
      </c>
      <c r="C978" t="n">
        <v>290</v>
      </c>
      <c r="D978" s="62" t="n">
        <v>9.5</v>
      </c>
      <c r="E978" t="n">
        <v>1120</v>
      </c>
      <c r="T978" t="n">
        <v>38</v>
      </c>
      <c r="V978" t="inlineStr">
        <is>
          <t>FR</t>
        </is>
      </c>
    </row>
    <row r="979">
      <c r="A979" t="n">
        <v>8080728</v>
      </c>
      <c r="B979" t="inlineStr">
        <is>
          <t>Float Sub 9-1/2" Lg 1090 mm
7-5/8" REG Pin x 6-5/8" REG Box BF (5F-6R)</t>
        </is>
      </c>
      <c r="C979" t="n">
        <v>282</v>
      </c>
      <c r="D979" s="62" t="n">
        <v>9.5</v>
      </c>
      <c r="E979" t="n">
        <v>1090</v>
      </c>
      <c r="T979" t="n">
        <v>39</v>
      </c>
      <c r="V979" t="inlineStr">
        <is>
          <t>FR</t>
        </is>
      </c>
    </row>
    <row r="980">
      <c r="A980" t="n">
        <v>8130729</v>
      </c>
      <c r="B980" t="inlineStr">
        <is>
          <t>XO
9-3/8" FS Pin x 8-5/8" FJWP Box</t>
        </is>
      </c>
      <c r="C980" t="n">
        <v>40.88575693800003</v>
      </c>
      <c r="D980" s="62" t="n">
        <v>9.375</v>
      </c>
      <c r="E980" t="n">
        <v>400</v>
      </c>
      <c r="T980" t="n">
        <v>240</v>
      </c>
      <c r="V980" t="inlineStr">
        <is>
          <t>FR</t>
        </is>
      </c>
    </row>
    <row r="981">
      <c r="A981" t="n">
        <v>8130730</v>
      </c>
      <c r="B981" t="inlineStr">
        <is>
          <t>XO
8-1/8" SH Pin x 7-5/8" FJWP Box</t>
        </is>
      </c>
      <c r="C981" t="n">
        <v>39.25625213250002</v>
      </c>
      <c r="D981" s="62" t="n">
        <v>8.125</v>
      </c>
      <c r="E981" t="n">
        <v>530</v>
      </c>
      <c r="T981" t="n">
        <v>239</v>
      </c>
      <c r="V981" t="inlineStr">
        <is>
          <t>FR</t>
        </is>
      </c>
    </row>
    <row r="982">
      <c r="A982" t="n">
        <v>8110731</v>
      </c>
      <c r="D982" s="62" t="n"/>
      <c r="V982" t="inlineStr">
        <is>
          <t>FR</t>
        </is>
      </c>
    </row>
    <row r="983">
      <c r="A983" t="n">
        <v>8110732</v>
      </c>
      <c r="B983" t="inlineStr">
        <is>
          <t>String Stab
4-1/2" IF Pin x 4-1/2" IF Box</t>
        </is>
      </c>
      <c r="C983" t="n">
        <v>244</v>
      </c>
      <c r="D983" s="62" t="n">
        <v>9.0625</v>
      </c>
      <c r="E983" t="n">
        <v>1590</v>
      </c>
      <c r="T983" t="n">
        <v>46</v>
      </c>
      <c r="V983" t="inlineStr">
        <is>
          <t>FR</t>
        </is>
      </c>
    </row>
    <row r="984">
      <c r="A984" t="n">
        <v>8130733</v>
      </c>
      <c r="B984" t="inlineStr">
        <is>
          <t>XO
6-5/8" REG Pin x 4-1/2" IF Box</t>
        </is>
      </c>
      <c r="C984" t="n">
        <v>132</v>
      </c>
      <c r="D984" s="62" t="n">
        <v>8</v>
      </c>
      <c r="E984" t="n">
        <v>680</v>
      </c>
      <c r="T984" t="n">
        <v>209</v>
      </c>
      <c r="V984" t="inlineStr">
        <is>
          <t>FR</t>
        </is>
      </c>
    </row>
    <row r="985">
      <c r="A985" t="n">
        <v>7040734</v>
      </c>
      <c r="B985" t="inlineStr">
        <is>
          <t>11-3/4" FS Overshot - CA C-5329
6-5/8" REG Box</t>
        </is>
      </c>
      <c r="C985" t="n">
        <v>0</v>
      </c>
      <c r="D985" s="62" t="inlineStr">
        <is>
          <t>11-3/4" FS</t>
        </is>
      </c>
      <c r="E985" t="n">
        <v>0</v>
      </c>
      <c r="T985" t="n">
        <v>92</v>
      </c>
    </row>
    <row r="986">
      <c r="A986" t="n">
        <v>7050735</v>
      </c>
      <c r="B986" t="inlineStr">
        <is>
          <t>Extension 11-3/4" FS Lg 920mm CA 5329
11-3/4" FS Sellers Pin x Box</t>
        </is>
      </c>
      <c r="C986" t="n">
        <v>124.5737906704687</v>
      </c>
      <c r="D986" s="62" t="inlineStr">
        <is>
          <t>11-3/4" FS</t>
        </is>
      </c>
      <c r="E986" t="n">
        <v>920</v>
      </c>
      <c r="T986" t="n">
        <v>74</v>
      </c>
    </row>
    <row r="987">
      <c r="A987" t="n">
        <v>8130736</v>
      </c>
      <c r="B987" t="inlineStr">
        <is>
          <t>XO
4-1/2" REG Pin x 6-5/8" REG Box</t>
        </is>
      </c>
      <c r="C987" t="n">
        <v>42</v>
      </c>
      <c r="D987" s="62" t="n">
        <v>7.5</v>
      </c>
      <c r="E987" t="n">
        <v>300</v>
      </c>
      <c r="T987" t="n">
        <v>262</v>
      </c>
      <c r="V987" t="inlineStr">
        <is>
          <t>FR</t>
        </is>
      </c>
    </row>
    <row r="988">
      <c r="A988" t="n">
        <v>8080737</v>
      </c>
      <c r="B988" t="inlineStr">
        <is>
          <t>Float Sub 9-3/8" Lg 795 mm
7-5/8" REG Pin x 7-5/8" REG Box BF (5F-6R)</t>
        </is>
      </c>
      <c r="C988" t="n">
        <v>228</v>
      </c>
      <c r="D988" s="62" t="n">
        <v>9.375</v>
      </c>
      <c r="E988" t="n">
        <v>795</v>
      </c>
      <c r="T988" t="n">
        <v>44</v>
      </c>
      <c r="V988" t="inlineStr">
        <is>
          <t>FR</t>
        </is>
      </c>
    </row>
    <row r="989">
      <c r="A989" t="inlineStr">
        <is>
          <t>605-850-007</t>
        </is>
      </c>
      <c r="B989" t="inlineStr">
        <is>
          <t>Sleeve 0 for PDM 8-1/2"</t>
        </is>
      </c>
      <c r="C989" t="n">
        <v>36</v>
      </c>
      <c r="D989" s="62" t="n">
        <v>0</v>
      </c>
      <c r="T989" t="n">
        <v>76</v>
      </c>
      <c r="V989" t="inlineStr">
        <is>
          <t>FR</t>
        </is>
      </c>
    </row>
    <row r="990">
      <c r="A990" t="inlineStr">
        <is>
          <t>605-850-008</t>
        </is>
      </c>
      <c r="B990" t="inlineStr">
        <is>
          <t>Sleeve 0 for PDM 8-1/2"</t>
        </is>
      </c>
      <c r="C990" t="n">
        <v>36</v>
      </c>
      <c r="D990" s="62" t="n">
        <v>0</v>
      </c>
      <c r="T990" t="n">
        <v>75</v>
      </c>
      <c r="V990" t="inlineStr">
        <is>
          <t>FR</t>
        </is>
      </c>
    </row>
    <row r="991">
      <c r="A991" t="inlineStr">
        <is>
          <t>605-850-009</t>
        </is>
      </c>
      <c r="B991" t="inlineStr">
        <is>
          <t>Sleeve 0 for PDM 8-1/2"</t>
        </is>
      </c>
      <c r="C991" t="n">
        <v>36</v>
      </c>
      <c r="D991" s="62" t="n">
        <v>0</v>
      </c>
      <c r="T991" t="n">
        <v>74</v>
      </c>
      <c r="V991" t="inlineStr">
        <is>
          <t>FR</t>
        </is>
      </c>
    </row>
    <row r="992">
      <c r="A992" t="inlineStr">
        <is>
          <t>605-850-010</t>
        </is>
      </c>
      <c r="B992" t="inlineStr">
        <is>
          <t>Sleeve 0 for PDM 8-1/2"</t>
        </is>
      </c>
      <c r="C992" t="n">
        <v>36</v>
      </c>
      <c r="D992" s="62" t="n">
        <v>0</v>
      </c>
      <c r="T992" t="n">
        <v>73</v>
      </c>
      <c r="V992" t="inlineStr">
        <is>
          <t>FR</t>
        </is>
      </c>
    </row>
    <row r="993">
      <c r="A993" t="n">
        <v>4060738</v>
      </c>
      <c r="B993" t="inlineStr">
        <is>
          <t>Shock Tool 9-1/2" OD
7-5/8" REG Pin x Box</t>
        </is>
      </c>
      <c r="C993" t="n">
        <v>1100</v>
      </c>
      <c r="D993" s="62" t="n">
        <v>9.5</v>
      </c>
      <c r="E993" t="n">
        <v>3490</v>
      </c>
      <c r="T993" t="n">
        <v>5</v>
      </c>
    </row>
    <row r="994">
      <c r="A994" t="n">
        <v>7120739</v>
      </c>
      <c r="D994" s="62" t="n"/>
    </row>
    <row r="995">
      <c r="A995" t="n">
        <v>5020740</v>
      </c>
      <c r="B995" t="inlineStr">
        <is>
          <t>Economill 
4-1/2" REG Pin</t>
        </is>
      </c>
      <c r="C995" t="n">
        <v>0</v>
      </c>
      <c r="D995" s="62" t="n">
        <v>8.25</v>
      </c>
      <c r="E995" t="n">
        <v>210</v>
      </c>
      <c r="T995" t="n">
        <v>53</v>
      </c>
    </row>
    <row r="996">
      <c r="A996" t="n">
        <v>7050741</v>
      </c>
      <c r="B996" t="inlineStr">
        <is>
          <t>Extension 8-1/8" FS Lg 900mm CA C-5342
8-1/8" FS Sellers Pin x Box</t>
        </is>
      </c>
      <c r="C996" t="n">
        <v>75.70253433051572</v>
      </c>
      <c r="D996" s="62" t="inlineStr">
        <is>
          <t>8-1/8" FS</t>
        </is>
      </c>
      <c r="E996" t="n">
        <v>900</v>
      </c>
      <c r="T996" t="n">
        <v>48</v>
      </c>
      <c r="V996" t="inlineStr">
        <is>
          <t>FR</t>
        </is>
      </c>
    </row>
    <row r="997">
      <c r="A997" t="n">
        <v>8130742</v>
      </c>
      <c r="D997" s="62" t="n"/>
      <c r="V997" t="inlineStr">
        <is>
          <t>FR</t>
        </is>
      </c>
    </row>
    <row r="998">
      <c r="A998" t="n">
        <v>8130743</v>
      </c>
      <c r="D998" s="62" t="n"/>
      <c r="V998" t="inlineStr">
        <is>
          <t>FR</t>
        </is>
      </c>
    </row>
    <row r="999">
      <c r="A999" t="n">
        <v>5040744</v>
      </c>
      <c r="B999" t="inlineStr">
        <is>
          <t>Viper Pilot Mill
3-1/2" REG Box x 0</t>
        </is>
      </c>
      <c r="C999" t="n">
        <v>0</v>
      </c>
      <c r="D999" s="62" t="n">
        <v>6</v>
      </c>
      <c r="E999" t="n">
        <v>0</v>
      </c>
      <c r="T999" t="n">
        <v>44</v>
      </c>
      <c r="V999" t="inlineStr">
        <is>
          <t>FR</t>
        </is>
      </c>
    </row>
    <row r="1000">
      <c r="A1000" t="n">
        <v>5040745</v>
      </c>
      <c r="B1000" t="inlineStr">
        <is>
          <t>Viper Pilot Mill
3-1/2" REG Box x 0</t>
        </is>
      </c>
      <c r="C1000" t="n">
        <v>0</v>
      </c>
      <c r="D1000" s="62" t="n">
        <v>6</v>
      </c>
      <c r="E1000" t="n">
        <v>0</v>
      </c>
      <c r="T1000" t="n">
        <v>45</v>
      </c>
      <c r="V1000" t="inlineStr">
        <is>
          <t>FR</t>
        </is>
      </c>
    </row>
    <row r="1001">
      <c r="A1001" t="n">
        <v>5110746</v>
      </c>
      <c r="B1001" t="inlineStr">
        <is>
          <t>WO Shoe
7-5/8" FJWP Box</t>
        </is>
      </c>
      <c r="C1001" t="n">
        <v>0</v>
      </c>
      <c r="D1001" s="62" t="n">
        <v>8.125</v>
      </c>
      <c r="E1001" t="n">
        <v>0</v>
      </c>
      <c r="T1001" t="n">
        <v>156</v>
      </c>
      <c r="V1001" t="inlineStr">
        <is>
          <t>FR</t>
        </is>
      </c>
    </row>
    <row r="1002">
      <c r="A1002" t="n">
        <v>5110747</v>
      </c>
      <c r="B1002" t="inlineStr">
        <is>
          <t>WO Shoe
7-5/8" FJWP Box</t>
        </is>
      </c>
      <c r="C1002" t="n">
        <v>0</v>
      </c>
      <c r="D1002" s="62" t="n">
        <v>8.5</v>
      </c>
      <c r="E1002" t="n">
        <v>820</v>
      </c>
      <c r="T1002" t="n">
        <v>157</v>
      </c>
      <c r="V1002" t="inlineStr">
        <is>
          <t>FR</t>
        </is>
      </c>
    </row>
    <row r="1003">
      <c r="A1003" t="n">
        <v>5110748</v>
      </c>
      <c r="B1003" t="inlineStr">
        <is>
          <t>WO Shoe
7-5/8" FJWP Box</t>
        </is>
      </c>
      <c r="C1003" t="n">
        <v>0</v>
      </c>
      <c r="D1003" s="62" t="n">
        <v>8.375</v>
      </c>
      <c r="E1003" t="n">
        <v>0</v>
      </c>
      <c r="T1003" t="n">
        <v>158</v>
      </c>
      <c r="V1003" t="inlineStr">
        <is>
          <t>FR</t>
        </is>
      </c>
    </row>
    <row r="1004">
      <c r="A1004" t="n">
        <v>5110749</v>
      </c>
      <c r="B1004" t="inlineStr">
        <is>
          <t>WO Shoe
7-5/8" FJWP Box</t>
        </is>
      </c>
      <c r="C1004" t="e">
        <v>#VALUE!</v>
      </c>
      <c r="D1004" s="62" t="n">
        <v>8</v>
      </c>
      <c r="E1004" t="e">
        <v>#VALUE!</v>
      </c>
      <c r="T1004" t="n">
        <v>159</v>
      </c>
      <c r="V1004" t="inlineStr">
        <is>
          <t>FR</t>
        </is>
      </c>
    </row>
    <row r="1005">
      <c r="A1005" t="n">
        <v>5110750</v>
      </c>
      <c r="B1005" t="inlineStr">
        <is>
          <t>WO Shoe
7-5/8" FJWP Box</t>
        </is>
      </c>
      <c r="C1005" t="n">
        <v>0</v>
      </c>
      <c r="D1005" s="62" t="n">
        <v>8.5</v>
      </c>
      <c r="E1005" t="n">
        <v>650</v>
      </c>
      <c r="T1005" t="n">
        <v>160</v>
      </c>
      <c r="V1005" t="inlineStr">
        <is>
          <t>FR</t>
        </is>
      </c>
    </row>
    <row r="1006">
      <c r="A1006" t="n">
        <v>5030751</v>
      </c>
      <c r="B1006" t="inlineStr">
        <is>
          <t>Junk Mill 
4-1/2" REG Pin</t>
        </is>
      </c>
      <c r="C1006" t="n">
        <v>0</v>
      </c>
      <c r="D1006" s="62" t="inlineStr">
        <is>
          <t>8-1/2" blank</t>
        </is>
      </c>
      <c r="E1006" t="n">
        <v>0</v>
      </c>
      <c r="T1006" t="n">
        <v>76</v>
      </c>
      <c r="V1006" t="inlineStr">
        <is>
          <t>FR</t>
        </is>
      </c>
    </row>
    <row r="1007">
      <c r="A1007" t="n">
        <v>5030752</v>
      </c>
      <c r="B1007" t="inlineStr">
        <is>
          <t>Junk Mill 
4-1/2" REG Pin</t>
        </is>
      </c>
      <c r="C1007" t="n">
        <v>0</v>
      </c>
      <c r="D1007" s="62" t="n">
        <v>8.5</v>
      </c>
      <c r="E1007" t="n">
        <v>0</v>
      </c>
      <c r="T1007" t="n">
        <v>75</v>
      </c>
      <c r="V1007" t="inlineStr">
        <is>
          <t>FR</t>
        </is>
      </c>
    </row>
    <row r="1008">
      <c r="A1008" t="n">
        <v>5100753</v>
      </c>
      <c r="B1008" t="inlineStr">
        <is>
          <t>WO Pipe
5-1/2" FJWP Pin x Box</t>
        </is>
      </c>
      <c r="C1008" t="n">
        <v>0</v>
      </c>
      <c r="D1008" s="62" t="n">
        <v>5.5</v>
      </c>
      <c r="E1008" t="n">
        <v>0</v>
      </c>
      <c r="T1008" t="n">
        <v>56</v>
      </c>
      <c r="V1008" t="inlineStr">
        <is>
          <t>FR</t>
        </is>
      </c>
    </row>
    <row r="1009">
      <c r="A1009" t="n">
        <v>5100754</v>
      </c>
      <c r="B1009" t="inlineStr">
        <is>
          <t>WO Pipe
5-1/2" FJWP Pin x Box</t>
        </is>
      </c>
      <c r="C1009" t="n">
        <v>0</v>
      </c>
      <c r="D1009" s="62" t="n">
        <v>5.5</v>
      </c>
      <c r="E1009" t="n">
        <v>0</v>
      </c>
      <c r="T1009" t="n">
        <v>57</v>
      </c>
      <c r="V1009" t="inlineStr">
        <is>
          <t>FR</t>
        </is>
      </c>
    </row>
    <row r="1010">
      <c r="A1010" t="n">
        <v>5100755</v>
      </c>
      <c r="B1010" t="inlineStr">
        <is>
          <t>WO Pipe
7-5/8" FJWP Pin x Box</t>
        </is>
      </c>
      <c r="C1010" t="n">
        <v>328.6414919092497</v>
      </c>
      <c r="D1010" s="62" t="n">
        <v>7.625</v>
      </c>
      <c r="E1010" t="n">
        <v>7650</v>
      </c>
      <c r="T1010" t="n">
        <v>96</v>
      </c>
      <c r="V1010" t="inlineStr">
        <is>
          <t>FR</t>
        </is>
      </c>
    </row>
    <row r="1011">
      <c r="A1011" t="n">
        <v>5100756</v>
      </c>
      <c r="B1011" t="inlineStr">
        <is>
          <t>WO Pipe
7-5/8" FJWP Pin x Box</t>
        </is>
      </c>
      <c r="C1011" t="n">
        <v>386.6370493049997</v>
      </c>
      <c r="D1011" s="62" t="n">
        <v>7.625</v>
      </c>
      <c r="E1011" t="n">
        <v>9000</v>
      </c>
      <c r="T1011" t="n">
        <v>97</v>
      </c>
      <c r="V1011" t="inlineStr">
        <is>
          <t>FR</t>
        </is>
      </c>
    </row>
    <row r="1012">
      <c r="A1012" t="n">
        <v>5100757</v>
      </c>
      <c r="B1012" t="inlineStr">
        <is>
          <t>WO Pipe
7-5/8" FJWP Pin x Box</t>
        </is>
      </c>
      <c r="C1012" t="n">
        <v>386.6370493049997</v>
      </c>
      <c r="D1012" s="62" t="n">
        <v>7.625</v>
      </c>
      <c r="E1012" t="n">
        <v>9000</v>
      </c>
      <c r="T1012" t="n">
        <v>98</v>
      </c>
      <c r="V1012" t="inlineStr">
        <is>
          <t>FR</t>
        </is>
      </c>
    </row>
    <row r="1013">
      <c r="A1013" t="n">
        <v>5100758</v>
      </c>
      <c r="B1013" t="inlineStr">
        <is>
          <t>WO Pipe
7-5/8" FJWP Pin x Box</t>
        </is>
      </c>
      <c r="C1013" t="n">
        <v>386.6370493049997</v>
      </c>
      <c r="D1013" s="62" t="n">
        <v>7.625</v>
      </c>
      <c r="E1013" t="n">
        <v>9000</v>
      </c>
      <c r="T1013" t="n">
        <v>99</v>
      </c>
      <c r="V1013" t="inlineStr">
        <is>
          <t>FR</t>
        </is>
      </c>
    </row>
    <row r="1014">
      <c r="A1014" t="n">
        <v>5040759</v>
      </c>
      <c r="B1014" t="inlineStr">
        <is>
          <t>Viper Pilot Mill
2-7/8" REG Pin x 3-1/2" REG Pin x 
2-1/4" AMMT Pin down</t>
        </is>
      </c>
      <c r="C1014" t="n">
        <v>50</v>
      </c>
      <c r="D1014" s="62" t="n">
        <v>6</v>
      </c>
      <c r="E1014" t="n">
        <v>0</v>
      </c>
      <c r="T1014" t="n">
        <v>41</v>
      </c>
      <c r="V1014" t="inlineStr">
        <is>
          <t>FR</t>
        </is>
      </c>
    </row>
    <row r="1015">
      <c r="A1015" t="n">
        <v>5070760</v>
      </c>
      <c r="B1015" t="inlineStr">
        <is>
          <t>Super Junk Mill 
3-1/2" REG Pin</t>
        </is>
      </c>
      <c r="C1015" t="n">
        <v>0</v>
      </c>
      <c r="D1015" s="62" t="n">
        <v>6</v>
      </c>
      <c r="E1015" t="n">
        <v>630</v>
      </c>
      <c r="T1015" t="n">
        <v>55</v>
      </c>
      <c r="V1015" t="inlineStr">
        <is>
          <t>FR</t>
        </is>
      </c>
    </row>
    <row r="1016">
      <c r="A1016" t="n">
        <v>5070761</v>
      </c>
      <c r="B1016" t="inlineStr">
        <is>
          <t>Super Junk Mill 
3-1/2" REG Pin</t>
        </is>
      </c>
      <c r="C1016" t="n">
        <v>0</v>
      </c>
      <c r="D1016" s="62" t="n">
        <v>6</v>
      </c>
      <c r="E1016" t="n">
        <v>630</v>
      </c>
      <c r="T1016" t="n">
        <v>56</v>
      </c>
      <c r="V1016" t="inlineStr">
        <is>
          <t>FR</t>
        </is>
      </c>
    </row>
    <row r="1017">
      <c r="A1017" t="n">
        <v>5070762</v>
      </c>
      <c r="B1017" t="inlineStr">
        <is>
          <t>Super Junk Mill 
3-1/2" REG Pin</t>
        </is>
      </c>
      <c r="C1017" t="n">
        <v>68</v>
      </c>
      <c r="D1017" s="62" t="n">
        <v>6.75</v>
      </c>
      <c r="E1017" t="n">
        <v>640</v>
      </c>
      <c r="T1017" t="n">
        <v>60</v>
      </c>
      <c r="V1017" t="inlineStr">
        <is>
          <t>FR</t>
        </is>
      </c>
    </row>
    <row r="1018">
      <c r="A1018" t="n">
        <v>5070763</v>
      </c>
      <c r="B1018" t="inlineStr">
        <is>
          <t>Super Junk Mill 
3-1/2" REG Pin</t>
        </is>
      </c>
      <c r="C1018" t="n">
        <v>68</v>
      </c>
      <c r="D1018" s="62" t="n">
        <v>6.75</v>
      </c>
      <c r="E1018" t="n">
        <v>640</v>
      </c>
      <c r="T1018" t="n">
        <v>61</v>
      </c>
      <c r="V1018" t="inlineStr">
        <is>
          <t>FR</t>
        </is>
      </c>
    </row>
    <row r="1019">
      <c r="A1019" t="n">
        <v>5070764</v>
      </c>
      <c r="B1019" t="inlineStr">
        <is>
          <t>Super Junk Mill 
4-1/2" REG Pin</t>
        </is>
      </c>
      <c r="C1019" t="n">
        <v>120</v>
      </c>
      <c r="D1019" s="62" t="n">
        <v>8.375</v>
      </c>
      <c r="E1019" t="n">
        <v>770</v>
      </c>
      <c r="T1019" t="n">
        <v>62</v>
      </c>
      <c r="V1019" t="inlineStr">
        <is>
          <t>FR</t>
        </is>
      </c>
    </row>
    <row r="1020">
      <c r="A1020" t="n">
        <v>5150765</v>
      </c>
      <c r="B1020" t="inlineStr">
        <is>
          <t>WO Lift Plug 
5-1/2" FJWP Pin</t>
        </is>
      </c>
      <c r="C1020" t="n">
        <v>14</v>
      </c>
      <c r="D1020" s="62" t="n">
        <v>5.875</v>
      </c>
      <c r="T1020" t="n">
        <v>14</v>
      </c>
      <c r="V1020" t="inlineStr">
        <is>
          <t>FR</t>
        </is>
      </c>
    </row>
    <row r="1021">
      <c r="A1021" t="n">
        <v>5150766</v>
      </c>
      <c r="B1021" t="inlineStr">
        <is>
          <t>WO Lift Plug 
5-1/2" FJWP Pin</t>
        </is>
      </c>
      <c r="C1021" t="n">
        <v>14</v>
      </c>
      <c r="D1021" s="62" t="n">
        <v>5.875</v>
      </c>
      <c r="T1021" t="n">
        <v>15</v>
      </c>
      <c r="V1021" t="inlineStr">
        <is>
          <t>FR</t>
        </is>
      </c>
    </row>
    <row r="1022">
      <c r="A1022" t="n">
        <v>5030767</v>
      </c>
      <c r="B1022" t="inlineStr">
        <is>
          <t>Junk Mill 
3-1/2" REG Pin</t>
        </is>
      </c>
      <c r="C1022" t="n">
        <v>60</v>
      </c>
      <c r="D1022" s="62" t="n">
        <v>6.0625</v>
      </c>
      <c r="E1022" t="n">
        <v>0</v>
      </c>
      <c r="T1022" t="n">
        <v>37</v>
      </c>
      <c r="V1022" t="inlineStr">
        <is>
          <t>FR</t>
        </is>
      </c>
    </row>
    <row r="1023">
      <c r="A1023" t="n">
        <v>5030768</v>
      </c>
      <c r="B1023" t="inlineStr">
        <is>
          <t>Junk Mill 
3-1/2" REG Pin</t>
        </is>
      </c>
      <c r="C1023" t="n">
        <v>60</v>
      </c>
      <c r="D1023" s="62" t="n">
        <v>5.9375</v>
      </c>
      <c r="E1023" t="n">
        <v>0</v>
      </c>
      <c r="T1023" t="n">
        <v>38</v>
      </c>
      <c r="V1023" t="inlineStr">
        <is>
          <t>FR</t>
        </is>
      </c>
    </row>
    <row r="1024">
      <c r="A1024" t="n">
        <v>5030769</v>
      </c>
      <c r="B1024" t="inlineStr">
        <is>
          <t>Junk Mill 
3-1/2" REG Pin</t>
        </is>
      </c>
      <c r="C1024" t="n">
        <v>60</v>
      </c>
      <c r="D1024" s="62" t="n">
        <v>6.125</v>
      </c>
      <c r="E1024" t="n">
        <v>0</v>
      </c>
      <c r="T1024" t="n">
        <v>39</v>
      </c>
      <c r="V1024" t="inlineStr">
        <is>
          <t>FR</t>
        </is>
      </c>
    </row>
    <row r="1025">
      <c r="A1025" t="n">
        <v>5030770</v>
      </c>
      <c r="B1025" t="inlineStr">
        <is>
          <t>Junk Mill 
2-3/8" REG Pin</t>
        </is>
      </c>
      <c r="C1025" t="n">
        <v>24</v>
      </c>
      <c r="D1025" s="62" t="inlineStr">
        <is>
          <t>4-7/8"</t>
        </is>
      </c>
      <c r="E1025" t="n">
        <v>0</v>
      </c>
      <c r="T1025" t="n">
        <v>20</v>
      </c>
      <c r="V1025" t="inlineStr">
        <is>
          <t>FR</t>
        </is>
      </c>
    </row>
    <row r="1026">
      <c r="A1026" t="n">
        <v>5030771</v>
      </c>
      <c r="B1026" t="inlineStr">
        <is>
          <t>Junk Mill 
2-3/8" REG Pin</t>
        </is>
      </c>
      <c r="C1026" t="n">
        <v>24</v>
      </c>
      <c r="D1026" s="62" t="inlineStr">
        <is>
          <t>4-7/8"</t>
        </is>
      </c>
      <c r="E1026" t="n">
        <v>0</v>
      </c>
      <c r="T1026" t="n">
        <v>21</v>
      </c>
      <c r="V1026" t="inlineStr">
        <is>
          <t>FR</t>
        </is>
      </c>
    </row>
    <row r="1027">
      <c r="A1027" t="n">
        <v>8110775</v>
      </c>
      <c r="B1027" t="inlineStr">
        <is>
          <t>String Stab
3-1/2" IF Pin x 3-1/2" IF Box</t>
        </is>
      </c>
      <c r="C1027" t="n">
        <v>0</v>
      </c>
      <c r="D1027" s="62" t="n">
        <v>5.875</v>
      </c>
      <c r="E1027" t="n">
        <v>1450</v>
      </c>
      <c r="T1027" t="n">
        <v>14</v>
      </c>
      <c r="V1027" t="inlineStr">
        <is>
          <t>FR</t>
        </is>
      </c>
    </row>
    <row r="1028">
      <c r="A1028" t="n">
        <v>8110776</v>
      </c>
      <c r="B1028" t="inlineStr">
        <is>
          <t>String Stab
3-1/2" IF Pin x 3-1/2" IF Box</t>
        </is>
      </c>
      <c r="C1028" t="n">
        <v>0</v>
      </c>
      <c r="D1028" s="62" t="n">
        <v>6.0625</v>
      </c>
      <c r="E1028" t="n">
        <v>1450</v>
      </c>
      <c r="T1028" t="n">
        <v>15</v>
      </c>
      <c r="V1028" t="inlineStr">
        <is>
          <t>FR</t>
        </is>
      </c>
    </row>
    <row r="1029">
      <c r="A1029" t="n">
        <v>8090777</v>
      </c>
      <c r="B1029" t="inlineStr">
        <is>
          <t>Near Bit Stab
3-1/2" IF Box x 3-1/2" REG Box</t>
        </is>
      </c>
      <c r="C1029" t="n">
        <v>0</v>
      </c>
      <c r="D1029" s="62" t="n">
        <v>6</v>
      </c>
      <c r="E1029" t="n">
        <v>0</v>
      </c>
      <c r="T1029" t="n">
        <v>7</v>
      </c>
      <c r="V1029" t="inlineStr">
        <is>
          <t>FR</t>
        </is>
      </c>
    </row>
    <row r="1030">
      <c r="A1030" t="inlineStr">
        <is>
          <t>ref 807-1,660-3,02BTS</t>
        </is>
      </c>
      <c r="B1030" t="inlineStr">
        <is>
          <t>DP 1,660" 3,02# Range 2
BTS-8 Pin x Box</t>
        </is>
      </c>
      <c r="C1030" t="n">
        <v>3.02</v>
      </c>
      <c r="D1030" s="62" t="n">
        <v>1.66</v>
      </c>
      <c r="E1030" t="inlineStr">
        <is>
          <t>R2</t>
        </is>
      </c>
      <c r="T1030" t="n">
        <v>5</v>
      </c>
    </row>
    <row r="1031">
      <c r="A1031" t="n">
        <v>8110779</v>
      </c>
      <c r="B1031" t="inlineStr">
        <is>
          <t>String Stab
3-1/2" IF Pin x 3-1/2" IF Box</t>
        </is>
      </c>
      <c r="C1031" t="n">
        <v>114</v>
      </c>
      <c r="D1031" s="62" t="n">
        <v>6.125</v>
      </c>
      <c r="E1031" t="n">
        <v>1320</v>
      </c>
      <c r="T1031" t="n">
        <v>20</v>
      </c>
    </row>
    <row r="1032">
      <c r="A1032" t="n">
        <v>8110782</v>
      </c>
      <c r="B1032" t="inlineStr">
        <is>
          <t>String Stab
4-1/2" IF Pin x 4-1/2" IF Box</t>
        </is>
      </c>
      <c r="C1032" t="n">
        <v>308</v>
      </c>
      <c r="D1032" s="62" t="n">
        <v>9.125</v>
      </c>
      <c r="E1032" t="n">
        <v>1875</v>
      </c>
      <c r="T1032" t="n">
        <v>48</v>
      </c>
    </row>
    <row r="1033">
      <c r="A1033" t="n">
        <v>8711496</v>
      </c>
      <c r="B1033" t="inlineStr">
        <is>
          <t>NON MAG String Stab
6-5/8" REG Pin SRG x 6-5/8" REG Box BB</t>
        </is>
      </c>
      <c r="C1033" t="n">
        <v>368</v>
      </c>
      <c r="D1033" s="62" t="n">
        <v>12</v>
      </c>
      <c r="E1033" t="n">
        <v>1400</v>
      </c>
      <c r="T1033" t="n">
        <v>62</v>
      </c>
    </row>
    <row r="1034">
      <c r="A1034" t="n">
        <v>8710784</v>
      </c>
      <c r="B1034" t="inlineStr">
        <is>
          <t>NON MAG String Stab
6-5/8" REG Pin x 6-5/8" REG Box</t>
        </is>
      </c>
      <c r="C1034" t="n">
        <v>540</v>
      </c>
      <c r="D1034" s="62" t="n">
        <v>11.375</v>
      </c>
      <c r="E1034" t="n">
        <v>2130</v>
      </c>
      <c r="T1034" t="n">
        <v>54</v>
      </c>
    </row>
    <row r="1035">
      <c r="A1035" t="n">
        <v>8710785</v>
      </c>
      <c r="B1035" t="inlineStr">
        <is>
          <t>NON MAG String Stab
6-5/8" REG Pin x 6-5/8" REG Box</t>
        </is>
      </c>
      <c r="C1035" t="n">
        <v>566</v>
      </c>
      <c r="D1035" s="62" t="n">
        <v>11.3125</v>
      </c>
      <c r="E1035" t="n">
        <v>2250</v>
      </c>
      <c r="T1035" t="n">
        <v>51</v>
      </c>
    </row>
    <row r="1036">
      <c r="A1036" t="n">
        <v>8711498</v>
      </c>
      <c r="B1036" t="inlineStr">
        <is>
          <t>NON MAG String Stab
6-5/8" REG Pin SRG x 6-5/8" REG Box BB</t>
        </is>
      </c>
      <c r="C1036" t="n">
        <v>494</v>
      </c>
      <c r="D1036" s="62" t="n">
        <v>13.5</v>
      </c>
      <c r="E1036" t="n">
        <v>1810</v>
      </c>
      <c r="T1036" t="n">
        <v>76</v>
      </c>
    </row>
    <row r="1037">
      <c r="A1037" t="n">
        <v>8710787</v>
      </c>
      <c r="B1037" t="inlineStr">
        <is>
          <t>NON MAG String Stab
6-5/8" REG Pin x 6-5/8" REG Box</t>
        </is>
      </c>
      <c r="C1037" t="n">
        <v>550</v>
      </c>
      <c r="D1037" s="62" t="n">
        <v>11.75</v>
      </c>
      <c r="E1037" t="n">
        <v>2070</v>
      </c>
      <c r="T1037" t="n">
        <v>74</v>
      </c>
    </row>
    <row r="1038">
      <c r="A1038" t="n">
        <v>8711500</v>
      </c>
      <c r="B1038" t="inlineStr">
        <is>
          <t>NON MAG String Stab
7-5/8" REG Pin SRG x 7-5/8" REG Box BB</t>
        </is>
      </c>
      <c r="C1038" t="n">
        <v>706</v>
      </c>
      <c r="D1038" s="62" t="n">
        <v>14.8125</v>
      </c>
      <c r="E1038" t="n">
        <v>1810</v>
      </c>
      <c r="T1038" t="n">
        <v>83</v>
      </c>
    </row>
    <row r="1039">
      <c r="A1039" t="n">
        <v>8710789</v>
      </c>
      <c r="B1039" t="inlineStr">
        <is>
          <t>NON MAG String Stab
7-5/8" REG Pin x 7-5/8" REG Box</t>
        </is>
      </c>
      <c r="C1039" t="n">
        <v>884</v>
      </c>
      <c r="D1039" s="62" t="n">
        <v>16.25</v>
      </c>
      <c r="E1039" t="n">
        <v>1730</v>
      </c>
      <c r="T1039" t="n">
        <v>87</v>
      </c>
    </row>
    <row r="1040">
      <c r="A1040" t="n">
        <v>8710790</v>
      </c>
      <c r="B1040" t="inlineStr">
        <is>
          <t>NON MAG String Stab
7-5/8" REG Pin x 7-5/8" REG Box</t>
        </is>
      </c>
      <c r="C1040" t="n">
        <v>880</v>
      </c>
      <c r="D1040" s="62" t="n">
        <v>16.5</v>
      </c>
      <c r="E1040" t="n">
        <v>1710</v>
      </c>
      <c r="T1040" t="n">
        <v>88</v>
      </c>
    </row>
    <row r="1041">
      <c r="A1041" t="n">
        <v>8110791</v>
      </c>
      <c r="B1041" t="inlineStr">
        <is>
          <t>String Stab
7-5/8" REG Pin x 7-5/8" REG Box</t>
        </is>
      </c>
      <c r="C1041" t="n">
        <v>700</v>
      </c>
      <c r="D1041" s="62" t="n">
        <v>16.6875</v>
      </c>
      <c r="E1041" t="n">
        <v>1900</v>
      </c>
      <c r="T1041" t="n">
        <v>89</v>
      </c>
    </row>
    <row r="1042">
      <c r="A1042" t="n">
        <v>8110792</v>
      </c>
      <c r="B1042" t="inlineStr">
        <is>
          <t>String Stab
7-5/8" REG Pin x 7-5/8" REG Box</t>
        </is>
      </c>
      <c r="C1042" t="n">
        <v>858</v>
      </c>
      <c r="D1042" s="62" t="n">
        <v>17.1875</v>
      </c>
      <c r="E1042" t="n">
        <v>1720</v>
      </c>
      <c r="T1042" t="n">
        <v>96</v>
      </c>
    </row>
    <row r="1043">
      <c r="A1043" t="n">
        <v>8110793</v>
      </c>
      <c r="D1043" s="62" t="n"/>
    </row>
    <row r="1044">
      <c r="A1044" t="n">
        <v>2021</v>
      </c>
      <c r="D1044" s="62" t="n"/>
    </row>
    <row r="1045">
      <c r="A1045" t="n">
        <v>1030772</v>
      </c>
      <c r="B1045" t="inlineStr">
        <is>
          <t>Casing Scraper 7-7/8" OD Body
6-5/8" REG Box x 6-5/8" REG Box</t>
        </is>
      </c>
      <c r="C1045" t="n">
        <v>328</v>
      </c>
      <c r="D1045" s="62" t="n">
        <v>7.875</v>
      </c>
      <c r="E1045" t="n">
        <v>1505</v>
      </c>
      <c r="T1045" t="n">
        <v>20</v>
      </c>
      <c r="V1045" t="inlineStr">
        <is>
          <t>FR</t>
        </is>
      </c>
    </row>
    <row r="1046">
      <c r="A1046" t="n">
        <v>7040773</v>
      </c>
      <c r="B1046" t="inlineStr">
        <is>
          <t>8-1/8" FS Overshot - CA C-5342
4-1/2" IF Box</t>
        </is>
      </c>
      <c r="C1046" t="n">
        <v>142</v>
      </c>
      <c r="D1046" s="62" t="inlineStr">
        <is>
          <t>8-1/8" FS</t>
        </is>
      </c>
      <c r="E1046" t="n">
        <v>1330</v>
      </c>
      <c r="T1046" t="n">
        <v>59</v>
      </c>
      <c r="V1046" t="inlineStr">
        <is>
          <t>FR</t>
        </is>
      </c>
    </row>
    <row r="1047">
      <c r="A1047" t="n">
        <v>5010774</v>
      </c>
      <c r="B1047" t="inlineStr">
        <is>
          <t>Ditch Magnet 36"</t>
        </is>
      </c>
      <c r="C1047" t="n">
        <v>46</v>
      </c>
      <c r="D1047" s="62" t="n">
        <v>36</v>
      </c>
      <c r="E1047" t="n">
        <v>36</v>
      </c>
      <c r="T1047" t="n">
        <v>7</v>
      </c>
    </row>
    <row r="1048">
      <c r="A1048" t="inlineStr">
        <is>
          <t>xxx0775</t>
        </is>
      </c>
      <c r="D1048" s="62" t="n"/>
    </row>
    <row r="1049">
      <c r="A1049" t="inlineStr">
        <is>
          <t>xxx0776</t>
        </is>
      </c>
      <c r="D1049" s="62" t="n"/>
    </row>
    <row r="1050">
      <c r="A1050" t="inlineStr">
        <is>
          <t>xxx0777</t>
        </is>
      </c>
      <c r="D1050" s="62" t="n"/>
    </row>
    <row r="1051">
      <c r="A1051" t="inlineStr">
        <is>
          <t>xxx0778</t>
        </is>
      </c>
      <c r="D1051" s="62" t="n"/>
    </row>
    <row r="1052">
      <c r="A1052" t="inlineStr">
        <is>
          <t>xxx0779</t>
        </is>
      </c>
      <c r="D1052" s="62" t="n"/>
    </row>
    <row r="1053">
      <c r="A1053" t="inlineStr">
        <is>
          <t>xxx0780</t>
        </is>
      </c>
      <c r="D1053" s="62" t="n"/>
    </row>
    <row r="1054">
      <c r="A1054" t="inlineStr">
        <is>
          <t>xxx0781</t>
        </is>
      </c>
      <c r="D1054" s="62" t="n"/>
    </row>
    <row r="1055">
      <c r="A1055" t="inlineStr">
        <is>
          <t>xxx0782</t>
        </is>
      </c>
      <c r="D1055" s="62" t="n"/>
    </row>
    <row r="1056">
      <c r="A1056" t="inlineStr">
        <is>
          <t>xxx0783</t>
        </is>
      </c>
      <c r="D1056" s="62" t="n"/>
    </row>
    <row r="1057">
      <c r="A1057" t="inlineStr">
        <is>
          <t>xxx0784</t>
        </is>
      </c>
      <c r="D1057" s="62" t="n"/>
    </row>
    <row r="1058">
      <c r="A1058" t="inlineStr">
        <is>
          <t>xxx0785</t>
        </is>
      </c>
      <c r="D1058" s="62" t="n"/>
    </row>
    <row r="1059">
      <c r="A1059" t="inlineStr">
        <is>
          <t>xxx0786</t>
        </is>
      </c>
      <c r="D1059" s="62" t="n"/>
    </row>
    <row r="1060">
      <c r="A1060" t="inlineStr">
        <is>
          <t>xxx0787</t>
        </is>
      </c>
      <c r="D1060" s="62" t="n"/>
    </row>
    <row r="1061">
      <c r="A1061" t="inlineStr">
        <is>
          <t>xxx0788</t>
        </is>
      </c>
      <c r="D1061" s="62" t="n"/>
    </row>
    <row r="1062">
      <c r="A1062" t="inlineStr">
        <is>
          <t>xxx0789</t>
        </is>
      </c>
      <c r="D1062" s="62" t="n"/>
    </row>
    <row r="1063">
      <c r="A1063" t="inlineStr">
        <is>
          <t>xxx0790</t>
        </is>
      </c>
      <c r="D1063" s="62" t="n"/>
    </row>
    <row r="1064">
      <c r="A1064" t="inlineStr">
        <is>
          <t>xxx0791</t>
        </is>
      </c>
      <c r="D1064" s="62" t="n"/>
    </row>
    <row r="1065">
      <c r="A1065" t="inlineStr">
        <is>
          <t>xxx0792</t>
        </is>
      </c>
      <c r="D1065" s="62" t="n"/>
    </row>
    <row r="1066">
      <c r="A1066" t="inlineStr">
        <is>
          <t>xxx0793</t>
        </is>
      </c>
      <c r="D1066" s="62" t="n"/>
    </row>
    <row r="1067">
      <c r="A1067" t="inlineStr">
        <is>
          <t>TS-850-21019</t>
        </is>
      </c>
      <c r="B1067" t="inlineStr">
        <is>
          <t>Top Sub PDM 8-1/2"</t>
        </is>
      </c>
      <c r="D1067" s="62" t="n"/>
      <c r="V1067" t="inlineStr">
        <is>
          <t>FR</t>
        </is>
      </c>
    </row>
    <row r="1068">
      <c r="A1068" t="n">
        <v>8130794</v>
      </c>
      <c r="B1068" t="inlineStr">
        <is>
          <t>XO
2-3/8" REG Pin x 3-1/2" REG Box</t>
        </is>
      </c>
      <c r="C1068" t="n">
        <v>24</v>
      </c>
      <c r="D1068" s="62" t="n">
        <v>4.25</v>
      </c>
      <c r="E1068" t="n">
        <v>500</v>
      </c>
      <c r="T1068" t="n">
        <v>63</v>
      </c>
      <c r="V1068" t="inlineStr">
        <is>
          <t>FR</t>
        </is>
      </c>
    </row>
    <row r="1069">
      <c r="A1069" t="n">
        <v>8130795</v>
      </c>
      <c r="B1069" t="inlineStr">
        <is>
          <t>XO
3-1/2" IF Pin x 3-1/2" REG Pin</t>
        </is>
      </c>
      <c r="C1069" t="n">
        <v>42</v>
      </c>
      <c r="D1069" s="62" t="n">
        <v>4.75</v>
      </c>
      <c r="E1069" t="n">
        <v>500</v>
      </c>
      <c r="T1069" t="n">
        <v>119</v>
      </c>
      <c r="V1069" t="inlineStr">
        <is>
          <t>FR</t>
        </is>
      </c>
    </row>
    <row r="1070">
      <c r="A1070" t="n">
        <v>8130796</v>
      </c>
      <c r="B1070" t="inlineStr">
        <is>
          <t>XO
2-7/8" REG Pin x 3-1/2" IF Box</t>
        </is>
      </c>
      <c r="C1070" t="n">
        <v>38</v>
      </c>
      <c r="D1070" s="62" t="n">
        <v>4.75</v>
      </c>
      <c r="E1070" t="n">
        <v>500</v>
      </c>
      <c r="T1070" t="n">
        <v>93</v>
      </c>
      <c r="V1070" t="inlineStr">
        <is>
          <t>FR</t>
        </is>
      </c>
    </row>
    <row r="1071">
      <c r="A1071" t="n">
        <v>7050797</v>
      </c>
      <c r="B1071" t="inlineStr">
        <is>
          <t>Extension 8-1/8" FS Lg 315mm CA C-5342
8-1/8" FS Sellers Pin x Box</t>
        </is>
      </c>
      <c r="C1071" t="n">
        <v>22.55382787612499</v>
      </c>
      <c r="D1071" s="62" t="inlineStr">
        <is>
          <t>8-1/8" FS</t>
        </is>
      </c>
      <c r="E1071" t="n">
        <v>315</v>
      </c>
      <c r="T1071" t="n">
        <v>45</v>
      </c>
      <c r="V1071" t="inlineStr">
        <is>
          <t>FR</t>
        </is>
      </c>
    </row>
    <row r="1072">
      <c r="A1072" t="inlineStr">
        <is>
          <t>605-850-011</t>
        </is>
      </c>
      <c r="B1072" t="inlineStr">
        <is>
          <t>Sleeve 0 for PDM 8-1/2"</t>
        </is>
      </c>
      <c r="C1072" t="n">
        <v>114</v>
      </c>
      <c r="D1072" s="62" t="n">
        <v>0</v>
      </c>
      <c r="T1072" t="n">
        <v>66</v>
      </c>
      <c r="V1072" t="inlineStr">
        <is>
          <t>FR</t>
        </is>
      </c>
    </row>
    <row r="1073">
      <c r="A1073" t="n">
        <v>7120798</v>
      </c>
      <c r="B1073" t="inlineStr">
        <is>
          <t>Releasing Spear 4-1/32" OD Mandrel CA 9680
2-7/8" IF Box</t>
        </is>
      </c>
      <c r="C1073" t="n">
        <v>42</v>
      </c>
      <c r="D1073" s="62" t="n">
        <v>4.03125</v>
      </c>
      <c r="E1073" t="inlineStr">
        <is>
          <t>CA 9680</t>
        </is>
      </c>
      <c r="T1073" t="n">
        <v>19</v>
      </c>
    </row>
    <row r="1074">
      <c r="A1074" t="n">
        <v>8130799</v>
      </c>
      <c r="B1074" t="inlineStr">
        <is>
          <t>XO
5-3/4" FS Pin x 5-1/2" FJWP Box</t>
        </is>
      </c>
      <c r="C1074" t="n">
        <v>14</v>
      </c>
      <c r="D1074" s="62" t="n">
        <v>5.625</v>
      </c>
      <c r="E1074" t="n">
        <v>430</v>
      </c>
      <c r="T1074" t="n">
        <v>198</v>
      </c>
      <c r="V1074" t="inlineStr">
        <is>
          <t>FR</t>
        </is>
      </c>
    </row>
    <row r="1075">
      <c r="A1075" t="n">
        <v>1060799</v>
      </c>
      <c r="B1075" t="inlineStr">
        <is>
          <t>Impression Block 3-5/8" 
2-3/8" IF Box</t>
        </is>
      </c>
      <c r="C1075" t="n">
        <v>0</v>
      </c>
      <c r="D1075" s="62" t="n">
        <v>3.625</v>
      </c>
      <c r="E1075" t="n">
        <v>285</v>
      </c>
      <c r="T1075" t="n">
        <v>6</v>
      </c>
    </row>
    <row r="1076">
      <c r="A1076" t="n">
        <v>5110800</v>
      </c>
      <c r="B1076" t="inlineStr">
        <is>
          <t>WO Shoe
2-7/8" EU Pin</t>
        </is>
      </c>
      <c r="C1076" t="n">
        <v>0</v>
      </c>
      <c r="D1076" s="62" t="inlineStr">
        <is>
          <t xml:space="preserve"> - </t>
        </is>
      </c>
      <c r="E1076" t="n">
        <v>460</v>
      </c>
      <c r="T1076" t="n">
        <v>7</v>
      </c>
    </row>
    <row r="1077">
      <c r="A1077" t="n">
        <v>7040801</v>
      </c>
      <c r="D1077" s="62" t="n"/>
    </row>
    <row r="1078">
      <c r="A1078" t="n">
        <v>7060802</v>
      </c>
      <c r="B1078" t="inlineStr">
        <is>
          <t>Oversize Guide 15" OD
11-3/4" FS Sellers Pin</t>
        </is>
      </c>
      <c r="C1078" t="n">
        <v>68</v>
      </c>
      <c r="D1078" s="62" t="inlineStr">
        <is>
          <t>15"</t>
        </is>
      </c>
      <c r="E1078" t="n">
        <v>430</v>
      </c>
      <c r="T1078" t="n">
        <v>42</v>
      </c>
      <c r="V1078" t="inlineStr">
        <is>
          <t>FR</t>
        </is>
      </c>
    </row>
    <row r="1079">
      <c r="A1079" t="n">
        <v>8130803</v>
      </c>
      <c r="B1079" t="inlineStr">
        <is>
          <t>XO
5-1/2" FJWP Pin x 5-3/4" FS Pin</t>
        </is>
      </c>
      <c r="C1079" t="n">
        <v>12</v>
      </c>
      <c r="D1079" s="62" t="n">
        <v>5.6875</v>
      </c>
      <c r="E1079" t="n">
        <v>290</v>
      </c>
      <c r="T1079" t="n">
        <v>192</v>
      </c>
      <c r="V1079" t="inlineStr">
        <is>
          <t>FR</t>
        </is>
      </c>
    </row>
    <row r="1080">
      <c r="A1080" t="n">
        <v>8130804</v>
      </c>
      <c r="B1080" t="inlineStr">
        <is>
          <t>XO
7-5/8" FJWP Pin x 8-1/8" FS Pin</t>
        </is>
      </c>
      <c r="C1080" t="n">
        <v>37</v>
      </c>
      <c r="D1080" s="62" t="n">
        <v>8</v>
      </c>
      <c r="E1080" t="n">
        <v>190</v>
      </c>
      <c r="T1080" t="n">
        <v>233</v>
      </c>
      <c r="V1080" t="inlineStr">
        <is>
          <t>FR</t>
        </is>
      </c>
    </row>
    <row r="1081">
      <c r="A1081" t="n">
        <v>8130805</v>
      </c>
      <c r="D1081" s="62" t="n"/>
      <c r="V1081" t="inlineStr">
        <is>
          <t>FR</t>
        </is>
      </c>
    </row>
    <row r="1082">
      <c r="A1082" t="n">
        <v>5030806</v>
      </c>
      <c r="B1082" t="inlineStr">
        <is>
          <t>Junk Mill 
4-1/2" REG Pin</t>
        </is>
      </c>
      <c r="C1082" t="n">
        <v>0</v>
      </c>
      <c r="D1082" s="62" t="n">
        <v>8.125</v>
      </c>
      <c r="E1082" t="n">
        <v>0</v>
      </c>
      <c r="T1082" t="n">
        <v>70</v>
      </c>
      <c r="V1082" t="inlineStr">
        <is>
          <t>FR</t>
        </is>
      </c>
    </row>
    <row r="1083">
      <c r="A1083" t="n">
        <v>8130807</v>
      </c>
      <c r="B1083" t="inlineStr">
        <is>
          <t>XO
8-1/8" FS Pin topsub side x 7-5/8" FJWP Box</t>
        </is>
      </c>
      <c r="C1083" t="n">
        <v>30</v>
      </c>
      <c r="D1083" s="62" t="n">
        <v>8</v>
      </c>
      <c r="E1083" t="n">
        <v>410</v>
      </c>
      <c r="T1083" t="n">
        <v>238</v>
      </c>
      <c r="V1083" t="inlineStr">
        <is>
          <t>FR</t>
        </is>
      </c>
    </row>
    <row r="1084">
      <c r="A1084" t="n">
        <v>7130808</v>
      </c>
      <c r="B1084" t="inlineStr">
        <is>
          <t>Pack Off 3-1/4" OD body CA 9604
2-3/8" REG Box x Box</t>
        </is>
      </c>
      <c r="C1084" t="n">
        <v>26</v>
      </c>
      <c r="D1084" s="62" t="n">
        <v>3.25</v>
      </c>
      <c r="E1084" t="inlineStr">
        <is>
          <t>CA 9604</t>
        </is>
      </c>
      <c r="T1084" t="n">
        <v>6</v>
      </c>
      <c r="V1084" t="inlineStr">
        <is>
          <t>FR</t>
        </is>
      </c>
    </row>
    <row r="1085">
      <c r="A1085" t="n">
        <v>7130809</v>
      </c>
      <c r="B1085" t="inlineStr">
        <is>
          <t>Pack Off 4-1/32" OD body CA 9760
2-7/8" REG Box x Box</t>
        </is>
      </c>
      <c r="C1085" t="n">
        <v>44</v>
      </c>
      <c r="D1085" s="62" t="n">
        <v>4.03125</v>
      </c>
      <c r="E1085" t="inlineStr">
        <is>
          <t>CA 9760</t>
        </is>
      </c>
      <c r="T1085" t="n">
        <v>7</v>
      </c>
      <c r="V1085" t="inlineStr">
        <is>
          <t>FR</t>
        </is>
      </c>
    </row>
    <row r="1086">
      <c r="A1086" t="n">
        <v>7020810</v>
      </c>
      <c r="B1086" t="inlineStr">
        <is>
          <t>Fishing Magnet 7-5/8" OD
4-1/2" REG Pin</t>
        </is>
      </c>
      <c r="C1086" t="n">
        <v>0</v>
      </c>
      <c r="D1086" s="62" t="n">
        <v>7.625</v>
      </c>
      <c r="E1086" t="n">
        <v>0</v>
      </c>
      <c r="T1086" t="n">
        <v>11</v>
      </c>
      <c r="V1086" t="inlineStr">
        <is>
          <t>FR</t>
        </is>
      </c>
    </row>
    <row r="1087">
      <c r="A1087" t="n">
        <v>8080901</v>
      </c>
      <c r="B1087" t="inlineStr">
        <is>
          <t>Short DC 9-1/2" Lg 2970mm
7-5/8" REG Pin x Box</t>
        </is>
      </c>
      <c r="C1087" t="n">
        <v>1058.8522226139</v>
      </c>
      <c r="D1087" s="62" t="n">
        <v>9.5</v>
      </c>
      <c r="E1087" t="n">
        <v>2970</v>
      </c>
      <c r="T1087" t="n">
        <v>29</v>
      </c>
    </row>
    <row r="1088">
      <c r="A1088" t="n">
        <v>8080902</v>
      </c>
      <c r="B1088" t="inlineStr">
        <is>
          <t>Short DC 9-1/2" Lg 2960mm
7-5/8" REG Pin x Box</t>
        </is>
      </c>
      <c r="C1088" t="n">
        <v>1055.2870636152</v>
      </c>
      <c r="D1088" s="62" t="n">
        <v>9.5</v>
      </c>
      <c r="E1088" t="n">
        <v>2960</v>
      </c>
      <c r="T1088" t="n">
        <v>30</v>
      </c>
    </row>
    <row r="1089">
      <c r="A1089" t="n">
        <v>8130808</v>
      </c>
      <c r="B1089" t="inlineStr">
        <is>
          <t>XO
3-1/2" IF Pin x 4-1/2" IF Box</t>
        </is>
      </c>
      <c r="C1089" t="n">
        <v>71</v>
      </c>
      <c r="D1089" s="62" t="n">
        <v>6.0625</v>
      </c>
      <c r="E1089" t="n">
        <v>824</v>
      </c>
      <c r="T1089" t="n">
        <v>127</v>
      </c>
      <c r="V1089" t="inlineStr">
        <is>
          <t>FR</t>
        </is>
      </c>
    </row>
    <row r="1090">
      <c r="A1090" t="n">
        <v>8130809</v>
      </c>
      <c r="B1090" t="inlineStr">
        <is>
          <t>XO
2-3/8" REG Pin x 3-1/2" IF Box</t>
        </is>
      </c>
      <c r="C1090" t="n">
        <v>16</v>
      </c>
      <c r="D1090" s="62" t="n">
        <v>4.75</v>
      </c>
      <c r="E1090" t="n">
        <v>390</v>
      </c>
      <c r="T1090" t="n">
        <v>60</v>
      </c>
      <c r="V1090" t="inlineStr">
        <is>
          <t>FR</t>
        </is>
      </c>
    </row>
    <row r="1091">
      <c r="A1091" t="n">
        <v>5120135</v>
      </c>
      <c r="B1091" t="inlineStr">
        <is>
          <t>WO Top Sub
3-1/2" IF Box x 5-3/8" BRS Pin x 2-3/8" REG Box in</t>
        </is>
      </c>
      <c r="C1091" t="n">
        <v>52</v>
      </c>
      <c r="D1091" s="62" t="n">
        <v>5.375</v>
      </c>
      <c r="E1091" t="n">
        <v>300</v>
      </c>
      <c r="T1091" t="n">
        <v>20</v>
      </c>
      <c r="V1091" t="inlineStr">
        <is>
          <t>FR</t>
        </is>
      </c>
    </row>
    <row r="1092">
      <c r="A1092" t="n">
        <v>5090606</v>
      </c>
      <c r="B1092" t="inlineStr">
        <is>
          <t>WO Extension Lg 770 mm
5-3/8" BR Pin x Box</t>
        </is>
      </c>
      <c r="C1092" t="n">
        <v>0</v>
      </c>
      <c r="D1092" s="62" t="n">
        <v>5.375</v>
      </c>
      <c r="E1092" t="n">
        <v>770</v>
      </c>
      <c r="T1092" t="n">
        <v>39</v>
      </c>
      <c r="V1092" t="inlineStr">
        <is>
          <t>FR</t>
        </is>
      </c>
    </row>
    <row r="1093">
      <c r="A1093" t="n">
        <v>1095221</v>
      </c>
      <c r="B1093" t="inlineStr">
        <is>
          <t>Junk Sub 5" OD Cup 
3-1/2" REG Pin x Box</t>
        </is>
      </c>
      <c r="C1093" t="n">
        <v>64</v>
      </c>
      <c r="D1093" s="62" t="n">
        <v>5</v>
      </c>
      <c r="E1093" t="n">
        <v>1020</v>
      </c>
      <c r="T1093" t="n">
        <v>13</v>
      </c>
      <c r="V1093" t="inlineStr">
        <is>
          <t>FR</t>
        </is>
      </c>
    </row>
    <row r="1094">
      <c r="A1094" t="n">
        <v>1095222</v>
      </c>
      <c r="B1094" t="inlineStr">
        <is>
          <t>Junk Sub 5" OD Cup 
3-1/2"IF Box up x Pin down</t>
        </is>
      </c>
      <c r="C1094" t="n">
        <v>64</v>
      </c>
      <c r="D1094" s="62" t="n">
        <v>5</v>
      </c>
    </row>
    <row r="1095">
      <c r="A1095" t="n">
        <v>6040708</v>
      </c>
      <c r="B1095" t="inlineStr">
        <is>
          <t>UBHO 8" OD
6-5/8" REG Pin x Box</t>
        </is>
      </c>
      <c r="C1095" t="n">
        <v>200</v>
      </c>
      <c r="D1095" s="62" t="n">
        <v>8</v>
      </c>
      <c r="E1095" t="n">
        <v>940</v>
      </c>
      <c r="T1095" t="n">
        <v>27</v>
      </c>
      <c r="V1095" t="inlineStr">
        <is>
          <t>FR</t>
        </is>
      </c>
    </row>
    <row r="1096">
      <c r="A1096" t="n">
        <v>8080729</v>
      </c>
      <c r="B1096" t="inlineStr">
        <is>
          <t>Float Sub 8" Lg 685 mm
6-5/8" REG Pin x 6-5/8" REG Box BF (5F-6R)</t>
        </is>
      </c>
      <c r="C1096" t="n">
        <v>123</v>
      </c>
      <c r="D1096" s="62" t="n">
        <v>8</v>
      </c>
      <c r="E1096" t="n">
        <v>685</v>
      </c>
      <c r="T1096" t="n">
        <v>28</v>
      </c>
      <c r="V1096" t="inlineStr">
        <is>
          <t>FR</t>
        </is>
      </c>
    </row>
    <row r="1097">
      <c r="A1097" t="n">
        <v>8080730</v>
      </c>
      <c r="B1097" t="inlineStr">
        <is>
          <t>Float Sub 8" Lg 685 mm
6-5/8" REG Pin x 6-5/8" REG Box BF (5F-6R)</t>
        </is>
      </c>
      <c r="C1097" t="n">
        <v>125</v>
      </c>
      <c r="D1097" s="62" t="n">
        <v>8</v>
      </c>
      <c r="E1097" t="n">
        <v>685</v>
      </c>
      <c r="T1097" t="n">
        <v>29</v>
      </c>
      <c r="V1097" t="inlineStr">
        <is>
          <t>FR</t>
        </is>
      </c>
    </row>
    <row r="1098">
      <c r="A1098" t="n">
        <v>7050713</v>
      </c>
      <c r="B1098" t="inlineStr">
        <is>
          <t>Extension 11-1/4" FS Lg 300mm CA C12822
11-1/4" FS Sellers Pin x Box</t>
        </is>
      </c>
      <c r="C1098" t="n">
        <v>37.33047372600001</v>
      </c>
      <c r="D1098" s="62" t="inlineStr">
        <is>
          <t>11-1/4" FS</t>
        </is>
      </c>
      <c r="E1098" t="n">
        <v>300</v>
      </c>
      <c r="T1098" t="n">
        <v>67</v>
      </c>
      <c r="V1098" t="inlineStr">
        <is>
          <t>FR</t>
        </is>
      </c>
    </row>
    <row r="1099">
      <c r="A1099" t="n">
        <v>8130810</v>
      </c>
      <c r="B1099" t="inlineStr">
        <is>
          <t>XO
3-1/8" PRT Pin x 2-1/4" PRT Box</t>
        </is>
      </c>
      <c r="C1099" t="n">
        <v>2.5</v>
      </c>
      <c r="D1099" s="62" t="n">
        <v>3.0625</v>
      </c>
      <c r="E1099" t="n">
        <v>220</v>
      </c>
      <c r="T1099" t="n">
        <v>97</v>
      </c>
      <c r="V1099" t="inlineStr">
        <is>
          <t>FR</t>
        </is>
      </c>
    </row>
    <row r="1100">
      <c r="A1100" t="n">
        <v>8130811</v>
      </c>
      <c r="B1100" t="inlineStr">
        <is>
          <t>XO
5 3/8" BR Pin x  5 1/2" FJWP Box</t>
        </is>
      </c>
      <c r="C1100" t="n">
        <v>10</v>
      </c>
      <c r="D1100" s="62" t="n">
        <v>5.5</v>
      </c>
      <c r="E1100" t="n">
        <v>377</v>
      </c>
      <c r="T1100" t="n">
        <v>194</v>
      </c>
      <c r="V1100" t="inlineStr">
        <is>
          <t>FR</t>
        </is>
      </c>
    </row>
    <row r="1101">
      <c r="A1101" t="n">
        <v>7020811</v>
      </c>
      <c r="B1101" t="inlineStr">
        <is>
          <t>Fishing Magnet 5-3/8" OD
3-1/2" REG Pin</t>
        </is>
      </c>
      <c r="C1101" t="n">
        <v>48</v>
      </c>
      <c r="D1101" s="62" t="n">
        <v>5.375</v>
      </c>
      <c r="E1101" t="n">
        <v>651</v>
      </c>
      <c r="T1101" t="n">
        <v>8</v>
      </c>
      <c r="V1101" t="inlineStr">
        <is>
          <t>FR</t>
        </is>
      </c>
    </row>
    <row r="1102">
      <c r="A1102" t="n">
        <v>8130812</v>
      </c>
      <c r="B1102" t="inlineStr">
        <is>
          <t>XO
7-5/8" REG Pin x 6-5/8" REG Box</t>
        </is>
      </c>
      <c r="C1102" t="n">
        <v>300.8731715009414</v>
      </c>
      <c r="D1102" s="62" t="n">
        <v>9.5</v>
      </c>
      <c r="E1102" t="n">
        <v>925</v>
      </c>
      <c r="T1102" t="n">
        <v>228</v>
      </c>
    </row>
    <row r="1103">
      <c r="A1103" t="n">
        <v>4080301</v>
      </c>
      <c r="B1103" t="inlineStr">
        <is>
          <t>Super Fishing Jar 3-1/8" OD 
2-3/8" REG Pin down x Box up</t>
        </is>
      </c>
      <c r="C1103" t="n">
        <v>80</v>
      </c>
      <c r="D1103" s="62" t="n">
        <v>3.125</v>
      </c>
      <c r="E1103" t="n">
        <v>2700</v>
      </c>
      <c r="T1103" t="n">
        <v>5</v>
      </c>
    </row>
    <row r="1104">
      <c r="A1104" t="n">
        <v>7060803</v>
      </c>
      <c r="B1104" t="inlineStr">
        <is>
          <t>Oversize Guide 7,875 OD
5-3/4" FS Sellers Pin</t>
        </is>
      </c>
      <c r="C1104" t="n">
        <v>0</v>
      </c>
      <c r="D1104" s="62" t="n">
        <v>7.875</v>
      </c>
      <c r="E1104" t="n">
        <v>0</v>
      </c>
      <c r="T1104" t="n">
        <v>5</v>
      </c>
      <c r="V1104" t="inlineStr">
        <is>
          <t>FR</t>
        </is>
      </c>
    </row>
    <row r="1105">
      <c r="A1105" t="n">
        <v>7060804</v>
      </c>
      <c r="D1105" s="62" t="n"/>
      <c r="V1105" t="inlineStr">
        <is>
          <t>FR</t>
        </is>
      </c>
    </row>
    <row r="1106">
      <c r="A1106" t="n">
        <v>8080731</v>
      </c>
      <c r="B1106" t="inlineStr">
        <is>
          <t>Short DC 4-15/16" Lg 3000mm
3-1/2" IF Pin x Box</t>
        </is>
      </c>
      <c r="C1106" t="n">
        <v>168</v>
      </c>
      <c r="D1106" s="62" t="n">
        <v>4.9375</v>
      </c>
      <c r="E1106" t="n">
        <v>3000</v>
      </c>
      <c r="T1106" t="n">
        <v>16</v>
      </c>
    </row>
    <row r="1107">
      <c r="A1107" t="n">
        <v>2010336</v>
      </c>
      <c r="B1107" t="inlineStr">
        <is>
          <t>Hydraulic External Cutter 6-1/16" OD body 
5-1/2" FJWP Box</t>
        </is>
      </c>
      <c r="C1107" t="n">
        <v>73</v>
      </c>
      <c r="D1107" s="62" t="n">
        <v>6.0625</v>
      </c>
      <c r="E1107" t="n">
        <v>0</v>
      </c>
      <c r="T1107" t="n">
        <v>7</v>
      </c>
    </row>
    <row r="1108">
      <c r="A1108" t="n">
        <v>2020337</v>
      </c>
      <c r="B1108" t="inlineStr">
        <is>
          <t>Oversize Lip Guide 7-7/8" OD f/ HEC 8"</t>
        </is>
      </c>
      <c r="C1108" t="n">
        <v>0</v>
      </c>
      <c r="D1108" s="62" t="n">
        <v>5.625</v>
      </c>
      <c r="E1108" t="n">
        <v>0</v>
      </c>
      <c r="T1108" t="n">
        <v>18</v>
      </c>
      <c r="V1108" t="inlineStr">
        <is>
          <t>FR</t>
        </is>
      </c>
    </row>
    <row r="1109">
      <c r="A1109" t="n">
        <v>2020338</v>
      </c>
      <c r="B1109" t="inlineStr">
        <is>
          <t>Oversize Lip Guide 7-7/8" OD f/ HEC 8"</t>
        </is>
      </c>
      <c r="C1109" t="n">
        <v>0</v>
      </c>
      <c r="D1109" s="62" t="n">
        <v>5.625</v>
      </c>
      <c r="E1109" t="n">
        <v>0</v>
      </c>
      <c r="T1109" t="n">
        <v>19</v>
      </c>
      <c r="V1109" t="inlineStr">
        <is>
          <t>FR</t>
        </is>
      </c>
    </row>
    <row r="1110">
      <c r="A1110" t="n">
        <v>7060805</v>
      </c>
      <c r="B1110" t="inlineStr">
        <is>
          <t>Lip guide</t>
        </is>
      </c>
      <c r="D1110" s="62" t="n"/>
      <c r="V1110" t="inlineStr">
        <is>
          <t>FR</t>
        </is>
      </c>
    </row>
    <row r="1111">
      <c r="A1111" t="n">
        <v>5040760</v>
      </c>
      <c r="B1111" t="inlineStr">
        <is>
          <t>Viper Pilot Mill
3-1/2" REG Pin x Pilot</t>
        </is>
      </c>
      <c r="C1111" t="n">
        <v>0</v>
      </c>
      <c r="D1111" s="62" t="n">
        <v>6</v>
      </c>
      <c r="E1111" t="n">
        <v>960</v>
      </c>
      <c r="T1111" t="n">
        <v>14</v>
      </c>
      <c r="V1111" t="inlineStr">
        <is>
          <t>FR</t>
        </is>
      </c>
    </row>
    <row r="1112">
      <c r="A1112" t="inlineStr">
        <is>
          <t>(5030772)</t>
        </is>
      </c>
      <c r="B1112" t="inlineStr">
        <is>
          <t>Junk Mill  8-1/2" OD
4-1/2" REG Pin</t>
        </is>
      </c>
      <c r="D1112" s="62" t="n">
        <v>8.5</v>
      </c>
      <c r="V1112" t="inlineStr">
        <is>
          <t>FR</t>
        </is>
      </c>
    </row>
    <row r="1113">
      <c r="A1113" t="n">
        <v>5030772</v>
      </c>
      <c r="B1113" t="inlineStr">
        <is>
          <t xml:space="preserve">Pilot Mill
4-1/2" REG Pin x </t>
        </is>
      </c>
      <c r="C1113" t="n">
        <v>104</v>
      </c>
      <c r="D1113" s="62" t="n">
        <v>8.375</v>
      </c>
      <c r="E1113" t="n">
        <v>0</v>
      </c>
      <c r="T1113" t="n">
        <v>71</v>
      </c>
      <c r="V1113" t="inlineStr">
        <is>
          <t>retourvé blk</t>
        </is>
      </c>
    </row>
    <row r="1114">
      <c r="A1114" t="n">
        <v>1095223</v>
      </c>
      <c r="B1114" t="inlineStr">
        <is>
          <t>Junk Sub 5" OD Cup 
3-1/2" REG Pin x Box</t>
        </is>
      </c>
      <c r="C1114" t="n">
        <v>64</v>
      </c>
      <c r="D1114" s="62" t="n">
        <v>5</v>
      </c>
      <c r="E1114" t="n">
        <v>1105</v>
      </c>
      <c r="T1114" t="n">
        <v>14</v>
      </c>
      <c r="V1114" t="inlineStr">
        <is>
          <t>FR</t>
        </is>
      </c>
    </row>
    <row r="1115">
      <c r="A1115" t="n">
        <v>1095224</v>
      </c>
      <c r="B1115" t="inlineStr">
        <is>
          <t>Junk Sub 5" OD Cup 
3-1/2"IF Box up x Pin down</t>
        </is>
      </c>
      <c r="C1115" t="n">
        <v>64</v>
      </c>
      <c r="D1115" s="62" t="n">
        <v>5</v>
      </c>
      <c r="E1115" t="n">
        <v>1020</v>
      </c>
      <c r="T1115" t="n">
        <v>19</v>
      </c>
      <c r="V1115" t="inlineStr">
        <is>
          <t>FR</t>
        </is>
      </c>
    </row>
    <row r="1116">
      <c r="A1116" t="n">
        <v>6040709</v>
      </c>
      <c r="B1116" t="inlineStr">
        <is>
          <t>UBHO 4-3/4" OD
3-1/2" IF Pin x Box</t>
        </is>
      </c>
      <c r="C1116" t="n">
        <v>43</v>
      </c>
      <c r="D1116" s="62" t="n">
        <v>4.75</v>
      </c>
      <c r="E1116" t="n">
        <v>760</v>
      </c>
      <c r="T1116" t="n">
        <v>11</v>
      </c>
      <c r="V1116" t="inlineStr">
        <is>
          <t>FR</t>
        </is>
      </c>
    </row>
    <row r="1117">
      <c r="A1117" t="n">
        <v>6040710</v>
      </c>
      <c r="B1117" t="inlineStr">
        <is>
          <t>UBHO 4-3/4" OD
3-1/2" IF Pin x Box</t>
        </is>
      </c>
      <c r="C1117" t="n">
        <v>43</v>
      </c>
      <c r="D1117" s="62" t="n">
        <v>4.75</v>
      </c>
      <c r="E1117" t="n">
        <v>760</v>
      </c>
      <c r="T1117" t="n">
        <v>12</v>
      </c>
      <c r="V1117" t="inlineStr">
        <is>
          <t>FR</t>
        </is>
      </c>
    </row>
    <row r="1118">
      <c r="A1118" t="n">
        <v>7020812</v>
      </c>
      <c r="B1118" t="inlineStr">
        <is>
          <t>String Magnet 4-1/2" OD
3-1/2" IF Pin x Box</t>
        </is>
      </c>
      <c r="C1118" t="n">
        <v>0</v>
      </c>
      <c r="D1118" s="62" t="n">
        <v>4.75</v>
      </c>
      <c r="E1118" t="n">
        <v>0</v>
      </c>
      <c r="T1118" t="n">
        <v>6</v>
      </c>
      <c r="V1118" t="inlineStr">
        <is>
          <t>FR</t>
        </is>
      </c>
    </row>
    <row r="1119">
      <c r="A1119" t="n">
        <v>7020816</v>
      </c>
      <c r="B1119" t="inlineStr">
        <is>
          <t>String Magnet 4-1/2" OD
3-1/2" IF Pin x Box</t>
        </is>
      </c>
      <c r="C1119" t="n">
        <v>0</v>
      </c>
      <c r="D1119" s="62" t="n">
        <v>4.75</v>
      </c>
      <c r="E1119" t="n">
        <v>0</v>
      </c>
      <c r="T1119" t="n">
        <v>7</v>
      </c>
      <c r="V1119" t="inlineStr">
        <is>
          <t>FR</t>
        </is>
      </c>
    </row>
    <row r="1120">
      <c r="A1120" t="n">
        <v>7020813</v>
      </c>
      <c r="B1120" t="inlineStr">
        <is>
          <t>String Magnet 6-1/2" OD
4-1/2" IF Pin x Box</t>
        </is>
      </c>
      <c r="C1120" t="n">
        <v>0</v>
      </c>
      <c r="D1120" s="62" t="n">
        <v>6.5</v>
      </c>
      <c r="E1120" t="n">
        <v>0</v>
      </c>
      <c r="T1120" t="n">
        <v>10</v>
      </c>
      <c r="V1120" t="inlineStr">
        <is>
          <t>FR</t>
        </is>
      </c>
    </row>
    <row r="1121">
      <c r="A1121" t="n">
        <v>5120136</v>
      </c>
      <c r="B1121" t="inlineStr">
        <is>
          <t>WO Top Sub
2-3/8" REG Box x 4-1/2" FJWP Pin x 2-3/8" REG Box in</t>
        </is>
      </c>
      <c r="C1121" t="n">
        <v>36</v>
      </c>
      <c r="D1121" s="62" t="n">
        <v>4.4375</v>
      </c>
      <c r="E1121" t="n">
        <v>635</v>
      </c>
      <c r="T1121" t="n">
        <v>13</v>
      </c>
      <c r="V1121" t="inlineStr">
        <is>
          <t>FR</t>
        </is>
      </c>
    </row>
    <row r="1122">
      <c r="A1122" t="n">
        <v>7020814</v>
      </c>
      <c r="B1122" t="inlineStr">
        <is>
          <t>Fishing Magnet 10-3/8" OD
6-5/8" REG Pin</t>
        </is>
      </c>
      <c r="C1122" t="n">
        <v>180</v>
      </c>
      <c r="D1122" s="62" t="n">
        <v>10.375</v>
      </c>
      <c r="E1122" t="n">
        <v>735</v>
      </c>
      <c r="T1122" t="n">
        <v>12</v>
      </c>
      <c r="V1122" t="inlineStr">
        <is>
          <t>FR</t>
        </is>
      </c>
    </row>
    <row r="1123">
      <c r="A1123" t="n">
        <v>8040020</v>
      </c>
      <c r="B1123" t="inlineStr">
        <is>
          <t>Lift Sub 2-3/8" REG Pin
0 OD body for Elevator DP 18°</t>
        </is>
      </c>
      <c r="C1123" t="n">
        <v>0</v>
      </c>
      <c r="D1123" s="62" t="n">
        <v>0</v>
      </c>
      <c r="E1123" t="n">
        <v>380</v>
      </c>
      <c r="T1123" t="n">
        <v>26</v>
      </c>
      <c r="V1123" t="inlineStr">
        <is>
          <t>FR</t>
        </is>
      </c>
    </row>
    <row r="1124">
      <c r="A1124" t="n">
        <v>8040021</v>
      </c>
      <c r="B1124" t="inlineStr">
        <is>
          <t>Lift Sub 2-3/8" REG Pin
0 OD body for Elevator DP 18°</t>
        </is>
      </c>
      <c r="C1124" t="n">
        <v>0</v>
      </c>
      <c r="D1124" s="62" t="n">
        <v>0</v>
      </c>
      <c r="E1124" t="n">
        <v>380</v>
      </c>
      <c r="T1124" t="n">
        <v>27</v>
      </c>
      <c r="V1124" t="inlineStr">
        <is>
          <t>FR</t>
        </is>
      </c>
    </row>
    <row r="1125">
      <c r="A1125" t="n">
        <v>211613003</v>
      </c>
      <c r="B1125" t="inlineStr">
        <is>
          <t>stator</t>
        </is>
      </c>
      <c r="D1125" s="62" t="n"/>
    </row>
    <row r="1126">
      <c r="A1126" t="n">
        <v>211613001</v>
      </c>
      <c r="B1126" t="inlineStr">
        <is>
          <t>stator</t>
        </is>
      </c>
      <c r="D1126" s="62" t="n"/>
    </row>
    <row r="1127">
      <c r="A1127" t="n">
        <v>210582001</v>
      </c>
      <c r="B1127" t="inlineStr">
        <is>
          <t>rotor</t>
        </is>
      </c>
      <c r="D1127" s="62" t="n"/>
    </row>
    <row r="1128">
      <c r="A1128" t="n">
        <v>8130813</v>
      </c>
      <c r="B1128" t="inlineStr">
        <is>
          <t>XO
3-1/2" REG Pin x 2-7/8" REG Box</t>
        </is>
      </c>
      <c r="C1128" t="n">
        <v>41.89308718139999</v>
      </c>
      <c r="D1128" s="62" t="n">
        <v>4.75</v>
      </c>
      <c r="E1128" t="n">
        <v>505</v>
      </c>
      <c r="T1128" t="n">
        <v>132</v>
      </c>
      <c r="V1128" t="inlineStr">
        <is>
          <t>FR</t>
        </is>
      </c>
    </row>
    <row r="1129">
      <c r="A1129" t="n">
        <v>7060806</v>
      </c>
      <c r="B1129" t="inlineStr">
        <is>
          <t>Oversize Guide 10-1/8" OD
8-1/8" FS Sellers Pin</t>
        </is>
      </c>
      <c r="C1129" t="n">
        <v>0</v>
      </c>
      <c r="D1129" s="62" t="inlineStr">
        <is>
          <t>10-1/8"</t>
        </is>
      </c>
      <c r="E1129" t="n">
        <v>0</v>
      </c>
      <c r="T1129" t="n">
        <v>20</v>
      </c>
      <c r="V1129" t="inlineStr">
        <is>
          <t>FR</t>
        </is>
      </c>
    </row>
    <row r="1130">
      <c r="A1130" t="n">
        <v>1010001</v>
      </c>
      <c r="B1130" t="inlineStr">
        <is>
          <t>blades for casing brush</t>
        </is>
      </c>
      <c r="D1130" s="62" t="n"/>
      <c r="V1130" t="inlineStr">
        <is>
          <t>FR</t>
        </is>
      </c>
    </row>
    <row r="1131">
      <c r="A1131" t="n">
        <v>1010002</v>
      </c>
      <c r="B1131" t="inlineStr">
        <is>
          <t>blades for casing brush</t>
        </is>
      </c>
      <c r="D1131" s="62" t="n"/>
      <c r="V1131" t="inlineStr">
        <is>
          <t>FR</t>
        </is>
      </c>
    </row>
    <row r="1132">
      <c r="A1132" t="n">
        <v>1010003</v>
      </c>
      <c r="B1132" t="inlineStr">
        <is>
          <t>blades for casing brush</t>
        </is>
      </c>
      <c r="D1132" s="62" t="n"/>
      <c r="V1132" t="inlineStr">
        <is>
          <t>FR</t>
        </is>
      </c>
    </row>
    <row r="1133">
      <c r="A1133" t="n">
        <v>7020817</v>
      </c>
      <c r="B1133" t="inlineStr">
        <is>
          <t>Fishing Magnet 4-1/2" OD
2-3/8" REG Pin</t>
        </is>
      </c>
      <c r="C1133" t="n">
        <v>42</v>
      </c>
      <c r="D1133" s="62" t="n">
        <v>4.5</v>
      </c>
      <c r="E1133" t="n">
        <v>660</v>
      </c>
      <c r="T1133" t="n">
        <v>7</v>
      </c>
      <c r="V1133" t="inlineStr">
        <is>
          <t>FR</t>
        </is>
      </c>
    </row>
    <row r="1134">
      <c r="A1134" t="n">
        <v>5060001</v>
      </c>
      <c r="B1134" t="inlineStr">
        <is>
          <t>String Mill 4,75 OD 
2 3/8" REG Box x 2 3/8" REG Pin</t>
        </is>
      </c>
      <c r="C1134" t="n">
        <v>0</v>
      </c>
      <c r="D1134" s="62" t="n">
        <v>4.75</v>
      </c>
      <c r="E1134" t="n">
        <v>1130</v>
      </c>
      <c r="T1134" t="n">
        <v>8</v>
      </c>
      <c r="V1134" t="inlineStr">
        <is>
          <t>FR</t>
        </is>
      </c>
    </row>
    <row r="1135">
      <c r="A1135" t="n">
        <v>5120715</v>
      </c>
      <c r="B1135" t="inlineStr">
        <is>
          <t>4-1/2" OD Top Sub 
2-3/8" REG Box x 4-1/2" FJWP Pin x 2-3/8" REG Box in</t>
        </is>
      </c>
      <c r="C1135" t="n">
        <v>0</v>
      </c>
      <c r="D1135" s="62" t="n">
        <v>4.5</v>
      </c>
      <c r="E1135" t="n">
        <v>0</v>
      </c>
      <c r="T1135" t="n">
        <v>14</v>
      </c>
      <c r="V1135" t="inlineStr">
        <is>
          <t>FR</t>
        </is>
      </c>
    </row>
    <row r="1136">
      <c r="A1136" t="n">
        <v>5120716</v>
      </c>
      <c r="B1136" t="inlineStr">
        <is>
          <t>4-1/2" OD Top Sub 
2-3/8" IF Box x 4-1/2" FJWP Pin x 2-3/8" REG Box in</t>
        </is>
      </c>
      <c r="C1136" t="n">
        <v>0</v>
      </c>
      <c r="D1136" s="62" t="n">
        <v>4.5</v>
      </c>
      <c r="E1136" t="n">
        <v>0</v>
      </c>
      <c r="T1136" t="n">
        <v>15</v>
      </c>
    </row>
    <row r="1137">
      <c r="A1137" t="n">
        <v>8020814</v>
      </c>
      <c r="B1137" t="inlineStr">
        <is>
          <t>Bit Sub
2-3/8" REG Box x 2-7/8" EU Box</t>
        </is>
      </c>
      <c r="C1137" t="n">
        <v>25.85056607850235</v>
      </c>
      <c r="D1137" s="62" t="n">
        <v>3.4375</v>
      </c>
      <c r="E1137" t="n">
        <v>605</v>
      </c>
      <c r="T1137" t="n">
        <v>19</v>
      </c>
      <c r="V1137" t="inlineStr">
        <is>
          <t>FR</t>
        </is>
      </c>
    </row>
    <row r="1138">
      <c r="A1138" t="n">
        <v>8020815</v>
      </c>
      <c r="B1138" t="inlineStr">
        <is>
          <t>Bit Sub
2-3/8" REG Box x 2-7/8" EU Box</t>
        </is>
      </c>
      <c r="C1138" t="n">
        <v>25.85056607850235</v>
      </c>
      <c r="D1138" s="62" t="n">
        <v>3.4375</v>
      </c>
      <c r="E1138" t="n">
        <v>605</v>
      </c>
      <c r="T1138" t="n">
        <v>20</v>
      </c>
      <c r="V1138" t="inlineStr">
        <is>
          <t>FR</t>
        </is>
      </c>
    </row>
    <row r="1139">
      <c r="A1139" t="n">
        <v>8130816</v>
      </c>
      <c r="B1139" t="inlineStr">
        <is>
          <t>XO
2-3/8" REG Pin x 2-7/8" EU Pin</t>
        </is>
      </c>
      <c r="C1139" t="n">
        <v>33</v>
      </c>
      <c r="D1139" s="62" t="n">
        <v>3.4375</v>
      </c>
      <c r="E1139" t="n">
        <v>610</v>
      </c>
      <c r="T1139" t="n">
        <v>51</v>
      </c>
      <c r="V1139" t="inlineStr">
        <is>
          <t>FR</t>
        </is>
      </c>
    </row>
    <row r="1140">
      <c r="A1140" t="n">
        <v>8130817</v>
      </c>
      <c r="B1140" t="inlineStr">
        <is>
          <t>XO
3-1/2" IF Pin x 2-7/8" REG Box</t>
        </is>
      </c>
      <c r="C1140" t="n">
        <v>40</v>
      </c>
      <c r="D1140" s="62" t="n">
        <v>4.625</v>
      </c>
      <c r="E1140" t="n">
        <v>880</v>
      </c>
      <c r="T1140" t="n">
        <v>107</v>
      </c>
      <c r="V1140" t="inlineStr">
        <is>
          <t>FR</t>
        </is>
      </c>
    </row>
    <row r="1141">
      <c r="A1141" t="n">
        <v>8130819</v>
      </c>
      <c r="B1141" t="inlineStr">
        <is>
          <t>Float Sub 3 1/4" Lg 483 mm
2-3/8" REG Pin x 2-3/8" IF Box BF (1F-2R)</t>
        </is>
      </c>
      <c r="C1141" t="n">
        <v>18.2452690335825</v>
      </c>
      <c r="D1141" s="62" t="n">
        <v>3.25</v>
      </c>
      <c r="E1141" t="n">
        <v>483</v>
      </c>
      <c r="T1141" t="n">
        <v>45</v>
      </c>
      <c r="V1141" t="inlineStr">
        <is>
          <t>FR</t>
        </is>
      </c>
    </row>
    <row r="1142">
      <c r="A1142" t="n">
        <v>8130820</v>
      </c>
      <c r="B1142" t="inlineStr">
        <is>
          <t>Float Sub 3 1/4" Lg 500 mm
2-3/8" REG Pin x 2-3/8" IF Box BF (1F-2R)</t>
        </is>
      </c>
      <c r="C1142" t="n">
        <v>18.88744206375</v>
      </c>
      <c r="D1142" s="62" t="n">
        <v>3.25</v>
      </c>
      <c r="E1142" t="n">
        <v>500</v>
      </c>
      <c r="T1142" t="n">
        <v>47</v>
      </c>
      <c r="V1142" t="inlineStr">
        <is>
          <t>FR</t>
        </is>
      </c>
    </row>
    <row r="1143">
      <c r="A1143" t="n">
        <v>8020101</v>
      </c>
      <c r="B1143" t="inlineStr">
        <is>
          <t>Bit Sub
2-3/8" REG Box x 2-3/8" REG Box BF</t>
        </is>
      </c>
      <c r="C1143" t="n">
        <v>18.8812696970625</v>
      </c>
      <c r="D1143" s="62" t="n">
        <v>3.375</v>
      </c>
      <c r="E1143" t="n">
        <v>460</v>
      </c>
      <c r="T1143" t="n">
        <v>12</v>
      </c>
      <c r="V1143" t="inlineStr">
        <is>
          <t>FR</t>
        </is>
      </c>
    </row>
    <row r="1144">
      <c r="A1144" t="n">
        <v>807</v>
      </c>
      <c r="D1144" s="62" t="n"/>
      <c r="V1144" t="inlineStr">
        <is>
          <t>FR</t>
        </is>
      </c>
    </row>
    <row r="1145">
      <c r="A1145" t="n">
        <v>8130818</v>
      </c>
      <c r="B1145" t="inlineStr">
        <is>
          <t>XO
3-1/2" IF Pin x 2-7/8" EU Box</t>
        </is>
      </c>
      <c r="C1145" t="n">
        <v>0</v>
      </c>
      <c r="D1145" s="62" t="n">
        <v>4.75</v>
      </c>
      <c r="E1145" t="n">
        <v>410</v>
      </c>
      <c r="T1145" t="n">
        <v>108</v>
      </c>
      <c r="V1145" t="inlineStr">
        <is>
          <t>FR</t>
        </is>
      </c>
    </row>
    <row r="1146">
      <c r="A1146" t="n">
        <v>8130821</v>
      </c>
      <c r="D1146" s="62" t="n"/>
      <c r="V1146" t="inlineStr">
        <is>
          <t>FR</t>
        </is>
      </c>
    </row>
    <row r="1147">
      <c r="A1147" t="n">
        <v>1035187</v>
      </c>
      <c r="B1147" t="inlineStr">
        <is>
          <t>Casing Scraper 5-1/4" OD Body
3-1/2" REG Pin x 3-1/2" REG Box</t>
        </is>
      </c>
      <c r="C1147" t="n">
        <v>142</v>
      </c>
      <c r="D1147" s="62" t="n">
        <v>5.25</v>
      </c>
      <c r="E1147" t="n">
        <v>1610</v>
      </c>
      <c r="T1147" t="n">
        <v>24</v>
      </c>
      <c r="V1147" t="inlineStr">
        <is>
          <t>FR</t>
        </is>
      </c>
    </row>
    <row r="1148">
      <c r="A1148" t="n">
        <v>8130822</v>
      </c>
      <c r="D1148" s="62" t="n"/>
      <c r="V1148" t="inlineStr">
        <is>
          <t>FR</t>
        </is>
      </c>
    </row>
    <row r="1149">
      <c r="A1149" t="n">
        <v>7130810</v>
      </c>
      <c r="B1149" t="inlineStr">
        <is>
          <t>Pack Off 5-11/16" OD body CA 9615
3-1/2" IF Pin down x Box up</t>
        </is>
      </c>
      <c r="C1149" t="n">
        <v>0</v>
      </c>
      <c r="D1149" s="62" t="n">
        <v>5.6875</v>
      </c>
      <c r="E1149" t="inlineStr">
        <is>
          <t>CA 9615</t>
        </is>
      </c>
      <c r="T1149" t="n">
        <v>8</v>
      </c>
      <c r="V1149" t="inlineStr">
        <is>
          <t>FR</t>
        </is>
      </c>
    </row>
    <row r="1150">
      <c r="A1150" t="n">
        <v>8015247</v>
      </c>
      <c r="B1150" t="inlineStr">
        <is>
          <t>Bull Nose 4-1/2" OD
2-3/8" REG Pin</t>
        </is>
      </c>
      <c r="C1150" t="n">
        <v>26.6152451565</v>
      </c>
      <c r="D1150" s="62" t="n">
        <v>4.5</v>
      </c>
      <c r="E1150" t="n">
        <v>350</v>
      </c>
      <c r="T1150" t="n">
        <v>7</v>
      </c>
      <c r="V1150" t="inlineStr">
        <is>
          <t>FR</t>
        </is>
      </c>
    </row>
    <row r="1151">
      <c r="A1151" t="n">
        <v>2030690</v>
      </c>
      <c r="B1151" t="inlineStr">
        <is>
          <t>Pipe Cutter 5700s
3-1/2" REG Pin up x 3-1/2" REG Box down</t>
        </is>
      </c>
      <c r="C1151" t="n">
        <v>0</v>
      </c>
      <c r="D1151" s="62" t="n">
        <v>5700</v>
      </c>
      <c r="E1151" t="n">
        <v>0</v>
      </c>
      <c r="T1151" t="n">
        <v>9</v>
      </c>
      <c r="V1151" t="inlineStr">
        <is>
          <t>FR</t>
        </is>
      </c>
    </row>
    <row r="1152">
      <c r="A1152" t="n">
        <v>1070712</v>
      </c>
      <c r="B1152" t="inlineStr">
        <is>
          <t>Circulating Sub 4-3/4" OD 
3-1/2" IF Pin x Box</t>
        </is>
      </c>
      <c r="C1152" t="n">
        <v>42</v>
      </c>
      <c r="D1152" s="62" t="n">
        <v>4.75</v>
      </c>
      <c r="E1152" t="n">
        <v>590</v>
      </c>
      <c r="T1152" t="n">
        <v>5</v>
      </c>
      <c r="V1152" t="inlineStr">
        <is>
          <t>FR</t>
        </is>
      </c>
    </row>
    <row r="1153">
      <c r="A1153" t="n">
        <v>8130823</v>
      </c>
      <c r="B1153" t="inlineStr">
        <is>
          <t>XO
2-7/8" IF Pin x 3-1/2" EU Box</t>
        </is>
      </c>
      <c r="C1153" t="n">
        <v>0</v>
      </c>
      <c r="D1153" s="62" t="n">
        <v>0</v>
      </c>
      <c r="E1153" t="n">
        <v>0</v>
      </c>
      <c r="T1153" t="n">
        <v>84</v>
      </c>
      <c r="V1153" t="inlineStr">
        <is>
          <t>FR</t>
        </is>
      </c>
    </row>
    <row r="1154">
      <c r="A1154" t="n">
        <v>8130824</v>
      </c>
      <c r="B1154" t="inlineStr">
        <is>
          <t>XO
2-3/8" REG Pin x 3-1/2" EU Box</t>
        </is>
      </c>
      <c r="C1154" t="n">
        <v>0</v>
      </c>
      <c r="D1154" s="62" t="n">
        <v>0</v>
      </c>
      <c r="E1154" t="n">
        <v>0</v>
      </c>
      <c r="T1154" t="n">
        <v>65</v>
      </c>
      <c r="V1154" t="inlineStr">
        <is>
          <t>FR</t>
        </is>
      </c>
    </row>
    <row r="1155">
      <c r="A1155" t="n">
        <v>8130825</v>
      </c>
      <c r="B1155" t="inlineStr">
        <is>
          <t>XO
2-3/8" IF Pin x 3-1/2" EU Box</t>
        </is>
      </c>
      <c r="C1155" t="n">
        <v>0</v>
      </c>
      <c r="D1155" s="62" t="n">
        <v>0</v>
      </c>
      <c r="E1155" t="n">
        <v>0</v>
      </c>
      <c r="T1155" t="n">
        <v>35</v>
      </c>
      <c r="V1155" t="inlineStr">
        <is>
          <t>FR</t>
        </is>
      </c>
    </row>
    <row r="1156">
      <c r="A1156" t="n">
        <v>7095449</v>
      </c>
      <c r="B1156" t="inlineStr">
        <is>
          <t>Taper Tap 11" OD to catch from 7/8" to 2"
Lg catch - mm
2-3/8" REG Pin</t>
        </is>
      </c>
      <c r="C1156" t="n">
        <v>11</v>
      </c>
      <c r="D1156" s="62" t="n">
        <v>3</v>
      </c>
      <c r="E1156" t="n">
        <v>575</v>
      </c>
      <c r="T1156" t="n">
        <v>6</v>
      </c>
      <c r="V1156" t="inlineStr">
        <is>
          <t>FR</t>
        </is>
      </c>
    </row>
    <row r="1157">
      <c r="A1157" t="n">
        <v>8020826</v>
      </c>
      <c r="B1157" t="inlineStr">
        <is>
          <t>Bit Sub
2-7/8" EU Box x 3-1/2" REG Box</t>
        </is>
      </c>
      <c r="C1157" t="n">
        <v>45.366895153125</v>
      </c>
      <c r="D1157" s="62" t="n">
        <v>4.625</v>
      </c>
      <c r="E1157" t="n">
        <v>600</v>
      </c>
      <c r="T1157" t="n">
        <v>24</v>
      </c>
      <c r="V1157" t="inlineStr">
        <is>
          <t>FR</t>
        </is>
      </c>
    </row>
    <row r="1158">
      <c r="A1158" t="n">
        <v>8020827</v>
      </c>
      <c r="B1158" t="inlineStr">
        <is>
          <t>Bit Sub
2-7/8" EU Box x 3-1/2" REG Box</t>
        </is>
      </c>
      <c r="C1158" t="n">
        <v>45.366895153125</v>
      </c>
      <c r="D1158" s="62" t="n">
        <v>4.625</v>
      </c>
      <c r="E1158" t="n">
        <v>600</v>
      </c>
      <c r="T1158" t="n">
        <v>25</v>
      </c>
      <c r="V1158" t="inlineStr">
        <is>
          <t>FR</t>
        </is>
      </c>
    </row>
    <row r="1159">
      <c r="A1159" t="n">
        <v>8130828</v>
      </c>
      <c r="B1159" t="inlineStr">
        <is>
          <t>XO
2-7/8" EU Pin x 3-1/2" REG Pin</t>
        </is>
      </c>
      <c r="C1159" t="n">
        <v>48.5456639971875</v>
      </c>
      <c r="D1159" s="62" t="n">
        <v>4.75</v>
      </c>
      <c r="E1159" t="n">
        <v>605</v>
      </c>
      <c r="T1159" t="n">
        <v>78</v>
      </c>
      <c r="V1159" t="inlineStr">
        <is>
          <t>FR</t>
        </is>
      </c>
    </row>
    <row r="1160">
      <c r="A1160" t="n">
        <v>8130829</v>
      </c>
      <c r="B1160" t="inlineStr">
        <is>
          <t>XO
3-1/2" IF Pin x 4-1/2" IF Pin</t>
        </is>
      </c>
      <c r="C1160" t="n">
        <v>70</v>
      </c>
      <c r="D1160" s="62" t="n">
        <v>6.5</v>
      </c>
      <c r="E1160" t="n">
        <v>595</v>
      </c>
      <c r="T1160" t="n">
        <v>130</v>
      </c>
      <c r="V1160" t="inlineStr">
        <is>
          <t>FR</t>
        </is>
      </c>
    </row>
    <row r="1161">
      <c r="A1161" t="n">
        <v>8130830</v>
      </c>
      <c r="B1161" t="inlineStr">
        <is>
          <t>XO
2-7/8" IF Pin x 3-1/2" IF Pin</t>
        </is>
      </c>
      <c r="C1161" t="n">
        <v>35.256558519</v>
      </c>
      <c r="D1161" s="62" t="n">
        <v>4.75</v>
      </c>
      <c r="E1161" t="n">
        <v>510</v>
      </c>
      <c r="T1161" t="n">
        <v>88</v>
      </c>
      <c r="V1161" t="inlineStr">
        <is>
          <t>FR</t>
        </is>
      </c>
    </row>
    <row r="1162">
      <c r="A1162" t="n">
        <v>8130831</v>
      </c>
      <c r="B1162" t="inlineStr">
        <is>
          <t>XO
2-3/8" IF Pin x 2-3/8" REG Box</t>
        </is>
      </c>
      <c r="C1162" t="n">
        <v>17.44465135054687</v>
      </c>
      <c r="D1162" s="62" t="n">
        <v>3.375</v>
      </c>
      <c r="E1162" t="n">
        <v>425</v>
      </c>
      <c r="T1162" t="n">
        <v>24</v>
      </c>
      <c r="V1162" t="inlineStr">
        <is>
          <t>FR</t>
        </is>
      </c>
    </row>
    <row r="1163">
      <c r="A1163" t="n">
        <v>8130832</v>
      </c>
      <c r="B1163" t="inlineStr">
        <is>
          <t>XO
2-7/8" IF Pin x 2-3/8" REG Box</t>
        </is>
      </c>
      <c r="C1163" t="n">
        <v>0</v>
      </c>
      <c r="D1163" s="62" t="n">
        <v>4.125</v>
      </c>
      <c r="E1163" t="n">
        <v>515</v>
      </c>
      <c r="T1163" t="n">
        <v>79</v>
      </c>
      <c r="V1163" t="inlineStr">
        <is>
          <t>FR</t>
        </is>
      </c>
    </row>
    <row r="1164">
      <c r="A1164" t="n">
        <v>8130833</v>
      </c>
      <c r="B1164" t="inlineStr">
        <is>
          <t>XO
3-1/2" IF Pin x 3-1/2" REG Pin</t>
        </is>
      </c>
      <c r="C1164" t="n">
        <v>32.49751060968751</v>
      </c>
      <c r="D1164" s="62" t="n">
        <v>4.75</v>
      </c>
      <c r="E1164" t="n">
        <v>405</v>
      </c>
      <c r="T1164" t="n">
        <v>123</v>
      </c>
      <c r="V1164" t="inlineStr">
        <is>
          <t>FR</t>
        </is>
      </c>
    </row>
    <row r="1165">
      <c r="A1165" t="n">
        <v>8130889</v>
      </c>
      <c r="B1165" t="inlineStr">
        <is>
          <t>XO
2-3/8" IF Pin x 2-3/8" REG Box</t>
        </is>
      </c>
      <c r="C1165" t="n">
        <v>15.40900481700938</v>
      </c>
      <c r="D1165" s="62" t="n">
        <v>3.125</v>
      </c>
      <c r="E1165" t="n">
        <v>445</v>
      </c>
      <c r="T1165" t="n">
        <v>21</v>
      </c>
    </row>
    <row r="1166">
      <c r="A1166" t="n">
        <v>5045134</v>
      </c>
      <c r="B1166" t="inlineStr">
        <is>
          <t>Viper Pilot Mill
4 1/2 REG Pin x 3-1/2" REG Box</t>
        </is>
      </c>
      <c r="C1166" t="n">
        <v>0</v>
      </c>
      <c r="D1166" s="62" t="n">
        <v>7.875</v>
      </c>
      <c r="E1166" t="n">
        <v>0</v>
      </c>
      <c r="T1166" t="n">
        <v>23</v>
      </c>
      <c r="V1166" t="inlineStr">
        <is>
          <t>FR</t>
        </is>
      </c>
    </row>
    <row r="1167">
      <c r="A1167" t="n">
        <v>5045135</v>
      </c>
      <c r="B1167" t="inlineStr">
        <is>
          <t>Viper Pilot Mill
4 1/2 REG Pin x 3-1/2" REG Box</t>
        </is>
      </c>
      <c r="C1167" t="n">
        <v>0</v>
      </c>
      <c r="D1167" s="62" t="n">
        <v>7.875</v>
      </c>
      <c r="E1167" t="n">
        <v>0</v>
      </c>
      <c r="T1167" t="n">
        <v>27</v>
      </c>
      <c r="V1167" t="inlineStr">
        <is>
          <t>FR</t>
        </is>
      </c>
    </row>
    <row r="1168">
      <c r="A1168" t="n">
        <v>5045136</v>
      </c>
      <c r="B1168" t="inlineStr">
        <is>
          <t>Viper Pilot Mill
4 1/2 REG Pin x 3-1/2" REG Box</t>
        </is>
      </c>
      <c r="C1168" t="n">
        <v>0</v>
      </c>
      <c r="D1168" s="62" t="n">
        <v>7.875</v>
      </c>
      <c r="E1168" t="n">
        <v>0</v>
      </c>
      <c r="T1168" t="n">
        <v>28</v>
      </c>
      <c r="V1168" t="inlineStr">
        <is>
          <t>FR</t>
        </is>
      </c>
    </row>
    <row r="1169">
      <c r="A1169" t="n">
        <v>5045137</v>
      </c>
      <c r="B1169" t="inlineStr">
        <is>
          <t>Viper Pilot Mill
4-1/2" REG Pin x 3-1/2" REG Box</t>
        </is>
      </c>
      <c r="C1169" t="n">
        <v>154</v>
      </c>
      <c r="D1169" s="62" t="n">
        <v>8.0625</v>
      </c>
      <c r="E1169" t="n">
        <v>1230</v>
      </c>
      <c r="T1169" t="n">
        <v>24</v>
      </c>
      <c r="V1169" t="inlineStr">
        <is>
          <t>FR</t>
        </is>
      </c>
    </row>
    <row r="1170">
      <c r="A1170" t="n">
        <v>5045138</v>
      </c>
      <c r="B1170" t="inlineStr">
        <is>
          <t>Viper Pilot Mill
4-1/2" REG Pin x 3-1/2" REG Box</t>
        </is>
      </c>
      <c r="C1170" t="n">
        <v>0</v>
      </c>
      <c r="D1170" s="62" t="n">
        <v>7.875</v>
      </c>
      <c r="E1170" t="n">
        <v>0</v>
      </c>
      <c r="T1170" t="n">
        <v>29</v>
      </c>
      <c r="V1170" t="inlineStr">
        <is>
          <t>FR</t>
        </is>
      </c>
    </row>
    <row r="1171">
      <c r="A1171" t="n">
        <v>1091000</v>
      </c>
      <c r="D1171" s="62" t="n">
        <v>7.625</v>
      </c>
    </row>
    <row r="1172">
      <c r="A1172" t="n">
        <v>1091001</v>
      </c>
      <c r="B1172" t="inlineStr">
        <is>
          <t>Junk Sub 6-5/8" OD Cup 
4-1/2" REG Pin x Box</t>
        </is>
      </c>
      <c r="C1172" t="n">
        <v>0</v>
      </c>
      <c r="D1172" s="62" t="n">
        <v>6.625</v>
      </c>
      <c r="E1172" t="n">
        <v>1360</v>
      </c>
      <c r="T1172" t="n">
        <v>24</v>
      </c>
    </row>
    <row r="1173">
      <c r="A1173" t="n">
        <v>8021002</v>
      </c>
      <c r="D1173" s="62" t="n"/>
      <c r="V1173" t="inlineStr">
        <is>
          <t>FR</t>
        </is>
      </c>
    </row>
    <row r="1174">
      <c r="A1174" t="n">
        <v>8091003</v>
      </c>
      <c r="B1174" t="inlineStr">
        <is>
          <t>Near Bit Stab
2-3/8" IF Box BB x 2-3/8" REG Box BF</t>
        </is>
      </c>
      <c r="C1174" t="n">
        <v>0</v>
      </c>
      <c r="D1174" s="62" t="n">
        <v>4.5</v>
      </c>
      <c r="E1174" t="n">
        <v>0</v>
      </c>
      <c r="T1174" t="n">
        <v>5</v>
      </c>
      <c r="V1174" t="inlineStr">
        <is>
          <t>CH</t>
        </is>
      </c>
    </row>
    <row r="1175">
      <c r="A1175" t="n">
        <v>8111004</v>
      </c>
      <c r="B1175" t="inlineStr">
        <is>
          <t>String Stab
2-3/8" IF Pin SRG x 2-3/8" REG Box BB</t>
        </is>
      </c>
      <c r="C1175" t="n">
        <v>52</v>
      </c>
      <c r="D1175" s="62" t="n">
        <v>4.75</v>
      </c>
      <c r="E1175" t="n">
        <v>1495</v>
      </c>
      <c r="T1175" t="n">
        <v>9</v>
      </c>
      <c r="V1175" t="inlineStr">
        <is>
          <t>CH</t>
        </is>
      </c>
    </row>
    <row r="1176">
      <c r="A1176" t="n">
        <v>8111005</v>
      </c>
      <c r="B1176" t="inlineStr">
        <is>
          <t>String Stab
2-3/8" IF Pin SRG x 2-3/8" REG Box BB</t>
        </is>
      </c>
      <c r="C1176" t="n">
        <v>52</v>
      </c>
      <c r="D1176" s="62" t="n">
        <v>4.75</v>
      </c>
      <c r="E1176" t="n">
        <v>1495</v>
      </c>
      <c r="T1176" t="n">
        <v>10</v>
      </c>
      <c r="V1176" t="inlineStr">
        <is>
          <t>CH</t>
        </is>
      </c>
    </row>
    <row r="1177">
      <c r="A1177" t="n">
        <v>5101006</v>
      </c>
      <c r="B1177" t="inlineStr">
        <is>
          <t>WO Pipe
5-1/2" FJWP Pin x Box</t>
        </is>
      </c>
      <c r="C1177" t="n">
        <v>241.0401776969062</v>
      </c>
      <c r="D1177" s="62" t="n">
        <v>5.5</v>
      </c>
      <c r="E1177" t="n">
        <v>9410</v>
      </c>
      <c r="T1177" t="n">
        <v>58</v>
      </c>
      <c r="V1177" t="inlineStr">
        <is>
          <t>FR</t>
        </is>
      </c>
    </row>
    <row r="1178">
      <c r="A1178" t="n">
        <v>5101007</v>
      </c>
      <c r="B1178" t="inlineStr">
        <is>
          <t>WO Pipe
5-1/2" FJWP Pin x Box</t>
        </is>
      </c>
      <c r="C1178" t="n">
        <v>243.3455566546875</v>
      </c>
      <c r="D1178" s="62" t="n">
        <v>5.5</v>
      </c>
      <c r="E1178" t="n">
        <v>9500</v>
      </c>
      <c r="T1178" t="n">
        <v>59</v>
      </c>
      <c r="V1178" t="inlineStr">
        <is>
          <t>FR</t>
        </is>
      </c>
    </row>
    <row r="1179">
      <c r="A1179" t="n">
        <v>5101008</v>
      </c>
      <c r="B1179" t="inlineStr">
        <is>
          <t>WO Pipe
5-1/2" FJWP Pin x Box</t>
        </is>
      </c>
      <c r="C1179" t="n">
        <v>234.636347258625</v>
      </c>
      <c r="D1179" s="62" t="n">
        <v>5.5</v>
      </c>
      <c r="E1179" t="n">
        <v>9160</v>
      </c>
      <c r="T1179" t="n">
        <v>60</v>
      </c>
      <c r="V1179" t="inlineStr">
        <is>
          <t>FR</t>
        </is>
      </c>
    </row>
    <row r="1180">
      <c r="A1180" t="n">
        <v>5101009</v>
      </c>
      <c r="B1180" t="inlineStr">
        <is>
          <t>WO Pipe
5-1/2" FJWP Pin x Box</t>
        </is>
      </c>
      <c r="C1180" t="n">
        <v>234.636347258625</v>
      </c>
      <c r="D1180" s="62" t="n">
        <v>5.5</v>
      </c>
      <c r="E1180" t="n">
        <v>9160</v>
      </c>
      <c r="T1180" t="n">
        <v>61</v>
      </c>
      <c r="V1180" t="inlineStr">
        <is>
          <t>FR</t>
        </is>
      </c>
    </row>
    <row r="1181">
      <c r="A1181" t="n">
        <v>5101010</v>
      </c>
      <c r="B1181" t="inlineStr">
        <is>
          <t>WO Pipe
5-1/2" FJWP Pin x Box</t>
        </is>
      </c>
      <c r="C1181" t="n">
        <v>234.636347258625</v>
      </c>
      <c r="D1181" s="62" t="n">
        <v>5.5</v>
      </c>
      <c r="E1181" t="n">
        <v>9160</v>
      </c>
      <c r="T1181" t="n">
        <v>62</v>
      </c>
      <c r="V1181" t="inlineStr">
        <is>
          <t>FR</t>
        </is>
      </c>
    </row>
    <row r="1182">
      <c r="A1182" t="n">
        <v>5101011</v>
      </c>
      <c r="B1182" t="inlineStr">
        <is>
          <t>WO Pipe
5-1/2" FJWP Pin x Box</t>
        </is>
      </c>
      <c r="C1182" t="n">
        <v>234.636347258625</v>
      </c>
      <c r="D1182" s="62" t="n">
        <v>5.5</v>
      </c>
      <c r="E1182" t="n">
        <v>9160</v>
      </c>
      <c r="T1182" t="n">
        <v>63</v>
      </c>
      <c r="V1182" t="inlineStr">
        <is>
          <t>FR</t>
        </is>
      </c>
    </row>
    <row r="1183">
      <c r="A1183" t="n">
        <v>5101012</v>
      </c>
      <c r="B1183" t="inlineStr">
        <is>
          <t>WO Pipe
5-1/2" FJWP Pin x Box</t>
        </is>
      </c>
      <c r="C1183" t="n">
        <v>234.1240408235625</v>
      </c>
      <c r="D1183" s="62" t="n">
        <v>5.5</v>
      </c>
      <c r="E1183" t="n">
        <v>9140</v>
      </c>
      <c r="T1183" t="n">
        <v>65</v>
      </c>
      <c r="V1183" t="inlineStr">
        <is>
          <t>FR</t>
        </is>
      </c>
    </row>
    <row r="1184">
      <c r="A1184" t="n">
        <v>5101013</v>
      </c>
      <c r="B1184" t="inlineStr">
        <is>
          <t>WO Pipe
5-1/2" FJWP Pin x Box</t>
        </is>
      </c>
      <c r="C1184" t="n">
        <v>240.0155648267812</v>
      </c>
      <c r="D1184" s="62" t="n">
        <v>5.5</v>
      </c>
      <c r="E1184" t="n">
        <v>9370</v>
      </c>
      <c r="T1184" t="n">
        <v>66</v>
      </c>
      <c r="V1184" t="inlineStr">
        <is>
          <t>FR</t>
        </is>
      </c>
    </row>
    <row r="1185">
      <c r="A1185" t="n">
        <v>5101014</v>
      </c>
      <c r="B1185" t="inlineStr">
        <is>
          <t>WO Pipe
5-1/2" FJWP Pin x Box</t>
        </is>
      </c>
      <c r="C1185" t="n">
        <v>241.8086373494999</v>
      </c>
      <c r="D1185" s="62" t="n">
        <v>5.5</v>
      </c>
      <c r="E1185" t="n">
        <v>9440</v>
      </c>
      <c r="T1185" t="n">
        <v>67</v>
      </c>
      <c r="V1185" t="inlineStr">
        <is>
          <t>FR</t>
        </is>
      </c>
    </row>
    <row r="1186">
      <c r="A1186" t="n">
        <v>5101015</v>
      </c>
      <c r="B1186" t="inlineStr">
        <is>
          <t>WO Pipe
5-1/2" FJWP Pin x Box</t>
        </is>
      </c>
      <c r="C1186" t="n">
        <v>241.5524841319687</v>
      </c>
      <c r="D1186" s="62" t="n">
        <v>5.5</v>
      </c>
      <c r="E1186" t="n">
        <v>9430</v>
      </c>
      <c r="T1186" t="n">
        <v>68</v>
      </c>
      <c r="V1186" t="inlineStr">
        <is>
          <t>FR</t>
        </is>
      </c>
    </row>
    <row r="1187">
      <c r="A1187" t="n">
        <v>5101016</v>
      </c>
      <c r="B1187" t="inlineStr">
        <is>
          <t>WO Pipe
5-1/2" FJWP Pin x Box</t>
        </is>
      </c>
      <c r="C1187" t="n">
        <v>240.5278712618438</v>
      </c>
      <c r="D1187" s="62" t="n">
        <v>5.5</v>
      </c>
      <c r="E1187" t="n">
        <v>9390</v>
      </c>
      <c r="T1187" t="n">
        <v>69</v>
      </c>
      <c r="V1187" t="inlineStr">
        <is>
          <t>FR</t>
        </is>
      </c>
    </row>
    <row r="1188">
      <c r="A1188" t="n">
        <v>5101017</v>
      </c>
      <c r="B1188" t="inlineStr">
        <is>
          <t>WO Pipe
5-1/2" FJWP Pin x Box</t>
        </is>
      </c>
      <c r="C1188" t="n">
        <v>240.0155648267812</v>
      </c>
      <c r="D1188" s="62" t="n">
        <v>5.5</v>
      </c>
      <c r="E1188" t="n">
        <v>9370</v>
      </c>
      <c r="T1188" t="n">
        <v>70</v>
      </c>
      <c r="V1188" t="inlineStr">
        <is>
          <t>FR</t>
        </is>
      </c>
    </row>
    <row r="1189">
      <c r="A1189" t="n">
        <v>5101018</v>
      </c>
      <c r="B1189" t="inlineStr">
        <is>
          <t>WO Pipe
5-1/2" FJWP Pin x Box</t>
        </is>
      </c>
      <c r="C1189" t="n">
        <v>243.3455566546875</v>
      </c>
      <c r="D1189" s="62" t="n">
        <v>5.5</v>
      </c>
      <c r="E1189" t="n">
        <v>9500</v>
      </c>
      <c r="T1189" t="n">
        <v>71</v>
      </c>
      <c r="V1189" t="inlineStr">
        <is>
          <t>FR</t>
        </is>
      </c>
    </row>
    <row r="1190">
      <c r="A1190" t="n">
        <v>5101019</v>
      </c>
      <c r="B1190" t="inlineStr">
        <is>
          <t>WO Pipe
5-1/2" FJWP Pin x Box</t>
        </is>
      </c>
      <c r="C1190" t="n">
        <v>243.3455566546875</v>
      </c>
      <c r="D1190" s="62" t="n">
        <v>5.5</v>
      </c>
      <c r="E1190" t="n">
        <v>9500</v>
      </c>
      <c r="T1190" t="n">
        <v>72</v>
      </c>
      <c r="V1190" t="inlineStr">
        <is>
          <t>FR</t>
        </is>
      </c>
    </row>
    <row r="1191">
      <c r="A1191" t="n">
        <v>5101020</v>
      </c>
      <c r="B1191" t="inlineStr">
        <is>
          <t>WO Pipe
5-1/2" FJWP Pin x Box</t>
        </is>
      </c>
      <c r="C1191" t="n">
        <v>243.3455566546875</v>
      </c>
      <c r="D1191" s="62" t="n">
        <v>5.5</v>
      </c>
      <c r="E1191" t="n">
        <v>9500</v>
      </c>
      <c r="T1191" t="n">
        <v>73</v>
      </c>
      <c r="V1191" t="inlineStr">
        <is>
          <t>FR</t>
        </is>
      </c>
    </row>
    <row r="1192">
      <c r="A1192" t="n">
        <v>5101021</v>
      </c>
      <c r="B1192" t="inlineStr">
        <is>
          <t>WO Pipe
5-1/2" FJWP Pin x Box</t>
        </is>
      </c>
      <c r="C1192" t="n">
        <v>243.3455566546875</v>
      </c>
      <c r="D1192" s="62" t="n">
        <v>5.5</v>
      </c>
      <c r="E1192" t="n">
        <v>9500</v>
      </c>
      <c r="T1192" t="n">
        <v>74</v>
      </c>
      <c r="V1192" t="inlineStr">
        <is>
          <t>FR</t>
        </is>
      </c>
    </row>
    <row r="1193">
      <c r="A1193" t="n">
        <v>5101022</v>
      </c>
      <c r="B1193" t="inlineStr">
        <is>
          <t>WO Pipe
5-1/2" FJWP Pin x Box</t>
        </is>
      </c>
      <c r="C1193" t="n">
        <v>243.3455566546875</v>
      </c>
      <c r="D1193" s="62" t="n">
        <v>5.5</v>
      </c>
      <c r="E1193" t="n">
        <v>9500</v>
      </c>
      <c r="T1193" t="n">
        <v>75</v>
      </c>
      <c r="V1193" t="inlineStr">
        <is>
          <t>FR</t>
        </is>
      </c>
    </row>
    <row r="1194">
      <c r="A1194" t="n">
        <v>5101023</v>
      </c>
      <c r="B1194" t="inlineStr">
        <is>
          <t>WO Pipe
5-1/2" FJWP Pin x Box</t>
        </is>
      </c>
      <c r="C1194" t="n">
        <v>243.3455566546875</v>
      </c>
      <c r="D1194" s="62" t="n">
        <v>5.5</v>
      </c>
      <c r="E1194" t="n">
        <v>9500</v>
      </c>
      <c r="T1194" t="n">
        <v>76</v>
      </c>
      <c r="V1194" t="inlineStr">
        <is>
          <t>FR</t>
        </is>
      </c>
    </row>
    <row r="1195">
      <c r="A1195" t="n">
        <v>5091024</v>
      </c>
      <c r="B1195" t="inlineStr">
        <is>
          <t>WO Extension Lg 5430 mm
5-1/2" FJWP Pin x Box</t>
        </is>
      </c>
      <c r="C1195" t="n">
        <v>139.0911971194687</v>
      </c>
      <c r="D1195" s="62" t="n">
        <v>5.5</v>
      </c>
      <c r="E1195" t="n">
        <v>5430</v>
      </c>
      <c r="T1195" t="n">
        <v>60</v>
      </c>
      <c r="V1195" t="inlineStr">
        <is>
          <t>FR</t>
        </is>
      </c>
    </row>
    <row r="1196">
      <c r="A1196" t="n">
        <v>5091025</v>
      </c>
      <c r="B1196" t="inlineStr">
        <is>
          <t>WO Extension Lg 5530 mm
5-1/2" FJWP Pin x Box</t>
        </is>
      </c>
      <c r="C1196" t="n">
        <v>141.6527292947812</v>
      </c>
      <c r="D1196" s="62" t="n">
        <v>5.5</v>
      </c>
      <c r="E1196" t="n">
        <v>5530</v>
      </c>
      <c r="T1196" t="n">
        <v>61</v>
      </c>
      <c r="V1196" t="inlineStr">
        <is>
          <t>FR</t>
        </is>
      </c>
    </row>
    <row r="1197">
      <c r="A1197" t="n">
        <v>5091026</v>
      </c>
      <c r="B1197" t="inlineStr">
        <is>
          <t>WO Extension Lg 3000 mm
5-1/2" FJWP Pin x Box</t>
        </is>
      </c>
      <c r="C1197" t="n">
        <v>76.84596525937499</v>
      </c>
      <c r="D1197" s="62" t="n">
        <v>5.5</v>
      </c>
      <c r="E1197" t="n">
        <v>3000</v>
      </c>
      <c r="T1197" t="n">
        <v>52</v>
      </c>
      <c r="V1197" t="inlineStr">
        <is>
          <t>FR</t>
        </is>
      </c>
    </row>
    <row r="1198">
      <c r="A1198" t="n">
        <v>5091027</v>
      </c>
      <c r="B1198" t="inlineStr">
        <is>
          <t>WO Extension Lg 3000 mm
5-1/2" FJWP Pin x Box</t>
        </is>
      </c>
      <c r="C1198" t="n">
        <v>76.84596525937499</v>
      </c>
      <c r="D1198" s="62" t="n">
        <v>5.5</v>
      </c>
      <c r="E1198" t="n">
        <v>3000</v>
      </c>
      <c r="T1198" t="n">
        <v>51</v>
      </c>
      <c r="V1198" t="inlineStr">
        <is>
          <t>FR</t>
        </is>
      </c>
    </row>
    <row r="1199">
      <c r="A1199" t="n">
        <v>5091028</v>
      </c>
      <c r="B1199" t="inlineStr">
        <is>
          <t>WO Extension Lg 4530 mm
5-1/2" FJWP Pin x Box</t>
        </is>
      </c>
      <c r="C1199" t="n">
        <v>116.0374075416562</v>
      </c>
      <c r="D1199" s="62" t="n">
        <v>5.5</v>
      </c>
      <c r="E1199" t="n">
        <v>4530</v>
      </c>
      <c r="T1199" t="n">
        <v>59</v>
      </c>
      <c r="V1199" t="inlineStr">
        <is>
          <t>FR</t>
        </is>
      </c>
    </row>
    <row r="1200">
      <c r="A1200" t="n">
        <v>5111029</v>
      </c>
      <c r="B1200" t="inlineStr">
        <is>
          <t>WO Shoe
4-1/2" FJWP Box</t>
        </is>
      </c>
      <c r="D1200" s="62" t="n"/>
      <c r="V1200" t="inlineStr">
        <is>
          <t>FR</t>
        </is>
      </c>
    </row>
    <row r="1201">
      <c r="A1201" t="n">
        <v>5111030</v>
      </c>
      <c r="B1201" t="inlineStr">
        <is>
          <t>WO Shoe
4-1/2" FJWP Box</t>
        </is>
      </c>
      <c r="D1201" s="62" t="n"/>
      <c r="V1201" t="inlineStr">
        <is>
          <t>FR</t>
        </is>
      </c>
    </row>
    <row r="1202">
      <c r="A1202" t="n">
        <v>5091031</v>
      </c>
      <c r="B1202" t="inlineStr">
        <is>
          <t>WO Extension Lg 4530 mm
5-1/2" FJWP Pin x Box</t>
        </is>
      </c>
      <c r="C1202" t="n">
        <v>116.0374075416562</v>
      </c>
      <c r="D1202" s="62" t="n">
        <v>5.5</v>
      </c>
      <c r="E1202" t="n">
        <v>4530</v>
      </c>
      <c r="T1202" t="n">
        <v>58</v>
      </c>
      <c r="V1202" t="inlineStr">
        <is>
          <t>FR</t>
        </is>
      </c>
    </row>
    <row r="1203">
      <c r="A1203" t="n">
        <v>5121032</v>
      </c>
      <c r="D1203" s="62" t="n"/>
      <c r="V1203" t="inlineStr">
        <is>
          <t>FR</t>
        </is>
      </c>
    </row>
    <row r="1204">
      <c r="A1204" t="n">
        <v>5091033</v>
      </c>
      <c r="C1204" t="n">
        <v>25.615321753125</v>
      </c>
      <c r="D1204" s="62" t="n">
        <v>5.5</v>
      </c>
      <c r="E1204" t="n">
        <v>1000</v>
      </c>
      <c r="T1204" t="n">
        <v>163</v>
      </c>
      <c r="V1204" t="inlineStr">
        <is>
          <t>FR</t>
        </is>
      </c>
    </row>
    <row r="1205">
      <c r="A1205" t="n">
        <v>5091034</v>
      </c>
      <c r="C1205" t="n">
        <v>25.615321753125</v>
      </c>
      <c r="D1205" s="62" t="n">
        <v>5.5</v>
      </c>
      <c r="E1205" t="n">
        <v>1000</v>
      </c>
      <c r="T1205" t="n">
        <v>164</v>
      </c>
      <c r="V1205" t="inlineStr">
        <is>
          <t>FR</t>
        </is>
      </c>
    </row>
    <row r="1206">
      <c r="A1206" t="inlineStr">
        <is>
          <t>5021035
=5025105</t>
        </is>
      </c>
      <c r="D1206" s="62" t="n"/>
      <c r="V1206" t="inlineStr">
        <is>
          <t>FR</t>
        </is>
      </c>
    </row>
    <row r="1207">
      <c r="A1207" t="n">
        <v>7121036</v>
      </c>
      <c r="B1207" t="inlineStr">
        <is>
          <t>Releasing Spear 2-5/16" OD Mandrel CA 1227
2-3/8" REG Box</t>
        </is>
      </c>
      <c r="C1207" t="n">
        <v>10</v>
      </c>
      <c r="D1207" s="62" t="n">
        <v>2.3125</v>
      </c>
      <c r="E1207" t="inlineStr">
        <is>
          <t>CA 1227</t>
        </is>
      </c>
      <c r="T1207" t="n">
        <v>11</v>
      </c>
    </row>
    <row r="1208">
      <c r="A1208" t="n">
        <v>7121037</v>
      </c>
      <c r="B1208" t="inlineStr">
        <is>
          <t>Releasing Spear 3-1/4" OD Mandrel CA 9485
2-3/8" REG Box</t>
        </is>
      </c>
      <c r="C1208" t="n">
        <v>33</v>
      </c>
      <c r="D1208" s="62" t="n">
        <v>3.25</v>
      </c>
      <c r="E1208" t="inlineStr">
        <is>
          <t>CA 9485</t>
        </is>
      </c>
      <c r="T1208" t="n">
        <v>15</v>
      </c>
    </row>
    <row r="1209">
      <c r="A1209" t="n">
        <v>7031038</v>
      </c>
      <c r="B1209" t="inlineStr">
        <is>
          <t>Harpon f/ 9-5/8" &amp; 13-3/8" csg
2-3/8" IF Box</t>
        </is>
      </c>
      <c r="C1209" t="n">
        <v>0</v>
      </c>
      <c r="D1209" s="62" t="inlineStr">
        <is>
          <t>4-1/2" -5"</t>
        </is>
      </c>
      <c r="E1209" t="n">
        <v>0</v>
      </c>
      <c r="T1209" t="n">
        <v>5</v>
      </c>
    </row>
    <row r="1210">
      <c r="A1210" t="n">
        <v>7031039</v>
      </c>
      <c r="B1210" t="inlineStr">
        <is>
          <t>Harpon f/ 9-5/8" 47# csg
2-7/8" IF Box</t>
        </is>
      </c>
      <c r="C1210" t="n">
        <v>0</v>
      </c>
      <c r="D1210" s="62" t="n">
        <v>0</v>
      </c>
      <c r="E1210" t="n">
        <v>2670</v>
      </c>
      <c r="T1210" t="n">
        <v>7</v>
      </c>
    </row>
    <row r="1211">
      <c r="A1211" t="n">
        <v>7031040</v>
      </c>
      <c r="B1211" t="inlineStr">
        <is>
          <t>Harpon f/13-3/8" 68# csg
3-1/2" IF Box</t>
        </is>
      </c>
      <c r="C1211" t="n">
        <v>0</v>
      </c>
      <c r="D1211" s="62" t="n">
        <v>0</v>
      </c>
      <c r="E1211" t="n">
        <v>3050</v>
      </c>
      <c r="T1211" t="n">
        <v>8</v>
      </c>
    </row>
    <row r="1212">
      <c r="A1212" t="n">
        <v>8081041</v>
      </c>
      <c r="B1212" t="inlineStr">
        <is>
          <t>Float Sub 6-3/4" Lg 590 mm
4-1/2" IF Pin x 4-1/2" IF Box BF (4R)</t>
        </is>
      </c>
      <c r="C1212" t="n">
        <v>90.88763654593593</v>
      </c>
      <c r="D1212" s="62" t="n">
        <v>6.75</v>
      </c>
      <c r="E1212" t="n">
        <v>590</v>
      </c>
      <c r="T1212" t="n">
        <v>19</v>
      </c>
      <c r="V1212" t="inlineStr">
        <is>
          <t>FR</t>
        </is>
      </c>
    </row>
    <row r="1213">
      <c r="A1213" t="n">
        <v>8081042</v>
      </c>
      <c r="B1213" t="inlineStr">
        <is>
          <t>Float Sub 6-3/4" Lg 590 mm
4-1/2" IF Pin x 4-1/2" IF Box BF (4R)</t>
        </is>
      </c>
      <c r="C1213" t="n">
        <v>90.88763654593593</v>
      </c>
      <c r="D1213" s="62" t="n">
        <v>6.75</v>
      </c>
      <c r="E1213" t="n">
        <v>590</v>
      </c>
      <c r="T1213" t="n">
        <v>20</v>
      </c>
      <c r="V1213" t="inlineStr">
        <is>
          <t>FR</t>
        </is>
      </c>
    </row>
    <row r="1214">
      <c r="A1214" t="n">
        <v>8131043</v>
      </c>
      <c r="B1214" t="inlineStr">
        <is>
          <t>XO
3-1/2" IF Pin x 3-1/2" IF Pin</t>
        </is>
      </c>
      <c r="C1214" t="n">
        <v>25.775803287</v>
      </c>
      <c r="D1214" s="62" t="n">
        <v>4.75</v>
      </c>
      <c r="E1214" t="n">
        <v>400</v>
      </c>
      <c r="T1214" t="n">
        <v>115</v>
      </c>
      <c r="V1214" t="inlineStr">
        <is>
          <t>FR</t>
        </is>
      </c>
    </row>
    <row r="1215">
      <c r="A1215" t="n">
        <v>8131044</v>
      </c>
      <c r="B1215" t="inlineStr">
        <is>
          <t>XO
4-1/2" IF Pin x 4-1/2" IF Pin</t>
        </is>
      </c>
      <c r="C1215" t="n">
        <v>61.04393499353905</v>
      </c>
      <c r="D1215" s="62" t="n">
        <v>6.5</v>
      </c>
      <c r="E1215" t="n">
        <v>450</v>
      </c>
      <c r="T1215" t="n">
        <v>170</v>
      </c>
      <c r="V1215" t="inlineStr">
        <is>
          <t>FR</t>
        </is>
      </c>
    </row>
    <row r="1216">
      <c r="A1216" t="n">
        <v>8011045</v>
      </c>
      <c r="B1216" t="inlineStr">
        <is>
          <t>Bull Nose 3-3/4" OD
2-3/8" REG Pin</t>
        </is>
      </c>
      <c r="C1216" t="n">
        <v>14.19027101456251</v>
      </c>
      <c r="D1216" s="62" t="n">
        <v>3.75</v>
      </c>
      <c r="E1216" t="n">
        <v>275</v>
      </c>
      <c r="T1216" t="n">
        <v>6</v>
      </c>
      <c r="V1216" t="inlineStr">
        <is>
          <t>FR</t>
        </is>
      </c>
    </row>
    <row r="1217">
      <c r="A1217" t="n">
        <v>5041046</v>
      </c>
      <c r="B1217" t="e">
        <v>#N/A</v>
      </c>
      <c r="C1217" t="e">
        <v>#N/A</v>
      </c>
      <c r="D1217" s="62" t="e">
        <v>#N/A</v>
      </c>
      <c r="E1217" t="e">
        <v>#N/A</v>
      </c>
      <c r="T1217" t="e">
        <v>#N/A</v>
      </c>
      <c r="V1217" t="inlineStr">
        <is>
          <t>FR</t>
        </is>
      </c>
    </row>
    <row r="1218">
      <c r="A1218" t="n">
        <v>8021047</v>
      </c>
      <c r="B1218" t="inlineStr">
        <is>
          <t>Bit Sub
4-1/2" IF Box x 4-1/2" REG Box BF</t>
        </is>
      </c>
      <c r="C1218" t="n">
        <v>103.992033951</v>
      </c>
      <c r="D1218" s="62" t="n">
        <v>6.75</v>
      </c>
      <c r="E1218" t="n">
        <v>650</v>
      </c>
      <c r="T1218" t="n">
        <v>51</v>
      </c>
      <c r="V1218" t="inlineStr">
        <is>
          <t>FR</t>
        </is>
      </c>
    </row>
    <row r="1219">
      <c r="A1219" t="n">
        <v>8021048</v>
      </c>
      <c r="B1219" t="inlineStr">
        <is>
          <t>Bit Sub
4" IF Box x 4-1/2" IF Box</t>
        </is>
      </c>
      <c r="C1219" t="n">
        <v>95.48651265562499</v>
      </c>
      <c r="D1219" s="62" t="n">
        <v>6.5</v>
      </c>
      <c r="E1219" t="n">
        <v>650</v>
      </c>
      <c r="T1219" t="n">
        <v>41</v>
      </c>
      <c r="V1219" t="inlineStr">
        <is>
          <t>FR</t>
        </is>
      </c>
    </row>
    <row r="1220">
      <c r="A1220" t="n">
        <v>8021049</v>
      </c>
      <c r="B1220" t="inlineStr">
        <is>
          <t>Bit Sub
5-1/2" FH Box x 6-5/8" REG Box</t>
        </is>
      </c>
      <c r="C1220" t="n">
        <v>144</v>
      </c>
      <c r="D1220" s="62" t="n">
        <v>8</v>
      </c>
      <c r="E1220" t="n">
        <v>800</v>
      </c>
      <c r="T1220" t="n">
        <v>56</v>
      </c>
      <c r="V1220" t="inlineStr">
        <is>
          <t>FR</t>
        </is>
      </c>
    </row>
    <row r="1221">
      <c r="A1221" t="n">
        <v>7041050</v>
      </c>
      <c r="D1221" s="62" t="n"/>
    </row>
    <row r="1222">
      <c r="A1222" t="n">
        <v>7041051</v>
      </c>
      <c r="B1222" t="inlineStr">
        <is>
          <t>4-1/8" FS Overshot - CA 9105
4-1/8" FS</t>
        </is>
      </c>
      <c r="C1222" t="n">
        <v>0</v>
      </c>
      <c r="D1222" s="62" t="inlineStr">
        <is>
          <t>4-1/8" FS</t>
        </is>
      </c>
      <c r="E1222" t="n">
        <v>0</v>
      </c>
      <c r="T1222" t="n">
        <v>18</v>
      </c>
    </row>
    <row r="1223">
      <c r="A1223" t="n">
        <v>2010311</v>
      </c>
      <c r="B1223" t="inlineStr">
        <is>
          <t>Hydraulic External Cutter 8" OD body 
7-5/8" FJWP Box</t>
        </is>
      </c>
      <c r="C1223" t="n">
        <v>127</v>
      </c>
      <c r="D1223" s="62" t="n">
        <v>8</v>
      </c>
      <c r="E1223" t="n">
        <v>1190</v>
      </c>
      <c r="T1223" t="n">
        <v>11</v>
      </c>
    </row>
    <row r="1224">
      <c r="A1224" t="n">
        <v>8131053</v>
      </c>
      <c r="B1224" t="inlineStr">
        <is>
          <t>XO
3-1/2" IF Pin x 3-1/2" PH6 Box</t>
        </is>
      </c>
      <c r="C1224" t="n">
        <v>34.926213453885</v>
      </c>
      <c r="D1224" s="62" t="n">
        <v>4.75</v>
      </c>
      <c r="E1224" t="n">
        <v>542</v>
      </c>
      <c r="T1224" t="n">
        <v>112</v>
      </c>
      <c r="V1224" t="inlineStr">
        <is>
          <t>FR</t>
        </is>
      </c>
    </row>
    <row r="1225">
      <c r="A1225" t="n">
        <v>7051054</v>
      </c>
      <c r="D1225" s="62" t="n"/>
      <c r="V1225" t="inlineStr">
        <is>
          <t>FR</t>
        </is>
      </c>
    </row>
    <row r="1226">
      <c r="A1226" t="inlineStr">
        <is>
          <t>6081055M</t>
        </is>
      </c>
      <c r="B1226" t="inlineStr">
        <is>
          <t>NMDC 4-3/4" for MWD
3-1/2" IF Pin x Box</t>
        </is>
      </c>
      <c r="C1226" t="n">
        <v>545.3748895907813</v>
      </c>
      <c r="D1226" s="62" t="n">
        <v>4.75</v>
      </c>
      <c r="E1226" t="n">
        <v>9000</v>
      </c>
      <c r="T1226" t="n">
        <v>12</v>
      </c>
      <c r="V1226" t="inlineStr">
        <is>
          <t>US</t>
        </is>
      </c>
    </row>
    <row r="1227">
      <c r="A1227" t="inlineStr">
        <is>
          <t>6081056M</t>
        </is>
      </c>
      <c r="B1227" t="inlineStr">
        <is>
          <t>NMDC 4-3/4" for MWD
3-1/2" IF Pin x Box</t>
        </is>
      </c>
      <c r="C1227" t="n">
        <v>545.3748895907813</v>
      </c>
      <c r="D1227" s="62" t="n">
        <v>4.75</v>
      </c>
      <c r="E1227" t="n">
        <v>9000</v>
      </c>
      <c r="T1227" t="n">
        <v>13</v>
      </c>
      <c r="V1227" t="inlineStr">
        <is>
          <t>US</t>
        </is>
      </c>
    </row>
    <row r="1228">
      <c r="A1228" t="inlineStr">
        <is>
          <t>6081057M</t>
        </is>
      </c>
      <c r="B1228" t="inlineStr">
        <is>
          <t>NMDC 6-1/2" for MWD
4-1/2" IF Pin x Box</t>
        </is>
      </c>
      <c r="C1228" t="n">
        <v>1126.5803678025</v>
      </c>
      <c r="D1228" s="62" t="n">
        <v>6.5</v>
      </c>
      <c r="E1228" t="n">
        <v>9000</v>
      </c>
      <c r="T1228" t="n">
        <v>20</v>
      </c>
      <c r="V1228" t="inlineStr">
        <is>
          <t>US</t>
        </is>
      </c>
    </row>
    <row r="1229">
      <c r="A1229" t="inlineStr">
        <is>
          <t>6081058M</t>
        </is>
      </c>
      <c r="B1229" t="inlineStr">
        <is>
          <t>NMDC 6-1/2" for MWD
4-1/2" IF Pin x Box</t>
        </is>
      </c>
      <c r="C1229" t="n">
        <v>1126.5803678025</v>
      </c>
      <c r="D1229" s="62" t="n">
        <v>6.5</v>
      </c>
      <c r="E1229" t="n">
        <v>9000</v>
      </c>
      <c r="T1229" t="n">
        <v>21</v>
      </c>
      <c r="V1229" t="inlineStr">
        <is>
          <t>US</t>
        </is>
      </c>
    </row>
    <row r="1230">
      <c r="A1230" t="inlineStr">
        <is>
          <t>6081059M</t>
        </is>
      </c>
      <c r="B1230" t="inlineStr">
        <is>
          <t>NMDC 6-1/2" for MWD
4-1/2" IF Pin x Box</t>
        </is>
      </c>
      <c r="C1230" t="n">
        <v>1126.5803678025</v>
      </c>
      <c r="D1230" s="62" t="n">
        <v>6.5</v>
      </c>
      <c r="E1230" t="n">
        <v>9000</v>
      </c>
      <c r="T1230" t="n">
        <v>22</v>
      </c>
      <c r="V1230" t="inlineStr">
        <is>
          <t>US</t>
        </is>
      </c>
    </row>
    <row r="1231">
      <c r="A1231" t="n">
        <v>3428</v>
      </c>
      <c r="B1231" t="inlineStr">
        <is>
          <t xml:space="preserve">3-1/8" PDM - 5/6 lobes - 5 stages
2-3/8" REG Box x Box
Rotor : 
Stator : 
Bent : </t>
        </is>
      </c>
      <c r="C1231" t="n">
        <v>120</v>
      </c>
      <c r="D1231" s="62" t="n">
        <v>3.125</v>
      </c>
      <c r="E1231" t="n">
        <v>4370</v>
      </c>
      <c r="T1231" t="n">
        <v>36</v>
      </c>
    </row>
    <row r="1232">
      <c r="A1232" t="n">
        <v>3427</v>
      </c>
      <c r="B1232" t="inlineStr">
        <is>
          <t xml:space="preserve">3-1/8" PDM - 5/6 lobes - 5 stages
2-3/8" REG Box x Box
Rotor : 
Stator : 
Bent : </t>
        </is>
      </c>
      <c r="C1232" t="n">
        <v>120</v>
      </c>
      <c r="D1232" s="62" t="n">
        <v>3.125</v>
      </c>
      <c r="E1232" t="n">
        <v>4370</v>
      </c>
      <c r="T1232" t="n">
        <v>37</v>
      </c>
    </row>
    <row r="1233">
      <c r="A1233" t="n">
        <v>3443</v>
      </c>
      <c r="B1233" t="inlineStr">
        <is>
          <t xml:space="preserve">8-1/2" PDM  - lobes - stages
6-5/8" REG Box x Box
Rotor : 
Stator : 
Bent : </t>
        </is>
      </c>
      <c r="C1233" t="n">
        <v>2200</v>
      </c>
      <c r="D1233" s="62" t="n">
        <v>8.5</v>
      </c>
      <c r="E1233" t="n">
        <v>9500</v>
      </c>
      <c r="T1233" t="n">
        <v>19</v>
      </c>
    </row>
    <row r="1234">
      <c r="A1234" t="n">
        <v>4050339</v>
      </c>
      <c r="B1234" t="inlineStr">
        <is>
          <t>Safety Joint 4-3/4" OD 
3-1/2" IF Pin down x Box up</t>
        </is>
      </c>
      <c r="C1234" t="n">
        <v>21</v>
      </c>
      <c r="D1234" s="62" t="n">
        <v>4.75</v>
      </c>
    </row>
    <row r="1235">
      <c r="A1235" t="n">
        <v>8131060</v>
      </c>
      <c r="B1235" t="inlineStr">
        <is>
          <t>XO
3-1/2" IF Pin x 3-1/2" EU Box</t>
        </is>
      </c>
      <c r="C1235" t="n">
        <v>0</v>
      </c>
      <c r="D1235" s="62" t="n">
        <v>0</v>
      </c>
      <c r="E1235" t="n">
        <v>0</v>
      </c>
      <c r="T1235" t="n">
        <v>113</v>
      </c>
      <c r="V1235" t="inlineStr">
        <is>
          <t>FR</t>
        </is>
      </c>
    </row>
    <row r="1236">
      <c r="A1236" t="n">
        <v>8021061</v>
      </c>
      <c r="B1236" t="inlineStr">
        <is>
          <t>Bit Sub
3-1/2" IF Box x 3-1/2" REG Box BF</t>
        </is>
      </c>
      <c r="C1236" t="n">
        <v>33.5282958465</v>
      </c>
      <c r="D1236" s="62" t="n">
        <v>4.75</v>
      </c>
      <c r="E1236" t="n">
        <v>485</v>
      </c>
      <c r="T1236" t="n">
        <v>38</v>
      </c>
      <c r="V1236" t="inlineStr">
        <is>
          <t>FR</t>
        </is>
      </c>
    </row>
    <row r="1237">
      <c r="A1237" t="n">
        <v>5011062</v>
      </c>
      <c r="B1237" t="inlineStr">
        <is>
          <t>Ditch Magnet 36"</t>
        </is>
      </c>
      <c r="C1237" t="n">
        <v>46</v>
      </c>
      <c r="D1237" s="62" t="n">
        <v>36</v>
      </c>
      <c r="E1237" t="n">
        <v>36</v>
      </c>
      <c r="T1237" t="n">
        <v>5</v>
      </c>
    </row>
    <row r="1238">
      <c r="A1238" t="n">
        <v>5011063</v>
      </c>
      <c r="B1238" t="inlineStr">
        <is>
          <t>Ditch Magnet 36"</t>
        </is>
      </c>
      <c r="C1238" t="n">
        <v>46</v>
      </c>
      <c r="D1238" s="62" t="n">
        <v>36</v>
      </c>
      <c r="E1238" t="n">
        <v>36</v>
      </c>
      <c r="T1238" t="n">
        <v>6</v>
      </c>
    </row>
    <row r="1239">
      <c r="A1239" t="n">
        <v>7101064</v>
      </c>
      <c r="B1239" t="inlineStr">
        <is>
          <t>Slick Bore Packer Retriever Tool PRS 325 388 - SN
3-1/8" PRT Box</t>
        </is>
      </c>
      <c r="C1239" t="n">
        <v>0</v>
      </c>
      <c r="D1239" s="62" t="inlineStr">
        <is>
          <t>PRS325388</t>
        </is>
      </c>
      <c r="E1239" t="n">
        <v>0</v>
      </c>
      <c r="T1239" t="n">
        <v>10</v>
      </c>
    </row>
    <row r="1240">
      <c r="A1240" t="n">
        <v>7121065</v>
      </c>
      <c r="B1240" t="inlineStr">
        <is>
          <t>Releasing Spear 4-1/32" OD Mandrel CA 9680
2-7/8" IF Box</t>
        </is>
      </c>
      <c r="C1240" t="n">
        <v>46</v>
      </c>
      <c r="D1240" s="62" t="n">
        <v>4.03125</v>
      </c>
      <c r="E1240" t="inlineStr">
        <is>
          <t>CA 9680</t>
        </is>
      </c>
      <c r="T1240" t="n">
        <v>20</v>
      </c>
    </row>
    <row r="1241">
      <c r="A1241" t="n">
        <v>7031066</v>
      </c>
      <c r="B1241" t="inlineStr">
        <is>
          <t>Harpon f/ 9-5/8" &amp; 13-3/8" csg
2-3/8" IF Box</t>
        </is>
      </c>
      <c r="C1241" t="n">
        <v>50</v>
      </c>
      <c r="D1241" s="62" t="n">
        <v>5.5</v>
      </c>
      <c r="E1241" t="n">
        <v>3380</v>
      </c>
      <c r="T1241" t="n">
        <v>6</v>
      </c>
    </row>
    <row r="1242">
      <c r="A1242" t="n">
        <v>8131067</v>
      </c>
      <c r="B1242" t="inlineStr">
        <is>
          <t>XO
2-3/8" IF Pin x 2-3/8" REG Box</t>
        </is>
      </c>
      <c r="C1242" t="n">
        <v>19.6429397463</v>
      </c>
      <c r="D1242" s="62" t="n">
        <v>3.25</v>
      </c>
      <c r="E1242" t="n">
        <v>520</v>
      </c>
      <c r="T1242" t="n">
        <v>23</v>
      </c>
      <c r="V1242" t="inlineStr">
        <is>
          <t>FR</t>
        </is>
      </c>
    </row>
    <row r="1243">
      <c r="A1243" t="n">
        <v>8061066</v>
      </c>
      <c r="B1243" t="inlineStr">
        <is>
          <t>Drill Collar 4-3/4" OD spiralé
3-1/2" IF Pin x Box</t>
        </is>
      </c>
      <c r="C1243" t="n">
        <v>569.9162195402813</v>
      </c>
      <c r="D1243" s="62" t="n">
        <v>4.75</v>
      </c>
      <c r="E1243" t="n">
        <v>8680</v>
      </c>
      <c r="T1243" t="n">
        <v>35</v>
      </c>
    </row>
    <row r="1244">
      <c r="A1244" t="n">
        <v>8061067</v>
      </c>
      <c r="B1244" t="inlineStr">
        <is>
          <t>Drill Collar 4-3/4" OD spiralé
3-1/2" IF Pin x Box</t>
        </is>
      </c>
      <c r="C1244" t="n">
        <v>598.4356398198751</v>
      </c>
      <c r="D1244" s="62" t="n">
        <v>4.75</v>
      </c>
      <c r="E1244" t="n">
        <v>8800</v>
      </c>
      <c r="T1244" t="n">
        <v>36</v>
      </c>
    </row>
    <row r="1245">
      <c r="A1245" t="n">
        <v>8131068</v>
      </c>
      <c r="B1245" t="inlineStr">
        <is>
          <t>XO
6-5/8" REG Pin x 4-1/2" IF Box</t>
        </is>
      </c>
      <c r="C1245" t="n">
        <v>73.96424156214843</v>
      </c>
      <c r="D1245" s="62" t="n">
        <v>8.0625</v>
      </c>
      <c r="E1245" t="n">
        <v>330</v>
      </c>
      <c r="T1245" t="n">
        <v>207</v>
      </c>
    </row>
    <row r="1246">
      <c r="A1246" t="n">
        <v>5121069</v>
      </c>
      <c r="B1246" t="inlineStr">
        <is>
          <t>WO Top Sub
4-1/2" IF Box x 8-5/8" FJWP Pin x 4-1/2" REG Box in</t>
        </is>
      </c>
      <c r="C1246" t="n">
        <v>108</v>
      </c>
      <c r="D1246" s="62" t="n">
        <v>8.625</v>
      </c>
      <c r="E1246" t="n">
        <v>640</v>
      </c>
      <c r="T1246" t="n">
        <v>44</v>
      </c>
      <c r="V1246" t="inlineStr">
        <is>
          <t>FR</t>
        </is>
      </c>
    </row>
    <row r="1247">
      <c r="A1247" t="n">
        <v>5121070</v>
      </c>
      <c r="B1247" t="inlineStr">
        <is>
          <t>WO Top Sub
4-1/2" IF Box x 10-3/4" FJWP Pin x 6-5/8" REG Box in</t>
        </is>
      </c>
      <c r="C1247" t="n">
        <v>194</v>
      </c>
      <c r="D1247" s="62" t="n">
        <v>10.75</v>
      </c>
      <c r="E1247" t="n">
        <v>710</v>
      </c>
      <c r="T1247" t="n">
        <v>45</v>
      </c>
    </row>
    <row r="1248">
      <c r="A1248" t="n">
        <v>4051071</v>
      </c>
      <c r="B1248" t="inlineStr">
        <is>
          <t>Safety Joint 3-3/8" OD 
2-3/8" IF Pin down x Box up</t>
        </is>
      </c>
      <c r="C1248" t="n">
        <v>27</v>
      </c>
      <c r="D1248" s="62" t="n">
        <v>3.375</v>
      </c>
      <c r="E1248" t="n">
        <v>0</v>
      </c>
      <c r="T1248" t="n">
        <v>6</v>
      </c>
    </row>
    <row r="1249">
      <c r="A1249" t="n">
        <v>4051072</v>
      </c>
      <c r="B1249" t="inlineStr">
        <is>
          <t>Safety Joint 4-3/4" OD 
3-1/2" IF Pin down x Box up</t>
        </is>
      </c>
      <c r="C1249" t="n">
        <v>44</v>
      </c>
      <c r="D1249" s="62" t="n">
        <v>4.75</v>
      </c>
      <c r="E1249" t="n">
        <v>765</v>
      </c>
      <c r="T1249" t="n">
        <v>9</v>
      </c>
    </row>
    <row r="1250">
      <c r="A1250" t="n">
        <v>4051073</v>
      </c>
      <c r="B1250" t="inlineStr">
        <is>
          <t>Safety Joint 6 1/8" OD 
4-1/2" IF Pin down x Box up</t>
        </is>
      </c>
      <c r="C1250" t="n">
        <v>110</v>
      </c>
      <c r="D1250" s="62" t="n">
        <v>6.125</v>
      </c>
      <c r="E1250" t="n">
        <v>1220</v>
      </c>
      <c r="T1250" t="n">
        <v>16</v>
      </c>
    </row>
    <row r="1251">
      <c r="A1251" t="n">
        <v>4051074</v>
      </c>
      <c r="B1251" t="inlineStr">
        <is>
          <t>Safety Joint 3-3/8" OD 
2-3/8" IF Pin down x Box up</t>
        </is>
      </c>
      <c r="C1251" t="n">
        <v>27</v>
      </c>
      <c r="D1251" s="62" t="n">
        <v>3.375</v>
      </c>
      <c r="E1251" t="n">
        <v>0</v>
      </c>
      <c r="T1251" t="n">
        <v>7</v>
      </c>
    </row>
    <row r="1252">
      <c r="A1252" t="n">
        <v>4051075</v>
      </c>
      <c r="B1252" t="inlineStr">
        <is>
          <t>Safety Joint 4-3/4" OD 
3-1/2" IF Pin down x Box up</t>
        </is>
      </c>
      <c r="C1252" t="n">
        <v>44</v>
      </c>
      <c r="D1252" s="62" t="n">
        <v>4.75</v>
      </c>
      <c r="E1252" t="n">
        <v>765</v>
      </c>
      <c r="T1252" t="n">
        <v>10</v>
      </c>
    </row>
    <row r="1253">
      <c r="A1253" t="n">
        <v>5111076</v>
      </c>
      <c r="B1253" t="inlineStr">
        <is>
          <t>WO Shoe
4-1/2" FJWP Box</t>
        </is>
      </c>
      <c r="D1253" s="62" t="n"/>
      <c r="V1253" t="inlineStr">
        <is>
          <t>FR</t>
        </is>
      </c>
    </row>
    <row r="1254">
      <c r="A1254" t="n">
        <v>5111077</v>
      </c>
      <c r="B1254" t="inlineStr">
        <is>
          <t>WO Shoe
4-1/2" FJWP Box</t>
        </is>
      </c>
      <c r="D1254" s="62" t="n"/>
      <c r="V1254" t="inlineStr">
        <is>
          <t>FR</t>
        </is>
      </c>
    </row>
    <row r="1255">
      <c r="A1255" t="n">
        <v>5111078</v>
      </c>
      <c r="B1255" t="inlineStr">
        <is>
          <t>WO Shoe
5-1/2" FJWP Box</t>
        </is>
      </c>
      <c r="C1255" t="n">
        <v>17</v>
      </c>
      <c r="D1255" s="62" t="n">
        <v>5.875</v>
      </c>
      <c r="E1255" t="n">
        <v>560</v>
      </c>
      <c r="T1255" t="n">
        <v>108</v>
      </c>
      <c r="V1255" t="inlineStr">
        <is>
          <t>FR</t>
        </is>
      </c>
    </row>
    <row r="1256">
      <c r="A1256" t="n">
        <v>5111079</v>
      </c>
      <c r="B1256" t="inlineStr">
        <is>
          <t>WO Shoe
5-1/2" FJWP Box</t>
        </is>
      </c>
      <c r="C1256" t="n">
        <v>17</v>
      </c>
      <c r="D1256" s="62" t="n">
        <v>6.125</v>
      </c>
      <c r="E1256" t="n">
        <v>0</v>
      </c>
      <c r="T1256" t="n">
        <v>109</v>
      </c>
      <c r="V1256" t="inlineStr">
        <is>
          <t>FR</t>
        </is>
      </c>
    </row>
    <row r="1257">
      <c r="A1257" t="n">
        <v>5111080</v>
      </c>
      <c r="B1257" t="inlineStr">
        <is>
          <t>WO Shoe
5-1/2" FJWP Box</t>
        </is>
      </c>
      <c r="C1257" t="n">
        <v>17</v>
      </c>
      <c r="D1257" s="62" t="n">
        <v>6.125</v>
      </c>
      <c r="E1257" t="n">
        <v>610</v>
      </c>
      <c r="T1257" t="n">
        <v>110</v>
      </c>
      <c r="V1257" t="inlineStr">
        <is>
          <t>FR</t>
        </is>
      </c>
    </row>
    <row r="1258">
      <c r="A1258" t="n">
        <v>5111081</v>
      </c>
      <c r="B1258" t="inlineStr">
        <is>
          <t>WO Shoe
5-1/2" FJWP Box</t>
        </is>
      </c>
      <c r="C1258" t="n">
        <v>17</v>
      </c>
      <c r="D1258" s="62" t="n">
        <v>6.125</v>
      </c>
      <c r="E1258" t="n">
        <v>550</v>
      </c>
      <c r="T1258" t="n">
        <v>111</v>
      </c>
      <c r="V1258" t="inlineStr">
        <is>
          <t>FR</t>
        </is>
      </c>
    </row>
    <row r="1259">
      <c r="A1259" t="n">
        <v>4021084</v>
      </c>
      <c r="B1259" t="inlineStr">
        <is>
          <t xml:space="preserve">Bumper Sub 3-5/32" OD
2-3/8" REG Pin down x Box up </t>
        </is>
      </c>
      <c r="C1259" t="n">
        <v>42</v>
      </c>
      <c r="D1259" s="62" t="n">
        <v>3.15625</v>
      </c>
      <c r="E1259" t="n">
        <v>1370</v>
      </c>
      <c r="T1259" t="n">
        <v>7</v>
      </c>
    </row>
    <row r="1260">
      <c r="A1260" t="n">
        <v>4031085</v>
      </c>
      <c r="B1260" t="inlineStr">
        <is>
          <t>Jar Z 3-1/8" 
2-3/8" REG Pin down x Box up</t>
        </is>
      </c>
      <c r="C1260" t="n">
        <v>60</v>
      </c>
      <c r="D1260" s="62" t="n">
        <v>3.125</v>
      </c>
      <c r="E1260" t="n">
        <v>1900</v>
      </c>
      <c r="T1260" t="n">
        <v>7</v>
      </c>
    </row>
    <row r="1261">
      <c r="A1261" t="n">
        <v>8131086</v>
      </c>
      <c r="B1261" t="inlineStr">
        <is>
          <t>XO
2-3/8" IF Pin x 3-1/2" IF Box</t>
        </is>
      </c>
      <c r="C1261" t="n">
        <v>0</v>
      </c>
      <c r="D1261" s="62" t="n">
        <v>4.75</v>
      </c>
      <c r="E1261" t="n">
        <v>635</v>
      </c>
      <c r="T1261" t="n">
        <v>36</v>
      </c>
      <c r="V1261" t="inlineStr">
        <is>
          <t>FR</t>
        </is>
      </c>
    </row>
    <row r="1262">
      <c r="A1262" t="n">
        <v>8021087</v>
      </c>
      <c r="B1262" t="inlineStr">
        <is>
          <t>Bit Sub
2-3/8" IF Box x 2-3/8" REG Box BF</t>
        </is>
      </c>
      <c r="C1262" t="n">
        <v>26.997931891125</v>
      </c>
      <c r="D1262" s="62" t="n">
        <v>3.375</v>
      </c>
      <c r="E1262" t="n">
        <v>600</v>
      </c>
      <c r="T1262" t="n">
        <v>10</v>
      </c>
      <c r="V1262" t="inlineStr">
        <is>
          <t>FR</t>
        </is>
      </c>
    </row>
    <row r="1263">
      <c r="A1263" t="n">
        <v>6041086</v>
      </c>
      <c r="B1263" t="inlineStr">
        <is>
          <t>UBHO 9-3/8" OD
7-5/8" REG Pin x Box</t>
        </is>
      </c>
      <c r="C1263" t="n">
        <v>270</v>
      </c>
      <c r="D1263" s="62" t="n">
        <v>9.375</v>
      </c>
      <c r="E1263" t="n">
        <v>890</v>
      </c>
      <c r="T1263" t="n">
        <v>35</v>
      </c>
      <c r="V1263" t="inlineStr">
        <is>
          <t>FR</t>
        </is>
      </c>
    </row>
    <row r="1264">
      <c r="A1264" t="n">
        <v>8081087</v>
      </c>
      <c r="B1264" t="inlineStr">
        <is>
          <t>Float Sub 9-3/8" Lg 1065 mm
7-5/8" REG Pin x 6-5/8" REG Box BF (5F-6R)</t>
        </is>
      </c>
      <c r="C1264" t="n">
        <v>331.8995756652469</v>
      </c>
      <c r="D1264" s="62" t="n">
        <v>9.375</v>
      </c>
      <c r="E1264" t="n">
        <v>1065</v>
      </c>
      <c r="T1264" t="n">
        <v>40</v>
      </c>
      <c r="V1264" t="inlineStr">
        <is>
          <t>FR</t>
        </is>
      </c>
    </row>
    <row r="1265">
      <c r="A1265" t="n">
        <v>8081088</v>
      </c>
      <c r="B1265" t="inlineStr">
        <is>
          <t>Float Sub 9-3/8" Lg 1065 mm
7-5/8" REG Pin x 6-5/8" REG Box BF (5F-6R)</t>
        </is>
      </c>
      <c r="C1265" t="n">
        <v>331.8995756652469</v>
      </c>
      <c r="D1265" s="62" t="n">
        <v>9.375</v>
      </c>
      <c r="E1265" t="n">
        <v>1065</v>
      </c>
      <c r="T1265" t="n">
        <v>42</v>
      </c>
      <c r="V1265" t="inlineStr">
        <is>
          <t>FR</t>
        </is>
      </c>
    </row>
    <row r="1266">
      <c r="A1266" t="n">
        <v>7121089</v>
      </c>
      <c r="B1266" t="inlineStr">
        <is>
          <t>Releasing Spear 1-7/8" OD Mandrel CA 1344
2-3/8" REG Box</t>
        </is>
      </c>
      <c r="C1266" t="n">
        <v>0</v>
      </c>
      <c r="D1266" s="62" t="n">
        <v>1.875</v>
      </c>
      <c r="E1266" t="inlineStr">
        <is>
          <t>CA 1344</t>
        </is>
      </c>
      <c r="T1266" t="n">
        <v>6</v>
      </c>
      <c r="V1266" t="inlineStr">
        <is>
          <t>CA</t>
        </is>
      </c>
    </row>
    <row r="1267">
      <c r="A1267" t="n">
        <v>110</v>
      </c>
      <c r="B1267" t="inlineStr">
        <is>
          <t>Drilling Jar Hydro Méca 8-1/8" OD
6-5/8" REG Pin down x Box up</t>
        </is>
      </c>
      <c r="C1267" t="n">
        <v>1086</v>
      </c>
      <c r="D1267" s="62" t="n">
        <v>8</v>
      </c>
      <c r="E1267" t="n">
        <v>5530</v>
      </c>
      <c r="T1267" t="n">
        <v>26</v>
      </c>
    </row>
    <row r="1268">
      <c r="A1268" t="n">
        <v>1031090</v>
      </c>
      <c r="B1268" t="inlineStr">
        <is>
          <t>Casing Scraper 7-7/8" OD Body
4-1/2" REG Pin x 4-1/2" REG Box</t>
        </is>
      </c>
      <c r="C1268" t="n">
        <v>0</v>
      </c>
      <c r="D1268" s="62" t="n">
        <v>7.875</v>
      </c>
      <c r="E1268" t="n">
        <v>0</v>
      </c>
      <c r="T1268" t="n">
        <v>18</v>
      </c>
      <c r="V1268" t="inlineStr">
        <is>
          <t>FR</t>
        </is>
      </c>
    </row>
    <row r="1269">
      <c r="A1269" t="inlineStr">
        <is>
          <t>6081091M</t>
        </is>
      </c>
      <c r="B1269" t="inlineStr">
        <is>
          <t>NMDC 6-1/2" for MWD
4-1/2" IF Pin x Box</t>
        </is>
      </c>
      <c r="C1269" t="n">
        <v>1091.5312008042</v>
      </c>
      <c r="D1269" s="62" t="n">
        <v>6.5</v>
      </c>
      <c r="E1269" t="n">
        <v>8720</v>
      </c>
      <c r="T1269" t="n">
        <v>23</v>
      </c>
    </row>
    <row r="1270">
      <c r="A1270" t="inlineStr">
        <is>
          <t>6081092M</t>
        </is>
      </c>
      <c r="B1270" t="inlineStr">
        <is>
          <t>NMDC 9-1/4" for MWD
7-5/8" REG Pin x Box</t>
        </is>
      </c>
      <c r="C1270" t="n">
        <v>2397.149705691</v>
      </c>
      <c r="D1270" s="62" t="n">
        <v>9.25</v>
      </c>
      <c r="E1270" t="n">
        <v>8990</v>
      </c>
      <c r="T1270" t="n">
        <v>38</v>
      </c>
    </row>
    <row r="1271">
      <c r="A1271" t="inlineStr">
        <is>
          <t>6081093M</t>
        </is>
      </c>
      <c r="B1271" t="inlineStr">
        <is>
          <t>NMDC 9-1/2" for MWD
7-5/8" REG Pin x Box</t>
        </is>
      </c>
      <c r="C1271" t="n">
        <v>2660.573971180125</v>
      </c>
      <c r="D1271" s="62" t="n">
        <v>9.5</v>
      </c>
      <c r="E1271" t="n">
        <v>9330</v>
      </c>
      <c r="T1271" t="n">
        <v>39</v>
      </c>
    </row>
    <row r="1272">
      <c r="A1272" t="n">
        <v>8021094</v>
      </c>
      <c r="D1272" s="62" t="n"/>
      <c r="V1272" t="inlineStr">
        <is>
          <t>FR</t>
        </is>
      </c>
    </row>
    <row r="1273">
      <c r="A1273" t="n">
        <v>6041095</v>
      </c>
      <c r="B1273" t="inlineStr">
        <is>
          <t>UBHO 8" OD
6-5/8" REG Pin x Box</t>
        </is>
      </c>
      <c r="C1273" t="n">
        <v>184</v>
      </c>
      <c r="D1273" s="62" t="n">
        <v>8</v>
      </c>
      <c r="E1273" t="n">
        <v>880</v>
      </c>
      <c r="T1273" t="n">
        <v>28</v>
      </c>
      <c r="V1273" t="inlineStr">
        <is>
          <t>FR</t>
        </is>
      </c>
    </row>
    <row r="1274">
      <c r="A1274" t="n">
        <v>8131096</v>
      </c>
      <c r="B1274" t="inlineStr">
        <is>
          <t>XO
6-5/8" REG Pin SRG x 6-5/8" REG Pin</t>
        </is>
      </c>
      <c r="C1274" t="n">
        <v>147.741769032</v>
      </c>
      <c r="D1274" s="62" t="n">
        <v>8</v>
      </c>
      <c r="E1274" t="n">
        <v>680</v>
      </c>
      <c r="T1274" t="n">
        <v>214</v>
      </c>
      <c r="V1274" t="inlineStr">
        <is>
          <t>FR</t>
        </is>
      </c>
    </row>
    <row r="1275">
      <c r="A1275" t="n">
        <v>5071097</v>
      </c>
      <c r="B1275" t="inlineStr">
        <is>
          <t>Super Junk Mill 
7-5/8" REG Pin</t>
        </is>
      </c>
      <c r="C1275" t="n">
        <v>0</v>
      </c>
      <c r="D1275" s="62" t="n">
        <v>17.25</v>
      </c>
      <c r="E1275" t="n">
        <v>780</v>
      </c>
      <c r="T1275" t="n">
        <v>91</v>
      </c>
      <c r="V1275" t="inlineStr">
        <is>
          <t>FR</t>
        </is>
      </c>
    </row>
    <row r="1276">
      <c r="A1276" t="n">
        <v>5071181</v>
      </c>
      <c r="B1276" t="inlineStr">
        <is>
          <t>Super Junk Mill 
7-5/8" REG Pin</t>
        </is>
      </c>
      <c r="C1276" t="n">
        <v>0</v>
      </c>
      <c r="D1276" s="62" t="n">
        <v>17.5</v>
      </c>
      <c r="E1276" t="n">
        <v>800</v>
      </c>
      <c r="T1276" t="n">
        <v>90</v>
      </c>
      <c r="V1276" t="inlineStr">
        <is>
          <t>FR</t>
        </is>
      </c>
    </row>
    <row r="1277">
      <c r="A1277" t="n">
        <v>5071099</v>
      </c>
      <c r="B1277" t="inlineStr">
        <is>
          <t>Super Junk Mill 
6-5/8" REG Pin</t>
        </is>
      </c>
      <c r="C1277" t="n">
        <v>0</v>
      </c>
      <c r="D1277" s="62" t="n">
        <v>14.625</v>
      </c>
      <c r="E1277" t="n">
        <v>800</v>
      </c>
      <c r="T1277" t="n">
        <v>87</v>
      </c>
      <c r="V1277" t="inlineStr">
        <is>
          <t>FR</t>
        </is>
      </c>
    </row>
    <row r="1278">
      <c r="A1278" t="n">
        <v>5071100</v>
      </c>
      <c r="B1278" t="inlineStr">
        <is>
          <t>Super Junk Mill 
6-5/8" REG Pin</t>
        </is>
      </c>
      <c r="C1278" t="n">
        <v>0</v>
      </c>
      <c r="D1278" s="62" t="n">
        <v>14.625</v>
      </c>
      <c r="E1278" t="n">
        <v>780</v>
      </c>
      <c r="T1278" t="n">
        <v>88</v>
      </c>
      <c r="V1278" t="inlineStr">
        <is>
          <t>FR</t>
        </is>
      </c>
    </row>
    <row r="1279">
      <c r="A1279" t="n">
        <v>5071101</v>
      </c>
      <c r="B1279" t="inlineStr">
        <is>
          <t>Super Junk Mill 
4-1/2" IF Box</t>
        </is>
      </c>
      <c r="C1279" t="n">
        <v>0</v>
      </c>
      <c r="D1279" s="62" t="n">
        <v>9.375</v>
      </c>
      <c r="E1279" t="n">
        <v>0</v>
      </c>
      <c r="T1279" t="n">
        <v>72</v>
      </c>
      <c r="V1279" t="inlineStr">
        <is>
          <t>FR</t>
        </is>
      </c>
    </row>
    <row r="1280">
      <c r="A1280" t="n">
        <v>5071102</v>
      </c>
      <c r="B1280" t="inlineStr">
        <is>
          <t>Super Junk Mill 
7-5/8" REG Pin</t>
        </is>
      </c>
      <c r="C1280" t="n">
        <v>0</v>
      </c>
      <c r="D1280" s="62" t="n">
        <v>18.375</v>
      </c>
      <c r="E1280" t="n">
        <v>800</v>
      </c>
      <c r="T1280" t="n">
        <v>92</v>
      </c>
      <c r="V1280" t="inlineStr">
        <is>
          <t>FR</t>
        </is>
      </c>
    </row>
    <row r="1281">
      <c r="A1281" t="n">
        <v>5071103</v>
      </c>
      <c r="B1281" t="inlineStr">
        <is>
          <t>Super Junk Mill 
7-5/8" REG Pin</t>
        </is>
      </c>
      <c r="C1281" t="n">
        <v>0</v>
      </c>
      <c r="D1281" s="62" t="n">
        <v>18.375</v>
      </c>
      <c r="E1281" t="n">
        <v>800</v>
      </c>
      <c r="T1281" t="n">
        <v>93</v>
      </c>
      <c r="V1281" t="inlineStr">
        <is>
          <t>FR</t>
        </is>
      </c>
    </row>
    <row r="1282">
      <c r="A1282" t="inlineStr">
        <is>
          <t>6081104M</t>
        </is>
      </c>
      <c r="B1282" t="inlineStr">
        <is>
          <t>NMDC 3-1/2" for MWD
2-7/8" PH-6 Pin x Box</t>
        </is>
      </c>
      <c r="C1282" t="n">
        <v>247.302043701375</v>
      </c>
      <c r="D1282" s="62" t="n">
        <v>3.5</v>
      </c>
      <c r="E1282" t="n">
        <v>8710</v>
      </c>
      <c r="T1282" t="n">
        <v>5</v>
      </c>
    </row>
    <row r="1283">
      <c r="A1283" t="inlineStr">
        <is>
          <t>6081105M</t>
        </is>
      </c>
      <c r="B1283" t="inlineStr">
        <is>
          <t>NMDC 3-1/2" for MWD
2-7/8" PH-6 Pin x Box</t>
        </is>
      </c>
      <c r="C1283" t="n">
        <v>263.3440247221875</v>
      </c>
      <c r="D1283" s="62" t="n">
        <v>3.5</v>
      </c>
      <c r="E1283" t="n">
        <v>9275</v>
      </c>
      <c r="T1283" t="n">
        <v>6</v>
      </c>
    </row>
    <row r="1284">
      <c r="A1284" t="inlineStr">
        <is>
          <t>6081106M</t>
        </is>
      </c>
      <c r="B1284" t="inlineStr">
        <is>
          <t>NMDC 3-1/2" for MWD
2-7/8" PH-6 Pin x Box</t>
        </is>
      </c>
      <c r="C1284" t="n">
        <v>253.4065143553125</v>
      </c>
      <c r="D1284" s="62" t="n">
        <v>3.5</v>
      </c>
      <c r="E1284" t="n">
        <v>8925</v>
      </c>
      <c r="T1284" t="n">
        <v>7</v>
      </c>
    </row>
    <row r="1285">
      <c r="A1285" t="inlineStr">
        <is>
          <t>6081107M</t>
        </is>
      </c>
      <c r="B1285" t="inlineStr">
        <is>
          <t>NMDC 3-1/2" for MWD
2-7/8" PH-6 Pin x Box</t>
        </is>
      </c>
      <c r="C1285" t="n">
        <v>255.5359808625</v>
      </c>
      <c r="D1285" s="62" t="n">
        <v>3.5</v>
      </c>
      <c r="E1285" t="n">
        <v>9000</v>
      </c>
      <c r="T1285" t="n">
        <v>8</v>
      </c>
    </row>
    <row r="1286">
      <c r="A1286" t="inlineStr">
        <is>
          <t>6081108M</t>
        </is>
      </c>
      <c r="B1286" t="inlineStr">
        <is>
          <t>NMDC 8-1/16" for MWD
6-5/8" REG Pin x Box</t>
        </is>
      </c>
      <c r="C1286" t="n">
        <v>1904.685346355055</v>
      </c>
      <c r="D1286" s="62" t="n">
        <v>8.0625</v>
      </c>
      <c r="E1286" t="n">
        <v>9465</v>
      </c>
      <c r="T1286" t="n">
        <v>27</v>
      </c>
    </row>
    <row r="1287">
      <c r="A1287" t="inlineStr">
        <is>
          <t>6081109M</t>
        </is>
      </c>
      <c r="B1287" t="inlineStr">
        <is>
          <t>NMDC 8-1/16" for MWD
6-5/8" REG Pin x Box</t>
        </is>
      </c>
      <c r="C1287" t="n">
        <v>1905.691519279701</v>
      </c>
      <c r="D1287" s="62" t="n">
        <v>8.0625</v>
      </c>
      <c r="E1287" t="n">
        <v>9470</v>
      </c>
      <c r="T1287" t="n">
        <v>28</v>
      </c>
    </row>
    <row r="1288">
      <c r="A1288" t="inlineStr">
        <is>
          <t>6081110M</t>
        </is>
      </c>
      <c r="B1288" t="inlineStr">
        <is>
          <t>NMDC 8-1/16" for MWD
6-5/8" REG Pin x Box</t>
        </is>
      </c>
      <c r="C1288" t="n">
        <v>1906.697692204347</v>
      </c>
      <c r="D1288" s="62" t="n">
        <v>8.0625</v>
      </c>
      <c r="E1288" t="n">
        <v>9475</v>
      </c>
      <c r="T1288" t="n">
        <v>29</v>
      </c>
    </row>
    <row r="1289">
      <c r="A1289" t="inlineStr">
        <is>
          <t>6081111M</t>
        </is>
      </c>
      <c r="B1289" t="inlineStr">
        <is>
          <t>NMDC 8-1/16" for MWD
6-5/8" REG Pin x Box</t>
        </is>
      </c>
      <c r="C1289" t="n">
        <v>1924.096436577656</v>
      </c>
      <c r="D1289" s="62" t="n">
        <v>8.0625</v>
      </c>
      <c r="E1289" t="n">
        <v>9475</v>
      </c>
      <c r="T1289" t="n">
        <v>30</v>
      </c>
    </row>
    <row r="1290">
      <c r="A1290" t="n">
        <v>7021112</v>
      </c>
      <c r="B1290" t="inlineStr">
        <is>
          <t>Fishing Magnet 15" OD
7-5/8" REG Pin</t>
        </is>
      </c>
      <c r="C1290" t="n">
        <v>310</v>
      </c>
      <c r="D1290" s="62" t="n">
        <v>15</v>
      </c>
      <c r="E1290" t="n">
        <v>0</v>
      </c>
      <c r="T1290" t="n">
        <v>16</v>
      </c>
      <c r="V1290" t="inlineStr">
        <is>
          <t>FR</t>
        </is>
      </c>
    </row>
    <row r="1291">
      <c r="A1291" t="n">
        <v>7021113</v>
      </c>
      <c r="B1291" t="inlineStr">
        <is>
          <t>Fishing Magnet 15" OD
7-5/8" REG Pin</t>
        </is>
      </c>
      <c r="C1291" t="n">
        <v>310</v>
      </c>
      <c r="D1291" s="62" t="n">
        <v>15</v>
      </c>
      <c r="E1291" t="n">
        <v>0</v>
      </c>
      <c r="T1291" t="n">
        <v>17</v>
      </c>
      <c r="V1291" t="inlineStr">
        <is>
          <t>FR</t>
        </is>
      </c>
    </row>
    <row r="1292">
      <c r="A1292" t="inlineStr">
        <is>
          <t>605-962-012</t>
        </is>
      </c>
      <c r="B1292" t="inlineStr">
        <is>
          <t xml:space="preserve">Sleeve 0 for PDM 9-5/8"
Set on : </t>
        </is>
      </c>
      <c r="C1292" t="n">
        <v>140</v>
      </c>
      <c r="D1292" s="62" t="n">
        <v>0</v>
      </c>
      <c r="T1292" t="n">
        <v>49</v>
      </c>
      <c r="V1292" t="inlineStr">
        <is>
          <t>FR</t>
        </is>
      </c>
    </row>
    <row r="1293">
      <c r="A1293" t="inlineStr">
        <is>
          <t>605-850-SLK14</t>
        </is>
      </c>
      <c r="B1293" t="inlineStr">
        <is>
          <t>Sleeve 0 for PDM 8-1/2"</t>
        </is>
      </c>
      <c r="C1293" t="n">
        <v>28</v>
      </c>
      <c r="D1293" s="62" t="n">
        <v>0</v>
      </c>
      <c r="T1293" t="n">
        <v>80</v>
      </c>
    </row>
    <row r="1294">
      <c r="A1294" t="inlineStr">
        <is>
          <t>605-962-013</t>
        </is>
      </c>
      <c r="B1294" t="inlineStr">
        <is>
          <t xml:space="preserve">Sleeve 0 for PDM 9-5/8"
Set on : </t>
        </is>
      </c>
      <c r="C1294" t="n">
        <v>140</v>
      </c>
      <c r="D1294" s="62" t="n">
        <v>0</v>
      </c>
      <c r="T1294" t="n">
        <v>54</v>
      </c>
      <c r="V1294" t="inlineStr">
        <is>
          <t>FR</t>
        </is>
      </c>
    </row>
    <row r="1295">
      <c r="A1295" t="inlineStr">
        <is>
          <t>605-962-014</t>
        </is>
      </c>
      <c r="B1295" t="inlineStr">
        <is>
          <t xml:space="preserve">Sleeve 0 for PDM 9-5/8"
Set on : </t>
        </is>
      </c>
      <c r="C1295" t="n">
        <v>140</v>
      </c>
      <c r="D1295" s="62" t="n">
        <v>0</v>
      </c>
      <c r="T1295" t="n">
        <v>53</v>
      </c>
      <c r="V1295" t="inlineStr">
        <is>
          <t>FR</t>
        </is>
      </c>
    </row>
    <row r="1296">
      <c r="A1296" t="n">
        <v>7051114</v>
      </c>
      <c r="B1296" t="inlineStr">
        <is>
          <t>Extension 8-5/8" FS Lg 914mm CA C-4817
8-5/8" FS Sellers Pin x Box</t>
        </is>
      </c>
      <c r="C1296" t="n">
        <v>85.30013246390996</v>
      </c>
      <c r="D1296" s="62" t="inlineStr">
        <is>
          <t>8-5/8" FS</t>
        </is>
      </c>
      <c r="E1296" t="n">
        <v>914</v>
      </c>
      <c r="T1296" t="n">
        <v>52</v>
      </c>
      <c r="V1296" t="inlineStr">
        <is>
          <t>FR</t>
        </is>
      </c>
    </row>
    <row r="1297">
      <c r="A1297" t="n">
        <v>7051115</v>
      </c>
      <c r="B1297" t="inlineStr">
        <is>
          <t>Extension 11-1/4" FS Lg 914mm CA C12822
11-1/4" FS Sellers Pin x Box</t>
        </is>
      </c>
      <c r="C1297" t="n">
        <v>100</v>
      </c>
      <c r="D1297" s="62" t="inlineStr">
        <is>
          <t>11-1/4" FS</t>
        </is>
      </c>
      <c r="E1297" t="n">
        <v>914</v>
      </c>
      <c r="T1297" t="n">
        <v>68</v>
      </c>
      <c r="V1297" t="inlineStr">
        <is>
          <t>FR</t>
        </is>
      </c>
    </row>
    <row r="1298">
      <c r="A1298" t="n">
        <v>7061116</v>
      </c>
      <c r="B1298" t="inlineStr">
        <is>
          <t>Oversize Guide 15" OD
11-3/4" FS Sellers Pin</t>
        </is>
      </c>
      <c r="C1298" t="n">
        <v>0</v>
      </c>
      <c r="D1298" s="62" t="inlineStr">
        <is>
          <t>15"</t>
        </is>
      </c>
      <c r="E1298" t="n">
        <v>500</v>
      </c>
      <c r="T1298" t="n">
        <v>39</v>
      </c>
      <c r="V1298" t="inlineStr">
        <is>
          <t>FR</t>
        </is>
      </c>
    </row>
    <row r="1299">
      <c r="A1299" t="n">
        <v>8081117</v>
      </c>
      <c r="B1299" t="inlineStr">
        <is>
          <t>Float Sub 9-1/2" Lg 720 mm
7-5/8" REG Pin x 7-5/8" REG Box BF (5F-6R)</t>
        </is>
      </c>
      <c r="C1299" t="n">
        <v>233.18213766705</v>
      </c>
      <c r="D1299" s="62" t="n">
        <v>9.5</v>
      </c>
      <c r="E1299" t="n">
        <v>720</v>
      </c>
      <c r="T1299" t="n">
        <v>45</v>
      </c>
      <c r="V1299" t="inlineStr">
        <is>
          <t>FR</t>
        </is>
      </c>
    </row>
    <row r="1300">
      <c r="A1300" t="n">
        <v>8081118</v>
      </c>
      <c r="B1300" t="inlineStr">
        <is>
          <t>Float Sub 9-1/2" Lg 690 mm
7-5/8" REG Pin x 7-5/8" REG Box BF (5F-6R)</t>
        </is>
      </c>
      <c r="C1300" t="n">
        <v>223.4662152642562</v>
      </c>
      <c r="D1300" s="62" t="n">
        <v>9.5</v>
      </c>
      <c r="E1300" t="n">
        <v>690</v>
      </c>
      <c r="T1300" t="n">
        <v>46</v>
      </c>
      <c r="V1300" t="inlineStr">
        <is>
          <t>FR</t>
        </is>
      </c>
    </row>
    <row r="1301">
      <c r="A1301" t="n">
        <v>8021119</v>
      </c>
      <c r="B1301" t="inlineStr">
        <is>
          <t>Bit Sub
3-1/2" IF Box x 3-1/2" REG Box BF</t>
        </is>
      </c>
      <c r="C1301" t="n">
        <v>48.1444601625</v>
      </c>
      <c r="D1301" s="62" t="n">
        <v>4.75</v>
      </c>
      <c r="E1301" t="n">
        <v>600</v>
      </c>
      <c r="T1301" t="n">
        <v>37</v>
      </c>
      <c r="V1301" t="inlineStr">
        <is>
          <t>FR</t>
        </is>
      </c>
    </row>
    <row r="1302">
      <c r="A1302" t="inlineStr">
        <is>
          <t>6081120M</t>
        </is>
      </c>
      <c r="B1302" t="inlineStr">
        <is>
          <t>NMDC 4-3/4" for MWD
3-1/2" IF Pin x Box</t>
        </is>
      </c>
      <c r="C1302" t="n">
        <v>575.0675224685015</v>
      </c>
      <c r="D1302" s="62" t="n">
        <v>4.75</v>
      </c>
      <c r="E1302" t="n">
        <v>9490</v>
      </c>
      <c r="T1302" t="n">
        <v>14</v>
      </c>
    </row>
    <row r="1303">
      <c r="A1303" t="n">
        <v>6041121</v>
      </c>
      <c r="B1303" t="inlineStr">
        <is>
          <t>UBHO 3-1/2" OD
2-7/8" PH6 Pin x Box</t>
        </is>
      </c>
      <c r="C1303" t="n">
        <v>24.53978685782812</v>
      </c>
      <c r="D1303" s="62" t="n">
        <v>3.5</v>
      </c>
      <c r="E1303" t="n">
        <v>900</v>
      </c>
      <c r="T1303" t="n">
        <v>5</v>
      </c>
    </row>
    <row r="1304">
      <c r="A1304" t="n">
        <v>6041122</v>
      </c>
      <c r="B1304" t="inlineStr">
        <is>
          <t>UBHO 3-1/2" OD
2-7/8" PH6 Pin x Box</t>
        </is>
      </c>
      <c r="C1304" t="n">
        <v>24.53978685782812</v>
      </c>
      <c r="D1304" s="62" t="n">
        <v>3.5</v>
      </c>
      <c r="E1304" t="n">
        <v>900</v>
      </c>
      <c r="T1304" t="n">
        <v>6</v>
      </c>
    </row>
    <row r="1305">
      <c r="A1305" t="n">
        <v>6041123</v>
      </c>
      <c r="B1305" t="inlineStr">
        <is>
          <t>UBHO 3-1/2" OD
2-7/8" PH6 Pin x Box</t>
        </is>
      </c>
      <c r="C1305" t="n">
        <v>32.985127578</v>
      </c>
      <c r="D1305" s="62" t="n">
        <v>3.5</v>
      </c>
      <c r="E1305" t="n">
        <v>835</v>
      </c>
      <c r="T1305" t="n">
        <v>7</v>
      </c>
    </row>
    <row r="1306">
      <c r="A1306" t="n">
        <v>8110780</v>
      </c>
      <c r="B1306" t="inlineStr">
        <is>
          <t>String Stab
4-1/2" IF Pin x 4-1/2" IF Box</t>
        </is>
      </c>
      <c r="C1306" t="n">
        <v>256</v>
      </c>
      <c r="D1306" s="62" t="n">
        <v>7.75</v>
      </c>
      <c r="E1306" t="n">
        <v>1585</v>
      </c>
      <c r="T1306" t="n">
        <v>23</v>
      </c>
    </row>
    <row r="1307">
      <c r="A1307" t="n">
        <v>5101124</v>
      </c>
      <c r="B1307" t="inlineStr">
        <is>
          <t>WO Pipe
8-5/8" FJWP Pin x Box</t>
        </is>
      </c>
      <c r="C1307" t="n">
        <v>456.5872465011003</v>
      </c>
      <c r="D1307" s="62" t="n">
        <v>8.625</v>
      </c>
      <c r="E1307" t="n">
        <v>9340</v>
      </c>
      <c r="T1307" t="n">
        <v>132</v>
      </c>
      <c r="V1307" t="inlineStr">
        <is>
          <t>FR</t>
        </is>
      </c>
    </row>
    <row r="1308">
      <c r="A1308" t="n">
        <v>5101125</v>
      </c>
      <c r="B1308" t="inlineStr">
        <is>
          <t>WO Pipe
8-5/8" FJWP Pin x Box</t>
        </is>
      </c>
      <c r="C1308" t="n">
        <v>456.5872465011003</v>
      </c>
      <c r="D1308" s="62" t="n">
        <v>8.625</v>
      </c>
      <c r="E1308" t="n">
        <v>9340</v>
      </c>
      <c r="T1308" t="n">
        <v>133</v>
      </c>
      <c r="V1308" t="inlineStr">
        <is>
          <t>FR</t>
        </is>
      </c>
    </row>
    <row r="1309">
      <c r="A1309" t="n">
        <v>5101126</v>
      </c>
      <c r="B1309" t="inlineStr">
        <is>
          <t>WO Pipe
8-5/8" FJWP Pin x Box</t>
        </is>
      </c>
      <c r="C1309" t="n">
        <v>456.5872465011003</v>
      </c>
      <c r="D1309" s="62" t="n">
        <v>8.625</v>
      </c>
      <c r="E1309" t="n">
        <v>9340</v>
      </c>
      <c r="T1309" t="n">
        <v>134</v>
      </c>
      <c r="V1309" t="inlineStr">
        <is>
          <t>FR</t>
        </is>
      </c>
    </row>
    <row r="1310">
      <c r="A1310" t="n">
        <v>5101127</v>
      </c>
      <c r="B1310" t="inlineStr">
        <is>
          <t>WO Pipe
8-5/8" FJWP Pin x Box</t>
        </is>
      </c>
      <c r="C1310" t="n">
        <v>456.5872465011003</v>
      </c>
      <c r="D1310" s="62" t="n">
        <v>8.625</v>
      </c>
      <c r="E1310" t="n">
        <v>9340</v>
      </c>
      <c r="T1310" t="n">
        <v>135</v>
      </c>
      <c r="V1310" t="inlineStr">
        <is>
          <t>FR</t>
        </is>
      </c>
    </row>
    <row r="1311">
      <c r="A1311" t="n">
        <v>5091128</v>
      </c>
      <c r="B1311" t="inlineStr">
        <is>
          <t>WO Extension Lg 4070 mm
8-5/8" FJWP Pin x Box</t>
        </is>
      </c>
      <c r="C1311" t="n">
        <v>198.9625367515501</v>
      </c>
      <c r="D1311" s="62" t="n">
        <v>8.625</v>
      </c>
      <c r="E1311" t="n">
        <v>4070</v>
      </c>
      <c r="T1311" t="n">
        <v>116</v>
      </c>
      <c r="V1311" t="inlineStr">
        <is>
          <t>FR</t>
        </is>
      </c>
    </row>
    <row r="1312">
      <c r="A1312" t="n">
        <v>7041129</v>
      </c>
      <c r="B1312" t="inlineStr">
        <is>
          <t>6-1/8" FS Overshot - CA 9862
0</t>
        </is>
      </c>
      <c r="C1312" t="n">
        <v>0</v>
      </c>
      <c r="D1312" s="62" t="inlineStr">
        <is>
          <t>6-1/8" FS</t>
        </is>
      </c>
      <c r="E1312" t="n">
        <v>0</v>
      </c>
      <c r="T1312" t="n">
        <v>45</v>
      </c>
    </row>
    <row r="1313">
      <c r="A1313" t="n">
        <v>5071130</v>
      </c>
      <c r="B1313" t="inlineStr">
        <is>
          <t>Super Junk Mill 
2-7/8" REG Pin</t>
        </is>
      </c>
      <c r="C1313" t="n">
        <v>0</v>
      </c>
      <c r="D1313" s="62" t="n">
        <v>4.75</v>
      </c>
      <c r="E1313" t="n">
        <v>430</v>
      </c>
      <c r="T1313" t="n">
        <v>19</v>
      </c>
    </row>
    <row r="1314">
      <c r="A1314" t="n">
        <v>5091131</v>
      </c>
      <c r="B1314" t="inlineStr">
        <is>
          <t>WO Extension Lg 2000 mm
8-5/8" FJWP Pin x Box</t>
        </is>
      </c>
      <c r="C1314" t="n">
        <v>97.77028833000007</v>
      </c>
      <c r="D1314" s="62" t="n">
        <v>8.625</v>
      </c>
      <c r="E1314" t="n">
        <v>2000</v>
      </c>
      <c r="T1314" t="n">
        <v>106</v>
      </c>
      <c r="V1314" t="inlineStr">
        <is>
          <t>FR</t>
        </is>
      </c>
    </row>
    <row r="1315">
      <c r="A1315" t="n">
        <v>5091132</v>
      </c>
      <c r="B1315" t="inlineStr">
        <is>
          <t>WO Extension
8-5/8" FJWP Pin x Box</t>
        </is>
      </c>
      <c r="C1315" t="n">
        <v>97.77028833000007</v>
      </c>
      <c r="D1315" s="62" t="n">
        <v>8.625</v>
      </c>
      <c r="E1315" t="n">
        <v>2000</v>
      </c>
      <c r="T1315" t="n">
        <v>168</v>
      </c>
      <c r="V1315" t="inlineStr">
        <is>
          <t>FR</t>
        </is>
      </c>
    </row>
    <row r="1316">
      <c r="A1316" t="n">
        <v>5091133</v>
      </c>
      <c r="B1316" t="inlineStr">
        <is>
          <t>WO Extension Lg 1000 mm
8-5/8" FJWP Pin x Box</t>
        </is>
      </c>
      <c r="C1316" t="n">
        <v>48.88514416500004</v>
      </c>
      <c r="D1316" s="62" t="n">
        <v>8.625</v>
      </c>
      <c r="E1316" t="n">
        <v>1000</v>
      </c>
      <c r="T1316" t="n">
        <v>103</v>
      </c>
      <c r="V1316" t="inlineStr">
        <is>
          <t>FR</t>
        </is>
      </c>
    </row>
    <row r="1317">
      <c r="A1317" t="n">
        <v>5091134</v>
      </c>
      <c r="B1317" t="inlineStr">
        <is>
          <t>WO Extension Lg 1000 mm
8-5/8" FJWP Pin x Box</t>
        </is>
      </c>
      <c r="C1317" t="n">
        <v>48.88514416500004</v>
      </c>
      <c r="D1317" s="62" t="n">
        <v>8.625</v>
      </c>
      <c r="E1317" t="n">
        <v>1000</v>
      </c>
      <c r="T1317" t="n">
        <v>104</v>
      </c>
      <c r="V1317" t="inlineStr">
        <is>
          <t>FR</t>
        </is>
      </c>
    </row>
    <row r="1318">
      <c r="A1318" t="n">
        <v>5091135</v>
      </c>
      <c r="B1318" t="inlineStr">
        <is>
          <t>WO Extension
8-5/8" FJWP Pin x Box</t>
        </is>
      </c>
      <c r="C1318" t="n">
        <v>48.88514416500004</v>
      </c>
      <c r="D1318" s="62" t="n">
        <v>8.625</v>
      </c>
      <c r="E1318" t="n">
        <v>1000</v>
      </c>
      <c r="T1318" t="n">
        <v>167</v>
      </c>
      <c r="V1318" t="inlineStr">
        <is>
          <t>FR</t>
        </is>
      </c>
    </row>
    <row r="1319">
      <c r="A1319" t="n">
        <v>5111136</v>
      </c>
      <c r="B1319" t="inlineStr">
        <is>
          <t>WO Shoe
8-5/8" FJWP Box</t>
        </is>
      </c>
      <c r="C1319" t="n">
        <v>0</v>
      </c>
      <c r="D1319" s="62" t="n">
        <v>0</v>
      </c>
      <c r="E1319" t="n">
        <v>0</v>
      </c>
      <c r="T1319" t="n">
        <v>207</v>
      </c>
      <c r="V1319" t="inlineStr">
        <is>
          <t>FR</t>
        </is>
      </c>
    </row>
    <row r="1320">
      <c r="A1320" t="n">
        <v>5111137</v>
      </c>
      <c r="B1320" t="inlineStr">
        <is>
          <t>WO Shoe
8-5/8" FJWP Box</t>
        </is>
      </c>
      <c r="C1320" t="n">
        <v>0</v>
      </c>
      <c r="D1320" s="62" t="n">
        <v>0</v>
      </c>
      <c r="E1320" t="n">
        <v>0</v>
      </c>
      <c r="T1320" t="n">
        <v>208</v>
      </c>
      <c r="V1320" t="inlineStr">
        <is>
          <t>FR</t>
        </is>
      </c>
    </row>
    <row r="1321">
      <c r="A1321" t="n">
        <v>5111138</v>
      </c>
      <c r="B1321" t="inlineStr">
        <is>
          <t>WO Shoe
8-5/8" FJWP Box</t>
        </is>
      </c>
      <c r="C1321" t="n">
        <v>0</v>
      </c>
      <c r="D1321" s="62" t="n">
        <v>0</v>
      </c>
      <c r="E1321" t="n">
        <v>0</v>
      </c>
      <c r="T1321" t="n">
        <v>209</v>
      </c>
      <c r="V1321" t="inlineStr">
        <is>
          <t>FR</t>
        </is>
      </c>
    </row>
    <row r="1322">
      <c r="A1322" t="n">
        <v>5111139</v>
      </c>
      <c r="B1322" t="inlineStr">
        <is>
          <t>WO Shoe
8-5/8" FJWP Box</t>
        </is>
      </c>
      <c r="C1322" t="n">
        <v>0</v>
      </c>
      <c r="D1322" s="62" t="n">
        <v>0</v>
      </c>
      <c r="E1322" t="n">
        <v>0</v>
      </c>
      <c r="T1322" t="n">
        <v>210</v>
      </c>
      <c r="V1322" t="inlineStr">
        <is>
          <t>FR</t>
        </is>
      </c>
    </row>
    <row r="1323">
      <c r="A1323" t="n">
        <v>5111140</v>
      </c>
      <c r="B1323" t="inlineStr">
        <is>
          <t>WO Shoe
8-5/8" FJWP Box</t>
        </is>
      </c>
      <c r="C1323" t="n">
        <v>0</v>
      </c>
      <c r="D1323" s="62" t="n">
        <v>0</v>
      </c>
      <c r="E1323" t="n">
        <v>0</v>
      </c>
      <c r="T1323" t="n">
        <v>211</v>
      </c>
      <c r="V1323" t="inlineStr">
        <is>
          <t>FR</t>
        </is>
      </c>
    </row>
    <row r="1324">
      <c r="A1324" t="n">
        <v>5111141</v>
      </c>
      <c r="B1324" t="inlineStr">
        <is>
          <t>WO Shoe
8-5/8" FJWP Box</t>
        </is>
      </c>
      <c r="C1324" t="n">
        <v>0</v>
      </c>
      <c r="D1324" s="62" t="n">
        <v>0</v>
      </c>
      <c r="E1324" t="n">
        <v>0</v>
      </c>
      <c r="T1324" t="n">
        <v>212</v>
      </c>
      <c r="V1324" t="inlineStr">
        <is>
          <t>FR</t>
        </is>
      </c>
    </row>
    <row r="1325">
      <c r="A1325" t="n">
        <v>8131142</v>
      </c>
      <c r="B1325" t="inlineStr">
        <is>
          <t>XO
11-1/4" FS Pin x 11-3/4" FS Box</t>
        </is>
      </c>
      <c r="C1325" t="n">
        <v>190.886612177625</v>
      </c>
      <c r="D1325" s="62" t="n">
        <v>11.75</v>
      </c>
      <c r="E1325" t="n">
        <v>350</v>
      </c>
      <c r="T1325" t="n">
        <v>241</v>
      </c>
      <c r="V1325" t="inlineStr">
        <is>
          <t>FR</t>
        </is>
      </c>
    </row>
    <row r="1326">
      <c r="A1326" t="n">
        <v>8081143</v>
      </c>
      <c r="B1326" t="inlineStr">
        <is>
          <t xml:space="preserve">Saver Sub 3-1/2" OD for NMDC
2-7/8" PH Pin x Box
Set on : </t>
        </is>
      </c>
      <c r="C1326" t="n">
        <v>0</v>
      </c>
      <c r="D1326" s="62" t="n">
        <v>3.5</v>
      </c>
      <c r="E1326" t="n">
        <v>350</v>
      </c>
      <c r="T1326" t="n">
        <v>5</v>
      </c>
      <c r="V1326" t="inlineStr">
        <is>
          <t>FR</t>
        </is>
      </c>
    </row>
    <row r="1327">
      <c r="A1327" t="n">
        <v>8081144</v>
      </c>
      <c r="B1327" t="inlineStr">
        <is>
          <t xml:space="preserve">Saver Sub 3-1/2" OD for NMDC
2-7/8" PH Pin x Box
Set on : </t>
        </is>
      </c>
      <c r="C1327" t="n">
        <v>0</v>
      </c>
      <c r="D1327" s="62" t="n">
        <v>3.5</v>
      </c>
      <c r="E1327" t="n">
        <v>350</v>
      </c>
      <c r="T1327" t="n">
        <v>6</v>
      </c>
      <c r="V1327" t="inlineStr">
        <is>
          <t>FR</t>
        </is>
      </c>
    </row>
    <row r="1328">
      <c r="A1328" t="n">
        <v>8081145</v>
      </c>
      <c r="B1328" t="inlineStr">
        <is>
          <t xml:space="preserve">Saver Sub 3-1/2" OD for NMDC
2-7/8" PH Pin x Box
Set on : </t>
        </is>
      </c>
      <c r="C1328" t="n">
        <v>0</v>
      </c>
      <c r="D1328" s="62" t="n">
        <v>3.5</v>
      </c>
      <c r="E1328" t="n">
        <v>350</v>
      </c>
      <c r="T1328" t="n">
        <v>7</v>
      </c>
      <c r="V1328" t="inlineStr">
        <is>
          <t>FR</t>
        </is>
      </c>
    </row>
    <row r="1329">
      <c r="A1329" t="n">
        <v>8081146</v>
      </c>
      <c r="B1329" t="inlineStr">
        <is>
          <t xml:space="preserve">Saver Sub 3-1/2" OD for NMDC
2-7/8" PH Pin x Box
Set on : </t>
        </is>
      </c>
      <c r="C1329" t="n">
        <v>0</v>
      </c>
      <c r="D1329" s="62" t="n">
        <v>3.5</v>
      </c>
      <c r="E1329" t="n">
        <v>350</v>
      </c>
      <c r="T1329" t="n">
        <v>8</v>
      </c>
      <c r="V1329" t="inlineStr">
        <is>
          <t>FR</t>
        </is>
      </c>
    </row>
    <row r="1330">
      <c r="A1330" t="n">
        <v>8081147</v>
      </c>
      <c r="B1330" t="inlineStr">
        <is>
          <t xml:space="preserve">Saver Sub 4-3/4" OD for NMDC
3-1/2" IF Pin x Box
Set on : </t>
        </is>
      </c>
      <c r="C1330" t="n">
        <v>30</v>
      </c>
      <c r="D1330" s="62" t="n">
        <v>4.75</v>
      </c>
      <c r="E1330" t="n">
        <v>500</v>
      </c>
      <c r="T1330" t="n">
        <v>19</v>
      </c>
      <c r="V1330" t="inlineStr">
        <is>
          <t>FR</t>
        </is>
      </c>
    </row>
    <row r="1331">
      <c r="A1331" t="n">
        <v>8081149</v>
      </c>
      <c r="B1331" t="inlineStr">
        <is>
          <t xml:space="preserve">Saver Sub 4-3/4" OD for NMDC
3-1/2" IF Pin x Box
Set on : </t>
        </is>
      </c>
      <c r="C1331" t="n">
        <v>30</v>
      </c>
      <c r="D1331" s="62" t="n">
        <v>4.75</v>
      </c>
      <c r="E1331" t="n">
        <v>500</v>
      </c>
      <c r="T1331" t="n">
        <v>20</v>
      </c>
      <c r="V1331" t="inlineStr">
        <is>
          <t>FR</t>
        </is>
      </c>
    </row>
    <row r="1332">
      <c r="A1332" t="n">
        <v>8081150</v>
      </c>
      <c r="B1332" t="inlineStr">
        <is>
          <t xml:space="preserve">Saver Sub 4-3/4" OD for NMDC
3-1/2" IF Pin x Box
Set on : </t>
        </is>
      </c>
      <c r="C1332" t="n">
        <v>30</v>
      </c>
      <c r="D1332" s="62" t="n">
        <v>4.75</v>
      </c>
      <c r="E1332" t="n">
        <v>500</v>
      </c>
      <c r="T1332" t="n">
        <v>21</v>
      </c>
      <c r="V1332" t="inlineStr">
        <is>
          <t>FR</t>
        </is>
      </c>
    </row>
    <row r="1333">
      <c r="A1333" t="n">
        <v>8081151</v>
      </c>
      <c r="B1333" t="inlineStr">
        <is>
          <t xml:space="preserve">Saver Sub 4-3/4" OD for NMDC
3-1/2" IF Pin x Box
Set on : </t>
        </is>
      </c>
      <c r="C1333" t="n">
        <v>30</v>
      </c>
      <c r="D1333" s="62" t="n">
        <v>4.75</v>
      </c>
      <c r="E1333" t="n">
        <v>500</v>
      </c>
      <c r="T1333" t="n">
        <v>22</v>
      </c>
      <c r="V1333" t="inlineStr">
        <is>
          <t>FR</t>
        </is>
      </c>
    </row>
    <row r="1334">
      <c r="A1334" t="n">
        <v>8081152</v>
      </c>
      <c r="B1334" t="inlineStr">
        <is>
          <t xml:space="preserve">Saver Sub 6-1/2" OD for NMDC
4-1/2" IF Pin x Box
Set on : </t>
        </is>
      </c>
      <c r="C1334" t="n">
        <v>75.1053578535</v>
      </c>
      <c r="D1334" s="62" t="n">
        <v>6.5</v>
      </c>
      <c r="E1334" t="n">
        <v>600</v>
      </c>
      <c r="T1334" t="n">
        <v>40</v>
      </c>
      <c r="V1334" t="inlineStr">
        <is>
          <t>FR</t>
        </is>
      </c>
    </row>
    <row r="1335">
      <c r="A1335" t="n">
        <v>8081153</v>
      </c>
      <c r="B1335" t="inlineStr">
        <is>
          <t xml:space="preserve">Saver Sub 6-1/2" OD for NMDC
4-1/2" IF Pin x Box
Set on : </t>
        </is>
      </c>
      <c r="C1335" t="n">
        <v>43.81145874787499</v>
      </c>
      <c r="D1335" s="62" t="n">
        <v>6.5</v>
      </c>
      <c r="E1335" t="n">
        <v>350</v>
      </c>
      <c r="T1335" t="n">
        <v>41</v>
      </c>
      <c r="V1335" t="inlineStr">
        <is>
          <t>FR</t>
        </is>
      </c>
    </row>
    <row r="1336">
      <c r="A1336" t="n">
        <v>8081154</v>
      </c>
      <c r="B1336" t="inlineStr">
        <is>
          <t xml:space="preserve">Saver Sub 6-1/2" OD for NMDC
4-1/2" IF Pin x Box
Set on : </t>
        </is>
      </c>
      <c r="C1336" t="n">
        <v>43.81145874787499</v>
      </c>
      <c r="D1336" s="62" t="n">
        <v>6.5</v>
      </c>
      <c r="E1336" t="n">
        <v>350</v>
      </c>
      <c r="T1336" t="n">
        <v>42</v>
      </c>
      <c r="V1336" t="inlineStr">
        <is>
          <t>FR</t>
        </is>
      </c>
    </row>
    <row r="1337">
      <c r="A1337" t="n">
        <v>8081155</v>
      </c>
      <c r="B1337" t="inlineStr">
        <is>
          <t xml:space="preserve">Saver Sub 6-1/2" OD for NMDC
4-1/2" IF Pin x Box
Set on : </t>
        </is>
      </c>
      <c r="C1337" t="n">
        <v>43.81145874787499</v>
      </c>
      <c r="D1337" s="62" t="n">
        <v>6.5</v>
      </c>
      <c r="E1337" t="n">
        <v>350</v>
      </c>
      <c r="T1337" t="n">
        <v>43</v>
      </c>
      <c r="V1337" t="inlineStr">
        <is>
          <t>FR</t>
        </is>
      </c>
    </row>
    <row r="1338">
      <c r="A1338" t="n">
        <v>8081156</v>
      </c>
      <c r="B1338" t="inlineStr">
        <is>
          <t xml:space="preserve">Saver Sub 6-1/2" OD for NMDC
4-1/2" IF Pin x Box
Set on : </t>
        </is>
      </c>
      <c r="C1338" t="n">
        <v>43.81145874787499</v>
      </c>
      <c r="D1338" s="62" t="n">
        <v>6.5</v>
      </c>
      <c r="E1338" t="n">
        <v>350</v>
      </c>
      <c r="T1338" t="n">
        <v>44</v>
      </c>
      <c r="V1338" t="inlineStr">
        <is>
          <t>FR</t>
        </is>
      </c>
    </row>
    <row r="1339">
      <c r="A1339" t="n">
        <v>8081157</v>
      </c>
      <c r="B1339" t="inlineStr">
        <is>
          <t xml:space="preserve">Saver Sub 6-1/2" OD for NMDC
4-1/2" IF Pin x Box
Set on : </t>
        </is>
      </c>
      <c r="C1339" t="n">
        <v>43.81145874787499</v>
      </c>
      <c r="D1339" s="62" t="n">
        <v>6.5</v>
      </c>
      <c r="E1339" t="n">
        <v>350</v>
      </c>
      <c r="T1339" t="n">
        <v>45</v>
      </c>
      <c r="V1339" t="inlineStr">
        <is>
          <t>FR</t>
        </is>
      </c>
    </row>
    <row r="1340">
      <c r="A1340" t="n">
        <v>8081158</v>
      </c>
      <c r="B1340" t="inlineStr">
        <is>
          <t xml:space="preserve">Saver Sub 8" OD for NMDC
6-5/8" REG Pin x Box
Set on : </t>
        </is>
      </c>
      <c r="C1340" t="n">
        <v>138.08818753275</v>
      </c>
      <c r="D1340" s="62" t="n">
        <v>8</v>
      </c>
      <c r="E1340" t="n">
        <v>700</v>
      </c>
      <c r="T1340" t="n">
        <v>72</v>
      </c>
      <c r="V1340" t="inlineStr">
        <is>
          <t>FR</t>
        </is>
      </c>
    </row>
    <row r="1341">
      <c r="A1341" t="n">
        <v>8081159</v>
      </c>
      <c r="B1341" t="inlineStr">
        <is>
          <t xml:space="preserve">Saver Sub 8" OD for NMDC
6-5/8" REG Pin x Box
Set on : </t>
        </is>
      </c>
      <c r="C1341" t="n">
        <v>138.08818753275</v>
      </c>
      <c r="D1341" s="62" t="n">
        <v>8</v>
      </c>
      <c r="E1341" t="n">
        <v>700</v>
      </c>
      <c r="T1341" t="n">
        <v>73</v>
      </c>
      <c r="V1341" t="inlineStr">
        <is>
          <t>FR</t>
        </is>
      </c>
    </row>
    <row r="1342">
      <c r="A1342" t="n">
        <v>8081160</v>
      </c>
      <c r="B1342" t="inlineStr">
        <is>
          <t xml:space="preserve">Saver Sub 8" OD for NMDC
6-5/8" REG Pin x Box
Set on : </t>
        </is>
      </c>
      <c r="C1342" t="n">
        <v>138.08818753275</v>
      </c>
      <c r="D1342" s="62" t="n">
        <v>8</v>
      </c>
      <c r="E1342" t="n">
        <v>700</v>
      </c>
      <c r="T1342" t="n">
        <v>74</v>
      </c>
      <c r="V1342" t="inlineStr">
        <is>
          <t>FR</t>
        </is>
      </c>
    </row>
    <row r="1343">
      <c r="A1343" t="n">
        <v>8081161</v>
      </c>
      <c r="B1343" t="inlineStr">
        <is>
          <t xml:space="preserve">Saver Sub 8" OD for NMDC
6-5/8" REG Pin x Box
Set on : </t>
        </is>
      </c>
      <c r="C1343" t="n">
        <v>138.08818753275</v>
      </c>
      <c r="D1343" s="62" t="n">
        <v>8</v>
      </c>
      <c r="E1343" t="n">
        <v>700</v>
      </c>
      <c r="T1343" t="n">
        <v>75</v>
      </c>
      <c r="V1343" t="inlineStr">
        <is>
          <t>FR</t>
        </is>
      </c>
    </row>
    <row r="1344">
      <c r="A1344" t="n">
        <v>8081162</v>
      </c>
      <c r="B1344" t="inlineStr">
        <is>
          <t xml:space="preserve">Saver Sub 8" OD for NMDC
6-5/8" REG Pin x Box
Set on : </t>
        </is>
      </c>
      <c r="C1344" t="n">
        <v>139.3735828954218</v>
      </c>
      <c r="D1344" s="62" t="n">
        <v>8</v>
      </c>
      <c r="E1344" t="n">
        <v>700</v>
      </c>
      <c r="T1344" t="n">
        <v>76</v>
      </c>
      <c r="V1344" t="inlineStr">
        <is>
          <t>FR</t>
        </is>
      </c>
    </row>
    <row r="1345">
      <c r="A1345" t="n">
        <v>8081163</v>
      </c>
      <c r="B1345" t="inlineStr">
        <is>
          <t xml:space="preserve">Saver Sub 8" OD for NMDC
6-5/8" REG Pin x Box
Set on : </t>
        </is>
      </c>
      <c r="C1345" t="n">
        <v>138.08818753275</v>
      </c>
      <c r="D1345" s="62" t="n">
        <v>8</v>
      </c>
      <c r="E1345" t="n">
        <v>700</v>
      </c>
      <c r="T1345" t="n">
        <v>77</v>
      </c>
      <c r="V1345" t="inlineStr">
        <is>
          <t>FR</t>
        </is>
      </c>
    </row>
    <row r="1346">
      <c r="A1346" t="n">
        <v>8081164</v>
      </c>
      <c r="B1346" t="inlineStr">
        <is>
          <t xml:space="preserve">Saver Sub 8" OD for NMDC
6-5/8" REG Pin x Box
Set on : </t>
        </is>
      </c>
      <c r="C1346" t="n">
        <v>62.51900718451782</v>
      </c>
      <c r="D1346" s="62" t="n">
        <v>8</v>
      </c>
      <c r="E1346" t="n">
        <v>314</v>
      </c>
      <c r="T1346" t="n">
        <v>78</v>
      </c>
      <c r="V1346" t="inlineStr">
        <is>
          <t>FR</t>
        </is>
      </c>
    </row>
    <row r="1347">
      <c r="A1347" t="n">
        <v>8081148</v>
      </c>
      <c r="B1347" t="inlineStr">
        <is>
          <t xml:space="preserve">Saver Sub 8" OD for NMDC
6-5/8" REG Pin x Box
Set on : </t>
        </is>
      </c>
      <c r="C1347" t="n">
        <v>138.08818753275</v>
      </c>
      <c r="D1347" s="62" t="n">
        <v>8</v>
      </c>
      <c r="E1347" t="n">
        <v>700</v>
      </c>
      <c r="T1347" t="n">
        <v>79</v>
      </c>
      <c r="V1347" t="inlineStr">
        <is>
          <t>FR</t>
        </is>
      </c>
    </row>
    <row r="1348">
      <c r="A1348" t="n">
        <v>8081165</v>
      </c>
      <c r="B1348" t="inlineStr">
        <is>
          <t xml:space="preserve">Saver Sub 9-1/2" OD for NMDC
7-5/8" REG Pin x Box
Set on : </t>
        </is>
      </c>
      <c r="C1348" t="n">
        <v>99.80716933687499</v>
      </c>
      <c r="D1348" s="62" t="n">
        <v>9.5</v>
      </c>
      <c r="E1348" t="n">
        <v>350</v>
      </c>
      <c r="T1348" t="n">
        <v>106</v>
      </c>
      <c r="V1348" t="inlineStr">
        <is>
          <t>FR</t>
        </is>
      </c>
    </row>
    <row r="1349">
      <c r="A1349" t="n">
        <v>8081166</v>
      </c>
      <c r="B1349" t="inlineStr">
        <is>
          <t xml:space="preserve">Saver Sub 9-1/2" OD for NMDC
7-5/8" REG Pin x Box
Set on : </t>
        </is>
      </c>
      <c r="C1349" t="n">
        <v>94.10390251762499</v>
      </c>
      <c r="D1349" s="62" t="n">
        <v>9.5</v>
      </c>
      <c r="E1349" t="n">
        <v>330</v>
      </c>
      <c r="T1349" t="n">
        <v>107</v>
      </c>
      <c r="V1349" t="inlineStr">
        <is>
          <t>FR</t>
        </is>
      </c>
    </row>
    <row r="1350">
      <c r="A1350" t="n">
        <v>8081167</v>
      </c>
      <c r="B1350" t="inlineStr">
        <is>
          <t xml:space="preserve">Saver Sub 9-1/2" OD for NMDC
7-5/8" REG Pin x Box
Set on : </t>
        </is>
      </c>
      <c r="C1350" t="n">
        <v>99.80716933687499</v>
      </c>
      <c r="D1350" s="62" t="n">
        <v>9.5</v>
      </c>
      <c r="E1350" t="n">
        <v>350</v>
      </c>
      <c r="T1350" t="n">
        <v>108</v>
      </c>
      <c r="V1350" t="inlineStr">
        <is>
          <t>FR</t>
        </is>
      </c>
    </row>
    <row r="1351">
      <c r="A1351" t="n">
        <v>8081168</v>
      </c>
      <c r="B1351" t="inlineStr">
        <is>
          <t xml:space="preserve">Saver Sub 9-1/2" OD for NMDC
7-5/8" REG Pin x Box
Set on : </t>
        </is>
      </c>
      <c r="C1351" t="n">
        <v>99.80716933687499</v>
      </c>
      <c r="D1351" s="62" t="n">
        <v>9.5</v>
      </c>
      <c r="E1351" t="n">
        <v>350</v>
      </c>
      <c r="T1351" t="n">
        <v>109</v>
      </c>
      <c r="V1351" t="inlineStr">
        <is>
          <t>FR</t>
        </is>
      </c>
    </row>
    <row r="1352">
      <c r="A1352" t="n">
        <v>8081169</v>
      </c>
      <c r="B1352" t="inlineStr">
        <is>
          <t xml:space="preserve">Saver Sub 9-1/2" OD for NMDC
7-5/8" REG Pin x Box
Set on : </t>
        </is>
      </c>
      <c r="C1352" t="n">
        <v>99.80716933687499</v>
      </c>
      <c r="D1352" s="62" t="n">
        <v>9.5</v>
      </c>
      <c r="E1352" t="n">
        <v>350</v>
      </c>
      <c r="T1352" t="n">
        <v>110</v>
      </c>
      <c r="V1352" t="inlineStr">
        <is>
          <t>FR</t>
        </is>
      </c>
    </row>
    <row r="1353">
      <c r="A1353" t="n">
        <v>8081170</v>
      </c>
      <c r="B1353" t="inlineStr">
        <is>
          <t xml:space="preserve">Saver Sub 9-1/2" OD for NMDC
7-5/8" REG Pin x Box
Set on : </t>
        </is>
      </c>
      <c r="C1353" t="n">
        <v>99.80716933687499</v>
      </c>
      <c r="D1353" s="62" t="n">
        <v>9.5</v>
      </c>
      <c r="E1353" t="n">
        <v>350</v>
      </c>
      <c r="T1353" t="n">
        <v>111</v>
      </c>
      <c r="V1353" t="inlineStr">
        <is>
          <t>FR</t>
        </is>
      </c>
    </row>
    <row r="1354">
      <c r="A1354" t="n">
        <v>8081171</v>
      </c>
      <c r="B1354" t="inlineStr">
        <is>
          <t xml:space="preserve">Saver Sub 9-1/2" OD for NMDC
7-5/8" REG Pin x Box
Set on : </t>
        </is>
      </c>
      <c r="C1354" t="n">
        <v>99.80716933687499</v>
      </c>
      <c r="D1354" s="62" t="n">
        <v>9.5</v>
      </c>
      <c r="E1354" t="n">
        <v>350</v>
      </c>
      <c r="T1354" t="n">
        <v>112</v>
      </c>
      <c r="V1354" t="inlineStr">
        <is>
          <t>FR</t>
        </is>
      </c>
    </row>
    <row r="1355">
      <c r="A1355" t="n">
        <v>8081172</v>
      </c>
      <c r="B1355" t="inlineStr">
        <is>
          <t xml:space="preserve">Saver Sub 9-1/2" OD for NMDC
7-5/8" REG Pin x Box
Set on : </t>
        </is>
      </c>
      <c r="C1355" t="n">
        <v>99.80716933687499</v>
      </c>
      <c r="D1355" s="62" t="n">
        <v>9.5</v>
      </c>
      <c r="E1355" t="n">
        <v>350</v>
      </c>
      <c r="T1355" t="n">
        <v>113</v>
      </c>
      <c r="V1355" t="inlineStr">
        <is>
          <t>FR</t>
        </is>
      </c>
    </row>
    <row r="1356">
      <c r="A1356" t="n">
        <v>8131173</v>
      </c>
      <c r="B1356" t="inlineStr">
        <is>
          <t>XO
6-5/8" REG Pin x 7-5/8" REG Box</t>
        </is>
      </c>
      <c r="C1356" t="n">
        <v>85</v>
      </c>
      <c r="D1356" s="62" t="n">
        <v>9.5625</v>
      </c>
      <c r="E1356" t="n">
        <v>300</v>
      </c>
      <c r="T1356" t="n">
        <v>217</v>
      </c>
      <c r="V1356" t="inlineStr">
        <is>
          <t>FR</t>
        </is>
      </c>
    </row>
    <row r="1357">
      <c r="A1357" t="n">
        <v>8131174</v>
      </c>
      <c r="B1357" t="inlineStr">
        <is>
          <t>XO
6-5/8" REG Pin x 7-5/8" REG Box</t>
        </is>
      </c>
      <c r="C1357" t="n">
        <v>85</v>
      </c>
      <c r="D1357" s="62" t="n">
        <v>9.5625</v>
      </c>
      <c r="E1357" t="n">
        <v>305</v>
      </c>
      <c r="T1357" t="n">
        <v>218</v>
      </c>
      <c r="V1357" t="inlineStr">
        <is>
          <t>FR</t>
        </is>
      </c>
    </row>
    <row r="1358">
      <c r="A1358" t="n">
        <v>5081175</v>
      </c>
      <c r="B1358" t="inlineStr">
        <is>
          <t>Taper Mill 
4-1/2" REG Pin</t>
        </is>
      </c>
      <c r="C1358" t="n">
        <v>0</v>
      </c>
      <c r="D1358" s="62" t="n">
        <v>9.0625</v>
      </c>
      <c r="E1358" t="n">
        <v>0</v>
      </c>
      <c r="T1358" t="n">
        <v>42</v>
      </c>
      <c r="V1358" t="inlineStr">
        <is>
          <t>FR</t>
        </is>
      </c>
    </row>
    <row r="1359">
      <c r="A1359" t="n">
        <v>5081176</v>
      </c>
      <c r="B1359" t="inlineStr">
        <is>
          <t>Taper Mill 
4-1/2" REG Pin</t>
        </is>
      </c>
      <c r="C1359" t="n">
        <v>0</v>
      </c>
      <c r="D1359" s="62" t="n">
        <v>9.625</v>
      </c>
      <c r="E1359" t="n">
        <v>0</v>
      </c>
      <c r="T1359" t="n">
        <v>43</v>
      </c>
      <c r="V1359" t="inlineStr">
        <is>
          <t>FR</t>
        </is>
      </c>
    </row>
    <row r="1360">
      <c r="A1360" t="n">
        <v>5081177</v>
      </c>
      <c r="B1360" t="inlineStr">
        <is>
          <t>Taper Mill 
6-5/8" REG Pin</t>
        </is>
      </c>
      <c r="C1360" t="n">
        <v>0</v>
      </c>
      <c r="D1360" s="62" t="n">
        <v>12.25</v>
      </c>
      <c r="E1360" t="n">
        <v>0</v>
      </c>
      <c r="T1360" t="n">
        <v>46</v>
      </c>
      <c r="V1360" t="inlineStr">
        <is>
          <t>FR</t>
        </is>
      </c>
    </row>
    <row r="1361">
      <c r="A1361" t="n">
        <v>8131178</v>
      </c>
      <c r="B1361" t="inlineStr">
        <is>
          <t>XO
2-3/8" REG Pin x 2-3/8" IF Box</t>
        </is>
      </c>
      <c r="C1361" t="n">
        <v>21.344044005375</v>
      </c>
      <c r="D1361" s="62" t="n">
        <v>3.375</v>
      </c>
      <c r="E1361" t="n">
        <v>520</v>
      </c>
      <c r="T1361" t="n">
        <v>44</v>
      </c>
      <c r="V1361" t="inlineStr">
        <is>
          <t>FR</t>
        </is>
      </c>
    </row>
    <row r="1362">
      <c r="A1362" t="n">
        <v>5101179</v>
      </c>
      <c r="B1362" t="inlineStr">
        <is>
          <t>WO Pipe
8-1/8" FJWP Pin x Box</t>
        </is>
      </c>
      <c r="C1362" t="n">
        <v>430.7521884939006</v>
      </c>
      <c r="D1362" s="62" t="n">
        <v>8.125</v>
      </c>
      <c r="E1362" t="n">
        <v>9380</v>
      </c>
      <c r="T1362" t="n">
        <v>121</v>
      </c>
      <c r="V1362" t="inlineStr">
        <is>
          <t>FR</t>
        </is>
      </c>
    </row>
    <row r="1363">
      <c r="A1363" t="n">
        <v>5101180</v>
      </c>
      <c r="B1363" t="inlineStr">
        <is>
          <t>WO Pipe
8-1/8" FJWP Pin x Box</t>
        </is>
      </c>
      <c r="C1363" t="n">
        <v>430.7521884939006</v>
      </c>
      <c r="D1363" s="62" t="n">
        <v>8.125</v>
      </c>
      <c r="E1363" t="n">
        <v>9380</v>
      </c>
      <c r="T1363" t="n">
        <v>122</v>
      </c>
      <c r="V1363" t="inlineStr">
        <is>
          <t>FR</t>
        </is>
      </c>
    </row>
    <row r="1364">
      <c r="A1364" t="n">
        <v>5101181</v>
      </c>
      <c r="B1364" t="inlineStr">
        <is>
          <t>WO Pipe
8-1/8" FJWP Pin x Box</t>
        </is>
      </c>
      <c r="C1364" t="n">
        <v>425.7007235968506</v>
      </c>
      <c r="D1364" s="62" t="n">
        <v>8.125</v>
      </c>
      <c r="E1364" t="n">
        <v>9270</v>
      </c>
      <c r="T1364" t="n">
        <v>123</v>
      </c>
      <c r="V1364" t="inlineStr">
        <is>
          <t>FR</t>
        </is>
      </c>
    </row>
    <row r="1365">
      <c r="A1365" t="n">
        <v>5101182</v>
      </c>
      <c r="B1365" t="inlineStr">
        <is>
          <t>WO Pipe
8-1/8" FJWP Pin x Box</t>
        </is>
      </c>
      <c r="C1365" t="n">
        <v>430.7521884939006</v>
      </c>
      <c r="D1365" s="62" t="n">
        <v>8.125</v>
      </c>
      <c r="E1365" t="n">
        <v>9380</v>
      </c>
      <c r="T1365" t="n">
        <v>124</v>
      </c>
      <c r="V1365" t="inlineStr">
        <is>
          <t>FR</t>
        </is>
      </c>
    </row>
    <row r="1366">
      <c r="A1366" t="n">
        <v>5101183</v>
      </c>
      <c r="B1366" t="inlineStr">
        <is>
          <t>WO Pipe
8-1/8" FJWP Pin x Box</t>
        </is>
      </c>
      <c r="C1366" t="n">
        <v>430.7521884939006</v>
      </c>
      <c r="D1366" s="62" t="n">
        <v>8.125</v>
      </c>
      <c r="E1366" t="n">
        <v>9380</v>
      </c>
      <c r="T1366" t="n">
        <v>125</v>
      </c>
      <c r="V1366" t="inlineStr">
        <is>
          <t>FR</t>
        </is>
      </c>
    </row>
    <row r="1367">
      <c r="A1367" t="n">
        <v>5101184</v>
      </c>
      <c r="B1367" t="inlineStr">
        <is>
          <t>WO Pipe
8-1/8" FJWP Pin x Box</t>
        </is>
      </c>
      <c r="C1367" t="n">
        <v>430.7521884939006</v>
      </c>
      <c r="D1367" s="62" t="n">
        <v>8.125</v>
      </c>
      <c r="E1367" t="n">
        <v>9380</v>
      </c>
      <c r="T1367" t="n">
        <v>126</v>
      </c>
      <c r="V1367" t="inlineStr">
        <is>
          <t>FR</t>
        </is>
      </c>
    </row>
    <row r="1368">
      <c r="A1368" t="n">
        <v>5091185</v>
      </c>
      <c r="B1368" t="inlineStr">
        <is>
          <t>WO Extension Lg 4060 mm
8-1/8" FJWP Pin x Box</t>
        </is>
      </c>
      <c r="C1368" t="n">
        <v>186.4449771093002</v>
      </c>
      <c r="D1368" s="62" t="n">
        <v>8.125</v>
      </c>
      <c r="E1368" t="n">
        <v>4060</v>
      </c>
      <c r="T1368" t="n">
        <v>98</v>
      </c>
      <c r="V1368" t="inlineStr">
        <is>
          <t>FR</t>
        </is>
      </c>
    </row>
    <row r="1369">
      <c r="A1369" t="n">
        <v>5091186</v>
      </c>
      <c r="B1369" t="inlineStr">
        <is>
          <t>WO Extension Lg 2300 mm
8-1/8" FJWP Pin x Box</t>
        </is>
      </c>
      <c r="C1369" t="n">
        <v>105.6215387565001</v>
      </c>
      <c r="D1369" s="62" t="n">
        <v>8.125</v>
      </c>
      <c r="E1369" t="n">
        <v>2300</v>
      </c>
      <c r="T1369" t="n">
        <v>166</v>
      </c>
      <c r="V1369" t="inlineStr">
        <is>
          <t>FR</t>
        </is>
      </c>
    </row>
    <row r="1370">
      <c r="A1370" t="n">
        <v>5091187</v>
      </c>
      <c r="B1370" t="inlineStr">
        <is>
          <t>WO Extension Lg 2000 mm
8-1/8" FJWP Pin x Box</t>
        </is>
      </c>
      <c r="C1370" t="n">
        <v>91.84481631000011</v>
      </c>
      <c r="D1370" s="62" t="n">
        <v>8.125</v>
      </c>
      <c r="E1370" t="n">
        <v>2000</v>
      </c>
      <c r="T1370" t="n">
        <v>96</v>
      </c>
      <c r="V1370" t="inlineStr">
        <is>
          <t>FR</t>
        </is>
      </c>
    </row>
    <row r="1371">
      <c r="A1371" t="n">
        <v>5091188</v>
      </c>
      <c r="B1371" t="inlineStr">
        <is>
          <t>WO Extension Lg 1000 mm
8-1/8" FJWP Pin x Box</t>
        </is>
      </c>
      <c r="C1371" t="n">
        <v>45.92240815500006</v>
      </c>
      <c r="D1371" s="62" t="n">
        <v>8.125</v>
      </c>
      <c r="E1371" t="n">
        <v>1000</v>
      </c>
      <c r="T1371" t="n">
        <v>93</v>
      </c>
      <c r="V1371" t="inlineStr">
        <is>
          <t>FR</t>
        </is>
      </c>
    </row>
    <row r="1372">
      <c r="A1372" t="n">
        <v>5091189</v>
      </c>
      <c r="B1372" t="inlineStr">
        <is>
          <t>WO Extension Lg 1000 mm
8-1/8" FJWP Pin x Box</t>
        </is>
      </c>
      <c r="C1372" t="n">
        <v>45.92240815500006</v>
      </c>
      <c r="D1372" s="62" t="n">
        <v>8.125</v>
      </c>
      <c r="E1372" t="n">
        <v>1000</v>
      </c>
      <c r="T1372" t="n">
        <v>94</v>
      </c>
      <c r="V1372" t="inlineStr">
        <is>
          <t>FR</t>
        </is>
      </c>
    </row>
    <row r="1373">
      <c r="A1373" t="n">
        <v>5091190</v>
      </c>
      <c r="B1373" t="inlineStr">
        <is>
          <t>WO Extension Lg 1000 mm
8-1/8" FJWP Pin x Box</t>
        </is>
      </c>
      <c r="C1373" t="n">
        <v>45.92240815500006</v>
      </c>
      <c r="D1373" s="62" t="n">
        <v>8.125</v>
      </c>
      <c r="E1373" t="n">
        <v>1000</v>
      </c>
      <c r="T1373" t="n">
        <v>95</v>
      </c>
      <c r="V1373" t="inlineStr">
        <is>
          <t>FR</t>
        </is>
      </c>
    </row>
    <row r="1374">
      <c r="A1374" t="n">
        <v>5111191</v>
      </c>
      <c r="B1374" t="inlineStr">
        <is>
          <t>WO Shoe
8-1/8" FJWP Box</t>
        </is>
      </c>
      <c r="C1374" t="n">
        <v>0</v>
      </c>
      <c r="D1374" s="62" t="n">
        <v>8.5</v>
      </c>
      <c r="E1374" t="n">
        <v>760</v>
      </c>
      <c r="T1374" t="n">
        <v>175</v>
      </c>
      <c r="V1374" t="inlineStr">
        <is>
          <t>FR</t>
        </is>
      </c>
    </row>
    <row r="1375">
      <c r="A1375" t="n">
        <v>5111192</v>
      </c>
      <c r="B1375" t="inlineStr">
        <is>
          <t>WO Shoe
8-1/8" FJWP Box</t>
        </is>
      </c>
      <c r="C1375" t="n">
        <v>0</v>
      </c>
      <c r="D1375" s="62" t="n">
        <v>8.5</v>
      </c>
      <c r="E1375" t="n">
        <v>760</v>
      </c>
      <c r="T1375" t="n">
        <v>176</v>
      </c>
      <c r="V1375" t="inlineStr">
        <is>
          <t>FR</t>
        </is>
      </c>
    </row>
    <row r="1376">
      <c r="A1376" t="n">
        <v>5111193</v>
      </c>
      <c r="B1376" t="inlineStr">
        <is>
          <t>WO Shoe
8-1/8" FJWP Box</t>
        </is>
      </c>
      <c r="C1376" t="n">
        <v>38</v>
      </c>
      <c r="D1376" s="62" t="n">
        <v>8.5</v>
      </c>
      <c r="E1376" t="n">
        <v>680</v>
      </c>
      <c r="T1376" t="n">
        <v>177</v>
      </c>
      <c r="V1376" t="inlineStr">
        <is>
          <t>FR</t>
        </is>
      </c>
    </row>
    <row r="1377">
      <c r="A1377" t="n">
        <v>5111194</v>
      </c>
      <c r="B1377" t="inlineStr">
        <is>
          <t>WO Shoe
8-1/8" FJWP Box</t>
        </is>
      </c>
      <c r="C1377" t="n">
        <v>0</v>
      </c>
      <c r="D1377" s="62" t="n">
        <v>8.5</v>
      </c>
      <c r="E1377" t="n">
        <v>760</v>
      </c>
      <c r="T1377" t="n">
        <v>178</v>
      </c>
      <c r="V1377" t="inlineStr">
        <is>
          <t>FR</t>
        </is>
      </c>
    </row>
    <row r="1378">
      <c r="A1378" t="n">
        <v>5111195</v>
      </c>
      <c r="B1378" t="inlineStr">
        <is>
          <t>WO Shoe
8-1/8" FJWP Box</t>
        </is>
      </c>
      <c r="C1378" t="n">
        <v>0</v>
      </c>
      <c r="D1378" s="62" t="n">
        <v>8.5</v>
      </c>
      <c r="E1378" t="n">
        <v>750</v>
      </c>
      <c r="T1378" t="n">
        <v>179</v>
      </c>
      <c r="V1378" t="inlineStr">
        <is>
          <t>FR</t>
        </is>
      </c>
    </row>
    <row r="1379">
      <c r="A1379" t="n">
        <v>5111196</v>
      </c>
      <c r="B1379" t="inlineStr">
        <is>
          <t>WO Shoe
8-1/8" FJWP Box</t>
        </is>
      </c>
      <c r="C1379" t="n">
        <v>0</v>
      </c>
      <c r="D1379" s="62" t="n">
        <v>8.5</v>
      </c>
      <c r="E1379" t="n">
        <v>750</v>
      </c>
      <c r="T1379" t="n">
        <v>180</v>
      </c>
      <c r="V1379" t="inlineStr">
        <is>
          <t>FR</t>
        </is>
      </c>
    </row>
    <row r="1380">
      <c r="A1380" t="n">
        <v>5111197</v>
      </c>
      <c r="B1380" t="inlineStr">
        <is>
          <t>WO Shoe
8-1/8" FJWP Box</t>
        </is>
      </c>
      <c r="C1380" t="n">
        <v>0</v>
      </c>
      <c r="D1380" s="62" t="n">
        <v>8.5</v>
      </c>
      <c r="E1380" t="n">
        <v>750</v>
      </c>
      <c r="T1380" t="n">
        <v>181</v>
      </c>
      <c r="V1380" t="inlineStr">
        <is>
          <t>FR</t>
        </is>
      </c>
    </row>
    <row r="1381">
      <c r="A1381" t="n">
        <v>5161198</v>
      </c>
      <c r="B1381" t="inlineStr">
        <is>
          <t>WO Lift Sub for 5" DP 18"
8-1/8" FJWP Pin</t>
        </is>
      </c>
      <c r="C1381" t="n">
        <v>114</v>
      </c>
      <c r="D1381" s="62" t="n">
        <v>8.125</v>
      </c>
      <c r="E1381" t="n">
        <v>1110</v>
      </c>
      <c r="T1381" t="n">
        <v>15</v>
      </c>
      <c r="V1381" t="inlineStr">
        <is>
          <t>FR</t>
        </is>
      </c>
    </row>
    <row r="1382">
      <c r="A1382" t="n">
        <v>5161199</v>
      </c>
      <c r="B1382" t="inlineStr">
        <is>
          <t>WO Lift Sub for 5" DP 18"
8-1/8" FJWP Pin</t>
        </is>
      </c>
      <c r="C1382" t="n">
        <v>114</v>
      </c>
      <c r="D1382" s="62" t="n">
        <v>8.125</v>
      </c>
      <c r="E1382" t="n">
        <v>1110</v>
      </c>
      <c r="T1382" t="n">
        <v>16</v>
      </c>
      <c r="V1382" t="inlineStr">
        <is>
          <t>FR</t>
        </is>
      </c>
    </row>
    <row r="1383">
      <c r="A1383" t="n">
        <v>5161200</v>
      </c>
      <c r="B1383" t="inlineStr">
        <is>
          <t>WO Lift Sub for 5" DP 18"
8-1/8" FJWP Pin</t>
        </is>
      </c>
      <c r="C1383" t="n">
        <v>114</v>
      </c>
      <c r="D1383" s="62" t="n">
        <v>8.125</v>
      </c>
      <c r="E1383" t="n">
        <v>1110</v>
      </c>
      <c r="T1383" t="n">
        <v>17</v>
      </c>
      <c r="V1383" t="inlineStr">
        <is>
          <t>FR</t>
        </is>
      </c>
    </row>
    <row r="1384">
      <c r="A1384" t="n">
        <v>5151201</v>
      </c>
      <c r="B1384" t="inlineStr">
        <is>
          <t>WO Lift Plug 
8-1/8" FJWP Pin</t>
        </is>
      </c>
      <c r="C1384" t="n">
        <v>0</v>
      </c>
      <c r="D1384" s="62" t="n">
        <v>0</v>
      </c>
      <c r="T1384" t="n">
        <v>27</v>
      </c>
      <c r="V1384" t="inlineStr">
        <is>
          <t>FR</t>
        </is>
      </c>
    </row>
    <row r="1385">
      <c r="A1385" t="n">
        <v>5151202</v>
      </c>
      <c r="B1385" t="inlineStr">
        <is>
          <t>WO Lift Plug 
8-1/8" FJWP Pin</t>
        </is>
      </c>
      <c r="C1385" t="n">
        <v>0</v>
      </c>
      <c r="D1385" s="62" t="n">
        <v>0</v>
      </c>
      <c r="T1385" t="n">
        <v>28</v>
      </c>
      <c r="V1385" t="inlineStr">
        <is>
          <t>FR</t>
        </is>
      </c>
    </row>
    <row r="1386">
      <c r="A1386" t="n">
        <v>5151203</v>
      </c>
      <c r="B1386" t="inlineStr">
        <is>
          <t>WO Lift Plug 
8-1/8" FJWP Pin</t>
        </is>
      </c>
      <c r="C1386" t="n">
        <v>0</v>
      </c>
      <c r="D1386" s="62" t="n">
        <v>0</v>
      </c>
      <c r="T1386" t="n">
        <v>29</v>
      </c>
      <c r="V1386" t="inlineStr">
        <is>
          <t>FR</t>
        </is>
      </c>
    </row>
    <row r="1387">
      <c r="A1387" t="n">
        <v>5121204</v>
      </c>
      <c r="B1387" t="inlineStr">
        <is>
          <t>WO Top Sub
4-1/2" IF Box x 8-1/8" FJWP Pin x 4-1/2" REG Box in</t>
        </is>
      </c>
      <c r="C1387" t="n">
        <v>0</v>
      </c>
      <c r="D1387" s="62" t="n">
        <v>3.75</v>
      </c>
      <c r="E1387" t="n">
        <v>652</v>
      </c>
      <c r="T1387" t="n">
        <v>38</v>
      </c>
      <c r="V1387" t="inlineStr">
        <is>
          <t>FR</t>
        </is>
      </c>
    </row>
    <row r="1388">
      <c r="A1388" t="n">
        <v>5121205</v>
      </c>
      <c r="B1388" t="inlineStr">
        <is>
          <t>WO Top Sub
4-1/2" IF Box x 8-1/8" FJWP Pin x 4-1/2" REG Box in</t>
        </is>
      </c>
      <c r="C1388" t="n">
        <v>90</v>
      </c>
      <c r="D1388" s="62" t="n">
        <v>8.125</v>
      </c>
      <c r="E1388" t="n">
        <v>600</v>
      </c>
      <c r="T1388" t="n">
        <v>39</v>
      </c>
      <c r="V1388" t="inlineStr">
        <is>
          <t>FR</t>
        </is>
      </c>
    </row>
    <row r="1389">
      <c r="A1389" t="n">
        <v>5121206</v>
      </c>
      <c r="B1389" t="inlineStr">
        <is>
          <t>WO Top Sub
4-1/2" IF Box x 8-1/8" FJWP Pin x 4-1/2" REG Box in</t>
        </is>
      </c>
      <c r="C1389" t="n">
        <v>90</v>
      </c>
      <c r="D1389" s="62" t="n">
        <v>8.125</v>
      </c>
      <c r="E1389" t="n">
        <v>600</v>
      </c>
      <c r="T1389" t="n">
        <v>40</v>
      </c>
      <c r="V1389" t="inlineStr">
        <is>
          <t>FR</t>
        </is>
      </c>
    </row>
    <row r="1390">
      <c r="A1390" t="n">
        <v>5081207</v>
      </c>
      <c r="B1390" t="inlineStr">
        <is>
          <t>Taper Mill 
7-5/8" REG Box</t>
        </is>
      </c>
      <c r="C1390" t="n">
        <v>0</v>
      </c>
      <c r="D1390" s="62" t="n">
        <v>18.5</v>
      </c>
      <c r="E1390" t="n">
        <v>0</v>
      </c>
      <c r="T1390" t="n">
        <v>50</v>
      </c>
      <c r="V1390" t="inlineStr">
        <is>
          <t>FR</t>
        </is>
      </c>
    </row>
    <row r="1391">
      <c r="A1391" t="n">
        <v>5081208</v>
      </c>
      <c r="B1391" t="inlineStr">
        <is>
          <t>Taper Mill 
7-5/8" REG Pin</t>
        </is>
      </c>
      <c r="C1391" t="n">
        <v>400</v>
      </c>
      <c r="D1391" s="62" t="n">
        <v>17.5</v>
      </c>
      <c r="E1391" t="n">
        <v>400</v>
      </c>
      <c r="T1391" t="n">
        <v>49</v>
      </c>
      <c r="V1391" t="inlineStr">
        <is>
          <t>FR</t>
        </is>
      </c>
    </row>
    <row r="1392">
      <c r="A1392" t="n">
        <v>5081209</v>
      </c>
      <c r="B1392" t="inlineStr">
        <is>
          <t>Taper Mill 
6-5/8" REG Pin</t>
        </is>
      </c>
      <c r="C1392" t="n">
        <v>380</v>
      </c>
      <c r="D1392" s="62" t="n">
        <v>14.875</v>
      </c>
      <c r="E1392" t="n">
        <v>380</v>
      </c>
      <c r="T1392" t="n">
        <v>47</v>
      </c>
      <c r="V1392" t="inlineStr">
        <is>
          <t>FR</t>
        </is>
      </c>
    </row>
    <row r="1393">
      <c r="A1393" t="n">
        <v>5121210</v>
      </c>
      <c r="B1393" t="inlineStr">
        <is>
          <t>WO Top Sub
6-5/8" REG Box x 11-3/4" FJWP Pin x 6-5/8" REG Box in</t>
        </is>
      </c>
      <c r="C1393" t="n">
        <v>0</v>
      </c>
      <c r="D1393" s="62" t="n">
        <v>11.75</v>
      </c>
      <c r="E1393" t="n">
        <v>825</v>
      </c>
      <c r="T1393" t="n">
        <v>47</v>
      </c>
      <c r="V1393" t="inlineStr">
        <is>
          <t>FR</t>
        </is>
      </c>
    </row>
    <row r="1394">
      <c r="A1394" t="n">
        <v>1061211</v>
      </c>
      <c r="B1394" t="inlineStr">
        <is>
          <t>Impression Block 11-3/4" OD 
6-5/8" REG Box</t>
        </is>
      </c>
      <c r="C1394" t="n">
        <v>254</v>
      </c>
      <c r="D1394" s="62" t="n">
        <v>11.75</v>
      </c>
      <c r="E1394" t="n">
        <v>0</v>
      </c>
      <c r="T1394" t="n">
        <v>27</v>
      </c>
      <c r="V1394" t="inlineStr">
        <is>
          <t>FR</t>
        </is>
      </c>
    </row>
    <row r="1395">
      <c r="A1395" t="n">
        <v>8131212</v>
      </c>
      <c r="B1395" t="inlineStr">
        <is>
          <t>XO
7-5/8" REG Pin x 7-5/8" REG Pin</t>
        </is>
      </c>
      <c r="C1395" t="n">
        <v>214</v>
      </c>
      <c r="D1395" s="62" t="n">
        <v>9.25</v>
      </c>
      <c r="E1395" t="n">
        <v>615</v>
      </c>
      <c r="T1395" t="n">
        <v>231</v>
      </c>
      <c r="V1395" t="inlineStr">
        <is>
          <t>FR</t>
        </is>
      </c>
    </row>
    <row r="1396">
      <c r="A1396" t="n">
        <v>7041213</v>
      </c>
      <c r="B1396" t="inlineStr">
        <is>
          <t>4-11/16" SFS Overshot - CA 9120
2-7/8" IF Box</t>
        </is>
      </c>
      <c r="C1396" t="n">
        <v>30</v>
      </c>
      <c r="D1396" s="62" t="inlineStr">
        <is>
          <t>4-11/16" SFS</t>
        </is>
      </c>
      <c r="E1396" t="n">
        <v>770</v>
      </c>
      <c r="T1396" t="n">
        <v>26</v>
      </c>
    </row>
    <row r="1397">
      <c r="A1397" t="n">
        <v>8131214</v>
      </c>
      <c r="B1397" t="inlineStr">
        <is>
          <t>XO
2-3/8" IF Pin x 2-7/8" IF Box</t>
        </is>
      </c>
      <c r="C1397" t="n">
        <v>37.960055128125</v>
      </c>
      <c r="D1397" s="62" t="n">
        <v>4.125</v>
      </c>
      <c r="E1397" t="n">
        <v>600</v>
      </c>
      <c r="T1397" t="n">
        <v>29</v>
      </c>
      <c r="V1397" t="inlineStr">
        <is>
          <t>FR</t>
        </is>
      </c>
    </row>
    <row r="1398">
      <c r="A1398" t="n">
        <v>8131215</v>
      </c>
      <c r="B1398" t="inlineStr">
        <is>
          <t>XO
2-3/8" IF Pin x 2-7/8" IF Box</t>
        </is>
      </c>
      <c r="C1398" t="n">
        <v>37.960055128125</v>
      </c>
      <c r="D1398" s="62" t="n">
        <v>4.125</v>
      </c>
      <c r="E1398" t="n">
        <v>600</v>
      </c>
      <c r="T1398" t="n">
        <v>30</v>
      </c>
      <c r="V1398" t="inlineStr">
        <is>
          <t>FR</t>
        </is>
      </c>
    </row>
    <row r="1399">
      <c r="A1399" t="n">
        <v>8131216</v>
      </c>
      <c r="B1399" t="inlineStr">
        <is>
          <t>XO
2-3/8" REG Pin x 2-7/8" IF Box</t>
        </is>
      </c>
      <c r="C1399" t="n">
        <v>37.960055128125</v>
      </c>
      <c r="D1399" s="62" t="n">
        <v>4.125</v>
      </c>
      <c r="E1399" t="n">
        <v>600</v>
      </c>
      <c r="T1399" t="n">
        <v>57</v>
      </c>
      <c r="V1399" t="inlineStr">
        <is>
          <t>FR</t>
        </is>
      </c>
    </row>
    <row r="1400">
      <c r="A1400" t="n">
        <v>8131217</v>
      </c>
      <c r="B1400" t="inlineStr">
        <is>
          <t>XO
3-1/2" IF Pin x 2-3/8" IF Box</t>
        </is>
      </c>
      <c r="C1400" t="n">
        <v>55</v>
      </c>
      <c r="D1400" s="62" t="n">
        <v>4.75</v>
      </c>
      <c r="E1400" t="n">
        <v>600</v>
      </c>
      <c r="T1400" t="n">
        <v>102</v>
      </c>
      <c r="V1400" t="inlineStr">
        <is>
          <t>FR</t>
        </is>
      </c>
    </row>
    <row r="1401">
      <c r="A1401" t="n">
        <v>306</v>
      </c>
      <c r="B1401" t="inlineStr">
        <is>
          <t>Shock Tool 9-5/8" OD
7-5/8" REG Pin down x Box up</t>
        </is>
      </c>
      <c r="C1401" t="n">
        <v>1300</v>
      </c>
      <c r="D1401" s="62" t="n">
        <v>9.625</v>
      </c>
      <c r="E1401" t="n">
        <v>3715</v>
      </c>
      <c r="T1401" t="n">
        <v>6</v>
      </c>
      <c r="V1401" t="inlineStr">
        <is>
          <t>UAE</t>
        </is>
      </c>
    </row>
    <row r="1402">
      <c r="A1402" t="n">
        <v>321</v>
      </c>
      <c r="B1402" t="inlineStr">
        <is>
          <t>Drilling Jar Full Hydro 4-3/4" OD
3-1/2" IF Pin down x Box up</t>
        </is>
      </c>
      <c r="C1402" t="n">
        <v>278</v>
      </c>
      <c r="D1402" s="62" t="n">
        <v>4.75</v>
      </c>
      <c r="E1402" t="n">
        <v>5367</v>
      </c>
      <c r="T1402" t="n">
        <v>9</v>
      </c>
      <c r="V1402" t="inlineStr">
        <is>
          <t>UAE</t>
        </is>
      </c>
    </row>
    <row r="1403">
      <c r="A1403" t="n">
        <v>322</v>
      </c>
      <c r="B1403" t="inlineStr">
        <is>
          <t>Drilling Jar Full Hydro 4-3/4" OD
3-1/2" IF Pin down x Box up</t>
        </is>
      </c>
      <c r="C1403" t="n">
        <v>278</v>
      </c>
      <c r="D1403" s="62" t="n">
        <v>4.75</v>
      </c>
      <c r="E1403" t="n">
        <v>5367</v>
      </c>
      <c r="T1403" t="n">
        <v>10</v>
      </c>
      <c r="V1403" t="inlineStr">
        <is>
          <t>UAE</t>
        </is>
      </c>
    </row>
    <row r="1404">
      <c r="A1404" t="n">
        <v>323</v>
      </c>
      <c r="B1404" t="inlineStr">
        <is>
          <t>Drilling Jar Full Hydro 4-3/4" OD
3-1/2" IF Pin down x Box up</t>
        </is>
      </c>
      <c r="C1404" t="n">
        <v>278</v>
      </c>
      <c r="D1404" s="62" t="n">
        <v>4.75</v>
      </c>
      <c r="E1404" t="n">
        <v>5367</v>
      </c>
      <c r="T1404" t="n">
        <v>11</v>
      </c>
      <c r="V1404" t="inlineStr">
        <is>
          <t>UAE</t>
        </is>
      </c>
    </row>
    <row r="1405">
      <c r="A1405" t="n">
        <v>318</v>
      </c>
      <c r="B1405" t="inlineStr">
        <is>
          <t>Drilling JarFull Hydro 6-3/4" OD
4-1/2" IF Pin down x Box up</t>
        </is>
      </c>
      <c r="C1405" t="n">
        <v>538</v>
      </c>
      <c r="D1405" s="62" t="n">
        <v>6.8125</v>
      </c>
      <c r="E1405" t="n">
        <v>5380</v>
      </c>
      <c r="T1405" t="n">
        <v>18</v>
      </c>
      <c r="V1405" t="inlineStr">
        <is>
          <t>UAE</t>
        </is>
      </c>
    </row>
    <row r="1406">
      <c r="A1406" t="n">
        <v>319</v>
      </c>
      <c r="B1406" t="inlineStr">
        <is>
          <t>Drilling Jar Full Hydro 6-3/4" OD
4-1/2" IF Pin down x Box up</t>
        </is>
      </c>
      <c r="C1406" t="n">
        <v>538</v>
      </c>
      <c r="D1406" s="62" t="n">
        <v>6.8125</v>
      </c>
      <c r="E1406" t="n">
        <v>5380</v>
      </c>
      <c r="T1406" t="n">
        <v>19</v>
      </c>
      <c r="V1406" t="inlineStr">
        <is>
          <t>UAE</t>
        </is>
      </c>
    </row>
    <row r="1407">
      <c r="A1407" t="n">
        <v>324</v>
      </c>
      <c r="B1407" t="inlineStr">
        <is>
          <t>Drilling Jar Full Hydro 8-1/2" OD
6-5/8" REG Pin down x Box up</t>
        </is>
      </c>
      <c r="C1407" t="n">
        <v>1153</v>
      </c>
      <c r="D1407" s="62" t="n">
        <v>8.9375</v>
      </c>
      <c r="E1407" t="n">
        <v>6623</v>
      </c>
      <c r="T1407" t="n">
        <v>30</v>
      </c>
      <c r="V1407" t="inlineStr">
        <is>
          <t>UAE</t>
        </is>
      </c>
    </row>
    <row r="1408">
      <c r="A1408" t="n">
        <v>325</v>
      </c>
      <c r="B1408" t="inlineStr">
        <is>
          <t>Drilling Jar Full Hydro 8-1/2" OD
6-5/8" REG Pin down x Box up</t>
        </is>
      </c>
      <c r="C1408" t="n">
        <v>1153</v>
      </c>
      <c r="D1408" s="62" t="n">
        <v>8.9375</v>
      </c>
      <c r="E1408" t="n">
        <v>6623</v>
      </c>
      <c r="T1408" t="n">
        <v>31</v>
      </c>
      <c r="V1408" t="inlineStr">
        <is>
          <t>UAE</t>
        </is>
      </c>
    </row>
    <row r="1409">
      <c r="A1409" t="n">
        <v>3925</v>
      </c>
      <c r="B1409" t="inlineStr">
        <is>
          <t xml:space="preserve">3-1/8" PDM - 5/6 lobes - 5 stages
2-3/8" REG Box x Box
Rotor : 
Stator : 
Bent : </t>
        </is>
      </c>
      <c r="C1409" t="n">
        <v>120</v>
      </c>
      <c r="D1409" s="62" t="n">
        <v>3.125</v>
      </c>
      <c r="E1409" t="n">
        <v>4370</v>
      </c>
      <c r="T1409" t="n">
        <v>38</v>
      </c>
      <c r="V1409" t="inlineStr">
        <is>
          <t>UAE</t>
        </is>
      </c>
    </row>
    <row r="1410">
      <c r="A1410" t="n">
        <v>3926</v>
      </c>
      <c r="B1410" t="inlineStr">
        <is>
          <t xml:space="preserve">3-1/8" PDM  - 5/6 lobes - 5 stages
2-3/8" REG Box x Box
Rotor : 
Stator : 
Bent : </t>
        </is>
      </c>
      <c r="C1410" t="n">
        <v>120</v>
      </c>
      <c r="D1410" s="62" t="n">
        <v>3.125</v>
      </c>
      <c r="E1410" t="n">
        <v>4370</v>
      </c>
      <c r="T1410" t="n">
        <v>39</v>
      </c>
      <c r="V1410" t="inlineStr">
        <is>
          <t>UAE</t>
        </is>
      </c>
    </row>
    <row r="1411">
      <c r="A1411" t="n">
        <v>3927</v>
      </c>
      <c r="B1411" t="inlineStr">
        <is>
          <t xml:space="preserve">4-3/4" PDM  - lobes - stages
3-1/2" IF Box x 3-1/2" REG Box
Rotor : 
Stator : 
Bent : </t>
        </is>
      </c>
      <c r="C1411" t="n">
        <v>470</v>
      </c>
      <c r="D1411" s="62" t="n">
        <v>4.75</v>
      </c>
      <c r="E1411" t="n">
        <v>6745</v>
      </c>
      <c r="T1411" t="n">
        <v>32</v>
      </c>
      <c r="V1411" t="inlineStr">
        <is>
          <t>UAE</t>
        </is>
      </c>
    </row>
    <row r="1412">
      <c r="A1412" t="inlineStr">
        <is>
          <t>605-475-SLK15</t>
        </is>
      </c>
      <c r="B1412" t="inlineStr">
        <is>
          <t>Sleeve 0 for PDM 4-3/4"</t>
        </is>
      </c>
      <c r="C1412" t="n">
        <v>6</v>
      </c>
      <c r="D1412" s="62" t="n">
        <v>0</v>
      </c>
      <c r="T1412" t="n">
        <v>107</v>
      </c>
    </row>
    <row r="1413">
      <c r="A1413" t="n">
        <v>3950</v>
      </c>
      <c r="B1413" t="inlineStr">
        <is>
          <t xml:space="preserve">4-3/4" PDM  - lobes - stages
3-1/2" IF Box x 3-1/2" REG Box
Rotor : 
Stator : 
Bent : </t>
        </is>
      </c>
      <c r="C1413" t="n">
        <v>470</v>
      </c>
      <c r="D1413" s="62" t="n">
        <v>4.75</v>
      </c>
      <c r="E1413" t="n">
        <v>6745</v>
      </c>
      <c r="T1413" t="n">
        <v>34</v>
      </c>
      <c r="V1413" t="inlineStr">
        <is>
          <t>UAE</t>
        </is>
      </c>
    </row>
    <row r="1414">
      <c r="A1414" t="inlineStr">
        <is>
          <t>605-475-SLK16</t>
        </is>
      </c>
      <c r="B1414" t="inlineStr">
        <is>
          <t>Sleeve 0 for PDM 4-3/4"</t>
        </is>
      </c>
      <c r="C1414" t="n">
        <v>6</v>
      </c>
      <c r="D1414" s="62" t="n">
        <v>0</v>
      </c>
      <c r="T1414" t="n">
        <v>108</v>
      </c>
    </row>
    <row r="1415">
      <c r="A1415" t="n">
        <v>3949</v>
      </c>
      <c r="B1415" t="inlineStr">
        <is>
          <t xml:space="preserve">4-3/4" PDM  - lobes - stages
3-1/2" IF Box x 3-1/2" REG Box
Rotor : 
Stator : 
Bent : </t>
        </is>
      </c>
      <c r="C1415" t="n">
        <v>470</v>
      </c>
      <c r="D1415" s="62" t="n">
        <v>4.75</v>
      </c>
      <c r="E1415" t="n">
        <v>6745</v>
      </c>
      <c r="T1415" t="n">
        <v>33</v>
      </c>
      <c r="V1415" t="inlineStr">
        <is>
          <t>UAE</t>
        </is>
      </c>
    </row>
    <row r="1416">
      <c r="A1416" t="inlineStr">
        <is>
          <t>605-475-SLK17</t>
        </is>
      </c>
      <c r="B1416" t="inlineStr">
        <is>
          <t>Sleeve 0 for PDM 4-3/4"</t>
        </is>
      </c>
      <c r="C1416" t="n">
        <v>6</v>
      </c>
      <c r="D1416" s="62" t="n">
        <v>0</v>
      </c>
      <c r="T1416" t="n">
        <v>109</v>
      </c>
    </row>
    <row r="1417">
      <c r="A1417" t="n">
        <v>3934</v>
      </c>
      <c r="B1417" t="inlineStr">
        <is>
          <t xml:space="preserve">6-3/4" PDM  - lobes - stages
4-1/2" IF Box x 4-1/2" REG Box
Rotor : 
Stator : 
Bent : </t>
        </is>
      </c>
      <c r="C1417" t="n">
        <v>1500</v>
      </c>
      <c r="D1417" s="62" t="n">
        <v>6.75</v>
      </c>
      <c r="E1417" t="n">
        <v>9840</v>
      </c>
      <c r="T1417" t="n">
        <v>24</v>
      </c>
      <c r="V1417" t="inlineStr">
        <is>
          <t>UAE</t>
        </is>
      </c>
    </row>
    <row r="1418">
      <c r="A1418" t="inlineStr">
        <is>
          <t>605-675-SLK22</t>
        </is>
      </c>
      <c r="B1418" t="inlineStr">
        <is>
          <t>Sleeve 0 for PDM 6-3/4"</t>
        </is>
      </c>
      <c r="C1418" t="n">
        <v>0</v>
      </c>
      <c r="D1418" s="62" t="n">
        <v>0</v>
      </c>
      <c r="T1418" t="n">
        <v>96</v>
      </c>
    </row>
    <row r="1419">
      <c r="A1419" t="n">
        <v>3935</v>
      </c>
      <c r="B1419" t="inlineStr">
        <is>
          <t xml:space="preserve">6-3/4" PDM  - lobes - stages
4-1/2" IF Box x 4-1/2" REG Box
Rotor : 
Stator : 
Bent : </t>
        </is>
      </c>
      <c r="C1419" t="n">
        <v>1500</v>
      </c>
      <c r="D1419" s="62" t="n">
        <v>6.75</v>
      </c>
      <c r="E1419" t="n">
        <v>9840</v>
      </c>
      <c r="T1419" t="n">
        <v>25</v>
      </c>
      <c r="V1419" t="inlineStr">
        <is>
          <t>UAE</t>
        </is>
      </c>
    </row>
    <row r="1420">
      <c r="A1420" t="inlineStr">
        <is>
          <t>605-675-SLK23</t>
        </is>
      </c>
      <c r="B1420" t="inlineStr">
        <is>
          <t>Sleeve 0 for PDM 6-3/4"</t>
        </is>
      </c>
      <c r="C1420" t="n">
        <v>0</v>
      </c>
      <c r="D1420" s="62" t="n">
        <v>0</v>
      </c>
      <c r="T1420" t="n">
        <v>97</v>
      </c>
    </row>
    <row r="1421">
      <c r="A1421" t="n">
        <v>3938</v>
      </c>
      <c r="B1421" t="inlineStr">
        <is>
          <t xml:space="preserve">6-3/4" PDM  - lobes - stages
4-1/2" IF Box x 4-1/2" REG Box
Rotor : 
Stator : 
Bent : </t>
        </is>
      </c>
      <c r="C1421" t="n">
        <v>1500</v>
      </c>
      <c r="D1421" s="62" t="n">
        <v>6.75</v>
      </c>
      <c r="E1421" t="n">
        <v>9840</v>
      </c>
      <c r="T1421" t="n">
        <v>26</v>
      </c>
      <c r="V1421" t="inlineStr">
        <is>
          <t>UAE</t>
        </is>
      </c>
    </row>
    <row r="1422">
      <c r="A1422" t="inlineStr">
        <is>
          <t>605-675-SLK24</t>
        </is>
      </c>
      <c r="B1422" t="inlineStr">
        <is>
          <t>Sleeve 0 for PDM 6-3/4"</t>
        </is>
      </c>
      <c r="C1422" t="n">
        <v>0</v>
      </c>
      <c r="D1422" s="62" t="n">
        <v>0</v>
      </c>
      <c r="T1422" t="n">
        <v>98</v>
      </c>
    </row>
    <row r="1423">
      <c r="A1423" t="n">
        <v>3936</v>
      </c>
      <c r="B1423" t="inlineStr">
        <is>
          <t xml:space="preserve">8-1/2" PDM  - lobes - stages
6-5/8" REG Box x Box
Rotor : 
Stator : 
Bent : </t>
        </is>
      </c>
      <c r="C1423" t="n">
        <v>2200</v>
      </c>
      <c r="D1423" s="62" t="n">
        <v>8.5</v>
      </c>
      <c r="E1423" t="n">
        <v>9500</v>
      </c>
      <c r="T1423" t="n">
        <v>20</v>
      </c>
      <c r="V1423" t="inlineStr">
        <is>
          <t>UAE</t>
        </is>
      </c>
    </row>
    <row r="1424">
      <c r="A1424" t="inlineStr">
        <is>
          <t>605-850-SLK20</t>
        </is>
      </c>
      <c r="B1424" t="inlineStr">
        <is>
          <t>Sleeve 0 for PDM 8-1/2"</t>
        </is>
      </c>
      <c r="C1424" t="n">
        <v>28</v>
      </c>
      <c r="D1424" s="62" t="n">
        <v>0</v>
      </c>
      <c r="T1424" t="n">
        <v>81</v>
      </c>
    </row>
    <row r="1425">
      <c r="A1425" t="n">
        <v>3937</v>
      </c>
      <c r="B1425" t="inlineStr">
        <is>
          <t xml:space="preserve">8-1/2" PDM  - lobes - stages
6-5/8" REG Box x Box
Rotor : 
Stator : 
Bent : </t>
        </is>
      </c>
      <c r="C1425" t="n">
        <v>2200</v>
      </c>
      <c r="D1425" s="62" t="n">
        <v>8.5</v>
      </c>
      <c r="E1425" t="n">
        <v>9500</v>
      </c>
      <c r="T1425" t="n">
        <v>21</v>
      </c>
      <c r="V1425" t="inlineStr">
        <is>
          <t>UAE</t>
        </is>
      </c>
    </row>
    <row r="1426">
      <c r="A1426" t="inlineStr">
        <is>
          <t>605-850-SLK21</t>
        </is>
      </c>
      <c r="B1426" t="inlineStr">
        <is>
          <t>Sleeve 0 for PDM 8-1/2"</t>
        </is>
      </c>
      <c r="C1426" t="n">
        <v>28</v>
      </c>
      <c r="D1426" s="62" t="n">
        <v>0</v>
      </c>
      <c r="T1426" t="n">
        <v>82</v>
      </c>
    </row>
    <row r="1427">
      <c r="A1427" t="n">
        <v>3941</v>
      </c>
      <c r="B1427" t="inlineStr">
        <is>
          <t xml:space="preserve">9-5/8" PDM  - lobes - stages
7-5/8" REG Box x Box
Rotor : 
Stator : 
Bent :  </t>
        </is>
      </c>
      <c r="C1427" t="n">
        <v>2900</v>
      </c>
      <c r="D1427" s="62" t="n">
        <v>9.625</v>
      </c>
      <c r="E1427" t="n">
        <v>10662</v>
      </c>
      <c r="T1427" t="n">
        <v>8</v>
      </c>
      <c r="V1427" t="inlineStr">
        <is>
          <t>UAE</t>
        </is>
      </c>
    </row>
    <row r="1428">
      <c r="A1428" t="inlineStr">
        <is>
          <t>605-962-SLK18</t>
        </is>
      </c>
      <c r="B1428" t="inlineStr">
        <is>
          <t xml:space="preserve">Sleeve 0 for PDM 9-5/8"
Set on : </t>
        </is>
      </c>
      <c r="C1428" t="n">
        <v>38</v>
      </c>
      <c r="D1428" s="62" t="n">
        <v>0</v>
      </c>
      <c r="T1428" t="n">
        <v>64</v>
      </c>
    </row>
    <row r="1429">
      <c r="A1429" t="n">
        <v>3942</v>
      </c>
      <c r="B1429" t="inlineStr">
        <is>
          <t xml:space="preserve">9-5/8" PDM  - lobes - stages
7-5/8" REG Box x Box
Rotor : 
Stator : 
Bent :  </t>
        </is>
      </c>
      <c r="C1429" t="n">
        <v>2900</v>
      </c>
      <c r="D1429" s="62" t="n">
        <v>9.625</v>
      </c>
      <c r="E1429" t="n">
        <v>10662</v>
      </c>
      <c r="T1429" t="n">
        <v>9</v>
      </c>
      <c r="V1429" t="inlineStr">
        <is>
          <t>UAE</t>
        </is>
      </c>
    </row>
    <row r="1430">
      <c r="A1430" t="inlineStr">
        <is>
          <t>605-962-SLK19</t>
        </is>
      </c>
      <c r="B1430" t="inlineStr">
        <is>
          <t xml:space="preserve">Sleeve 0 for PDM 9-5/8"
Set on : </t>
        </is>
      </c>
      <c r="C1430" t="n">
        <v>38</v>
      </c>
      <c r="D1430" s="62" t="n">
        <v>0</v>
      </c>
      <c r="T1430" t="n">
        <v>65</v>
      </c>
    </row>
    <row r="1431">
      <c r="A1431" t="n">
        <v>7141226</v>
      </c>
      <c r="B1431" t="inlineStr">
        <is>
          <t>Spear Stop Sub 4-1/2" OD body
4-1/2" IF Box up x Pin down</t>
        </is>
      </c>
      <c r="C1431" t="n">
        <v>70</v>
      </c>
      <c r="D1431" s="62" t="n">
        <v>4.5</v>
      </c>
      <c r="E1431" t="n">
        <v>930</v>
      </c>
      <c r="T1431" t="n">
        <v>5</v>
      </c>
    </row>
    <row r="1432">
      <c r="A1432" t="n">
        <v>8081227</v>
      </c>
      <c r="B1432" t="inlineStr">
        <is>
          <t>Short DC 5-1/4" Lg 3000mm
3-1/2" IF Pin x Box</t>
        </is>
      </c>
      <c r="C1432" t="n">
        <v>168</v>
      </c>
      <c r="D1432" s="62" t="n">
        <v>5.25</v>
      </c>
      <c r="E1432" t="n">
        <v>3000</v>
      </c>
      <c r="T1432" t="n">
        <v>17</v>
      </c>
    </row>
    <row r="1433">
      <c r="A1433" t="n">
        <v>8081228</v>
      </c>
      <c r="B1433" t="inlineStr">
        <is>
          <t>Short DC 5-1/4" Lg 3000mm
3-1/2" IF Pin x Box</t>
        </is>
      </c>
      <c r="C1433" t="n">
        <v>168</v>
      </c>
      <c r="D1433" s="62" t="n">
        <v>5.25</v>
      </c>
      <c r="E1433" t="n">
        <v>3000</v>
      </c>
      <c r="T1433" t="n">
        <v>18</v>
      </c>
    </row>
    <row r="1434">
      <c r="A1434" t="n">
        <v>7141229</v>
      </c>
      <c r="B1434" t="inlineStr">
        <is>
          <t>Spear Stop Sub 4-5/8" OD body
4-1/2" IF Box up x Pin down</t>
        </is>
      </c>
      <c r="C1434" t="n">
        <v>44</v>
      </c>
      <c r="D1434" s="62" t="n">
        <v>4.625</v>
      </c>
      <c r="E1434" t="n">
        <v>625</v>
      </c>
      <c r="T1434" t="n">
        <v>6</v>
      </c>
    </row>
    <row r="1435">
      <c r="A1435" t="n">
        <v>7141230</v>
      </c>
      <c r="B1435" t="inlineStr">
        <is>
          <t>Spear Stop Sub 6-1/2" OD body
4-1/2" IF Box up x Pin down</t>
        </is>
      </c>
      <c r="C1435" t="n">
        <v>200</v>
      </c>
      <c r="D1435" s="62" t="n">
        <v>6.5</v>
      </c>
      <c r="E1435" t="n">
        <v>1425</v>
      </c>
      <c r="T1435" t="n">
        <v>7</v>
      </c>
    </row>
    <row r="1436">
      <c r="A1436" t="n">
        <v>8131231</v>
      </c>
      <c r="B1436" t="inlineStr">
        <is>
          <t>XO
3-1/2" IF Pin x 2-7/8" EU Box</t>
        </is>
      </c>
      <c r="C1436" t="n">
        <v>0</v>
      </c>
      <c r="D1436" s="62" t="n">
        <v>4.75</v>
      </c>
      <c r="E1436" t="n">
        <v>0</v>
      </c>
      <c r="T1436" t="n">
        <v>109</v>
      </c>
      <c r="V1436" t="inlineStr">
        <is>
          <t>FR</t>
        </is>
      </c>
    </row>
    <row r="1437">
      <c r="A1437" t="n">
        <v>8081232</v>
      </c>
      <c r="B1437" t="inlineStr">
        <is>
          <t>Short DC 2-5/16" Lg 2000mm
1-1/4" REG Pin x Box</t>
        </is>
      </c>
      <c r="C1437" t="n">
        <v>39.16366663218751</v>
      </c>
      <c r="D1437" s="62" t="n">
        <v>2.3125</v>
      </c>
      <c r="E1437" t="n">
        <v>2000</v>
      </c>
      <c r="T1437" t="n">
        <v>6</v>
      </c>
      <c r="V1437" t="inlineStr">
        <is>
          <t>FR</t>
        </is>
      </c>
    </row>
    <row r="1438">
      <c r="A1438" t="n">
        <v>8131233</v>
      </c>
      <c r="B1438" t="inlineStr">
        <is>
          <t>XO
4-1/2" IF Pin x 6-5/8" REG Pin</t>
        </is>
      </c>
      <c r="C1438" t="n">
        <v>70</v>
      </c>
      <c r="D1438" s="62" t="n">
        <v>7.625</v>
      </c>
      <c r="E1438" t="n">
        <v>275</v>
      </c>
      <c r="T1438" t="n">
        <v>175</v>
      </c>
    </row>
    <row r="1439">
      <c r="A1439" t="n">
        <v>7121234</v>
      </c>
      <c r="B1439" t="inlineStr">
        <is>
          <t>Releasing Spear 5-11/16" OD Mandrel CA 9266
3-1/2" IF Box</t>
        </is>
      </c>
      <c r="C1439" t="n">
        <v>90</v>
      </c>
      <c r="D1439" s="62" t="n">
        <v>5.6875</v>
      </c>
      <c r="E1439" t="inlineStr">
        <is>
          <t>CA 9266</t>
        </is>
      </c>
      <c r="T1439" t="n">
        <v>27</v>
      </c>
    </row>
    <row r="1440">
      <c r="A1440" t="n">
        <v>7121235</v>
      </c>
      <c r="B1440" t="inlineStr">
        <is>
          <t>Releasing Spear 4-1/32" OD Mandrel CA 9680
2-7/8" IF Box</t>
        </is>
      </c>
      <c r="C1440" t="n">
        <v>0</v>
      </c>
      <c r="D1440" s="62" t="n">
        <v>4.03125</v>
      </c>
      <c r="E1440" t="inlineStr">
        <is>
          <t>CA 9680</t>
        </is>
      </c>
      <c r="T1440" t="n">
        <v>21</v>
      </c>
    </row>
    <row r="1441">
      <c r="A1441" t="n">
        <v>7051236</v>
      </c>
      <c r="B1441" t="inlineStr">
        <is>
          <t>Extension 3-7/8" XSH Lg 500mm CA 21300
3-7/8" XSH Sellers Pin x Box</t>
        </is>
      </c>
      <c r="C1441" t="n">
        <v>6.318960396328125</v>
      </c>
      <c r="D1441" s="62" t="inlineStr">
        <is>
          <t>3-7/8" XSH</t>
        </is>
      </c>
      <c r="E1441" t="n">
        <v>500</v>
      </c>
      <c r="T1441" t="n">
        <v>6</v>
      </c>
      <c r="V1441" t="inlineStr">
        <is>
          <t>FR</t>
        </is>
      </c>
    </row>
    <row r="1442">
      <c r="A1442" t="n">
        <v>7051237</v>
      </c>
      <c r="B1442" t="inlineStr">
        <is>
          <t>Extension 4-1/4" SH Lg 600mm CA C-5126
4-1/4" SH Sellers Pin x Box</t>
        </is>
      </c>
      <c r="C1442" t="n">
        <v>18.73004671321874</v>
      </c>
      <c r="D1442" s="62" t="inlineStr">
        <is>
          <t>4-1/4" SH</t>
        </is>
      </c>
      <c r="E1442" t="n">
        <v>600</v>
      </c>
      <c r="T1442" t="n">
        <v>15</v>
      </c>
      <c r="V1442" t="inlineStr">
        <is>
          <t>FR</t>
        </is>
      </c>
    </row>
    <row r="1443">
      <c r="A1443" t="n">
        <v>7051238</v>
      </c>
      <c r="B1443" t="inlineStr">
        <is>
          <t>Extension 4-1/8" FS Lg 600mm CA 9105
4-1/8" FS Sellers Pin x Box</t>
        </is>
      </c>
      <c r="C1443" t="n">
        <v>16.24875530484375</v>
      </c>
      <c r="D1443" s="62" t="inlineStr">
        <is>
          <t>4-1/8" FS</t>
        </is>
      </c>
      <c r="E1443" t="n">
        <v>600</v>
      </c>
      <c r="T1443" t="n">
        <v>10</v>
      </c>
      <c r="V1443" t="inlineStr">
        <is>
          <t>FR</t>
        </is>
      </c>
    </row>
    <row r="1444">
      <c r="A1444" t="n">
        <v>1061239</v>
      </c>
      <c r="B1444" t="inlineStr">
        <is>
          <t>Impression Block 8" OD 
4-1/2" IF Box</t>
        </is>
      </c>
      <c r="C1444" t="n">
        <v>85</v>
      </c>
      <c r="D1444" s="62" t="n">
        <v>8</v>
      </c>
      <c r="E1444" t="n">
        <v>610</v>
      </c>
      <c r="T1444" t="n">
        <v>18</v>
      </c>
      <c r="V1444" t="inlineStr">
        <is>
          <t>FR</t>
        </is>
      </c>
    </row>
    <row r="1445">
      <c r="A1445" t="n">
        <v>1061240</v>
      </c>
      <c r="B1445" t="inlineStr">
        <is>
          <t>Impression Block 8" OD 
4-1/2" IF Box</t>
        </is>
      </c>
      <c r="C1445" t="n">
        <v>85</v>
      </c>
      <c r="D1445" s="62" t="n">
        <v>8</v>
      </c>
      <c r="E1445" t="n">
        <v>610</v>
      </c>
      <c r="T1445" t="n">
        <v>19</v>
      </c>
      <c r="V1445" t="inlineStr">
        <is>
          <t>FR</t>
        </is>
      </c>
    </row>
    <row r="1446">
      <c r="A1446" t="n">
        <v>7051241</v>
      </c>
      <c r="B1446" t="inlineStr">
        <is>
          <t>Extension 8-1/8" SH Lg 915mm CA 9217
8-1/8" SH Sellers Pin x Box</t>
        </is>
      </c>
      <c r="C1446" t="n">
        <v>58.32678202311806</v>
      </c>
      <c r="D1446" s="62" t="inlineStr">
        <is>
          <t>8-1/8" SH</t>
        </is>
      </c>
      <c r="E1446" t="n">
        <v>915</v>
      </c>
      <c r="T1446" t="n">
        <v>41</v>
      </c>
      <c r="V1446" t="inlineStr">
        <is>
          <t>FR</t>
        </is>
      </c>
    </row>
    <row r="1447">
      <c r="A1447" t="n">
        <v>7051242</v>
      </c>
      <c r="B1447" t="inlineStr">
        <is>
          <t>Extension 8-1/8" SH Lg 915mm CA 9217
8-1/8" SH Sellers Pin x Box</t>
        </is>
      </c>
      <c r="C1447" t="n">
        <v>58.32678202311806</v>
      </c>
      <c r="D1447" s="62" t="inlineStr">
        <is>
          <t>8-1/8" SH</t>
        </is>
      </c>
      <c r="E1447" t="n">
        <v>915</v>
      </c>
      <c r="T1447" t="n">
        <v>42</v>
      </c>
      <c r="V1447" t="inlineStr">
        <is>
          <t>FR</t>
        </is>
      </c>
    </row>
    <row r="1448">
      <c r="A1448" t="n">
        <v>7051243</v>
      </c>
      <c r="B1448" t="inlineStr">
        <is>
          <t>Extension 4-11/16" SFS Lg 600mm CA 9120
4-11/16" SFS Sellers Pin x Box</t>
        </is>
      </c>
      <c r="C1448" t="n">
        <v>52.07934392578125</v>
      </c>
      <c r="D1448" s="62" t="inlineStr">
        <is>
          <t>4-11/16" SFS</t>
        </is>
      </c>
      <c r="E1448" t="n">
        <v>600</v>
      </c>
      <c r="T1448" t="n">
        <v>17</v>
      </c>
      <c r="V1448" t="inlineStr">
        <is>
          <t>FR</t>
        </is>
      </c>
    </row>
    <row r="1449">
      <c r="A1449" t="n">
        <v>8021244</v>
      </c>
      <c r="B1449" t="inlineStr">
        <is>
          <t>Bit Sub
2-3/8" REG Box x 2-7/8" REG Box</t>
        </is>
      </c>
      <c r="C1449" t="n">
        <v>30.9605913045</v>
      </c>
      <c r="D1449" s="62" t="n">
        <v>3.75</v>
      </c>
      <c r="E1449" t="n">
        <v>600</v>
      </c>
      <c r="T1449" t="n">
        <v>18</v>
      </c>
      <c r="V1449" t="inlineStr">
        <is>
          <t>FR</t>
        </is>
      </c>
    </row>
    <row r="1450">
      <c r="A1450" t="n">
        <v>8131245</v>
      </c>
      <c r="B1450" t="inlineStr">
        <is>
          <t>XO
2-7/8" REG Pin x 3-1/2" IF Box</t>
        </is>
      </c>
      <c r="C1450" t="n">
        <v>0</v>
      </c>
      <c r="D1450" s="62" t="n">
        <v>4.75</v>
      </c>
      <c r="E1450" t="n">
        <v>600</v>
      </c>
      <c r="T1450" t="n">
        <v>94</v>
      </c>
      <c r="V1450" t="inlineStr">
        <is>
          <t>FR</t>
        </is>
      </c>
    </row>
    <row r="1451">
      <c r="A1451" t="n">
        <v>8131246</v>
      </c>
      <c r="B1451" t="inlineStr">
        <is>
          <t>XO
2-7/8" PH6 Pin x 2-3/8" REG Box</t>
        </is>
      </c>
      <c r="C1451" t="n">
        <v>0</v>
      </c>
      <c r="D1451" s="62" t="n">
        <v>3.375</v>
      </c>
      <c r="E1451" t="inlineStr">
        <is>
          <t>&lt;600</t>
        </is>
      </c>
      <c r="T1451" t="n">
        <v>69</v>
      </c>
      <c r="V1451" t="inlineStr">
        <is>
          <t>FR</t>
        </is>
      </c>
    </row>
    <row r="1452">
      <c r="A1452" t="n">
        <v>8131247</v>
      </c>
      <c r="B1452" t="inlineStr">
        <is>
          <t>XO
2-7/8" PH6 Pin x 2-3/8" REG Box</t>
        </is>
      </c>
      <c r="C1452" t="n">
        <v>0</v>
      </c>
      <c r="D1452" s="62" t="n">
        <v>3.375</v>
      </c>
      <c r="E1452" t="inlineStr">
        <is>
          <t>&lt;600</t>
        </is>
      </c>
      <c r="T1452" t="n">
        <v>70</v>
      </c>
      <c r="V1452" t="inlineStr">
        <is>
          <t>FR</t>
        </is>
      </c>
    </row>
    <row r="1453">
      <c r="A1453" t="n">
        <v>8131248</v>
      </c>
      <c r="B1453" t="inlineStr">
        <is>
          <t>XO
2-7/8" PH6 Pin x 2-3/8" IF Box</t>
        </is>
      </c>
      <c r="C1453" t="n">
        <v>0</v>
      </c>
      <c r="D1453" s="62" t="n">
        <v>3.375</v>
      </c>
      <c r="E1453" t="inlineStr">
        <is>
          <t>&lt;600</t>
        </is>
      </c>
      <c r="T1453" t="n">
        <v>71</v>
      </c>
      <c r="V1453" t="inlineStr">
        <is>
          <t>FR</t>
        </is>
      </c>
    </row>
    <row r="1454">
      <c r="A1454" t="n">
        <v>8131249</v>
      </c>
      <c r="B1454" t="inlineStr">
        <is>
          <t>XO
2-7/8" PH6 Pin x 2-3/8" IF Box</t>
        </is>
      </c>
      <c r="C1454" t="n">
        <v>0</v>
      </c>
      <c r="D1454" s="62" t="n">
        <v>3.375</v>
      </c>
      <c r="E1454" t="inlineStr">
        <is>
          <t>&lt;600</t>
        </is>
      </c>
      <c r="T1454" t="n">
        <v>72</v>
      </c>
      <c r="V1454" t="inlineStr">
        <is>
          <t>FR</t>
        </is>
      </c>
    </row>
    <row r="1455">
      <c r="A1455" t="n">
        <v>8131250</v>
      </c>
      <c r="B1455" t="inlineStr">
        <is>
          <t>XO
2-3/8" REG Pin x 2-7/8" REG Box</t>
        </is>
      </c>
      <c r="C1455" t="n">
        <v>0</v>
      </c>
      <c r="D1455" s="62" t="n">
        <v>3.375</v>
      </c>
      <c r="E1455" t="inlineStr">
        <is>
          <t>&lt;600</t>
        </is>
      </c>
      <c r="T1455" t="n">
        <v>54</v>
      </c>
      <c r="V1455" t="inlineStr">
        <is>
          <t>FR</t>
        </is>
      </c>
    </row>
    <row r="1456">
      <c r="A1456" t="n">
        <v>8131251</v>
      </c>
      <c r="B1456" t="inlineStr">
        <is>
          <t>XO
2-3/8" REG Pin x 2-7/8" REG Box</t>
        </is>
      </c>
      <c r="C1456" t="n">
        <v>0</v>
      </c>
      <c r="D1456" s="62" t="n">
        <v>3.375</v>
      </c>
      <c r="E1456" t="inlineStr">
        <is>
          <t>&lt;600</t>
        </is>
      </c>
      <c r="T1456" t="n">
        <v>55</v>
      </c>
      <c r="V1456" t="inlineStr">
        <is>
          <t>FR</t>
        </is>
      </c>
    </row>
    <row r="1457">
      <c r="A1457" t="n">
        <v>8131252</v>
      </c>
      <c r="B1457" t="inlineStr">
        <is>
          <t>XO
2-7/8" REG Pin x 2-3/8" REG Box</t>
        </is>
      </c>
      <c r="C1457" t="n">
        <v>0</v>
      </c>
      <c r="D1457" s="62" t="n">
        <v>3.375</v>
      </c>
      <c r="E1457" t="inlineStr">
        <is>
          <t>&lt;600</t>
        </is>
      </c>
      <c r="T1457" t="n">
        <v>91</v>
      </c>
      <c r="V1457" t="inlineStr">
        <is>
          <t>FR</t>
        </is>
      </c>
    </row>
    <row r="1458">
      <c r="A1458" t="n">
        <v>8131253</v>
      </c>
      <c r="B1458" t="inlineStr">
        <is>
          <t>XO
2-7/8" REG Pin x 2-3/8" REG Box</t>
        </is>
      </c>
      <c r="C1458" t="n">
        <v>0</v>
      </c>
      <c r="D1458" s="62" t="n">
        <v>3.375</v>
      </c>
      <c r="E1458" t="inlineStr">
        <is>
          <t>&lt;600</t>
        </is>
      </c>
      <c r="T1458" t="n">
        <v>92</v>
      </c>
      <c r="V1458" t="inlineStr">
        <is>
          <t>FR</t>
        </is>
      </c>
    </row>
    <row r="1459">
      <c r="A1459" t="n">
        <v>7021254</v>
      </c>
      <c r="B1459" t="inlineStr">
        <is>
          <t>Fishing Magnet 4" OD
2-3/8" REG Pin</t>
        </is>
      </c>
      <c r="C1459" t="n">
        <v>0</v>
      </c>
      <c r="D1459" s="62" t="n">
        <v>4</v>
      </c>
      <c r="E1459" t="n">
        <v>0</v>
      </c>
      <c r="T1459" t="n">
        <v>6</v>
      </c>
      <c r="V1459" t="inlineStr">
        <is>
          <t>FR</t>
        </is>
      </c>
    </row>
    <row r="1460">
      <c r="A1460" t="n">
        <v>7021255</v>
      </c>
      <c r="B1460" t="inlineStr">
        <is>
          <t>String Magnet 3-3/8" OD
2-3/8" IF Pin x Box</t>
        </is>
      </c>
      <c r="C1460" t="n">
        <v>0</v>
      </c>
      <c r="D1460" s="62" t="n">
        <v>3.375</v>
      </c>
      <c r="E1460" t="n">
        <v>1235</v>
      </c>
      <c r="T1460" t="n">
        <v>4</v>
      </c>
      <c r="V1460" t="inlineStr">
        <is>
          <t>FR</t>
        </is>
      </c>
    </row>
    <row r="1461">
      <c r="A1461" t="n">
        <v>7021256</v>
      </c>
      <c r="B1461" t="inlineStr">
        <is>
          <t>String Magnet 3-3/8" OD
2-3/8" IF Pin x Box</t>
        </is>
      </c>
      <c r="C1461" t="n">
        <v>0</v>
      </c>
      <c r="D1461" s="62" t="n">
        <v>3.375</v>
      </c>
      <c r="E1461" t="n">
        <v>1235</v>
      </c>
      <c r="T1461" t="n">
        <v>5</v>
      </c>
      <c r="V1461" t="inlineStr">
        <is>
          <t>FR</t>
        </is>
      </c>
    </row>
    <row r="1462">
      <c r="A1462" t="n">
        <v>5061257</v>
      </c>
      <c r="B1462" t="inlineStr">
        <is>
          <t>String Mill 4,1875 OD 
2 3/8" REG Box x 2 3/8" REG Pin</t>
        </is>
      </c>
      <c r="C1462" t="n">
        <v>60</v>
      </c>
      <c r="D1462" s="62" t="n">
        <v>4.1875</v>
      </c>
      <c r="E1462" t="n">
        <v>1136</v>
      </c>
      <c r="T1462" t="n">
        <v>6</v>
      </c>
      <c r="V1462" t="inlineStr">
        <is>
          <t>FR</t>
        </is>
      </c>
    </row>
    <row r="1463">
      <c r="A1463" t="n">
        <v>5061258</v>
      </c>
      <c r="B1463" t="inlineStr">
        <is>
          <t>String Mill 4,75 OD 
2 3/8" REG Box x 2 3/8" REG Pin</t>
        </is>
      </c>
      <c r="C1463" t="n">
        <v>60</v>
      </c>
      <c r="D1463" s="62" t="n">
        <v>4.75</v>
      </c>
      <c r="E1463" t="n">
        <v>1250</v>
      </c>
      <c r="T1463" t="n">
        <v>7</v>
      </c>
      <c r="V1463" t="inlineStr">
        <is>
          <t>FR</t>
        </is>
      </c>
    </row>
    <row r="1464">
      <c r="A1464" t="n">
        <v>8021259</v>
      </c>
      <c r="B1464" t="inlineStr">
        <is>
          <t>Bit Sub
2-7/8" EU Box x 3-1/2" REG Box</t>
        </is>
      </c>
      <c r="C1464" t="n">
        <v>38.6637049305</v>
      </c>
      <c r="D1464" s="62" t="n">
        <v>4.75</v>
      </c>
      <c r="E1464" t="n">
        <v>600</v>
      </c>
      <c r="T1464" t="n">
        <v>27</v>
      </c>
      <c r="V1464" t="inlineStr">
        <is>
          <t>FR</t>
        </is>
      </c>
    </row>
    <row r="1465">
      <c r="A1465" t="n">
        <v>8021260</v>
      </c>
      <c r="B1465" t="inlineStr">
        <is>
          <t>Bit Sub
2-7/8" EU Box x 3-1/2" REG Box</t>
        </is>
      </c>
      <c r="C1465" t="n">
        <v>48.1444601625</v>
      </c>
      <c r="D1465" s="62" t="n">
        <v>4.75</v>
      </c>
      <c r="E1465" t="n">
        <v>600</v>
      </c>
      <c r="T1465" t="n">
        <v>28</v>
      </c>
      <c r="V1465" t="inlineStr">
        <is>
          <t>FR</t>
        </is>
      </c>
    </row>
    <row r="1466">
      <c r="A1466" t="n">
        <v>8131261</v>
      </c>
      <c r="B1466" t="inlineStr">
        <is>
          <t>XO
2-7/8" IF Pin x 3-1/2" REG Pin</t>
        </is>
      </c>
      <c r="C1466" t="n">
        <v>0</v>
      </c>
      <c r="D1466" s="62" t="n">
        <v>0</v>
      </c>
      <c r="E1466" t="n">
        <v>0</v>
      </c>
      <c r="T1466" t="n">
        <v>83</v>
      </c>
      <c r="V1466" t="inlineStr">
        <is>
          <t>FR</t>
        </is>
      </c>
    </row>
    <row r="1467">
      <c r="A1467" t="n">
        <v>8041282</v>
      </c>
      <c r="B1467" t="inlineStr">
        <is>
          <t>Lift Sub 2-7/8" PH6 Pin
0 OD body for Elevator DP 18°</t>
        </is>
      </c>
      <c r="C1467" t="n">
        <v>0</v>
      </c>
      <c r="D1467" s="62" t="n">
        <v>0</v>
      </c>
      <c r="E1467" t="n">
        <v>0</v>
      </c>
      <c r="T1467" t="n">
        <v>35</v>
      </c>
      <c r="V1467" t="inlineStr">
        <is>
          <t>FR</t>
        </is>
      </c>
    </row>
    <row r="1468">
      <c r="A1468" t="n">
        <v>8041283</v>
      </c>
      <c r="B1468" t="inlineStr">
        <is>
          <t>Lift Sub 2-7/8" PH6 Pin
0 OD body for Elevator DP 18°</t>
        </is>
      </c>
      <c r="C1468" t="n">
        <v>0</v>
      </c>
      <c r="D1468" s="62" t="n">
        <v>0</v>
      </c>
      <c r="E1468" t="n">
        <v>0</v>
      </c>
      <c r="T1468" t="n">
        <v>36</v>
      </c>
      <c r="V1468" t="inlineStr">
        <is>
          <t>FR</t>
        </is>
      </c>
    </row>
    <row r="1469">
      <c r="A1469" t="n">
        <v>5081264</v>
      </c>
      <c r="B1469" t="inlineStr">
        <is>
          <t>Taper Mill 
3-1/2" REG Pin</t>
        </is>
      </c>
      <c r="C1469" t="n">
        <v>76</v>
      </c>
      <c r="D1469" s="62" t="n">
        <v>6</v>
      </c>
      <c r="E1469" t="n">
        <v>76</v>
      </c>
      <c r="T1469" t="n">
        <v>22</v>
      </c>
      <c r="V1469" t="inlineStr">
        <is>
          <t>FR</t>
        </is>
      </c>
    </row>
    <row r="1470">
      <c r="A1470" t="n">
        <v>8111265</v>
      </c>
      <c r="B1470" t="inlineStr">
        <is>
          <t>String Stab
4-1/2" IF Pin x 4-1/2" IF Box</t>
        </is>
      </c>
      <c r="C1470" t="n">
        <v>275</v>
      </c>
      <c r="D1470" s="62" t="n">
        <v>8.5</v>
      </c>
      <c r="E1470" t="n">
        <v>1880</v>
      </c>
      <c r="T1470" t="n">
        <v>36</v>
      </c>
      <c r="V1470" t="inlineStr">
        <is>
          <t>CH</t>
        </is>
      </c>
    </row>
    <row r="1471">
      <c r="A1471" t="n">
        <v>8111266</v>
      </c>
      <c r="B1471" t="inlineStr">
        <is>
          <t>String Stab
4-1/2" IF Pin x 4-1/2" IF Box</t>
        </is>
      </c>
      <c r="C1471" t="n">
        <v>268</v>
      </c>
      <c r="D1471" s="62" t="n">
        <v>8.25</v>
      </c>
      <c r="E1471" t="n">
        <v>1880</v>
      </c>
      <c r="T1471" t="n">
        <v>37</v>
      </c>
      <c r="V1471" t="inlineStr">
        <is>
          <t>CH</t>
        </is>
      </c>
    </row>
    <row r="1472">
      <c r="A1472" t="n">
        <v>8091267</v>
      </c>
      <c r="B1472" t="inlineStr">
        <is>
          <t>Near Bit Stab
4-1/2" IF Pin x 4-1/2" REG Box BF</t>
        </is>
      </c>
      <c r="C1472" t="n">
        <v>275</v>
      </c>
      <c r="D1472" s="62" t="n">
        <v>8.4375</v>
      </c>
      <c r="E1472" t="n">
        <v>1880</v>
      </c>
      <c r="T1472" t="n">
        <v>14</v>
      </c>
      <c r="V1472" t="inlineStr">
        <is>
          <t>CH</t>
        </is>
      </c>
    </row>
    <row r="1473">
      <c r="A1473" t="n">
        <v>8111268</v>
      </c>
      <c r="B1473" t="inlineStr">
        <is>
          <t>String Stab
4-1/2" IF Pin x 4-1/2" IF Box</t>
        </is>
      </c>
      <c r="C1473" t="n">
        <v>304</v>
      </c>
      <c r="D1473" s="62" t="n">
        <v>9.4375</v>
      </c>
      <c r="E1473" t="n">
        <v>1880</v>
      </c>
      <c r="T1473" t="n">
        <v>49</v>
      </c>
      <c r="V1473" t="inlineStr">
        <is>
          <t>CH</t>
        </is>
      </c>
    </row>
    <row r="1474">
      <c r="A1474" t="n">
        <v>8111269</v>
      </c>
      <c r="B1474" t="inlineStr">
        <is>
          <t>String Stab
4-1/2" IF Pin x 4-1/2" IF Box</t>
        </is>
      </c>
      <c r="C1474" t="n">
        <v>301</v>
      </c>
      <c r="D1474" s="62" t="n">
        <v>9.375</v>
      </c>
      <c r="E1474" t="n">
        <v>1930</v>
      </c>
      <c r="T1474" t="n">
        <v>44</v>
      </c>
      <c r="V1474" t="inlineStr">
        <is>
          <t>CH</t>
        </is>
      </c>
    </row>
    <row r="1475">
      <c r="A1475" t="n">
        <v>8111270</v>
      </c>
      <c r="B1475" t="inlineStr">
        <is>
          <t>String Stab
4-1/2" IF Pin x 4-1/2" IF Box</t>
        </is>
      </c>
      <c r="C1475" t="n">
        <v>295</v>
      </c>
      <c r="D1475" s="62" t="n">
        <v>9.125</v>
      </c>
      <c r="E1475" t="n">
        <v>1930</v>
      </c>
      <c r="T1475" t="n">
        <v>45</v>
      </c>
      <c r="V1475" t="inlineStr">
        <is>
          <t>CH</t>
        </is>
      </c>
    </row>
    <row r="1476">
      <c r="A1476" t="n">
        <v>8111271</v>
      </c>
      <c r="B1476" t="inlineStr">
        <is>
          <t>String Stab
6-5/8" REG Pin x 6-5/8" REG Box</t>
        </is>
      </c>
      <c r="C1476" t="n">
        <v>545</v>
      </c>
      <c r="D1476" s="62" t="n">
        <v>12.125</v>
      </c>
      <c r="E1476" t="n">
        <v>2000</v>
      </c>
      <c r="T1476" t="n">
        <v>69</v>
      </c>
      <c r="V1476" t="inlineStr">
        <is>
          <t>CH</t>
        </is>
      </c>
    </row>
    <row r="1477">
      <c r="A1477" t="n">
        <v>8111272</v>
      </c>
      <c r="B1477" t="inlineStr">
        <is>
          <t>String Stab
6-5/8" REG Pin x 6-5/8" REG Box</t>
        </is>
      </c>
      <c r="C1477" t="n">
        <v>540</v>
      </c>
      <c r="D1477" s="62" t="n">
        <v>12.125</v>
      </c>
      <c r="E1477" t="n">
        <v>2184</v>
      </c>
      <c r="T1477" t="n">
        <v>66</v>
      </c>
      <c r="V1477" t="inlineStr">
        <is>
          <t>CH</t>
        </is>
      </c>
    </row>
    <row r="1478">
      <c r="A1478" t="n">
        <v>8111273</v>
      </c>
      <c r="B1478" t="inlineStr">
        <is>
          <t>String Stab
6-5/8" REG Pin x 6-5/8" REG Box</t>
        </is>
      </c>
      <c r="C1478" t="n">
        <v>474</v>
      </c>
      <c r="D1478" s="62" t="n">
        <v>12</v>
      </c>
      <c r="E1478" t="n">
        <v>2050</v>
      </c>
      <c r="T1478" t="n">
        <v>58</v>
      </c>
      <c r="V1478" t="inlineStr">
        <is>
          <t>CH</t>
        </is>
      </c>
    </row>
    <row r="1479">
      <c r="A1479" t="n">
        <v>8111274</v>
      </c>
      <c r="B1479" t="inlineStr">
        <is>
          <t>String Stab
6-5/8" REG Pin x 6-5/8" REG Box</t>
        </is>
      </c>
      <c r="C1479" t="n">
        <v>665</v>
      </c>
      <c r="D1479" s="62" t="n">
        <v>14.75</v>
      </c>
      <c r="E1479" t="n">
        <v>2184</v>
      </c>
      <c r="T1479" t="n">
        <v>80</v>
      </c>
      <c r="V1479" t="inlineStr">
        <is>
          <t>CH</t>
        </is>
      </c>
    </row>
    <row r="1480">
      <c r="A1480" t="n">
        <v>8111275</v>
      </c>
      <c r="B1480" t="inlineStr">
        <is>
          <t>String Stab
6-5/8" REG Pin x 6-5/8" REG Box</t>
        </is>
      </c>
      <c r="C1480" t="n">
        <v>638</v>
      </c>
      <c r="D1480" s="62" t="n">
        <v>14.125</v>
      </c>
      <c r="E1480" t="n">
        <v>2184</v>
      </c>
      <c r="T1480" t="n">
        <v>79</v>
      </c>
      <c r="V1480" t="inlineStr">
        <is>
          <t>CH</t>
        </is>
      </c>
    </row>
    <row r="1481">
      <c r="A1481" t="n">
        <v>8111276</v>
      </c>
      <c r="B1481" t="inlineStr">
        <is>
          <t>String Stab
7-5/8" REG Pin x 7-5/8" REG Box</t>
        </is>
      </c>
      <c r="C1481" t="n">
        <v>554</v>
      </c>
      <c r="D1481" s="62" t="n">
        <v>14.125</v>
      </c>
      <c r="E1481" t="n">
        <v>2184</v>
      </c>
      <c r="T1481" t="n">
        <v>78</v>
      </c>
      <c r="V1481" t="inlineStr">
        <is>
          <t>CH</t>
        </is>
      </c>
    </row>
    <row r="1482">
      <c r="A1482" t="n">
        <v>8111277</v>
      </c>
      <c r="B1482" t="inlineStr">
        <is>
          <t>String Stab
7-5/8" REG Pin x 7-5/8" REG Box</t>
        </is>
      </c>
      <c r="C1482" t="n">
        <v>773</v>
      </c>
      <c r="D1482" s="62" t="n">
        <v>14.875</v>
      </c>
      <c r="E1482" t="n">
        <v>2184</v>
      </c>
      <c r="T1482" t="n">
        <v>81</v>
      </c>
      <c r="V1482" t="inlineStr">
        <is>
          <t>CH</t>
        </is>
      </c>
    </row>
    <row r="1483">
      <c r="A1483" t="n">
        <v>8091278</v>
      </c>
      <c r="B1483" t="inlineStr">
        <is>
          <t>Near Bit Stab
7-5/8" REG Box x 7-5/8" REG Box BF</t>
        </is>
      </c>
      <c r="C1483" t="n">
        <v>773</v>
      </c>
      <c r="D1483" s="62" t="n">
        <v>14.75</v>
      </c>
      <c r="E1483" t="n">
        <v>2184</v>
      </c>
      <c r="T1483" t="n">
        <v>35</v>
      </c>
      <c r="V1483" t="inlineStr">
        <is>
          <t>CH</t>
        </is>
      </c>
    </row>
    <row r="1484">
      <c r="A1484" t="n">
        <v>8111279</v>
      </c>
      <c r="B1484" t="inlineStr">
        <is>
          <t>String Stab
7-5/8" REG Pin x 7-5/8" REG Box</t>
        </is>
      </c>
      <c r="C1484" t="n">
        <v>1035</v>
      </c>
      <c r="D1484" s="62" t="n">
        <v>17.5</v>
      </c>
      <c r="E1484" t="n">
        <v>2160</v>
      </c>
      <c r="T1484" t="n">
        <v>98</v>
      </c>
      <c r="V1484" t="inlineStr">
        <is>
          <t>CH</t>
        </is>
      </c>
    </row>
    <row r="1485">
      <c r="A1485" t="n">
        <v>8111280</v>
      </c>
      <c r="B1485" t="inlineStr">
        <is>
          <t>String Stab
7-5/8" REG Pin x 7-5/8" REG Box</t>
        </is>
      </c>
      <c r="C1485" t="n">
        <v>1016</v>
      </c>
      <c r="D1485" s="62" t="n">
        <v>17.125</v>
      </c>
      <c r="E1485" t="n">
        <v>2286</v>
      </c>
      <c r="T1485" t="n">
        <v>99</v>
      </c>
      <c r="V1485" t="inlineStr">
        <is>
          <t>CH</t>
        </is>
      </c>
    </row>
    <row r="1486">
      <c r="A1486" t="n">
        <v>8111281</v>
      </c>
      <c r="B1486" t="inlineStr">
        <is>
          <t>String Stab
7-5/8" REG Pin x 7-5/8" REG Box</t>
        </is>
      </c>
      <c r="C1486" t="n">
        <v>1006</v>
      </c>
      <c r="D1486" s="62" t="n">
        <v>17.0625</v>
      </c>
      <c r="E1486" t="n">
        <v>2286</v>
      </c>
      <c r="T1486" t="n">
        <v>90</v>
      </c>
      <c r="V1486" t="inlineStr">
        <is>
          <t>CH</t>
        </is>
      </c>
    </row>
    <row r="1487">
      <c r="A1487" t="n">
        <v>8091282</v>
      </c>
      <c r="B1487" t="inlineStr">
        <is>
          <t>Near Bit Stab
7-5/8" REG Box x 7-5/8" REG Box BF</t>
        </is>
      </c>
      <c r="C1487" t="n">
        <v>962</v>
      </c>
      <c r="D1487" s="62" t="n">
        <v>17.5</v>
      </c>
      <c r="E1487" t="n">
        <v>2286</v>
      </c>
      <c r="T1487" t="n">
        <v>42</v>
      </c>
      <c r="V1487" t="inlineStr">
        <is>
          <t>CH</t>
        </is>
      </c>
    </row>
    <row r="1488">
      <c r="A1488" t="n">
        <v>8111283</v>
      </c>
      <c r="B1488" t="inlineStr">
        <is>
          <t>String Stab
7-5/8" REG Pin x 7-5/8" REG Box</t>
        </is>
      </c>
      <c r="C1488" t="n">
        <v>1117</v>
      </c>
      <c r="D1488" s="62" t="n">
        <v>18.5625</v>
      </c>
      <c r="E1488" t="n">
        <v>2286</v>
      </c>
      <c r="T1488" t="n">
        <v>103</v>
      </c>
      <c r="V1488" t="inlineStr">
        <is>
          <t>CH</t>
        </is>
      </c>
    </row>
    <row r="1489">
      <c r="A1489" t="n">
        <v>8111284</v>
      </c>
      <c r="B1489" t="inlineStr">
        <is>
          <t>String Stab
7-5/8" REG Pin x 7-5/8" REG Box</t>
        </is>
      </c>
      <c r="C1489" t="n">
        <v>1075</v>
      </c>
      <c r="D1489" s="62" t="n">
        <v>18.1875</v>
      </c>
      <c r="E1489" t="n">
        <v>2286</v>
      </c>
      <c r="T1489" t="n">
        <v>104</v>
      </c>
      <c r="V1489" t="inlineStr">
        <is>
          <t>CH</t>
        </is>
      </c>
    </row>
    <row r="1490">
      <c r="A1490" t="n">
        <v>8111285</v>
      </c>
      <c r="B1490" t="inlineStr">
        <is>
          <t>String Stab
7-5/8" REG Pin x 7-5/8" REG Box</t>
        </is>
      </c>
      <c r="C1490" t="n">
        <v>1086</v>
      </c>
      <c r="D1490" s="62" t="n">
        <v>18</v>
      </c>
      <c r="E1490" t="n">
        <v>2286</v>
      </c>
      <c r="T1490" t="n">
        <v>105</v>
      </c>
      <c r="V1490" t="inlineStr">
        <is>
          <t>CH</t>
        </is>
      </c>
    </row>
    <row r="1491">
      <c r="A1491" t="n">
        <v>8091286</v>
      </c>
      <c r="B1491" t="inlineStr">
        <is>
          <t>Near Bit Stab
7-5/8" REG Box x 7-5/8" REG Box BF</t>
        </is>
      </c>
      <c r="C1491" t="n">
        <v>1044</v>
      </c>
      <c r="D1491" s="62" t="n">
        <v>18.5</v>
      </c>
      <c r="E1491" t="n">
        <v>2286</v>
      </c>
      <c r="T1491" t="n">
        <v>43</v>
      </c>
      <c r="V1491" t="inlineStr">
        <is>
          <t>CH</t>
        </is>
      </c>
    </row>
    <row r="1492">
      <c r="A1492" t="n">
        <v>8111287</v>
      </c>
      <c r="B1492" t="inlineStr">
        <is>
          <t>String Stab
7-5/8" REG Pin x 7-5/8" REG Box</t>
        </is>
      </c>
      <c r="C1492" t="n">
        <v>1900</v>
      </c>
      <c r="D1492" s="62" t="n">
        <v>23.875</v>
      </c>
      <c r="E1492" t="n">
        <v>2591</v>
      </c>
      <c r="T1492" t="n">
        <v>110</v>
      </c>
      <c r="V1492" t="inlineStr">
        <is>
          <t>CH</t>
        </is>
      </c>
    </row>
    <row r="1493">
      <c r="A1493" t="n">
        <v>8091288</v>
      </c>
      <c r="B1493" t="inlineStr">
        <is>
          <t>Near Bit Stab
7-5/8" REG Box x 7-5/8" REG Box BF</t>
        </is>
      </c>
      <c r="C1493" t="n">
        <v>1900</v>
      </c>
      <c r="D1493" s="62" t="n">
        <v>23.875</v>
      </c>
      <c r="E1493" t="n">
        <v>2591</v>
      </c>
      <c r="T1493" t="n">
        <v>47</v>
      </c>
      <c r="V1493" t="inlineStr">
        <is>
          <t>CH</t>
        </is>
      </c>
    </row>
    <row r="1494">
      <c r="A1494" t="n">
        <v>8111289</v>
      </c>
      <c r="B1494" t="inlineStr">
        <is>
          <t>String Stab
7-5/8" REG Pin x 7-5/8" REG Box</t>
        </is>
      </c>
      <c r="C1494" t="n">
        <v>2185</v>
      </c>
      <c r="D1494" s="62" t="n">
        <v>25.9375</v>
      </c>
      <c r="E1494" t="n">
        <v>2591</v>
      </c>
      <c r="T1494" t="n">
        <v>114</v>
      </c>
      <c r="V1494" t="inlineStr">
        <is>
          <t>CH</t>
        </is>
      </c>
    </row>
    <row r="1495">
      <c r="A1495" t="n">
        <v>8091290</v>
      </c>
      <c r="B1495" t="inlineStr">
        <is>
          <t>Near Bit Stab
7-5/8" REG Box x 7-5/8" REG Box BF</t>
        </is>
      </c>
      <c r="C1495" t="n">
        <v>2132</v>
      </c>
      <c r="D1495" s="62" t="n">
        <v>25.6875</v>
      </c>
      <c r="E1495" t="n">
        <v>2591</v>
      </c>
      <c r="T1495" t="n">
        <v>50</v>
      </c>
      <c r="V1495" t="inlineStr">
        <is>
          <t>CH</t>
        </is>
      </c>
    </row>
    <row r="1496">
      <c r="A1496" t="n">
        <v>6081291</v>
      </c>
      <c r="B1496" t="inlineStr">
        <is>
          <t>Top NMDC 4-3/4" OD x 2-1/2" ID
3-1/2" IF Pin x Box</t>
        </is>
      </c>
      <c r="C1496" t="n">
        <v>579.9555739575</v>
      </c>
      <c r="D1496" s="62" t="n">
        <v>4.75</v>
      </c>
      <c r="E1496" t="n">
        <v>9000</v>
      </c>
      <c r="T1496" t="n">
        <v>15</v>
      </c>
    </row>
    <row r="1497">
      <c r="A1497" t="n">
        <v>6081292</v>
      </c>
      <c r="B1497" t="inlineStr">
        <is>
          <t>Top NMDC 4-3/4" OD x 2-1/2" ID
3-1/2" IF Pin x Box</t>
        </is>
      </c>
      <c r="C1497" t="n">
        <v>579.9555739575</v>
      </c>
      <c r="D1497" s="62" t="n">
        <v>4.75</v>
      </c>
      <c r="E1497" t="n">
        <v>9000</v>
      </c>
      <c r="T1497" t="n">
        <v>16</v>
      </c>
    </row>
    <row r="1498">
      <c r="A1498" t="n">
        <v>6081293</v>
      </c>
      <c r="B1498" t="inlineStr">
        <is>
          <t>NMDC 4-3/4" OD x 2-1/2" ID
3-1/2" IF Pin x Box</t>
        </is>
      </c>
      <c r="C1498" t="n">
        <v>579.9555739575</v>
      </c>
      <c r="D1498" s="62" t="n">
        <v>4.75</v>
      </c>
      <c r="E1498" t="n">
        <v>9000</v>
      </c>
      <c r="T1498" t="n">
        <v>17</v>
      </c>
    </row>
    <row r="1499">
      <c r="A1499" t="n">
        <v>7041293</v>
      </c>
      <c r="B1499" t="inlineStr">
        <is>
          <t>3-7/8" XSH Overshot - CA 21300
bowl</t>
        </is>
      </c>
      <c r="C1499" t="n">
        <v>0</v>
      </c>
      <c r="D1499" s="62" t="inlineStr">
        <is>
          <t>3-7/8" XSH</t>
        </is>
      </c>
      <c r="E1499" t="n">
        <v>0</v>
      </c>
      <c r="T1499" t="n">
        <v>15</v>
      </c>
    </row>
    <row r="1500">
      <c r="A1500" t="n">
        <v>7041294</v>
      </c>
      <c r="B1500" t="inlineStr">
        <is>
          <t>3-7/8" SH Overshot - CA C-1835
bowl</t>
        </is>
      </c>
      <c r="C1500" t="n">
        <v>0</v>
      </c>
      <c r="D1500" s="62" t="inlineStr">
        <is>
          <t>3-7/8" SH</t>
        </is>
      </c>
      <c r="E1500" t="n">
        <v>0</v>
      </c>
      <c r="T1500" t="n">
        <v>11</v>
      </c>
    </row>
    <row r="1501">
      <c r="A1501" t="n">
        <v>7041295</v>
      </c>
      <c r="B1501" t="inlineStr">
        <is>
          <t>8-1/8" FS Overshot - CA C-5342
bowl</t>
        </is>
      </c>
      <c r="C1501" t="n">
        <v>0</v>
      </c>
      <c r="D1501" s="62" t="inlineStr">
        <is>
          <t>8-1/8" FS</t>
        </is>
      </c>
      <c r="E1501" t="n">
        <v>0</v>
      </c>
      <c r="T1501" t="n">
        <v>62</v>
      </c>
    </row>
    <row r="1502">
      <c r="A1502" t="n">
        <v>7041296</v>
      </c>
      <c r="B1502" t="inlineStr">
        <is>
          <t>11-3/4" FS Overshot - CA C-5329
bowl</t>
        </is>
      </c>
      <c r="C1502" t="n">
        <v>0</v>
      </c>
      <c r="D1502" s="62" t="inlineStr">
        <is>
          <t>11-3/4" FS</t>
        </is>
      </c>
      <c r="E1502" t="n">
        <v>0</v>
      </c>
      <c r="T1502" t="n">
        <v>94</v>
      </c>
    </row>
    <row r="1503">
      <c r="A1503" t="n">
        <v>7041297</v>
      </c>
      <c r="B1503" t="inlineStr">
        <is>
          <t>5-3/4" FS Overshot - CA 8975
bowl uniquement</t>
        </is>
      </c>
      <c r="C1503" t="n">
        <v>0</v>
      </c>
      <c r="D1503" s="62" t="inlineStr">
        <is>
          <t>5-3/4" FS</t>
        </is>
      </c>
      <c r="E1503" t="n">
        <v>0</v>
      </c>
      <c r="T1503" t="n">
        <v>36</v>
      </c>
    </row>
    <row r="1504">
      <c r="A1504" t="n">
        <v>7041298</v>
      </c>
      <c r="B1504" t="inlineStr">
        <is>
          <t>5-3/4" FS Overshot - CA 8975
3-1/2" IF Box</t>
        </is>
      </c>
      <c r="C1504" t="n">
        <v>70</v>
      </c>
      <c r="D1504" s="62" t="inlineStr">
        <is>
          <t>5-3/4" FS</t>
        </is>
      </c>
      <c r="E1504" t="n">
        <v>0</v>
      </c>
      <c r="T1504" t="n">
        <v>35</v>
      </c>
    </row>
    <row r="1505">
      <c r="A1505" t="n">
        <v>7041299</v>
      </c>
      <c r="B1505" t="inlineStr">
        <is>
          <t>5-7/8" SH Overshot - CA C-5171
bowl + lip guide</t>
        </is>
      </c>
      <c r="C1505" t="n">
        <v>0</v>
      </c>
      <c r="D1505" s="62" t="inlineStr">
        <is>
          <t>5-7/8" SH</t>
        </is>
      </c>
      <c r="E1505" t="n">
        <v>0</v>
      </c>
      <c r="T1505" t="n">
        <v>41</v>
      </c>
    </row>
    <row r="1506">
      <c r="A1506" t="n">
        <v>7041300</v>
      </c>
      <c r="B1506" t="inlineStr">
        <is>
          <t>8-1/8" SH Overshot - CA 9217
4-1/2" IF Box</t>
        </is>
      </c>
      <c r="C1506" t="n">
        <v>89</v>
      </c>
      <c r="D1506" s="62" t="inlineStr">
        <is>
          <t>8-1/8" SH</t>
        </is>
      </c>
      <c r="E1506" t="n">
        <v>600</v>
      </c>
      <c r="T1506" t="n">
        <v>66</v>
      </c>
    </row>
    <row r="1507">
      <c r="A1507" t="n">
        <v>7041301</v>
      </c>
      <c r="B1507" t="inlineStr">
        <is>
          <t>8-3/8" FS Overshot - CA 209
4-1/2" IF Box</t>
        </is>
      </c>
      <c r="C1507" t="n">
        <v>0</v>
      </c>
      <c r="D1507" s="62" t="inlineStr">
        <is>
          <t>8-3/8" FS</t>
        </is>
      </c>
      <c r="E1507" t="n">
        <v>1320</v>
      </c>
      <c r="T1507" t="n">
        <v>69</v>
      </c>
    </row>
    <row r="1508">
      <c r="A1508" t="n">
        <v>4031302</v>
      </c>
      <c r="B1508" t="inlineStr">
        <is>
          <t>Jar Z 4-3/4" 
3-1/2" IF Pin down x Box up</t>
        </is>
      </c>
      <c r="C1508" t="n">
        <v>180</v>
      </c>
      <c r="D1508" s="62" t="n">
        <v>4.75</v>
      </c>
      <c r="E1508" t="n">
        <v>2140</v>
      </c>
      <c r="T1508" t="n">
        <v>11</v>
      </c>
    </row>
    <row r="1509">
      <c r="A1509" t="n">
        <v>7041303</v>
      </c>
      <c r="B1509" t="inlineStr">
        <is>
          <t>8-1/8" SH Overshot - CA 9217
4-1/2" IF Box</t>
        </is>
      </c>
      <c r="C1509" t="n">
        <v>89</v>
      </c>
      <c r="D1509" s="62" t="inlineStr">
        <is>
          <t>8-1/8" SH</t>
        </is>
      </c>
      <c r="E1509" t="n">
        <v>600</v>
      </c>
      <c r="T1509" t="n">
        <v>67</v>
      </c>
    </row>
    <row r="1510">
      <c r="A1510" t="n">
        <v>5101304</v>
      </c>
      <c r="B1510" t="inlineStr">
        <is>
          <t>WO Pipe
3-1/2" FJWP Pin x Box</t>
        </is>
      </c>
      <c r="C1510" t="n">
        <v>115.54670439</v>
      </c>
      <c r="D1510" s="62" t="n">
        <v>3.5</v>
      </c>
      <c r="E1510" t="n">
        <v>9000</v>
      </c>
      <c r="T1510" t="n">
        <v>6</v>
      </c>
      <c r="V1510" t="inlineStr">
        <is>
          <t>FR</t>
        </is>
      </c>
    </row>
    <row r="1511">
      <c r="A1511" t="n">
        <v>5101305</v>
      </c>
      <c r="B1511" t="inlineStr">
        <is>
          <t>WO Pipe
3-1/2" FJWP Pin x Box</t>
        </is>
      </c>
      <c r="C1511" t="n">
        <v>115.54670439</v>
      </c>
      <c r="D1511" s="62" t="n">
        <v>3.5</v>
      </c>
      <c r="E1511" t="n">
        <v>9000</v>
      </c>
      <c r="T1511" t="n">
        <v>7</v>
      </c>
      <c r="V1511" t="inlineStr">
        <is>
          <t>FR</t>
        </is>
      </c>
    </row>
    <row r="1512">
      <c r="A1512" t="n">
        <v>5101306</v>
      </c>
      <c r="B1512" t="inlineStr">
        <is>
          <t>WO Pipe
3-1/2" FJWP Pin x Box</t>
        </is>
      </c>
      <c r="C1512" t="n">
        <v>115.54670439</v>
      </c>
      <c r="D1512" s="62" t="n">
        <v>3.5</v>
      </c>
      <c r="E1512" t="n">
        <v>9000</v>
      </c>
      <c r="T1512" t="n">
        <v>8</v>
      </c>
      <c r="V1512" t="inlineStr">
        <is>
          <t>FR</t>
        </is>
      </c>
    </row>
    <row r="1513">
      <c r="A1513" t="n">
        <v>5101307</v>
      </c>
      <c r="B1513" t="inlineStr">
        <is>
          <t>WO Pipe
3-1/2" FJWP Pin x Box</t>
        </is>
      </c>
      <c r="C1513" t="n">
        <v>115.54670439</v>
      </c>
      <c r="D1513" s="62" t="n">
        <v>3.5</v>
      </c>
      <c r="E1513" t="n">
        <v>9000</v>
      </c>
      <c r="T1513" t="n">
        <v>9</v>
      </c>
      <c r="V1513" t="inlineStr">
        <is>
          <t>FR</t>
        </is>
      </c>
    </row>
    <row r="1514">
      <c r="A1514" t="n">
        <v>5101308</v>
      </c>
      <c r="B1514" t="inlineStr">
        <is>
          <t>WO Pipe
3-1/2" FJWP Pin x Box</t>
        </is>
      </c>
      <c r="C1514" t="n">
        <v>115.54670439</v>
      </c>
      <c r="D1514" s="62" t="n">
        <v>3.5</v>
      </c>
      <c r="E1514" t="n">
        <v>9000</v>
      </c>
      <c r="T1514" t="n">
        <v>10</v>
      </c>
      <c r="V1514" t="inlineStr">
        <is>
          <t>FR</t>
        </is>
      </c>
    </row>
    <row r="1515">
      <c r="A1515" t="n">
        <v>5091309</v>
      </c>
      <c r="B1515" t="inlineStr">
        <is>
          <t>WO Extension Lg 3000 mm
3-1/2" FJWP Pin  x Box</t>
        </is>
      </c>
      <c r="C1515" t="n">
        <v>38.51556813000001</v>
      </c>
      <c r="D1515" s="62" t="n">
        <v>3.5</v>
      </c>
      <c r="E1515" t="n">
        <v>3000</v>
      </c>
      <c r="T1515" t="n">
        <v>11</v>
      </c>
      <c r="V1515" t="inlineStr">
        <is>
          <t>FR</t>
        </is>
      </c>
    </row>
    <row r="1516">
      <c r="A1516" t="n">
        <v>5091310</v>
      </c>
      <c r="B1516" t="inlineStr">
        <is>
          <t>WO Extension Lg 2000 mm
3-1/2" FJWP Pin  x Box</t>
        </is>
      </c>
      <c r="C1516" t="n">
        <v>25.67704542000001</v>
      </c>
      <c r="D1516" s="62" t="n">
        <v>3.5</v>
      </c>
      <c r="E1516" t="n">
        <v>2000</v>
      </c>
      <c r="T1516" t="n">
        <v>9</v>
      </c>
      <c r="V1516" t="inlineStr">
        <is>
          <t>FR</t>
        </is>
      </c>
    </row>
    <row r="1517">
      <c r="A1517" t="n">
        <v>5091311</v>
      </c>
      <c r="B1517" t="inlineStr">
        <is>
          <t>WO Extension Lg 2000 mm
3-1/2" FJWP Pin  x Box</t>
        </is>
      </c>
      <c r="C1517" t="n">
        <v>25.67704542000001</v>
      </c>
      <c r="D1517" s="62" t="n">
        <v>3.5</v>
      </c>
      <c r="E1517" t="n">
        <v>2000</v>
      </c>
      <c r="T1517" t="n">
        <v>10</v>
      </c>
      <c r="V1517" t="inlineStr">
        <is>
          <t>FR</t>
        </is>
      </c>
    </row>
    <row r="1518">
      <c r="A1518" t="n">
        <v>5091312</v>
      </c>
      <c r="D1518" s="62" t="n"/>
      <c r="T1518" t="e">
        <v>#N/A</v>
      </c>
      <c r="V1518" t="inlineStr">
        <is>
          <t>FR</t>
        </is>
      </c>
    </row>
    <row r="1519">
      <c r="A1519" t="n">
        <v>5091313</v>
      </c>
      <c r="B1519" t="inlineStr">
        <is>
          <t>WO Extension Lg 1000 mm
3-1/2" FJWP Pin  x Box</t>
        </is>
      </c>
      <c r="C1519" t="n">
        <v>12.83852271</v>
      </c>
      <c r="D1519" s="62" t="n">
        <v>3.5</v>
      </c>
      <c r="E1519" t="n">
        <v>1000</v>
      </c>
      <c r="T1519" t="n">
        <v>7</v>
      </c>
      <c r="V1519" t="inlineStr">
        <is>
          <t>FR</t>
        </is>
      </c>
    </row>
    <row r="1520">
      <c r="A1520" t="n">
        <v>5091314</v>
      </c>
      <c r="B1520" t="inlineStr">
        <is>
          <t>WO Extension Lg 1000 mm
3-1/2" FJWP Pin  x Box</t>
        </is>
      </c>
      <c r="C1520" t="n">
        <v>13</v>
      </c>
      <c r="D1520" s="62" t="n">
        <v>3.5</v>
      </c>
      <c r="E1520" t="n">
        <v>1000</v>
      </c>
      <c r="T1520" t="n">
        <v>8</v>
      </c>
      <c r="V1520" t="inlineStr">
        <is>
          <t>FR</t>
        </is>
      </c>
    </row>
    <row r="1521">
      <c r="A1521" t="n">
        <v>5111315</v>
      </c>
      <c r="B1521" t="inlineStr">
        <is>
          <t>WO Shoe
3-1/2" FJWP</t>
        </is>
      </c>
      <c r="C1521" t="n">
        <v>10</v>
      </c>
      <c r="D1521" s="62" t="n">
        <v>0</v>
      </c>
      <c r="E1521" t="n">
        <v>750</v>
      </c>
      <c r="T1521" t="n">
        <v>9</v>
      </c>
      <c r="V1521" t="inlineStr">
        <is>
          <t>FR</t>
        </is>
      </c>
    </row>
    <row r="1522">
      <c r="A1522" t="n">
        <v>5111316</v>
      </c>
      <c r="B1522" t="inlineStr">
        <is>
          <t>WO Shoe
3-1/2" FJWP</t>
        </is>
      </c>
      <c r="C1522" t="n">
        <v>10</v>
      </c>
      <c r="D1522" s="62" t="n">
        <v>0</v>
      </c>
      <c r="E1522" t="n">
        <v>750</v>
      </c>
      <c r="T1522" t="n">
        <v>10</v>
      </c>
      <c r="V1522" t="inlineStr">
        <is>
          <t>FR</t>
        </is>
      </c>
    </row>
    <row r="1523">
      <c r="A1523" t="n">
        <v>5111317</v>
      </c>
      <c r="B1523" t="inlineStr">
        <is>
          <t>WO Shoe
3-1/2" FJWP</t>
        </is>
      </c>
      <c r="C1523" t="n">
        <v>10</v>
      </c>
      <c r="D1523" s="62" t="n">
        <v>0</v>
      </c>
      <c r="E1523" t="n">
        <v>750</v>
      </c>
      <c r="T1523" t="n">
        <v>11</v>
      </c>
      <c r="V1523" t="inlineStr">
        <is>
          <t>FR</t>
        </is>
      </c>
    </row>
    <row r="1524">
      <c r="A1524" t="n">
        <v>5111318</v>
      </c>
      <c r="B1524" t="inlineStr">
        <is>
          <t>WO Shoe
3-1/2" FJWP</t>
        </is>
      </c>
      <c r="C1524" t="n">
        <v>10</v>
      </c>
      <c r="D1524" s="62" t="n">
        <v>0</v>
      </c>
      <c r="E1524" t="n">
        <v>750</v>
      </c>
      <c r="T1524" t="n">
        <v>12</v>
      </c>
      <c r="V1524" t="inlineStr">
        <is>
          <t>FR</t>
        </is>
      </c>
    </row>
    <row r="1525">
      <c r="A1525" t="n">
        <v>5111319</v>
      </c>
      <c r="B1525" t="inlineStr">
        <is>
          <t>WO Shoe
3-1/2" FJWP</t>
        </is>
      </c>
      <c r="C1525" t="n">
        <v>10</v>
      </c>
      <c r="D1525" s="62" t="n">
        <v>0</v>
      </c>
      <c r="E1525" t="n">
        <v>750</v>
      </c>
      <c r="T1525" t="n">
        <v>13</v>
      </c>
      <c r="V1525" t="inlineStr">
        <is>
          <t>FR</t>
        </is>
      </c>
    </row>
    <row r="1526">
      <c r="A1526" t="n">
        <v>5111320</v>
      </c>
      <c r="B1526" t="inlineStr">
        <is>
          <t>WO Shoe
3-1/2" FJWP</t>
        </is>
      </c>
      <c r="C1526" t="n">
        <v>10</v>
      </c>
      <c r="D1526" s="62" t="n">
        <v>0</v>
      </c>
      <c r="E1526" t="n">
        <v>750</v>
      </c>
      <c r="T1526" t="n">
        <v>14</v>
      </c>
      <c r="V1526" t="inlineStr">
        <is>
          <t>FR</t>
        </is>
      </c>
    </row>
    <row r="1527">
      <c r="A1527" t="n">
        <v>5111321</v>
      </c>
      <c r="B1527" t="inlineStr">
        <is>
          <t>WO Shoe
3-1/2" FJWP</t>
        </is>
      </c>
      <c r="C1527" t="n">
        <v>10</v>
      </c>
      <c r="D1527" s="62" t="n">
        <v>0</v>
      </c>
      <c r="E1527" t="n">
        <v>750</v>
      </c>
      <c r="T1527" t="n">
        <v>15</v>
      </c>
      <c r="V1527" t="inlineStr">
        <is>
          <t>FR</t>
        </is>
      </c>
    </row>
    <row r="1528">
      <c r="A1528" t="n">
        <v>5111322</v>
      </c>
      <c r="B1528" t="inlineStr">
        <is>
          <t>WO Shoe
3-1/2" FJWP</t>
        </is>
      </c>
      <c r="C1528" t="n">
        <v>10</v>
      </c>
      <c r="D1528" s="62" t="n">
        <v>3.875</v>
      </c>
      <c r="E1528" t="n">
        <v>750</v>
      </c>
      <c r="T1528" t="n">
        <v>16</v>
      </c>
      <c r="V1528" t="inlineStr">
        <is>
          <t>FR</t>
        </is>
      </c>
    </row>
    <row r="1529">
      <c r="A1529" t="n">
        <v>5111323</v>
      </c>
      <c r="B1529" t="inlineStr">
        <is>
          <t>WO Shoe
3-1/2" FJWP</t>
        </is>
      </c>
      <c r="C1529" t="n">
        <v>10</v>
      </c>
      <c r="D1529" s="62" t="n">
        <v>3.875</v>
      </c>
      <c r="E1529" t="n">
        <v>760</v>
      </c>
      <c r="T1529" t="n">
        <v>17</v>
      </c>
      <c r="V1529" t="inlineStr">
        <is>
          <t>FR</t>
        </is>
      </c>
    </row>
    <row r="1530">
      <c r="A1530" t="n">
        <v>5111324</v>
      </c>
      <c r="B1530" t="inlineStr">
        <is>
          <t>WO Shoe
3-1/2" FJWP</t>
        </is>
      </c>
      <c r="C1530" t="n">
        <v>10</v>
      </c>
      <c r="D1530" s="62" t="n">
        <v>3.875</v>
      </c>
      <c r="E1530" t="n">
        <v>760</v>
      </c>
      <c r="T1530" t="n">
        <v>18</v>
      </c>
      <c r="V1530" t="inlineStr">
        <is>
          <t>FR</t>
        </is>
      </c>
    </row>
    <row r="1531">
      <c r="A1531" t="n">
        <v>5111325</v>
      </c>
      <c r="B1531" t="inlineStr">
        <is>
          <t>WO Shoe
3-1/2" FJWP</t>
        </is>
      </c>
      <c r="C1531" t="n">
        <v>10</v>
      </c>
      <c r="D1531" s="62" t="n">
        <v>3.875</v>
      </c>
      <c r="E1531" t="n">
        <v>760</v>
      </c>
      <c r="T1531" t="n">
        <v>19</v>
      </c>
      <c r="V1531" t="inlineStr">
        <is>
          <t>FR</t>
        </is>
      </c>
    </row>
    <row r="1532">
      <c r="A1532" t="n">
        <v>5111326</v>
      </c>
      <c r="B1532" t="inlineStr">
        <is>
          <t>WO Shoe
3-1/2" FJWP</t>
        </is>
      </c>
      <c r="C1532" t="n">
        <v>10</v>
      </c>
      <c r="D1532" s="62" t="n">
        <v>0</v>
      </c>
      <c r="E1532" t="n">
        <v>750</v>
      </c>
      <c r="T1532" t="n">
        <v>20</v>
      </c>
      <c r="V1532" t="inlineStr">
        <is>
          <t>FR</t>
        </is>
      </c>
    </row>
    <row r="1533">
      <c r="A1533" t="n">
        <v>5161327</v>
      </c>
      <c r="B1533" t="inlineStr">
        <is>
          <t>WO Lift Sub for 2-3/8" DP 18°
3-1/2" FJWP Pin</t>
        </is>
      </c>
      <c r="C1533" t="n">
        <v>0</v>
      </c>
      <c r="D1533" s="62" t="n">
        <v>3.5</v>
      </c>
      <c r="E1533" t="n">
        <v>0</v>
      </c>
      <c r="T1533" t="n">
        <v>5</v>
      </c>
      <c r="V1533" t="inlineStr">
        <is>
          <t>FR</t>
        </is>
      </c>
    </row>
    <row r="1534">
      <c r="A1534" t="n">
        <v>5161328</v>
      </c>
      <c r="B1534" t="inlineStr">
        <is>
          <t>WO Lift Sub for 2-3/8" DP 18°
3-1/2" FJWP Pin</t>
        </is>
      </c>
      <c r="C1534" t="n">
        <v>0</v>
      </c>
      <c r="D1534" s="62" t="n">
        <v>3.5</v>
      </c>
      <c r="E1534" t="n">
        <v>0</v>
      </c>
      <c r="T1534" t="n">
        <v>6</v>
      </c>
      <c r="V1534" t="inlineStr">
        <is>
          <t>FR</t>
        </is>
      </c>
    </row>
    <row r="1535">
      <c r="A1535" t="n">
        <v>5121329</v>
      </c>
      <c r="B1535" t="inlineStr">
        <is>
          <t>WO Top Sub
2-3/8" REG Box x 3-1/2" FJWP Pin x 1-1/4" REG Box in</t>
        </is>
      </c>
      <c r="C1535" t="n">
        <v>0</v>
      </c>
      <c r="D1535" s="62" t="n">
        <v>3.5</v>
      </c>
      <c r="E1535" t="n">
        <v>0</v>
      </c>
      <c r="T1535" t="n">
        <v>6</v>
      </c>
      <c r="V1535" t="inlineStr">
        <is>
          <t>FR</t>
        </is>
      </c>
    </row>
    <row r="1536">
      <c r="A1536" t="n">
        <v>5121330</v>
      </c>
      <c r="B1536" t="inlineStr">
        <is>
          <t>WO Top Sub
2-3/8" REG Box x 3-1/2" FJWP Pin x 1-1/4" REG Box in</t>
        </is>
      </c>
      <c r="C1536" t="n">
        <v>0</v>
      </c>
      <c r="D1536" s="62" t="n">
        <v>3.5</v>
      </c>
      <c r="E1536" t="n">
        <v>0</v>
      </c>
      <c r="T1536" t="n">
        <v>7</v>
      </c>
      <c r="V1536" t="inlineStr">
        <is>
          <t>FR</t>
        </is>
      </c>
    </row>
    <row r="1537">
      <c r="A1537" t="n">
        <v>8111331</v>
      </c>
      <c r="B1537" t="inlineStr">
        <is>
          <t>String Stab
6-5/8" REG Pin SRG x 6-5/8" REG Box BB</t>
        </is>
      </c>
      <c r="C1537" t="n">
        <v>592</v>
      </c>
      <c r="D1537" s="62" t="n">
        <v>11.5</v>
      </c>
      <c r="E1537" t="n">
        <v>2310</v>
      </c>
      <c r="T1537" t="n">
        <v>52</v>
      </c>
    </row>
    <row r="1538">
      <c r="A1538" t="n">
        <v>8711493</v>
      </c>
      <c r="B1538" t="inlineStr">
        <is>
          <t>NON MAG String Stab
6-5/8" REG Pin x 6-5/8" REG Box</t>
        </is>
      </c>
      <c r="C1538" t="n">
        <v>450</v>
      </c>
      <c r="D1538" s="62" t="n">
        <v>11.75</v>
      </c>
      <c r="E1538" t="n">
        <v>1710</v>
      </c>
      <c r="T1538" t="n">
        <v>56</v>
      </c>
    </row>
    <row r="1539">
      <c r="A1539" t="n">
        <v>8711494</v>
      </c>
      <c r="B1539" t="inlineStr">
        <is>
          <t>NON MAG String Stab
6-5/8" REG Pin x 6-5/8" REG Box</t>
        </is>
      </c>
      <c r="C1539" t="n">
        <v>622</v>
      </c>
      <c r="D1539" s="62" t="n">
        <v>11.75</v>
      </c>
      <c r="E1539" t="n">
        <v>2305</v>
      </c>
      <c r="T1539" t="n">
        <v>57</v>
      </c>
    </row>
    <row r="1540">
      <c r="A1540" t="n">
        <v>8711495</v>
      </c>
      <c r="B1540" t="inlineStr">
        <is>
          <t>NON MAG String Stab
6-5/8" REG Pin x 6-5/8" REG Box</t>
        </is>
      </c>
      <c r="C1540" t="n">
        <v>450</v>
      </c>
      <c r="D1540" s="62" t="n">
        <v>12</v>
      </c>
      <c r="E1540" t="n">
        <v>1500</v>
      </c>
      <c r="T1540" t="n">
        <v>61</v>
      </c>
    </row>
    <row r="1541">
      <c r="A1541" t="n">
        <v>8111335</v>
      </c>
      <c r="B1541" t="inlineStr">
        <is>
          <t>String Stab
6-5/8" REG Pin SRG x 6-5/8" REG Box BB</t>
        </is>
      </c>
      <c r="C1541" t="n">
        <v>450</v>
      </c>
      <c r="D1541" s="62" t="n">
        <v>12.0625</v>
      </c>
      <c r="E1541" t="n">
        <v>1590</v>
      </c>
      <c r="T1541" t="n">
        <v>68</v>
      </c>
    </row>
    <row r="1542">
      <c r="A1542" t="n">
        <v>8711499</v>
      </c>
      <c r="B1542" t="inlineStr">
        <is>
          <t>NON MAG String Stab
6-5/8" REG Pin SRG x 6-5/8" REG Box BB</t>
        </is>
      </c>
      <c r="C1542" t="n">
        <v>460</v>
      </c>
      <c r="D1542" s="62" t="n">
        <v>13.75</v>
      </c>
      <c r="E1542" t="n">
        <v>1700</v>
      </c>
      <c r="T1542" t="n">
        <v>77</v>
      </c>
    </row>
    <row r="1543">
      <c r="A1543" t="n">
        <v>8111337</v>
      </c>
      <c r="B1543" t="inlineStr">
        <is>
          <t>String Stab
7-5/8" REG Pin x 7-5/8" REG Box</t>
        </is>
      </c>
      <c r="C1543" t="n">
        <v>738</v>
      </c>
      <c r="D1543" s="62" t="n">
        <v>15.6875</v>
      </c>
      <c r="E1543" t="n">
        <v>2180</v>
      </c>
      <c r="T1543" t="n">
        <v>85</v>
      </c>
    </row>
    <row r="1544">
      <c r="A1544" t="n">
        <v>8711501</v>
      </c>
      <c r="B1544" t="inlineStr">
        <is>
          <t>NON MAG String Stab
7-5/8" REG Pin x 7-5/8" REG Box</t>
        </is>
      </c>
      <c r="C1544" t="n">
        <v>800</v>
      </c>
      <c r="D1544" s="62" t="n">
        <v>15.75</v>
      </c>
      <c r="E1544" t="n">
        <v>1730</v>
      </c>
      <c r="T1544" t="n">
        <v>86</v>
      </c>
    </row>
    <row r="1545">
      <c r="A1545" t="n">
        <v>8111339</v>
      </c>
      <c r="B1545" t="inlineStr">
        <is>
          <t>String Stab
? x ?</t>
        </is>
      </c>
      <c r="C1545" t="n">
        <v>766</v>
      </c>
      <c r="D1545" s="62" t="n">
        <v>20.75</v>
      </c>
      <c r="E1545" t="n">
        <v>0</v>
      </c>
      <c r="T1545" t="n">
        <v>107</v>
      </c>
    </row>
    <row r="1546">
      <c r="A1546" t="n">
        <v>8091340</v>
      </c>
      <c r="B1546" t="inlineStr">
        <is>
          <t>Near Bit Stab
4-1/2" IF Box x 4-1/2" REG Box BF</t>
        </is>
      </c>
      <c r="C1546" t="n">
        <v>268</v>
      </c>
      <c r="D1546" s="62" t="n">
        <v>8.5</v>
      </c>
      <c r="E1546" t="n">
        <v>1980</v>
      </c>
      <c r="T1546" t="n">
        <v>17</v>
      </c>
    </row>
    <row r="1547">
      <c r="A1547" t="n">
        <v>8091341</v>
      </c>
      <c r="B1547" t="inlineStr">
        <is>
          <t>Near Bit Stab
4-1/2" IF Box x 4-1/2'' REG Box BF</t>
        </is>
      </c>
      <c r="C1547" t="n">
        <v>280</v>
      </c>
      <c r="D1547" s="62" t="n">
        <v>9.5</v>
      </c>
      <c r="E1547" t="n">
        <v>1770</v>
      </c>
      <c r="T1547" t="n">
        <v>20</v>
      </c>
    </row>
    <row r="1548">
      <c r="A1548" t="n">
        <v>8091342</v>
      </c>
      <c r="B1548" t="inlineStr">
        <is>
          <t>Near Bit Stab
6-5/8" REG Box x 6-5/8" REG Box BF</t>
        </is>
      </c>
      <c r="C1548" t="n">
        <v>462</v>
      </c>
      <c r="D1548" s="62" t="n">
        <v>11.875</v>
      </c>
      <c r="E1548" t="n">
        <v>1850</v>
      </c>
      <c r="T1548" t="n">
        <v>23</v>
      </c>
    </row>
    <row r="1549">
      <c r="A1549" t="n">
        <v>8091343</v>
      </c>
      <c r="B1549" t="inlineStr">
        <is>
          <t>Near Bit Stab
6-5/8" REG Box x 6-5/8" REG Box BF</t>
        </is>
      </c>
      <c r="C1549" t="n">
        <v>490</v>
      </c>
      <c r="D1549" s="62" t="n">
        <v>12.25</v>
      </c>
      <c r="E1549" t="n">
        <v>2070</v>
      </c>
      <c r="T1549" t="n">
        <v>28</v>
      </c>
    </row>
    <row r="1550">
      <c r="A1550" t="n">
        <v>8091344</v>
      </c>
      <c r="B1550" t="inlineStr">
        <is>
          <t>Near Bit Stab
6-5/8" REG Box x 6-5/8" REG Box BF</t>
        </is>
      </c>
      <c r="C1550" t="n">
        <v>444</v>
      </c>
      <c r="D1550" s="62" t="n">
        <v>12.1875</v>
      </c>
      <c r="E1550" t="n">
        <v>1715</v>
      </c>
      <c r="T1550" t="n">
        <v>27</v>
      </c>
    </row>
    <row r="1551">
      <c r="A1551" t="n">
        <v>8091345</v>
      </c>
      <c r="B1551" t="inlineStr">
        <is>
          <t>Near Bit Stab
6-5/8" REG Box x 6-5/8" REG Box BF</t>
        </is>
      </c>
      <c r="C1551" t="n">
        <v>450</v>
      </c>
      <c r="D1551" s="62" t="n">
        <v>12.25</v>
      </c>
      <c r="E1551" t="n">
        <v>1885</v>
      </c>
      <c r="T1551" t="n">
        <v>32</v>
      </c>
    </row>
    <row r="1552">
      <c r="A1552" t="n">
        <v>8091346</v>
      </c>
      <c r="B1552" t="inlineStr">
        <is>
          <t>Near Bit Stab
6-5/8" REG Box x 6-5/8" REG Box BF</t>
        </is>
      </c>
      <c r="C1552" t="n">
        <v>444</v>
      </c>
      <c r="D1552" s="62" t="n">
        <v>12.25</v>
      </c>
      <c r="E1552" t="n">
        <v>1710</v>
      </c>
      <c r="T1552" t="n">
        <v>34</v>
      </c>
    </row>
    <row r="1553">
      <c r="A1553" t="n">
        <v>8091347</v>
      </c>
      <c r="B1553" t="inlineStr">
        <is>
          <t>Near Bit Stab
7-5/8" REG Box x 7-5/8" REG Box BF</t>
        </is>
      </c>
      <c r="C1553" t="n">
        <v>872</v>
      </c>
      <c r="D1553" s="62" t="n">
        <v>16.75</v>
      </c>
      <c r="E1553" t="n">
        <v>2205</v>
      </c>
      <c r="T1553" t="n">
        <v>37</v>
      </c>
    </row>
    <row r="1554">
      <c r="A1554" t="n">
        <v>8091348</v>
      </c>
      <c r="B1554" t="inlineStr">
        <is>
          <t>Near Bit Stab
7-5/8" REG Box x 7-5/8" REG Box BF</t>
        </is>
      </c>
      <c r="C1554" t="n">
        <v>846</v>
      </c>
      <c r="D1554" s="62" t="n">
        <v>17.5</v>
      </c>
      <c r="E1554" t="n">
        <v>2550</v>
      </c>
      <c r="T1554" t="n">
        <v>41</v>
      </c>
    </row>
    <row r="1555">
      <c r="A1555" t="n">
        <v>8091349</v>
      </c>
      <c r="B1555" t="inlineStr">
        <is>
          <t>Near Bit Stab
7-5/8" REG Box x 7-5/8" REG Box BF</t>
        </is>
      </c>
      <c r="C1555" t="n">
        <v>1500</v>
      </c>
      <c r="D1555" s="62" t="n">
        <v>22.9375</v>
      </c>
      <c r="E1555" t="n">
        <v>2210</v>
      </c>
      <c r="T1555" t="n">
        <v>46</v>
      </c>
    </row>
    <row r="1556">
      <c r="A1556" t="n">
        <v>5011350</v>
      </c>
      <c r="B1556" t="inlineStr">
        <is>
          <t>Ditch Magnet 36"</t>
        </is>
      </c>
      <c r="C1556" t="n">
        <v>46</v>
      </c>
      <c r="D1556" s="62" t="n">
        <v>36</v>
      </c>
      <c r="E1556" t="n">
        <v>36</v>
      </c>
      <c r="T1556" t="n">
        <v>8</v>
      </c>
    </row>
    <row r="1557">
      <c r="A1557" t="n">
        <v>5011351</v>
      </c>
      <c r="B1557" t="inlineStr">
        <is>
          <t>Ditch Magnet 36"</t>
        </is>
      </c>
      <c r="C1557" t="n">
        <v>46</v>
      </c>
      <c r="D1557" s="62" t="n">
        <v>36</v>
      </c>
      <c r="E1557" t="n">
        <v>36</v>
      </c>
      <c r="T1557" t="n">
        <v>9</v>
      </c>
    </row>
    <row r="1558">
      <c r="A1558" t="n">
        <v>5081352</v>
      </c>
      <c r="B1558" t="inlineStr">
        <is>
          <t>Taper Mill 
2-3/8" REG Pin</t>
        </is>
      </c>
      <c r="C1558" t="n">
        <v>0</v>
      </c>
      <c r="D1558" s="62" t="n">
        <v>4.8125</v>
      </c>
      <c r="E1558" t="n">
        <v>0</v>
      </c>
      <c r="T1558" t="n">
        <v>17</v>
      </c>
      <c r="V1558" t="inlineStr">
        <is>
          <t>FR</t>
        </is>
      </c>
    </row>
    <row r="1559">
      <c r="A1559" t="n">
        <v>8081353</v>
      </c>
      <c r="B1559" t="inlineStr">
        <is>
          <t>Float Sub 9-3/8" Lg 1160 mm
7-5/8" REG Pin x 6-5/8" REG Box BF (5F-6R)</t>
        </is>
      </c>
      <c r="C1559" t="n">
        <v>359.7693543509813</v>
      </c>
      <c r="D1559" s="62" t="n">
        <v>9.375</v>
      </c>
      <c r="E1559" t="n">
        <v>1160</v>
      </c>
      <c r="T1559" t="n">
        <v>41</v>
      </c>
      <c r="V1559" t="inlineStr">
        <is>
          <t>FR</t>
        </is>
      </c>
    </row>
    <row r="1560">
      <c r="A1560" t="n">
        <v>7021354</v>
      </c>
      <c r="B1560" t="inlineStr">
        <is>
          <t>String Magnet 4-3/4" OD
3-1/2" IF Pin x Box</t>
        </is>
      </c>
      <c r="C1560" t="n">
        <v>82</v>
      </c>
      <c r="D1560" s="62" t="n">
        <v>4.75</v>
      </c>
      <c r="E1560" t="n">
        <v>1240</v>
      </c>
      <c r="T1560" t="n">
        <v>8</v>
      </c>
      <c r="V1560" t="inlineStr">
        <is>
          <t>FR</t>
        </is>
      </c>
    </row>
    <row r="1561">
      <c r="A1561" t="n">
        <v>7021355</v>
      </c>
      <c r="B1561" t="inlineStr">
        <is>
          <t>String Magnet 4-3/4" OD
3-1/2" IF Pin x Box</t>
        </is>
      </c>
      <c r="C1561" t="n">
        <v>82</v>
      </c>
      <c r="D1561" s="62" t="n">
        <v>4.75</v>
      </c>
      <c r="E1561" t="n">
        <v>1240</v>
      </c>
      <c r="T1561" t="n">
        <v>9</v>
      </c>
      <c r="V1561" t="inlineStr">
        <is>
          <t>FR</t>
        </is>
      </c>
    </row>
    <row r="1562">
      <c r="A1562" t="n">
        <v>7021356</v>
      </c>
      <c r="B1562" t="inlineStr">
        <is>
          <t>String Magnet 6-1/2" OD
4-1/2" IF Pin x Box</t>
        </is>
      </c>
      <c r="C1562" t="n">
        <v>0</v>
      </c>
      <c r="D1562" s="62" t="n">
        <v>6.5</v>
      </c>
      <c r="E1562" t="n">
        <v>0</v>
      </c>
      <c r="T1562" t="n">
        <v>12</v>
      </c>
      <c r="V1562" t="inlineStr">
        <is>
          <t>FR</t>
        </is>
      </c>
    </row>
    <row r="1563">
      <c r="A1563" t="n">
        <v>7021357</v>
      </c>
      <c r="B1563" t="inlineStr">
        <is>
          <t>String Magnet 6-1/2" OD
4-1/2" IF Pin x Box</t>
        </is>
      </c>
      <c r="C1563" t="n">
        <v>0</v>
      </c>
      <c r="D1563" s="62" t="n">
        <v>6.5</v>
      </c>
      <c r="E1563" t="n">
        <v>0</v>
      </c>
      <c r="T1563" t="n">
        <v>13</v>
      </c>
      <c r="V1563" t="inlineStr">
        <is>
          <t>FR</t>
        </is>
      </c>
    </row>
    <row r="1564">
      <c r="A1564" t="n">
        <v>7041358</v>
      </c>
      <c r="B1564" t="inlineStr">
        <is>
          <t>11-1/4" FS Overshot - CA C12822
bowl</t>
        </is>
      </c>
      <c r="C1564" t="n">
        <v>0</v>
      </c>
      <c r="D1564" s="62" t="inlineStr">
        <is>
          <t>11-1/4" FS</t>
        </is>
      </c>
      <c r="E1564" t="n">
        <v>0</v>
      </c>
      <c r="T1564" t="n">
        <v>90</v>
      </c>
    </row>
    <row r="1565">
      <c r="A1565" t="n">
        <v>1061359</v>
      </c>
      <c r="B1565" t="inlineStr">
        <is>
          <t>Impression Block 4" 
2-3/8" IF Box</t>
        </is>
      </c>
      <c r="C1565" t="n">
        <v>30</v>
      </c>
      <c r="D1565" s="62" t="n">
        <v>4</v>
      </c>
      <c r="E1565" t="n">
        <v>600</v>
      </c>
      <c r="T1565" t="n">
        <v>7</v>
      </c>
      <c r="V1565" t="inlineStr">
        <is>
          <t>FR</t>
        </is>
      </c>
    </row>
    <row r="1566">
      <c r="A1566" t="n">
        <v>8131360</v>
      </c>
      <c r="B1566" t="inlineStr">
        <is>
          <t>XO
4-1/2" REG Pin x 6-5/8" REG Box</t>
        </is>
      </c>
      <c r="C1566" t="n">
        <v>58</v>
      </c>
      <c r="D1566" s="62" t="n">
        <v>7.5</v>
      </c>
      <c r="E1566" t="n">
        <v>380</v>
      </c>
      <c r="T1566" t="n">
        <v>185</v>
      </c>
      <c r="V1566" t="inlineStr">
        <is>
          <t>FR</t>
        </is>
      </c>
    </row>
    <row r="1567">
      <c r="A1567" t="n">
        <v>4031361</v>
      </c>
      <c r="B1567" t="inlineStr">
        <is>
          <t>Jar Z 4-3/4" 
3-1/2" IF Pin down x Box up</t>
        </is>
      </c>
      <c r="C1567" t="n">
        <v>180</v>
      </c>
      <c r="D1567" s="62" t="n">
        <v>4.75</v>
      </c>
      <c r="E1567" t="n">
        <v>2140</v>
      </c>
      <c r="T1567" t="n">
        <v>12</v>
      </c>
    </row>
    <row r="1568">
      <c r="A1568" t="n">
        <v>1091362</v>
      </c>
      <c r="B1568" t="inlineStr">
        <is>
          <t>Junk Sub 13-3/8" OD cup 
7-5/8" REG Pin up x 7-5/8" REG Box down</t>
        </is>
      </c>
      <c r="C1568" t="n">
        <v>480</v>
      </c>
      <c r="D1568" s="62" t="n">
        <v>13.375</v>
      </c>
      <c r="E1568" t="n">
        <v>1850</v>
      </c>
      <c r="T1568" t="n">
        <v>43</v>
      </c>
      <c r="V1568" t="inlineStr">
        <is>
          <t>FR</t>
        </is>
      </c>
    </row>
    <row r="1569">
      <c r="A1569" t="n">
        <v>1091363</v>
      </c>
      <c r="B1569" t="inlineStr">
        <is>
          <t>Junk Sub 13-3/8" OD cup 
7-5/8" REG Pin up x 7-5/8" REG Box down</t>
        </is>
      </c>
      <c r="C1569" t="n">
        <v>466</v>
      </c>
      <c r="D1569" s="62" t="n">
        <v>13.375</v>
      </c>
      <c r="E1569" t="n">
        <v>1850</v>
      </c>
      <c r="T1569" t="n">
        <v>44</v>
      </c>
      <c r="V1569" t="inlineStr">
        <is>
          <t>FR</t>
        </is>
      </c>
    </row>
    <row r="1570">
      <c r="A1570" t="n">
        <v>1091364</v>
      </c>
      <c r="B1570" t="inlineStr">
        <is>
          <t>Junk Sub 10-3/4" OD cup 
6-5/8" REG Pin up x 6-5/8" REG Box down</t>
        </is>
      </c>
      <c r="C1570" t="n">
        <v>330</v>
      </c>
      <c r="D1570" s="62" t="n">
        <v>10.75</v>
      </c>
      <c r="E1570" t="n">
        <v>1790</v>
      </c>
      <c r="T1570" t="n">
        <v>39</v>
      </c>
      <c r="V1570" t="inlineStr">
        <is>
          <t>FR</t>
        </is>
      </c>
    </row>
    <row r="1571">
      <c r="A1571" t="n">
        <v>1091365</v>
      </c>
      <c r="B1571" t="inlineStr">
        <is>
          <t>Junk Sub 10-3/4" OD cup 
6-5/8" REG Pin up x 6-5/8" REG Box down</t>
        </is>
      </c>
      <c r="C1571" t="n">
        <v>330</v>
      </c>
      <c r="D1571" s="62" t="n">
        <v>10.75</v>
      </c>
      <c r="E1571" t="n">
        <v>1790</v>
      </c>
      <c r="T1571" t="n">
        <v>40</v>
      </c>
      <c r="V1571" t="inlineStr">
        <is>
          <t>FR</t>
        </is>
      </c>
    </row>
    <row r="1572">
      <c r="A1572" t="n">
        <v>1091366</v>
      </c>
      <c r="B1572" t="inlineStr">
        <is>
          <t>Junk Sub 9-5/8" OD cup 
4-1/2" REG Pin up x 4-1/2" REG Box down</t>
        </is>
      </c>
      <c r="C1572" t="n">
        <v>0</v>
      </c>
      <c r="D1572" s="62" t="n">
        <v>9.625</v>
      </c>
      <c r="E1572" t="n">
        <v>1700</v>
      </c>
      <c r="T1572" t="n">
        <v>33</v>
      </c>
      <c r="V1572" t="inlineStr">
        <is>
          <t>FR</t>
        </is>
      </c>
    </row>
    <row r="1573">
      <c r="A1573" t="n">
        <v>1091367</v>
      </c>
      <c r="B1573" t="inlineStr">
        <is>
          <t>Junk Sub 9-5/8" OD cup 
4-1/2" REG Pin up x 4-1/2" REG Box down</t>
        </is>
      </c>
      <c r="C1573" t="n">
        <v>0</v>
      </c>
      <c r="D1573" s="62" t="n">
        <v>9.625</v>
      </c>
      <c r="E1573" t="n">
        <v>1700</v>
      </c>
      <c r="T1573" t="n">
        <v>34</v>
      </c>
      <c r="V1573" t="inlineStr">
        <is>
          <t>FR</t>
        </is>
      </c>
    </row>
    <row r="1574">
      <c r="A1574" t="n">
        <v>1091368</v>
      </c>
      <c r="B1574" t="inlineStr">
        <is>
          <t>Junk Sub 7-5/8" OD cup 
4-1/2" REG Pin up x 4-1/2" REG Box down</t>
        </is>
      </c>
      <c r="C1574" t="n">
        <v>0</v>
      </c>
      <c r="D1574" s="62" t="n">
        <v>7.625</v>
      </c>
      <c r="E1574" t="n">
        <v>1480</v>
      </c>
      <c r="T1574" t="n">
        <v>30</v>
      </c>
      <c r="V1574" t="inlineStr">
        <is>
          <t>FR</t>
        </is>
      </c>
    </row>
    <row r="1575">
      <c r="A1575" t="n">
        <v>1091369</v>
      </c>
      <c r="B1575" t="inlineStr">
        <is>
          <t>Junk Sub 7-5/8" OD cup 
4-1/2" REG Pin up x 4-1/2" REG Box down</t>
        </is>
      </c>
      <c r="C1575" t="n">
        <v>0</v>
      </c>
      <c r="D1575" s="62" t="n">
        <v>7.625</v>
      </c>
      <c r="E1575" t="n">
        <v>1480</v>
      </c>
      <c r="T1575" t="n">
        <v>31</v>
      </c>
      <c r="V1575" t="inlineStr">
        <is>
          <t>FR</t>
        </is>
      </c>
    </row>
    <row r="1576">
      <c r="A1576" t="n">
        <v>1091370</v>
      </c>
      <c r="B1576" t="inlineStr">
        <is>
          <t>Junk Sub 5" OD cup 
3-1/2" REG Pin up x 3-1/2" REG Box down</t>
        </is>
      </c>
      <c r="C1576" t="n">
        <v>64</v>
      </c>
      <c r="D1576" s="62" t="n">
        <v>5</v>
      </c>
      <c r="E1576" t="n">
        <v>1200</v>
      </c>
      <c r="T1576" t="n">
        <v>15</v>
      </c>
      <c r="V1576" t="inlineStr">
        <is>
          <t>FR</t>
        </is>
      </c>
    </row>
    <row r="1577">
      <c r="A1577" t="n">
        <v>1091371</v>
      </c>
      <c r="B1577" t="inlineStr">
        <is>
          <t>Junk Sub 5" OD cup 
3-1/2" REG Pin up x 3-1/2" REG Box down</t>
        </is>
      </c>
      <c r="C1577" t="n">
        <v>64</v>
      </c>
      <c r="D1577" s="62" t="n">
        <v>5</v>
      </c>
      <c r="E1577" t="n">
        <v>1200</v>
      </c>
      <c r="T1577" t="n">
        <v>16</v>
      </c>
      <c r="V1577" t="inlineStr">
        <is>
          <t>FR</t>
        </is>
      </c>
    </row>
    <row r="1578">
      <c r="A1578" t="n">
        <v>1091372</v>
      </c>
      <c r="B1578" t="inlineStr">
        <is>
          <t>Junk Sub 3-1/2" OD cup 
2-3/8" REG Pin up x 2-3/8" REG Box down</t>
        </is>
      </c>
      <c r="C1578" t="n">
        <v>0</v>
      </c>
      <c r="D1578" s="62" t="n">
        <v>3.5</v>
      </c>
      <c r="E1578" t="n">
        <v>0</v>
      </c>
      <c r="T1578" t="n">
        <v>7</v>
      </c>
      <c r="V1578" t="inlineStr">
        <is>
          <t>FR</t>
        </is>
      </c>
    </row>
    <row r="1579">
      <c r="A1579" t="n">
        <v>1091373</v>
      </c>
      <c r="B1579" t="inlineStr">
        <is>
          <t>Junk Sub 3-1/2" OD cup 
2-3/8" REG Pin up x 2-3/8" REG Box down</t>
        </is>
      </c>
      <c r="C1579" t="n">
        <v>0</v>
      </c>
      <c r="D1579" s="62" t="n">
        <v>3.5</v>
      </c>
      <c r="E1579" t="n">
        <v>0</v>
      </c>
      <c r="T1579" t="n">
        <v>8</v>
      </c>
      <c r="V1579" t="inlineStr">
        <is>
          <t>FR</t>
        </is>
      </c>
    </row>
    <row r="1580">
      <c r="A1580" t="n">
        <v>5081374</v>
      </c>
      <c r="B1580" t="inlineStr">
        <is>
          <t>Taper Mill 
2-3/8" REG Pin</t>
        </is>
      </c>
      <c r="C1580" t="n">
        <v>0</v>
      </c>
      <c r="D1580" s="62" t="n">
        <v>4.125</v>
      </c>
      <c r="E1580" t="n">
        <v>0</v>
      </c>
      <c r="T1580" t="n">
        <v>11</v>
      </c>
      <c r="V1580" t="inlineStr">
        <is>
          <t>FR</t>
        </is>
      </c>
    </row>
    <row r="1581">
      <c r="A1581" t="n">
        <v>5081375</v>
      </c>
      <c r="B1581" t="inlineStr">
        <is>
          <t>Taper Mill 
2-3/8" REG Pin</t>
        </is>
      </c>
      <c r="C1581" t="n">
        <v>0</v>
      </c>
      <c r="D1581" s="62" t="n">
        <v>4.125</v>
      </c>
      <c r="E1581" t="n">
        <v>0</v>
      </c>
      <c r="T1581" t="n">
        <v>12</v>
      </c>
      <c r="V1581" t="inlineStr">
        <is>
          <t>FR</t>
        </is>
      </c>
    </row>
    <row r="1582">
      <c r="A1582" t="n">
        <v>5041376</v>
      </c>
      <c r="B1582" t="inlineStr">
        <is>
          <t>Viper Pilot Mill
7-5/8" REG Pin x 6-5/8" REG Box</t>
        </is>
      </c>
      <c r="C1582" t="n">
        <v>0</v>
      </c>
      <c r="D1582" s="62" t="n">
        <v>15.5</v>
      </c>
      <c r="E1582" t="inlineStr">
        <is>
          <t>&lt;1380</t>
        </is>
      </c>
      <c r="T1582" t="n">
        <v>34</v>
      </c>
      <c r="V1582" t="inlineStr">
        <is>
          <t>FR</t>
        </is>
      </c>
    </row>
    <row r="1583">
      <c r="A1583" t="n">
        <v>5041377</v>
      </c>
      <c r="B1583" t="inlineStr">
        <is>
          <t>Viper Pilot Mill
7-5/8" REG Pin x 6-5/8" REG Box</t>
        </is>
      </c>
      <c r="C1583" t="n">
        <v>0</v>
      </c>
      <c r="D1583" s="62" t="n">
        <v>15</v>
      </c>
      <c r="E1583" t="inlineStr">
        <is>
          <t>&lt;1380</t>
        </is>
      </c>
      <c r="T1583" t="n">
        <v>35</v>
      </c>
      <c r="V1583" t="inlineStr">
        <is>
          <t>FR</t>
        </is>
      </c>
    </row>
    <row r="1584">
      <c r="A1584" t="n">
        <v>4021378</v>
      </c>
      <c r="B1584" t="inlineStr">
        <is>
          <t>Bumper Sub 4-3/4" OD
3-1/2" IF Pin down x Box up</t>
        </is>
      </c>
      <c r="C1584" t="n">
        <v>94</v>
      </c>
      <c r="D1584" s="62" t="n">
        <v>4.75</v>
      </c>
      <c r="E1584" t="n">
        <v>1460</v>
      </c>
      <c r="T1584" t="n">
        <v>12</v>
      </c>
    </row>
    <row r="1585">
      <c r="A1585" t="n">
        <v>4021379</v>
      </c>
      <c r="B1585" t="inlineStr">
        <is>
          <t>Bumper Sub 4-3/4" OD
3-1/2" IF Pin down x Box up</t>
        </is>
      </c>
      <c r="C1585" t="n">
        <v>94</v>
      </c>
      <c r="D1585" s="62" t="n">
        <v>4.75</v>
      </c>
      <c r="E1585" t="n">
        <v>1440</v>
      </c>
      <c r="T1585" t="n">
        <v>13</v>
      </c>
    </row>
    <row r="1586">
      <c r="A1586" t="n">
        <v>4021380</v>
      </c>
      <c r="B1586" t="inlineStr">
        <is>
          <t>Bumper Sub 3-5/32" OD 
2-3/8" REG Pin down x Box up</t>
        </is>
      </c>
      <c r="C1586" t="n">
        <v>42</v>
      </c>
      <c r="D1586" s="62" t="n">
        <v>3.15625</v>
      </c>
      <c r="E1586" t="n">
        <v>1385</v>
      </c>
      <c r="T1586" t="n">
        <v>8</v>
      </c>
    </row>
    <row r="1587">
      <c r="A1587" t="n">
        <v>4031381</v>
      </c>
      <c r="B1587" t="inlineStr">
        <is>
          <t>Jar Z 6-1/4" OD 
4-1/2" IF Pin down x Box up</t>
        </is>
      </c>
      <c r="C1587" t="n">
        <v>300</v>
      </c>
      <c r="D1587" s="62" t="n">
        <v>6.25</v>
      </c>
      <c r="E1587" t="n">
        <v>2385</v>
      </c>
      <c r="T1587" t="n">
        <v>19</v>
      </c>
    </row>
    <row r="1588">
      <c r="A1588" t="n">
        <v>4031382</v>
      </c>
      <c r="B1588" t="inlineStr">
        <is>
          <t>Jar Z 6-1/4" OD 
4-1/2" IF Pin down x Box up</t>
        </is>
      </c>
      <c r="C1588" t="n">
        <v>300</v>
      </c>
      <c r="D1588" s="62" t="n">
        <v>6.25</v>
      </c>
      <c r="E1588" t="n">
        <v>2385</v>
      </c>
      <c r="T1588" t="n">
        <v>20</v>
      </c>
    </row>
    <row r="1589">
      <c r="A1589" t="n">
        <v>4031383</v>
      </c>
      <c r="B1589" t="inlineStr">
        <is>
          <t>Jar Z 8" 
6-5/8" REG Pin down  x Box up</t>
        </is>
      </c>
      <c r="C1589" t="n">
        <v>448</v>
      </c>
      <c r="D1589" s="62" t="n">
        <v>8</v>
      </c>
      <c r="E1589" t="n">
        <v>2300</v>
      </c>
      <c r="T1589" t="n">
        <v>27</v>
      </c>
    </row>
    <row r="1590">
      <c r="A1590" t="n">
        <v>4041384</v>
      </c>
      <c r="B1590" t="inlineStr">
        <is>
          <t>Intensifier 4-3/4" OD 
3-1/2" IF Pin x Box</t>
        </is>
      </c>
      <c r="C1590" t="n">
        <v>200</v>
      </c>
      <c r="D1590" s="62" t="n">
        <v>4.75</v>
      </c>
      <c r="E1590" t="n">
        <v>3300</v>
      </c>
      <c r="T1590" t="n">
        <v>9</v>
      </c>
    </row>
    <row r="1591">
      <c r="A1591" t="n">
        <v>4041385</v>
      </c>
      <c r="B1591" t="inlineStr">
        <is>
          <t>Intensifier 6-1/2" OD 
4-1/2" IF Pin x Box</t>
        </is>
      </c>
      <c r="C1591" t="n">
        <v>460</v>
      </c>
      <c r="D1591" s="62" t="n">
        <v>6.5</v>
      </c>
      <c r="E1591" t="n">
        <v>3980</v>
      </c>
      <c r="T1591" t="n">
        <v>13</v>
      </c>
    </row>
    <row r="1592">
      <c r="A1592" t="n">
        <v>5121386</v>
      </c>
      <c r="B1592" t="inlineStr">
        <is>
          <t>WO Top Sub 5-1/2" FJWP
3-1/2" IF Box up x 5-1/2" FJWP Pin x 3-1/2" REG Box in</t>
        </is>
      </c>
      <c r="C1592" t="n">
        <v>44</v>
      </c>
      <c r="D1592" s="62" t="n">
        <v>5.5</v>
      </c>
      <c r="E1592" t="n">
        <v>600</v>
      </c>
      <c r="T1592" t="n">
        <v>23</v>
      </c>
      <c r="V1592" t="inlineStr">
        <is>
          <t>FR</t>
        </is>
      </c>
    </row>
    <row r="1593">
      <c r="A1593" t="n">
        <v>5121387</v>
      </c>
      <c r="B1593" t="inlineStr">
        <is>
          <t>WO Top Sub 5-1/2" FJWP
3-1/2" IF Box up x 5-1/2" FJWP Pin x 3-1/2" REG Box in</t>
        </is>
      </c>
      <c r="C1593" t="n">
        <v>44</v>
      </c>
      <c r="D1593" s="62" t="n">
        <v>5.5</v>
      </c>
      <c r="E1593" t="n">
        <v>600</v>
      </c>
      <c r="T1593" t="n">
        <v>24</v>
      </c>
      <c r="V1593" t="inlineStr">
        <is>
          <t>FR</t>
        </is>
      </c>
    </row>
    <row r="1594">
      <c r="A1594" t="n">
        <v>5021388</v>
      </c>
      <c r="B1594" t="inlineStr">
        <is>
          <t>Economill 
2-7/8" REG Pin</t>
        </is>
      </c>
      <c r="C1594" t="n">
        <v>17</v>
      </c>
      <c r="D1594" s="62" t="n">
        <v>4.875</v>
      </c>
      <c r="E1594" t="n">
        <v>215</v>
      </c>
      <c r="T1594" t="n">
        <v>20</v>
      </c>
      <c r="V1594" t="inlineStr">
        <is>
          <t>FR</t>
        </is>
      </c>
    </row>
    <row r="1595">
      <c r="A1595" t="n">
        <v>5021389</v>
      </c>
      <c r="B1595" t="inlineStr">
        <is>
          <t>Economill 
3-1/2" REG Pin</t>
        </is>
      </c>
      <c r="C1595" t="n">
        <v>17</v>
      </c>
      <c r="D1595" s="62" t="n">
        <v>4.875</v>
      </c>
      <c r="E1595" t="n">
        <v>210</v>
      </c>
      <c r="T1595" t="n">
        <v>21</v>
      </c>
      <c r="V1595" t="inlineStr">
        <is>
          <t>FR</t>
        </is>
      </c>
    </row>
    <row r="1596">
      <c r="A1596" t="n">
        <v>1091380</v>
      </c>
      <c r="B1596" t="inlineStr">
        <is>
          <t>Junk Sub 3-1/2" OD cup 
2-3/8" REG Pin up x 2-3/8" REG Box down</t>
        </is>
      </c>
      <c r="C1596" t="n">
        <v>0</v>
      </c>
      <c r="D1596" s="62" t="n">
        <v>3.5</v>
      </c>
      <c r="E1596" t="n">
        <v>905</v>
      </c>
      <c r="T1596" t="n">
        <v>9</v>
      </c>
      <c r="V1596" t="inlineStr">
        <is>
          <t>FR</t>
        </is>
      </c>
    </row>
    <row r="1597">
      <c r="A1597" t="n">
        <v>1091381</v>
      </c>
      <c r="B1597" t="inlineStr">
        <is>
          <t>Junk Sub 3-1/2" OD cup 
2-3/8" REG Pin up x 2-3/8" REG Box down</t>
        </is>
      </c>
      <c r="C1597" t="n">
        <v>0</v>
      </c>
      <c r="D1597" s="62" t="n">
        <v>3.5</v>
      </c>
      <c r="E1597" t="n">
        <v>905</v>
      </c>
      <c r="T1597" t="n">
        <v>10</v>
      </c>
      <c r="V1597" t="inlineStr">
        <is>
          <t>FR</t>
        </is>
      </c>
    </row>
    <row r="1598">
      <c r="A1598" t="n">
        <v>7121392</v>
      </c>
      <c r="B1598" t="inlineStr">
        <is>
          <t>Releasing Spear 5-11/16" OD Mandrel CA 9266
3-1/2" IF Box</t>
        </is>
      </c>
      <c r="C1598" t="n">
        <v>90</v>
      </c>
      <c r="D1598" s="62" t="n">
        <v>5.6875</v>
      </c>
      <c r="E1598" t="inlineStr">
        <is>
          <t>CA 9266</t>
        </is>
      </c>
      <c r="T1598" t="n">
        <v>28</v>
      </c>
    </row>
    <row r="1599">
      <c r="A1599" t="n">
        <v>7121393</v>
      </c>
      <c r="B1599" t="inlineStr">
        <is>
          <t>Releasing Spear 4-1/32" OD Mandrel CA 9680
2-7/8" IF Box</t>
        </is>
      </c>
      <c r="C1599" t="n">
        <v>42</v>
      </c>
      <c r="D1599" s="62" t="n">
        <v>4.03125</v>
      </c>
      <c r="E1599" t="inlineStr">
        <is>
          <t>CA 9680</t>
        </is>
      </c>
      <c r="T1599" t="n">
        <v>22</v>
      </c>
    </row>
    <row r="1600">
      <c r="A1600" t="n">
        <v>5151394</v>
      </c>
      <c r="B1600" t="inlineStr">
        <is>
          <t>WO Lift Plug 
5-1/2" FJWP Pin</t>
        </is>
      </c>
      <c r="C1600" t="n">
        <v>0</v>
      </c>
      <c r="D1600" s="62" t="inlineStr">
        <is>
          <t>Flush w/ Handle</t>
        </is>
      </c>
      <c r="T1600" t="n">
        <v>16</v>
      </c>
    </row>
    <row r="1601">
      <c r="A1601" t="n">
        <v>5091395</v>
      </c>
      <c r="B1601" t="inlineStr">
        <is>
          <t>WO Internal Hook Lg 3000 mm
7-5/8" FJWP Pin x Box</t>
        </is>
      </c>
      <c r="C1601" t="n">
        <v>130</v>
      </c>
      <c r="D1601" s="62" t="n">
        <v>7.625</v>
      </c>
      <c r="E1601" t="n">
        <v>3000</v>
      </c>
      <c r="T1601" t="n">
        <v>14</v>
      </c>
    </row>
    <row r="1602">
      <c r="A1602" t="n">
        <v>5091396</v>
      </c>
      <c r="B1602" t="inlineStr">
        <is>
          <t>WO Extension Lg 3000 mm
7-5/8" FJWP Pin x Box</t>
        </is>
      </c>
      <c r="C1602" t="n">
        <v>689.0212933256249</v>
      </c>
      <c r="D1602" s="62" t="n">
        <v>7.625</v>
      </c>
      <c r="E1602" t="n">
        <v>3000</v>
      </c>
      <c r="T1602" t="n">
        <v>165</v>
      </c>
    </row>
    <row r="1603">
      <c r="A1603" t="n">
        <v>5111397</v>
      </c>
      <c r="B1603" t="inlineStr">
        <is>
          <t>WO Shoe
7-5/8" FJWP Box</t>
        </is>
      </c>
      <c r="C1603" t="n">
        <v>0</v>
      </c>
      <c r="D1603" s="62" t="n">
        <v>0</v>
      </c>
      <c r="E1603" t="n">
        <v>100</v>
      </c>
      <c r="T1603" t="n">
        <v>154</v>
      </c>
    </row>
    <row r="1604">
      <c r="A1604" t="n">
        <v>8131398</v>
      </c>
      <c r="B1604" t="inlineStr">
        <is>
          <t>XO
2-7/8" REG Pin x 3-1/2" REG Pin</t>
        </is>
      </c>
      <c r="C1604" t="n">
        <v>31</v>
      </c>
      <c r="D1604" s="62" t="n">
        <v>4.5</v>
      </c>
      <c r="E1604" t="n">
        <v>360</v>
      </c>
      <c r="T1604" t="n">
        <v>96</v>
      </c>
      <c r="V1604" t="inlineStr">
        <is>
          <t>FR</t>
        </is>
      </c>
    </row>
    <row r="1605">
      <c r="A1605" t="n">
        <v>7091399</v>
      </c>
      <c r="B1605" t="inlineStr">
        <is>
          <t>Taper Tap 4-3/4" OD to catch from Ø 1-5/8" to 3" 
Lg catch 550mm
3-1/2" IF Box</t>
        </is>
      </c>
      <c r="C1605" t="n">
        <v>20</v>
      </c>
      <c r="D1605" s="62" t="n">
        <v>4.75</v>
      </c>
      <c r="E1605" t="n">
        <v>550</v>
      </c>
      <c r="T1605" t="n">
        <v>18</v>
      </c>
      <c r="V1605" t="inlineStr">
        <is>
          <t>FR</t>
        </is>
      </c>
    </row>
    <row r="1606">
      <c r="A1606" t="n">
        <v>7091400</v>
      </c>
      <c r="B1606" t="inlineStr">
        <is>
          <t>Taper Tap 4-3/4" OD to catch from Ø 1-5/8" to 3" 
Lg catch 550mm
3-1/2" IF Box</t>
        </is>
      </c>
      <c r="C1606" t="n">
        <v>20</v>
      </c>
      <c r="D1606" s="62" t="n">
        <v>4.75</v>
      </c>
      <c r="E1606" t="n">
        <v>550</v>
      </c>
      <c r="T1606" t="n">
        <v>19</v>
      </c>
      <c r="V1606" t="inlineStr">
        <is>
          <t>FR</t>
        </is>
      </c>
    </row>
    <row r="1607">
      <c r="A1607" t="n">
        <v>7091401</v>
      </c>
      <c r="B1607" t="inlineStr">
        <is>
          <t>Taper Tap 3-3/8" OD to catch from Ø 1-1/4" to 2-1/4"
Lg catch 550mm
2-3/8" REG Box</t>
        </is>
      </c>
      <c r="C1607" t="n">
        <v>10</v>
      </c>
      <c r="D1607" s="62" t="n">
        <v>3.375</v>
      </c>
      <c r="E1607" t="n">
        <v>550</v>
      </c>
      <c r="T1607" t="n">
        <v>8</v>
      </c>
      <c r="V1607" t="inlineStr">
        <is>
          <t>FR</t>
        </is>
      </c>
    </row>
    <row r="1608">
      <c r="A1608" t="n">
        <v>7091402</v>
      </c>
      <c r="B1608" t="inlineStr">
        <is>
          <t>Taper Tap 3-3/8" OD to catch from Ø 1-1/4" to 2-1/4" 
Lg catch 550mm
2-3/8" REG Box</t>
        </is>
      </c>
      <c r="C1608" t="n">
        <v>10</v>
      </c>
      <c r="D1608" s="62" t="n">
        <v>3.375</v>
      </c>
      <c r="E1608" t="n">
        <v>550</v>
      </c>
      <c r="T1608" t="n">
        <v>9</v>
      </c>
      <c r="V1608" t="inlineStr">
        <is>
          <t>FR</t>
        </is>
      </c>
    </row>
    <row r="1609">
      <c r="A1609" t="n">
        <v>5061403</v>
      </c>
      <c r="B1609" t="inlineStr">
        <is>
          <t>String Mill 9,6 OD 
4-1/2" IF Box x 4-1/2" IF Pin</t>
        </is>
      </c>
      <c r="C1609" t="n">
        <v>0</v>
      </c>
      <c r="D1609" s="62" t="n">
        <v>9.6</v>
      </c>
      <c r="E1609" t="n">
        <v>1464</v>
      </c>
      <c r="T1609" t="n">
        <v>23</v>
      </c>
      <c r="V1609" t="inlineStr">
        <is>
          <t>FR</t>
        </is>
      </c>
    </row>
    <row r="1610">
      <c r="A1610" t="n">
        <v>1091404</v>
      </c>
      <c r="B1610" t="inlineStr">
        <is>
          <t>Junk Sub 6-5/8" OD Cup removable
4-1/2" REG Pin up x Box down</t>
        </is>
      </c>
      <c r="C1610" t="n">
        <v>0</v>
      </c>
      <c r="D1610" s="62" t="n">
        <v>6.625</v>
      </c>
      <c r="E1610" t="n">
        <v>1490</v>
      </c>
      <c r="T1610" t="n">
        <v>25</v>
      </c>
      <c r="V1610" t="inlineStr">
        <is>
          <t>FR</t>
        </is>
      </c>
    </row>
    <row r="1611">
      <c r="A1611" t="n">
        <v>1091405</v>
      </c>
      <c r="B1611" t="inlineStr">
        <is>
          <t>Junk Sub 6-5/8" OD Cup removable
4-1/2" REG Pin up x Box down</t>
        </is>
      </c>
      <c r="C1611" t="n">
        <v>0</v>
      </c>
      <c r="D1611" s="62" t="n">
        <v>6.625</v>
      </c>
      <c r="E1611" t="n">
        <v>1500</v>
      </c>
      <c r="T1611" t="n">
        <v>26</v>
      </c>
      <c r="V1611" t="inlineStr">
        <is>
          <t>FR</t>
        </is>
      </c>
    </row>
    <row r="1612">
      <c r="A1612" t="n">
        <v>1091406</v>
      </c>
      <c r="B1612" t="inlineStr">
        <is>
          <t>Junk Sub 5" OD cup 
3-1/2" REG Pin up x 3-1/2" REG Box down</t>
        </is>
      </c>
      <c r="C1612" t="n">
        <v>64</v>
      </c>
      <c r="D1612" s="62" t="n">
        <v>5.0625</v>
      </c>
      <c r="E1612" t="n">
        <v>1200</v>
      </c>
      <c r="T1612" t="n">
        <v>17</v>
      </c>
      <c r="V1612" t="inlineStr">
        <is>
          <t>FR</t>
        </is>
      </c>
    </row>
    <row r="1613">
      <c r="A1613" t="n">
        <v>1091407</v>
      </c>
      <c r="B1613" t="inlineStr">
        <is>
          <t>Junk Sub 5" OD cup 
3-1/2" REG Pin up x 3-1/2" REG Box down</t>
        </is>
      </c>
      <c r="C1613" t="n">
        <v>64</v>
      </c>
      <c r="D1613" s="62" t="n">
        <v>5.0625</v>
      </c>
      <c r="E1613" t="n">
        <v>1200</v>
      </c>
      <c r="T1613" t="n">
        <v>18</v>
      </c>
      <c r="V1613" t="inlineStr">
        <is>
          <t>FR</t>
        </is>
      </c>
    </row>
    <row r="1614">
      <c r="A1614" t="n">
        <v>7011408</v>
      </c>
      <c r="B1614" t="inlineStr">
        <is>
          <t>Die Collar 5-7/16" OD to catch from Ø 3-3/8" to 4-3/8" 
Lg catch 500mm
3-1/2" IF Box</t>
        </is>
      </c>
      <c r="C1614" t="n">
        <v>78</v>
      </c>
      <c r="D1614" s="62" t="n">
        <v>5.4375</v>
      </c>
      <c r="E1614" t="n">
        <v>1195</v>
      </c>
      <c r="T1614" t="n">
        <v>6</v>
      </c>
    </row>
    <row r="1615">
      <c r="A1615" t="n">
        <v>7011409</v>
      </c>
      <c r="B1615" t="inlineStr">
        <is>
          <t>Die Collar 7-15/16" OD to catch from Ø 3-3/4" to 4-1/2"
Lg catch600mm
3-1/2" REG Box</t>
        </is>
      </c>
      <c r="C1615" t="n">
        <v>74</v>
      </c>
      <c r="D1615" s="62" t="n">
        <v>7.9375</v>
      </c>
      <c r="E1615" t="n">
        <v>685</v>
      </c>
      <c r="T1615" t="n">
        <v>7</v>
      </c>
    </row>
    <row r="1616">
      <c r="A1616" t="n">
        <v>7011410</v>
      </c>
      <c r="B1616" t="inlineStr">
        <is>
          <t>Die Collar 5-3/4" OD to catch from Ø 3-3/8" to 4-1/2" 
Lg catch 280mm
5-3/8" BRS Box</t>
        </is>
      </c>
      <c r="C1616" t="n">
        <v>40</v>
      </c>
      <c r="D1616" s="62" t="n">
        <v>5.75</v>
      </c>
      <c r="E1616" t="n">
        <v>480</v>
      </c>
      <c r="T1616" t="n">
        <v>8</v>
      </c>
    </row>
    <row r="1617">
      <c r="A1617" t="n">
        <v>7011411</v>
      </c>
      <c r="B1617" t="inlineStr">
        <is>
          <t>Die Collar 6-1/4" OD to catch from Ø 4-1/4" to 5-1/4" 
Lg catch 390mm
3-1/2" IF Box</t>
        </is>
      </c>
      <c r="C1617" t="n">
        <v>52</v>
      </c>
      <c r="D1617" s="62" t="n">
        <v>6.25</v>
      </c>
      <c r="E1617" t="n">
        <v>935</v>
      </c>
      <c r="T1617" t="n">
        <v>9</v>
      </c>
    </row>
    <row r="1618">
      <c r="A1618" t="n">
        <v>7011412</v>
      </c>
      <c r="B1618" t="inlineStr">
        <is>
          <t>Die Collar 6-1/4" OD to catch from Ø 4-1/4" to 5-1/4" 
Lg catch 390mm
3-1/2" IF Box</t>
        </is>
      </c>
      <c r="C1618" t="n">
        <v>52</v>
      </c>
      <c r="D1618" s="62" t="n">
        <v>6.25</v>
      </c>
      <c r="E1618" t="n">
        <v>940</v>
      </c>
      <c r="T1618" t="n">
        <v>10</v>
      </c>
    </row>
    <row r="1619">
      <c r="A1619" t="n">
        <v>7011413</v>
      </c>
      <c r="B1619" t="inlineStr">
        <is>
          <t>Die Collar 9-5/8" OD to catch from Ø 4-1/4" to 6-1/4" 
Lg catch 860mm
4-1/2" IF Box</t>
        </is>
      </c>
      <c r="C1619" t="n">
        <v>126</v>
      </c>
      <c r="D1619" s="62" t="n">
        <v>9.625</v>
      </c>
      <c r="E1619" t="n">
        <v>1020</v>
      </c>
      <c r="T1619" t="n">
        <v>16</v>
      </c>
    </row>
    <row r="1620">
      <c r="A1620" t="n">
        <v>1061414</v>
      </c>
      <c r="B1620" t="inlineStr">
        <is>
          <t>Impression Block 6" 
3-1/2" IF Box</t>
        </is>
      </c>
      <c r="C1620" t="n">
        <v>58</v>
      </c>
      <c r="D1620" s="62" t="n">
        <v>6</v>
      </c>
      <c r="E1620" t="n">
        <v>650</v>
      </c>
      <c r="T1620" t="n">
        <v>13</v>
      </c>
      <c r="V1620" t="inlineStr">
        <is>
          <t>FR</t>
        </is>
      </c>
    </row>
    <row r="1621">
      <c r="A1621" t="n">
        <v>1061415</v>
      </c>
      <c r="B1621" t="inlineStr">
        <is>
          <t>Impression Block 6" 
3-1/2" IF Box</t>
        </is>
      </c>
      <c r="C1621" t="n">
        <v>58</v>
      </c>
      <c r="D1621" s="62" t="n">
        <v>6</v>
      </c>
      <c r="E1621" t="n">
        <v>650</v>
      </c>
      <c r="T1621" t="n">
        <v>14</v>
      </c>
      <c r="V1621" t="inlineStr">
        <is>
          <t>FR</t>
        </is>
      </c>
    </row>
    <row r="1622">
      <c r="A1622" t="n">
        <v>8131416</v>
      </c>
      <c r="B1622" t="inlineStr">
        <is>
          <t>XO
2-3/8" REG Pin x 2-7/8" IF Box</t>
        </is>
      </c>
      <c r="C1622" t="n">
        <v>0</v>
      </c>
      <c r="D1622" s="62" t="n">
        <v>4.125</v>
      </c>
      <c r="E1622" t="n">
        <v>0</v>
      </c>
      <c r="T1622" t="n">
        <v>58</v>
      </c>
      <c r="V1622" t="inlineStr">
        <is>
          <t>FR</t>
        </is>
      </c>
    </row>
    <row r="1623">
      <c r="A1623" t="n">
        <v>8131417</v>
      </c>
      <c r="B1623" t="inlineStr">
        <is>
          <t>XO
2-3/8" REG Pin x 2-7/8" IF Box</t>
        </is>
      </c>
      <c r="C1623" t="n">
        <v>0</v>
      </c>
      <c r="D1623" s="62" t="n">
        <v>4.125</v>
      </c>
      <c r="E1623" t="n">
        <v>0</v>
      </c>
      <c r="T1623" t="n">
        <v>59</v>
      </c>
      <c r="V1623" t="inlineStr">
        <is>
          <t>FR</t>
        </is>
      </c>
    </row>
    <row r="1624">
      <c r="A1624" t="n">
        <v>8131418</v>
      </c>
      <c r="B1624" t="inlineStr">
        <is>
          <t>XO
2-7/8" IF Pin x 2-3/8" IF Box</t>
        </is>
      </c>
      <c r="C1624" t="n">
        <v>29.1027089315625</v>
      </c>
      <c r="D1624" s="62" t="n">
        <v>4.125</v>
      </c>
      <c r="E1624" t="n">
        <v>460</v>
      </c>
      <c r="T1624" t="n">
        <v>80</v>
      </c>
      <c r="V1624" t="inlineStr">
        <is>
          <t>FR</t>
        </is>
      </c>
    </row>
    <row r="1625">
      <c r="A1625" t="n">
        <v>8131419</v>
      </c>
      <c r="B1625" t="inlineStr">
        <is>
          <t>XO
3-1/2" IF Pin x 3-1/2" REG Pin</t>
        </is>
      </c>
      <c r="C1625" t="n">
        <v>24.07223008125</v>
      </c>
      <c r="D1625" s="62" t="n">
        <v>4.75</v>
      </c>
      <c r="E1625" t="n">
        <v>300</v>
      </c>
      <c r="T1625" t="n">
        <v>121</v>
      </c>
      <c r="V1625" t="inlineStr">
        <is>
          <t>FR</t>
        </is>
      </c>
    </row>
    <row r="1626">
      <c r="A1626" t="n">
        <v>8131420</v>
      </c>
      <c r="B1626" t="inlineStr">
        <is>
          <t>XO
3-1/2" IF Pin x 3-1/2" REG Pin</t>
        </is>
      </c>
      <c r="C1626" t="n">
        <v>36.5095489565625</v>
      </c>
      <c r="D1626" s="62" t="n">
        <v>4.75</v>
      </c>
      <c r="E1626" t="n">
        <v>455</v>
      </c>
      <c r="T1626" t="n">
        <v>122</v>
      </c>
      <c r="V1626" t="inlineStr">
        <is>
          <t>FR</t>
        </is>
      </c>
    </row>
    <row r="1627">
      <c r="A1627" t="n">
        <v>8131421</v>
      </c>
      <c r="B1627" t="inlineStr">
        <is>
          <t>XO
2-3/8" IF Pin x 3-1/2" IF Box</t>
        </is>
      </c>
      <c r="C1627" t="n">
        <v>30.812454504</v>
      </c>
      <c r="D1627" s="62" t="n">
        <v>4.75</v>
      </c>
      <c r="E1627" t="n">
        <v>400</v>
      </c>
      <c r="T1627" t="n">
        <v>37</v>
      </c>
      <c r="V1627" t="inlineStr">
        <is>
          <t>FR</t>
        </is>
      </c>
    </row>
    <row r="1628">
      <c r="A1628" t="n">
        <v>4021422</v>
      </c>
      <c r="B1628" t="inlineStr">
        <is>
          <t>Bumper Sub 4-3/4" OD
3-1/2" IF Pin down x Box up</t>
        </is>
      </c>
      <c r="C1628" t="n">
        <v>94</v>
      </c>
      <c r="D1628" s="62" t="n">
        <v>4.75</v>
      </c>
      <c r="E1628" t="n">
        <v>1460</v>
      </c>
      <c r="T1628" t="n">
        <v>14</v>
      </c>
    </row>
    <row r="1629">
      <c r="A1629" t="n">
        <v>4021423</v>
      </c>
      <c r="B1629" t="inlineStr">
        <is>
          <t>Bumper Sub 6-1/4" OD
4-1/2" IF Pin down x Box up</t>
        </is>
      </c>
      <c r="C1629" t="n">
        <v>157</v>
      </c>
      <c r="D1629" s="62" t="n">
        <v>6.25</v>
      </c>
      <c r="E1629" t="n">
        <v>1515</v>
      </c>
      <c r="T1629" t="n">
        <v>18</v>
      </c>
    </row>
    <row r="1630">
      <c r="A1630" t="n">
        <v>7051424</v>
      </c>
      <c r="B1630" t="inlineStr">
        <is>
          <t>Extension 5-7/8" SH Lg 855mm CA C-5171
5-7/8" SH Sellers Pin x Box</t>
        </is>
      </c>
      <c r="C1630" t="n">
        <v>20</v>
      </c>
      <c r="D1630" s="62" t="inlineStr">
        <is>
          <t>5-7/8" SH</t>
        </is>
      </c>
      <c r="E1630" t="n">
        <v>855</v>
      </c>
      <c r="T1630" t="n">
        <v>30</v>
      </c>
      <c r="V1630" t="inlineStr">
        <is>
          <t>FR</t>
        </is>
      </c>
    </row>
    <row r="1631">
      <c r="A1631" t="n">
        <v>8131425</v>
      </c>
      <c r="B1631" t="inlineStr">
        <is>
          <t>XO
4" IF Pin x 4-1/2" REG Box</t>
        </is>
      </c>
      <c r="C1631" t="n">
        <v>102</v>
      </c>
      <c r="D1631" s="62" t="n">
        <v>6.75</v>
      </c>
      <c r="E1631" t="n">
        <v>630</v>
      </c>
      <c r="T1631" t="n">
        <v>146</v>
      </c>
      <c r="V1631" t="inlineStr">
        <is>
          <t>FR</t>
        </is>
      </c>
    </row>
    <row r="1632">
      <c r="A1632" t="n">
        <v>8131426</v>
      </c>
      <c r="B1632" t="inlineStr">
        <is>
          <t>XO
4" IF Pin x 4-1/2" REG Box</t>
        </is>
      </c>
      <c r="C1632" t="n">
        <v>102</v>
      </c>
      <c r="D1632" s="62" t="n">
        <v>6.75</v>
      </c>
      <c r="E1632" t="n">
        <v>630</v>
      </c>
      <c r="T1632" t="n">
        <v>147</v>
      </c>
      <c r="V1632" t="inlineStr">
        <is>
          <t>FR</t>
        </is>
      </c>
    </row>
    <row r="1633">
      <c r="A1633" t="n">
        <v>8131427</v>
      </c>
      <c r="B1633" t="inlineStr">
        <is>
          <t>XO
3-1/2" IF Pin x 3-1/2" REG Box</t>
        </is>
      </c>
      <c r="C1633" t="n">
        <v>34.56525345</v>
      </c>
      <c r="D1633" s="62" t="n">
        <v>4.75</v>
      </c>
      <c r="E1633" t="n">
        <v>500</v>
      </c>
      <c r="T1633" t="n">
        <v>116</v>
      </c>
      <c r="V1633" t="inlineStr">
        <is>
          <t>FR</t>
        </is>
      </c>
    </row>
    <row r="1634">
      <c r="A1634" t="n">
        <v>8131428</v>
      </c>
      <c r="B1634" t="inlineStr">
        <is>
          <t>XO
3-1/2" IF Pin x 3-1/2" REG Box</t>
        </is>
      </c>
      <c r="C1634" t="n">
        <v>34.56525345</v>
      </c>
      <c r="D1634" s="62" t="n">
        <v>4.75</v>
      </c>
      <c r="E1634" t="n">
        <v>500</v>
      </c>
      <c r="T1634" t="n">
        <v>117</v>
      </c>
      <c r="V1634" t="inlineStr">
        <is>
          <t>FR</t>
        </is>
      </c>
    </row>
    <row r="1635">
      <c r="A1635" t="n">
        <v>5081429</v>
      </c>
      <c r="B1635" t="inlineStr">
        <is>
          <t>Taper Mill 
2-7/8" REG Pin</t>
        </is>
      </c>
      <c r="C1635" t="n">
        <v>35</v>
      </c>
      <c r="D1635" s="62" t="n">
        <v>4.625</v>
      </c>
      <c r="E1635" t="n">
        <v>35</v>
      </c>
      <c r="T1635" t="n">
        <v>14</v>
      </c>
      <c r="V1635" t="inlineStr">
        <is>
          <t>FR</t>
        </is>
      </c>
    </row>
    <row r="1636">
      <c r="A1636" t="n">
        <v>5081430</v>
      </c>
      <c r="B1636" t="inlineStr">
        <is>
          <t>Taper Mill 
2-7/8" REG Pin</t>
        </is>
      </c>
      <c r="C1636" t="n">
        <v>0</v>
      </c>
      <c r="D1636" s="62" t="n">
        <v>4.75</v>
      </c>
      <c r="E1636" t="n">
        <v>0</v>
      </c>
      <c r="T1636" t="n">
        <v>16</v>
      </c>
      <c r="V1636" t="inlineStr">
        <is>
          <t>FR</t>
        </is>
      </c>
    </row>
    <row r="1637">
      <c r="A1637" t="n">
        <v>5081431</v>
      </c>
      <c r="B1637" t="inlineStr">
        <is>
          <t>Taper Mill 
4-1/2" REG Pin</t>
        </is>
      </c>
      <c r="C1637" t="n">
        <v>0</v>
      </c>
      <c r="D1637" s="62" t="n">
        <v>8.5625</v>
      </c>
      <c r="E1637" t="n">
        <v>0</v>
      </c>
      <c r="T1637" t="n">
        <v>40</v>
      </c>
      <c r="V1637" t="inlineStr">
        <is>
          <t>FR</t>
        </is>
      </c>
    </row>
    <row r="1638">
      <c r="A1638" t="n">
        <v>5041432</v>
      </c>
      <c r="B1638" t="inlineStr">
        <is>
          <t>Viper Pilot Mill
3-1/2" REG Pin x Pilot</t>
        </is>
      </c>
      <c r="C1638" t="n">
        <v>0</v>
      </c>
      <c r="D1638" s="62" t="n">
        <v>6.75</v>
      </c>
      <c r="E1638" t="n">
        <v>0</v>
      </c>
      <c r="T1638" t="n">
        <v>17</v>
      </c>
      <c r="V1638" t="inlineStr">
        <is>
          <t>FR</t>
        </is>
      </c>
    </row>
    <row r="1639">
      <c r="A1639" t="n">
        <v>5041433</v>
      </c>
      <c r="B1639" t="inlineStr">
        <is>
          <t>Viper Pilot Mill
3-1/2" REG Pin x Pilot</t>
        </is>
      </c>
      <c r="C1639" t="n">
        <v>0</v>
      </c>
      <c r="D1639" s="62" t="n">
        <v>6.75</v>
      </c>
      <c r="E1639" t="n">
        <v>0</v>
      </c>
      <c r="T1639" t="n">
        <v>18</v>
      </c>
      <c r="V1639" t="inlineStr">
        <is>
          <t>FR</t>
        </is>
      </c>
    </row>
    <row r="1640">
      <c r="A1640" t="n">
        <v>8111434</v>
      </c>
      <c r="B1640" t="inlineStr">
        <is>
          <t>String Stab
7-5/8" REG Pin x 7-5/8" REG Box</t>
        </is>
      </c>
      <c r="C1640" t="n">
        <v>773</v>
      </c>
      <c r="D1640" s="62" t="n">
        <v>14.75</v>
      </c>
      <c r="E1640" t="n">
        <v>2184</v>
      </c>
      <c r="T1640" t="n">
        <v>82</v>
      </c>
      <c r="V1640" t="inlineStr">
        <is>
          <t>CH</t>
        </is>
      </c>
    </row>
    <row r="1641">
      <c r="A1641" t="n">
        <v>8091435</v>
      </c>
      <c r="B1641" t="inlineStr">
        <is>
          <t>Near Bit Stab
7-5/8" REG Box BB x 7-5/8" REG Box</t>
        </is>
      </c>
      <c r="C1641" t="n">
        <v>773</v>
      </c>
      <c r="D1641" s="62" t="n">
        <v>14.75</v>
      </c>
      <c r="E1641" t="n">
        <v>2184</v>
      </c>
      <c r="T1641" t="n">
        <v>36</v>
      </c>
      <c r="V1641" t="inlineStr">
        <is>
          <t>CH</t>
        </is>
      </c>
    </row>
    <row r="1642">
      <c r="A1642" t="n">
        <v>8091436</v>
      </c>
      <c r="B1642" t="inlineStr">
        <is>
          <t>Near Bit Stab
7-5/8" REG Box x 7-5/8" REG Box BF</t>
        </is>
      </c>
      <c r="C1642" t="n">
        <v>1044</v>
      </c>
      <c r="D1642" s="62" t="n">
        <v>18.5625</v>
      </c>
      <c r="E1642" t="n">
        <v>2286</v>
      </c>
      <c r="T1642" t="n">
        <v>44</v>
      </c>
      <c r="V1642" t="inlineStr">
        <is>
          <t>CH</t>
        </is>
      </c>
    </row>
    <row r="1643">
      <c r="A1643" t="n">
        <v>4041437</v>
      </c>
      <c r="B1643" t="inlineStr">
        <is>
          <t>Intensifier 3-1/8" OD 
2-3/8" REG Pin x Box</t>
        </is>
      </c>
      <c r="C1643" t="n">
        <v>53</v>
      </c>
      <c r="D1643" s="62" t="n">
        <v>3.125</v>
      </c>
      <c r="E1643" t="n">
        <v>2630</v>
      </c>
      <c r="T1643" t="n">
        <v>5</v>
      </c>
    </row>
    <row r="1644">
      <c r="A1644" t="n">
        <v>7121438</v>
      </c>
      <c r="B1644" t="inlineStr">
        <is>
          <t>Releasing Spear 3-1/4" OD Mandrel CA 9485
2-3/8" REG Box</t>
        </is>
      </c>
      <c r="C1644" t="n">
        <v>33</v>
      </c>
      <c r="D1644" s="62" t="n">
        <v>3.25</v>
      </c>
      <c r="E1644" t="inlineStr">
        <is>
          <t>CA 9485</t>
        </is>
      </c>
      <c r="T1644" t="n">
        <v>16</v>
      </c>
    </row>
    <row r="1645">
      <c r="A1645" t="n">
        <v>7121439</v>
      </c>
      <c r="B1645" t="inlineStr">
        <is>
          <t>Releasing Spear 3-1/4" OD Mandrel CA 9485
2-3/8" REG Box</t>
        </is>
      </c>
      <c r="C1645" t="n">
        <v>33</v>
      </c>
      <c r="D1645" s="62" t="n">
        <v>3.25</v>
      </c>
      <c r="E1645" t="inlineStr">
        <is>
          <t>CA 9485</t>
        </is>
      </c>
      <c r="T1645" t="n">
        <v>17</v>
      </c>
    </row>
    <row r="1646">
      <c r="A1646" t="n">
        <v>7021440</v>
      </c>
      <c r="B1646" t="inlineStr">
        <is>
          <t>String Magnet 6-1/2" OD
4-1/2" REG Pin down x Box up</t>
        </is>
      </c>
      <c r="C1646" t="n">
        <v>206</v>
      </c>
      <c r="D1646" s="62" t="n">
        <v>6.3125</v>
      </c>
      <c r="E1646" t="n">
        <v>1700</v>
      </c>
      <c r="T1646" t="n">
        <v>14</v>
      </c>
      <c r="V1646" t="inlineStr">
        <is>
          <t>FR</t>
        </is>
      </c>
    </row>
    <row r="1647">
      <c r="A1647" t="n">
        <v>8131441</v>
      </c>
      <c r="B1647" t="inlineStr">
        <is>
          <t>XO
3-1/2" REG Pin x 3-1/2" IF Box</t>
        </is>
      </c>
      <c r="C1647" t="n">
        <v>80</v>
      </c>
      <c r="D1647" s="62" t="n">
        <v>4.75</v>
      </c>
      <c r="E1647" t="n">
        <v>500</v>
      </c>
      <c r="T1647" t="n">
        <v>134</v>
      </c>
      <c r="V1647" t="inlineStr">
        <is>
          <t>FR</t>
        </is>
      </c>
    </row>
    <row r="1648">
      <c r="A1648" t="n">
        <v>8131442</v>
      </c>
      <c r="B1648" t="inlineStr">
        <is>
          <t>XO
4-1/2" IF Pin x 3-1/2" IF Box</t>
        </is>
      </c>
      <c r="C1648" t="n">
        <v>48.21852856275</v>
      </c>
      <c r="D1648" s="62" t="n">
        <v>6.5</v>
      </c>
      <c r="E1648" t="n">
        <v>620</v>
      </c>
      <c r="T1648" t="n">
        <v>161</v>
      </c>
      <c r="V1648" t="inlineStr">
        <is>
          <t>FR</t>
        </is>
      </c>
    </row>
    <row r="1649">
      <c r="A1649" t="n">
        <v>8131443</v>
      </c>
      <c r="B1649" t="inlineStr">
        <is>
          <t>XO
4-1/2" IF Pin x 4-1/2" REG Pin</t>
        </is>
      </c>
      <c r="C1649" t="n">
        <v>85.32679708799998</v>
      </c>
      <c r="D1649" s="62" t="n">
        <v>6.5</v>
      </c>
      <c r="E1649" t="n">
        <v>600</v>
      </c>
      <c r="T1649" t="n">
        <v>171</v>
      </c>
      <c r="V1649" t="inlineStr">
        <is>
          <t>FR</t>
        </is>
      </c>
    </row>
    <row r="1650">
      <c r="A1650" t="n">
        <v>7051444</v>
      </c>
      <c r="B1650" t="inlineStr">
        <is>
          <t>Extension 11-1/4" FS Lg 914mm CA C12822
11-1/4" FS Sellers Pin x Box</t>
        </is>
      </c>
      <c r="C1650" t="n">
        <v>100</v>
      </c>
      <c r="D1650" s="62" t="inlineStr">
        <is>
          <t>11-1/4" FS</t>
        </is>
      </c>
      <c r="E1650" t="n">
        <v>914</v>
      </c>
      <c r="T1650" t="n">
        <v>69</v>
      </c>
    </row>
    <row r="1651">
      <c r="A1651" t="n">
        <v>8131445</v>
      </c>
      <c r="B1651" t="inlineStr">
        <is>
          <t>XO
4-1/2" IF Pin x 4-1/2" REG Pin</t>
        </is>
      </c>
      <c r="C1651" t="n">
        <v>92.43736351199999</v>
      </c>
      <c r="D1651" s="62" t="n">
        <v>6.5</v>
      </c>
      <c r="E1651" t="n">
        <v>650</v>
      </c>
      <c r="T1651" t="n">
        <v>172</v>
      </c>
      <c r="V1651" t="inlineStr">
        <is>
          <t>FR</t>
        </is>
      </c>
    </row>
    <row r="1652">
      <c r="A1652" t="n">
        <v>8131446</v>
      </c>
      <c r="B1652" t="inlineStr">
        <is>
          <t>XO
4-1/2" IF Pin x 4-1/2" REG Pin</t>
        </is>
      </c>
      <c r="C1652" t="n">
        <v>92.43736351199999</v>
      </c>
      <c r="D1652" s="62" t="n">
        <v>6.5</v>
      </c>
      <c r="E1652" t="n">
        <v>650</v>
      </c>
      <c r="T1652" t="n">
        <v>173</v>
      </c>
      <c r="V1652" t="inlineStr">
        <is>
          <t>FR</t>
        </is>
      </c>
    </row>
    <row r="1653">
      <c r="A1653" t="n">
        <v>8131447</v>
      </c>
      <c r="B1653" t="inlineStr">
        <is>
          <t>XO
3-1/2" IF Pin x 3-1/2" REG Pin</t>
        </is>
      </c>
      <c r="C1653" t="n">
        <v>44.132421815625</v>
      </c>
      <c r="D1653" s="62" t="n">
        <v>4.75</v>
      </c>
      <c r="E1653" t="n">
        <v>550</v>
      </c>
      <c r="T1653" t="n">
        <v>124</v>
      </c>
      <c r="V1653" t="inlineStr">
        <is>
          <t>FR</t>
        </is>
      </c>
    </row>
    <row r="1654">
      <c r="A1654" t="n">
        <v>8131448</v>
      </c>
      <c r="B1654" t="inlineStr">
        <is>
          <t>XO
3-1/2" IF Pin x 3-1/2" REG Pin</t>
        </is>
      </c>
      <c r="C1654" t="n">
        <v>44.132421815625</v>
      </c>
      <c r="D1654" s="62" t="n">
        <v>4.75</v>
      </c>
      <c r="E1654" t="n">
        <v>550</v>
      </c>
      <c r="T1654" t="n">
        <v>125</v>
      </c>
      <c r="V1654" t="inlineStr">
        <is>
          <t>FR</t>
        </is>
      </c>
    </row>
    <row r="1655">
      <c r="A1655" t="n">
        <v>7121449</v>
      </c>
      <c r="B1655" t="inlineStr">
        <is>
          <t>Releasing Spear 5-11/16" OD Mandrel CA 9266
3-1/2" IF Box</t>
        </is>
      </c>
      <c r="C1655" t="n">
        <v>0</v>
      </c>
      <c r="D1655" s="62" t="n">
        <v>5.6875</v>
      </c>
      <c r="E1655" t="inlineStr">
        <is>
          <t>CA 9266</t>
        </is>
      </c>
      <c r="T1655" t="n">
        <v>24</v>
      </c>
    </row>
    <row r="1656">
      <c r="A1656" t="n">
        <v>8131450</v>
      </c>
      <c r="B1656" t="inlineStr">
        <is>
          <t>XO
6-5/8" REG Pin x 7-5/8" FJWP Box</t>
        </is>
      </c>
      <c r="C1656" t="n">
        <v>0</v>
      </c>
      <c r="D1656" s="62" t="n">
        <v>7.375</v>
      </c>
      <c r="E1656" t="n">
        <v>420</v>
      </c>
      <c r="T1656" t="n">
        <v>219</v>
      </c>
      <c r="V1656" t="inlineStr">
        <is>
          <t>FR</t>
        </is>
      </c>
    </row>
    <row r="1657">
      <c r="A1657" t="n">
        <v>6041451</v>
      </c>
      <c r="B1657" t="inlineStr">
        <is>
          <t>UBHO 8" OD
6-5/8" REG Pin x Box</t>
        </is>
      </c>
      <c r="C1657" t="n">
        <v>182</v>
      </c>
      <c r="D1657" s="62" t="n">
        <v>7.875</v>
      </c>
      <c r="E1657" t="n">
        <v>885</v>
      </c>
      <c r="T1657" t="n">
        <v>25</v>
      </c>
      <c r="V1657" t="inlineStr">
        <is>
          <t>FR</t>
        </is>
      </c>
    </row>
    <row r="1658">
      <c r="A1658" t="n">
        <v>1031452</v>
      </c>
      <c r="B1658" t="inlineStr">
        <is>
          <t xml:space="preserve">Casing Scraper 3-5/8" OD Body
2-3/8" REG Pin  x 2-3/8" REG Box </t>
        </is>
      </c>
      <c r="C1658" t="n">
        <v>34</v>
      </c>
      <c r="D1658" s="62" t="n">
        <v>3.625</v>
      </c>
      <c r="E1658" t="n">
        <v>890</v>
      </c>
      <c r="T1658" t="n">
        <v>8</v>
      </c>
      <c r="V1658" t="inlineStr">
        <is>
          <t>AE</t>
        </is>
      </c>
    </row>
    <row r="1659">
      <c r="A1659" t="n">
        <v>8711453</v>
      </c>
      <c r="B1659" t="inlineStr">
        <is>
          <t>NON MAG String Stab
6-5/8" REG Pin x 6-5/8" REG Box BF</t>
        </is>
      </c>
      <c r="C1659" t="n">
        <v>0</v>
      </c>
      <c r="D1659" s="62" t="n">
        <v>11.75</v>
      </c>
      <c r="E1659" t="n">
        <v>1400</v>
      </c>
      <c r="T1659" t="n">
        <v>55</v>
      </c>
    </row>
    <row r="1660">
      <c r="A1660" t="n">
        <v>8711454</v>
      </c>
      <c r="B1660" t="inlineStr">
        <is>
          <t>NON MAG String Stab
4-1/2" IF Pin SRG x 4-1/2" IF Box BB</t>
        </is>
      </c>
      <c r="C1660" t="n">
        <v>250</v>
      </c>
      <c r="D1660" s="62" t="n">
        <v>8.3125</v>
      </c>
      <c r="E1660" t="n">
        <v>1595</v>
      </c>
      <c r="T1660" t="n">
        <v>34</v>
      </c>
    </row>
    <row r="1661">
      <c r="A1661" t="n">
        <v>8711455</v>
      </c>
      <c r="B1661" t="inlineStr">
        <is>
          <t>NON MAG String Stab
6-5/8" REG Pin x 6-5/8" REG Box</t>
        </is>
      </c>
      <c r="C1661" t="n">
        <v>0</v>
      </c>
      <c r="D1661" s="62" t="n">
        <v>12.125</v>
      </c>
      <c r="E1661" t="n">
        <v>2120</v>
      </c>
      <c r="T1661" t="n">
        <v>75</v>
      </c>
    </row>
    <row r="1662">
      <c r="A1662" t="n">
        <v>8711456</v>
      </c>
      <c r="B1662" t="inlineStr">
        <is>
          <t>NON MAG String Stab
4" IF Pin SRG x 4" IF Box BB</t>
        </is>
      </c>
      <c r="C1662" t="n">
        <v>0</v>
      </c>
      <c r="D1662" s="62" t="n">
        <v>8</v>
      </c>
      <c r="E1662" t="n">
        <v>1450</v>
      </c>
      <c r="T1662" t="n">
        <v>25</v>
      </c>
    </row>
    <row r="1663">
      <c r="A1663" t="n">
        <v>8711457</v>
      </c>
      <c r="B1663" t="inlineStr">
        <is>
          <t>NON MAG String Stab
4-1/2" IF Pin x 4-1/2" IF Box</t>
        </is>
      </c>
      <c r="C1663" t="n">
        <v>0</v>
      </c>
      <c r="D1663" s="62" t="n">
        <v>8</v>
      </c>
      <c r="E1663" t="n">
        <v>1560</v>
      </c>
      <c r="T1663" t="n">
        <v>24</v>
      </c>
    </row>
    <row r="1664">
      <c r="A1664" t="n">
        <v>8711458</v>
      </c>
      <c r="B1664" t="inlineStr">
        <is>
          <t>NON MAG String Stab
6-5/8" REG Pin x 6-5/8" REG Box</t>
        </is>
      </c>
      <c r="C1664" t="n">
        <v>0</v>
      </c>
      <c r="D1664" s="62" t="n">
        <v>11.625</v>
      </c>
      <c r="E1664" t="n">
        <v>2070</v>
      </c>
      <c r="T1664" t="n">
        <v>50</v>
      </c>
    </row>
    <row r="1665">
      <c r="A1665" t="n">
        <v>8791459</v>
      </c>
      <c r="B1665" t="inlineStr">
        <is>
          <t>Near Bit Stab
4-1/2" IF Box x 4-1/2" REG Box</t>
        </is>
      </c>
      <c r="C1665" t="n">
        <v>0</v>
      </c>
      <c r="D1665" s="62" t="n">
        <v>8.5</v>
      </c>
      <c r="E1665" t="n">
        <v>1285</v>
      </c>
      <c r="T1665" t="n">
        <v>16</v>
      </c>
    </row>
    <row r="1666">
      <c r="A1666" t="n">
        <v>8091460</v>
      </c>
      <c r="B1666" t="inlineStr">
        <is>
          <t>Near Bit Stab
6-5/8" REG Box x 6-5/8" REG Box</t>
        </is>
      </c>
      <c r="C1666" t="n">
        <v>400</v>
      </c>
      <c r="D1666" s="62" t="n">
        <v>11.75</v>
      </c>
      <c r="E1666" t="n">
        <v>1580</v>
      </c>
      <c r="T1666" t="n">
        <v>22</v>
      </c>
    </row>
    <row r="1667">
      <c r="A1667" t="n">
        <v>8111461</v>
      </c>
      <c r="B1667" t="inlineStr">
        <is>
          <t>String Stab
6-5/8" REG Pin SRG x 6-5/8" REG Box BB</t>
        </is>
      </c>
      <c r="C1667" t="n">
        <v>0</v>
      </c>
      <c r="D1667" s="62" t="n">
        <v>12.5</v>
      </c>
      <c r="E1667" t="n">
        <v>2200</v>
      </c>
      <c r="T1667" t="n">
        <v>116</v>
      </c>
    </row>
    <row r="1668">
      <c r="A1668" t="n">
        <v>8111462</v>
      </c>
      <c r="B1668" t="inlineStr">
        <is>
          <t>String Stab
4" IF Pin SRG x 4" IF Box BB</t>
        </is>
      </c>
      <c r="C1668" t="n">
        <v>0</v>
      </c>
      <c r="D1668" s="62" t="n">
        <v>8.375</v>
      </c>
      <c r="E1668" t="n">
        <v>1380</v>
      </c>
      <c r="T1668" t="n">
        <v>117</v>
      </c>
    </row>
    <row r="1669">
      <c r="A1669" t="n">
        <v>8111463</v>
      </c>
      <c r="B1669" t="inlineStr">
        <is>
          <t>String Stab
7-5/8" REG Pin SRG x 7-5/8" REG Box BB</t>
        </is>
      </c>
      <c r="C1669" t="n">
        <v>0</v>
      </c>
      <c r="D1669" s="62" t="n">
        <v>11.75</v>
      </c>
      <c r="E1669" t="n">
        <v>1890</v>
      </c>
      <c r="T1669" t="n">
        <v>118</v>
      </c>
    </row>
    <row r="1670">
      <c r="A1670" t="n">
        <v>8111464</v>
      </c>
      <c r="B1670" t="inlineStr">
        <is>
          <t>String Stab
6-5/8" REG Pin SRG x 6-5/8" REG Box BB</t>
        </is>
      </c>
      <c r="C1670" t="n">
        <v>0</v>
      </c>
      <c r="D1670" s="62" t="n">
        <v>11.875</v>
      </c>
      <c r="E1670" t="n">
        <v>1750</v>
      </c>
      <c r="T1670" t="n">
        <v>119</v>
      </c>
    </row>
    <row r="1671">
      <c r="A1671" t="n">
        <v>8111465</v>
      </c>
      <c r="B1671" t="inlineStr">
        <is>
          <t>String Stab
7-5/8" REG Pin SRG x 7-5/8" REG Box BB</t>
        </is>
      </c>
      <c r="C1671" t="n">
        <v>0</v>
      </c>
      <c r="D1671" s="62" t="inlineStr">
        <is>
          <t>?</t>
        </is>
      </c>
      <c r="E1671" t="n">
        <v>1470</v>
      </c>
      <c r="T1671" t="n">
        <v>120</v>
      </c>
    </row>
    <row r="1672">
      <c r="A1672" t="n">
        <v>8091466</v>
      </c>
      <c r="B1672" t="inlineStr">
        <is>
          <t>Near Bit Stab
4-1/2" IF Box x 4-1/2" REG Box</t>
        </is>
      </c>
      <c r="C1672" t="n">
        <v>0</v>
      </c>
      <c r="D1672" s="62" t="n">
        <v>8.375</v>
      </c>
      <c r="E1672" t="n">
        <v>1930</v>
      </c>
      <c r="T1672" t="n">
        <v>13</v>
      </c>
    </row>
    <row r="1673">
      <c r="A1673" t="n">
        <v>8711467</v>
      </c>
      <c r="B1673" t="inlineStr">
        <is>
          <t>NON MAG String Stab
6-5/8" REG Pin SRG x 6-5/8" REG Box BB</t>
        </is>
      </c>
      <c r="C1673" t="n">
        <v>0</v>
      </c>
      <c r="D1673" s="62" t="n">
        <v>12.0625</v>
      </c>
      <c r="E1673" t="n">
        <v>1960</v>
      </c>
      <c r="T1673" t="n">
        <v>71</v>
      </c>
    </row>
    <row r="1674">
      <c r="A1674" t="n">
        <v>8711468</v>
      </c>
      <c r="B1674" t="inlineStr">
        <is>
          <t>NON MAG String Stab
6-5/8" REG Pin x 6-5/8" REG Box</t>
        </is>
      </c>
      <c r="C1674" t="n">
        <v>0</v>
      </c>
      <c r="D1674" s="62" t="n">
        <v>12.25</v>
      </c>
      <c r="E1674" t="n">
        <v>2170</v>
      </c>
      <c r="T1674" t="n">
        <v>72</v>
      </c>
    </row>
    <row r="1675">
      <c r="A1675" t="n">
        <v>8711469</v>
      </c>
      <c r="B1675" t="inlineStr">
        <is>
          <t>NON MAG String Stab
4-1/2" IF Pin SRG x 4-1/2" IF Box BB</t>
        </is>
      </c>
      <c r="C1675" t="n">
        <v>300</v>
      </c>
      <c r="D1675" s="62" t="n">
        <v>8.3125</v>
      </c>
      <c r="E1675" t="n">
        <v>2135</v>
      </c>
      <c r="T1675" t="n">
        <v>33</v>
      </c>
    </row>
    <row r="1676">
      <c r="A1676" t="n">
        <v>7041470</v>
      </c>
      <c r="B1676" t="inlineStr">
        <is>
          <t>4-1/8" FS Overshot - CA 9105
2-3/8" REG Box</t>
        </is>
      </c>
      <c r="C1676" t="n">
        <v>0</v>
      </c>
      <c r="D1676" s="62" t="inlineStr">
        <is>
          <t>4-1/8" FS</t>
        </is>
      </c>
      <c r="E1676" t="n">
        <v>0</v>
      </c>
      <c r="T1676" t="n">
        <v>20</v>
      </c>
    </row>
    <row r="1677">
      <c r="A1677" t="n">
        <v>7051471</v>
      </c>
      <c r="B1677" t="inlineStr">
        <is>
          <t>Extension 4-1/8" FS Lg 914mm CA 9105
4-1/8" FS Sellers Pin x Box</t>
        </is>
      </c>
      <c r="C1677" t="n">
        <v>24.75227058104531</v>
      </c>
      <c r="D1677" s="62" t="inlineStr">
        <is>
          <t>4-1/8" FS</t>
        </is>
      </c>
      <c r="E1677" t="n">
        <v>914</v>
      </c>
      <c r="T1677" t="n">
        <v>11</v>
      </c>
    </row>
    <row r="1678">
      <c r="A1678" t="n">
        <v>7041472</v>
      </c>
      <c r="B1678" t="inlineStr">
        <is>
          <t>11-3/4" FS Overshot - CA C-5329
bowl</t>
        </is>
      </c>
      <c r="C1678" t="n">
        <v>0</v>
      </c>
      <c r="D1678" s="62" t="inlineStr">
        <is>
          <t>11-3/4" FS</t>
        </is>
      </c>
      <c r="E1678" t="n">
        <v>0</v>
      </c>
      <c r="T1678" t="n">
        <v>95</v>
      </c>
    </row>
    <row r="1679">
      <c r="A1679" t="n">
        <v>8081473</v>
      </c>
      <c r="B1679" t="inlineStr">
        <is>
          <t xml:space="preserve">Flex Collar 4-3/4" OD
3-1/2" IF Pin x Box
Set on : </t>
        </is>
      </c>
      <c r="C1679" t="n">
        <v>0</v>
      </c>
      <c r="D1679" s="62" t="n">
        <v>4.625</v>
      </c>
      <c r="E1679" t="n">
        <v>3400</v>
      </c>
      <c r="T1679" t="n">
        <v>25</v>
      </c>
      <c r="V1679" t="inlineStr">
        <is>
          <t>FR</t>
        </is>
      </c>
    </row>
    <row r="1680">
      <c r="A1680" t="n">
        <v>8081474</v>
      </c>
      <c r="B1680" t="inlineStr">
        <is>
          <t xml:space="preserve">Flex Collar 4-3/4" OD
3-1/2" IF Pin x Box
Set on : </t>
        </is>
      </c>
      <c r="C1680" t="n">
        <v>0</v>
      </c>
      <c r="D1680" s="62" t="n">
        <v>4.625</v>
      </c>
      <c r="E1680" t="n">
        <v>3400</v>
      </c>
      <c r="T1680" t="n">
        <v>26</v>
      </c>
      <c r="V1680" t="inlineStr">
        <is>
          <t>FR</t>
        </is>
      </c>
    </row>
    <row r="1681">
      <c r="A1681" t="n">
        <v>8081475</v>
      </c>
      <c r="B1681" t="inlineStr">
        <is>
          <t>Flex Collar 4-3/4" OD
3-1/2" IF Pin x Box</t>
        </is>
      </c>
      <c r="C1681" t="n">
        <v>0</v>
      </c>
      <c r="D1681" s="62" t="n">
        <v>4.625</v>
      </c>
      <c r="E1681" t="n">
        <v>3400</v>
      </c>
      <c r="T1681" t="n">
        <v>31</v>
      </c>
      <c r="V1681" t="inlineStr">
        <is>
          <t>FR</t>
        </is>
      </c>
    </row>
    <row r="1682">
      <c r="A1682" t="n">
        <v>8081476</v>
      </c>
      <c r="B1682" t="inlineStr">
        <is>
          <t xml:space="preserve">Flex Collar 6-5/8" OD
4-1/2" IF Pin x Box
Set on : </t>
        </is>
      </c>
      <c r="C1682" t="n">
        <v>380</v>
      </c>
      <c r="D1682" s="62" t="n">
        <v>6.625</v>
      </c>
      <c r="E1682" t="n">
        <v>3885</v>
      </c>
      <c r="T1682" t="n">
        <v>50</v>
      </c>
      <c r="V1682" t="inlineStr">
        <is>
          <t>FR</t>
        </is>
      </c>
    </row>
    <row r="1683">
      <c r="A1683" t="n">
        <v>8081477</v>
      </c>
      <c r="B1683" t="inlineStr">
        <is>
          <t xml:space="preserve">Flex Collar 6-5/8" OD
4-1/2" IF Pin x Box
Set on : </t>
        </is>
      </c>
      <c r="C1683" t="n">
        <v>380</v>
      </c>
      <c r="D1683" s="62" t="n">
        <v>6.625</v>
      </c>
      <c r="E1683" t="n">
        <v>3940</v>
      </c>
      <c r="T1683" t="n">
        <v>51</v>
      </c>
      <c r="V1683" t="inlineStr">
        <is>
          <t>FR</t>
        </is>
      </c>
    </row>
    <row r="1684">
      <c r="A1684" t="n">
        <v>8081478</v>
      </c>
      <c r="B1684" t="inlineStr">
        <is>
          <t xml:space="preserve">Flex Collar 8" OD
6-5/8" REG Pin x Box
Set on : </t>
        </is>
      </c>
      <c r="C1684" t="n">
        <v>550</v>
      </c>
      <c r="D1684" s="62" t="n">
        <v>8</v>
      </c>
      <c r="E1684" t="n">
        <v>2490</v>
      </c>
      <c r="T1684" t="n">
        <v>86</v>
      </c>
      <c r="V1684" t="inlineStr">
        <is>
          <t>FR</t>
        </is>
      </c>
    </row>
    <row r="1685">
      <c r="A1685" t="n">
        <v>8081479</v>
      </c>
      <c r="B1685" t="inlineStr">
        <is>
          <t xml:space="preserve">Flex Collar 8" OD
6-5/8" REG Pin x Box
Set on : </t>
        </is>
      </c>
      <c r="C1685" t="n">
        <v>550</v>
      </c>
      <c r="D1685" s="62" t="n">
        <v>8</v>
      </c>
      <c r="E1685" t="n">
        <v>2490</v>
      </c>
      <c r="T1685" t="n">
        <v>87</v>
      </c>
      <c r="V1685" t="inlineStr">
        <is>
          <t>FR</t>
        </is>
      </c>
    </row>
    <row r="1686">
      <c r="A1686" t="n">
        <v>8081480</v>
      </c>
      <c r="B1686" t="inlineStr">
        <is>
          <t xml:space="preserve">4-3/4" OD Saver Sub for DJ
3-1/2" IF Pin x Box
Set on : </t>
        </is>
      </c>
      <c r="C1686" t="n">
        <v>29.6273601</v>
      </c>
      <c r="D1686" s="62" t="n">
        <v>4.75</v>
      </c>
      <c r="E1686" t="n">
        <v>500</v>
      </c>
      <c r="T1686" t="n">
        <v>32</v>
      </c>
      <c r="V1686" t="inlineStr">
        <is>
          <t>FR</t>
        </is>
      </c>
    </row>
    <row r="1687">
      <c r="A1687" t="n">
        <v>8081481</v>
      </c>
      <c r="B1687" t="inlineStr">
        <is>
          <t xml:space="preserve">4-3/4" OD Saver Sub for DJ
3-1/2" IF Pin x Box
Set on : </t>
        </is>
      </c>
      <c r="C1687" t="n">
        <v>29.6273601</v>
      </c>
      <c r="D1687" s="62" t="n">
        <v>4.75</v>
      </c>
      <c r="E1687" t="n">
        <v>500</v>
      </c>
      <c r="T1687" t="n">
        <v>33</v>
      </c>
      <c r="V1687" t="inlineStr">
        <is>
          <t>FR</t>
        </is>
      </c>
    </row>
    <row r="1688">
      <c r="A1688" t="n">
        <v>8081482</v>
      </c>
      <c r="B1688" t="inlineStr">
        <is>
          <t xml:space="preserve">4-3/4" OD Saver Sub for DJ
3-1/2" IF Pin x Box
Set on : </t>
        </is>
      </c>
      <c r="C1688" t="n">
        <v>29.6273601</v>
      </c>
      <c r="D1688" s="62" t="n">
        <v>4.75</v>
      </c>
      <c r="E1688" t="n">
        <v>500</v>
      </c>
      <c r="T1688" t="n">
        <v>34</v>
      </c>
      <c r="V1688" t="inlineStr">
        <is>
          <t>FR</t>
        </is>
      </c>
    </row>
    <row r="1689">
      <c r="A1689" t="n">
        <v>8081483</v>
      </c>
      <c r="B1689" t="inlineStr">
        <is>
          <t xml:space="preserve">6-3/4" OD Saver Sub for DJ
4-1/2" IF Pin x Box
Set on : </t>
        </is>
      </c>
      <c r="C1689" t="n">
        <v>72.80429955239998</v>
      </c>
      <c r="D1689" s="62" t="n">
        <v>6.75</v>
      </c>
      <c r="E1689" t="n">
        <v>485</v>
      </c>
      <c r="T1689" t="n">
        <v>66</v>
      </c>
      <c r="V1689" t="inlineStr">
        <is>
          <t>FR</t>
        </is>
      </c>
    </row>
    <row r="1690">
      <c r="A1690" t="n">
        <v>8081484</v>
      </c>
      <c r="B1690" t="inlineStr">
        <is>
          <t xml:space="preserve">6-3/4" OD Saver Sub for DJ
4-1/2" IF Pin x Box
Set on : </t>
        </is>
      </c>
      <c r="C1690" t="n">
        <v>72.80429955239998</v>
      </c>
      <c r="D1690" s="62" t="n">
        <v>6.75</v>
      </c>
      <c r="E1690" t="n">
        <v>485</v>
      </c>
      <c r="T1690" t="n">
        <v>67</v>
      </c>
      <c r="V1690" t="inlineStr">
        <is>
          <t>FR</t>
        </is>
      </c>
    </row>
    <row r="1691">
      <c r="A1691" t="n">
        <v>8081485</v>
      </c>
      <c r="B1691" t="inlineStr">
        <is>
          <t>Saver Sub 8" OD for DJ
6-5/8" REG Pin x Box</t>
        </is>
      </c>
      <c r="C1691" t="n">
        <v>96.68395179300001</v>
      </c>
      <c r="D1691" s="62" t="n">
        <v>8</v>
      </c>
      <c r="E1691" t="n">
        <v>445</v>
      </c>
      <c r="T1691" t="n">
        <v>99</v>
      </c>
      <c r="V1691" t="inlineStr">
        <is>
          <t>FR</t>
        </is>
      </c>
    </row>
    <row r="1692">
      <c r="A1692" t="n">
        <v>8081486</v>
      </c>
      <c r="B1692" t="inlineStr">
        <is>
          <t xml:space="preserve">Saver Sub 8" OD for DJ
6-5/8" REG Pin x Box
Set on : </t>
        </is>
      </c>
      <c r="C1692" t="n">
        <v>130.36038444</v>
      </c>
      <c r="D1692" s="62" t="n">
        <v>8</v>
      </c>
      <c r="E1692" t="n">
        <v>600</v>
      </c>
      <c r="T1692" t="n">
        <v>100</v>
      </c>
      <c r="V1692" t="inlineStr">
        <is>
          <t>FR</t>
        </is>
      </c>
    </row>
    <row r="1693">
      <c r="A1693" t="n">
        <v>8131487</v>
      </c>
      <c r="B1693" t="inlineStr">
        <is>
          <t>XO
2-3/8" REG Pin x 2-7/8" EU Box</t>
        </is>
      </c>
      <c r="C1693" t="n">
        <v>0</v>
      </c>
      <c r="D1693" s="62" t="n">
        <v>3.625</v>
      </c>
      <c r="E1693" t="n">
        <v>400</v>
      </c>
      <c r="T1693" t="n">
        <v>52</v>
      </c>
      <c r="V1693" t="inlineStr">
        <is>
          <t>FR</t>
        </is>
      </c>
    </row>
    <row r="1694">
      <c r="A1694" t="n">
        <v>8131488</v>
      </c>
      <c r="B1694" t="inlineStr">
        <is>
          <t>XO
2-3/8" IF Pin x 2-7/8" EU Box</t>
        </is>
      </c>
      <c r="C1694" t="n">
        <v>0</v>
      </c>
      <c r="D1694" s="62" t="n">
        <v>3.625</v>
      </c>
      <c r="E1694" t="n">
        <v>400</v>
      </c>
      <c r="T1694" t="n">
        <v>32</v>
      </c>
      <c r="V1694" t="inlineStr">
        <is>
          <t>FR</t>
        </is>
      </c>
    </row>
    <row r="1695">
      <c r="A1695" t="n">
        <v>5121489</v>
      </c>
      <c r="B1695" t="inlineStr">
        <is>
          <t>WO Top Sub 
2-3/8" IF Box x 4-1/2" FJWP Pin x 2-3/8" REG Box in</t>
        </is>
      </c>
      <c r="C1695" t="n">
        <v>0</v>
      </c>
      <c r="D1695" s="62" t="n">
        <v>4.5</v>
      </c>
      <c r="E1695" t="n">
        <v>910</v>
      </c>
      <c r="T1695" t="n">
        <v>16</v>
      </c>
      <c r="V1695" t="inlineStr">
        <is>
          <t>FR</t>
        </is>
      </c>
    </row>
    <row r="1696">
      <c r="A1696" t="n">
        <v>5121490</v>
      </c>
      <c r="B1696" t="inlineStr">
        <is>
          <t>WO Top Sub 
2-3/8" IF Box x 4-1/2" FJWP Pin x 2-3/8" REG Box in</t>
        </is>
      </c>
      <c r="C1696" t="n">
        <v>0</v>
      </c>
      <c r="D1696" s="62" t="n">
        <v>4.5</v>
      </c>
      <c r="E1696" t="n">
        <v>910</v>
      </c>
      <c r="T1696" t="n">
        <v>17</v>
      </c>
      <c r="V1696" t="inlineStr">
        <is>
          <t>FR</t>
        </is>
      </c>
    </row>
    <row r="1697">
      <c r="A1697" t="n">
        <v>5021491</v>
      </c>
      <c r="B1697" t="inlineStr">
        <is>
          <t>Economill 
2-3/8" REG Pin</t>
        </is>
      </c>
      <c r="C1697" t="n">
        <v>0</v>
      </c>
      <c r="D1697" s="62" t="n">
        <v>3.75</v>
      </c>
      <c r="E1697" t="n">
        <v>350</v>
      </c>
      <c r="T1697" t="n">
        <v>8</v>
      </c>
      <c r="V1697" t="inlineStr">
        <is>
          <t>FR</t>
        </is>
      </c>
    </row>
    <row r="1698">
      <c r="A1698" t="n">
        <v>5021492</v>
      </c>
      <c r="B1698" t="inlineStr">
        <is>
          <t>Economill 
2-3/8" REG Pin</t>
        </is>
      </c>
      <c r="C1698" t="n">
        <v>0</v>
      </c>
      <c r="D1698" s="62" t="n">
        <v>3.75</v>
      </c>
      <c r="E1698" t="n">
        <v>350</v>
      </c>
      <c r="T1698" t="n">
        <v>9</v>
      </c>
      <c r="V1698" t="inlineStr">
        <is>
          <t>FR</t>
        </is>
      </c>
    </row>
    <row r="1699">
      <c r="A1699" t="n">
        <v>1493</v>
      </c>
      <c r="D1699" s="62" t="n"/>
    </row>
    <row r="1700">
      <c r="A1700" t="n">
        <v>1494</v>
      </c>
      <c r="D1700" s="62" t="n"/>
    </row>
    <row r="1701">
      <c r="A1701" t="n">
        <v>1495</v>
      </c>
      <c r="D1701" s="62" t="n"/>
    </row>
    <row r="1702">
      <c r="A1702" t="n">
        <v>1496</v>
      </c>
      <c r="D1702" s="62" t="n"/>
    </row>
    <row r="1703">
      <c r="A1703" t="n">
        <v>8711497</v>
      </c>
      <c r="B1703" t="inlineStr">
        <is>
          <t>NON MAG String Stab
0 x 0</t>
        </is>
      </c>
      <c r="C1703" t="n">
        <v>0</v>
      </c>
      <c r="D1703" s="62" t="n">
        <v>12.125</v>
      </c>
      <c r="E1703" t="n">
        <v>0</v>
      </c>
      <c r="T1703" t="n">
        <v>73</v>
      </c>
    </row>
    <row r="1704">
      <c r="A1704" t="n">
        <v>1498</v>
      </c>
      <c r="D1704" s="62" t="n"/>
    </row>
    <row r="1705">
      <c r="A1705" t="n">
        <v>1499</v>
      </c>
      <c r="D1705" s="62" t="n"/>
    </row>
    <row r="1706">
      <c r="A1706" t="n">
        <v>1500</v>
      </c>
      <c r="D1706" s="62" t="n"/>
    </row>
    <row r="1707">
      <c r="A1707" t="n">
        <v>1501</v>
      </c>
      <c r="D1707" s="62" t="n"/>
    </row>
    <row r="1708">
      <c r="A1708" t="n">
        <v>8711502</v>
      </c>
      <c r="B1708" t="inlineStr">
        <is>
          <t>NON MAG String Stab
marqué tordu et pin HS x 0</t>
        </is>
      </c>
      <c r="C1708" t="n">
        <v>0</v>
      </c>
      <c r="D1708" s="62" t="n">
        <v>17.5</v>
      </c>
      <c r="E1708" t="n">
        <v>0</v>
      </c>
      <c r="T1708" t="n">
        <v>97</v>
      </c>
    </row>
    <row r="1709">
      <c r="A1709" t="n">
        <v>8131503</v>
      </c>
      <c r="B1709" t="inlineStr">
        <is>
          <t>XO
2-3/8" IF Pin x 2-7/8" HT PAC Box</t>
        </is>
      </c>
      <c r="C1709" t="n">
        <v>42.69672932411251</v>
      </c>
      <c r="D1709" s="62" t="n">
        <v>3.75</v>
      </c>
      <c r="E1709" t="n">
        <v>915</v>
      </c>
      <c r="T1709" t="n">
        <v>33</v>
      </c>
    </row>
    <row r="1710">
      <c r="A1710" t="n">
        <v>8131504</v>
      </c>
      <c r="B1710" t="inlineStr">
        <is>
          <t>XO
2-3/8" IF Pin x 2-7/8" HT PAC Box</t>
        </is>
      </c>
      <c r="C1710" t="n">
        <v>42.69672932411251</v>
      </c>
      <c r="D1710" s="62" t="n">
        <v>3.75</v>
      </c>
      <c r="E1710" t="n">
        <v>915</v>
      </c>
      <c r="T1710" t="n">
        <v>34</v>
      </c>
    </row>
    <row r="1711">
      <c r="A1711" t="n">
        <v>8131505</v>
      </c>
      <c r="B1711" t="inlineStr">
        <is>
          <t>XO
7-5/8" REG Pin x 7-5/8" REG Pin</t>
        </is>
      </c>
      <c r="C1711" t="n">
        <v>350</v>
      </c>
      <c r="D1711" s="62" t="n">
        <v>9.5</v>
      </c>
      <c r="E1711" t="n">
        <v>875</v>
      </c>
      <c r="T1711" t="n">
        <v>232</v>
      </c>
      <c r="V1711" t="inlineStr">
        <is>
          <t>FR</t>
        </is>
      </c>
    </row>
    <row r="1712">
      <c r="A1712" t="n">
        <v>6081506</v>
      </c>
      <c r="B1712" t="inlineStr">
        <is>
          <t>Top NMDC Spiralé 6-1/2" OD x 2-13/16" ID
4-1/2" IF Pin x Box</t>
        </is>
      </c>
      <c r="C1712" t="n">
        <v>1192.39153020713</v>
      </c>
      <c r="D1712" s="62" t="n">
        <v>6.5</v>
      </c>
      <c r="E1712" t="n">
        <v>8790</v>
      </c>
      <c r="T1712" t="n">
        <v>25</v>
      </c>
    </row>
    <row r="1713">
      <c r="A1713" t="n">
        <v>8081507</v>
      </c>
      <c r="B1713" t="inlineStr">
        <is>
          <t xml:space="preserve">Saver Sub 8" OD for DJ
6-5/8" REG Pin x Box
Set on : </t>
        </is>
      </c>
      <c r="C1713" t="n">
        <v>212.9133199386375</v>
      </c>
      <c r="D1713" s="62" t="n">
        <v>8</v>
      </c>
      <c r="E1713" t="n">
        <v>955</v>
      </c>
      <c r="T1713" t="n">
        <v>98</v>
      </c>
      <c r="V1713" t="inlineStr">
        <is>
          <t>FR</t>
        </is>
      </c>
    </row>
    <row r="1714">
      <c r="A1714" t="n">
        <v>5041508</v>
      </c>
      <c r="B1714" t="inlineStr">
        <is>
          <t>Viper Pilot Mill
6-5/8" REG Pin x 4-1/2" REG Box</t>
        </is>
      </c>
      <c r="C1714" t="n">
        <v>0</v>
      </c>
      <c r="D1714" s="62" t="n">
        <v>11.25</v>
      </c>
      <c r="E1714" t="n">
        <v>1740</v>
      </c>
      <c r="T1714" t="n">
        <v>32</v>
      </c>
      <c r="V1714" t="inlineStr">
        <is>
          <t>FR</t>
        </is>
      </c>
    </row>
    <row r="1715">
      <c r="A1715" t="n">
        <v>5041509</v>
      </c>
      <c r="B1715" t="inlineStr">
        <is>
          <t>Viper Pilot Mill
6-5/8" REG Pin x 4-1/2" REG Box</t>
        </is>
      </c>
      <c r="C1715" t="n">
        <v>0</v>
      </c>
      <c r="D1715" s="62" t="n">
        <v>11.25</v>
      </c>
      <c r="E1715" t="n">
        <v>1740</v>
      </c>
      <c r="T1715" t="n">
        <v>33</v>
      </c>
      <c r="V1715" t="inlineStr">
        <is>
          <t>FR</t>
        </is>
      </c>
    </row>
    <row r="1716">
      <c r="A1716" t="n">
        <v>8061510</v>
      </c>
      <c r="B1716" t="inlineStr">
        <is>
          <t>Drill Collar 3-1/8" OD
2-3/8" REG Pin x Box</t>
        </is>
      </c>
      <c r="C1716" t="n">
        <v>297.347592803625</v>
      </c>
      <c r="D1716" s="62" t="n">
        <v>3.1875</v>
      </c>
      <c r="E1716" t="n">
        <v>9300</v>
      </c>
      <c r="T1716" t="n">
        <v>5</v>
      </c>
      <c r="V1716" t="inlineStr">
        <is>
          <t>FR</t>
        </is>
      </c>
    </row>
    <row r="1717">
      <c r="A1717" t="n">
        <v>8061511</v>
      </c>
      <c r="B1717" t="inlineStr">
        <is>
          <t>Drill Collar 3-1/8" OD
2-3/8" REG Pin x Box</t>
        </is>
      </c>
      <c r="C1717" t="n">
        <v>297.347592803625</v>
      </c>
      <c r="D1717" s="62" t="n">
        <v>3.1875</v>
      </c>
      <c r="E1717" t="n">
        <v>9300</v>
      </c>
      <c r="T1717" t="n">
        <v>6</v>
      </c>
      <c r="V1717" t="inlineStr">
        <is>
          <t>FR</t>
        </is>
      </c>
    </row>
    <row r="1718">
      <c r="A1718" t="n">
        <v>8061512</v>
      </c>
      <c r="B1718" t="inlineStr">
        <is>
          <t>Drill Collar 3-1/8" OD
2-3/8" REG Pin x Box</t>
        </is>
      </c>
      <c r="C1718" t="n">
        <v>297.347592803625</v>
      </c>
      <c r="D1718" s="62" t="n">
        <v>3.1875</v>
      </c>
      <c r="E1718" t="n">
        <v>9300</v>
      </c>
      <c r="T1718" t="n">
        <v>7</v>
      </c>
      <c r="V1718" t="inlineStr">
        <is>
          <t>FR</t>
        </is>
      </c>
    </row>
    <row r="1719">
      <c r="A1719" t="n">
        <v>8061513</v>
      </c>
      <c r="B1719" t="inlineStr">
        <is>
          <t>Drill Collar 3-1/8" OD
2-3/8" REG Pin x Box</t>
        </is>
      </c>
      <c r="C1719" t="n">
        <v>297.347592803625</v>
      </c>
      <c r="D1719" s="62" t="n">
        <v>3.1875</v>
      </c>
      <c r="E1719" t="n">
        <v>9300</v>
      </c>
      <c r="T1719" t="n">
        <v>8</v>
      </c>
      <c r="V1719" t="inlineStr">
        <is>
          <t>FR</t>
        </is>
      </c>
    </row>
    <row r="1720">
      <c r="A1720" t="n">
        <v>8061514</v>
      </c>
      <c r="B1720" t="inlineStr">
        <is>
          <t>Drill Collar 3-1/8" OD
2-3/8" REG Pin x Box</t>
        </is>
      </c>
      <c r="C1720" t="n">
        <v>297.347592803625</v>
      </c>
      <c r="D1720" s="62" t="n">
        <v>3.1875</v>
      </c>
      <c r="E1720" t="n">
        <v>9300</v>
      </c>
      <c r="T1720" t="n">
        <v>9</v>
      </c>
      <c r="V1720" t="inlineStr">
        <is>
          <t>FR</t>
        </is>
      </c>
    </row>
    <row r="1721">
      <c r="A1721" t="n">
        <v>8061515</v>
      </c>
      <c r="B1721" t="inlineStr">
        <is>
          <t>Drill Collar 3-1/8" OD
2-3/8" REG Pin x Box</t>
        </is>
      </c>
      <c r="C1721" t="n">
        <v>297.347592803625</v>
      </c>
      <c r="D1721" s="62" t="n">
        <v>3.1875</v>
      </c>
      <c r="E1721" t="n">
        <v>9300</v>
      </c>
      <c r="T1721" t="n">
        <v>10</v>
      </c>
      <c r="V1721" t="inlineStr">
        <is>
          <t>FR</t>
        </is>
      </c>
    </row>
    <row r="1722">
      <c r="A1722" t="n">
        <v>8061516</v>
      </c>
      <c r="B1722" t="inlineStr">
        <is>
          <t>Drill Collar 3-1/8" OD Lg U + D
2-3/8" REG Pin x Box</t>
        </is>
      </c>
      <c r="C1722" t="n">
        <v>313.33402252425</v>
      </c>
      <c r="D1722" s="62" t="n">
        <v>3.1875</v>
      </c>
      <c r="E1722" t="n">
        <v>9800</v>
      </c>
      <c r="T1722" t="n">
        <v>11</v>
      </c>
      <c r="V1722" t="inlineStr">
        <is>
          <t>FR</t>
        </is>
      </c>
    </row>
    <row r="1723">
      <c r="A1723" t="n">
        <v>8061517</v>
      </c>
      <c r="B1723" t="inlineStr">
        <is>
          <t>Drill Collar 3-1/8" OD Lg U + D
2-3/8" REG Pin x Box</t>
        </is>
      </c>
      <c r="C1723" t="n">
        <v>313.33402252425</v>
      </c>
      <c r="D1723" s="62" t="n">
        <v>3.1875</v>
      </c>
      <c r="E1723" t="n">
        <v>9800</v>
      </c>
      <c r="T1723" t="n">
        <v>12</v>
      </c>
      <c r="V1723" t="inlineStr">
        <is>
          <t>FR</t>
        </is>
      </c>
    </row>
    <row r="1724">
      <c r="A1724" t="n">
        <v>8061518</v>
      </c>
      <c r="B1724" t="inlineStr">
        <is>
          <t>Drill Collar 3-1/8" OD Lg U + D
2-3/8" REG Pin x Box</t>
        </is>
      </c>
      <c r="C1724" t="n">
        <v>313.33402252425</v>
      </c>
      <c r="D1724" s="62" t="n">
        <v>3.1875</v>
      </c>
      <c r="E1724" t="n">
        <v>9800</v>
      </c>
      <c r="T1724" t="n">
        <v>13</v>
      </c>
      <c r="V1724" t="inlineStr">
        <is>
          <t>FR</t>
        </is>
      </c>
    </row>
    <row r="1725">
      <c r="A1725" t="n">
        <v>8061519</v>
      </c>
      <c r="B1725" t="inlineStr">
        <is>
          <t>Drill Collar 3-1/8" OD Lg U + D
2-3/8" REG Pin x Box</t>
        </is>
      </c>
      <c r="C1725" t="n">
        <v>313.33402252425</v>
      </c>
      <c r="D1725" s="62" t="n">
        <v>3.1875</v>
      </c>
      <c r="E1725" t="n">
        <v>9800</v>
      </c>
      <c r="T1725" t="n">
        <v>14</v>
      </c>
      <c r="V1725" t="inlineStr">
        <is>
          <t>FR</t>
        </is>
      </c>
    </row>
    <row r="1726">
      <c r="A1726" t="n">
        <v>8041520</v>
      </c>
      <c r="B1726" t="inlineStr">
        <is>
          <t>Lift Sub 2-3/8" REG Pin
2-3/8" OD body for Elevator DP 18°</t>
        </is>
      </c>
      <c r="C1726" t="n">
        <v>0</v>
      </c>
      <c r="D1726" s="62" t="inlineStr">
        <is>
          <t>2-3/8"</t>
        </is>
      </c>
      <c r="E1726" t="n">
        <v>0</v>
      </c>
      <c r="T1726" t="n">
        <v>22</v>
      </c>
      <c r="V1726" t="inlineStr">
        <is>
          <t>FR</t>
        </is>
      </c>
    </row>
    <row r="1727">
      <c r="A1727" t="n">
        <v>8041521</v>
      </c>
      <c r="B1727" t="inlineStr">
        <is>
          <t>Lift Sub 2-3/8" REG Pin
2-3/8" OD body for Elevator DP 18°</t>
        </is>
      </c>
      <c r="C1727" t="n">
        <v>0</v>
      </c>
      <c r="D1727" s="62" t="inlineStr">
        <is>
          <t>2-3/8"</t>
        </is>
      </c>
      <c r="E1727" t="n">
        <v>0</v>
      </c>
      <c r="T1727" t="n">
        <v>23</v>
      </c>
      <c r="V1727" t="inlineStr">
        <is>
          <t>FR</t>
        </is>
      </c>
    </row>
    <row r="1728">
      <c r="A1728" t="n">
        <v>8131522</v>
      </c>
      <c r="B1728" t="inlineStr">
        <is>
          <t>XO
3-1/2" IF Pin x 4-3/4" FJWP Box</t>
        </is>
      </c>
      <c r="C1728" t="n">
        <v>0</v>
      </c>
      <c r="D1728" s="62" t="n">
        <v>4.75</v>
      </c>
      <c r="E1728" t="n">
        <v>0</v>
      </c>
      <c r="T1728" t="n">
        <v>131</v>
      </c>
      <c r="V1728" t="inlineStr">
        <is>
          <t>FR</t>
        </is>
      </c>
    </row>
    <row r="1729">
      <c r="A1729" t="n">
        <v>8131523</v>
      </c>
      <c r="B1729" t="inlineStr">
        <is>
          <t>XO
4-3/4" FJWP Pin x 3-1/2" IF Box</t>
        </is>
      </c>
      <c r="C1729" t="n">
        <v>0</v>
      </c>
      <c r="D1729" s="62" t="n">
        <v>4.75</v>
      </c>
      <c r="E1729" t="n">
        <v>0</v>
      </c>
      <c r="T1729" t="n">
        <v>189</v>
      </c>
      <c r="V1729" t="inlineStr">
        <is>
          <t>FR</t>
        </is>
      </c>
    </row>
    <row r="1730">
      <c r="A1730" t="n">
        <v>2011524</v>
      </c>
      <c r="B1730" t="inlineStr">
        <is>
          <t>HEC 4-11/16" OD
4-1/2" FJWP Box</t>
        </is>
      </c>
      <c r="C1730" t="n">
        <v>0</v>
      </c>
      <c r="D1730" s="62" t="n">
        <v>4.6875</v>
      </c>
      <c r="E1730" t="n">
        <v>0</v>
      </c>
      <c r="T1730" t="n">
        <v>5</v>
      </c>
    </row>
    <row r="1731">
      <c r="A1731" t="n">
        <v>6041525</v>
      </c>
      <c r="B1731" t="inlineStr">
        <is>
          <t>4-3/4" OD UBHO
3-1/2" IF Pin x Box</t>
        </is>
      </c>
      <c r="C1731" t="n">
        <v>45</v>
      </c>
      <c r="D1731" s="62" t="n">
        <v>4.75</v>
      </c>
      <c r="E1731" t="n">
        <v>765</v>
      </c>
      <c r="T1731" t="n">
        <v>13</v>
      </c>
      <c r="V1731" t="inlineStr">
        <is>
          <t>FR</t>
        </is>
      </c>
    </row>
    <row r="1732">
      <c r="A1732" t="n">
        <v>6041526</v>
      </c>
      <c r="B1732" t="inlineStr">
        <is>
          <t>4-3/4" OD UBHO
3-1/2" IF Pin x Box</t>
        </is>
      </c>
      <c r="C1732" t="n">
        <v>45</v>
      </c>
      <c r="D1732" s="62" t="n">
        <v>4.75</v>
      </c>
      <c r="E1732" t="n">
        <v>765</v>
      </c>
      <c r="T1732" t="n">
        <v>14</v>
      </c>
      <c r="V1732" t="inlineStr">
        <is>
          <t>FR</t>
        </is>
      </c>
    </row>
    <row r="1733">
      <c r="A1733" t="n">
        <v>6041527</v>
      </c>
      <c r="B1733" t="inlineStr">
        <is>
          <t>4-3/4" OD UBHO
3-1/2" IF Pin x Box</t>
        </is>
      </c>
      <c r="C1733" t="n">
        <v>45</v>
      </c>
      <c r="D1733" s="62" t="n">
        <v>4.75</v>
      </c>
      <c r="E1733" t="n">
        <v>765</v>
      </c>
      <c r="T1733" t="n">
        <v>15</v>
      </c>
      <c r="V1733" t="inlineStr">
        <is>
          <t>FR</t>
        </is>
      </c>
    </row>
    <row r="1734">
      <c r="A1734" t="n">
        <v>6041528</v>
      </c>
      <c r="B1734" t="inlineStr">
        <is>
          <t>4-3/4" OD UBHO
3-1/2" IF Pin x Box</t>
        </is>
      </c>
      <c r="C1734" t="n">
        <v>45</v>
      </c>
      <c r="D1734" s="62" t="n">
        <v>4.75</v>
      </c>
      <c r="E1734" t="n">
        <v>764</v>
      </c>
      <c r="T1734" t="n">
        <v>16</v>
      </c>
      <c r="V1734" t="inlineStr">
        <is>
          <t>FR</t>
        </is>
      </c>
    </row>
    <row r="1735">
      <c r="A1735" t="n">
        <v>6041529</v>
      </c>
      <c r="B1735" t="inlineStr">
        <is>
          <t>4-3/4" OD UBHO
3-1/2" IF Pin x Box</t>
        </is>
      </c>
      <c r="C1735" t="n">
        <v>45</v>
      </c>
      <c r="D1735" s="62" t="n">
        <v>4.75</v>
      </c>
      <c r="E1735" t="n">
        <v>764</v>
      </c>
      <c r="T1735" t="n">
        <v>17</v>
      </c>
      <c r="V1735" t="inlineStr">
        <is>
          <t>FR</t>
        </is>
      </c>
    </row>
    <row r="1736">
      <c r="A1736" t="n">
        <v>6041530</v>
      </c>
      <c r="B1736" t="inlineStr">
        <is>
          <t>4-3/4" OD UBHO
3-1/2" IF Pin x Box</t>
        </is>
      </c>
      <c r="C1736" t="n">
        <v>45</v>
      </c>
      <c r="D1736" s="62" t="n">
        <v>4.75</v>
      </c>
      <c r="E1736" t="n">
        <v>764</v>
      </c>
      <c r="T1736" t="n">
        <v>18</v>
      </c>
      <c r="V1736" t="inlineStr">
        <is>
          <t>FR</t>
        </is>
      </c>
    </row>
    <row r="1737">
      <c r="A1737" t="inlineStr">
        <is>
          <t xml:space="preserve"> - </t>
        </is>
      </c>
      <c r="B1737" t="inlineStr">
        <is>
          <t>Pony Collar 9-1/2"
7-5/8" REG Pin x Box</t>
        </is>
      </c>
      <c r="C1737" t="e">
        <v>#N/A</v>
      </c>
      <c r="D1737" s="62" t="e">
        <v>#N/A</v>
      </c>
      <c r="E1737" t="e">
        <v>#N/A</v>
      </c>
      <c r="T1737" t="e">
        <v>#N/A</v>
      </c>
    </row>
    <row r="1738">
      <c r="A1738" t="inlineStr">
        <is>
          <t xml:space="preserve"> - </t>
        </is>
      </c>
      <c r="B1738" t="inlineStr">
        <is>
          <t>Pony Collar 8"
6-5/8" REG Pin x Box</t>
        </is>
      </c>
      <c r="C1738" t="e">
        <v>#N/A</v>
      </c>
      <c r="D1738" s="62" t="e">
        <v>#N/A</v>
      </c>
      <c r="E1738" t="e">
        <v>#N/A</v>
      </c>
      <c r="T1738" t="e">
        <v>#N/A</v>
      </c>
    </row>
    <row r="1739">
      <c r="A1739" t="inlineStr">
        <is>
          <t xml:space="preserve"> - </t>
        </is>
      </c>
      <c r="B1739" t="inlineStr">
        <is>
          <t>Pony Collar 8"
6-5/8" REG Pin x Box</t>
        </is>
      </c>
      <c r="C1739" t="e">
        <v>#N/A</v>
      </c>
      <c r="D1739" s="62" t="e">
        <v>#N/A</v>
      </c>
      <c r="E1739" t="e">
        <v>#N/A</v>
      </c>
      <c r="T1739" t="e">
        <v>#N/A</v>
      </c>
    </row>
    <row r="1740">
      <c r="A1740" t="inlineStr">
        <is>
          <t xml:space="preserve"> - </t>
        </is>
      </c>
      <c r="B1740" t="inlineStr">
        <is>
          <t>Pony Collar 6-3/4"
4-1/2 IF Pin x Box</t>
        </is>
      </c>
      <c r="C1740" t="e">
        <v>#N/A</v>
      </c>
      <c r="D1740" s="62" t="e">
        <v>#N/A</v>
      </c>
      <c r="E1740" t="e">
        <v>#N/A</v>
      </c>
      <c r="T1740" t="e">
        <v>#N/A</v>
      </c>
    </row>
    <row r="1741">
      <c r="A1741" t="inlineStr">
        <is>
          <t xml:space="preserve"> - </t>
        </is>
      </c>
      <c r="B1741" t="inlineStr">
        <is>
          <t>Pony Collar 4-3/4"
3-1/2" IF Pin x Box</t>
        </is>
      </c>
      <c r="C1741" t="e">
        <v>#N/A</v>
      </c>
      <c r="D1741" s="62" t="e">
        <v>#N/A</v>
      </c>
      <c r="E1741" t="e">
        <v>#N/A</v>
      </c>
      <c r="T1741" t="e">
        <v>#N/A</v>
      </c>
    </row>
    <row r="1742">
      <c r="A1742" t="inlineStr">
        <is>
          <t xml:space="preserve"> - </t>
        </is>
      </c>
      <c r="B1742" t="inlineStr">
        <is>
          <t>Pony Collar 4-3/4"
3-1/2" IF Pin x Box</t>
        </is>
      </c>
      <c r="C1742" t="e">
        <v>#N/A</v>
      </c>
      <c r="D1742" s="62" t="e">
        <v>#N/A</v>
      </c>
      <c r="E1742" t="e">
        <v>#N/A</v>
      </c>
      <c r="T1742" t="e">
        <v>#N/A</v>
      </c>
    </row>
    <row r="1743">
      <c r="A1743" t="n">
        <v>8131537</v>
      </c>
      <c r="B1743" t="inlineStr">
        <is>
          <t>XO
4-1/2" REG Pin x 2-7/8" EU Box</t>
        </is>
      </c>
      <c r="C1743" t="n">
        <v>0</v>
      </c>
      <c r="D1743" s="62" t="n">
        <v>5.75</v>
      </c>
      <c r="E1743" t="n">
        <v>650</v>
      </c>
      <c r="T1743" t="n">
        <v>181</v>
      </c>
      <c r="V1743" t="inlineStr">
        <is>
          <t>FR</t>
        </is>
      </c>
    </row>
    <row r="1744">
      <c r="A1744" t="n">
        <v>8131538</v>
      </c>
      <c r="B1744" t="inlineStr">
        <is>
          <t>XO
4-1/2" IF Pin x 2-7/8" EU Box</t>
        </is>
      </c>
      <c r="C1744" t="n">
        <v>0</v>
      </c>
      <c r="D1744" s="62" t="n">
        <v>6.5</v>
      </c>
      <c r="E1744" t="n">
        <v>650</v>
      </c>
      <c r="T1744" t="n">
        <v>158</v>
      </c>
      <c r="V1744" t="inlineStr">
        <is>
          <t>FR</t>
        </is>
      </c>
    </row>
    <row r="1745">
      <c r="A1745" t="n">
        <v>1091539</v>
      </c>
      <c r="B1745" t="inlineStr">
        <is>
          <t>Junk Sub 5" OD cup 
3-1/2" REG Pin up x 3-1/2" REG Box down</t>
        </is>
      </c>
      <c r="C1745" t="n">
        <v>64</v>
      </c>
      <c r="D1745" s="62" t="n">
        <v>5</v>
      </c>
      <c r="E1745" t="n">
        <v>1200</v>
      </c>
      <c r="T1745" t="n">
        <v>52</v>
      </c>
      <c r="V1745" t="inlineStr">
        <is>
          <t>FR</t>
        </is>
      </c>
    </row>
    <row r="1746">
      <c r="A1746" t="n">
        <v>1091540</v>
      </c>
      <c r="B1746" t="inlineStr">
        <is>
          <t>Junk Sub 5" OD cup 
3-1/2" REG Pin up x 3-1/2" REG Box down</t>
        </is>
      </c>
      <c r="C1746" t="n">
        <v>64</v>
      </c>
      <c r="D1746" s="62" t="n">
        <v>5</v>
      </c>
      <c r="E1746" t="n">
        <v>1200</v>
      </c>
      <c r="T1746" t="n">
        <v>53</v>
      </c>
      <c r="V1746" t="inlineStr">
        <is>
          <t>FR</t>
        </is>
      </c>
    </row>
    <row r="1747">
      <c r="A1747" t="n">
        <v>8021541</v>
      </c>
      <c r="B1747" t="inlineStr">
        <is>
          <t>Bit Sub
4" IF Box x 4-1/2" IF Box</t>
        </is>
      </c>
      <c r="C1747" t="n">
        <v>95.48651265562499</v>
      </c>
      <c r="D1747" s="62" t="n">
        <v>6.5</v>
      </c>
      <c r="E1747" t="n">
        <v>650</v>
      </c>
      <c r="T1747" t="n">
        <v>42</v>
      </c>
      <c r="V1747" t="inlineStr">
        <is>
          <t>FR</t>
        </is>
      </c>
    </row>
    <row r="1748">
      <c r="A1748" t="n">
        <v>5091542</v>
      </c>
      <c r="B1748" t="inlineStr">
        <is>
          <t>WO Extension Lg 415 mm
7-5/8" FJWP Pin x Box</t>
        </is>
      </c>
      <c r="C1748" t="n">
        <v>17.82826394017498</v>
      </c>
      <c r="D1748" s="62" t="n">
        <v>7.625</v>
      </c>
      <c r="E1748" t="n">
        <v>415</v>
      </c>
      <c r="T1748" t="n">
        <v>75</v>
      </c>
    </row>
    <row r="1749">
      <c r="A1749" t="n">
        <v>5111543</v>
      </c>
      <c r="B1749" t="inlineStr">
        <is>
          <t>WO Shoe
5-3/4" FJWP Box</t>
        </is>
      </c>
      <c r="C1749" t="n">
        <v>26</v>
      </c>
      <c r="D1749" s="62" t="n">
        <v>6</v>
      </c>
      <c r="E1749" t="n">
        <v>780</v>
      </c>
      <c r="T1749" t="n">
        <v>129</v>
      </c>
    </row>
    <row r="1750">
      <c r="A1750" t="n">
        <v>8021544</v>
      </c>
      <c r="B1750" t="inlineStr">
        <is>
          <t>Bit Sub
4-1/2" IF Box x 4-1/2" IF Box</t>
        </is>
      </c>
      <c r="C1750" t="n">
        <v>89.067251300625</v>
      </c>
      <c r="D1750" s="62" t="n">
        <v>6.5</v>
      </c>
      <c r="E1750" t="n">
        <v>650</v>
      </c>
      <c r="T1750" t="n">
        <v>46</v>
      </c>
      <c r="V1750" t="inlineStr">
        <is>
          <t>FR</t>
        </is>
      </c>
    </row>
    <row r="1751">
      <c r="A1751" t="n">
        <v>8081545</v>
      </c>
      <c r="B1751" t="inlineStr">
        <is>
          <t>Capteur Sub 8" Lg 500mm
6-5/8" REG Pin x Box</t>
        </is>
      </c>
      <c r="C1751" t="n">
        <v>126.41006976</v>
      </c>
      <c r="D1751" s="62" t="n">
        <v>8</v>
      </c>
      <c r="E1751" t="n">
        <v>500</v>
      </c>
      <c r="T1751" t="n">
        <v>28</v>
      </c>
      <c r="V1751" t="inlineStr">
        <is>
          <t>FR</t>
        </is>
      </c>
    </row>
    <row r="1752">
      <c r="A1752" t="n">
        <v>7041546</v>
      </c>
      <c r="B1752" t="inlineStr">
        <is>
          <t>3-3/4" SH Overshot - CA C1827
2-3/8" IF Box</t>
        </is>
      </c>
      <c r="C1752" t="n">
        <v>16</v>
      </c>
      <c r="D1752" s="62" t="inlineStr">
        <is>
          <t>3-3/4" SH</t>
        </is>
      </c>
      <c r="E1752" t="n">
        <v>775</v>
      </c>
      <c r="T1752" t="n">
        <v>8</v>
      </c>
    </row>
    <row r="1753">
      <c r="A1753" t="n">
        <v>7041547</v>
      </c>
      <c r="B1753" t="inlineStr">
        <is>
          <t>4-1/4" FS Overshot - CA C-4822
2-7/8" REG Box</t>
        </is>
      </c>
      <c r="C1753" t="n">
        <v>29</v>
      </c>
      <c r="D1753" s="62" t="inlineStr">
        <is>
          <t>4-1/4" FS</t>
        </is>
      </c>
      <c r="E1753" t="n">
        <v>890</v>
      </c>
      <c r="T1753" t="n">
        <v>22</v>
      </c>
    </row>
    <row r="1754">
      <c r="A1754" t="n">
        <v>7041548</v>
      </c>
      <c r="B1754" t="inlineStr">
        <is>
          <t>5" SH Overshot - CA C-5428
2-7/8" IF Box</t>
        </is>
      </c>
      <c r="C1754" t="n">
        <v>36</v>
      </c>
      <c r="D1754" s="62" t="inlineStr">
        <is>
          <t>5" SH</t>
        </is>
      </c>
      <c r="E1754" t="n">
        <v>1025</v>
      </c>
      <c r="T1754" t="n">
        <v>28</v>
      </c>
    </row>
    <row r="1755">
      <c r="A1755" t="n">
        <v>7041549</v>
      </c>
      <c r="B1755" t="inlineStr">
        <is>
          <t>5" SH Overshot - CA C-5428
3-1/2" IF Box</t>
        </is>
      </c>
      <c r="C1755" t="n">
        <v>44</v>
      </c>
      <c r="D1755" s="62" t="inlineStr">
        <is>
          <t>5" SH</t>
        </is>
      </c>
      <c r="E1755" t="n">
        <v>1080</v>
      </c>
      <c r="T1755" t="n">
        <v>29</v>
      </c>
    </row>
    <row r="1756">
      <c r="A1756" t="n">
        <v>7041550</v>
      </c>
      <c r="B1756" t="inlineStr">
        <is>
          <t>5-9/16" FS Overshot - CA 5896
2-7/8" IF Box</t>
        </is>
      </c>
      <c r="C1756" t="n">
        <v>38</v>
      </c>
      <c r="D1756" s="62" t="inlineStr">
        <is>
          <t>5-9/16" FS</t>
        </is>
      </c>
      <c r="E1756" t="n">
        <v>910</v>
      </c>
      <c r="T1756" t="n">
        <v>31</v>
      </c>
    </row>
    <row r="1757">
      <c r="A1757" t="n">
        <v>7041551</v>
      </c>
      <c r="B1757" t="inlineStr">
        <is>
          <t>6-1/16" FS Overshot - CA C-4829
3-1/2" IF Box</t>
        </is>
      </c>
      <c r="C1757" t="n">
        <v>46</v>
      </c>
      <c r="D1757" s="62" t="inlineStr">
        <is>
          <t>6-1/16" FS</t>
        </is>
      </c>
      <c r="E1757" t="n">
        <v>1000</v>
      </c>
      <c r="T1757" t="n">
        <v>44</v>
      </c>
    </row>
    <row r="1758">
      <c r="A1758" t="n">
        <v>7041552</v>
      </c>
      <c r="B1758" t="inlineStr">
        <is>
          <t>7-5/8" SH Overshot - CA 9860
4-1/2" IF Box</t>
        </is>
      </c>
      <c r="C1758" t="n">
        <v>98</v>
      </c>
      <c r="D1758" s="62" t="inlineStr">
        <is>
          <t>7-5/8" SH</t>
        </is>
      </c>
      <c r="E1758" t="n">
        <v>1210</v>
      </c>
      <c r="T1758" t="n">
        <v>47</v>
      </c>
    </row>
    <row r="1759">
      <c r="A1759" t="n">
        <v>7041553</v>
      </c>
      <c r="B1759" t="inlineStr">
        <is>
          <t>7-5/8" SH Overshot - CA 9860
4-1/2" IF Box</t>
        </is>
      </c>
      <c r="C1759" t="n">
        <v>0</v>
      </c>
      <c r="D1759" s="62" t="inlineStr">
        <is>
          <t>7-5/8" SH</t>
        </is>
      </c>
      <c r="E1759" t="n">
        <v>1120</v>
      </c>
      <c r="T1759" t="n">
        <v>49</v>
      </c>
    </row>
    <row r="1760">
      <c r="A1760" t="n">
        <v>7041554</v>
      </c>
      <c r="B1760" t="inlineStr">
        <is>
          <t>8-7/8" FS Overshot - CA C-5352
4-1/2" IF Box</t>
        </is>
      </c>
      <c r="C1760" t="n">
        <v>124</v>
      </c>
      <c r="D1760" s="62" t="inlineStr">
        <is>
          <t>8-7/8" FS</t>
        </is>
      </c>
      <c r="E1760" t="n">
        <v>1180</v>
      </c>
      <c r="T1760" t="n">
        <v>75</v>
      </c>
    </row>
    <row r="1761">
      <c r="A1761" t="n">
        <v>7041555</v>
      </c>
      <c r="B1761" t="inlineStr">
        <is>
          <t>9-1/8" SH Overshot - CA C-5265
6-5/8" REG Box</t>
        </is>
      </c>
      <c r="C1761" t="n">
        <v>158</v>
      </c>
      <c r="D1761" s="62" t="inlineStr">
        <is>
          <t>9-1/8" SH</t>
        </is>
      </c>
      <c r="E1761" t="n">
        <v>1270</v>
      </c>
      <c r="T1761" t="n">
        <v>77</v>
      </c>
    </row>
    <row r="1762">
      <c r="A1762" t="n">
        <v>7041556</v>
      </c>
      <c r="B1762" t="inlineStr">
        <is>
          <t>9-3/8" FS Overshot - CA 1665
4-1/2" IF Box</t>
        </is>
      </c>
      <c r="C1762" t="n">
        <v>124</v>
      </c>
      <c r="D1762" s="62" t="inlineStr">
        <is>
          <t>9-3/8" FS</t>
        </is>
      </c>
      <c r="E1762" t="n">
        <v>1210</v>
      </c>
      <c r="T1762" t="n">
        <v>79</v>
      </c>
    </row>
    <row r="1763">
      <c r="A1763" t="n">
        <v>7041557</v>
      </c>
      <c r="B1763" t="inlineStr">
        <is>
          <t>10-5/8" FS Overshot - CA C-5321
6-5/8" REG Box</t>
        </is>
      </c>
      <c r="C1763" t="n">
        <v>186</v>
      </c>
      <c r="D1763" s="62" t="inlineStr">
        <is>
          <t>10-5/8" FS</t>
        </is>
      </c>
      <c r="E1763" t="n">
        <v>1260</v>
      </c>
      <c r="T1763" t="n">
        <v>85</v>
      </c>
    </row>
    <row r="1764">
      <c r="A1764" t="n">
        <v>7051558</v>
      </c>
      <c r="B1764" t="inlineStr">
        <is>
          <t>Extension 5" SH Lg 840mm CA C-5428
5" SH Sellers Pin x Box</t>
        </is>
      </c>
      <c r="C1764" t="n">
        <v>34.99731911812501</v>
      </c>
      <c r="D1764" s="62" t="inlineStr">
        <is>
          <t>5" SH</t>
        </is>
      </c>
      <c r="E1764" t="n">
        <v>840</v>
      </c>
      <c r="T1764" t="n">
        <v>19</v>
      </c>
    </row>
    <row r="1765">
      <c r="A1765" t="n">
        <v>7051559</v>
      </c>
      <c r="B1765" t="inlineStr">
        <is>
          <t>Extension 7-3/4" SFS Lg 830mm CA 9163
7-3/4" SFS Sellers Pin x Box</t>
        </is>
      </c>
      <c r="C1765" t="n">
        <v>73.92581857951878</v>
      </c>
      <c r="D1765" s="62" t="inlineStr">
        <is>
          <t>7-3/4" SFS</t>
        </is>
      </c>
      <c r="E1765" t="n">
        <v>830</v>
      </c>
      <c r="T1765" t="n">
        <v>36</v>
      </c>
    </row>
    <row r="1766">
      <c r="A1766" t="n">
        <v>7051560</v>
      </c>
      <c r="B1766" t="inlineStr">
        <is>
          <t>Extension 7-3/4" SFS Lg 650mm CA 9163
7-3/4" SFS Sellers Pin x Box</t>
        </is>
      </c>
      <c r="C1766" t="n">
        <v>66.80043847546872</v>
      </c>
      <c r="D1766" s="62" t="inlineStr">
        <is>
          <t>7-3/4" SFS</t>
        </is>
      </c>
      <c r="E1766" t="n">
        <v>650</v>
      </c>
      <c r="T1766" t="n">
        <v>37</v>
      </c>
    </row>
    <row r="1767">
      <c r="A1767" t="n">
        <v>7051561</v>
      </c>
      <c r="B1767" t="inlineStr">
        <is>
          <t>Extension 7-5/8" SH Lg 835mm CA 9860
7-5/8" SH Sellers Pin x Box</t>
        </is>
      </c>
      <c r="C1767" t="n">
        <v>75.71117564387806</v>
      </c>
      <c r="D1767" s="62" t="inlineStr">
        <is>
          <t>7-5/8" SH</t>
        </is>
      </c>
      <c r="E1767" t="n">
        <v>835</v>
      </c>
      <c r="T1767" t="n">
        <v>32</v>
      </c>
    </row>
    <row r="1768">
      <c r="A1768" t="n">
        <v>7051562</v>
      </c>
      <c r="B1768" t="inlineStr">
        <is>
          <t>Extension 8-7/8" FS Lg 825mm CA 0
8-7/8" FS Sellers Pin x Box</t>
        </is>
      </c>
      <c r="C1768" t="n">
        <v>110.9463623432227</v>
      </c>
      <c r="D1768" s="62" t="inlineStr">
        <is>
          <t>8-7/8" FS</t>
        </is>
      </c>
      <c r="E1768" t="n">
        <v>825</v>
      </c>
      <c r="T1768" t="n">
        <v>54</v>
      </c>
    </row>
    <row r="1769">
      <c r="A1769" t="n">
        <v>7051563</v>
      </c>
      <c r="B1769" t="inlineStr">
        <is>
          <t>Extension 9-1/8" SH Lg 915mm CA C-5265
9-1/8" SH Sellers Pin x Box</t>
        </is>
      </c>
      <c r="C1769" t="n">
        <v>79.06801726687496</v>
      </c>
      <c r="D1769" s="62" t="inlineStr">
        <is>
          <t>9-1/8" SH</t>
        </is>
      </c>
      <c r="E1769" t="n">
        <v>915</v>
      </c>
      <c r="T1769" t="n">
        <v>56</v>
      </c>
    </row>
    <row r="1770">
      <c r="A1770" t="n">
        <v>7051564</v>
      </c>
      <c r="B1770" t="inlineStr">
        <is>
          <t>Extension 9-3/8" FS Lg 795mm CA C-1500
9-3/8" FS Sellers Pin x Box</t>
        </is>
      </c>
      <c r="C1770" t="n">
        <v>93.42988007535001</v>
      </c>
      <c r="D1770" s="62" t="inlineStr">
        <is>
          <t>9-3/8" FS</t>
        </is>
      </c>
      <c r="E1770" t="n">
        <v>795</v>
      </c>
      <c r="T1770" t="n">
        <v>58</v>
      </c>
    </row>
    <row r="1771">
      <c r="A1771" t="n">
        <v>7051565</v>
      </c>
      <c r="B1771" t="inlineStr">
        <is>
          <t>Extension 9-3/8" FS Lg 795mm CA C-1500
9-3/8" FS Sellers Pin x Box</t>
        </is>
      </c>
      <c r="C1771" t="n">
        <v>93.42988007535001</v>
      </c>
      <c r="D1771" s="62" t="inlineStr">
        <is>
          <t>9-3/8" FS</t>
        </is>
      </c>
      <c r="E1771" t="n">
        <v>795</v>
      </c>
      <c r="T1771" t="n">
        <v>59</v>
      </c>
    </row>
    <row r="1772">
      <c r="A1772" t="n">
        <v>7091566</v>
      </c>
      <c r="B1772" t="inlineStr">
        <is>
          <t>Taper Tap 8" OD to catch from 1-1/2" to 2-1/4" 
Lg catch 460mm
2-3/8" IF Box</t>
        </is>
      </c>
      <c r="C1772" t="n">
        <v>8</v>
      </c>
      <c r="D1772" s="62" t="n">
        <v>3.375</v>
      </c>
      <c r="E1772" t="n">
        <v>570</v>
      </c>
      <c r="T1772" t="n">
        <v>7</v>
      </c>
    </row>
    <row r="1773">
      <c r="A1773" t="n">
        <v>7091567</v>
      </c>
      <c r="B1773" t="inlineStr">
        <is>
          <t>Taper Tap 4-1/4" OD to catch from 1-1/4" to 3-3/8"
Lg catch 415mm
2-7/8" IF Box</t>
        </is>
      </c>
      <c r="C1773" t="n">
        <v>20</v>
      </c>
      <c r="D1773" s="62" t="n">
        <v>4.25</v>
      </c>
      <c r="E1773" t="n">
        <v>620</v>
      </c>
      <c r="T1773" t="n">
        <v>13</v>
      </c>
    </row>
    <row r="1774">
      <c r="A1774" t="n">
        <v>7091568</v>
      </c>
      <c r="B1774" t="inlineStr">
        <is>
          <t>Taper Tap 5-1/2" OD to catch from 1-3/4"  to 3-1/8"
Lg catch 525mm
4-1/2" REG Box</t>
        </is>
      </c>
      <c r="C1774" t="n">
        <v>36</v>
      </c>
      <c r="D1774" s="62" t="n">
        <v>5.5</v>
      </c>
      <c r="E1774" t="n">
        <v>815</v>
      </c>
      <c r="T1774" t="n">
        <v>20</v>
      </c>
    </row>
    <row r="1775">
      <c r="A1775" t="n">
        <v>7091569</v>
      </c>
      <c r="B1775" t="inlineStr">
        <is>
          <t>Taper Tap 6" OD to catch from 1-1/2" to 3-3/4"
Lg catch 540mm
4" IF Box</t>
        </is>
      </c>
      <c r="C1775" t="n">
        <v>34</v>
      </c>
      <c r="D1775" s="62" t="n">
        <v>6</v>
      </c>
      <c r="E1775" t="n">
        <v>710</v>
      </c>
      <c r="T1775" t="n">
        <v>23</v>
      </c>
    </row>
    <row r="1776">
      <c r="A1776" t="n">
        <v>7091570</v>
      </c>
      <c r="B1776" t="inlineStr">
        <is>
          <t>Taper Tap 6" OD to catch from 2-3/4" to 4-5/8"
Lg catch 580mm
4-1/2" IF Box</t>
        </is>
      </c>
      <c r="C1776" t="n">
        <v>40</v>
      </c>
      <c r="D1776" s="62" t="n">
        <v>6</v>
      </c>
      <c r="E1776" t="n">
        <v>730</v>
      </c>
      <c r="T1776" t="n">
        <v>24</v>
      </c>
    </row>
    <row r="1777">
      <c r="A1777" t="n">
        <v>7091571</v>
      </c>
      <c r="B1777" t="inlineStr">
        <is>
          <t>Taper Tap 6-1/8" OD to catch from 2" to 3-7/8"
Lg catch 495mm
4-1/2" IF Box</t>
        </is>
      </c>
      <c r="C1777" t="n">
        <v>64</v>
      </c>
      <c r="D1777" s="62" t="n">
        <v>6.125</v>
      </c>
      <c r="E1777" t="n">
        <v>895</v>
      </c>
      <c r="T1777" t="n">
        <v>25</v>
      </c>
    </row>
    <row r="1778">
      <c r="A1778" t="n">
        <v>7091572</v>
      </c>
      <c r="B1778" t="inlineStr">
        <is>
          <t>Taper Tap 6-3/16" OD to catch from 2-3/8" to 4"
Lg catch 810mm
4-1/2" IF Box</t>
        </is>
      </c>
      <c r="C1778" t="n">
        <v>48</v>
      </c>
      <c r="D1778" s="62" t="n">
        <v>6.1875</v>
      </c>
      <c r="E1778" t="n">
        <v>1000</v>
      </c>
      <c r="T1778" t="n">
        <v>27</v>
      </c>
    </row>
    <row r="1779">
      <c r="A1779" t="n">
        <v>7091573</v>
      </c>
      <c r="B1779" t="inlineStr">
        <is>
          <t>Taper Tap 6-3/16" OD to catch from 2" to 3-7/8"
Lg catch 390mm
4-1/2" IF Box</t>
        </is>
      </c>
      <c r="C1779" t="n">
        <v>38</v>
      </c>
      <c r="D1779" s="62" t="n">
        <v>6.1875</v>
      </c>
      <c r="E1779" t="n">
        <v>610</v>
      </c>
      <c r="T1779" t="n">
        <v>28</v>
      </c>
    </row>
    <row r="1780">
      <c r="A1780" t="n">
        <v>7091574</v>
      </c>
      <c r="B1780" t="inlineStr">
        <is>
          <t>Taper Tap 6-3/8" OD to catch from 1-3/4" to 3-1/4""
Lg catch 660mm
4-1/2" IF Box</t>
        </is>
      </c>
      <c r="C1780" t="n">
        <v>32</v>
      </c>
      <c r="D1780" s="62" t="n">
        <v>6.375</v>
      </c>
      <c r="E1780" t="n">
        <v>820</v>
      </c>
      <c r="T1780" t="n">
        <v>31</v>
      </c>
    </row>
    <row r="1781">
      <c r="A1781" t="n">
        <v>7091575</v>
      </c>
      <c r="B1781" t="inlineStr">
        <is>
          <t>Taper Tap 6-1/2" OD to catch form 2-5/8" to 4"
Lg catch 600mm
4" IF Box</t>
        </is>
      </c>
      <c r="C1781" t="n">
        <v>66</v>
      </c>
      <c r="D1781" s="62" t="n">
        <v>6.5</v>
      </c>
      <c r="E1781" t="n">
        <v>890</v>
      </c>
      <c r="T1781" t="n">
        <v>32</v>
      </c>
    </row>
    <row r="1782">
      <c r="A1782" t="n">
        <v>7091576</v>
      </c>
      <c r="B1782" t="inlineStr">
        <is>
          <t>Taper Tap 6-3/4" OD to catch form 2-1/4" to 4"
Lg catch 640mm
4" IF Box</t>
        </is>
      </c>
      <c r="C1782" t="n">
        <v>50</v>
      </c>
      <c r="D1782" s="62" t="n">
        <v>6.75</v>
      </c>
      <c r="E1782" t="n">
        <v>860</v>
      </c>
      <c r="T1782" t="n">
        <v>33</v>
      </c>
    </row>
    <row r="1783">
      <c r="A1783" t="n">
        <v>7091577</v>
      </c>
      <c r="B1783" t="inlineStr">
        <is>
          <t>Taper Tap 7-3/4" OD to catch from 2-7/8" to 4-1/2"
Lg catch 760mm
6-5/8" REG Box</t>
        </is>
      </c>
      <c r="C1783" t="n">
        <v>76</v>
      </c>
      <c r="D1783" s="62" t="n">
        <v>7.75</v>
      </c>
      <c r="E1783" t="n">
        <v>1020</v>
      </c>
      <c r="T1783" t="n">
        <v>34</v>
      </c>
    </row>
    <row r="1784">
      <c r="A1784" t="n">
        <v>7091578</v>
      </c>
      <c r="B1784" t="inlineStr">
        <is>
          <t>Taper Tap 4-3/4" OD to catch from 1-5/8" to 2-7/8"" 
Lg catch 420mm
3-1/2" REG Pin</t>
        </is>
      </c>
      <c r="C1784" t="n">
        <v>20</v>
      </c>
      <c r="D1784" s="62" t="n">
        <v>4.75</v>
      </c>
      <c r="E1784" t="n">
        <v>550</v>
      </c>
      <c r="T1784" t="n">
        <v>16</v>
      </c>
    </row>
    <row r="1785">
      <c r="A1785" t="n">
        <v>7091579</v>
      </c>
      <c r="B1785" t="inlineStr">
        <is>
          <t>Taper Tap 4-3/4" to catch from 3" to 4-1/2"
Lg catch 680mm
3-1/2" IF Box</t>
        </is>
      </c>
      <c r="C1785" t="n">
        <v>50</v>
      </c>
      <c r="D1785" s="62" t="n">
        <v>4.75</v>
      </c>
      <c r="E1785" t="n">
        <v>840</v>
      </c>
      <c r="T1785" t="n">
        <v>17</v>
      </c>
    </row>
    <row r="1786">
      <c r="A1786" t="n">
        <v>7101580</v>
      </c>
      <c r="B1786" t="inlineStr">
        <is>
          <t>Packer Retriever Tool PR 325 388 - SN 5455
3-1/8" PRT Box</t>
        </is>
      </c>
      <c r="C1786" t="n">
        <v>34</v>
      </c>
      <c r="D1786" s="62" t="inlineStr">
        <is>
          <t>PR325388</t>
        </is>
      </c>
      <c r="E1786" t="n">
        <v>930</v>
      </c>
      <c r="T1786" t="n">
        <v>6</v>
      </c>
    </row>
    <row r="1787">
      <c r="A1787" t="n">
        <v>7101581</v>
      </c>
      <c r="B1787" t="inlineStr">
        <is>
          <t>Packer Retriever Tool PR 325 388 - SN 5457
3-1/8" PRT Box</t>
        </is>
      </c>
      <c r="C1787" t="n">
        <v>50</v>
      </c>
      <c r="D1787" s="62" t="inlineStr">
        <is>
          <t>PR400488</t>
        </is>
      </c>
      <c r="E1787" t="n">
        <v>1040</v>
      </c>
      <c r="T1787" t="n">
        <v>7</v>
      </c>
    </row>
    <row r="1788">
      <c r="A1788" t="n">
        <v>7101582</v>
      </c>
      <c r="B1788" t="inlineStr">
        <is>
          <t>Packer Retriever Tool PR 475 600 - SN 5458
4-1/4" PRT Box</t>
        </is>
      </c>
      <c r="C1788" t="n">
        <v>88</v>
      </c>
      <c r="D1788" s="62" t="inlineStr">
        <is>
          <t>PR475600</t>
        </is>
      </c>
      <c r="E1788" t="n">
        <v>1260</v>
      </c>
      <c r="T1788" t="n">
        <v>8</v>
      </c>
    </row>
    <row r="1789">
      <c r="A1789" t="n">
        <v>7101583</v>
      </c>
      <c r="B1789" t="inlineStr">
        <is>
          <t>Slick Bore Packer Retriever Tool PR 475 600 - SN 5461
4-1/4" PRT Box</t>
        </is>
      </c>
      <c r="C1789" t="n">
        <v>530</v>
      </c>
      <c r="D1789" s="62" t="inlineStr">
        <is>
          <t>PRS475600</t>
        </is>
      </c>
      <c r="E1789" t="n">
        <v>1920</v>
      </c>
      <c r="T1789" t="n">
        <v>11</v>
      </c>
    </row>
    <row r="1790">
      <c r="A1790" t="n">
        <v>8011584</v>
      </c>
      <c r="B1790" t="inlineStr">
        <is>
          <t>Bull Nose 3-3/4" OD
2-7/8" REG Box</t>
        </is>
      </c>
      <c r="C1790" t="n">
        <v>10</v>
      </c>
      <c r="D1790" s="62" t="n">
        <v>3.75</v>
      </c>
      <c r="E1790" t="n">
        <v>200</v>
      </c>
      <c r="T1790" t="n">
        <v>8</v>
      </c>
    </row>
    <row r="1791">
      <c r="A1791" t="n">
        <v>8011585</v>
      </c>
      <c r="B1791" t="inlineStr">
        <is>
          <t>Bull Nose 4-3/4" OD
3-1/2" IF Box</t>
        </is>
      </c>
      <c r="C1791" t="n">
        <v>10</v>
      </c>
      <c r="D1791" s="62" t="n">
        <v>4.75</v>
      </c>
      <c r="E1791" t="n">
        <v>230</v>
      </c>
      <c r="T1791" t="n">
        <v>9</v>
      </c>
    </row>
    <row r="1792">
      <c r="A1792" t="n">
        <v>8011586</v>
      </c>
      <c r="B1792" t="inlineStr">
        <is>
          <t>Bull Nose 5" OD
3-1/2" IF Box</t>
        </is>
      </c>
      <c r="C1792" t="n">
        <v>32</v>
      </c>
      <c r="D1792" s="62" t="n">
        <v>5</v>
      </c>
      <c r="E1792" t="n">
        <v>430</v>
      </c>
      <c r="T1792" t="n">
        <v>10</v>
      </c>
    </row>
    <row r="1793">
      <c r="A1793" t="n">
        <v>8011587</v>
      </c>
      <c r="B1793" t="inlineStr">
        <is>
          <t>Bull Nose 5" OD
3-1/2" IF Box</t>
        </is>
      </c>
      <c r="C1793" t="n">
        <v>36</v>
      </c>
      <c r="D1793" s="62" t="n">
        <v>5</v>
      </c>
      <c r="E1793" t="n">
        <v>470</v>
      </c>
      <c r="T1793" t="n">
        <v>11</v>
      </c>
    </row>
    <row r="1794">
      <c r="A1794" t="n">
        <v>8011588</v>
      </c>
      <c r="B1794" t="inlineStr">
        <is>
          <t>Bull Nose 8-5/8" OD
4-1/2" IF Box</t>
        </is>
      </c>
      <c r="C1794" t="n">
        <v>92</v>
      </c>
      <c r="D1794" s="62" t="n">
        <v>8.625</v>
      </c>
      <c r="E1794" t="n">
        <v>600</v>
      </c>
      <c r="T1794" t="n">
        <v>19</v>
      </c>
    </row>
    <row r="1795">
      <c r="A1795" t="n">
        <v>8011589</v>
      </c>
      <c r="B1795" t="inlineStr">
        <is>
          <t>Bull Nose 8-1/8" OD
4-1/2" REG Pin</t>
        </is>
      </c>
      <c r="C1795" t="n">
        <v>104</v>
      </c>
      <c r="D1795" s="62" t="n">
        <v>8.125</v>
      </c>
      <c r="E1795" t="n">
        <v>660</v>
      </c>
      <c r="T1795" t="n">
        <v>20</v>
      </c>
    </row>
    <row r="1796">
      <c r="A1796" t="n">
        <v>8011590</v>
      </c>
      <c r="B1796" t="inlineStr">
        <is>
          <t>Bull Nose 8-1/4" OD
6-5/8" REG Pin</t>
        </is>
      </c>
      <c r="C1796" t="n">
        <v>84</v>
      </c>
      <c r="D1796" s="62" t="n">
        <v>8.125</v>
      </c>
      <c r="E1796" t="n">
        <v>350</v>
      </c>
      <c r="T1796" t="n">
        <v>24</v>
      </c>
    </row>
    <row r="1797">
      <c r="A1797" t="n">
        <v>8011591</v>
      </c>
      <c r="B1797" t="inlineStr">
        <is>
          <t>Bull Nose 10-1/4" OD
6-5/8" REG Pin</t>
        </is>
      </c>
      <c r="C1797" t="n">
        <v>192</v>
      </c>
      <c r="D1797" s="62" t="n">
        <v>10.25</v>
      </c>
      <c r="E1797" t="n">
        <v>640</v>
      </c>
      <c r="T1797" t="n">
        <v>25</v>
      </c>
    </row>
    <row r="1798">
      <c r="A1798" t="n">
        <v>8011592</v>
      </c>
      <c r="B1798" t="inlineStr">
        <is>
          <t>Bull Nose 9-5/8" OD
7-5/8" REG Pin</t>
        </is>
      </c>
      <c r="C1798" t="n">
        <v>260</v>
      </c>
      <c r="D1798" s="62" t="n">
        <v>9.625</v>
      </c>
      <c r="E1798" t="n">
        <v>800</v>
      </c>
      <c r="T1798" t="n">
        <v>26</v>
      </c>
    </row>
    <row r="1799">
      <c r="A1799" t="n">
        <v>8081593</v>
      </c>
      <c r="B1799" t="inlineStr">
        <is>
          <t>Short DC 6-3/4" Lg 3840mm
4-1/2" IF Pin x Box</t>
        </is>
      </c>
      <c r="C1799" t="n">
        <v>565.7640684695999</v>
      </c>
      <c r="D1799" s="62" t="n">
        <v>6.75</v>
      </c>
      <c r="E1799" t="n">
        <v>3840</v>
      </c>
      <c r="T1799" t="n">
        <v>21</v>
      </c>
    </row>
    <row r="1800">
      <c r="A1800" t="n">
        <v>8081594</v>
      </c>
      <c r="B1800" t="inlineStr">
        <is>
          <t>Short DC 7-7/8" Lg 2000mm
6-5/8" REG Pin x Box</t>
        </is>
      </c>
      <c r="C1800" t="n">
        <v>449.9655315187499</v>
      </c>
      <c r="D1800" s="62" t="n">
        <v>7.875</v>
      </c>
      <c r="E1800" t="n">
        <v>2000</v>
      </c>
      <c r="T1800" t="n">
        <v>25</v>
      </c>
    </row>
    <row r="1801">
      <c r="A1801" t="n">
        <v>8131595</v>
      </c>
      <c r="B1801" t="inlineStr">
        <is>
          <t>XO
1-1/2" ? Pin x 2-3/8" REG Box</t>
        </is>
      </c>
      <c r="C1801" t="n">
        <v>13.117513684275</v>
      </c>
      <c r="D1801" s="62" t="n">
        <v>3.125</v>
      </c>
      <c r="E1801" t="n">
        <v>345</v>
      </c>
      <c r="T1801" t="n">
        <v>7</v>
      </c>
    </row>
    <row r="1802">
      <c r="A1802" t="n">
        <v>8131596</v>
      </c>
      <c r="B1802" t="inlineStr">
        <is>
          <t>XO
1-1/4" REG Pin x 1,660" CS FJWP Box</t>
        </is>
      </c>
      <c r="C1802" t="n">
        <v>0</v>
      </c>
      <c r="D1802" s="62" t="n">
        <v>0</v>
      </c>
      <c r="E1802" t="n">
        <v>200</v>
      </c>
      <c r="T1802" t="n">
        <v>8</v>
      </c>
    </row>
    <row r="1803">
      <c r="A1803" t="n">
        <v>8021597</v>
      </c>
      <c r="B1803" t="inlineStr">
        <is>
          <t>Bit Sub
1-1/4" REG Box x 2-3/8" IF Box</t>
        </is>
      </c>
      <c r="C1803" t="n">
        <v>9.138188880843751</v>
      </c>
      <c r="D1803" s="62" t="n">
        <v>3.4375</v>
      </c>
      <c r="E1803" t="n">
        <v>200</v>
      </c>
      <c r="T1803" t="n">
        <v>7</v>
      </c>
    </row>
    <row r="1804">
      <c r="A1804" t="n">
        <v>8021598</v>
      </c>
      <c r="B1804" t="inlineStr">
        <is>
          <t>Bit Sub
2-7/8" EU Box x 3-1/2" EU Box</t>
        </is>
      </c>
      <c r="C1804" t="n">
        <v>18.91907544302344</v>
      </c>
      <c r="D1804" s="62" t="n">
        <v>4.5</v>
      </c>
      <c r="E1804" t="n">
        <v>350</v>
      </c>
      <c r="T1804" t="n">
        <v>29</v>
      </c>
    </row>
    <row r="1805">
      <c r="A1805" t="n">
        <v>8111599</v>
      </c>
      <c r="B1805" t="inlineStr">
        <is>
          <t>String Stab
7-5/8" REG Pin SRG x 7-5/8" REG Box BB</t>
        </is>
      </c>
      <c r="C1805" t="n">
        <v>758</v>
      </c>
      <c r="D1805" s="62" t="n">
        <v>12.25</v>
      </c>
      <c r="E1805" t="n">
        <v>2180</v>
      </c>
      <c r="T1805" t="n">
        <v>70</v>
      </c>
    </row>
    <row r="1806">
      <c r="A1806" t="n">
        <v>8111600</v>
      </c>
      <c r="B1806" t="inlineStr">
        <is>
          <t>String Stab
0 x 0</t>
        </is>
      </c>
      <c r="C1806" t="n">
        <v>0</v>
      </c>
      <c r="D1806" s="62" t="n">
        <v>6.5</v>
      </c>
      <c r="E1806" t="n">
        <v>0</v>
      </c>
      <c r="T1806" t="n">
        <v>21</v>
      </c>
    </row>
    <row r="1807">
      <c r="A1807" t="n">
        <v>8111601</v>
      </c>
      <c r="B1807" t="inlineStr">
        <is>
          <t>String Stab
7-5/8" REG Pin x 7-5/8" REG Box</t>
        </is>
      </c>
      <c r="C1807" t="n">
        <v>676</v>
      </c>
      <c r="D1807" s="62" t="n">
        <v>12.125</v>
      </c>
      <c r="E1807" t="n">
        <v>2000</v>
      </c>
      <c r="T1807" t="n">
        <v>67</v>
      </c>
    </row>
    <row r="1808">
      <c r="A1808" t="n">
        <v>8131602</v>
      </c>
      <c r="B1808" t="inlineStr">
        <is>
          <t>XO w/ Slot Capteur
7-5/8" REG Pin x 7-5/8" REG Box</t>
        </is>
      </c>
      <c r="C1808" t="n">
        <v>178.257949935</v>
      </c>
      <c r="D1808" s="62" t="n">
        <v>9.5</v>
      </c>
      <c r="E1808" t="n">
        <v>500</v>
      </c>
      <c r="T1808" t="n">
        <v>225</v>
      </c>
      <c r="V1808" t="inlineStr">
        <is>
          <t>FR</t>
        </is>
      </c>
    </row>
    <row r="1809">
      <c r="A1809" t="inlineStr">
        <is>
          <t>Cabine n°3</t>
        </is>
      </c>
      <c r="B1809" t="inlineStr">
        <is>
          <t>Cabine de chantier n°3 (Container RJMU 013370-5)</t>
        </is>
      </c>
      <c r="C1809" t="n">
        <v>2500</v>
      </c>
      <c r="D1809" s="62" t="n"/>
      <c r="E1809" t="inlineStr">
        <is>
          <t>20ft</t>
        </is>
      </c>
      <c r="T1809" t="n">
        <v>7</v>
      </c>
    </row>
    <row r="1810">
      <c r="A1810" t="n">
        <v>5111604</v>
      </c>
      <c r="B1810" t="inlineStr">
        <is>
          <t>WO Shoe
4-1/2" FJWP Box</t>
        </is>
      </c>
      <c r="C1810" t="n">
        <v>11.752186173</v>
      </c>
      <c r="D1810" s="62" t="n">
        <v>4.75</v>
      </c>
      <c r="E1810" t="n">
        <v>700</v>
      </c>
      <c r="T1810" t="n">
        <v>58</v>
      </c>
      <c r="V1810" t="inlineStr">
        <is>
          <t>FR</t>
        </is>
      </c>
    </row>
    <row r="1811">
      <c r="A1811" t="n">
        <v>5111605</v>
      </c>
      <c r="B1811" t="inlineStr">
        <is>
          <t>WO Shoe
4-1/2" FJWP Box</t>
        </is>
      </c>
      <c r="C1811" t="n">
        <v>11.752186173</v>
      </c>
      <c r="D1811" s="62" t="n">
        <v>4.75</v>
      </c>
      <c r="E1811" t="n">
        <v>700</v>
      </c>
      <c r="T1811" t="n">
        <v>59</v>
      </c>
      <c r="V1811" t="inlineStr">
        <is>
          <t>FR</t>
        </is>
      </c>
    </row>
    <row r="1812">
      <c r="A1812" t="n">
        <v>5111606</v>
      </c>
      <c r="B1812" t="inlineStr">
        <is>
          <t>WO Shoe
4-1/2" FJWP Box</t>
        </is>
      </c>
      <c r="C1812" t="n">
        <v>11.752186173</v>
      </c>
      <c r="D1812" s="62" t="inlineStr">
        <is>
          <t xml:space="preserve">flush </t>
        </is>
      </c>
      <c r="E1812" t="n">
        <v>700</v>
      </c>
      <c r="T1812" t="n">
        <v>60</v>
      </c>
      <c r="V1812" t="inlineStr">
        <is>
          <t>FR</t>
        </is>
      </c>
    </row>
    <row r="1813">
      <c r="A1813" t="n">
        <v>5111607</v>
      </c>
      <c r="B1813" t="inlineStr">
        <is>
          <t>WO Shoe
4-1/2" FJWP Box</t>
        </is>
      </c>
      <c r="C1813" t="n">
        <v>11.752186173</v>
      </c>
      <c r="D1813" s="62" t="inlineStr">
        <is>
          <t xml:space="preserve">flush </t>
        </is>
      </c>
      <c r="E1813" t="n">
        <v>700</v>
      </c>
      <c r="T1813" t="n">
        <v>61</v>
      </c>
      <c r="V1813" t="inlineStr">
        <is>
          <t>FR</t>
        </is>
      </c>
    </row>
    <row r="1814">
      <c r="A1814" t="n">
        <v>5111608</v>
      </c>
      <c r="B1814" t="inlineStr">
        <is>
          <t>WO Shoe
4-1/2" FJWP Box</t>
        </is>
      </c>
      <c r="C1814" t="n">
        <v>11.752186173</v>
      </c>
      <c r="D1814" s="62" t="inlineStr">
        <is>
          <t xml:space="preserve">flush </t>
        </is>
      </c>
      <c r="E1814" t="n">
        <v>700</v>
      </c>
      <c r="T1814" t="n">
        <v>62</v>
      </c>
      <c r="V1814" t="inlineStr">
        <is>
          <t>FR</t>
        </is>
      </c>
    </row>
    <row r="1815">
      <c r="A1815" t="n">
        <v>5111609</v>
      </c>
      <c r="B1815" t="inlineStr">
        <is>
          <t>WO Shoe
4-1/2" FJWP Box</t>
        </is>
      </c>
      <c r="C1815" t="n">
        <v>11.752186173</v>
      </c>
      <c r="D1815" s="62" t="inlineStr">
        <is>
          <t xml:space="preserve">flush </t>
        </is>
      </c>
      <c r="E1815" t="n">
        <v>700</v>
      </c>
      <c r="T1815" t="n">
        <v>63</v>
      </c>
      <c r="V1815" t="inlineStr">
        <is>
          <t>FR</t>
        </is>
      </c>
    </row>
    <row r="1816">
      <c r="A1816" t="n">
        <v>5111610</v>
      </c>
      <c r="B1816" t="inlineStr">
        <is>
          <t>WO Shoe
4-1/2" FJWP Box</t>
        </is>
      </c>
      <c r="C1816" t="n">
        <v>11.752186173</v>
      </c>
      <c r="D1816" s="62" t="inlineStr">
        <is>
          <t xml:space="preserve">flush </t>
        </is>
      </c>
      <c r="E1816" t="n">
        <v>700</v>
      </c>
      <c r="T1816" t="n">
        <v>64</v>
      </c>
      <c r="V1816" t="inlineStr">
        <is>
          <t>FR</t>
        </is>
      </c>
    </row>
    <row r="1817">
      <c r="A1817" t="n">
        <v>5111611</v>
      </c>
      <c r="B1817" t="inlineStr">
        <is>
          <t>WO Shoe
4-1/2" FJWP Box</t>
        </is>
      </c>
      <c r="C1817" t="n">
        <v>11.752186173</v>
      </c>
      <c r="D1817" s="62" t="n">
        <v>4.75</v>
      </c>
      <c r="E1817" t="n">
        <v>700</v>
      </c>
      <c r="T1817" t="n">
        <v>65</v>
      </c>
      <c r="V1817" t="inlineStr">
        <is>
          <t>FR</t>
        </is>
      </c>
    </row>
    <row r="1818">
      <c r="A1818" t="n">
        <v>5111612</v>
      </c>
      <c r="B1818" t="inlineStr">
        <is>
          <t>WO Shoe
4-1/2" FJWP Box</t>
        </is>
      </c>
      <c r="C1818" t="n">
        <v>11.752186173</v>
      </c>
      <c r="D1818" s="62" t="n">
        <v>4.75</v>
      </c>
      <c r="E1818" t="n">
        <v>700</v>
      </c>
      <c r="T1818" t="n">
        <v>66</v>
      </c>
      <c r="V1818" t="inlineStr">
        <is>
          <t>FR</t>
        </is>
      </c>
    </row>
    <row r="1819">
      <c r="A1819" t="n">
        <v>5111613</v>
      </c>
      <c r="B1819" t="inlineStr">
        <is>
          <t>WO Shoe
4-1/2" FJWP Box</t>
        </is>
      </c>
      <c r="C1819" t="n">
        <v>11.752186173</v>
      </c>
      <c r="D1819" s="62" t="n">
        <v>4.75</v>
      </c>
      <c r="E1819" t="n">
        <v>700</v>
      </c>
      <c r="T1819" t="n">
        <v>67</v>
      </c>
      <c r="V1819" t="inlineStr">
        <is>
          <t>FR</t>
        </is>
      </c>
    </row>
    <row r="1820">
      <c r="A1820" t="n">
        <v>5111614</v>
      </c>
      <c r="B1820" t="inlineStr">
        <is>
          <t>WO Shoe
4-1/2" FJWP Box</t>
        </is>
      </c>
      <c r="C1820" t="n">
        <v>9.233860564500002</v>
      </c>
      <c r="D1820" s="62" t="n">
        <v>4.75</v>
      </c>
      <c r="E1820" t="n">
        <v>550</v>
      </c>
      <c r="T1820" t="n">
        <v>68</v>
      </c>
      <c r="V1820" t="inlineStr">
        <is>
          <t>FR</t>
        </is>
      </c>
    </row>
    <row r="1821">
      <c r="A1821" t="n">
        <v>5111615</v>
      </c>
      <c r="B1821" t="inlineStr">
        <is>
          <t>WO Shoe
4-1/2" FJWP Box</t>
        </is>
      </c>
      <c r="C1821" t="n">
        <v>11.752186173</v>
      </c>
      <c r="D1821" s="62" t="inlineStr">
        <is>
          <t xml:space="preserve">flush </t>
        </is>
      </c>
      <c r="E1821" t="n">
        <v>700</v>
      </c>
      <c r="T1821" t="n">
        <v>69</v>
      </c>
      <c r="V1821" t="inlineStr">
        <is>
          <t>FR</t>
        </is>
      </c>
    </row>
    <row r="1822">
      <c r="A1822" t="n">
        <v>5111616</v>
      </c>
      <c r="B1822" t="inlineStr">
        <is>
          <t>WO Shoe
4-1/2" FJWP Box</t>
        </is>
      </c>
      <c r="C1822" t="n">
        <v>11.752186173</v>
      </c>
      <c r="D1822" s="62" t="inlineStr">
        <is>
          <t xml:space="preserve">flush </t>
        </is>
      </c>
      <c r="E1822" t="n">
        <v>700</v>
      </c>
      <c r="T1822" t="n">
        <v>70</v>
      </c>
      <c r="V1822" t="inlineStr">
        <is>
          <t>FR</t>
        </is>
      </c>
    </row>
    <row r="1823">
      <c r="A1823" t="n">
        <v>5111617</v>
      </c>
      <c r="B1823" t="inlineStr">
        <is>
          <t>WO Shoe
4-1/2" FJWP Box</t>
        </is>
      </c>
      <c r="C1823" t="n">
        <v>11.752186173</v>
      </c>
      <c r="D1823" s="62" t="inlineStr">
        <is>
          <t xml:space="preserve">flush </t>
        </is>
      </c>
      <c r="E1823" t="n">
        <v>700</v>
      </c>
      <c r="T1823" t="n">
        <v>71</v>
      </c>
      <c r="V1823" t="inlineStr">
        <is>
          <t>FR</t>
        </is>
      </c>
    </row>
    <row r="1824">
      <c r="A1824" t="n">
        <v>5111618</v>
      </c>
      <c r="B1824" t="inlineStr">
        <is>
          <t>WO Shoe
4-1/2" FJWP Box</t>
        </is>
      </c>
      <c r="C1824" t="n">
        <v>11.752186173</v>
      </c>
      <c r="D1824" s="62" t="inlineStr">
        <is>
          <t xml:space="preserve">flush </t>
        </is>
      </c>
      <c r="E1824" t="n">
        <v>700</v>
      </c>
      <c r="T1824" t="n">
        <v>72</v>
      </c>
      <c r="V1824" t="inlineStr">
        <is>
          <t>FR</t>
        </is>
      </c>
    </row>
    <row r="1825">
      <c r="A1825" t="n">
        <v>5111619</v>
      </c>
      <c r="B1825" t="inlineStr">
        <is>
          <t>WO Shoe
4-1/2" FJWP Box</t>
        </is>
      </c>
      <c r="C1825" t="n">
        <v>11.752186173</v>
      </c>
      <c r="D1825" s="62" t="n">
        <v>0</v>
      </c>
      <c r="E1825" t="n">
        <v>700</v>
      </c>
      <c r="T1825" t="n">
        <v>73</v>
      </c>
      <c r="V1825" t="inlineStr">
        <is>
          <t>FR</t>
        </is>
      </c>
    </row>
    <row r="1826">
      <c r="A1826" t="n">
        <v>5111620</v>
      </c>
      <c r="B1826" t="inlineStr">
        <is>
          <t>WO Shoe
4-1/2" FJWP Box</t>
        </is>
      </c>
      <c r="C1826" t="n">
        <v>11.752186173</v>
      </c>
      <c r="D1826" s="62" t="inlineStr">
        <is>
          <t xml:space="preserve">flush </t>
        </is>
      </c>
      <c r="E1826" t="n">
        <v>700</v>
      </c>
      <c r="T1826" t="n">
        <v>74</v>
      </c>
      <c r="V1826" t="inlineStr">
        <is>
          <t>FR</t>
        </is>
      </c>
    </row>
    <row r="1827">
      <c r="A1827" t="n">
        <v>5141621</v>
      </c>
      <c r="B1827" t="inlineStr">
        <is>
          <t>Elevator for 8-1/8" OD 90° 
WW Side Door 100T</t>
        </is>
      </c>
      <c r="C1827" t="n">
        <v>0</v>
      </c>
      <c r="D1827" s="62" t="inlineStr">
        <is>
          <t>for 8-1/8" OD</t>
        </is>
      </c>
      <c r="E1827" t="inlineStr">
        <is>
          <t>90°</t>
        </is>
      </c>
      <c r="T1827" t="n">
        <v>10</v>
      </c>
    </row>
    <row r="1828">
      <c r="A1828" t="n">
        <v>8041622</v>
      </c>
      <c r="B1828" t="inlineStr">
        <is>
          <t>Lift Sub 2-3/8" IF Pin
2-3/8" OD body for Elevator DP 18°</t>
        </is>
      </c>
      <c r="C1828" t="n">
        <v>0</v>
      </c>
      <c r="D1828" s="62" t="inlineStr">
        <is>
          <t>2-3/8"</t>
        </is>
      </c>
      <c r="E1828" t="n">
        <v>0</v>
      </c>
      <c r="T1828" t="n">
        <v>18</v>
      </c>
      <c r="V1828" t="inlineStr">
        <is>
          <t>FR</t>
        </is>
      </c>
    </row>
    <row r="1829">
      <c r="A1829" t="n">
        <v>8041623</v>
      </c>
      <c r="B1829" t="inlineStr">
        <is>
          <t>Lift Sub 2-3/8" IF Pin
2-3/8" OD body for Elevator DP 18°</t>
        </is>
      </c>
      <c r="C1829" t="n">
        <v>0</v>
      </c>
      <c r="D1829" s="62" t="inlineStr">
        <is>
          <t>2-3/8"</t>
        </is>
      </c>
      <c r="E1829" t="n">
        <v>0</v>
      </c>
      <c r="T1829" t="n">
        <v>19</v>
      </c>
      <c r="V1829" t="inlineStr">
        <is>
          <t>FR</t>
        </is>
      </c>
    </row>
    <row r="1830">
      <c r="A1830" t="n">
        <v>8041624</v>
      </c>
      <c r="B1830" t="inlineStr">
        <is>
          <t>Lift Sub 2-3/8" IF Pin
2-3/8" OD body for Elevator DP 18°</t>
        </is>
      </c>
      <c r="C1830" t="n">
        <v>0</v>
      </c>
      <c r="D1830" s="62" t="inlineStr">
        <is>
          <t>2-3/8"</t>
        </is>
      </c>
      <c r="E1830" t="n">
        <v>0</v>
      </c>
      <c r="T1830" t="n">
        <v>20</v>
      </c>
      <c r="V1830" t="inlineStr">
        <is>
          <t>FR</t>
        </is>
      </c>
    </row>
    <row r="1831">
      <c r="A1831" t="n">
        <v>8041625</v>
      </c>
      <c r="B1831" t="inlineStr">
        <is>
          <t>Lift Sub 2-3/8" IF Pin
2-3/8" OD body for Elevator DP 18°</t>
        </is>
      </c>
      <c r="C1831" t="n">
        <v>0</v>
      </c>
      <c r="D1831" s="62" t="inlineStr">
        <is>
          <t>2-3/8"</t>
        </is>
      </c>
      <c r="E1831" t="n">
        <v>0</v>
      </c>
      <c r="T1831" t="n">
        <v>21</v>
      </c>
      <c r="V1831" t="inlineStr">
        <is>
          <t>FR</t>
        </is>
      </c>
    </row>
    <row r="1832">
      <c r="A1832" t="n">
        <v>7041626</v>
      </c>
      <c r="B1832" t="inlineStr">
        <is>
          <t>4-1/8" FS Overshot - CA C-9105
2-3/8" REG Box</t>
        </is>
      </c>
      <c r="C1832" t="n">
        <v>0</v>
      </c>
      <c r="D1832" s="62" t="inlineStr">
        <is>
          <t>4-1/8" FS</t>
        </is>
      </c>
      <c r="E1832" t="n">
        <v>0</v>
      </c>
      <c r="T1832" t="n">
        <v>19</v>
      </c>
    </row>
    <row r="1833">
      <c r="A1833" t="n">
        <v>7051627</v>
      </c>
      <c r="B1833" t="inlineStr">
        <is>
          <t>Extension 4-1/8" FS Lg 914mm CA 9105
4-1/8" FS Sellers Pin x Box</t>
        </is>
      </c>
      <c r="C1833" t="n">
        <v>24.75227058104531</v>
      </c>
      <c r="D1833" s="62" t="inlineStr">
        <is>
          <t>4-1/8" FS</t>
        </is>
      </c>
      <c r="E1833" t="n">
        <v>914</v>
      </c>
      <c r="T1833" t="n">
        <v>12</v>
      </c>
    </row>
    <row r="1834">
      <c r="A1834" t="n">
        <v>7041628</v>
      </c>
      <c r="B1834" t="inlineStr">
        <is>
          <t>3-7/8" XSH Overshot - CA C-21300
2-3/8" REG Box</t>
        </is>
      </c>
      <c r="C1834" t="n">
        <v>18</v>
      </c>
      <c r="D1834" s="62" t="inlineStr">
        <is>
          <t>3-7/8" XSH</t>
        </is>
      </c>
      <c r="E1834" t="n">
        <v>822</v>
      </c>
      <c r="T1834" t="n">
        <v>14</v>
      </c>
    </row>
    <row r="1835">
      <c r="A1835" t="n">
        <v>7051629</v>
      </c>
      <c r="B1835" t="inlineStr">
        <is>
          <t>Extension 3-7/8" XSH Lg 914mm CA 21300
3-7/8" XSH Sellers Pin x Box</t>
        </is>
      </c>
      <c r="C1835" t="n">
        <v>11.55105960448781</v>
      </c>
      <c r="D1835" s="62" t="inlineStr">
        <is>
          <t>3-7/8" XSH</t>
        </is>
      </c>
      <c r="E1835" t="n">
        <v>914</v>
      </c>
      <c r="T1835" t="n">
        <v>7</v>
      </c>
    </row>
    <row r="1836">
      <c r="A1836" t="n">
        <v>7051630</v>
      </c>
      <c r="B1836" t="inlineStr">
        <is>
          <t>Extension 3-7/8" XSH Lg 600mm CA 21300
3-7/8" XSH Sellers Pin x Box</t>
        </is>
      </c>
      <c r="C1836" t="n">
        <v>7.582752475593749</v>
      </c>
      <c r="D1836" s="62" t="inlineStr">
        <is>
          <t>3-7/8" XSH</t>
        </is>
      </c>
      <c r="E1836" t="n">
        <v>600</v>
      </c>
      <c r="T1836" t="n">
        <v>8</v>
      </c>
    </row>
    <row r="1837">
      <c r="A1837" t="n">
        <v>7051631</v>
      </c>
      <c r="B1837" t="inlineStr">
        <is>
          <t>Extension 4-1/8" FS Lg 914mm CA 9105
4-1/8" FS Sellers Pin x Box</t>
        </is>
      </c>
      <c r="C1837" t="n">
        <v>24.75227058104531</v>
      </c>
      <c r="D1837" s="62" t="inlineStr">
        <is>
          <t>4-1/8" FS</t>
        </is>
      </c>
      <c r="E1837" t="n">
        <v>914</v>
      </c>
      <c r="T1837" t="n">
        <v>13</v>
      </c>
    </row>
    <row r="1838">
      <c r="A1838" t="n">
        <v>16</v>
      </c>
      <c r="B1838" t="inlineStr">
        <is>
          <t>Loading Basket 4160mm x 1170mm L</t>
        </is>
      </c>
      <c r="C1838" t="n">
        <v>460</v>
      </c>
      <c r="D1838" s="62" t="n">
        <v>1170</v>
      </c>
      <c r="E1838" t="n">
        <v>4160</v>
      </c>
      <c r="T1838" t="n">
        <v>7</v>
      </c>
      <c r="V1838" t="inlineStr">
        <is>
          <t>FR</t>
        </is>
      </c>
      <c r="W1838" t="n">
        <v>86090090</v>
      </c>
    </row>
    <row r="1839">
      <c r="A1839" t="n">
        <v>17</v>
      </c>
      <c r="B1839" t="inlineStr">
        <is>
          <t>Loading Basket 4160mm x 1170mm L</t>
        </is>
      </c>
      <c r="C1839" t="n">
        <v>460</v>
      </c>
      <c r="D1839" s="62" t="n">
        <v>1170</v>
      </c>
      <c r="E1839" t="n">
        <v>4160</v>
      </c>
      <c r="T1839" t="n">
        <v>8</v>
      </c>
      <c r="V1839" t="inlineStr">
        <is>
          <t>FR</t>
        </is>
      </c>
      <c r="W1839" t="n">
        <v>86090090</v>
      </c>
    </row>
    <row r="1840">
      <c r="A1840" t="n">
        <v>18</v>
      </c>
      <c r="B1840" t="inlineStr">
        <is>
          <t>Loading Basket 4160mm x 1170mm L</t>
        </is>
      </c>
      <c r="C1840" t="n">
        <v>460</v>
      </c>
      <c r="D1840" s="62" t="n">
        <v>1170</v>
      </c>
      <c r="E1840" t="n">
        <v>4160</v>
      </c>
      <c r="T1840" t="n">
        <v>9</v>
      </c>
      <c r="V1840" t="inlineStr">
        <is>
          <t>FR</t>
        </is>
      </c>
      <c r="W1840" t="n">
        <v>86090090</v>
      </c>
    </row>
    <row r="1841">
      <c r="A1841" t="n">
        <v>19</v>
      </c>
      <c r="B1841" t="inlineStr">
        <is>
          <t>Loading Basket 4160mm x 1170mm L</t>
        </is>
      </c>
      <c r="C1841" t="n">
        <v>460</v>
      </c>
      <c r="D1841" s="62" t="n">
        <v>1170</v>
      </c>
      <c r="E1841" t="n">
        <v>4160</v>
      </c>
      <c r="T1841" t="n">
        <v>10</v>
      </c>
      <c r="V1841" t="inlineStr">
        <is>
          <t>FR</t>
        </is>
      </c>
      <c r="W1841" t="n">
        <v>86090090</v>
      </c>
    </row>
    <row r="1842">
      <c r="A1842" t="n">
        <v>5141632</v>
      </c>
      <c r="B1842" t="inlineStr">
        <is>
          <t>DP Elevator for 2-7/8" DP 18°
BJ 100T</t>
        </is>
      </c>
      <c r="C1842" t="n">
        <v>0</v>
      </c>
      <c r="D1842" s="62" t="inlineStr">
        <is>
          <t>2-7/8" DP</t>
        </is>
      </c>
      <c r="E1842" t="inlineStr">
        <is>
          <t>18°</t>
        </is>
      </c>
      <c r="T1842" t="n">
        <v>9</v>
      </c>
    </row>
    <row r="1843">
      <c r="A1843" t="n">
        <v>8041633</v>
      </c>
      <c r="B1843" t="inlineStr">
        <is>
          <t>Lift Sub 2-3/8" REG Pin
0 OD body for Elevator DP 18°</t>
        </is>
      </c>
      <c r="C1843" t="n">
        <v>0</v>
      </c>
      <c r="D1843" s="62" t="n">
        <v>0</v>
      </c>
      <c r="E1843" t="n">
        <v>375</v>
      </c>
      <c r="T1843" t="n">
        <v>28</v>
      </c>
    </row>
    <row r="1844">
      <c r="A1844" t="n">
        <v>8041634</v>
      </c>
      <c r="B1844" t="inlineStr">
        <is>
          <t>Lift Sub 2-3/8" REG Pin
0 OD body for Elevator DP 18°</t>
        </is>
      </c>
      <c r="C1844" t="n">
        <v>0</v>
      </c>
      <c r="D1844" s="62" t="n">
        <v>0</v>
      </c>
      <c r="E1844" t="n">
        <v>370</v>
      </c>
      <c r="T1844" t="n">
        <v>29</v>
      </c>
    </row>
    <row r="1845">
      <c r="A1845" t="n">
        <v>8041635</v>
      </c>
      <c r="B1845" t="inlineStr">
        <is>
          <t>Lift Sub 2-3/8" REG Pin
0 OD body for Elevator DP 18°</t>
        </is>
      </c>
      <c r="C1845" t="n">
        <v>0</v>
      </c>
      <c r="D1845" s="62" t="n">
        <v>0</v>
      </c>
      <c r="E1845" t="n">
        <v>540</v>
      </c>
      <c r="T1845" t="n">
        <v>30</v>
      </c>
    </row>
    <row r="1846">
      <c r="A1846" t="n">
        <v>5141636</v>
      </c>
      <c r="B1846" t="inlineStr">
        <is>
          <t>DP Elevator for 2-7/8" Tbg with slips
Center Latch 50T</t>
        </is>
      </c>
      <c r="C1846" t="n">
        <v>133</v>
      </c>
      <c r="D1846" s="62" t="inlineStr">
        <is>
          <t>2-3/8"-3/1/2" Tbg</t>
        </is>
      </c>
      <c r="E1846" t="inlineStr">
        <is>
          <t>à peignes</t>
        </is>
      </c>
      <c r="T1846" t="n">
        <v>7</v>
      </c>
    </row>
    <row r="1847">
      <c r="A1847" t="n">
        <v>5141637</v>
      </c>
      <c r="B1847" t="inlineStr">
        <is>
          <t>DP Elevator for 2-7/8" Tbg with slips
Center Latch 50T</t>
        </is>
      </c>
      <c r="C1847" t="n">
        <v>132</v>
      </c>
      <c r="D1847" s="62" t="inlineStr">
        <is>
          <t>2-3/8"-3/1/2" Tbg</t>
        </is>
      </c>
      <c r="E1847" t="inlineStr">
        <is>
          <t>à peignes</t>
        </is>
      </c>
      <c r="T1847" t="n">
        <v>5</v>
      </c>
    </row>
    <row r="1848">
      <c r="A1848" t="n">
        <v>1638</v>
      </c>
      <c r="D1848" s="62" t="n"/>
    </row>
    <row r="1849">
      <c r="A1849" t="n">
        <v>1639</v>
      </c>
      <c r="D1849" s="62" t="n"/>
    </row>
    <row r="1850">
      <c r="A1850" t="n">
        <v>8080001</v>
      </c>
      <c r="B1850" t="inlineStr">
        <is>
          <t>Float Sub 6-1/4" Lg 435 mm
4-1/2" IF Pin x 4-1/2" IF Box BF (4R)</t>
        </is>
      </c>
      <c r="C1850" t="n">
        <v>52.92094612362189</v>
      </c>
      <c r="D1850" s="62" t="n">
        <v>6.25</v>
      </c>
      <c r="E1850" t="n">
        <v>435</v>
      </c>
      <c r="T1850" t="n">
        <v>17</v>
      </c>
    </row>
    <row r="1851">
      <c r="A1851" t="n">
        <v>8120714</v>
      </c>
      <c r="B1851" t="inlineStr">
        <is>
          <t>Top Sub
2-3/8" REG Pin x 2-7/8" IF Pin</t>
        </is>
      </c>
      <c r="C1851" t="n">
        <v>0</v>
      </c>
      <c r="D1851" s="62" t="n">
        <v>4</v>
      </c>
      <c r="E1851" t="n">
        <v>730</v>
      </c>
      <c r="T1851" t="n">
        <v>8</v>
      </c>
    </row>
    <row r="1852">
      <c r="A1852" t="n">
        <v>8131640</v>
      </c>
      <c r="B1852" t="inlineStr">
        <is>
          <t>XO
4-1/2" REG Pin x 6-5/8" REG Box</t>
        </is>
      </c>
      <c r="C1852" t="n">
        <v>0</v>
      </c>
      <c r="D1852" s="62" t="n">
        <v>6.625</v>
      </c>
      <c r="E1852" t="n">
        <v>600</v>
      </c>
      <c r="T1852" t="n">
        <v>188</v>
      </c>
      <c r="V1852" t="inlineStr">
        <is>
          <t>FR</t>
        </is>
      </c>
    </row>
    <row r="1853">
      <c r="A1853" t="n">
        <v>8131641</v>
      </c>
      <c r="B1853" t="inlineStr">
        <is>
          <t>XO
5-3/4" FS Pin lip side x 5-1/2" FJWP Pin</t>
        </is>
      </c>
      <c r="C1853" t="n">
        <v>22.035349074375</v>
      </c>
      <c r="D1853" s="62" t="n">
        <v>5.75</v>
      </c>
      <c r="E1853" t="n">
        <v>600</v>
      </c>
      <c r="T1853" t="n">
        <v>199</v>
      </c>
      <c r="V1853" t="inlineStr">
        <is>
          <t>FR</t>
        </is>
      </c>
    </row>
    <row r="1854">
      <c r="A1854" t="n">
        <v>8131642</v>
      </c>
      <c r="B1854" t="inlineStr">
        <is>
          <t>XO
5-3/4" FS Pin topsub side x 5-1/2" FJWP Box</t>
        </is>
      </c>
      <c r="C1854" t="n">
        <v>22.035349074375</v>
      </c>
      <c r="D1854" s="62" t="n">
        <v>5.75</v>
      </c>
      <c r="E1854" t="n">
        <v>600</v>
      </c>
      <c r="T1854" t="n">
        <v>200</v>
      </c>
      <c r="V1854" t="inlineStr">
        <is>
          <t>FR</t>
        </is>
      </c>
    </row>
    <row r="1855">
      <c r="A1855" t="n">
        <v>8131643</v>
      </c>
      <c r="B1855" t="inlineStr">
        <is>
          <t>XO
5-5/8" HEC Sellers Pin x 5-1/2" FJWP Box</t>
        </is>
      </c>
      <c r="C1855" t="n">
        <v>16.1765386146</v>
      </c>
      <c r="D1855" s="62" t="n">
        <v>5.625</v>
      </c>
      <c r="E1855" t="n">
        <v>520</v>
      </c>
      <c r="T1855" t="n">
        <v>195</v>
      </c>
      <c r="V1855" t="inlineStr">
        <is>
          <t>FR</t>
        </is>
      </c>
    </row>
    <row r="1856">
      <c r="A1856" t="n">
        <v>8131644</v>
      </c>
      <c r="B1856" t="inlineStr">
        <is>
          <t>XO
5-5/8" HEC Sellers Pin x 5-1/2" FJWP Box</t>
        </is>
      </c>
      <c r="C1856" t="n">
        <v>16.1765386146</v>
      </c>
      <c r="D1856" s="62" t="n">
        <v>5.625</v>
      </c>
      <c r="E1856" t="n">
        <v>520</v>
      </c>
      <c r="T1856" t="n">
        <v>196</v>
      </c>
      <c r="V1856" t="inlineStr">
        <is>
          <t>FR</t>
        </is>
      </c>
    </row>
    <row r="1857">
      <c r="A1857" t="n">
        <v>5071645</v>
      </c>
      <c r="B1857" t="inlineStr">
        <is>
          <t>Super Junk Mill 
3-1/2" REG Pin</t>
        </is>
      </c>
      <c r="C1857" t="n">
        <v>28</v>
      </c>
      <c r="D1857" s="62" t="n">
        <v>4.75</v>
      </c>
      <c r="E1857" t="n">
        <v>586</v>
      </c>
      <c r="T1857" t="n">
        <v>20</v>
      </c>
      <c r="V1857" t="inlineStr">
        <is>
          <t>FR</t>
        </is>
      </c>
    </row>
    <row r="1858">
      <c r="A1858" t="n">
        <v>5071646</v>
      </c>
      <c r="B1858" t="inlineStr">
        <is>
          <t>Super Junk Mill 
3-1/2" REG Pin</t>
        </is>
      </c>
      <c r="C1858" t="n">
        <v>28</v>
      </c>
      <c r="D1858" s="62" t="n">
        <v>4.75</v>
      </c>
      <c r="E1858" t="n">
        <v>586</v>
      </c>
      <c r="T1858" t="n">
        <v>21</v>
      </c>
      <c r="V1858" t="inlineStr">
        <is>
          <t>FR</t>
        </is>
      </c>
    </row>
    <row r="1859">
      <c r="A1859" t="n">
        <v>5071647</v>
      </c>
      <c r="B1859" t="inlineStr">
        <is>
          <t>Super Junk Mill 
2-7/8" REG Pin</t>
        </is>
      </c>
      <c r="C1859" t="n">
        <v>28</v>
      </c>
      <c r="D1859" s="62" t="n">
        <v>4.75</v>
      </c>
      <c r="E1859" t="n">
        <v>586</v>
      </c>
      <c r="T1859" t="n">
        <v>17</v>
      </c>
      <c r="V1859" t="inlineStr">
        <is>
          <t>FR</t>
        </is>
      </c>
    </row>
    <row r="1860">
      <c r="A1860" t="n">
        <v>5071648</v>
      </c>
      <c r="B1860" t="inlineStr">
        <is>
          <t>Super Junk Mill 
2-7/8" REG Pin</t>
        </is>
      </c>
      <c r="C1860" t="n">
        <v>28</v>
      </c>
      <c r="D1860" s="62" t="n">
        <v>4.75</v>
      </c>
      <c r="E1860" t="n">
        <v>586</v>
      </c>
      <c r="T1860" t="n">
        <v>18</v>
      </c>
      <c r="V1860" t="inlineStr">
        <is>
          <t>FR</t>
        </is>
      </c>
    </row>
    <row r="1861">
      <c r="A1861" t="n">
        <v>7161649</v>
      </c>
      <c r="B1861" t="inlineStr">
        <is>
          <t>T-Dog 4-11/16" OD
4-1/2" FJWP Pin x 4-1/2" FJWP Box</t>
        </is>
      </c>
      <c r="C1861" t="n">
        <v>0</v>
      </c>
      <c r="D1861" s="62" t="n">
        <v>4.6875</v>
      </c>
      <c r="E1861" t="n">
        <v>0</v>
      </c>
      <c r="T1861" t="n">
        <v>14</v>
      </c>
      <c r="V1861" t="inlineStr">
        <is>
          <t>US</t>
        </is>
      </c>
    </row>
    <row r="1862">
      <c r="A1862" t="n">
        <v>7161650</v>
      </c>
      <c r="B1862" t="inlineStr">
        <is>
          <t>T-Tang 4-3/4" OD
4-1/2" FJWP Pin x 4-1/2" FJWP Box</t>
        </is>
      </c>
      <c r="C1862" t="n">
        <v>0</v>
      </c>
      <c r="D1862" s="62" t="n">
        <v>4.75</v>
      </c>
      <c r="E1862" t="n">
        <v>0</v>
      </c>
      <c r="T1862" t="n">
        <v>5</v>
      </c>
      <c r="V1862" t="inlineStr">
        <is>
          <t>FR</t>
        </is>
      </c>
    </row>
    <row r="1863">
      <c r="A1863" t="n">
        <v>5071651</v>
      </c>
      <c r="B1863" t="inlineStr">
        <is>
          <t>Super Junk Mill 
2-3/8" REG Pin</t>
        </is>
      </c>
      <c r="C1863" t="n">
        <v>28</v>
      </c>
      <c r="D1863" s="62" t="n">
        <v>4.75</v>
      </c>
      <c r="E1863" t="n">
        <v>586</v>
      </c>
      <c r="T1863" t="n">
        <v>16</v>
      </c>
      <c r="V1863" t="inlineStr">
        <is>
          <t>FR</t>
        </is>
      </c>
    </row>
    <row r="1864">
      <c r="A1864" t="n">
        <v>5041652</v>
      </c>
      <c r="B1864" t="inlineStr">
        <is>
          <t>Viper Pilot Mill
4-1/2" REG Pin x 2-3/8" REG Box</t>
        </is>
      </c>
      <c r="C1864" t="n">
        <v>0</v>
      </c>
      <c r="D1864" s="62" t="n">
        <v>8.765000000000001</v>
      </c>
      <c r="E1864" t="n">
        <v>0</v>
      </c>
      <c r="T1864" t="n">
        <v>25</v>
      </c>
      <c r="V1864" t="inlineStr">
        <is>
          <t>FR</t>
        </is>
      </c>
    </row>
    <row r="1865">
      <c r="A1865" t="n">
        <v>5041653</v>
      </c>
      <c r="B1865" t="inlineStr">
        <is>
          <t>Viper Pilot Mill
4-1/2" REG Pin x 2-3/8" REG Box</t>
        </is>
      </c>
      <c r="C1865" t="n">
        <v>0</v>
      </c>
      <c r="D1865" s="62" t="n">
        <v>8.765000000000001</v>
      </c>
      <c r="E1865" t="n">
        <v>0</v>
      </c>
      <c r="T1865" t="n">
        <v>26</v>
      </c>
      <c r="V1865" t="inlineStr">
        <is>
          <t>FR</t>
        </is>
      </c>
    </row>
    <row r="1866">
      <c r="A1866" t="n">
        <v>1081654</v>
      </c>
      <c r="B1866" t="inlineStr">
        <is>
          <t>Reverse Circulating Junk Basket 15" OD Barrel 
6-5/8" REG Box</t>
        </is>
      </c>
      <c r="C1866" t="n">
        <v>0</v>
      </c>
      <c r="D1866" s="62" t="n">
        <v>15</v>
      </c>
      <c r="E1866" t="n">
        <v>0</v>
      </c>
      <c r="T1866" t="n">
        <v>15</v>
      </c>
      <c r="V1866" t="inlineStr">
        <is>
          <t>FR</t>
        </is>
      </c>
    </row>
    <row r="1867">
      <c r="A1867" t="n">
        <v>7131655</v>
      </c>
      <c r="B1867" t="inlineStr">
        <is>
          <t>Pack Off 8" OD body CA 55999
6-5/8" REG Pin down  Box up</t>
        </is>
      </c>
      <c r="C1867" t="n">
        <v>332</v>
      </c>
      <c r="D1867" s="62" t="n">
        <v>8</v>
      </c>
      <c r="E1867" t="inlineStr">
        <is>
          <t>CA 55999</t>
        </is>
      </c>
      <c r="T1867" t="n">
        <v>12</v>
      </c>
      <c r="V1867" t="inlineStr">
        <is>
          <t>FR</t>
        </is>
      </c>
    </row>
    <row r="1868">
      <c r="A1868" t="n">
        <v>8021656</v>
      </c>
      <c r="B1868" t="inlineStr">
        <is>
          <t>Bit Sub
3-1/2" IF Box x 3-1/2" REG Box</t>
        </is>
      </c>
      <c r="C1868" t="n">
        <v>40.12038346875</v>
      </c>
      <c r="D1868" s="62" t="n">
        <v>4.75</v>
      </c>
      <c r="E1868" t="n">
        <v>500</v>
      </c>
      <c r="T1868" t="n">
        <v>33</v>
      </c>
      <c r="V1868" t="inlineStr">
        <is>
          <t>FR</t>
        </is>
      </c>
    </row>
    <row r="1869">
      <c r="A1869" t="n">
        <v>8021657</v>
      </c>
      <c r="B1869" t="inlineStr">
        <is>
          <t>Bit Sub
2-3/8" REG Box x 3-1/2" IF Box</t>
        </is>
      </c>
      <c r="C1869" t="n">
        <v>27</v>
      </c>
      <c r="D1869" s="62" t="n">
        <v>4.75</v>
      </c>
      <c r="E1869" t="n">
        <v>500</v>
      </c>
      <c r="T1869" t="n">
        <v>21</v>
      </c>
      <c r="V1869" t="inlineStr">
        <is>
          <t>FR</t>
        </is>
      </c>
    </row>
    <row r="1870">
      <c r="A1870" t="n">
        <v>8131658</v>
      </c>
      <c r="B1870" t="inlineStr">
        <is>
          <t>XO
2-3/8" IF Pin x 2-3/8" REG Box</t>
        </is>
      </c>
      <c r="C1870" t="n">
        <v>0</v>
      </c>
      <c r="D1870" s="62" t="n">
        <v>3.375</v>
      </c>
      <c r="E1870" t="n">
        <v>500</v>
      </c>
      <c r="T1870" t="n">
        <v>25</v>
      </c>
      <c r="V1870" t="inlineStr">
        <is>
          <t>FR</t>
        </is>
      </c>
    </row>
    <row r="1871">
      <c r="A1871" t="n">
        <v>8131659</v>
      </c>
      <c r="B1871" t="inlineStr">
        <is>
          <t>XO
2-3/8" IF Pin x 2-3/8" IF Pin</t>
        </is>
      </c>
      <c r="C1871" t="n">
        <v>0</v>
      </c>
      <c r="D1871" s="62" t="n">
        <v>3.375</v>
      </c>
      <c r="E1871" t="n">
        <v>500</v>
      </c>
      <c r="T1871" t="n">
        <v>20</v>
      </c>
      <c r="V1871" t="inlineStr">
        <is>
          <t>FR</t>
        </is>
      </c>
    </row>
    <row r="1872">
      <c r="A1872" t="n">
        <v>8131660</v>
      </c>
      <c r="B1872" t="inlineStr">
        <is>
          <t>XO
4-1/2" FJWP Pin x 4-11/16" SFS Pin lip side</t>
        </is>
      </c>
      <c r="C1872" t="n">
        <v>0</v>
      </c>
      <c r="D1872" s="62" t="n">
        <v>4.6875</v>
      </c>
      <c r="E1872" t="n">
        <v>600</v>
      </c>
      <c r="T1872" t="n">
        <v>156</v>
      </c>
      <c r="V1872" t="inlineStr">
        <is>
          <t>FR</t>
        </is>
      </c>
    </row>
    <row r="1873">
      <c r="A1873" t="n">
        <v>8131661</v>
      </c>
      <c r="B1873" t="inlineStr">
        <is>
          <t>XO
4-1/2" FJWP Pin x 4-11/16" SFS Pin lip side</t>
        </is>
      </c>
      <c r="C1873" t="n">
        <v>0</v>
      </c>
      <c r="D1873" s="62" t="n">
        <v>4.6875</v>
      </c>
      <c r="E1873" t="n">
        <v>600</v>
      </c>
      <c r="T1873" t="n">
        <v>157</v>
      </c>
      <c r="V1873" t="inlineStr">
        <is>
          <t>FR</t>
        </is>
      </c>
    </row>
    <row r="1874">
      <c r="A1874" t="n">
        <v>8131662</v>
      </c>
      <c r="B1874" t="inlineStr">
        <is>
          <t>XO
4-11/16" SFS Pin topsub side x 4-1/2" FJWP Box</t>
        </is>
      </c>
      <c r="C1874" t="n">
        <v>0</v>
      </c>
      <c r="D1874" s="62" t="n">
        <v>4.6875</v>
      </c>
      <c r="E1874" t="n">
        <v>600</v>
      </c>
      <c r="T1874" t="n">
        <v>154</v>
      </c>
      <c r="V1874" t="inlineStr">
        <is>
          <t>FR</t>
        </is>
      </c>
    </row>
    <row r="1875">
      <c r="A1875" t="n">
        <v>8131663</v>
      </c>
      <c r="B1875" t="inlineStr">
        <is>
          <t>XO
4-11/16" SFS Pin topsub side x 4-1/2" FJWP Box</t>
        </is>
      </c>
      <c r="C1875" t="n">
        <v>0</v>
      </c>
      <c r="D1875" s="62" t="n">
        <v>4.6875</v>
      </c>
      <c r="E1875" t="n">
        <v>600</v>
      </c>
      <c r="T1875" t="n">
        <v>155</v>
      </c>
      <c r="V1875" t="inlineStr">
        <is>
          <t>FR</t>
        </is>
      </c>
    </row>
    <row r="1876">
      <c r="A1876" t="n">
        <v>8131664</v>
      </c>
      <c r="B1876" t="inlineStr">
        <is>
          <t>XO
4-1/8" FS Pin lip side x 4-1/2" FJW¨P Pin</t>
        </is>
      </c>
      <c r="C1876" t="n">
        <v>0</v>
      </c>
      <c r="D1876" s="62" t="n">
        <v>4.5</v>
      </c>
      <c r="E1876" t="n">
        <v>600</v>
      </c>
      <c r="T1876" t="n">
        <v>152</v>
      </c>
      <c r="V1876" t="inlineStr">
        <is>
          <t>FR</t>
        </is>
      </c>
    </row>
    <row r="1877">
      <c r="A1877" t="n">
        <v>8131665</v>
      </c>
      <c r="B1877" t="inlineStr">
        <is>
          <t>XO
4-1/8" FS Pin lip side x 4-1/2" FJW¨P Pin</t>
        </is>
      </c>
      <c r="C1877" t="n">
        <v>0</v>
      </c>
      <c r="D1877" s="62" t="n">
        <v>4.5</v>
      </c>
      <c r="E1877" t="n">
        <v>600</v>
      </c>
      <c r="T1877" t="n">
        <v>153</v>
      </c>
      <c r="V1877" t="inlineStr">
        <is>
          <t>FR</t>
        </is>
      </c>
    </row>
    <row r="1878">
      <c r="A1878" t="n">
        <v>8131666</v>
      </c>
      <c r="B1878" t="inlineStr">
        <is>
          <t>XO
4-1/8" FS Pin topsub side x 4-1/2" FJWP Box</t>
        </is>
      </c>
      <c r="C1878" t="n">
        <v>0</v>
      </c>
      <c r="D1878" s="62" t="n">
        <v>4.5</v>
      </c>
      <c r="E1878" t="n">
        <v>600</v>
      </c>
      <c r="T1878" t="n">
        <v>150</v>
      </c>
      <c r="V1878" t="inlineStr">
        <is>
          <t>FR</t>
        </is>
      </c>
    </row>
    <row r="1879">
      <c r="A1879" t="n">
        <v>8131667</v>
      </c>
      <c r="B1879" t="inlineStr">
        <is>
          <t>XO
4-1/8" FS Pin topsub side x 4-1/2" FJWP Box</t>
        </is>
      </c>
      <c r="C1879" t="n">
        <v>0</v>
      </c>
      <c r="D1879" s="62" t="n">
        <v>4.5</v>
      </c>
      <c r="E1879" t="n">
        <v>600</v>
      </c>
      <c r="T1879" t="n">
        <v>151</v>
      </c>
      <c r="V1879" t="inlineStr">
        <is>
          <t>FR</t>
        </is>
      </c>
    </row>
    <row r="1880">
      <c r="A1880" t="n">
        <v>2011668</v>
      </c>
      <c r="B1880" t="inlineStr">
        <is>
          <t>Hydraulic External Cutter 6-1/16" OD body 
5-13/16" BRS Box</t>
        </is>
      </c>
      <c r="C1880" t="n">
        <v>54</v>
      </c>
      <c r="D1880" s="62" t="n">
        <v>6.0625</v>
      </c>
      <c r="E1880" t="n">
        <v>1230</v>
      </c>
      <c r="T1880" t="n">
        <v>8</v>
      </c>
    </row>
    <row r="1881">
      <c r="A1881" t="n">
        <v>5071669</v>
      </c>
      <c r="B1881" t="inlineStr">
        <is>
          <t>Super Junk Mill 
7-5/8" REG Pin</t>
        </is>
      </c>
      <c r="C1881" t="n">
        <v>0</v>
      </c>
      <c r="D1881" s="62" t="n">
        <v>17.375</v>
      </c>
      <c r="E1881" t="n">
        <v>975</v>
      </c>
      <c r="T1881" t="n">
        <v>89</v>
      </c>
    </row>
    <row r="1882">
      <c r="A1882" t="n">
        <v>8111670</v>
      </c>
      <c r="B1882" t="inlineStr">
        <is>
          <t>String Stab
7-5/8" REG Pin SRG x 7-5/8" REG Box BB</t>
        </is>
      </c>
      <c r="C1882" t="n">
        <v>1011</v>
      </c>
      <c r="D1882" s="62" t="n">
        <v>17.3125</v>
      </c>
      <c r="E1882" t="n">
        <v>2290</v>
      </c>
      <c r="T1882" t="n">
        <v>94</v>
      </c>
      <c r="V1882" t="inlineStr">
        <is>
          <t>CH</t>
        </is>
      </c>
    </row>
    <row r="1883">
      <c r="A1883" t="n">
        <v>8111671</v>
      </c>
      <c r="B1883" t="inlineStr">
        <is>
          <t>String Stab
7-5/8" REG Pin SRG x 7-5/8" REG Box BB</t>
        </is>
      </c>
      <c r="C1883" t="n">
        <v>1011</v>
      </c>
      <c r="D1883" s="62" t="n">
        <v>17.25</v>
      </c>
      <c r="E1883" t="n">
        <v>2290</v>
      </c>
      <c r="T1883" t="n">
        <v>95</v>
      </c>
      <c r="V1883" t="inlineStr">
        <is>
          <t>CH</t>
        </is>
      </c>
    </row>
    <row r="1884">
      <c r="A1884" t="n">
        <v>8091672</v>
      </c>
      <c r="B1884" t="inlineStr">
        <is>
          <t>Near Bit Stab
7-5/8" REG Box x 7-5/8" REG Box BF</t>
        </is>
      </c>
      <c r="C1884" t="n">
        <v>1153</v>
      </c>
      <c r="D1884" s="62" t="n">
        <v>17.4375</v>
      </c>
      <c r="E1884" t="n">
        <v>2320</v>
      </c>
      <c r="T1884" t="n">
        <v>40</v>
      </c>
      <c r="V1884" t="inlineStr">
        <is>
          <t>CH</t>
        </is>
      </c>
    </row>
    <row r="1885">
      <c r="A1885" t="n">
        <v>8111673</v>
      </c>
      <c r="B1885" t="inlineStr">
        <is>
          <t>String Stab
7-5/8" REG Pin SRG x 7-5/8" REG Box BB</t>
        </is>
      </c>
      <c r="C1885" t="n">
        <v>1150</v>
      </c>
      <c r="D1885" s="62" t="n">
        <v>18.25</v>
      </c>
      <c r="E1885" t="n">
        <v>2290</v>
      </c>
      <c r="T1885" t="n">
        <v>102</v>
      </c>
      <c r="V1885" t="inlineStr">
        <is>
          <t>CH</t>
        </is>
      </c>
    </row>
    <row r="1886">
      <c r="A1886" t="n">
        <v>8091674</v>
      </c>
      <c r="B1886" t="inlineStr">
        <is>
          <t>Near Bit Stab
7-5/8" REG Box x 7-5/8" REG Box BF</t>
        </is>
      </c>
      <c r="C1886" t="n">
        <v>1930</v>
      </c>
      <c r="D1886" s="62" t="n">
        <v>21.75</v>
      </c>
      <c r="E1886" t="n">
        <v>2590</v>
      </c>
      <c r="T1886" t="n">
        <v>45</v>
      </c>
      <c r="V1886" t="inlineStr">
        <is>
          <t>CH</t>
        </is>
      </c>
    </row>
    <row r="1887">
      <c r="A1887" t="n">
        <v>8111675</v>
      </c>
      <c r="B1887" t="inlineStr">
        <is>
          <t>String Stab
7-5/8" REG Pin SRG x 7-5/8" REG Box BB</t>
        </is>
      </c>
      <c r="C1887" t="n">
        <v>1950</v>
      </c>
      <c r="D1887" s="62" t="n">
        <v>21.9375</v>
      </c>
      <c r="E1887" t="n">
        <v>2590</v>
      </c>
      <c r="T1887" t="n">
        <v>108</v>
      </c>
      <c r="V1887" t="inlineStr">
        <is>
          <t>CH</t>
        </is>
      </c>
    </row>
    <row r="1888">
      <c r="A1888" t="n">
        <v>8091676</v>
      </c>
      <c r="B1888" t="inlineStr">
        <is>
          <t>Near Bit Stab
7-5/8" REG Box x 7-5/8" REG Box BF</t>
        </is>
      </c>
      <c r="C1888" t="n">
        <v>1970</v>
      </c>
      <c r="D1888" s="62" t="n">
        <v>24.0625</v>
      </c>
      <c r="E1888" t="n">
        <v>2640</v>
      </c>
      <c r="T1888" t="n">
        <v>49</v>
      </c>
      <c r="V1888" t="inlineStr">
        <is>
          <t>CH</t>
        </is>
      </c>
    </row>
    <row r="1889">
      <c r="A1889" t="n">
        <v>8111677</v>
      </c>
      <c r="B1889" t="inlineStr">
        <is>
          <t>String Stab
7-5/8" REG Pin SRG x 7-5/8" REG Box BB</t>
        </is>
      </c>
      <c r="C1889" t="n">
        <v>2160</v>
      </c>
      <c r="D1889" s="62" t="n">
        <v>25.4375</v>
      </c>
      <c r="E1889" t="n">
        <v>2500</v>
      </c>
      <c r="T1889" t="n">
        <v>113</v>
      </c>
      <c r="V1889" t="inlineStr">
        <is>
          <t>CH</t>
        </is>
      </c>
    </row>
    <row r="1890">
      <c r="A1890" t="n">
        <v>8091678</v>
      </c>
      <c r="B1890" t="inlineStr">
        <is>
          <t>Near Bit Stab
7-5/8" REG Box x 7-5/8" REG Box BF</t>
        </is>
      </c>
      <c r="C1890" t="n">
        <v>2260</v>
      </c>
      <c r="D1890" s="62" t="n">
        <v>26</v>
      </c>
      <c r="E1890" t="n">
        <v>2620</v>
      </c>
      <c r="T1890" t="n">
        <v>54</v>
      </c>
      <c r="V1890" t="inlineStr">
        <is>
          <t>CH</t>
        </is>
      </c>
    </row>
    <row r="1891">
      <c r="A1891" t="n">
        <v>8091679</v>
      </c>
      <c r="B1891" t="inlineStr">
        <is>
          <t>Near Bit Stab
7-5/8" REG Box x 7-5/8" REG Box BF</t>
        </is>
      </c>
      <c r="C1891" t="n">
        <v>2260</v>
      </c>
      <c r="D1891" s="62" t="n">
        <v>25.9375</v>
      </c>
      <c r="E1891" t="n">
        <v>2590</v>
      </c>
      <c r="T1891" t="n">
        <v>53</v>
      </c>
      <c r="V1891" t="inlineStr">
        <is>
          <t>CH</t>
        </is>
      </c>
    </row>
    <row r="1892">
      <c r="A1892" t="n">
        <v>5011680</v>
      </c>
      <c r="B1892" t="inlineStr">
        <is>
          <t>Ditch Magnet 24"</t>
        </is>
      </c>
      <c r="C1892" t="n">
        <v>46</v>
      </c>
      <c r="D1892" s="62" t="n">
        <v>36</v>
      </c>
      <c r="E1892" t="n">
        <v>36</v>
      </c>
      <c r="T1892" t="n">
        <v>10</v>
      </c>
    </row>
    <row r="1893">
      <c r="A1893" t="n">
        <v>7161681</v>
      </c>
      <c r="B1893" t="inlineStr">
        <is>
          <t>T-Dog 5-3/4" OD
5-1/2" FJWP Pin x 5-1/2' FJWP Box</t>
        </is>
      </c>
      <c r="C1893" t="n">
        <v>60</v>
      </c>
      <c r="D1893" s="62" t="n">
        <v>5.75</v>
      </c>
      <c r="E1893" t="n">
        <v>730</v>
      </c>
      <c r="T1893" t="n">
        <v>15</v>
      </c>
      <c r="V1893" t="inlineStr">
        <is>
          <t>US</t>
        </is>
      </c>
    </row>
    <row r="1894">
      <c r="A1894" t="n">
        <v>5071682</v>
      </c>
      <c r="B1894" t="inlineStr">
        <is>
          <t>Super Junk Mill 
2-3/8" REG Pin</t>
        </is>
      </c>
      <c r="C1894" t="n">
        <v>0</v>
      </c>
      <c r="D1894" s="62" t="n">
        <v>3.875</v>
      </c>
      <c r="E1894" t="n">
        <v>586</v>
      </c>
      <c r="T1894" t="n">
        <v>9</v>
      </c>
      <c r="V1894" t="inlineStr">
        <is>
          <t>FR</t>
        </is>
      </c>
    </row>
    <row r="1895">
      <c r="A1895" t="n">
        <v>5071683</v>
      </c>
      <c r="B1895" t="inlineStr">
        <is>
          <t>Super Junk Mill 
2-3/8" REG Pin</t>
        </is>
      </c>
      <c r="C1895" t="n">
        <v>0</v>
      </c>
      <c r="D1895" s="62" t="n">
        <v>3.75</v>
      </c>
      <c r="E1895" t="n">
        <v>586</v>
      </c>
      <c r="T1895" t="n">
        <v>5</v>
      </c>
      <c r="V1895" t="inlineStr">
        <is>
          <t>FR</t>
        </is>
      </c>
    </row>
    <row r="1896">
      <c r="A1896" t="n">
        <v>7161684</v>
      </c>
      <c r="B1896" t="inlineStr">
        <is>
          <t>T-Tang 4-3/4" OD
4-1/2" FJWP Pin x 4-1/2" FJWP Box</t>
        </is>
      </c>
      <c r="C1896" t="n">
        <v>0</v>
      </c>
      <c r="D1896" s="62" t="n">
        <v>4.75</v>
      </c>
      <c r="E1896" t="n">
        <v>0</v>
      </c>
      <c r="T1896" t="n">
        <v>6</v>
      </c>
      <c r="V1896" t="inlineStr">
        <is>
          <t>FR</t>
        </is>
      </c>
    </row>
    <row r="1897">
      <c r="A1897" t="n">
        <v>7171685</v>
      </c>
      <c r="B1897" t="inlineStr">
        <is>
          <t>Oversocket 3-3/4" OD</t>
        </is>
      </c>
      <c r="C1897" t="n">
        <v>0</v>
      </c>
      <c r="D1897" s="62" t="n">
        <v>3.75</v>
      </c>
      <c r="E1897" t="n">
        <v>0</v>
      </c>
      <c r="T1897" t="n">
        <v>5</v>
      </c>
    </row>
    <row r="1898">
      <c r="A1898" t="n">
        <v>8021686</v>
      </c>
      <c r="B1898" t="inlineStr">
        <is>
          <t>Bit Sub
2-3/8" REG Box x 2-3/8" REG Box</t>
        </is>
      </c>
      <c r="C1898" t="n">
        <v>0</v>
      </c>
      <c r="D1898" s="62" t="n">
        <v>3.125</v>
      </c>
      <c r="E1898" t="n">
        <v>500</v>
      </c>
      <c r="T1898" t="n">
        <v>15</v>
      </c>
      <c r="V1898" t="inlineStr">
        <is>
          <t>FR</t>
        </is>
      </c>
    </row>
    <row r="1899">
      <c r="A1899" t="n">
        <v>8021687</v>
      </c>
      <c r="B1899" t="inlineStr">
        <is>
          <t>Bit Sub
2-3/8" REG Box x 2-3/8" REG Box</t>
        </is>
      </c>
      <c r="C1899" t="n">
        <v>0</v>
      </c>
      <c r="D1899" s="62" t="n">
        <v>3.125</v>
      </c>
      <c r="E1899" t="n">
        <v>500</v>
      </c>
      <c r="T1899" t="n">
        <v>16</v>
      </c>
      <c r="V1899" t="inlineStr">
        <is>
          <t>FR</t>
        </is>
      </c>
    </row>
    <row r="1900">
      <c r="A1900" t="n">
        <v>5141688</v>
      </c>
      <c r="B1900" t="inlineStr">
        <is>
          <t>DP Elevator for 2-7/8" Tbg 18°</t>
        </is>
      </c>
      <c r="C1900" t="n">
        <v>0</v>
      </c>
      <c r="D1900" s="62" t="inlineStr">
        <is>
          <t>2-7/8" DP</t>
        </is>
      </c>
      <c r="E1900" t="inlineStr">
        <is>
          <t>18°</t>
        </is>
      </c>
      <c r="T1900" t="n">
        <v>10</v>
      </c>
    </row>
    <row r="1901">
      <c r="A1901" t="n">
        <v>5141689</v>
      </c>
      <c r="B1901" t="inlineStr">
        <is>
          <t>DP Elevator for 2-7/8" Tbg 18°</t>
        </is>
      </c>
      <c r="C1901" t="n">
        <v>0</v>
      </c>
      <c r="D1901" s="62" t="inlineStr">
        <is>
          <t>2-7/8" DP</t>
        </is>
      </c>
      <c r="E1901" t="inlineStr">
        <is>
          <t>18°</t>
        </is>
      </c>
      <c r="T1901" t="n">
        <v>11</v>
      </c>
    </row>
    <row r="1902">
      <c r="A1902" t="n">
        <v>8131690</v>
      </c>
      <c r="B1902" t="inlineStr">
        <is>
          <t>XO
3-3/4" FJWP Pin x 3-1/2" FJWP Box</t>
        </is>
      </c>
      <c r="C1902" t="n">
        <v>12.1126982112003</v>
      </c>
      <c r="D1902" s="62" t="n">
        <v>3.75</v>
      </c>
      <c r="E1902" t="n">
        <v>600</v>
      </c>
      <c r="T1902" t="n">
        <v>136</v>
      </c>
      <c r="V1902" t="inlineStr">
        <is>
          <t>FR</t>
        </is>
      </c>
    </row>
    <row r="1903">
      <c r="A1903" t="n">
        <v>8131691</v>
      </c>
      <c r="B1903" t="inlineStr">
        <is>
          <t>XO
3-3/4" FJWP Pin x 3-1/2" FJWP Box</t>
        </is>
      </c>
      <c r="C1903" t="n">
        <v>12.1126982112003</v>
      </c>
      <c r="D1903" s="62" t="n">
        <v>3.75</v>
      </c>
      <c r="E1903" t="n">
        <v>600</v>
      </c>
      <c r="T1903" t="n">
        <v>137</v>
      </c>
      <c r="V1903" t="inlineStr">
        <is>
          <t>FR</t>
        </is>
      </c>
    </row>
    <row r="1904">
      <c r="A1904" t="n">
        <v>8131692</v>
      </c>
      <c r="B1904" t="inlineStr">
        <is>
          <t>XO
2-3/8" EU Pin x 2-3/8" IF Box</t>
        </is>
      </c>
      <c r="C1904" t="n">
        <v>0</v>
      </c>
      <c r="D1904" s="62" t="n">
        <v>0</v>
      </c>
      <c r="E1904" t="n">
        <v>400</v>
      </c>
      <c r="T1904" t="n">
        <v>16</v>
      </c>
      <c r="V1904" t="inlineStr">
        <is>
          <t>FR</t>
        </is>
      </c>
    </row>
    <row r="1905">
      <c r="A1905" t="n">
        <v>8131693</v>
      </c>
      <c r="B1905" t="inlineStr">
        <is>
          <t>XO
2-3/8" EU Pin x 2-3/8" IF Box</t>
        </is>
      </c>
      <c r="C1905" t="n">
        <v>0</v>
      </c>
      <c r="D1905" s="62" t="n">
        <v>0</v>
      </c>
      <c r="E1905" t="n">
        <v>400</v>
      </c>
      <c r="T1905" t="n">
        <v>17</v>
      </c>
      <c r="V1905" t="inlineStr">
        <is>
          <t>FR</t>
        </is>
      </c>
    </row>
    <row r="1906">
      <c r="A1906" t="n">
        <v>8131694</v>
      </c>
      <c r="B1906" t="inlineStr">
        <is>
          <t>XO
2-3/8" IF Pin x 2-3/8" REG Pin</t>
        </is>
      </c>
      <c r="C1906" t="n">
        <v>0</v>
      </c>
      <c r="D1906" s="62" t="n">
        <v>0</v>
      </c>
      <c r="E1906" t="n">
        <v>500</v>
      </c>
      <c r="T1906" t="n">
        <v>27</v>
      </c>
      <c r="V1906" t="inlineStr">
        <is>
          <t>FR</t>
        </is>
      </c>
    </row>
    <row r="1907">
      <c r="A1907" t="n">
        <v>8131695</v>
      </c>
      <c r="B1907" t="inlineStr">
        <is>
          <t>XO
2-3/8" IF Pin x 2-3/8" REG Pin</t>
        </is>
      </c>
      <c r="C1907" t="n">
        <v>0</v>
      </c>
      <c r="D1907" s="62" t="n">
        <v>0</v>
      </c>
      <c r="E1907" t="n">
        <v>500</v>
      </c>
      <c r="T1907" t="n">
        <v>28</v>
      </c>
      <c r="V1907" t="inlineStr">
        <is>
          <t>FR</t>
        </is>
      </c>
    </row>
    <row r="1908">
      <c r="A1908" t="n">
        <v>8021696</v>
      </c>
      <c r="B1908" t="inlineStr">
        <is>
          <t>Bit Sub
4-1/2" IF Box x 4-1/2" REG Box</t>
        </is>
      </c>
      <c r="C1908" t="n">
        <v>0</v>
      </c>
      <c r="D1908" s="62" t="n">
        <v>6.75</v>
      </c>
      <c r="E1908" t="n">
        <v>600</v>
      </c>
      <c r="T1908" t="n">
        <v>47</v>
      </c>
      <c r="V1908" t="inlineStr">
        <is>
          <t>FR</t>
        </is>
      </c>
    </row>
    <row r="1909">
      <c r="A1909" t="n">
        <v>8021697</v>
      </c>
      <c r="B1909" t="inlineStr">
        <is>
          <t>Bit Sub
4-1/2" IF Box x 4-1/2" REG Box</t>
        </is>
      </c>
      <c r="C1909" t="n">
        <v>0</v>
      </c>
      <c r="D1909" s="62" t="n">
        <v>6.75</v>
      </c>
      <c r="E1909" t="n">
        <v>600</v>
      </c>
      <c r="T1909" t="n">
        <v>48</v>
      </c>
      <c r="V1909" t="inlineStr">
        <is>
          <t>FR</t>
        </is>
      </c>
    </row>
    <row r="1910">
      <c r="A1910" t="n">
        <v>8081698</v>
      </c>
      <c r="B1910" t="inlineStr">
        <is>
          <t>Float Sub 4-3/4" Lg 750 mm
3-1/2" IF Pin x 3-1/2" IF Box BF (3-1/2" IF)</t>
        </is>
      </c>
      <c r="C1910" t="n">
        <v>0</v>
      </c>
      <c r="D1910" s="62" t="n">
        <v>4.75</v>
      </c>
      <c r="E1910" t="n">
        <v>750</v>
      </c>
      <c r="T1910" t="n">
        <v>9</v>
      </c>
      <c r="V1910" t="inlineStr">
        <is>
          <t>FR</t>
        </is>
      </c>
    </row>
    <row r="1911">
      <c r="A1911" t="n">
        <v>8081699</v>
      </c>
      <c r="B1911" t="inlineStr">
        <is>
          <t>Float Sub 4-3/4" Lg 750 mm
3-1/2" IF Pin x 3-1/2" IF Box BF (3-1/2" IF)</t>
        </is>
      </c>
      <c r="C1911" t="n">
        <v>0</v>
      </c>
      <c r="D1911" s="62" t="n">
        <v>4.75</v>
      </c>
      <c r="E1911" t="n">
        <v>750</v>
      </c>
      <c r="T1911" t="n">
        <v>10</v>
      </c>
      <c r="V1911" t="inlineStr">
        <is>
          <t>FR</t>
        </is>
      </c>
    </row>
    <row r="1912">
      <c r="A1912" t="n">
        <v>8081700</v>
      </c>
      <c r="B1912" t="inlineStr">
        <is>
          <t>Float Sub 4-3/4" Lg 750 mm
3-1/2" IF Pin x 3-1/2" IF Box BF (3-1/2" IF)</t>
        </is>
      </c>
      <c r="C1912" t="n">
        <v>0</v>
      </c>
      <c r="D1912" s="62" t="n">
        <v>4.75</v>
      </c>
      <c r="E1912" t="n">
        <v>750</v>
      </c>
      <c r="T1912" t="n">
        <v>11</v>
      </c>
      <c r="V1912" t="inlineStr">
        <is>
          <t>FR</t>
        </is>
      </c>
    </row>
    <row r="1913">
      <c r="A1913" t="n">
        <v>8131701</v>
      </c>
      <c r="B1913" t="inlineStr">
        <is>
          <t>XO
4-1/2" REG Pin x 6-5/8" REG Box</t>
        </is>
      </c>
      <c r="C1913" t="n">
        <v>0</v>
      </c>
      <c r="D1913" s="62" t="n">
        <v>7.75</v>
      </c>
      <c r="E1913" t="n">
        <v>300</v>
      </c>
      <c r="T1913" t="n">
        <v>187</v>
      </c>
      <c r="V1913" t="inlineStr">
        <is>
          <t>FR</t>
        </is>
      </c>
    </row>
    <row r="1914">
      <c r="A1914" t="n">
        <v>5071702</v>
      </c>
      <c r="B1914" t="inlineStr">
        <is>
          <t>Super Junk Mill 
3-1/2" REG Pin</t>
        </is>
      </c>
      <c r="C1914" t="n">
        <v>70</v>
      </c>
      <c r="D1914" s="62" t="n">
        <v>5.875</v>
      </c>
      <c r="E1914" t="n">
        <v>680</v>
      </c>
      <c r="T1914" t="n">
        <v>30</v>
      </c>
      <c r="V1914" t="inlineStr">
        <is>
          <t>FR</t>
        </is>
      </c>
    </row>
    <row r="1915">
      <c r="A1915" t="n">
        <v>5071703</v>
      </c>
      <c r="B1915" t="inlineStr">
        <is>
          <t>Super Junk Mill 
3-1/2" REG Pin</t>
        </is>
      </c>
      <c r="C1915" t="n">
        <v>70</v>
      </c>
      <c r="D1915" s="62" t="n">
        <v>6.125</v>
      </c>
      <c r="E1915" t="n">
        <v>680</v>
      </c>
      <c r="T1915" t="n">
        <v>50</v>
      </c>
      <c r="V1915" t="inlineStr">
        <is>
          <t>FR</t>
        </is>
      </c>
    </row>
    <row r="1916">
      <c r="A1916" t="n">
        <v>1071704</v>
      </c>
      <c r="B1916" t="inlineStr">
        <is>
          <t>Jetting Sub 8" OD
6-5/8" REG Pin x Box</t>
        </is>
      </c>
      <c r="C1916" t="n">
        <v>202.256111616</v>
      </c>
      <c r="D1916" s="62" t="n">
        <v>8</v>
      </c>
      <c r="E1916" t="n">
        <v>800</v>
      </c>
      <c r="T1916" t="n">
        <v>8</v>
      </c>
      <c r="V1916" t="inlineStr">
        <is>
          <t>FR</t>
        </is>
      </c>
    </row>
    <row r="1917">
      <c r="A1917" t="n">
        <v>1071705</v>
      </c>
      <c r="B1917" t="inlineStr">
        <is>
          <t>Jetting Sub 6-1/2" OD
4-1/2" IF Pin x Box</t>
        </is>
      </c>
      <c r="C1917" t="n">
        <v>0</v>
      </c>
      <c r="D1917" s="62" t="n">
        <v>6.5</v>
      </c>
      <c r="E1917" t="n">
        <v>0</v>
      </c>
      <c r="T1917" t="n">
        <v>7</v>
      </c>
      <c r="V1917" t="inlineStr">
        <is>
          <t>FR</t>
        </is>
      </c>
    </row>
    <row r="1918">
      <c r="A1918" t="n">
        <v>7161706</v>
      </c>
      <c r="B1918" t="inlineStr">
        <is>
          <t>T-Tang 5-3/4" OD
5-1/2" FJWP Pin x 5-1/2" FJWP Box</t>
        </is>
      </c>
      <c r="C1918" t="n">
        <v>60</v>
      </c>
      <c r="D1918" s="62" t="n">
        <v>5.75</v>
      </c>
      <c r="E1918" t="n">
        <v>1210</v>
      </c>
      <c r="T1918" t="n">
        <v>7</v>
      </c>
      <c r="V1918" t="inlineStr">
        <is>
          <t>FR</t>
        </is>
      </c>
    </row>
    <row r="1919">
      <c r="A1919" t="n">
        <v>5151707</v>
      </c>
      <c r="B1919" t="inlineStr">
        <is>
          <t>WO Lift Plug 
5-3/8" BR Pin</t>
        </is>
      </c>
      <c r="C1919" t="n">
        <v>0</v>
      </c>
      <c r="D1919" s="62" t="n">
        <v>8.625</v>
      </c>
      <c r="T1919" t="n">
        <v>7</v>
      </c>
      <c r="V1919" t="inlineStr">
        <is>
          <t>FR</t>
        </is>
      </c>
    </row>
    <row r="1920">
      <c r="A1920" t="n">
        <v>5151708</v>
      </c>
      <c r="B1920" t="inlineStr">
        <is>
          <t>WO Lift Plug 
5-3/8" BR Pin</t>
        </is>
      </c>
      <c r="C1920" t="n">
        <v>0</v>
      </c>
      <c r="D1920" s="62" t="n">
        <v>8.625</v>
      </c>
      <c r="T1920" t="n">
        <v>8</v>
      </c>
      <c r="V1920" t="inlineStr">
        <is>
          <t>FR</t>
        </is>
      </c>
    </row>
    <row r="1921">
      <c r="A1921" t="n">
        <v>5151709</v>
      </c>
      <c r="B1921" t="inlineStr">
        <is>
          <t>WO Lift Plug 
5-1/2" FJWP Pin</t>
        </is>
      </c>
      <c r="C1921" t="n">
        <v>20</v>
      </c>
      <c r="D1921" s="62" t="n">
        <v>8.625</v>
      </c>
      <c r="T1921" t="n">
        <v>17</v>
      </c>
      <c r="V1921" t="inlineStr">
        <is>
          <t>FR</t>
        </is>
      </c>
    </row>
    <row r="1922">
      <c r="A1922" t="n">
        <v>5151710</v>
      </c>
      <c r="B1922" t="inlineStr">
        <is>
          <t>WO Lift Plug 
5-1/2" FJWP Pin</t>
        </is>
      </c>
      <c r="C1922" t="n">
        <v>20</v>
      </c>
      <c r="D1922" s="62" t="n">
        <v>8.625</v>
      </c>
      <c r="T1922" t="n">
        <v>18</v>
      </c>
      <c r="V1922" t="inlineStr">
        <is>
          <t>FR</t>
        </is>
      </c>
    </row>
    <row r="1923">
      <c r="A1923" t="n">
        <v>5101711</v>
      </c>
      <c r="B1923" t="inlineStr">
        <is>
          <t>WO Pipe
4-1/2" FJWP Pin x Box</t>
        </is>
      </c>
      <c r="C1923" t="n">
        <v>0</v>
      </c>
      <c r="D1923" s="62" t="n">
        <v>4.5</v>
      </c>
      <c r="E1923" t="n">
        <v>9500</v>
      </c>
      <c r="T1923" t="n">
        <v>29</v>
      </c>
      <c r="V1923" t="inlineStr">
        <is>
          <t>FR</t>
        </is>
      </c>
    </row>
    <row r="1924">
      <c r="A1924" t="n">
        <v>5101712</v>
      </c>
      <c r="B1924" t="inlineStr">
        <is>
          <t>WO Pipe
4-1/2" FJWP Pin x Box</t>
        </is>
      </c>
      <c r="C1924" t="n">
        <v>0</v>
      </c>
      <c r="D1924" s="62" t="n">
        <v>4.5</v>
      </c>
      <c r="E1924" t="n">
        <v>9500</v>
      </c>
      <c r="T1924" t="n">
        <v>30</v>
      </c>
      <c r="V1924" t="inlineStr">
        <is>
          <t>FR</t>
        </is>
      </c>
    </row>
    <row r="1925">
      <c r="A1925" t="n">
        <v>5101713</v>
      </c>
      <c r="B1925" t="inlineStr">
        <is>
          <t>WO Pipe
4-1/2" FJWP Pin x Box</t>
        </is>
      </c>
      <c r="C1925" t="n">
        <v>0</v>
      </c>
      <c r="D1925" s="62" t="n">
        <v>4.5</v>
      </c>
      <c r="E1925" t="n">
        <v>9500</v>
      </c>
      <c r="T1925" t="n">
        <v>31</v>
      </c>
      <c r="V1925" t="inlineStr">
        <is>
          <t>FR</t>
        </is>
      </c>
    </row>
    <row r="1926">
      <c r="A1926" t="n">
        <v>5101714</v>
      </c>
      <c r="B1926" t="inlineStr">
        <is>
          <t>WO Pipe
4-1/2" FJWP Pin x Box</t>
        </is>
      </c>
      <c r="C1926" t="n">
        <v>0</v>
      </c>
      <c r="D1926" s="62" t="n">
        <v>4.5</v>
      </c>
      <c r="E1926" t="n">
        <v>9500</v>
      </c>
      <c r="T1926" t="n">
        <v>32</v>
      </c>
      <c r="V1926" t="inlineStr">
        <is>
          <t>FR</t>
        </is>
      </c>
    </row>
    <row r="1927">
      <c r="A1927" t="n">
        <v>5101715</v>
      </c>
      <c r="B1927" t="inlineStr">
        <is>
          <t>WO Pipe
4-1/2" FJWP Pin x Box</t>
        </is>
      </c>
      <c r="C1927" t="n">
        <v>0</v>
      </c>
      <c r="D1927" s="62" t="n">
        <v>4.5</v>
      </c>
      <c r="E1927" t="n">
        <v>9500</v>
      </c>
      <c r="T1927" t="n">
        <v>33</v>
      </c>
      <c r="V1927" t="inlineStr">
        <is>
          <t>FR</t>
        </is>
      </c>
    </row>
    <row r="1928">
      <c r="A1928" t="n">
        <v>5101716</v>
      </c>
      <c r="B1928" t="inlineStr">
        <is>
          <t>WO Pipe
4-1/2" FJWP Pin x Box</t>
        </is>
      </c>
      <c r="C1928" t="n">
        <v>0</v>
      </c>
      <c r="D1928" s="62" t="n">
        <v>4.5</v>
      </c>
      <c r="E1928" t="n">
        <v>9500</v>
      </c>
      <c r="T1928" t="n">
        <v>34</v>
      </c>
      <c r="V1928" t="inlineStr">
        <is>
          <t>FR</t>
        </is>
      </c>
    </row>
    <row r="1929">
      <c r="A1929" t="n">
        <v>5111717</v>
      </c>
      <c r="B1929" t="inlineStr">
        <is>
          <t>WO Shoe
4-1/2" FJWP Box</t>
        </is>
      </c>
      <c r="C1929" t="n">
        <v>13.51501409895</v>
      </c>
      <c r="D1929" s="62" t="n">
        <v>0</v>
      </c>
      <c r="E1929" t="n">
        <v>805</v>
      </c>
      <c r="T1929" t="n">
        <v>75</v>
      </c>
      <c r="V1929" t="inlineStr">
        <is>
          <t>FR</t>
        </is>
      </c>
    </row>
    <row r="1930">
      <c r="A1930" t="n">
        <v>5111718</v>
      </c>
      <c r="B1930" t="inlineStr">
        <is>
          <t>WO Shoe
4-1/2" FJWP Box</t>
        </is>
      </c>
      <c r="C1930" t="n">
        <v>13.51501409895</v>
      </c>
      <c r="D1930" s="62" t="n">
        <v>0</v>
      </c>
      <c r="E1930" t="n">
        <v>805</v>
      </c>
      <c r="T1930" t="n">
        <v>76</v>
      </c>
      <c r="V1930" t="inlineStr">
        <is>
          <t>FR</t>
        </is>
      </c>
    </row>
    <row r="1931">
      <c r="A1931" t="n">
        <v>5111719</v>
      </c>
      <c r="B1931" t="inlineStr">
        <is>
          <t>WO Shoe
4-1/2" FJWP Box</t>
        </is>
      </c>
      <c r="C1931" t="n">
        <v>13.51501409895</v>
      </c>
      <c r="D1931" s="62" t="n">
        <v>0</v>
      </c>
      <c r="E1931" t="n">
        <v>805</v>
      </c>
      <c r="T1931" t="n">
        <v>77</v>
      </c>
      <c r="V1931" t="inlineStr">
        <is>
          <t>FR</t>
        </is>
      </c>
    </row>
    <row r="1932">
      <c r="A1932" t="n">
        <v>5111720</v>
      </c>
      <c r="B1932" t="inlineStr">
        <is>
          <t>WO Shoe
4-1/2" FJWP Box</t>
        </is>
      </c>
      <c r="C1932" t="n">
        <v>13.51501409895</v>
      </c>
      <c r="D1932" s="62" t="n">
        <v>0</v>
      </c>
      <c r="E1932" t="n">
        <v>805</v>
      </c>
      <c r="T1932" t="n">
        <v>78</v>
      </c>
      <c r="V1932" t="inlineStr">
        <is>
          <t>FR</t>
        </is>
      </c>
    </row>
    <row r="1933">
      <c r="A1933" t="n">
        <v>5141721</v>
      </c>
      <c r="B1933" t="inlineStr">
        <is>
          <t>DP Elevator for 5" DP 18°
BJ 250T</t>
        </is>
      </c>
      <c r="C1933" t="n">
        <v>0</v>
      </c>
      <c r="D1933" s="62" t="inlineStr">
        <is>
          <t>5" DP</t>
        </is>
      </c>
      <c r="E1933" t="inlineStr">
        <is>
          <t>18°</t>
        </is>
      </c>
      <c r="T1933" t="n">
        <v>15</v>
      </c>
    </row>
    <row r="1934">
      <c r="A1934" t="n">
        <v>5101722</v>
      </c>
      <c r="B1934" t="inlineStr">
        <is>
          <t>WO Pipe
3-3/4" FJWP Pin x Box</t>
        </is>
      </c>
      <c r="C1934" t="n">
        <v>516.7659699942186</v>
      </c>
      <c r="D1934" s="62" t="n">
        <v>3.8125</v>
      </c>
      <c r="E1934" t="n">
        <v>9000</v>
      </c>
      <c r="T1934" t="n">
        <v>12</v>
      </c>
      <c r="V1934" t="inlineStr">
        <is>
          <t>FR</t>
        </is>
      </c>
    </row>
    <row r="1935">
      <c r="A1935" t="n">
        <v>5101723</v>
      </c>
      <c r="B1935" t="inlineStr">
        <is>
          <t>WO Pipe
3-3/4" FJWP Pin x Box</t>
        </is>
      </c>
      <c r="C1935" t="n">
        <v>516.7659699942186</v>
      </c>
      <c r="D1935" s="62" t="n">
        <v>3.8125</v>
      </c>
      <c r="E1935" t="n">
        <v>9000</v>
      </c>
      <c r="T1935" t="n">
        <v>13</v>
      </c>
      <c r="V1935" t="inlineStr">
        <is>
          <t>FR</t>
        </is>
      </c>
    </row>
    <row r="1936">
      <c r="A1936" t="n">
        <v>5101724</v>
      </c>
      <c r="B1936" t="inlineStr">
        <is>
          <t>WO Pipe
3-3/4" FJWP Pin x Box</t>
        </is>
      </c>
      <c r="C1936" t="n">
        <v>516.7659699942186</v>
      </c>
      <c r="D1936" s="62" t="n">
        <v>3.8125</v>
      </c>
      <c r="E1936" t="n">
        <v>9000</v>
      </c>
      <c r="T1936" t="n">
        <v>14</v>
      </c>
      <c r="V1936" t="inlineStr">
        <is>
          <t>FR</t>
        </is>
      </c>
    </row>
    <row r="1937">
      <c r="A1937" t="n">
        <v>5091725</v>
      </c>
      <c r="B1937" t="inlineStr">
        <is>
          <t>WO Extension Lg 2930 mm
3-3/4" FJWP Pin x Box</t>
        </is>
      </c>
      <c r="C1937" t="n">
        <v>45.98119994769842</v>
      </c>
      <c r="D1937" s="62" t="n">
        <v>3.8125</v>
      </c>
      <c r="E1937" t="n">
        <v>2930</v>
      </c>
      <c r="T1937" t="n">
        <v>20</v>
      </c>
      <c r="V1937" t="inlineStr">
        <is>
          <t>FR</t>
        </is>
      </c>
    </row>
    <row r="1938">
      <c r="A1938" t="n">
        <v>5091726</v>
      </c>
      <c r="B1938" t="inlineStr">
        <is>
          <t>WO Extension Lg 1930 mm
3-3/4" FJWP Pin x Box</t>
        </is>
      </c>
      <c r="C1938" t="n">
        <v>30.28795764472968</v>
      </c>
      <c r="D1938" s="62" t="n">
        <v>3.8125</v>
      </c>
      <c r="E1938" t="n">
        <v>1930</v>
      </c>
      <c r="T1938" t="n">
        <v>21</v>
      </c>
      <c r="V1938" t="inlineStr">
        <is>
          <t>FR</t>
        </is>
      </c>
    </row>
    <row r="1939">
      <c r="A1939" t="n">
        <v>5111727</v>
      </c>
      <c r="B1939" t="inlineStr">
        <is>
          <t>WO Shoe
3-3/4" FJWP</t>
        </is>
      </c>
      <c r="C1939" t="n">
        <v>10</v>
      </c>
      <c r="D1939" s="62" t="n">
        <v>0</v>
      </c>
      <c r="E1939" t="n">
        <v>0</v>
      </c>
      <c r="T1939" t="n">
        <v>21</v>
      </c>
      <c r="V1939" t="inlineStr">
        <is>
          <t>FR</t>
        </is>
      </c>
    </row>
    <row r="1940">
      <c r="A1940" t="n">
        <v>5111728</v>
      </c>
      <c r="B1940" t="inlineStr">
        <is>
          <t>WO Shoe
3-3/4" FJWP</t>
        </is>
      </c>
      <c r="C1940" t="n">
        <v>10</v>
      </c>
      <c r="D1940" s="62" t="n">
        <v>0</v>
      </c>
      <c r="E1940" t="n">
        <v>0</v>
      </c>
      <c r="T1940" t="n">
        <v>22</v>
      </c>
      <c r="V1940" t="inlineStr">
        <is>
          <t>FR</t>
        </is>
      </c>
    </row>
    <row r="1941">
      <c r="A1941" t="n">
        <v>5111729</v>
      </c>
      <c r="B1941" t="inlineStr">
        <is>
          <t>WO Shoe
3-3/4" FJWP</t>
        </is>
      </c>
      <c r="C1941" t="n">
        <v>10</v>
      </c>
      <c r="D1941" s="62" t="n">
        <v>3.875</v>
      </c>
      <c r="E1941" t="n">
        <v>0</v>
      </c>
      <c r="T1941" t="n">
        <v>23</v>
      </c>
      <c r="V1941" t="inlineStr">
        <is>
          <t>FR</t>
        </is>
      </c>
    </row>
    <row r="1942">
      <c r="A1942" t="n">
        <v>5111730</v>
      </c>
      <c r="B1942" t="inlineStr">
        <is>
          <t>WO Shoe
3-3/4" FJWP</t>
        </is>
      </c>
      <c r="C1942" t="n">
        <v>10</v>
      </c>
      <c r="D1942" s="62" t="n">
        <v>3.875</v>
      </c>
      <c r="E1942" t="n">
        <v>0</v>
      </c>
      <c r="T1942" t="n">
        <v>24</v>
      </c>
      <c r="V1942" t="inlineStr">
        <is>
          <t>FR</t>
        </is>
      </c>
    </row>
    <row r="1943">
      <c r="A1943" t="n">
        <v>7051731</v>
      </c>
      <c r="B1943" t="inlineStr">
        <is>
          <t>Extension 5-3/4" FS Lg 900mm CA 8975
5-3/4" FS Sellers Pin x Box</t>
        </is>
      </c>
      <c r="C1943" t="n">
        <v>53.32924818</v>
      </c>
      <c r="D1943" s="62" t="inlineStr">
        <is>
          <t>5-3/4" FS</t>
        </is>
      </c>
      <c r="E1943" t="n">
        <v>900</v>
      </c>
      <c r="T1943" t="n">
        <v>25</v>
      </c>
    </row>
    <row r="1944">
      <c r="A1944" t="n">
        <v>4051732</v>
      </c>
      <c r="B1944" t="inlineStr">
        <is>
          <t>Safety Joint 4-3/4" OD 
3-1/2" IF Pin down x Box up</t>
        </is>
      </c>
      <c r="C1944" t="n">
        <v>60</v>
      </c>
      <c r="D1944" s="62" t="n">
        <v>4.75</v>
      </c>
      <c r="E1944" t="n">
        <v>1200</v>
      </c>
      <c r="T1944" t="n">
        <v>11</v>
      </c>
    </row>
    <row r="1945">
      <c r="A1945" t="n">
        <v>5161733</v>
      </c>
      <c r="B1945" t="inlineStr">
        <is>
          <t>WO Lift Sub for 3-1/2" DP 18°
5-1/2" FJWP Pin</t>
        </is>
      </c>
      <c r="C1945" t="n">
        <v>0</v>
      </c>
      <c r="D1945" s="62" t="n">
        <v>5.5</v>
      </c>
      <c r="E1945" t="n">
        <v>0</v>
      </c>
      <c r="T1945" t="n">
        <v>11</v>
      </c>
    </row>
    <row r="1946">
      <c r="A1946" t="n">
        <v>5161734</v>
      </c>
      <c r="B1946" t="inlineStr">
        <is>
          <t>WO Lift Sub for 3-1/2" DP 18°
5-1/2" FJWP Pin</t>
        </is>
      </c>
      <c r="C1946" t="n">
        <v>0</v>
      </c>
      <c r="D1946" s="62" t="n">
        <v>5.5</v>
      </c>
      <c r="E1946" t="n">
        <v>730</v>
      </c>
      <c r="T1946" t="n">
        <v>12</v>
      </c>
    </row>
    <row r="1947">
      <c r="A1947" t="n">
        <v>4051735</v>
      </c>
      <c r="B1947" t="inlineStr">
        <is>
          <t>Safety Joint 6-3/4" OD 
4-1/2" IF Pin down x Box up</t>
        </is>
      </c>
      <c r="C1947" t="n">
        <v>0</v>
      </c>
      <c r="D1947" s="62" t="n">
        <v>6.75</v>
      </c>
      <c r="E1947" t="n">
        <v>0</v>
      </c>
      <c r="T1947" t="n">
        <v>15</v>
      </c>
    </row>
    <row r="1948">
      <c r="A1948" t="n">
        <v>8061736</v>
      </c>
      <c r="B1948" t="inlineStr">
        <is>
          <t>Drill Collar 4-3/4"
3-1/2" IF Pin x Box</t>
        </is>
      </c>
      <c r="C1948" t="n">
        <v>650.518069929</v>
      </c>
      <c r="D1948" s="62" t="n">
        <v>4.75</v>
      </c>
      <c r="E1948" t="n">
        <v>9410</v>
      </c>
      <c r="T1948" t="n">
        <v>38</v>
      </c>
    </row>
    <row r="1949">
      <c r="A1949" t="n">
        <v>8061737</v>
      </c>
      <c r="B1949" t="inlineStr">
        <is>
          <t>Drill Collar 4-3/4"
3-1/2" IF Pin x Box</t>
        </is>
      </c>
      <c r="C1949" t="n">
        <v>650.518069929</v>
      </c>
      <c r="D1949" s="62" t="n">
        <v>4.75</v>
      </c>
      <c r="E1949" t="n">
        <v>9410</v>
      </c>
      <c r="T1949" t="n">
        <v>39</v>
      </c>
    </row>
    <row r="1950">
      <c r="A1950" t="n">
        <v>8061738</v>
      </c>
      <c r="B1950" t="inlineStr">
        <is>
          <t>Drill Collar 4-3/4"
3-1/2" IF Pin x Box</t>
        </is>
      </c>
      <c r="C1950" t="n">
        <v>650.518069929</v>
      </c>
      <c r="D1950" s="62" t="n">
        <v>4.75</v>
      </c>
      <c r="E1950" t="n">
        <v>9410</v>
      </c>
      <c r="T1950" t="n">
        <v>40</v>
      </c>
    </row>
    <row r="1951">
      <c r="A1951" t="n">
        <v>8061739</v>
      </c>
      <c r="B1951" t="inlineStr">
        <is>
          <t>Drill Collar 4-3/4"
3-1/2" IF Pin x Box</t>
        </is>
      </c>
      <c r="C1951" t="n">
        <v>650.518069929</v>
      </c>
      <c r="D1951" s="62" t="n">
        <v>4.75</v>
      </c>
      <c r="E1951" t="n">
        <v>9410</v>
      </c>
      <c r="T1951" t="n">
        <v>41</v>
      </c>
    </row>
    <row r="1952">
      <c r="A1952" t="n">
        <v>8061740</v>
      </c>
      <c r="B1952" t="inlineStr">
        <is>
          <t>Drill Collar 4-3/4"
3-1/2" IF Pin x Box</t>
        </is>
      </c>
      <c r="C1952" t="n">
        <v>650.518069929</v>
      </c>
      <c r="D1952" s="62" t="n">
        <v>4.75</v>
      </c>
      <c r="E1952" t="n">
        <v>9410</v>
      </c>
      <c r="T1952" t="n">
        <v>42</v>
      </c>
    </row>
    <row r="1953">
      <c r="A1953" t="n">
        <v>8061741</v>
      </c>
      <c r="B1953" t="inlineStr">
        <is>
          <t>Drill Collar 4-3/4"
3-1/2" IF Pin x Box</t>
        </is>
      </c>
      <c r="C1953" t="n">
        <v>650.518069929</v>
      </c>
      <c r="D1953" s="62" t="n">
        <v>4.75</v>
      </c>
      <c r="E1953" t="n">
        <v>9410</v>
      </c>
      <c r="T1953" t="n">
        <v>43</v>
      </c>
    </row>
    <row r="1954">
      <c r="A1954" t="n">
        <v>8061742</v>
      </c>
      <c r="B1954" t="inlineStr">
        <is>
          <t>Drill Collar 4-3/4"
3-1/2" IF Pin x Box</t>
        </is>
      </c>
      <c r="C1954" t="n">
        <v>651.209374998</v>
      </c>
      <c r="D1954" s="62" t="n">
        <v>4.75</v>
      </c>
      <c r="E1954" t="n">
        <v>9420</v>
      </c>
      <c r="T1954" t="n">
        <v>44</v>
      </c>
    </row>
    <row r="1955">
      <c r="A1955" t="n">
        <v>8061743</v>
      </c>
      <c r="B1955" t="inlineStr">
        <is>
          <t>Drill Collar 4-3/4"
3-1/2" IF Pin x Box</t>
        </is>
      </c>
      <c r="C1955" t="n">
        <v>650.518069929</v>
      </c>
      <c r="D1955" s="62" t="n">
        <v>4.75</v>
      </c>
      <c r="E1955" t="n">
        <v>9410</v>
      </c>
      <c r="T1955" t="n">
        <v>45</v>
      </c>
    </row>
    <row r="1956">
      <c r="A1956" t="n">
        <v>8061744</v>
      </c>
      <c r="B1956" t="inlineStr">
        <is>
          <t>Drill Collar 4-3/4"
3-1/2" IF Pin x Box</t>
        </is>
      </c>
      <c r="C1956" t="n">
        <v>649.82676486</v>
      </c>
      <c r="D1956" s="62" t="n">
        <v>4.75</v>
      </c>
      <c r="E1956" t="n">
        <v>9400</v>
      </c>
      <c r="T1956" t="n">
        <v>46</v>
      </c>
    </row>
    <row r="1957">
      <c r="A1957" t="n">
        <v>8061745</v>
      </c>
      <c r="B1957" t="inlineStr">
        <is>
          <t>Drill Collar 4-3/4"
3-1/2" IF Pin x Box</t>
        </is>
      </c>
      <c r="C1957" t="n">
        <v>650.518069929</v>
      </c>
      <c r="D1957" s="62" t="n">
        <v>4.75</v>
      </c>
      <c r="E1957" t="n">
        <v>9410</v>
      </c>
      <c r="T1957" t="n">
        <v>47</v>
      </c>
    </row>
    <row r="1958">
      <c r="A1958" t="n">
        <v>8061746</v>
      </c>
      <c r="B1958" t="inlineStr">
        <is>
          <t>Drill Collar 4-3/4"
3-1/2" IF Pin x Box</t>
        </is>
      </c>
      <c r="C1958" t="n">
        <v>649.82676486</v>
      </c>
      <c r="D1958" s="62" t="n">
        <v>4.75</v>
      </c>
      <c r="E1958" t="n">
        <v>9400</v>
      </c>
      <c r="T1958" t="n">
        <v>48</v>
      </c>
    </row>
    <row r="1959">
      <c r="A1959" t="n">
        <v>8061747</v>
      </c>
      <c r="B1959" t="inlineStr">
        <is>
          <t>Drill Collar 4-3/4"
3-1/2" IF Pin x Box</t>
        </is>
      </c>
      <c r="C1959" t="n">
        <v>649.82676486</v>
      </c>
      <c r="D1959" s="62" t="n">
        <v>4.75</v>
      </c>
      <c r="E1959" t="n">
        <v>9400</v>
      </c>
      <c r="T1959" t="n">
        <v>49</v>
      </c>
    </row>
    <row r="1960">
      <c r="A1960" t="n">
        <v>5141748</v>
      </c>
      <c r="B1960" t="inlineStr">
        <is>
          <t>DP Elevator for 2-3/8" DP 18°</t>
        </is>
      </c>
      <c r="C1960" t="n">
        <v>0</v>
      </c>
      <c r="D1960" s="62" t="inlineStr">
        <is>
          <t>2-3/8" DP</t>
        </is>
      </c>
      <c r="E1960" t="inlineStr">
        <is>
          <t>18°</t>
        </is>
      </c>
      <c r="T1960" t="n">
        <v>8</v>
      </c>
    </row>
    <row r="1961">
      <c r="A1961" t="n">
        <v>6024279</v>
      </c>
      <c r="B1961" t="inlineStr">
        <is>
          <t>PDC</t>
        </is>
      </c>
      <c r="C1961" t="inlineStr">
        <is>
          <t>Varel</t>
        </is>
      </c>
      <c r="D1961" s="62" t="n">
        <v>14.75</v>
      </c>
      <c r="E1961" t="inlineStr">
        <is>
          <t>V616DG1HX</t>
        </is>
      </c>
      <c r="T1961" t="e">
        <v>#N/A</v>
      </c>
    </row>
    <row r="1962">
      <c r="A1962" t="n">
        <v>6023482</v>
      </c>
      <c r="B1962" t="inlineStr">
        <is>
          <t>PDC</t>
        </is>
      </c>
      <c r="C1962" t="inlineStr">
        <is>
          <t>Varel</t>
        </is>
      </c>
      <c r="D1962" s="62" t="n">
        <v>12.25</v>
      </c>
      <c r="E1962" t="inlineStr">
        <is>
          <t>VTD713PDG1NX</t>
        </is>
      </c>
      <c r="T1962" t="e">
        <v>#N/A</v>
      </c>
    </row>
    <row r="1963">
      <c r="A1963" t="n">
        <v>60093571</v>
      </c>
      <c r="B1963" t="inlineStr">
        <is>
          <t>PDC</t>
        </is>
      </c>
      <c r="C1963" t="inlineStr">
        <is>
          <t>Varel</t>
        </is>
      </c>
      <c r="D1963" s="62" t="n">
        <v>12.25</v>
      </c>
      <c r="E1963" t="inlineStr">
        <is>
          <t>VTD716PDGX-A2</t>
        </is>
      </c>
      <c r="T1963" t="e">
        <v>#N/A</v>
      </c>
    </row>
    <row r="1964">
      <c r="A1964" t="n">
        <v>60065103</v>
      </c>
      <c r="B1964" t="inlineStr">
        <is>
          <t>PDC</t>
        </is>
      </c>
      <c r="C1964" t="inlineStr">
        <is>
          <t>Varel</t>
        </is>
      </c>
      <c r="D1964" s="62" t="n">
        <v>12.25</v>
      </c>
      <c r="E1964" t="inlineStr">
        <is>
          <t>VRP716DGX</t>
        </is>
      </c>
      <c r="T1964" t="e">
        <v>#N/A</v>
      </c>
    </row>
    <row r="1965">
      <c r="A1965" t="n">
        <v>60095932</v>
      </c>
      <c r="B1965" t="inlineStr">
        <is>
          <t>PDC</t>
        </is>
      </c>
      <c r="C1965" t="inlineStr">
        <is>
          <t>Varel</t>
        </is>
      </c>
      <c r="D1965" s="62" t="n">
        <v>12.25</v>
      </c>
      <c r="E1965" t="inlineStr">
        <is>
          <t>VTD616DGX</t>
        </is>
      </c>
      <c r="T1965" t="e">
        <v>#N/A</v>
      </c>
    </row>
    <row r="1966">
      <c r="A1966" t="n">
        <v>60169812</v>
      </c>
      <c r="B1966" t="inlineStr">
        <is>
          <t>PDC</t>
        </is>
      </c>
      <c r="C1966" t="inlineStr">
        <is>
          <t>Varel</t>
        </is>
      </c>
      <c r="D1966" s="62" t="n">
        <v>8.5</v>
      </c>
      <c r="E1966" t="inlineStr">
        <is>
          <t>VTD519X</t>
        </is>
      </c>
      <c r="T1966" t="e">
        <v>#N/A</v>
      </c>
    </row>
    <row r="1967">
      <c r="A1967" t="n">
        <v>60158143</v>
      </c>
      <c r="B1967" t="inlineStr">
        <is>
          <t>PDC</t>
        </is>
      </c>
      <c r="C1967" t="inlineStr">
        <is>
          <t>Varel</t>
        </is>
      </c>
      <c r="D1967" s="62" t="n">
        <v>5.875</v>
      </c>
      <c r="E1967" t="inlineStr">
        <is>
          <t>VTD813GN-A2</t>
        </is>
      </c>
      <c r="T1967" t="e">
        <v>#N/A</v>
      </c>
    </row>
    <row r="1968">
      <c r="A1968" t="n">
        <v>6026574</v>
      </c>
      <c r="B1968" t="inlineStr">
        <is>
          <t>PDC</t>
        </is>
      </c>
      <c r="C1968" t="inlineStr">
        <is>
          <t>Varel</t>
        </is>
      </c>
      <c r="D1968" s="62" t="n">
        <v>17.5</v>
      </c>
      <c r="E1968" t="inlineStr">
        <is>
          <t>EVOS816DG1XP</t>
        </is>
      </c>
      <c r="T1968" t="e">
        <v>#N/A</v>
      </c>
    </row>
    <row r="1969">
      <c r="A1969" t="inlineStr">
        <is>
          <t>6018493T2</t>
        </is>
      </c>
      <c r="B1969" t="inlineStr">
        <is>
          <t>PDC</t>
        </is>
      </c>
      <c r="C1969" t="inlineStr">
        <is>
          <t>Varel</t>
        </is>
      </c>
      <c r="D1969" s="62" t="n">
        <v>17.5</v>
      </c>
      <c r="E1969" t="inlineStr">
        <is>
          <t>V816PDG1X</t>
        </is>
      </c>
      <c r="T1969" t="e">
        <v>#N/A</v>
      </c>
    </row>
    <row r="1970">
      <c r="A1970" t="inlineStr">
        <is>
          <t>6009440T2</t>
        </is>
      </c>
      <c r="B1970" t="inlineStr">
        <is>
          <t>PDC</t>
        </is>
      </c>
      <c r="C1970" t="inlineStr">
        <is>
          <t>Varel</t>
        </is>
      </c>
      <c r="D1970" s="62" t="n">
        <v>8.5</v>
      </c>
      <c r="E1970" t="inlineStr">
        <is>
          <t>VTD616PDG</t>
        </is>
      </c>
      <c r="T1970" t="e">
        <v>#N/A</v>
      </c>
    </row>
    <row r="1971">
      <c r="A1971" t="inlineStr">
        <is>
          <t>6020069T1</t>
        </is>
      </c>
      <c r="B1971" t="inlineStr">
        <is>
          <t>PDC</t>
        </is>
      </c>
      <c r="C1971" t="inlineStr">
        <is>
          <t>Varel</t>
        </is>
      </c>
      <c r="D1971" s="62" t="n">
        <v>8.5</v>
      </c>
      <c r="E1971" t="inlineStr">
        <is>
          <t>R813PDGNX</t>
        </is>
      </c>
      <c r="T1971" t="e">
        <v>#N/A</v>
      </c>
    </row>
    <row r="1972">
      <c r="A1972" t="n">
        <v>6020805</v>
      </c>
      <c r="B1972" t="inlineStr">
        <is>
          <t>PDC</t>
        </is>
      </c>
      <c r="C1972" t="inlineStr">
        <is>
          <t>Varel</t>
        </is>
      </c>
      <c r="D1972" s="62" t="n">
        <v>6</v>
      </c>
      <c r="E1972" t="inlineStr">
        <is>
          <t>V713PDG1X</t>
        </is>
      </c>
      <c r="T1972" t="e">
        <v>#N/A</v>
      </c>
    </row>
    <row r="1973">
      <c r="A1973" t="inlineStr">
        <is>
          <t>6017882T1</t>
        </is>
      </c>
      <c r="B1973" t="inlineStr">
        <is>
          <t>PDC</t>
        </is>
      </c>
      <c r="C1973" t="inlineStr">
        <is>
          <t>Varel</t>
        </is>
      </c>
      <c r="D1973" s="62" t="n">
        <v>6</v>
      </c>
      <c r="E1973" t="inlineStr">
        <is>
          <t>V713PDG1X</t>
        </is>
      </c>
      <c r="T1973" t="e">
        <v>#N/A</v>
      </c>
    </row>
    <row r="1974">
      <c r="A1974" t="n">
        <v>5111762</v>
      </c>
      <c r="B1974" t="inlineStr">
        <is>
          <t>WO Shoe
5-1/2" FJWP Box</t>
        </is>
      </c>
      <c r="C1974" t="n">
        <v>17</v>
      </c>
      <c r="D1974" s="62" t="n">
        <v>6.125</v>
      </c>
      <c r="E1974" t="n">
        <v>555</v>
      </c>
      <c r="T1974" t="n">
        <v>112</v>
      </c>
      <c r="V1974" t="inlineStr">
        <is>
          <t>FR</t>
        </is>
      </c>
    </row>
    <row r="1975">
      <c r="A1975" t="n">
        <v>5111763</v>
      </c>
      <c r="B1975" t="inlineStr">
        <is>
          <t>WO Shoe
5-1/2" FJWP Box</t>
        </is>
      </c>
      <c r="C1975" t="n">
        <v>17</v>
      </c>
      <c r="D1975" s="62" t="n">
        <v>6.125</v>
      </c>
      <c r="E1975" t="n">
        <v>620</v>
      </c>
      <c r="T1975" t="n">
        <v>113</v>
      </c>
      <c r="V1975" t="inlineStr">
        <is>
          <t>FR</t>
        </is>
      </c>
    </row>
    <row r="1976">
      <c r="A1976" t="n">
        <v>5111764</v>
      </c>
      <c r="B1976" t="inlineStr">
        <is>
          <t>WO Shoe
5-1/2" FJWP Box</t>
        </is>
      </c>
      <c r="C1976" t="n">
        <v>17</v>
      </c>
      <c r="D1976" s="62" t="n">
        <v>5.875</v>
      </c>
      <c r="E1976" t="n">
        <v>555</v>
      </c>
      <c r="T1976" t="n">
        <v>114</v>
      </c>
      <c r="V1976" t="inlineStr">
        <is>
          <t>FR</t>
        </is>
      </c>
    </row>
    <row r="1977">
      <c r="A1977" t="n">
        <v>5111765</v>
      </c>
      <c r="B1977" t="inlineStr">
        <is>
          <t>WO Shoe
5-1/2" FJWP Box</t>
        </is>
      </c>
      <c r="C1977" t="n">
        <v>17</v>
      </c>
      <c r="D1977" s="62" t="n">
        <v>6.125</v>
      </c>
      <c r="E1977" t="n">
        <v>620</v>
      </c>
      <c r="T1977" t="n">
        <v>115</v>
      </c>
      <c r="V1977" t="inlineStr">
        <is>
          <t>FR</t>
        </is>
      </c>
    </row>
    <row r="1978">
      <c r="A1978" t="n">
        <v>5111766</v>
      </c>
      <c r="B1978" t="inlineStr">
        <is>
          <t>WO Shoe
5-1/2" FJWP Box</t>
        </is>
      </c>
      <c r="C1978" t="n">
        <v>17</v>
      </c>
      <c r="D1978" s="62" t="n">
        <v>6.125</v>
      </c>
      <c r="E1978" t="n">
        <v>620</v>
      </c>
      <c r="T1978" t="n">
        <v>116</v>
      </c>
      <c r="V1978" t="inlineStr">
        <is>
          <t>FR</t>
        </is>
      </c>
    </row>
    <row r="1979">
      <c r="A1979" t="n">
        <v>5111767</v>
      </c>
      <c r="B1979" t="inlineStr">
        <is>
          <t>WO Shoe
5-1/2" FJWP Box</t>
        </is>
      </c>
      <c r="C1979" t="n">
        <v>17</v>
      </c>
      <c r="D1979" s="62" t="n">
        <v>5.875</v>
      </c>
      <c r="E1979" t="n">
        <v>620</v>
      </c>
      <c r="T1979" t="n">
        <v>117</v>
      </c>
      <c r="V1979" t="inlineStr">
        <is>
          <t>FR</t>
        </is>
      </c>
    </row>
    <row r="1980">
      <c r="A1980" t="n">
        <v>5111768</v>
      </c>
      <c r="B1980" t="inlineStr">
        <is>
          <t>WO Shoe
5-1/2" FJWP Box</t>
        </is>
      </c>
      <c r="C1980" t="n">
        <v>17</v>
      </c>
      <c r="D1980" s="62" t="n">
        <v>6.125</v>
      </c>
      <c r="E1980" t="n">
        <v>620</v>
      </c>
      <c r="T1980" t="n">
        <v>118</v>
      </c>
      <c r="V1980" t="inlineStr">
        <is>
          <t>FR</t>
        </is>
      </c>
    </row>
    <row r="1981">
      <c r="A1981" t="n">
        <v>5111769</v>
      </c>
      <c r="B1981" t="inlineStr">
        <is>
          <t>WO Shoe
5-1/2" FJWP Box</t>
        </is>
      </c>
      <c r="C1981" t="n">
        <v>17</v>
      </c>
      <c r="D1981" s="62" t="n">
        <v>5.875</v>
      </c>
      <c r="E1981" t="n">
        <v>620</v>
      </c>
      <c r="T1981" t="n">
        <v>119</v>
      </c>
      <c r="V1981" t="inlineStr">
        <is>
          <t>FR</t>
        </is>
      </c>
    </row>
    <row r="1982">
      <c r="A1982" t="n">
        <v>5111770</v>
      </c>
      <c r="B1982" t="inlineStr">
        <is>
          <t>WO Shoe
5-1/2" FJWP Box</t>
        </is>
      </c>
      <c r="C1982" t="n">
        <v>17</v>
      </c>
      <c r="D1982" s="62" t="n">
        <v>6.125</v>
      </c>
      <c r="E1982" t="n">
        <v>620</v>
      </c>
      <c r="T1982" t="n">
        <v>120</v>
      </c>
      <c r="V1982" t="inlineStr">
        <is>
          <t>FR</t>
        </is>
      </c>
    </row>
    <row r="1983">
      <c r="A1983" t="n">
        <v>5111771</v>
      </c>
      <c r="B1983" t="inlineStr">
        <is>
          <t>WO Shoe
5-1/2" FJWP Box</t>
        </is>
      </c>
      <c r="C1983" t="n">
        <v>17</v>
      </c>
      <c r="D1983" s="62" t="n">
        <v>6.125</v>
      </c>
      <c r="E1983" t="n">
        <v>620</v>
      </c>
      <c r="T1983" t="n">
        <v>121</v>
      </c>
      <c r="V1983" t="inlineStr">
        <is>
          <t>FR</t>
        </is>
      </c>
    </row>
    <row r="1984">
      <c r="A1984" t="n">
        <v>5111772</v>
      </c>
      <c r="B1984" t="inlineStr">
        <is>
          <t>WO Shoe
5-1/2" FJWP Box</t>
        </is>
      </c>
      <c r="C1984" t="n">
        <v>17</v>
      </c>
      <c r="D1984" s="62" t="n">
        <v>6.125</v>
      </c>
      <c r="E1984" t="n">
        <v>620</v>
      </c>
      <c r="T1984" t="n">
        <v>122</v>
      </c>
      <c r="V1984" t="inlineStr">
        <is>
          <t>FR</t>
        </is>
      </c>
    </row>
    <row r="1985">
      <c r="A1985" t="n">
        <v>5111773</v>
      </c>
      <c r="B1985" t="inlineStr">
        <is>
          <t>WO Shoe
5-1/2" FJWP Box</t>
        </is>
      </c>
      <c r="C1985" t="n">
        <v>17</v>
      </c>
      <c r="D1985" s="62" t="n">
        <v>0</v>
      </c>
      <c r="E1985" t="n">
        <v>620</v>
      </c>
      <c r="T1985" t="n">
        <v>123</v>
      </c>
      <c r="V1985" t="inlineStr">
        <is>
          <t>FR</t>
        </is>
      </c>
    </row>
    <row r="1986">
      <c r="A1986" t="n">
        <v>1081774</v>
      </c>
      <c r="B1986" t="inlineStr">
        <is>
          <t>Reverse Circulating Junk Basket 15" OD Barrel 
7-5/8" REG Box</t>
        </is>
      </c>
      <c r="C1986" t="n">
        <v>0</v>
      </c>
      <c r="D1986" s="62" t="n">
        <v>15</v>
      </c>
      <c r="E1986" t="n">
        <v>1435</v>
      </c>
      <c r="T1986" t="n">
        <v>14</v>
      </c>
    </row>
    <row r="1987">
      <c r="A1987" t="n">
        <v>8111775</v>
      </c>
      <c r="B1987" t="inlineStr">
        <is>
          <t>String Stab
7-5/8" REG Pin SRG x 7-5/8" REG Box BB</t>
        </is>
      </c>
      <c r="C1987" t="n">
        <v>1970</v>
      </c>
      <c r="D1987" s="62" t="n">
        <v>24.0625</v>
      </c>
      <c r="E1987" t="n">
        <v>2490</v>
      </c>
      <c r="T1987" t="n">
        <v>109</v>
      </c>
      <c r="V1987" t="inlineStr">
        <is>
          <t>CH</t>
        </is>
      </c>
    </row>
    <row r="1988">
      <c r="A1988" t="n">
        <v>5111776</v>
      </c>
      <c r="B1988" t="inlineStr">
        <is>
          <t>WO Shoe
5-1/2" FJWP Box</t>
        </is>
      </c>
      <c r="C1988" t="n">
        <v>17</v>
      </c>
      <c r="D1988" s="62" t="n">
        <v>6.125</v>
      </c>
      <c r="E1988" t="inlineStr">
        <is>
          <t>&lt;600</t>
        </is>
      </c>
      <c r="T1988" t="n">
        <v>125</v>
      </c>
    </row>
    <row r="1989">
      <c r="A1989" t="n">
        <v>5111777</v>
      </c>
      <c r="B1989" t="inlineStr">
        <is>
          <t>WO Shoe
5-1/2" FJWP Box</t>
        </is>
      </c>
      <c r="C1989" t="n">
        <v>17</v>
      </c>
      <c r="D1989" s="62" t="n">
        <v>6.125</v>
      </c>
      <c r="E1989" t="n">
        <v>515</v>
      </c>
      <c r="T1989" t="n">
        <v>126</v>
      </c>
    </row>
    <row r="1990">
      <c r="A1990" t="n">
        <v>5091778</v>
      </c>
      <c r="B1990" t="inlineStr">
        <is>
          <t>WO Extension Lg 3000 mm
16" FJWP Pin x Box</t>
        </is>
      </c>
      <c r="C1990" t="n">
        <v>367.3792652399994</v>
      </c>
      <c r="D1990" s="62" t="n">
        <v>16</v>
      </c>
      <c r="E1990" t="n">
        <v>3000</v>
      </c>
      <c r="T1990" t="n">
        <v>143</v>
      </c>
      <c r="V1990" t="inlineStr">
        <is>
          <t>FR</t>
        </is>
      </c>
    </row>
    <row r="1991">
      <c r="A1991" t="n">
        <v>5091779</v>
      </c>
      <c r="B1991" t="inlineStr">
        <is>
          <t>WO Extension Lg 3000 mm
16" FJWP Pin x Box</t>
        </is>
      </c>
      <c r="C1991" t="n">
        <v>367.3792652399994</v>
      </c>
      <c r="D1991" s="62" t="n">
        <v>16</v>
      </c>
      <c r="E1991" t="n">
        <v>3000</v>
      </c>
      <c r="T1991" t="n">
        <v>144</v>
      </c>
      <c r="V1991" t="inlineStr">
        <is>
          <t>FR</t>
        </is>
      </c>
    </row>
    <row r="1992">
      <c r="A1992" t="n">
        <v>5091780</v>
      </c>
      <c r="B1992" t="inlineStr">
        <is>
          <t>WO Extension Lg 3000 mm
16" FJWP Pin x Box</t>
        </is>
      </c>
      <c r="C1992" t="n">
        <v>367.3792652399994</v>
      </c>
      <c r="D1992" s="62" t="n">
        <v>16</v>
      </c>
      <c r="E1992" t="n">
        <v>3000</v>
      </c>
      <c r="T1992" t="n">
        <v>145</v>
      </c>
      <c r="V1992" t="inlineStr">
        <is>
          <t>FR</t>
        </is>
      </c>
    </row>
    <row r="1993">
      <c r="A1993" t="n">
        <v>5091781</v>
      </c>
      <c r="B1993" t="inlineStr">
        <is>
          <t>WO Extension Lg 3000 mm
16" FJWP Pin x Box</t>
        </is>
      </c>
      <c r="C1993" t="n">
        <v>367.3792652399994</v>
      </c>
      <c r="D1993" s="62" t="n">
        <v>16</v>
      </c>
      <c r="E1993" t="n">
        <v>3000</v>
      </c>
      <c r="T1993" t="n">
        <v>146</v>
      </c>
      <c r="V1993" t="inlineStr">
        <is>
          <t>FR</t>
        </is>
      </c>
    </row>
    <row r="1994">
      <c r="A1994" t="n">
        <v>5091782</v>
      </c>
      <c r="B1994" t="inlineStr">
        <is>
          <t>WO Extension Lg 3000 mm
16" FJWP Pin x Box</t>
        </is>
      </c>
      <c r="C1994" t="n">
        <v>367.3792652399994</v>
      </c>
      <c r="D1994" s="62" t="n">
        <v>16</v>
      </c>
      <c r="E1994" t="n">
        <v>3000</v>
      </c>
      <c r="T1994" t="n">
        <v>147</v>
      </c>
      <c r="V1994" t="inlineStr">
        <is>
          <t>FR</t>
        </is>
      </c>
    </row>
    <row r="1995">
      <c r="A1995" t="n">
        <v>5091783</v>
      </c>
      <c r="B1995" t="inlineStr">
        <is>
          <t>WO Extension Lg 3000 mm
16" FJWP Pin x Box</t>
        </is>
      </c>
      <c r="C1995" t="n">
        <v>367.3792652399994</v>
      </c>
      <c r="D1995" s="62" t="n">
        <v>16</v>
      </c>
      <c r="E1995" t="n">
        <v>3000</v>
      </c>
      <c r="T1995" t="n">
        <v>148</v>
      </c>
      <c r="V1995" t="inlineStr">
        <is>
          <t>FR</t>
        </is>
      </c>
    </row>
    <row r="1996">
      <c r="A1996" t="n">
        <v>5091784</v>
      </c>
      <c r="B1996" t="inlineStr">
        <is>
          <t>WO Extension Lg 3000 mm
16" FJWP Pin x Box</t>
        </is>
      </c>
      <c r="C1996" t="n">
        <v>367.3792652399994</v>
      </c>
      <c r="D1996" s="62" t="n">
        <v>16</v>
      </c>
      <c r="E1996" t="n">
        <v>3000</v>
      </c>
      <c r="T1996" t="n">
        <v>149</v>
      </c>
      <c r="V1996" t="inlineStr">
        <is>
          <t>FR</t>
        </is>
      </c>
    </row>
    <row r="1997">
      <c r="A1997" t="n">
        <v>5091785</v>
      </c>
      <c r="B1997" t="inlineStr">
        <is>
          <t>WO Extension Lg 3000 mm
16" FJWP Pin x Box</t>
        </is>
      </c>
      <c r="C1997" t="n">
        <v>367.3792652399994</v>
      </c>
      <c r="D1997" s="62" t="n">
        <v>16</v>
      </c>
      <c r="E1997" t="n">
        <v>3000</v>
      </c>
      <c r="T1997" t="n">
        <v>150</v>
      </c>
      <c r="V1997" t="inlineStr">
        <is>
          <t>FR</t>
        </is>
      </c>
    </row>
    <row r="1998">
      <c r="A1998" t="n">
        <v>5091786</v>
      </c>
      <c r="B1998" t="inlineStr">
        <is>
          <t>WO Extension Lg 3000 mm
16" FJWP Pin x Box</t>
        </is>
      </c>
      <c r="C1998" t="n">
        <v>367.3792652399994</v>
      </c>
      <c r="D1998" s="62" t="n">
        <v>16</v>
      </c>
      <c r="E1998" t="n">
        <v>3000</v>
      </c>
      <c r="T1998" t="n">
        <v>151</v>
      </c>
      <c r="V1998" t="inlineStr">
        <is>
          <t>FR</t>
        </is>
      </c>
    </row>
    <row r="1999">
      <c r="A1999" t="n">
        <v>5091787</v>
      </c>
      <c r="B1999" t="inlineStr">
        <is>
          <t>WO Extension Lg 3000 mm
16" FJWP Pin x Box</t>
        </is>
      </c>
      <c r="C1999" t="n">
        <v>367.3792652399994</v>
      </c>
      <c r="D1999" s="62" t="n">
        <v>16</v>
      </c>
      <c r="E1999" t="n">
        <v>3000</v>
      </c>
      <c r="T1999" t="n">
        <v>152</v>
      </c>
      <c r="V1999" t="inlineStr">
        <is>
          <t>FR</t>
        </is>
      </c>
    </row>
    <row r="2000">
      <c r="A2000" t="n">
        <v>5091788</v>
      </c>
      <c r="B2000" t="inlineStr">
        <is>
          <t>WO Extension Lg 1000 mm
16" FJWP Pin x Box</t>
        </is>
      </c>
      <c r="C2000" t="n">
        <v>122.4597550799998</v>
      </c>
      <c r="D2000" s="62" t="n">
        <v>16</v>
      </c>
      <c r="E2000" t="n">
        <v>1000</v>
      </c>
      <c r="T2000" t="n">
        <v>142</v>
      </c>
      <c r="V2000" t="inlineStr">
        <is>
          <t>FR</t>
        </is>
      </c>
    </row>
    <row r="2001">
      <c r="A2001" t="n">
        <v>5111789</v>
      </c>
      <c r="B2001" t="inlineStr">
        <is>
          <t>WO Shoe
16" FJWP Box</t>
        </is>
      </c>
      <c r="C2001" t="n">
        <v>90.62021875919986</v>
      </c>
      <c r="D2001" s="62" t="n">
        <v>16.5</v>
      </c>
      <c r="E2001" t="n">
        <v>740</v>
      </c>
      <c r="T2001" t="n">
        <v>230</v>
      </c>
      <c r="V2001" t="inlineStr">
        <is>
          <t>FR</t>
        </is>
      </c>
    </row>
    <row r="2002">
      <c r="A2002" t="n">
        <v>5111790</v>
      </c>
      <c r="B2002" t="inlineStr">
        <is>
          <t>WO Shoe
16" FJWP Box</t>
        </is>
      </c>
      <c r="C2002" t="n">
        <v>90.62021875919986</v>
      </c>
      <c r="D2002" s="62" t="n">
        <v>16.5</v>
      </c>
      <c r="E2002" t="n">
        <v>740</v>
      </c>
      <c r="T2002" t="n">
        <v>231</v>
      </c>
      <c r="V2002" t="inlineStr">
        <is>
          <t>FR</t>
        </is>
      </c>
    </row>
    <row r="2003">
      <c r="A2003" t="n">
        <v>5111791</v>
      </c>
      <c r="B2003" t="inlineStr">
        <is>
          <t>WO Shoe
16" FJWP Box</t>
        </is>
      </c>
      <c r="C2003" t="n">
        <v>90.62021875919986</v>
      </c>
      <c r="D2003" s="62" t="n">
        <v>16.5</v>
      </c>
      <c r="E2003" t="n">
        <v>740</v>
      </c>
      <c r="T2003" t="n">
        <v>232</v>
      </c>
      <c r="V2003" t="inlineStr">
        <is>
          <t>FR</t>
        </is>
      </c>
    </row>
    <row r="2004">
      <c r="A2004" t="n">
        <v>5111792</v>
      </c>
      <c r="B2004" t="inlineStr">
        <is>
          <t>WO Shoe
16" FJWP Box</t>
        </is>
      </c>
      <c r="C2004" t="n">
        <v>90.62021875919986</v>
      </c>
      <c r="D2004" s="62" t="n">
        <v>16.5</v>
      </c>
      <c r="E2004" t="n">
        <v>740</v>
      </c>
      <c r="T2004" t="n">
        <v>233</v>
      </c>
      <c r="V2004" t="inlineStr">
        <is>
          <t>FR</t>
        </is>
      </c>
    </row>
    <row r="2005">
      <c r="A2005" t="n">
        <v>5121793</v>
      </c>
      <c r="B2005" t="inlineStr">
        <is>
          <t>WO Top Sub 
7-5/8" REG Box x 16" FJWP Pin</t>
        </is>
      </c>
      <c r="C2005" t="n">
        <v>0</v>
      </c>
      <c r="D2005" s="62" t="n">
        <v>16</v>
      </c>
      <c r="E2005" t="n">
        <v>1090</v>
      </c>
      <c r="T2005" t="n">
        <v>50</v>
      </c>
      <c r="V2005" t="inlineStr">
        <is>
          <t>FR</t>
        </is>
      </c>
    </row>
    <row r="2006">
      <c r="A2006" t="n">
        <v>5121794</v>
      </c>
      <c r="B2006" t="inlineStr">
        <is>
          <t>WO Top Sub 
7-5/8" REG Box x 16" FJWP Pin</t>
        </is>
      </c>
      <c r="C2006" t="n">
        <v>0</v>
      </c>
      <c r="D2006" s="62" t="n">
        <v>16</v>
      </c>
      <c r="E2006" t="n">
        <v>1090</v>
      </c>
      <c r="T2006" t="n">
        <v>51</v>
      </c>
      <c r="V2006" t="inlineStr">
        <is>
          <t>FR</t>
        </is>
      </c>
    </row>
    <row r="2007">
      <c r="A2007" t="n">
        <v>5151795</v>
      </c>
      <c r="B2007" t="inlineStr">
        <is>
          <t>WO Lift Plug 
16" FJWP Pin</t>
        </is>
      </c>
      <c r="C2007" t="n">
        <v>0</v>
      </c>
      <c r="D2007" s="62" t="n">
        <v>0</v>
      </c>
      <c r="T2007" t="n">
        <v>30</v>
      </c>
      <c r="V2007" t="inlineStr">
        <is>
          <t>FR</t>
        </is>
      </c>
    </row>
    <row r="2008">
      <c r="A2008" t="n">
        <v>5161796</v>
      </c>
      <c r="B2008" t="inlineStr">
        <is>
          <t>WO Lift Sub for 5" DP 18"
16" FJWP Pin</t>
        </is>
      </c>
      <c r="C2008" t="n">
        <v>0</v>
      </c>
      <c r="D2008" s="62" t="n">
        <v>16</v>
      </c>
      <c r="E2008" t="n">
        <v>0</v>
      </c>
      <c r="T2008" t="n">
        <v>19</v>
      </c>
      <c r="V2008" t="inlineStr">
        <is>
          <t>FR</t>
        </is>
      </c>
    </row>
    <row r="2009">
      <c r="A2009" t="n">
        <v>7021797</v>
      </c>
      <c r="B2009" t="inlineStr">
        <is>
          <t>Fishing Magnet 7" OD
4-1/2" IF Pin</t>
        </is>
      </c>
      <c r="C2009" t="n">
        <v>0</v>
      </c>
      <c r="D2009" s="62" t="n">
        <v>7</v>
      </c>
      <c r="E2009" t="n">
        <v>500</v>
      </c>
      <c r="T2009" t="n">
        <v>9</v>
      </c>
    </row>
    <row r="2010">
      <c r="A2010" t="n">
        <v>8041798</v>
      </c>
      <c r="B2010" t="inlineStr">
        <is>
          <t>Lift Sub 2-3/8" REG Pin
2-3/8" OD body for Elevator DP 18°</t>
        </is>
      </c>
      <c r="C2010" t="n">
        <v>0</v>
      </c>
      <c r="D2010" s="62" t="inlineStr">
        <is>
          <t>2-3/8"</t>
        </is>
      </c>
      <c r="E2010" t="inlineStr">
        <is>
          <t>750HT</t>
        </is>
      </c>
      <c r="T2010" t="n">
        <v>31</v>
      </c>
      <c r="V2010" t="inlineStr">
        <is>
          <t>FR</t>
        </is>
      </c>
    </row>
    <row r="2011">
      <c r="A2011" t="n">
        <v>8041799</v>
      </c>
      <c r="B2011" t="inlineStr">
        <is>
          <t>Lift Sub 2-3/8" REG Pin
2-3/8" OD body for Elevator DP 18°</t>
        </is>
      </c>
      <c r="C2011" t="n">
        <v>0</v>
      </c>
      <c r="D2011" s="62" t="inlineStr">
        <is>
          <t>2-3/8"</t>
        </is>
      </c>
      <c r="E2011" t="inlineStr">
        <is>
          <t>750HT</t>
        </is>
      </c>
      <c r="T2011" t="n">
        <v>32</v>
      </c>
      <c r="V2011" t="inlineStr">
        <is>
          <t>FR</t>
        </is>
      </c>
    </row>
    <row r="2012">
      <c r="A2012" t="n">
        <v>8041800</v>
      </c>
      <c r="B2012" t="inlineStr">
        <is>
          <t>Lift Sub 2-3/8" REG Pin
2-3/8" OD body for Elevator DP 18°</t>
        </is>
      </c>
      <c r="C2012" t="n">
        <v>0</v>
      </c>
      <c r="D2012" s="62" t="inlineStr">
        <is>
          <t>2-3/8"</t>
        </is>
      </c>
      <c r="E2012" t="inlineStr">
        <is>
          <t>750HT</t>
        </is>
      </c>
      <c r="T2012" t="n">
        <v>33</v>
      </c>
      <c r="V2012" t="inlineStr">
        <is>
          <t>FR</t>
        </is>
      </c>
    </row>
    <row r="2013">
      <c r="A2013" t="n">
        <v>8041801</v>
      </c>
      <c r="B2013" t="inlineStr">
        <is>
          <t>Lift Sub 2-3/8" REG Pin
2-3/8" OD body for Elevator DP 18°</t>
        </is>
      </c>
      <c r="C2013" t="n">
        <v>0</v>
      </c>
      <c r="D2013" s="62" t="inlineStr">
        <is>
          <t>2-3/8"</t>
        </is>
      </c>
      <c r="E2013" t="inlineStr">
        <is>
          <t>750HT</t>
        </is>
      </c>
      <c r="T2013" t="n">
        <v>34</v>
      </c>
      <c r="V2013" t="inlineStr">
        <is>
          <t>FR</t>
        </is>
      </c>
    </row>
    <row r="2014">
      <c r="A2014" t="n">
        <v>5101802</v>
      </c>
      <c r="B2014" t="inlineStr">
        <is>
          <t>WO Pipe
11-3/4" FJWP Pin x Box</t>
        </is>
      </c>
      <c r="C2014" t="n">
        <v>5072.12998071975</v>
      </c>
      <c r="D2014" s="62" t="n">
        <v>11.75</v>
      </c>
      <c r="E2014" t="n">
        <v>9300</v>
      </c>
      <c r="T2014" t="n">
        <v>156</v>
      </c>
      <c r="V2014" t="inlineStr">
        <is>
          <t>FR</t>
        </is>
      </c>
    </row>
    <row r="2015">
      <c r="A2015" t="n">
        <v>5101803</v>
      </c>
      <c r="B2015" t="inlineStr">
        <is>
          <t>WO Pipe
11-3/4" FJWP Pin x Box</t>
        </is>
      </c>
      <c r="C2015" t="n">
        <v>5072.12998071975</v>
      </c>
      <c r="D2015" s="62" t="n">
        <v>11.75</v>
      </c>
      <c r="E2015" t="n">
        <v>9300</v>
      </c>
      <c r="T2015" t="n">
        <v>157</v>
      </c>
      <c r="V2015" t="inlineStr">
        <is>
          <t>FR</t>
        </is>
      </c>
    </row>
    <row r="2016">
      <c r="A2016" t="n">
        <v>5101804</v>
      </c>
      <c r="B2016" t="inlineStr">
        <is>
          <t>WO Pipe
11-3/4" FJWP Pin x Box</t>
        </is>
      </c>
      <c r="C2016" t="n">
        <v>5072.12998071975</v>
      </c>
      <c r="D2016" s="62" t="n">
        <v>11.75</v>
      </c>
      <c r="E2016" t="n">
        <v>9300</v>
      </c>
      <c r="T2016" t="n">
        <v>158</v>
      </c>
      <c r="V2016" t="inlineStr">
        <is>
          <t>FR</t>
        </is>
      </c>
    </row>
    <row r="2017">
      <c r="A2017" t="n">
        <v>5091805</v>
      </c>
      <c r="B2017" t="inlineStr">
        <is>
          <t>WO Extension Lg 3000 mm
11-3/4" FJWP Pin x Box</t>
        </is>
      </c>
      <c r="C2017" t="n">
        <v>0</v>
      </c>
      <c r="D2017" s="62" t="n">
        <v>11.75</v>
      </c>
      <c r="E2017" t="n">
        <v>3000</v>
      </c>
      <c r="T2017" t="n">
        <v>135</v>
      </c>
      <c r="V2017" t="inlineStr">
        <is>
          <t>FR</t>
        </is>
      </c>
    </row>
    <row r="2018">
      <c r="A2018" t="n">
        <v>5091806</v>
      </c>
      <c r="B2018" t="inlineStr">
        <is>
          <t>WO Extension Lg 2000 mm
11-3/4" FJWP Pin x Box</t>
        </is>
      </c>
      <c r="C2018" t="n">
        <v>0</v>
      </c>
      <c r="D2018" s="62" t="n">
        <v>11.75</v>
      </c>
      <c r="E2018" t="n">
        <v>2000</v>
      </c>
      <c r="T2018" t="n">
        <v>134</v>
      </c>
      <c r="V2018" t="inlineStr">
        <is>
          <t>FR</t>
        </is>
      </c>
    </row>
    <row r="2019">
      <c r="A2019" t="n">
        <v>5091807</v>
      </c>
      <c r="B2019" t="inlineStr">
        <is>
          <t>WO Extension Lg 1000 mm
11-3/4" FJWP Pin x Box</t>
        </is>
      </c>
      <c r="C2019" t="n">
        <v>0</v>
      </c>
      <c r="D2019" s="62" t="n">
        <v>11.75</v>
      </c>
      <c r="E2019" t="n">
        <v>1000</v>
      </c>
      <c r="T2019" t="n">
        <v>133</v>
      </c>
      <c r="V2019" t="inlineStr">
        <is>
          <t>FR</t>
        </is>
      </c>
    </row>
    <row r="2020">
      <c r="A2020" t="n">
        <v>5091808</v>
      </c>
      <c r="B2020" t="inlineStr">
        <is>
          <t>WO Extension Lg 600 mm
8-5/8" FJWP Pin x Box</t>
        </is>
      </c>
      <c r="C2020" t="n">
        <v>29.33108649900002</v>
      </c>
      <c r="D2020" s="62" t="n">
        <v>8.625</v>
      </c>
      <c r="E2020" t="n">
        <v>600</v>
      </c>
      <c r="T2020" t="n">
        <v>102</v>
      </c>
    </row>
    <row r="2021">
      <c r="A2021" t="n">
        <v>5091809</v>
      </c>
      <c r="B2021" t="inlineStr">
        <is>
          <t>WO Extension Lg 1200 mm
8-5/8" FJWP Pin x Box</t>
        </is>
      </c>
      <c r="C2021" t="n">
        <v>58.66217299800004</v>
      </c>
      <c r="D2021" s="62" t="n">
        <v>8.625</v>
      </c>
      <c r="E2021" t="n">
        <v>1200</v>
      </c>
      <c r="T2021" t="n">
        <v>105</v>
      </c>
    </row>
    <row r="2022">
      <c r="A2022" t="n">
        <v>5090103</v>
      </c>
      <c r="B2022" t="inlineStr">
        <is>
          <t>WO Extension Lg 3120 mm
5-1/2" FJWP Pin x Box</t>
        </is>
      </c>
      <c r="C2022" t="n">
        <v>94.74829759979995</v>
      </c>
      <c r="D2022" s="62" t="n">
        <v>5.5</v>
      </c>
      <c r="E2022" t="n">
        <v>3120</v>
      </c>
      <c r="T2022" t="n">
        <v>57</v>
      </c>
    </row>
    <row r="2023">
      <c r="A2023" t="n">
        <v>7041810</v>
      </c>
      <c r="B2023" t="inlineStr">
        <is>
          <t>11-1/4" FS Overshot - CA C-12822
6-5/8" REG Box</t>
        </is>
      </c>
      <c r="C2023" t="n">
        <v>202</v>
      </c>
      <c r="D2023" s="62" t="inlineStr">
        <is>
          <t>11-1/4" FS</t>
        </is>
      </c>
      <c r="E2023" t="n">
        <v>950</v>
      </c>
      <c r="T2023" t="n">
        <v>88</v>
      </c>
    </row>
    <row r="2024">
      <c r="A2024" t="n">
        <v>7041811</v>
      </c>
      <c r="B2024" t="inlineStr">
        <is>
          <t>11-1/4" FS Overshot - CA C-12822
6-5/8" REG Box</t>
        </is>
      </c>
      <c r="C2024" t="n">
        <v>0</v>
      </c>
      <c r="D2024" s="62" t="inlineStr">
        <is>
          <t>11-1/4" FS</t>
        </is>
      </c>
      <c r="E2024" t="n">
        <v>530</v>
      </c>
      <c r="T2024" t="n">
        <v>89</v>
      </c>
    </row>
    <row r="2025">
      <c r="A2025" t="n">
        <v>7061812</v>
      </c>
      <c r="B2025" t="inlineStr">
        <is>
          <t>Oversize Guide 16" OD
11-1/4" FS Sellers Pin</t>
        </is>
      </c>
      <c r="C2025" t="n">
        <v>0</v>
      </c>
      <c r="D2025" s="62" t="inlineStr">
        <is>
          <t>16"</t>
        </is>
      </c>
      <c r="E2025" t="n">
        <v>0</v>
      </c>
      <c r="T2025" t="n">
        <v>40</v>
      </c>
    </row>
    <row r="2026">
      <c r="A2026" t="n">
        <v>7061813</v>
      </c>
      <c r="B2026" t="inlineStr">
        <is>
          <t>Oversize Guide 20" OD
11-1/4" FS Sellers Pin</t>
        </is>
      </c>
      <c r="C2026" t="n">
        <v>0</v>
      </c>
      <c r="D2026" s="62" t="inlineStr">
        <is>
          <t>20"</t>
        </is>
      </c>
      <c r="E2026" t="n">
        <v>0</v>
      </c>
      <c r="T2026" t="n">
        <v>41</v>
      </c>
    </row>
    <row r="2027">
      <c r="A2027" t="n">
        <v>7041814</v>
      </c>
      <c r="B2027" t="inlineStr">
        <is>
          <t>8-1/8" FS Overshot - CA C-5342
4-1/2" IF Box</t>
        </is>
      </c>
      <c r="C2027" t="n">
        <v>0</v>
      </c>
      <c r="D2027" s="62" t="inlineStr">
        <is>
          <t>8-1/8" FS</t>
        </is>
      </c>
      <c r="E2027" t="n">
        <v>510</v>
      </c>
      <c r="T2027" t="n">
        <v>63</v>
      </c>
    </row>
    <row r="2028">
      <c r="A2028" t="n">
        <v>7051815</v>
      </c>
      <c r="B2028" t="inlineStr">
        <is>
          <t>Extension 8-1/8" FS Lg 1000mm CA C-5342
8-1/8" FS Sellers Pin x Box</t>
        </is>
      </c>
      <c r="C2028" t="n">
        <v>0</v>
      </c>
      <c r="D2028" s="62" t="inlineStr">
        <is>
          <t>8-1/8" FS</t>
        </is>
      </c>
      <c r="E2028" t="n">
        <v>1000</v>
      </c>
      <c r="T2028" t="n">
        <v>46</v>
      </c>
    </row>
    <row r="2029">
      <c r="A2029" t="n">
        <v>7061816</v>
      </c>
      <c r="B2029" t="inlineStr">
        <is>
          <t>Oversize Guide 11" OD
8-1/8" FS Sellers Pin</t>
        </is>
      </c>
      <c r="C2029" t="n">
        <v>0</v>
      </c>
      <c r="D2029" s="62" t="inlineStr">
        <is>
          <t>11"</t>
        </is>
      </c>
      <c r="E2029" t="n">
        <v>0</v>
      </c>
      <c r="T2029" t="n">
        <v>22</v>
      </c>
    </row>
    <row r="2030">
      <c r="A2030" t="n">
        <v>7061817</v>
      </c>
      <c r="B2030" t="inlineStr">
        <is>
          <t>Oversize Guide 15" OD
8-1/8" FS Sellers Pin</t>
        </is>
      </c>
      <c r="C2030" t="n">
        <v>0</v>
      </c>
      <c r="D2030" s="62" t="inlineStr">
        <is>
          <t>15"</t>
        </is>
      </c>
      <c r="E2030" t="n">
        <v>0</v>
      </c>
      <c r="T2030" t="n">
        <v>23</v>
      </c>
    </row>
    <row r="2031">
      <c r="A2031" t="n">
        <v>7061818</v>
      </c>
      <c r="B2031" t="inlineStr">
        <is>
          <t>Oversize Guide 22" OD
8-1/8" FS Sellers Pin</t>
        </is>
      </c>
      <c r="C2031" t="n">
        <v>0</v>
      </c>
      <c r="D2031" s="62" t="inlineStr">
        <is>
          <t>22"</t>
        </is>
      </c>
      <c r="E2031" t="n">
        <v>0</v>
      </c>
      <c r="T2031" t="n">
        <v>24</v>
      </c>
    </row>
    <row r="2032">
      <c r="A2032" t="n">
        <v>5101818</v>
      </c>
      <c r="B2032" t="inlineStr">
        <is>
          <t>WO Pipe
5-1/2" FJWP Pin x Box</t>
        </is>
      </c>
      <c r="C2032" t="n">
        <v>243.3455566546875</v>
      </c>
      <c r="D2032" s="62" t="n">
        <v>5.5</v>
      </c>
      <c r="E2032" t="n">
        <v>9500</v>
      </c>
      <c r="T2032" t="n">
        <v>77</v>
      </c>
      <c r="V2032" t="inlineStr">
        <is>
          <t>FR</t>
        </is>
      </c>
    </row>
    <row r="2033">
      <c r="A2033" t="n">
        <v>7041819</v>
      </c>
      <c r="B2033" t="inlineStr">
        <is>
          <t>7-3/4" SH Overshot - CA 9134
4-1/2" IF Box</t>
        </is>
      </c>
      <c r="C2033" t="n">
        <v>0</v>
      </c>
      <c r="D2033" s="62" t="inlineStr">
        <is>
          <t>7-3/4" SH</t>
        </is>
      </c>
      <c r="E2033" t="n">
        <v>870</v>
      </c>
      <c r="T2033" t="n">
        <v>51</v>
      </c>
    </row>
    <row r="2034">
      <c r="A2034" t="n">
        <v>7041820</v>
      </c>
      <c r="B2034" t="inlineStr">
        <is>
          <t>7-3/4" Heavy Wall Overshot - CA ?
4-1/2" IF Box</t>
        </is>
      </c>
      <c r="C2034" t="n">
        <v>0</v>
      </c>
      <c r="D2034" s="62" t="inlineStr">
        <is>
          <t>7-3/4" Heavy Wall</t>
        </is>
      </c>
      <c r="E2034" t="n">
        <v>880</v>
      </c>
      <c r="T2034" t="n">
        <v>54</v>
      </c>
    </row>
    <row r="2035">
      <c r="A2035" t="n">
        <v>7041821</v>
      </c>
      <c r="B2035" t="inlineStr">
        <is>
          <t>5-7/8" SH Overshot - CA C-5171
3-1/2" IF Box</t>
        </is>
      </c>
      <c r="C2035" t="n">
        <v>0</v>
      </c>
      <c r="D2035" s="62" t="inlineStr">
        <is>
          <t>5-7/8" SH</t>
        </is>
      </c>
      <c r="E2035" t="n">
        <v>1050</v>
      </c>
      <c r="T2035" t="n">
        <v>42</v>
      </c>
    </row>
    <row r="2036">
      <c r="A2036" t="n">
        <v>7051822</v>
      </c>
      <c r="B2036" t="inlineStr">
        <is>
          <t>Extension 11-1/4" FS Lg 830mm CA C12822
11-1/4" FS Sellers Pin x Box</t>
        </is>
      </c>
      <c r="C2036" t="n">
        <v>0</v>
      </c>
      <c r="D2036" s="62" t="inlineStr">
        <is>
          <t>11-1/4" FS</t>
        </is>
      </c>
      <c r="E2036" t="n">
        <v>830</v>
      </c>
      <c r="T2036" t="n">
        <v>70</v>
      </c>
    </row>
    <row r="2037">
      <c r="A2037" t="n">
        <v>5031823</v>
      </c>
      <c r="B2037" t="inlineStr">
        <is>
          <t>Junk Mill 
7-5/8" REG Pin</t>
        </is>
      </c>
      <c r="C2037" t="n">
        <v>0</v>
      </c>
      <c r="D2037" s="62" t="n">
        <v>16.4375</v>
      </c>
      <c r="E2037" t="n">
        <v>0</v>
      </c>
      <c r="T2037" t="n">
        <v>92</v>
      </c>
    </row>
    <row r="2038">
      <c r="A2038" t="n">
        <v>1081824</v>
      </c>
      <c r="B2038" t="inlineStr">
        <is>
          <t>Reverse Circulating Junk Basket 11" OD Barrel 
6-5/8" REG Box</t>
        </is>
      </c>
      <c r="C2038" t="n">
        <v>0</v>
      </c>
      <c r="D2038" s="62" t="n">
        <v>11</v>
      </c>
      <c r="E2038" t="n">
        <v>1590</v>
      </c>
      <c r="T2038" t="n">
        <v>13</v>
      </c>
    </row>
    <row r="2039">
      <c r="A2039" t="n">
        <v>1081825</v>
      </c>
      <c r="B2039" t="inlineStr">
        <is>
          <t>Reverse Circulating Junk Basket 7-7/8" OD Barrel 
4" IF Box</t>
        </is>
      </c>
      <c r="C2039" t="n">
        <v>150</v>
      </c>
      <c r="D2039" s="62" t="n">
        <v>7.875</v>
      </c>
      <c r="E2039" t="n">
        <v>1230</v>
      </c>
      <c r="T2039" t="n">
        <v>9</v>
      </c>
    </row>
    <row r="2040">
      <c r="A2040" t="n">
        <v>7161826</v>
      </c>
      <c r="B2040" t="inlineStr">
        <is>
          <t>T-Dog 5-3/4" OD
5-1/2" FJWP Pin x 5-1/2" FJWP Box</t>
        </is>
      </c>
      <c r="C2040" t="n">
        <v>60</v>
      </c>
      <c r="D2040" s="62" t="n">
        <v>5.75</v>
      </c>
      <c r="E2040" t="n">
        <v>0</v>
      </c>
      <c r="T2040" t="n">
        <v>16</v>
      </c>
      <c r="V2040" t="inlineStr">
        <is>
          <t>US</t>
        </is>
      </c>
    </row>
    <row r="2041">
      <c r="A2041" t="n">
        <v>7091827</v>
      </c>
      <c r="B2041" t="inlineStr">
        <is>
          <t>Taper Tap 6 1/8" to catch from X" to X"
Lg catch Xmm
4-1/2" IF Box</t>
        </is>
      </c>
      <c r="C2041" t="n">
        <v>65</v>
      </c>
      <c r="D2041" s="62" t="n">
        <v>6.125</v>
      </c>
      <c r="E2041" t="n">
        <v>920</v>
      </c>
      <c r="T2041" t="n">
        <v>26</v>
      </c>
    </row>
    <row r="2042">
      <c r="A2042" t="n">
        <v>7091828</v>
      </c>
      <c r="B2042" t="inlineStr">
        <is>
          <t>Taper Tap 8" to catch from X" to X"
Lg catch Xmm
6-5/8" REG Box</t>
        </is>
      </c>
      <c r="C2042" t="n">
        <v>0</v>
      </c>
      <c r="D2042" s="62" t="n">
        <v>8</v>
      </c>
      <c r="E2042" t="n">
        <v>1240</v>
      </c>
      <c r="T2042" t="n">
        <v>35</v>
      </c>
    </row>
    <row r="2043">
      <c r="A2043" t="n">
        <v>7021829</v>
      </c>
      <c r="B2043" t="inlineStr">
        <is>
          <t>Fishing Magnet 11-1/2" OD
6-5/8" REG Pin</t>
        </is>
      </c>
      <c r="C2043" t="n">
        <v>200</v>
      </c>
      <c r="D2043" s="62" t="n">
        <v>11.5</v>
      </c>
      <c r="E2043" t="n">
        <v>750</v>
      </c>
      <c r="T2043" t="n">
        <v>13</v>
      </c>
    </row>
    <row r="2044">
      <c r="A2044" t="n">
        <v>4031830</v>
      </c>
      <c r="B2044" t="inlineStr">
        <is>
          <t>Jar Z 8" 
6-5/8" REG Pin down  x Box up</t>
        </is>
      </c>
      <c r="C2044" t="n">
        <v>0</v>
      </c>
      <c r="D2044" s="62" t="n">
        <v>8</v>
      </c>
      <c r="E2044" t="n">
        <v>2560</v>
      </c>
      <c r="T2044" t="n">
        <v>28</v>
      </c>
    </row>
    <row r="2045">
      <c r="A2045" t="n">
        <v>1091831</v>
      </c>
      <c r="B2045" t="inlineStr">
        <is>
          <t>Junk Sub 6-1/2" OD cup 
4-1/2" REG Pin up x 4-1/2" REG Box down</t>
        </is>
      </c>
      <c r="C2045" t="n">
        <v>0</v>
      </c>
      <c r="D2045" s="62" t="n">
        <v>6.5</v>
      </c>
      <c r="E2045" t="n">
        <v>820</v>
      </c>
      <c r="T2045" t="n">
        <v>23</v>
      </c>
    </row>
    <row r="2046">
      <c r="A2046" t="n">
        <v>1091832</v>
      </c>
      <c r="B2046" t="inlineStr">
        <is>
          <t>Junk Sub 9-5/8" OD cup 
6-5/8" REG Pin up x 6-5/8" REG Box down</t>
        </is>
      </c>
      <c r="C2046" t="n">
        <v>150</v>
      </c>
      <c r="D2046" s="62" t="n">
        <v>9.625</v>
      </c>
      <c r="E2046" t="n">
        <v>800</v>
      </c>
      <c r="T2046" t="n">
        <v>37</v>
      </c>
    </row>
    <row r="2047">
      <c r="A2047" t="n">
        <v>1091833</v>
      </c>
      <c r="B2047" t="inlineStr">
        <is>
          <t>Junk Sub 12-3/4" OD cup 
7-5/8" REG Pin up x 7-5/8" REG Box down</t>
        </is>
      </c>
      <c r="C2047" t="n">
        <v>0</v>
      </c>
      <c r="D2047" s="62" t="n">
        <v>12.75</v>
      </c>
      <c r="E2047" t="n">
        <v>690</v>
      </c>
      <c r="T2047" t="n">
        <v>42</v>
      </c>
    </row>
    <row r="2048">
      <c r="A2048" t="n">
        <v>1071834</v>
      </c>
      <c r="B2048" t="inlineStr">
        <is>
          <t>Jetting Sub 7-7/8" OD
X x X</t>
        </is>
      </c>
      <c r="C2048" t="n">
        <v>0</v>
      </c>
      <c r="D2048" s="62" t="n">
        <v>7.875</v>
      </c>
      <c r="E2048" t="n">
        <v>430</v>
      </c>
      <c r="T2048" t="n">
        <v>10</v>
      </c>
    </row>
    <row r="2049">
      <c r="A2049" t="n">
        <v>8011835</v>
      </c>
      <c r="B2049" t="inlineStr">
        <is>
          <t>Bull Nose 9-5/8" OD
7-5/8" REG Pin</t>
        </is>
      </c>
      <c r="C2049" t="n">
        <v>0</v>
      </c>
      <c r="D2049" s="62" t="n">
        <v>7.125</v>
      </c>
      <c r="E2049" t="n">
        <v>610</v>
      </c>
      <c r="T2049" t="n">
        <v>18</v>
      </c>
    </row>
    <row r="2050">
      <c r="A2050" t="n">
        <v>8131836</v>
      </c>
      <c r="B2050" t="inlineStr">
        <is>
          <t>XO
4-1/2" IF Pin x 3-1/2" IF Box</t>
        </is>
      </c>
      <c r="C2050" t="n">
        <v>0</v>
      </c>
      <c r="D2050" s="62" t="n">
        <v>0</v>
      </c>
      <c r="E2050" t="n">
        <v>990</v>
      </c>
      <c r="T2050" t="n">
        <v>162</v>
      </c>
    </row>
    <row r="2051">
      <c r="A2051" t="n">
        <v>8021837</v>
      </c>
      <c r="B2051" t="inlineStr">
        <is>
          <t>Bit Sub
HT55 Box x 6-5/8" REG Box</t>
        </is>
      </c>
      <c r="C2051" t="n">
        <v>73.51597343146874</v>
      </c>
      <c r="D2051" s="62" t="n">
        <v>7.375</v>
      </c>
      <c r="E2051" t="n">
        <v>410</v>
      </c>
      <c r="T2051" t="n">
        <v>55</v>
      </c>
    </row>
    <row r="2052">
      <c r="A2052" t="n">
        <v>5071838</v>
      </c>
      <c r="B2052" t="inlineStr">
        <is>
          <t>Super Junk Mill 
6-5/8" REG Pin</t>
        </is>
      </c>
      <c r="C2052" t="n">
        <v>0</v>
      </c>
      <c r="D2052" s="62" t="n">
        <v>11.5</v>
      </c>
      <c r="E2052" t="n">
        <v>650</v>
      </c>
      <c r="T2052" t="n">
        <v>79</v>
      </c>
    </row>
    <row r="2053">
      <c r="A2053" t="n">
        <v>5021839</v>
      </c>
      <c r="B2053" t="inlineStr">
        <is>
          <t>Economill 
4-1/2" REG Pin</t>
        </is>
      </c>
      <c r="C2053" t="n">
        <v>0</v>
      </c>
      <c r="D2053" s="62" t="n">
        <v>8</v>
      </c>
      <c r="E2053" t="n">
        <v>0</v>
      </c>
      <c r="T2053" t="n">
        <v>51</v>
      </c>
    </row>
    <row r="2054">
      <c r="A2054" t="n">
        <v>4021840</v>
      </c>
      <c r="B2054" t="inlineStr">
        <is>
          <t>Bumper Sub 8" OD
6-5/8" REG Pin down x Box up</t>
        </is>
      </c>
      <c r="C2054" t="n">
        <v>280</v>
      </c>
      <c r="D2054" s="62" t="n">
        <v>8</v>
      </c>
      <c r="E2054" t="n">
        <v>1470</v>
      </c>
      <c r="T2054" t="n">
        <v>34</v>
      </c>
    </row>
    <row r="2055">
      <c r="A2055" t="n">
        <v>7021841</v>
      </c>
      <c r="B2055" t="inlineStr">
        <is>
          <t>Fishing Magnet 7" OD
4-1/2" REG Pin</t>
        </is>
      </c>
      <c r="C2055" t="n">
        <v>0</v>
      </c>
      <c r="D2055" s="62" t="n">
        <v>7</v>
      </c>
      <c r="E2055" t="n">
        <v>510</v>
      </c>
      <c r="T2055" t="n">
        <v>10</v>
      </c>
    </row>
    <row r="2056">
      <c r="A2056" t="n">
        <v>5091842</v>
      </c>
      <c r="B2056" t="inlineStr">
        <is>
          <t>WO Extension Lg 2190 mm
16" FJWP Pin x Box</t>
        </is>
      </c>
      <c r="C2056" t="n">
        <v>268.1868636251996</v>
      </c>
      <c r="D2056" s="62" t="n">
        <v>16</v>
      </c>
      <c r="E2056" t="n">
        <v>2190</v>
      </c>
      <c r="T2056" t="n">
        <v>153</v>
      </c>
      <c r="V2056" t="inlineStr">
        <is>
          <t>FR</t>
        </is>
      </c>
    </row>
    <row r="2057">
      <c r="A2057" t="n">
        <v>5091843</v>
      </c>
      <c r="B2057" t="inlineStr">
        <is>
          <t>WO Extension Lg 2010 mm
16" FJWP Pin x Box</t>
        </is>
      </c>
      <c r="C2057" t="n">
        <v>246.1441077107996</v>
      </c>
      <c r="D2057" s="62" t="n">
        <v>16</v>
      </c>
      <c r="E2057" t="n">
        <v>2010</v>
      </c>
      <c r="T2057" t="n">
        <v>154</v>
      </c>
      <c r="V2057" t="inlineStr">
        <is>
          <t>FR</t>
        </is>
      </c>
    </row>
    <row r="2058">
      <c r="A2058" t="n">
        <v>5091844</v>
      </c>
      <c r="B2058" t="inlineStr">
        <is>
          <t>WO Extension Lg 1680 mm
16" FJWP Pin x Box</t>
        </is>
      </c>
      <c r="C2058" t="n">
        <v>205.7323885343997</v>
      </c>
      <c r="D2058" s="62" t="n">
        <v>16</v>
      </c>
      <c r="E2058" t="n">
        <v>1680</v>
      </c>
      <c r="T2058" t="n">
        <v>155</v>
      </c>
      <c r="V2058" t="inlineStr">
        <is>
          <t>FR</t>
        </is>
      </c>
    </row>
    <row r="2059">
      <c r="A2059" t="n">
        <v>5091845</v>
      </c>
      <c r="B2059" t="inlineStr">
        <is>
          <t>WO Extension Lg 1460 mm
16" FJWP Pin x Box</t>
        </is>
      </c>
      <c r="C2059" t="n">
        <v>178.7912424167997</v>
      </c>
      <c r="D2059" s="62" t="n">
        <v>16</v>
      </c>
      <c r="E2059" t="n">
        <v>1460</v>
      </c>
      <c r="T2059" t="n">
        <v>156</v>
      </c>
      <c r="V2059" t="inlineStr">
        <is>
          <t>FR</t>
        </is>
      </c>
    </row>
    <row r="2060">
      <c r="A2060" t="n">
        <v>7011846</v>
      </c>
      <c r="B2060" t="inlineStr">
        <is>
          <t>Die Collar 7-7/8" OD to catch from Ø -3/4" to 6-3/8" 
Lg catch 350mm
4-1/2" IF Box</t>
        </is>
      </c>
      <c r="C2060" t="n">
        <v>0</v>
      </c>
      <c r="D2060" s="62" t="n">
        <v>7.875</v>
      </c>
      <c r="E2060" t="n">
        <v>550</v>
      </c>
      <c r="T2060" t="n">
        <v>13</v>
      </c>
    </row>
    <row r="2061">
      <c r="A2061" t="n">
        <v>7051847</v>
      </c>
      <c r="B2061" t="inlineStr">
        <is>
          <t>Extension 7-3/4" SH Lg 665mm CA 4785
7-3/4" SH Sellers Pin x Box</t>
        </is>
      </c>
      <c r="C2061" t="n">
        <v>0</v>
      </c>
      <c r="D2061" s="62" t="inlineStr">
        <is>
          <t>7-3/4" SH</t>
        </is>
      </c>
      <c r="E2061" t="n">
        <v>665</v>
      </c>
      <c r="T2061" t="n">
        <v>34</v>
      </c>
    </row>
    <row r="2062">
      <c r="A2062" t="n">
        <v>7011848</v>
      </c>
      <c r="B2062" t="inlineStr">
        <is>
          <t>Die Collar 7-5/8" OD 2 step to catch from Ø 4-9/16" to 6-3/8" 
Lg catch 280+180mm
4-1/2" IF Box</t>
        </is>
      </c>
      <c r="C2062" t="n">
        <v>0</v>
      </c>
      <c r="D2062" s="62" t="n">
        <v>7.625</v>
      </c>
      <c r="E2062" t="n">
        <v>870</v>
      </c>
      <c r="T2062" t="n">
        <v>12</v>
      </c>
    </row>
    <row r="2063">
      <c r="A2063" t="n">
        <v>1061849</v>
      </c>
      <c r="B2063" t="inlineStr">
        <is>
          <t>Impression Block 12-1/4" 
6-5/8" REG Pin</t>
        </is>
      </c>
      <c r="C2063" t="n">
        <v>250</v>
      </c>
      <c r="D2063" s="62" t="n">
        <v>11</v>
      </c>
      <c r="E2063" t="n">
        <v>600</v>
      </c>
      <c r="T2063" t="n">
        <v>24</v>
      </c>
    </row>
    <row r="2064">
      <c r="A2064" t="n">
        <v>5031850</v>
      </c>
      <c r="B2064" t="inlineStr">
        <is>
          <t>Junk Mill 
NPT ? 1-13"16</t>
        </is>
      </c>
      <c r="C2064" t="n">
        <v>0</v>
      </c>
      <c r="D2064" s="62" t="n">
        <v>2.75</v>
      </c>
      <c r="E2064" t="n">
        <v>0</v>
      </c>
      <c r="T2064" t="n">
        <v>6</v>
      </c>
    </row>
    <row r="2065">
      <c r="A2065" t="n">
        <v>8081851</v>
      </c>
      <c r="B2065" t="inlineStr">
        <is>
          <t>Extension 4-1/4" OD
3-1/2" REG Pin x Box</t>
        </is>
      </c>
      <c r="C2065" t="n">
        <v>16.24073122815</v>
      </c>
      <c r="D2065" s="62" t="n">
        <v>4.25</v>
      </c>
      <c r="E2065" t="n">
        <v>260</v>
      </c>
      <c r="T2065" t="n">
        <v>11</v>
      </c>
    </row>
    <row r="2066">
      <c r="A2066" t="n">
        <v>5021852</v>
      </c>
      <c r="B2066" t="inlineStr">
        <is>
          <t>Economill 
3-1/2" REG Pin</t>
        </is>
      </c>
      <c r="C2066" t="n">
        <v>12</v>
      </c>
      <c r="D2066" s="62" t="n">
        <v>5.75</v>
      </c>
      <c r="E2066" t="n">
        <v>110</v>
      </c>
      <c r="T2066" t="n">
        <v>24</v>
      </c>
    </row>
    <row r="2067">
      <c r="A2067" t="n">
        <v>5071853</v>
      </c>
      <c r="B2067" t="inlineStr">
        <is>
          <t>Super Junk Mill 
3-1/2" REG Pin</t>
        </is>
      </c>
      <c r="C2067" t="n">
        <v>0</v>
      </c>
      <c r="D2067" s="62" t="n">
        <v>5.5625</v>
      </c>
      <c r="E2067" t="n">
        <v>440</v>
      </c>
      <c r="T2067" t="n">
        <v>27</v>
      </c>
    </row>
    <row r="2068">
      <c r="A2068" t="n">
        <v>5071854</v>
      </c>
      <c r="B2068" t="inlineStr">
        <is>
          <t>Super Junk Mill 
3-1/2" REG Pin</t>
        </is>
      </c>
      <c r="C2068" t="n">
        <v>0</v>
      </c>
      <c r="D2068" s="62" t="n">
        <v>5.625</v>
      </c>
      <c r="E2068" t="n">
        <v>570</v>
      </c>
      <c r="T2068" t="n">
        <v>26</v>
      </c>
    </row>
    <row r="2069">
      <c r="A2069" t="n">
        <v>5071855</v>
      </c>
      <c r="B2069" t="inlineStr">
        <is>
          <t>Super Junk Mill 
3-1/2" REG Pin</t>
        </is>
      </c>
      <c r="C2069" t="n">
        <v>0</v>
      </c>
      <c r="D2069" s="62" t="n">
        <v>6</v>
      </c>
      <c r="E2069" t="n">
        <v>550</v>
      </c>
      <c r="T2069" t="n">
        <v>53</v>
      </c>
    </row>
    <row r="2070">
      <c r="A2070" t="n">
        <v>8081856</v>
      </c>
      <c r="B2070" t="inlineStr">
        <is>
          <t>Extension 4-5/8" OD
3-1/2" REG Pin x Box</t>
        </is>
      </c>
      <c r="C2070" t="n">
        <v>23.43956249578125</v>
      </c>
      <c r="D2070" s="62" t="n">
        <v>4.625</v>
      </c>
      <c r="E2070" t="n">
        <v>310</v>
      </c>
      <c r="T2070" t="n">
        <v>13</v>
      </c>
    </row>
    <row r="2071">
      <c r="A2071" t="n">
        <v>5021857</v>
      </c>
      <c r="B2071" t="inlineStr">
        <is>
          <t>Economill 
3-1/2" REG Pin</t>
        </is>
      </c>
      <c r="C2071" t="n">
        <v>20</v>
      </c>
      <c r="D2071" s="62" t="n">
        <v>5.9375</v>
      </c>
      <c r="E2071" t="n">
        <v>190</v>
      </c>
      <c r="T2071" t="n">
        <v>30</v>
      </c>
    </row>
    <row r="2072">
      <c r="A2072" t="n">
        <v>1091858</v>
      </c>
      <c r="B2072" t="inlineStr">
        <is>
          <t>Junk Sub 4-3/4" OD cup 
3-1/2" REG Pin up x 3-1/2" REG Box down</t>
        </is>
      </c>
      <c r="C2072" t="n">
        <v>0</v>
      </c>
      <c r="D2072" s="62" t="n">
        <v>4.75</v>
      </c>
      <c r="E2072" t="n">
        <v>840</v>
      </c>
      <c r="T2072" t="n">
        <v>12</v>
      </c>
    </row>
    <row r="2073">
      <c r="A2073" t="n">
        <v>8131859</v>
      </c>
      <c r="B2073" t="inlineStr">
        <is>
          <t>XO
3-1/2" IF Pin x 2-7/8" IF Box</t>
        </is>
      </c>
      <c r="C2073" t="n">
        <v>0</v>
      </c>
      <c r="D2073" s="62" t="n">
        <v>4.75</v>
      </c>
      <c r="E2073" t="n">
        <v>410</v>
      </c>
      <c r="T2073" t="n">
        <v>106</v>
      </c>
      <c r="V2073" t="inlineStr">
        <is>
          <t>FR</t>
        </is>
      </c>
    </row>
    <row r="2074">
      <c r="A2074" t="n">
        <v>8131860</v>
      </c>
      <c r="B2074" t="inlineStr">
        <is>
          <t>XO
2-7/8" IF Pin x 2-7/8" EU Box</t>
        </is>
      </c>
      <c r="C2074" t="n">
        <v>0</v>
      </c>
      <c r="D2074" s="62" t="n">
        <v>4.75</v>
      </c>
      <c r="E2074" t="n">
        <v>450</v>
      </c>
      <c r="T2074" t="n">
        <v>82</v>
      </c>
      <c r="V2074" t="inlineStr">
        <is>
          <t>FR</t>
        </is>
      </c>
    </row>
    <row r="2075">
      <c r="A2075" t="n">
        <v>5161861</v>
      </c>
      <c r="B2075" t="inlineStr">
        <is>
          <t>WO Lift Sub for 3-1/2" DP 18°
5-3/8" BRS Pin</t>
        </is>
      </c>
      <c r="C2075" t="inlineStr">
        <is>
          <t>-</t>
        </is>
      </c>
      <c r="D2075" s="62" t="n">
        <v>5.375</v>
      </c>
      <c r="E2075" t="n">
        <v>1000</v>
      </c>
      <c r="T2075" t="n">
        <v>7</v>
      </c>
      <c r="V2075" t="inlineStr">
        <is>
          <t>FR</t>
        </is>
      </c>
    </row>
    <row r="2076">
      <c r="A2076" t="n">
        <v>5161862</v>
      </c>
      <c r="B2076" t="inlineStr">
        <is>
          <t>WO Lift Sub for 3-1/2" DP 18°
5-3/8" BRS Pin</t>
        </is>
      </c>
      <c r="C2076" t="inlineStr">
        <is>
          <t>-</t>
        </is>
      </c>
      <c r="D2076" s="62" t="n">
        <v>5.375</v>
      </c>
      <c r="E2076" t="n">
        <v>900</v>
      </c>
      <c r="T2076" t="n">
        <v>8</v>
      </c>
      <c r="V2076" t="inlineStr">
        <is>
          <t>FR</t>
        </is>
      </c>
    </row>
    <row r="2077">
      <c r="A2077" t="inlineStr">
        <is>
          <t>6080001M</t>
        </is>
      </c>
      <c r="B2077" t="inlineStr">
        <is>
          <t>NMDC 4-11/16" for MWD
3-1/2" IF Pin x Box</t>
        </is>
      </c>
      <c r="C2077" t="n">
        <v>529.3992615118593</v>
      </c>
      <c r="D2077" s="62" t="n">
        <v>4.6875</v>
      </c>
      <c r="E2077" t="n">
        <v>9300</v>
      </c>
      <c r="T2077" t="n">
        <v>11</v>
      </c>
    </row>
    <row r="2078">
      <c r="A2078" t="inlineStr">
        <is>
          <t>6080002M</t>
        </is>
      </c>
      <c r="B2078" t="inlineStr">
        <is>
          <t>NMDC 9-3/8" for MWD
7-5/8" REG Pin x Box</t>
        </is>
      </c>
      <c r="C2078" t="n">
        <v>2553.203430599055</v>
      </c>
      <c r="D2078" s="62" t="n">
        <v>9.375</v>
      </c>
      <c r="E2078" t="n">
        <v>9256</v>
      </c>
      <c r="T2078" t="n">
        <v>37</v>
      </c>
    </row>
    <row r="2079">
      <c r="A2079" t="inlineStr">
        <is>
          <t>6080003M</t>
        </is>
      </c>
      <c r="B2079" t="inlineStr">
        <is>
          <t>NMDC 6-5/16" for MWD
4-1/2" IF Pin x Box</t>
        </is>
      </c>
      <c r="C2079" t="n">
        <v>1028.444829673767</v>
      </c>
      <c r="D2079" s="62" t="n">
        <v>6.3125</v>
      </c>
      <c r="E2079" t="n">
        <v>8890</v>
      </c>
      <c r="T2079" t="n">
        <v>24</v>
      </c>
    </row>
    <row r="2080">
      <c r="A2080" t="n">
        <v>8041863</v>
      </c>
      <c r="B2080" t="inlineStr">
        <is>
          <t>Lift Sub 3-1/2" IF Pin
3-1/2" OD body for Elevator DP 18°</t>
        </is>
      </c>
      <c r="C2080" t="n">
        <v>0</v>
      </c>
      <c r="D2080" s="62" t="inlineStr">
        <is>
          <t>3-1/2"</t>
        </is>
      </c>
      <c r="E2080" t="n">
        <v>0</v>
      </c>
      <c r="T2080" t="n">
        <v>44</v>
      </c>
    </row>
    <row r="2081">
      <c r="A2081" t="n">
        <v>8041864</v>
      </c>
      <c r="B2081" t="inlineStr">
        <is>
          <t>Lift Sub 3-1/2" IF Pin
3-1/2" OD body for Elevator DP 18°</t>
        </is>
      </c>
      <c r="C2081" t="n">
        <v>0</v>
      </c>
      <c r="D2081" s="62" t="inlineStr">
        <is>
          <t>3-1/2"</t>
        </is>
      </c>
      <c r="E2081" t="n">
        <v>0</v>
      </c>
      <c r="T2081" t="n">
        <v>45</v>
      </c>
    </row>
    <row r="2082">
      <c r="A2082" t="n">
        <v>8041865</v>
      </c>
      <c r="B2082" t="inlineStr">
        <is>
          <t>Lift Sub 3-1/2" IF Pin
3-1/2" OD body for Elevator DP 18°</t>
        </is>
      </c>
      <c r="C2082" t="n">
        <v>0</v>
      </c>
      <c r="D2082" s="62" t="inlineStr">
        <is>
          <t>3-1/2"</t>
        </is>
      </c>
      <c r="E2082" t="n">
        <v>0</v>
      </c>
      <c r="T2082" t="n">
        <v>46</v>
      </c>
    </row>
    <row r="2083">
      <c r="A2083" t="n">
        <v>8041866</v>
      </c>
      <c r="B2083" t="inlineStr">
        <is>
          <t>Lift Sub 3-1/2" IF Pin
3-1/2" OD body for Elevator DP 18°</t>
        </is>
      </c>
      <c r="C2083" t="n">
        <v>0</v>
      </c>
      <c r="D2083" s="62" t="inlineStr">
        <is>
          <t>3-1/2"</t>
        </is>
      </c>
      <c r="E2083" t="n">
        <v>0</v>
      </c>
      <c r="T2083" t="n">
        <v>47</v>
      </c>
    </row>
    <row r="2084">
      <c r="A2084" t="n">
        <v>8041867</v>
      </c>
      <c r="B2084" t="inlineStr">
        <is>
          <t>Lift Sub 3-1/2" IF Pin
3-1/2" OD body for Elevator DP 18°</t>
        </is>
      </c>
      <c r="C2084" t="n">
        <v>0</v>
      </c>
      <c r="D2084" s="62" t="inlineStr">
        <is>
          <t>3-1/2"</t>
        </is>
      </c>
      <c r="E2084" t="n">
        <v>0</v>
      </c>
      <c r="T2084" t="n">
        <v>48</v>
      </c>
    </row>
    <row r="2085">
      <c r="A2085" t="n">
        <v>8041868</v>
      </c>
      <c r="B2085" t="inlineStr">
        <is>
          <t>Lift Sub 3-1/2" IF Pin
3-1/2" OD body for Elevator DP 18°</t>
        </is>
      </c>
      <c r="C2085" t="n">
        <v>0</v>
      </c>
      <c r="D2085" s="62" t="inlineStr">
        <is>
          <t>3-1/2"</t>
        </is>
      </c>
      <c r="E2085" t="n">
        <v>0</v>
      </c>
      <c r="T2085" t="n">
        <v>49</v>
      </c>
    </row>
    <row r="2086">
      <c r="A2086" t="n">
        <v>8041869</v>
      </c>
      <c r="B2086" t="inlineStr">
        <is>
          <t>Lift Sub 3-1/2" IF Pin
3-1/2" OD body for Elevator DP 18°</t>
        </is>
      </c>
      <c r="C2086" t="n">
        <v>26</v>
      </c>
      <c r="D2086" s="62" t="inlineStr">
        <is>
          <t>3-1/2"</t>
        </is>
      </c>
      <c r="E2086" t="n">
        <v>930</v>
      </c>
      <c r="T2086" t="n">
        <v>50</v>
      </c>
    </row>
    <row r="2087">
      <c r="A2087" t="n">
        <v>8041870</v>
      </c>
      <c r="B2087" t="inlineStr">
        <is>
          <t>Lift Sub 3-1/2" IF Pin
3-1/2" OD body for Elevator DP 18°</t>
        </is>
      </c>
      <c r="C2087" t="n">
        <v>36</v>
      </c>
      <c r="D2087" s="62" t="inlineStr">
        <is>
          <t>3-1/2"</t>
        </is>
      </c>
      <c r="E2087" t="n">
        <v>815</v>
      </c>
      <c r="T2087" t="n">
        <v>51</v>
      </c>
    </row>
    <row r="2088">
      <c r="A2088" t="n">
        <v>8041871</v>
      </c>
      <c r="B2088" t="inlineStr">
        <is>
          <t>Lift Sub 3-1/2" IF Pin
3-1/2" OD body for Elevator DP 18°</t>
        </is>
      </c>
      <c r="C2088" t="n">
        <v>38</v>
      </c>
      <c r="D2088" s="62" t="inlineStr">
        <is>
          <t>3-1/2"</t>
        </is>
      </c>
      <c r="E2088" t="n">
        <v>670</v>
      </c>
      <c r="T2088" t="n">
        <v>52</v>
      </c>
    </row>
    <row r="2089">
      <c r="A2089" t="n">
        <v>5111774</v>
      </c>
      <c r="B2089" t="inlineStr">
        <is>
          <t>WO Shoe
5-1/2" FJWP Box</t>
        </is>
      </c>
      <c r="C2089" t="n">
        <v>17</v>
      </c>
      <c r="D2089" s="62" t="n">
        <v>6.125</v>
      </c>
      <c r="E2089" t="n">
        <v>600</v>
      </c>
      <c r="T2089" t="n">
        <v>124</v>
      </c>
    </row>
    <row r="2090">
      <c r="A2090" t="n">
        <v>8041872</v>
      </c>
      <c r="B2090" t="inlineStr">
        <is>
          <t>Lift Sub 4-1/2" IF Pin down x Box up
5" OD body for Elevator DP 18°</t>
        </is>
      </c>
      <c r="C2090" t="n">
        <v>0</v>
      </c>
      <c r="D2090" s="62" t="inlineStr">
        <is>
          <t>5"</t>
        </is>
      </c>
      <c r="E2090" t="n">
        <v>1245</v>
      </c>
      <c r="T2090" t="n">
        <v>7</v>
      </c>
      <c r="V2090" t="inlineStr">
        <is>
          <t>FR</t>
        </is>
      </c>
    </row>
    <row r="2091">
      <c r="A2091" t="n">
        <v>8041873</v>
      </c>
      <c r="B2091" t="inlineStr">
        <is>
          <t>Lift Sub 4-1/2" IF Pin down x Box up
5" OD body for Elevator DP 18°</t>
        </is>
      </c>
      <c r="C2091" t="n">
        <v>0</v>
      </c>
      <c r="D2091" s="62" t="inlineStr">
        <is>
          <t>5"</t>
        </is>
      </c>
      <c r="E2091" t="n">
        <v>1245</v>
      </c>
      <c r="T2091" t="n">
        <v>8</v>
      </c>
      <c r="V2091" t="inlineStr">
        <is>
          <t>FR</t>
        </is>
      </c>
    </row>
    <row r="2092">
      <c r="A2092" t="n">
        <v>8041874</v>
      </c>
      <c r="B2092" t="inlineStr">
        <is>
          <t>Lift Sub 4-1/2" IF Pin down x Box up
5" OD body for Elevator DP 18°</t>
        </is>
      </c>
      <c r="C2092" t="n">
        <v>0</v>
      </c>
      <c r="D2092" s="62" t="inlineStr">
        <is>
          <t>5"</t>
        </is>
      </c>
      <c r="E2092" t="n">
        <v>1230</v>
      </c>
      <c r="T2092" t="n">
        <v>9</v>
      </c>
      <c r="V2092" t="inlineStr">
        <is>
          <t>FR</t>
        </is>
      </c>
    </row>
    <row r="2093">
      <c r="A2093" t="n">
        <v>8041875</v>
      </c>
      <c r="B2093" t="inlineStr">
        <is>
          <t>Lift Sub 4-1/2" IF Pin down x Box up
5" OD body for Elevator DP 18°</t>
        </is>
      </c>
      <c r="C2093" t="n">
        <v>0</v>
      </c>
      <c r="D2093" s="62" t="inlineStr">
        <is>
          <t>5"</t>
        </is>
      </c>
      <c r="E2093" t="n">
        <v>1240</v>
      </c>
      <c r="T2093" t="n">
        <v>10</v>
      </c>
      <c r="V2093" t="inlineStr">
        <is>
          <t>FR</t>
        </is>
      </c>
    </row>
    <row r="2094">
      <c r="A2094" t="n">
        <v>8041876</v>
      </c>
      <c r="B2094" t="inlineStr">
        <is>
          <t>Lift Sub 4-1/2" IF Pin down x Box up
5" OD body for Elevator DP 18°</t>
        </is>
      </c>
      <c r="C2094" t="n">
        <v>0</v>
      </c>
      <c r="D2094" s="62" t="inlineStr">
        <is>
          <t>5"</t>
        </is>
      </c>
      <c r="E2094" t="n">
        <v>1250</v>
      </c>
      <c r="T2094" t="n">
        <v>11</v>
      </c>
      <c r="V2094" t="inlineStr">
        <is>
          <t>FR</t>
        </is>
      </c>
    </row>
    <row r="2095">
      <c r="A2095" t="n">
        <v>8041877</v>
      </c>
      <c r="B2095" t="inlineStr">
        <is>
          <t>Lift Sub 4-1/2" IF Pin down x Box up
5" OD body for Elevator DP 18°</t>
        </is>
      </c>
      <c r="C2095" t="n">
        <v>0</v>
      </c>
      <c r="D2095" s="62" t="inlineStr">
        <is>
          <t>5"</t>
        </is>
      </c>
      <c r="E2095" t="n">
        <v>1240</v>
      </c>
      <c r="T2095" t="n">
        <v>12</v>
      </c>
      <c r="V2095" t="inlineStr">
        <is>
          <t>FR</t>
        </is>
      </c>
    </row>
    <row r="2096">
      <c r="A2096" t="n">
        <v>5091878</v>
      </c>
      <c r="B2096" t="inlineStr">
        <is>
          <t>WO Extension Lg 3000 mm
5-1/2" FJWP Pin x Box</t>
        </is>
      </c>
      <c r="C2096" t="n">
        <v>358.4910572099999</v>
      </c>
      <c r="D2096" s="62" t="n">
        <v>5.5</v>
      </c>
      <c r="E2096" t="n">
        <v>3000</v>
      </c>
      <c r="T2096" t="n">
        <v>50</v>
      </c>
      <c r="V2096" t="inlineStr">
        <is>
          <t>FR</t>
        </is>
      </c>
    </row>
    <row r="2097">
      <c r="A2097" t="n">
        <v>5091879</v>
      </c>
      <c r="B2097" t="inlineStr">
        <is>
          <t>WO Extension Lg 2840 mm
5-1/2" FJWP Pin x Box</t>
        </is>
      </c>
      <c r="C2097" t="n">
        <v>339.3715341587999</v>
      </c>
      <c r="D2097" s="62" t="n">
        <v>5.5</v>
      </c>
      <c r="E2097" t="n">
        <v>2840</v>
      </c>
      <c r="T2097" t="n">
        <v>49</v>
      </c>
      <c r="V2097" t="inlineStr">
        <is>
          <t>FR</t>
        </is>
      </c>
    </row>
    <row r="2098">
      <c r="A2098" t="n">
        <v>5091880</v>
      </c>
      <c r="B2098" t="inlineStr">
        <is>
          <t>WO Extension Lg 1980 mm
5-1/2" FJWP Pin x Box</t>
        </is>
      </c>
      <c r="C2098" t="n">
        <v>236.6040977586</v>
      </c>
      <c r="D2098" s="62" t="n">
        <v>5.5</v>
      </c>
      <c r="E2098" t="n">
        <v>1980</v>
      </c>
      <c r="T2098" t="n">
        <v>44</v>
      </c>
      <c r="V2098" t="inlineStr">
        <is>
          <t>FR</t>
        </is>
      </c>
    </row>
    <row r="2099">
      <c r="A2099" t="n">
        <v>5110623</v>
      </c>
      <c r="B2099" t="inlineStr">
        <is>
          <t>WO Shoe
5-1/2" FJWP Box</t>
        </is>
      </c>
      <c r="C2099" t="n">
        <v>12</v>
      </c>
      <c r="D2099" s="62" t="n">
        <v>6</v>
      </c>
      <c r="E2099" t="n">
        <v>420</v>
      </c>
      <c r="T2099" t="n">
        <v>99</v>
      </c>
    </row>
    <row r="2100">
      <c r="A2100" t="n">
        <v>8011881</v>
      </c>
      <c r="B2100" t="inlineStr">
        <is>
          <t>Bull Nose Mill
3-1/2" REG Pin</t>
        </is>
      </c>
      <c r="C2100" t="n">
        <v>0</v>
      </c>
      <c r="D2100" s="62" t="n">
        <v>0</v>
      </c>
      <c r="E2100" t="n">
        <v>510</v>
      </c>
      <c r="T2100" t="n">
        <v>16</v>
      </c>
    </row>
    <row r="2101">
      <c r="A2101" t="n">
        <v>7041882</v>
      </c>
      <c r="B2101" t="inlineStr">
        <is>
          <t>8-3/8" SH Overshont - CA C5354
4-1/2" IF Box</t>
        </is>
      </c>
      <c r="C2101" t="n">
        <v>0</v>
      </c>
      <c r="D2101" s="62" t="inlineStr">
        <is>
          <t>8-3/8" SH</t>
        </is>
      </c>
      <c r="E2101" t="n">
        <v>0</v>
      </c>
      <c r="T2101" t="n">
        <v>71</v>
      </c>
    </row>
    <row r="2102">
      <c r="A2102" t="n">
        <v>5031883</v>
      </c>
      <c r="B2102" t="inlineStr">
        <is>
          <t>Junk Mill 
Pin inconnu</t>
        </is>
      </c>
      <c r="C2102" t="n">
        <v>0</v>
      </c>
      <c r="D2102" s="62" t="n">
        <v>2.75</v>
      </c>
      <c r="E2102" t="n">
        <v>0</v>
      </c>
      <c r="T2102" t="n">
        <v>7</v>
      </c>
    </row>
    <row r="2103">
      <c r="A2103" t="n">
        <v>7051884</v>
      </c>
      <c r="B2103" t="inlineStr">
        <is>
          <t>Extension 9-5/8" FS Lg 405mm CA 264
9-5/8" FS Sellers Pin x Box</t>
        </is>
      </c>
      <c r="C2103" t="n">
        <v>55.19577186630001</v>
      </c>
      <c r="D2103" s="62" t="inlineStr">
        <is>
          <t>9-5/8" FS</t>
        </is>
      </c>
      <c r="E2103" t="n">
        <v>405</v>
      </c>
      <c r="T2103" t="n">
        <v>62</v>
      </c>
    </row>
    <row r="2104">
      <c r="A2104" t="inlineStr">
        <is>
          <t>0000000109</t>
        </is>
      </c>
      <c r="B2104" t="inlineStr">
        <is>
          <t>Kelly valve incomplète</t>
        </is>
      </c>
      <c r="D2104" s="62" t="n"/>
    </row>
    <row r="2105">
      <c r="A2105" t="n">
        <v>7011885</v>
      </c>
      <c r="B2105" t="inlineStr">
        <is>
          <t>Die Collar 8-1/8" OD to catch fromp 5" to 6-5/8" 
Lg catch 700mm
4-1/2" IF Box</t>
        </is>
      </c>
      <c r="C2105" t="n">
        <v>0</v>
      </c>
      <c r="D2105" s="62" t="n">
        <v>8.125</v>
      </c>
      <c r="E2105" t="n">
        <v>1070</v>
      </c>
      <c r="T2105" t="n">
        <v>15</v>
      </c>
    </row>
    <row r="2106">
      <c r="A2106" t="n">
        <v>1101886</v>
      </c>
      <c r="B2106" t="inlineStr">
        <is>
          <t>Junk Basket Itco Type 6-1/2" OD Barrel
4" IF Box up</t>
        </is>
      </c>
      <c r="C2106" t="n">
        <v>0</v>
      </c>
      <c r="D2106" s="62" t="n">
        <v>6.5</v>
      </c>
      <c r="E2106" t="n">
        <v>1010</v>
      </c>
      <c r="T2106" t="n">
        <v>7</v>
      </c>
    </row>
    <row r="2107">
      <c r="A2107" t="n">
        <v>7011887</v>
      </c>
      <c r="B2107" t="inlineStr">
        <is>
          <t>Die Collar 8-1/16" OD
4-1/2" IF Box with Oversize guide</t>
        </is>
      </c>
      <c r="C2107" t="n">
        <v>0</v>
      </c>
      <c r="D2107" s="62" t="n">
        <v>8.0625</v>
      </c>
      <c r="E2107" t="n">
        <v>870</v>
      </c>
      <c r="T2107" t="n">
        <v>14</v>
      </c>
    </row>
    <row r="2108">
      <c r="A2108" t="n">
        <v>7041888</v>
      </c>
      <c r="B2108" t="inlineStr">
        <is>
          <t>8-1/8" FS Overshont - CA C5342
4-1/2" IF Box</t>
        </is>
      </c>
      <c r="C2108" t="n">
        <v>142</v>
      </c>
      <c r="D2108" s="62" t="inlineStr">
        <is>
          <t>8-1/8" FS</t>
        </is>
      </c>
      <c r="E2108" t="n">
        <v>1210</v>
      </c>
      <c r="T2108" t="n">
        <v>60</v>
      </c>
    </row>
    <row r="2109">
      <c r="A2109" t="n">
        <v>7091889</v>
      </c>
      <c r="B2109" t="inlineStr">
        <is>
          <t>Taper Tap 8" to catch from X" to X"
Lg catch Xmm
6-5/8" REG Box</t>
        </is>
      </c>
      <c r="C2109" t="n">
        <v>0</v>
      </c>
      <c r="D2109" s="62" t="n">
        <v>3.5</v>
      </c>
      <c r="E2109" t="n">
        <v>590</v>
      </c>
      <c r="T2109" t="n">
        <v>10</v>
      </c>
    </row>
    <row r="2110">
      <c r="A2110" t="n">
        <v>1091890</v>
      </c>
      <c r="B2110" t="inlineStr">
        <is>
          <t>Junk Sub 6-5/8" OD Cup
4-1/2" REG Pin up x Box down</t>
        </is>
      </c>
      <c r="C2110" t="n">
        <v>0</v>
      </c>
      <c r="D2110" s="62" t="n">
        <v>6.625</v>
      </c>
      <c r="E2110" t="n">
        <v>700</v>
      </c>
      <c r="T2110" t="n">
        <v>27</v>
      </c>
    </row>
    <row r="2111">
      <c r="A2111" t="n">
        <v>5051891</v>
      </c>
      <c r="B2111" t="inlineStr">
        <is>
          <t>Pilot Mill
4-1/2" REG Pin x Pilot</t>
        </is>
      </c>
      <c r="C2111" t="n">
        <v>0</v>
      </c>
      <c r="D2111" s="62" t="n">
        <v>8.5</v>
      </c>
      <c r="E2111" t="n">
        <v>1010</v>
      </c>
      <c r="T2111" t="n">
        <v>15</v>
      </c>
    </row>
    <row r="2112">
      <c r="A2112" t="n">
        <v>5051892</v>
      </c>
      <c r="B2112" t="inlineStr">
        <is>
          <t>Pilot Mill
3-1/2" REG Pin x Pilot</t>
        </is>
      </c>
      <c r="C2112" t="n">
        <v>0</v>
      </c>
      <c r="D2112" s="62" t="n">
        <v>5.9375</v>
      </c>
      <c r="E2112" t="n">
        <v>1050</v>
      </c>
      <c r="T2112" t="n">
        <v>10</v>
      </c>
    </row>
    <row r="2113">
      <c r="A2113" t="n">
        <v>8011893</v>
      </c>
      <c r="B2113" t="inlineStr">
        <is>
          <t>Bull Nose 8-7/16" OD
4-1/2" REG Pin</t>
        </is>
      </c>
      <c r="C2113" t="n">
        <v>0</v>
      </c>
      <c r="D2113" s="62" t="n">
        <v>8.4375</v>
      </c>
      <c r="E2113" t="n">
        <v>860</v>
      </c>
      <c r="T2113" t="n">
        <v>23</v>
      </c>
    </row>
    <row r="2114">
      <c r="A2114" t="n">
        <v>1091894</v>
      </c>
      <c r="B2114" t="inlineStr">
        <is>
          <t>Junk Sub 6-5/8" OD Cup
4-1/2" REG Pin up x Box down</t>
        </is>
      </c>
      <c r="C2114" t="n">
        <v>0</v>
      </c>
      <c r="D2114" s="62" t="n">
        <v>6.625</v>
      </c>
      <c r="E2114" t="n">
        <v>690</v>
      </c>
      <c r="T2114" t="n">
        <v>22</v>
      </c>
    </row>
    <row r="2115">
      <c r="A2115" t="n">
        <v>1091895</v>
      </c>
      <c r="B2115" t="inlineStr">
        <is>
          <t>Junk Sub 6-5/8" OD Cup
4-1/2" REG Pin up x Box down</t>
        </is>
      </c>
      <c r="C2115" t="n">
        <v>0</v>
      </c>
      <c r="D2115" s="62" t="n">
        <v>5.5</v>
      </c>
      <c r="E2115" t="n">
        <v>700</v>
      </c>
      <c r="T2115" t="n">
        <v>20</v>
      </c>
    </row>
    <row r="2116">
      <c r="A2116" t="n">
        <v>7051896</v>
      </c>
      <c r="B2116" t="inlineStr">
        <is>
          <t>Extension à déterminer Lg 580mm CA 0
à déterminer Sellers Pin x Box</t>
        </is>
      </c>
      <c r="C2116" t="n">
        <v>79.04579674680002</v>
      </c>
      <c r="D2116" s="62" t="inlineStr">
        <is>
          <t>à déterminer</t>
        </is>
      </c>
      <c r="E2116" t="n">
        <v>580</v>
      </c>
      <c r="T2116" t="n">
        <v>63</v>
      </c>
    </row>
    <row r="2117">
      <c r="A2117" t="n">
        <v>4051897</v>
      </c>
      <c r="B2117" t="inlineStr">
        <is>
          <t>Safety Joint 6-1/2" OD 
4" IF Pin down x Box up</t>
        </is>
      </c>
      <c r="C2117" t="n">
        <v>0</v>
      </c>
      <c r="D2117" s="62" t="n">
        <v>6.5</v>
      </c>
      <c r="E2117" t="n">
        <v>1480</v>
      </c>
      <c r="T2117" t="n">
        <v>13</v>
      </c>
    </row>
    <row r="2118">
      <c r="A2118" t="n">
        <v>8111898</v>
      </c>
      <c r="B2118" t="inlineStr">
        <is>
          <t>String Stab
4" IF Pin SRG x 4" IF Box BB</t>
        </is>
      </c>
      <c r="C2118" t="n">
        <v>0</v>
      </c>
      <c r="D2118" s="62" t="n">
        <v>8.1875</v>
      </c>
      <c r="E2118" t="n">
        <v>1545</v>
      </c>
      <c r="T2118" t="n">
        <v>31</v>
      </c>
    </row>
    <row r="2119">
      <c r="A2119" t="n">
        <v>4051899</v>
      </c>
      <c r="B2119" t="inlineStr">
        <is>
          <t>Safety Joint 6-1/2" OD 
4" IF Pin down x Box up</t>
        </is>
      </c>
      <c r="C2119" t="n">
        <v>0</v>
      </c>
      <c r="D2119" s="62" t="n">
        <v>6.5</v>
      </c>
      <c r="E2119" t="n">
        <v>1470</v>
      </c>
      <c r="T2119" t="n">
        <v>14</v>
      </c>
    </row>
    <row r="2120">
      <c r="A2120" t="n">
        <v>5111900</v>
      </c>
      <c r="B2120" t="inlineStr">
        <is>
          <t>WO Shoe
8-1/4" ? Box</t>
        </is>
      </c>
      <c r="C2120" t="n">
        <v>0</v>
      </c>
      <c r="D2120" s="62" t="n">
        <v>9</v>
      </c>
      <c r="E2120" t="n">
        <v>620</v>
      </c>
      <c r="T2120" t="n">
        <v>195</v>
      </c>
    </row>
    <row r="2121">
      <c r="A2121" t="n">
        <v>7011901</v>
      </c>
      <c r="B2121" t="inlineStr">
        <is>
          <t>Die Collar 8-1/16" OD
4-1/2" IF Box with Oversize guide</t>
        </is>
      </c>
      <c r="C2121" t="n">
        <v>0</v>
      </c>
      <c r="D2121" s="62" t="n">
        <v>7.5</v>
      </c>
      <c r="E2121" t="n">
        <v>770</v>
      </c>
      <c r="T2121" t="n">
        <v>11</v>
      </c>
    </row>
    <row r="2122">
      <c r="A2122" t="n">
        <v>1101902</v>
      </c>
      <c r="B2122" t="inlineStr">
        <is>
          <t>Junk Basket Itco Type 6-1/2" OD Barrel
4-1/2" FH Box up</t>
        </is>
      </c>
      <c r="C2122" t="n">
        <v>0</v>
      </c>
      <c r="D2122" s="62" t="n">
        <v>6.5</v>
      </c>
      <c r="E2122" t="n">
        <v>1010</v>
      </c>
      <c r="T2122" t="n">
        <v>6</v>
      </c>
    </row>
    <row r="2123">
      <c r="A2123" t="n">
        <v>8131903</v>
      </c>
      <c r="B2123" t="inlineStr">
        <is>
          <t>XO
5-1/2" ? Pin LH x 4-1/2" IF Box</t>
        </is>
      </c>
      <c r="C2123" t="n">
        <v>0</v>
      </c>
      <c r="D2123" s="62" t="n">
        <v>8</v>
      </c>
      <c r="E2123" t="n">
        <v>580</v>
      </c>
      <c r="T2123" t="n">
        <v>190</v>
      </c>
    </row>
    <row r="2124">
      <c r="A2124" t="n">
        <v>8021904</v>
      </c>
      <c r="B2124" t="inlineStr">
        <is>
          <t>Bit Sub
2-3/8" IF Box x 2-3/8" REG Box BF</t>
        </is>
      </c>
      <c r="C2124" t="n">
        <v>28.77557349712499</v>
      </c>
      <c r="D2124" s="62" t="n">
        <v>3.625</v>
      </c>
      <c r="E2124" t="n">
        <v>600</v>
      </c>
      <c r="T2124" t="n">
        <v>9</v>
      </c>
      <c r="V2124" t="inlineStr">
        <is>
          <t>FR</t>
        </is>
      </c>
    </row>
    <row r="2125">
      <c r="A2125" t="n">
        <v>1061905</v>
      </c>
      <c r="B2125" t="inlineStr">
        <is>
          <t>Impression Block
4-1/2" IF Box</t>
        </is>
      </c>
      <c r="C2125" t="n">
        <v>0</v>
      </c>
      <c r="D2125" s="62" t="n">
        <v>10.875</v>
      </c>
      <c r="E2125" t="n">
        <v>675</v>
      </c>
      <c r="T2125" t="n">
        <v>23</v>
      </c>
    </row>
    <row r="2126">
      <c r="A2126" t="n">
        <v>1061906</v>
      </c>
      <c r="B2126" t="inlineStr">
        <is>
          <t>Impression Block
4-1/2" IF Box LH</t>
        </is>
      </c>
      <c r="C2126" t="n">
        <v>75</v>
      </c>
      <c r="D2126" s="62" t="n">
        <v>7.875</v>
      </c>
      <c r="E2126" t="n">
        <v>445</v>
      </c>
      <c r="T2126" t="n">
        <v>16</v>
      </c>
    </row>
    <row r="2127">
      <c r="A2127" t="n">
        <v>1061907</v>
      </c>
      <c r="B2127" t="inlineStr">
        <is>
          <t>Impression Block
4-1/2" REG Pin</t>
        </is>
      </c>
      <c r="C2127" t="n">
        <v>0</v>
      </c>
      <c r="D2127" s="62" t="n">
        <v>8.5</v>
      </c>
      <c r="E2127" t="n">
        <v>740</v>
      </c>
      <c r="T2127" t="n">
        <v>20</v>
      </c>
    </row>
    <row r="2128">
      <c r="A2128" t="n">
        <v>1061908</v>
      </c>
      <c r="B2128" t="inlineStr">
        <is>
          <t>Impression Block
4-1/2" REG Pin</t>
        </is>
      </c>
      <c r="C2128" t="n">
        <v>75</v>
      </c>
      <c r="D2128" s="62" t="n">
        <v>7.875</v>
      </c>
      <c r="E2128" t="n">
        <v>510</v>
      </c>
      <c r="T2128" t="n">
        <v>17</v>
      </c>
    </row>
    <row r="2129">
      <c r="A2129" t="n">
        <v>8021909</v>
      </c>
      <c r="B2129" t="inlineStr">
        <is>
          <t>Bit Sub
3-1/2" IF Box x 3-1/2" REG Box BF</t>
        </is>
      </c>
      <c r="C2129" t="n">
        <v>48.1444601625</v>
      </c>
      <c r="D2129" s="62" t="n">
        <v>4.75</v>
      </c>
      <c r="E2129" t="n">
        <v>600</v>
      </c>
      <c r="T2129" t="n">
        <v>35</v>
      </c>
      <c r="V2129" t="inlineStr">
        <is>
          <t>FR</t>
        </is>
      </c>
    </row>
    <row r="2130">
      <c r="A2130" t="n">
        <v>7051910</v>
      </c>
      <c r="B2130" t="inlineStr">
        <is>
          <t>Extension 8-3/8" FS Lg 915mm CA 275
8-3/8" FS Sellers Pin x Box</t>
        </is>
      </c>
      <c r="C2130" t="n">
        <v>85.77467944576175</v>
      </c>
      <c r="D2130" s="62" t="inlineStr">
        <is>
          <t>8-3/8" FS</t>
        </is>
      </c>
      <c r="E2130" t="n">
        <v>915</v>
      </c>
      <c r="T2130" t="n">
        <v>50</v>
      </c>
      <c r="V2130" t="inlineStr">
        <is>
          <t>FR</t>
        </is>
      </c>
    </row>
    <row r="2131">
      <c r="A2131" t="n">
        <v>5111921</v>
      </c>
      <c r="B2131" t="inlineStr">
        <is>
          <t>WO Shoe
4-1/2" FJWP Box</t>
        </is>
      </c>
      <c r="C2131" t="n">
        <v>13.51501409895</v>
      </c>
      <c r="D2131" s="62" t="n">
        <v>0</v>
      </c>
      <c r="E2131" t="n">
        <v>805</v>
      </c>
      <c r="T2131" t="n">
        <v>79</v>
      </c>
    </row>
    <row r="2132">
      <c r="A2132" t="n">
        <v>5111922</v>
      </c>
      <c r="B2132" t="inlineStr">
        <is>
          <t>WO Shoe
4-1/2" FJWP Box</t>
        </is>
      </c>
      <c r="C2132" t="n">
        <v>13.51501409895</v>
      </c>
      <c r="D2132" s="62" t="n">
        <v>0</v>
      </c>
      <c r="E2132" t="n">
        <v>805</v>
      </c>
      <c r="T2132" t="n">
        <v>80</v>
      </c>
    </row>
    <row r="2133">
      <c r="A2133" t="n">
        <v>5121924</v>
      </c>
      <c r="B2133" t="inlineStr">
        <is>
          <t xml:space="preserve">WO Top Sub 
2-3/8" IF Box x 3-3/4" FJWP Pin x 1-1/4" REG Box in </t>
        </is>
      </c>
      <c r="C2133" t="n">
        <v>0</v>
      </c>
      <c r="D2133" s="62" t="n">
        <v>3.75</v>
      </c>
      <c r="E2133" t="n">
        <v>652</v>
      </c>
      <c r="T2133" t="n">
        <v>8</v>
      </c>
      <c r="V2133" t="inlineStr">
        <is>
          <t>FR</t>
        </is>
      </c>
    </row>
    <row r="2134">
      <c r="A2134" t="n">
        <v>8131925</v>
      </c>
      <c r="B2134" t="inlineStr">
        <is>
          <t>XO
7-5/8" REG Pin x 6-5/8" REG Pin</t>
        </is>
      </c>
      <c r="C2134" t="n">
        <v>0</v>
      </c>
      <c r="D2134" s="62" t="n">
        <v>9.5</v>
      </c>
      <c r="E2134" t="n">
        <v>825</v>
      </c>
      <c r="T2134" t="n">
        <v>230</v>
      </c>
      <c r="V2134" t="inlineStr">
        <is>
          <t>FR</t>
        </is>
      </c>
    </row>
    <row r="2135">
      <c r="A2135" t="n">
        <v>8131926</v>
      </c>
      <c r="B2135" t="inlineStr">
        <is>
          <t>XO
6-5/8" REG Pin x 4-1/2" IF Box</t>
        </is>
      </c>
      <c r="C2135" t="n">
        <v>162</v>
      </c>
      <c r="D2135" s="62" t="n">
        <v>8</v>
      </c>
      <c r="E2135" t="n">
        <v>800</v>
      </c>
      <c r="T2135" t="n">
        <v>210</v>
      </c>
      <c r="V2135" t="inlineStr">
        <is>
          <t>FR</t>
        </is>
      </c>
    </row>
    <row r="2136">
      <c r="A2136" t="n">
        <v>5081927</v>
      </c>
      <c r="B2136" t="inlineStr">
        <is>
          <t>Taper Mill 
6-5/8" REG Pin</t>
        </is>
      </c>
      <c r="C2136" t="n">
        <v>0</v>
      </c>
      <c r="D2136" s="62" t="n">
        <v>16</v>
      </c>
      <c r="E2136" t="n">
        <v>0</v>
      </c>
      <c r="T2136" t="n">
        <v>48</v>
      </c>
      <c r="V2136" t="inlineStr">
        <is>
          <t>FR</t>
        </is>
      </c>
    </row>
    <row r="2137">
      <c r="A2137" t="n">
        <v>5091928</v>
      </c>
      <c r="B2137" t="inlineStr">
        <is>
          <t>WO Extension Lg 1430 mm
4-1/2" FJWP Pin x Box</t>
        </is>
      </c>
      <c r="C2137" t="n">
        <v>114.3912373461</v>
      </c>
      <c r="D2137" s="62" t="n">
        <v>4.5</v>
      </c>
      <c r="E2137" t="n">
        <v>1430</v>
      </c>
      <c r="T2137" t="n">
        <v>28</v>
      </c>
      <c r="V2137" t="inlineStr">
        <is>
          <t>FR</t>
        </is>
      </c>
    </row>
    <row r="2138">
      <c r="A2138" t="n">
        <v>5091929</v>
      </c>
      <c r="B2138" t="inlineStr">
        <is>
          <t>WO Extension Lg 1920 mm
4-1/2" FJWP Pin x Box</t>
        </is>
      </c>
      <c r="C2138" t="n">
        <v>153.5882347584</v>
      </c>
      <c r="D2138" s="62" t="n">
        <v>4.5</v>
      </c>
      <c r="E2138" t="n">
        <v>1920</v>
      </c>
      <c r="T2138" t="n">
        <v>29</v>
      </c>
      <c r="V2138" t="inlineStr">
        <is>
          <t>FR</t>
        </is>
      </c>
    </row>
    <row r="2139">
      <c r="A2139" t="n">
        <v>5091930</v>
      </c>
      <c r="B2139" t="inlineStr">
        <is>
          <t>WO Extension Lg 1920 mm
4-1/2" FJWP Pin x Box</t>
        </is>
      </c>
      <c r="C2139" t="n">
        <v>153.5882347584</v>
      </c>
      <c r="D2139" s="62" t="n">
        <v>4.5</v>
      </c>
      <c r="E2139" t="n">
        <v>1920</v>
      </c>
      <c r="T2139" t="n">
        <v>30</v>
      </c>
      <c r="V2139" t="inlineStr">
        <is>
          <t>FR</t>
        </is>
      </c>
    </row>
    <row r="2140">
      <c r="A2140" t="n">
        <v>5091931</v>
      </c>
      <c r="B2140" t="inlineStr">
        <is>
          <t>WO Extension Lg 2910 mm
4-1/2" FJWP Pin x Box</t>
        </is>
      </c>
      <c r="C2140" t="n">
        <v>232.7821683057</v>
      </c>
      <c r="D2140" s="62" t="n">
        <v>4.5</v>
      </c>
      <c r="E2140" t="n">
        <v>2910</v>
      </c>
      <c r="T2140" t="n">
        <v>35</v>
      </c>
      <c r="V2140" t="inlineStr">
        <is>
          <t>FR</t>
        </is>
      </c>
    </row>
    <row r="2141">
      <c r="A2141" t="n">
        <v>5091932</v>
      </c>
      <c r="B2141" t="inlineStr">
        <is>
          <t>WO Extension Lg 2399 mm
4-1/2" FJWP Pin x Box</t>
        </is>
      </c>
      <c r="C2141" t="n">
        <v>191.90529957573</v>
      </c>
      <c r="D2141" s="62" t="n">
        <v>4.5</v>
      </c>
      <c r="E2141" t="n">
        <v>2399</v>
      </c>
      <c r="T2141" t="n">
        <v>36</v>
      </c>
      <c r="V2141" t="inlineStr">
        <is>
          <t>FR</t>
        </is>
      </c>
    </row>
    <row r="2142">
      <c r="A2142" t="n">
        <v>5071933</v>
      </c>
      <c r="B2142" t="inlineStr">
        <is>
          <t>Super Junk Mill 
6-5/8" REG Pin</t>
        </is>
      </c>
      <c r="C2142" t="n">
        <v>0</v>
      </c>
      <c r="D2142" s="62" t="n">
        <v>12.25</v>
      </c>
      <c r="E2142" t="n">
        <v>470</v>
      </c>
      <c r="T2142" t="n">
        <v>81</v>
      </c>
    </row>
    <row r="2143">
      <c r="A2143" t="n">
        <v>5071934</v>
      </c>
      <c r="B2143" t="inlineStr">
        <is>
          <t>Super Junk Mill 
6-5/8" REG Pin</t>
        </is>
      </c>
      <c r="C2143" t="n">
        <v>0</v>
      </c>
      <c r="D2143" s="62" t="n">
        <v>12</v>
      </c>
      <c r="E2143" t="n">
        <v>640</v>
      </c>
      <c r="T2143" t="n">
        <v>82</v>
      </c>
    </row>
    <row r="2144">
      <c r="A2144" t="n">
        <v>5041935</v>
      </c>
      <c r="B2144" t="inlineStr">
        <is>
          <t>Viper Pilot Mill
7-5/8" REG Pin x 6-5/8" REG Box</t>
        </is>
      </c>
      <c r="C2144" t="n">
        <v>0</v>
      </c>
      <c r="D2144" s="62" t="n">
        <v>20</v>
      </c>
      <c r="E2144" t="n">
        <v>950</v>
      </c>
      <c r="T2144" t="n">
        <v>36</v>
      </c>
      <c r="V2144" t="inlineStr">
        <is>
          <t>FR</t>
        </is>
      </c>
    </row>
    <row r="2145">
      <c r="A2145" t="n">
        <v>8081936</v>
      </c>
      <c r="B2145" t="inlineStr">
        <is>
          <t xml:space="preserve">Flex Collar 4-3/4" OD
3-1/2" IF Pin x Box
Set on : </t>
        </is>
      </c>
      <c r="C2145" t="n">
        <v>27.73931028487734</v>
      </c>
      <c r="D2145" s="62" t="n">
        <v>4.75</v>
      </c>
      <c r="E2145" t="n">
        <v>395</v>
      </c>
      <c r="T2145" t="n">
        <v>39</v>
      </c>
      <c r="V2145" t="inlineStr">
        <is>
          <t>FR</t>
        </is>
      </c>
    </row>
    <row r="2146">
      <c r="A2146" t="n">
        <v>7061937</v>
      </c>
      <c r="B2146" t="inlineStr">
        <is>
          <t>Oversize Guide 8 OD
5-3/4" FS Sellers Pin</t>
        </is>
      </c>
      <c r="C2146" t="n">
        <v>0</v>
      </c>
      <c r="D2146" s="62" t="n">
        <v>8</v>
      </c>
      <c r="E2146" t="n">
        <v>220</v>
      </c>
      <c r="T2146" t="n">
        <v>6</v>
      </c>
      <c r="V2146" t="inlineStr">
        <is>
          <t>FR</t>
        </is>
      </c>
    </row>
    <row r="2147">
      <c r="A2147" t="n">
        <v>8081938</v>
      </c>
      <c r="B2147" t="inlineStr">
        <is>
          <t xml:space="preserve">Saver Sub 3-1/2" OD for NMDC
2-7/8" Pin x Box
Set on : </t>
        </is>
      </c>
      <c r="C2147" t="n">
        <v>0</v>
      </c>
      <c r="D2147" s="62" t="n">
        <v>3.5</v>
      </c>
      <c r="E2147" t="n">
        <v>350</v>
      </c>
      <c r="T2147" t="n">
        <v>9</v>
      </c>
    </row>
    <row r="2148">
      <c r="A2148" t="n">
        <v>8081939</v>
      </c>
      <c r="B2148" t="inlineStr">
        <is>
          <t>Saver Sub 3-1/2" OD for NMDC
2-7/8" Pin x Box</t>
        </is>
      </c>
      <c r="C2148" t="n">
        <v>0</v>
      </c>
      <c r="D2148" s="62" t="n">
        <v>3.5</v>
      </c>
      <c r="E2148" t="n">
        <v>350</v>
      </c>
      <c r="T2148" t="n">
        <v>10</v>
      </c>
    </row>
    <row r="2149">
      <c r="A2149" t="n">
        <v>8081940</v>
      </c>
      <c r="B2149" t="inlineStr">
        <is>
          <t xml:space="preserve">Saver Sub 4-3/4" OD for NMDC
3-1/2" IF Pin x Box
Set on : </t>
        </is>
      </c>
      <c r="C2149" t="n">
        <v>0</v>
      </c>
      <c r="D2149" s="62" t="n">
        <v>4.75</v>
      </c>
      <c r="E2149" t="n">
        <v>500</v>
      </c>
      <c r="T2149" t="n">
        <v>23</v>
      </c>
    </row>
    <row r="2150">
      <c r="A2150" t="n">
        <v>8081941</v>
      </c>
      <c r="B2150" t="inlineStr">
        <is>
          <t>Saver Sub 4-3/4" OD for NMDC
3-1/2" IF Pin x Box</t>
        </is>
      </c>
      <c r="C2150" t="n">
        <v>0</v>
      </c>
      <c r="D2150" s="62" t="n">
        <v>4.75</v>
      </c>
      <c r="E2150" t="n">
        <v>500</v>
      </c>
      <c r="T2150" t="n">
        <v>24</v>
      </c>
    </row>
    <row r="2151">
      <c r="A2151" t="n">
        <v>8081942</v>
      </c>
      <c r="B2151" t="inlineStr">
        <is>
          <t xml:space="preserve">Saver Sub 6-3/4" OD for NMDC
4-1/2" IF Pin x Box
Set on : </t>
        </is>
      </c>
      <c r="C2151" t="n">
        <v>82.95660827999998</v>
      </c>
      <c r="D2151" s="62" t="n">
        <v>6.75</v>
      </c>
      <c r="E2151" t="n">
        <v>600</v>
      </c>
      <c r="T2151" t="n">
        <v>46</v>
      </c>
    </row>
    <row r="2152">
      <c r="A2152" t="n">
        <v>8081943</v>
      </c>
      <c r="B2152" t="inlineStr">
        <is>
          <t xml:space="preserve">Saver Sub 6-3/4" OD for NMDC
4-1/2" IF Pin x Box
Set on : </t>
        </is>
      </c>
      <c r="C2152" t="n">
        <v>82.95660827999998</v>
      </c>
      <c r="D2152" s="62" t="n">
        <v>6.75</v>
      </c>
      <c r="E2152" t="n">
        <v>600</v>
      </c>
      <c r="T2152" t="n">
        <v>47</v>
      </c>
    </row>
    <row r="2153">
      <c r="A2153" t="n">
        <v>8081944</v>
      </c>
      <c r="B2153" t="inlineStr">
        <is>
          <t xml:space="preserve">Saver Sub 8" OD for NMDC
6-5/8" REG Pin x Box
Set on : </t>
        </is>
      </c>
      <c r="C2153" t="n">
        <v>138.08818753275</v>
      </c>
      <c r="D2153" s="62" t="n">
        <v>8</v>
      </c>
      <c r="E2153" t="n">
        <v>700</v>
      </c>
      <c r="T2153" t="n">
        <v>82</v>
      </c>
    </row>
    <row r="2154">
      <c r="A2154" t="n">
        <v>8081945</v>
      </c>
      <c r="B2154" t="inlineStr">
        <is>
          <t xml:space="preserve">Saver Sub 8" OD for NMDC
6-5/8" REG Pin x Box
Set on : </t>
        </is>
      </c>
      <c r="C2154" t="n">
        <v>138.08818753275</v>
      </c>
      <c r="D2154" s="62" t="n">
        <v>8</v>
      </c>
      <c r="E2154" t="n">
        <v>700</v>
      </c>
      <c r="T2154" t="n">
        <v>83</v>
      </c>
    </row>
    <row r="2155">
      <c r="A2155" t="n">
        <v>8081946</v>
      </c>
      <c r="B2155" t="inlineStr">
        <is>
          <t xml:space="preserve">Saver Sub 9-1/2" OD for NMDC
7-5/8" REG Pin x Box
Set on : </t>
        </is>
      </c>
      <c r="C2155" t="n">
        <v>0</v>
      </c>
      <c r="D2155" s="62" t="n">
        <v>9.5</v>
      </c>
      <c r="E2155" t="n">
        <v>700</v>
      </c>
      <c r="T2155" t="n">
        <v>116</v>
      </c>
    </row>
    <row r="2156">
      <c r="A2156" t="n">
        <v>8081947</v>
      </c>
      <c r="B2156" t="inlineStr">
        <is>
          <t xml:space="preserve">Saver Sub 9-1/2" OD for NMDC
7-5/8" REG Pin x Box
Set on : </t>
        </is>
      </c>
      <c r="C2156" t="n">
        <v>0</v>
      </c>
      <c r="D2156" s="62" t="n">
        <v>9.5</v>
      </c>
      <c r="E2156" t="n">
        <v>700</v>
      </c>
      <c r="T2156" t="n">
        <v>117</v>
      </c>
    </row>
    <row r="2157">
      <c r="A2157" t="n">
        <v>8081948</v>
      </c>
      <c r="B2157" t="inlineStr">
        <is>
          <t xml:space="preserve">4-3/4" OD Saver Sub for DJ
3-1/2" IF Pin x Box
Set on : </t>
        </is>
      </c>
      <c r="C2157" t="n">
        <v>0</v>
      </c>
      <c r="D2157" s="62" t="n">
        <v>4.75</v>
      </c>
      <c r="E2157" t="n">
        <v>500</v>
      </c>
      <c r="T2157" t="n">
        <v>35</v>
      </c>
    </row>
    <row r="2158">
      <c r="A2158" t="n">
        <v>8081949</v>
      </c>
      <c r="B2158" t="inlineStr">
        <is>
          <t xml:space="preserve">4-3/4" OD Saver Sub for DJ
3-1/2" IF Pin x Box
Set on : </t>
        </is>
      </c>
      <c r="C2158" t="n">
        <v>0</v>
      </c>
      <c r="D2158" s="62" t="n">
        <v>4.75</v>
      </c>
      <c r="E2158" t="n">
        <v>500</v>
      </c>
      <c r="T2158" t="n">
        <v>36</v>
      </c>
    </row>
    <row r="2159">
      <c r="A2159" t="n">
        <v>8081950</v>
      </c>
      <c r="B2159" t="inlineStr">
        <is>
          <t xml:space="preserve">6-3/4" OD Saver Sub for DJ
4-1/2" IF Pin x Box
Set on : </t>
        </is>
      </c>
      <c r="C2159" t="n">
        <v>86.66002829249999</v>
      </c>
      <c r="D2159" s="62" t="n">
        <v>6.75</v>
      </c>
      <c r="E2159" t="n">
        <v>600</v>
      </c>
      <c r="T2159" t="n">
        <v>70</v>
      </c>
    </row>
    <row r="2160">
      <c r="A2160" t="n">
        <v>8081951</v>
      </c>
      <c r="B2160" t="inlineStr">
        <is>
          <t xml:space="preserve">6-3/4" OD Saver Sub for DJ
4-1/2" IF Pin x Box
Set on : </t>
        </is>
      </c>
      <c r="C2160" t="n">
        <v>86.66002829249999</v>
      </c>
      <c r="D2160" s="62" t="n">
        <v>6.75</v>
      </c>
      <c r="E2160" t="n">
        <v>600</v>
      </c>
      <c r="T2160" t="n">
        <v>71</v>
      </c>
    </row>
    <row r="2161">
      <c r="A2161" t="n">
        <v>8081952</v>
      </c>
      <c r="B2161" t="inlineStr">
        <is>
          <t xml:space="preserve">Flex Collar 4-3/4" OD
3-1/2" IF Pin x Box
Set on : </t>
        </is>
      </c>
      <c r="C2161" t="n">
        <v>0</v>
      </c>
      <c r="D2161" s="62" t="n">
        <v>4.75</v>
      </c>
      <c r="E2161" t="n">
        <v>3483</v>
      </c>
      <c r="T2161" t="n">
        <v>27</v>
      </c>
    </row>
    <row r="2162">
      <c r="A2162" t="n">
        <v>8081953</v>
      </c>
      <c r="B2162" t="inlineStr">
        <is>
          <t xml:space="preserve">Flex Collar 4-3/4" OD
3-1/2" IF Pin x Box
Set on : </t>
        </is>
      </c>
      <c r="C2162" t="n">
        <v>0</v>
      </c>
      <c r="D2162" s="62" t="n">
        <v>4.75</v>
      </c>
      <c r="E2162" t="n">
        <v>3483</v>
      </c>
      <c r="T2162" t="n">
        <v>28</v>
      </c>
    </row>
    <row r="2163">
      <c r="A2163" t="n">
        <v>8081954</v>
      </c>
      <c r="B2163" t="inlineStr">
        <is>
          <t xml:space="preserve">Flex Collar 6-3/4" OD
4-1/2" IF Pin x Box
Set on : </t>
        </is>
      </c>
      <c r="C2163" t="n">
        <v>300</v>
      </c>
      <c r="D2163" s="62" t="n">
        <v>6.75</v>
      </c>
      <c r="E2163" t="n">
        <v>3370</v>
      </c>
      <c r="T2163" t="n">
        <v>52</v>
      </c>
    </row>
    <row r="2164">
      <c r="A2164" t="n">
        <v>8081955</v>
      </c>
      <c r="B2164" t="inlineStr">
        <is>
          <t xml:space="preserve">Flex Collar 6-3/4" OD
4-1/2" IF Pin x Box
Set on : </t>
        </is>
      </c>
      <c r="C2164" t="n">
        <v>300</v>
      </c>
      <c r="D2164" s="62" t="n">
        <v>6.75</v>
      </c>
      <c r="E2164" t="n">
        <v>3370</v>
      </c>
      <c r="T2164" t="n">
        <v>53</v>
      </c>
    </row>
    <row r="2165">
      <c r="A2165" t="n">
        <v>8081956</v>
      </c>
      <c r="B2165" t="inlineStr">
        <is>
          <t xml:space="preserve">Flex Collar 8" OD for DJ HM
6-5/8" REG Pin x Box
Set on : </t>
        </is>
      </c>
      <c r="C2165" t="n">
        <v>0</v>
      </c>
      <c r="D2165" s="62" t="n">
        <v>8</v>
      </c>
      <c r="E2165" t="n">
        <v>3120</v>
      </c>
      <c r="T2165" t="n">
        <v>88</v>
      </c>
    </row>
    <row r="2166">
      <c r="A2166" t="n">
        <v>8081957</v>
      </c>
      <c r="B2166" t="inlineStr">
        <is>
          <t xml:space="preserve">Flex Collar 8" OD for DJ HM
6-5/8" REG Pin x Box
Set on : </t>
        </is>
      </c>
      <c r="C2166" t="n">
        <v>0</v>
      </c>
      <c r="D2166" s="62" t="n">
        <v>8</v>
      </c>
      <c r="E2166" t="n">
        <v>3120</v>
      </c>
      <c r="T2166" t="n">
        <v>89</v>
      </c>
    </row>
    <row r="2167">
      <c r="A2167" t="n">
        <v>8081958</v>
      </c>
      <c r="B2167" t="inlineStr">
        <is>
          <t xml:space="preserve">Flex Collar 8" OD for DJ Full Hydro
6-5/8" REG Pin x Box
Set on : </t>
        </is>
      </c>
      <c r="C2167" t="n">
        <v>0</v>
      </c>
      <c r="D2167" s="62" t="n">
        <v>8</v>
      </c>
      <c r="E2167" t="n">
        <v>2027</v>
      </c>
      <c r="T2167" t="n">
        <v>90</v>
      </c>
    </row>
    <row r="2168">
      <c r="A2168" t="n">
        <v>8081959</v>
      </c>
      <c r="B2168" t="inlineStr">
        <is>
          <t xml:space="preserve">Flex Collar 8" OD for DJ Full Hydro
6-5/8" REG Pin x Box
Set on : </t>
        </is>
      </c>
      <c r="C2168" t="n">
        <v>0</v>
      </c>
      <c r="D2168" s="62" t="n">
        <v>8</v>
      </c>
      <c r="E2168" t="n">
        <v>2027</v>
      </c>
      <c r="T2168" t="n">
        <v>91</v>
      </c>
    </row>
    <row r="2169">
      <c r="A2169" t="n">
        <v>8081960</v>
      </c>
      <c r="B2169" t="inlineStr">
        <is>
          <t>Float Sub 6-3/4" Lg 750 mm
4-1/2" IF Pin x 4-1/2" IF Box BF (4R)</t>
        </is>
      </c>
      <c r="C2169" t="n">
        <v>0</v>
      </c>
      <c r="D2169" s="62" t="n">
        <v>6.5</v>
      </c>
      <c r="E2169" t="n">
        <v>750</v>
      </c>
      <c r="T2169" t="n">
        <v>24</v>
      </c>
    </row>
    <row r="2170">
      <c r="A2170" t="n">
        <v>8081961</v>
      </c>
      <c r="B2170" t="inlineStr">
        <is>
          <t>Float Sub 6-3/4" Lg 750 mm
4-1/2" IF Pin x 4-1/2" IF Box BF (4R)</t>
        </is>
      </c>
      <c r="C2170" t="n">
        <v>0</v>
      </c>
      <c r="D2170" s="62" t="n">
        <v>6.75</v>
      </c>
      <c r="E2170" t="n">
        <v>750</v>
      </c>
      <c r="T2170" t="n">
        <v>25</v>
      </c>
    </row>
    <row r="2171">
      <c r="A2171" t="n">
        <v>8081962</v>
      </c>
      <c r="B2171" t="inlineStr">
        <is>
          <t>Float Sub 6-3/4" Lg 750 mm
4-1/2" IF Pin x 4-1/2" IF Box BF (4R)</t>
        </is>
      </c>
      <c r="C2171" t="n">
        <v>0</v>
      </c>
      <c r="D2171" s="62" t="n">
        <v>6.75</v>
      </c>
      <c r="E2171" t="n">
        <v>750</v>
      </c>
      <c r="T2171" t="n">
        <v>26</v>
      </c>
    </row>
    <row r="2172">
      <c r="A2172" t="n">
        <v>8081963</v>
      </c>
      <c r="B2172" t="inlineStr">
        <is>
          <t>Float Sub 8" Lg 950 mm
6-5/8" REG Pin x 6-5/8" REG Box BF (5F-6R)</t>
        </is>
      </c>
      <c r="C2172" t="n">
        <v>194.2073454555</v>
      </c>
      <c r="D2172" s="62" t="n">
        <v>8</v>
      </c>
      <c r="E2172" t="n">
        <v>950</v>
      </c>
      <c r="T2172" t="n">
        <v>34</v>
      </c>
    </row>
    <row r="2173">
      <c r="A2173" t="n">
        <v>8081964</v>
      </c>
      <c r="B2173" t="inlineStr">
        <is>
          <t>Float Sub 8" Lg 950 mm
6-5/8" REG Pin x 6-5/8" REG Box BF (5F-6R)</t>
        </is>
      </c>
      <c r="C2173" t="n">
        <v>194.2073454555</v>
      </c>
      <c r="D2173" s="62" t="n">
        <v>8</v>
      </c>
      <c r="E2173" t="n">
        <v>950</v>
      </c>
      <c r="T2173" t="n">
        <v>35</v>
      </c>
    </row>
    <row r="2174">
      <c r="A2174" t="n">
        <v>8081990</v>
      </c>
      <c r="B2174" t="inlineStr">
        <is>
          <t>Float Sub 8" Lg 950 mm
6-5/8" REG Pin x 6-5/8" REG Box BF (5F-6R)</t>
        </is>
      </c>
      <c r="C2174" t="n">
        <v>194.2073454555</v>
      </c>
      <c r="D2174" s="62" t="n">
        <v>8</v>
      </c>
      <c r="E2174" t="n">
        <v>950</v>
      </c>
      <c r="T2174" t="n">
        <v>36</v>
      </c>
    </row>
    <row r="2175">
      <c r="A2175" t="n">
        <v>8081966</v>
      </c>
      <c r="B2175" t="inlineStr">
        <is>
          <t>Float Sub 8" Lg 950 mm
6-5/8" REG Pin x 6-5/8" REG Box BF (5F-6R)</t>
        </is>
      </c>
      <c r="C2175" t="n">
        <v>194.2073454555</v>
      </c>
      <c r="D2175" s="62" t="n">
        <v>8</v>
      </c>
      <c r="E2175" t="n">
        <v>950</v>
      </c>
      <c r="T2175" t="n">
        <v>37</v>
      </c>
    </row>
    <row r="2176">
      <c r="A2176" t="n">
        <v>8081967</v>
      </c>
      <c r="B2176" t="inlineStr">
        <is>
          <t>Float Sub 9-1/2" Lg 1000 mm
7-5/8" REG Pin x 7-5/8" REG Box BF (5F-6R)</t>
        </is>
      </c>
      <c r="C2176" t="n">
        <v>300</v>
      </c>
      <c r="D2176" s="62" t="n">
        <v>9.5</v>
      </c>
      <c r="E2176" t="n">
        <v>1000</v>
      </c>
      <c r="T2176" t="n">
        <v>47</v>
      </c>
    </row>
    <row r="2177">
      <c r="A2177" t="n">
        <v>8081968</v>
      </c>
      <c r="B2177" t="inlineStr">
        <is>
          <t>Float Sub 9-1/2" Lg 1000 mm
7-5/8" REG Pin x 7-5/8" REG Box BF (5F-6R)</t>
        </is>
      </c>
      <c r="C2177" t="n">
        <v>300</v>
      </c>
      <c r="D2177" s="62" t="n">
        <v>9.5</v>
      </c>
      <c r="E2177" t="n">
        <v>1000</v>
      </c>
      <c r="T2177" t="n">
        <v>48</v>
      </c>
    </row>
    <row r="2178">
      <c r="A2178" t="n">
        <v>8081969</v>
      </c>
      <c r="B2178" t="inlineStr">
        <is>
          <t>Float Sub 9-1/2" Lg 1000 mm
7-5/8" REG Pin x 7-5/8" REG Box BF (5F-6R)</t>
        </is>
      </c>
      <c r="C2178" t="n">
        <v>300</v>
      </c>
      <c r="D2178" s="62" t="n">
        <v>9.5</v>
      </c>
      <c r="E2178" t="n">
        <v>1000</v>
      </c>
      <c r="T2178" t="n">
        <v>49</v>
      </c>
    </row>
    <row r="2179">
      <c r="A2179" t="n">
        <v>8081970</v>
      </c>
      <c r="B2179" t="inlineStr">
        <is>
          <t>Float Sub 9-1/2" Lg 1000 mm
7-5/8" REG Pin x 7-5/8" REG Box BF (5F-6R)</t>
        </is>
      </c>
      <c r="C2179" t="n">
        <v>300</v>
      </c>
      <c r="D2179" s="62" t="n">
        <v>9.5</v>
      </c>
      <c r="E2179" t="n">
        <v>1000</v>
      </c>
      <c r="T2179" t="n">
        <v>50</v>
      </c>
    </row>
    <row r="2180">
      <c r="A2180" t="n">
        <v>6041971</v>
      </c>
      <c r="B2180" t="inlineStr">
        <is>
          <t>6-3/4" OD UBHO
4-1/2" IF Pin x Box</t>
        </is>
      </c>
      <c r="C2180" t="n">
        <v>120</v>
      </c>
      <c r="D2180" s="62" t="n">
        <v>6.75</v>
      </c>
      <c r="E2180" t="n">
        <v>850</v>
      </c>
      <c r="T2180" t="n">
        <v>23</v>
      </c>
    </row>
    <row r="2181">
      <c r="A2181" t="n">
        <v>6041972</v>
      </c>
      <c r="B2181" t="inlineStr">
        <is>
          <t>6-3/4" OD UBHO
4-1/2" IF Pin x Box</t>
        </is>
      </c>
      <c r="C2181" t="n">
        <v>120</v>
      </c>
      <c r="D2181" s="62" t="n">
        <v>6.75</v>
      </c>
      <c r="E2181" t="n">
        <v>850</v>
      </c>
      <c r="T2181" t="n">
        <v>24</v>
      </c>
    </row>
    <row r="2182">
      <c r="A2182" t="n">
        <v>6041973</v>
      </c>
      <c r="B2182" t="inlineStr">
        <is>
          <t>8" OD UBHO
6-5/8" REG Pin x Box</t>
        </is>
      </c>
      <c r="C2182" t="n">
        <v>206.40394203</v>
      </c>
      <c r="D2182" s="62" t="n">
        <v>8</v>
      </c>
      <c r="E2182" t="n">
        <v>950</v>
      </c>
      <c r="T2182" t="n">
        <v>29</v>
      </c>
    </row>
    <row r="2183">
      <c r="A2183" t="n">
        <v>6041974</v>
      </c>
      <c r="B2183" t="inlineStr">
        <is>
          <t>8" OD UBHO
6-5/8" REG Pin x Box</t>
        </is>
      </c>
      <c r="C2183" t="n">
        <v>206.40394203</v>
      </c>
      <c r="D2183" s="62" t="n">
        <v>8</v>
      </c>
      <c r="E2183" t="n">
        <v>950</v>
      </c>
      <c r="T2183" t="n">
        <v>30</v>
      </c>
    </row>
    <row r="2184">
      <c r="A2184" t="n">
        <v>6041975</v>
      </c>
      <c r="B2184" t="inlineStr">
        <is>
          <t>8" OD UBHO
6-5/8" REG Pin x Box</t>
        </is>
      </c>
      <c r="C2184" t="n">
        <v>206.40394203</v>
      </c>
      <c r="D2184" s="62" t="n">
        <v>8</v>
      </c>
      <c r="E2184" t="n">
        <v>950</v>
      </c>
      <c r="T2184" t="n">
        <v>31</v>
      </c>
    </row>
    <row r="2185">
      <c r="A2185" t="n">
        <v>6041976</v>
      </c>
      <c r="B2185" t="inlineStr">
        <is>
          <t>9-1/2" OD UBHO
7-5/8" REG Pin x Box</t>
        </is>
      </c>
      <c r="C2185" t="n">
        <v>320.96306775</v>
      </c>
      <c r="D2185" s="62" t="n">
        <v>9.5</v>
      </c>
      <c r="E2185" t="n">
        <v>1000</v>
      </c>
      <c r="T2185" t="n">
        <v>36</v>
      </c>
    </row>
    <row r="2186">
      <c r="A2186" t="n">
        <v>6041977</v>
      </c>
      <c r="B2186" t="inlineStr">
        <is>
          <t>9-1/2" OD UBHO
7-5/8" REG Pin x Box</t>
        </is>
      </c>
      <c r="C2186" t="n">
        <v>320.96306775</v>
      </c>
      <c r="D2186" s="62" t="n">
        <v>9.5</v>
      </c>
      <c r="E2186" t="n">
        <v>1000</v>
      </c>
      <c r="T2186" t="n">
        <v>37</v>
      </c>
    </row>
    <row r="2187">
      <c r="A2187" t="n">
        <v>6041978</v>
      </c>
      <c r="B2187" t="inlineStr">
        <is>
          <t>9-1/2" OD UBHO
7-5/8" REG Pin x Box</t>
        </is>
      </c>
      <c r="C2187" t="n">
        <v>320.96306775</v>
      </c>
      <c r="D2187" s="62" t="n">
        <v>9.5</v>
      </c>
      <c r="E2187" t="n">
        <v>1000</v>
      </c>
      <c r="T2187" t="n">
        <v>38</v>
      </c>
    </row>
    <row r="2188">
      <c r="A2188" t="n">
        <v>6041979</v>
      </c>
      <c r="B2188" t="inlineStr">
        <is>
          <t>9-1/2" OD UBHO
7-5/8" REG Pin x Box</t>
        </is>
      </c>
      <c r="C2188" t="n">
        <v>320.96306775</v>
      </c>
      <c r="D2188" s="62" t="n">
        <v>9.5</v>
      </c>
      <c r="E2188" t="n">
        <v>1000</v>
      </c>
      <c r="T2188" t="n">
        <v>39</v>
      </c>
    </row>
    <row r="2189">
      <c r="A2189" t="n">
        <v>8081980</v>
      </c>
      <c r="B2189" t="inlineStr">
        <is>
          <t xml:space="preserve">Saver Sub 8" OD for NMDC
4-1/2" IF Pin x Box
Set on : </t>
        </is>
      </c>
      <c r="C2189" t="n">
        <v>143.0199085160625</v>
      </c>
      <c r="D2189" s="62" t="n">
        <v>8</v>
      </c>
      <c r="E2189" t="n">
        <v>725</v>
      </c>
      <c r="T2189" t="n">
        <v>80</v>
      </c>
    </row>
    <row r="2190">
      <c r="A2190" t="n">
        <v>8081981</v>
      </c>
      <c r="B2190" t="inlineStr">
        <is>
          <t xml:space="preserve">Saver Sub 8" OD for NMDC
4-1/2" IF Pin x Box
Set on : </t>
        </is>
      </c>
      <c r="C2190" t="n">
        <v>143.0199085160625</v>
      </c>
      <c r="D2190" s="62" t="n">
        <v>8</v>
      </c>
      <c r="E2190" t="n">
        <v>725</v>
      </c>
      <c r="T2190" t="n">
        <v>81</v>
      </c>
    </row>
    <row r="2191">
      <c r="A2191" t="n">
        <v>8081982</v>
      </c>
      <c r="B2191" t="inlineStr">
        <is>
          <t xml:space="preserve">Saver Sub 9-1/2" OD for NMDC
4-1/2" IF Pin x Box
Set on : </t>
        </is>
      </c>
      <c r="C2191" t="n">
        <v>206.7434221978125</v>
      </c>
      <c r="D2191" s="62" t="n">
        <v>9.5</v>
      </c>
      <c r="E2191" t="n">
        <v>725</v>
      </c>
      <c r="T2191" t="n">
        <v>114</v>
      </c>
    </row>
    <row r="2192">
      <c r="A2192" t="n">
        <v>8081983</v>
      </c>
      <c r="B2192" t="inlineStr">
        <is>
          <t xml:space="preserve">Saver Sub 9-1/2" OD for NMDC
4-1/2" IF Pin x Box
Set on : </t>
        </is>
      </c>
      <c r="C2192" t="n">
        <v>206.7434221978125</v>
      </c>
      <c r="D2192" s="62" t="n">
        <v>9.5</v>
      </c>
      <c r="E2192" t="n">
        <v>725</v>
      </c>
      <c r="T2192" t="n">
        <v>115</v>
      </c>
    </row>
    <row r="2193">
      <c r="A2193" t="n">
        <v>8081984</v>
      </c>
      <c r="B2193" t="inlineStr">
        <is>
          <t xml:space="preserve">Saver Sub 6-3/4" OD for NMDC
4-1/2" IF Pin x Box
Set on : </t>
        </is>
      </c>
      <c r="C2193" t="n">
        <v>90.2708628046875</v>
      </c>
      <c r="D2193" s="62" t="n">
        <v>6.75</v>
      </c>
      <c r="E2193" t="n">
        <v>625</v>
      </c>
      <c r="T2193" t="n">
        <v>68</v>
      </c>
    </row>
    <row r="2194">
      <c r="A2194" t="n">
        <v>8081985</v>
      </c>
      <c r="B2194" t="inlineStr">
        <is>
          <t xml:space="preserve">Saver Sub 6-3/4" OD for NMDC
4-1/2" IF Pin x Box
Set on : </t>
        </is>
      </c>
      <c r="C2194" t="n">
        <v>90.2708628046875</v>
      </c>
      <c r="D2194" s="62" t="n">
        <v>6.75</v>
      </c>
      <c r="E2194" t="n">
        <v>625</v>
      </c>
      <c r="T2194" t="n">
        <v>69</v>
      </c>
    </row>
    <row r="2195">
      <c r="A2195" t="n">
        <v>8081986</v>
      </c>
      <c r="B2195" t="inlineStr">
        <is>
          <t xml:space="preserve">8" OD Saver Sub for DJ
4-1/2" IF Pin x Box
Set on : </t>
        </is>
      </c>
      <c r="C2195" t="n">
        <v>0</v>
      </c>
      <c r="D2195" s="62" t="n">
        <v>8</v>
      </c>
      <c r="E2195" t="n">
        <v>725</v>
      </c>
      <c r="T2195" t="n">
        <v>101</v>
      </c>
    </row>
    <row r="2196">
      <c r="A2196" t="n">
        <v>8081987</v>
      </c>
      <c r="B2196" t="inlineStr">
        <is>
          <t>8" OD Saver Sub for DJ
4-1/2" IF Pin x Box</t>
        </is>
      </c>
      <c r="C2196" t="n">
        <v>0</v>
      </c>
      <c r="D2196" s="62" t="n">
        <v>8</v>
      </c>
      <c r="E2196" t="n">
        <v>725</v>
      </c>
      <c r="T2196" t="n">
        <v>102</v>
      </c>
    </row>
    <row r="2197">
      <c r="A2197" t="n">
        <v>8081988</v>
      </c>
      <c r="B2197" t="inlineStr">
        <is>
          <t>Float Sub 6-3/4" Lg 774 mm
4-1/2" IF Pin x 4-1/2" IF Box BF (4R)</t>
        </is>
      </c>
      <c r="C2197" t="n">
        <v>0</v>
      </c>
      <c r="D2197" s="62" t="n">
        <v>6.75</v>
      </c>
      <c r="E2197" t="n">
        <v>774</v>
      </c>
      <c r="T2197" t="n">
        <v>21</v>
      </c>
    </row>
    <row r="2198">
      <c r="A2198" t="n">
        <v>8081989</v>
      </c>
      <c r="B2198" t="inlineStr">
        <is>
          <t>Float Sub 6-3/4" Lg 774 mm
4-1/2" IF Pin x 4-1/2" IF Box BF (4R)</t>
        </is>
      </c>
      <c r="C2198" t="n">
        <v>0</v>
      </c>
      <c r="D2198" s="62" t="n">
        <v>6.75</v>
      </c>
      <c r="E2198" t="n">
        <v>774</v>
      </c>
      <c r="T2198" t="n">
        <v>22</v>
      </c>
    </row>
    <row r="2199">
      <c r="A2199" t="n">
        <v>8081965</v>
      </c>
      <c r="B2199" t="inlineStr">
        <is>
          <t>Float Sub 6-3/4" Lg 774 mm
4-1/2" IF Pin x 4-1/2" IF Box BF (4R)</t>
        </is>
      </c>
      <c r="C2199" t="n">
        <v>0</v>
      </c>
      <c r="D2199" s="62" t="n">
        <v>6.75</v>
      </c>
      <c r="E2199" t="n">
        <v>774</v>
      </c>
      <c r="T2199" t="n">
        <v>23</v>
      </c>
    </row>
    <row r="2200">
      <c r="A2200" t="n">
        <v>8081991</v>
      </c>
      <c r="B2200" t="inlineStr">
        <is>
          <t>Float Sub 8" Lg 970 mm
6-5/8" REG Pin x 6-5/8" REG Box BF (5F-6R)</t>
        </is>
      </c>
      <c r="C2200" t="n">
        <v>198.2959211493</v>
      </c>
      <c r="D2200" s="62" t="n">
        <v>8</v>
      </c>
      <c r="E2200" t="n">
        <v>970</v>
      </c>
      <c r="T2200" t="n">
        <v>30</v>
      </c>
    </row>
    <row r="2201">
      <c r="A2201" t="n">
        <v>8081992</v>
      </c>
      <c r="B2201" t="inlineStr">
        <is>
          <t>Float Sub 8" Lg 970 mm
6-5/8" REG Pin x 6-5/8" REG Box BF (5F-6R)</t>
        </is>
      </c>
      <c r="C2201" t="n">
        <v>198.2959211493</v>
      </c>
      <c r="D2201" s="62" t="n">
        <v>8</v>
      </c>
      <c r="E2201" t="n">
        <v>970</v>
      </c>
      <c r="T2201" t="n">
        <v>31</v>
      </c>
    </row>
    <row r="2202">
      <c r="A2202" t="n">
        <v>8081993</v>
      </c>
      <c r="B2202" t="inlineStr">
        <is>
          <t>Float Sub 8" Lg 970 mm
6-5/8" REG Pin x 6-5/8" REG Box BF (5F-6R)</t>
        </is>
      </c>
      <c r="C2202" t="n">
        <v>198.2959211493</v>
      </c>
      <c r="D2202" s="62" t="n">
        <v>8</v>
      </c>
      <c r="E2202" t="n">
        <v>970</v>
      </c>
      <c r="T2202" t="n">
        <v>32</v>
      </c>
    </row>
    <row r="2203">
      <c r="A2203" t="n">
        <v>8081994</v>
      </c>
      <c r="B2203" t="inlineStr">
        <is>
          <t>Float Sub 8" Lg 970 mm
6-5/8" REG Pin x 6-5/8" REG Box BF (5F-6R)</t>
        </is>
      </c>
      <c r="C2203" t="n">
        <v>198.2959211493</v>
      </c>
      <c r="D2203" s="62" t="n">
        <v>8</v>
      </c>
      <c r="E2203" t="n">
        <v>970</v>
      </c>
      <c r="T2203" t="n">
        <v>33</v>
      </c>
    </row>
    <row r="2204">
      <c r="A2204" t="n">
        <v>7021995</v>
      </c>
      <c r="B2204" t="inlineStr">
        <is>
          <t>Fishing Magnet 13-5/8"OD
6-5/8" REG Pin</t>
        </is>
      </c>
      <c r="C2204" t="n">
        <v>0</v>
      </c>
      <c r="D2204" s="62" t="n">
        <v>13.5</v>
      </c>
      <c r="E2204" t="n">
        <v>666</v>
      </c>
      <c r="T2204" t="n">
        <v>14</v>
      </c>
      <c r="V2204" t="inlineStr">
        <is>
          <t>FR</t>
        </is>
      </c>
    </row>
    <row r="2205">
      <c r="A2205" t="n">
        <v>7021996</v>
      </c>
      <c r="B2205" t="inlineStr">
        <is>
          <t>Fishing Magnet 13-5/8"OD
6-5/8" REG Pin</t>
        </is>
      </c>
      <c r="C2205" t="n">
        <v>0</v>
      </c>
      <c r="D2205" s="62" t="n">
        <v>13.5</v>
      </c>
      <c r="E2205" t="n">
        <v>666</v>
      </c>
      <c r="T2205" t="n">
        <v>15</v>
      </c>
      <c r="V2205" t="inlineStr">
        <is>
          <t>FR</t>
        </is>
      </c>
    </row>
    <row r="2206">
      <c r="A2206" t="n">
        <v>1061997</v>
      </c>
      <c r="B2206" t="inlineStr">
        <is>
          <t>Impression Block
6-5/8" REG Pin</t>
        </is>
      </c>
      <c r="C2206" t="n">
        <v>300</v>
      </c>
      <c r="D2206" s="62" t="n">
        <v>13.5</v>
      </c>
      <c r="E2206" t="n">
        <v>601</v>
      </c>
      <c r="T2206" t="n">
        <v>28</v>
      </c>
      <c r="V2206" t="inlineStr">
        <is>
          <t>FR</t>
        </is>
      </c>
    </row>
    <row r="2207">
      <c r="A2207" t="n">
        <v>1061998</v>
      </c>
      <c r="B2207" t="inlineStr">
        <is>
          <t>Impression Block
6-5/8" REG Pin</t>
        </is>
      </c>
      <c r="C2207" t="n">
        <v>300</v>
      </c>
      <c r="D2207" s="62" t="n">
        <v>13.5</v>
      </c>
      <c r="E2207" t="n">
        <v>601</v>
      </c>
      <c r="T2207" t="n">
        <v>29</v>
      </c>
      <c r="V2207" t="inlineStr">
        <is>
          <t>FR</t>
        </is>
      </c>
    </row>
    <row r="2208">
      <c r="A2208" t="n">
        <v>5121999</v>
      </c>
      <c r="B2208" t="inlineStr">
        <is>
          <t xml:space="preserve">WO Top Sub 
2-3/8" IF Box x 3-3/4" FJWP Pin x 1-1/4" REG Box in </t>
        </is>
      </c>
      <c r="C2208" t="n">
        <v>0</v>
      </c>
      <c r="D2208" s="62" t="n">
        <v>8.125</v>
      </c>
      <c r="E2208" t="n">
        <v>600</v>
      </c>
      <c r="T2208" t="n">
        <v>41</v>
      </c>
      <c r="V2208" t="inlineStr">
        <is>
          <t>FR</t>
        </is>
      </c>
    </row>
    <row r="2209">
      <c r="A2209" t="n">
        <v>5122000</v>
      </c>
      <c r="B2209" t="inlineStr">
        <is>
          <t xml:space="preserve">WO Top Sub 
2-3/8" IF Box x 3-3/4" FJWP Pin x 1-1/4" REG Box in </t>
        </is>
      </c>
      <c r="C2209" t="n">
        <v>0</v>
      </c>
      <c r="D2209" s="62" t="n">
        <v>8.125</v>
      </c>
      <c r="E2209" t="n">
        <v>600</v>
      </c>
      <c r="T2209" t="n">
        <v>42</v>
      </c>
      <c r="V2209" t="inlineStr">
        <is>
          <t>FR</t>
        </is>
      </c>
    </row>
    <row r="2210">
      <c r="A2210" t="n">
        <v>7042001</v>
      </c>
      <c r="B2210" t="inlineStr">
        <is>
          <t>8-1/8" FS Overshont - CA C5342
4-1/2" IF Box</t>
        </is>
      </c>
      <c r="C2210" t="n">
        <v>0</v>
      </c>
      <c r="D2210" s="62" t="inlineStr">
        <is>
          <t>5-3/4" FS</t>
        </is>
      </c>
      <c r="E2210" t="n">
        <v>0</v>
      </c>
      <c r="T2210" t="n">
        <v>38</v>
      </c>
    </row>
    <row r="2211">
      <c r="A2211" t="n">
        <v>7052002</v>
      </c>
      <c r="B2211" t="inlineStr">
        <is>
          <t>Extension 5-3/4" FS Lg 900mm CA 8975
5-3/4" FS Sellers Pin x Box</t>
        </is>
      </c>
      <c r="C2211" t="n">
        <v>51.42661614857811</v>
      </c>
      <c r="D2211" s="62" t="inlineStr">
        <is>
          <t>5-3/4" FS</t>
        </is>
      </c>
      <c r="E2211" t="n">
        <v>900</v>
      </c>
      <c r="T2211" t="n">
        <v>26</v>
      </c>
      <c r="V2211" t="inlineStr">
        <is>
          <t>US</t>
        </is>
      </c>
    </row>
    <row r="2212">
      <c r="A2212" t="n">
        <v>7052003</v>
      </c>
      <c r="B2212" t="inlineStr">
        <is>
          <t>Extension 5-3/4" FS Lg 900mm CA 8975
5-3/4" FS Sellers Pin x Box</t>
        </is>
      </c>
      <c r="C2212" t="n">
        <v>51.42661614857811</v>
      </c>
      <c r="D2212" s="62" t="inlineStr">
        <is>
          <t>5-3/4" FS</t>
        </is>
      </c>
      <c r="E2212" t="n">
        <v>900</v>
      </c>
      <c r="T2212" t="n">
        <v>27</v>
      </c>
      <c r="V2212" t="inlineStr">
        <is>
          <t>US</t>
        </is>
      </c>
    </row>
    <row r="2213">
      <c r="A2213" t="n">
        <v>8132004</v>
      </c>
      <c r="B2213" t="inlineStr">
        <is>
          <t>XO
4-1/2" IF Pin x 3-1/2" IF Box</t>
        </is>
      </c>
      <c r="C2213" t="n">
        <v>168.7216434028124</v>
      </c>
      <c r="D2213" s="62" t="n">
        <v>6.625</v>
      </c>
      <c r="E2213" t="n">
        <v>1100</v>
      </c>
      <c r="T2213" t="n">
        <v>163</v>
      </c>
      <c r="V2213" t="inlineStr">
        <is>
          <t>FR</t>
        </is>
      </c>
    </row>
    <row r="2214">
      <c r="A2214" t="n">
        <v>8132005</v>
      </c>
      <c r="B2214" t="inlineStr">
        <is>
          <t>XO
4-1/2" IF Pin x 3-1/2" IF Box</t>
        </is>
      </c>
      <c r="C2214" t="n">
        <v>168.7216434028124</v>
      </c>
      <c r="D2214" s="62" t="n">
        <v>6.625</v>
      </c>
      <c r="E2214" t="n">
        <v>1100</v>
      </c>
      <c r="T2214" t="n">
        <v>164</v>
      </c>
      <c r="V2214" t="inlineStr">
        <is>
          <t>FR</t>
        </is>
      </c>
    </row>
    <row r="2215">
      <c r="A2215" t="n">
        <v>8132006</v>
      </c>
      <c r="B2215" t="inlineStr">
        <is>
          <t>XO
3-1/2" IF Pin x 4-1/2" IF Box</t>
        </is>
      </c>
      <c r="C2215" t="n">
        <v>168.7216434028124</v>
      </c>
      <c r="D2215" s="62" t="n">
        <v>6.625</v>
      </c>
      <c r="E2215" t="n">
        <v>1100</v>
      </c>
      <c r="T2215" t="n">
        <v>128</v>
      </c>
      <c r="V2215" t="inlineStr">
        <is>
          <t>FR</t>
        </is>
      </c>
    </row>
    <row r="2216">
      <c r="A2216" t="n">
        <v>8132007</v>
      </c>
      <c r="B2216" t="inlineStr">
        <is>
          <t>XO
3-1/2" IF Pin x 4-1/2" IF Box</t>
        </is>
      </c>
      <c r="C2216" t="n">
        <v>168.7216434028124</v>
      </c>
      <c r="D2216" s="62" t="n">
        <v>6.625</v>
      </c>
      <c r="E2216" t="n">
        <v>1100</v>
      </c>
      <c r="T2216" t="n">
        <v>129</v>
      </c>
      <c r="V2216" t="inlineStr">
        <is>
          <t>FR</t>
        </is>
      </c>
    </row>
    <row r="2217">
      <c r="A2217" t="n">
        <v>5102008</v>
      </c>
      <c r="B2217" t="inlineStr">
        <is>
          <t>WO Pipe
5-1/2" FJWP Pin x Box</t>
        </is>
      </c>
      <c r="C2217" t="n">
        <v>1135.221681165</v>
      </c>
      <c r="D2217" s="62" t="n">
        <v>5.5</v>
      </c>
      <c r="E2217" t="n">
        <v>9500</v>
      </c>
      <c r="T2217" t="n">
        <v>78</v>
      </c>
    </row>
    <row r="2218">
      <c r="A2218" t="n">
        <v>5102009</v>
      </c>
      <c r="B2218" t="inlineStr">
        <is>
          <t>WO Pipe
5-1/2" FJWP Pin x Box</t>
        </is>
      </c>
      <c r="C2218" t="n">
        <v>1135.221681165</v>
      </c>
      <c r="D2218" s="62" t="n">
        <v>5.5</v>
      </c>
      <c r="E2218" t="n">
        <v>9500</v>
      </c>
      <c r="T2218" t="n">
        <v>79</v>
      </c>
    </row>
    <row r="2219">
      <c r="A2219" t="n">
        <v>5102010</v>
      </c>
      <c r="B2219" t="inlineStr">
        <is>
          <t>WO Pipe
5-1/2" FJWP Pin x Box</t>
        </is>
      </c>
      <c r="C2219" t="n">
        <v>1135.221681165</v>
      </c>
      <c r="D2219" s="62" t="n">
        <v>5.5</v>
      </c>
      <c r="E2219" t="n">
        <v>9500</v>
      </c>
      <c r="T2219" t="n">
        <v>80</v>
      </c>
    </row>
    <row r="2220">
      <c r="A2220" t="n">
        <v>5102011</v>
      </c>
      <c r="B2220" t="inlineStr">
        <is>
          <t>WO Pipe
5-1/2" FJWP Pin x Box</t>
        </is>
      </c>
      <c r="C2220" t="n">
        <v>1135.221681165</v>
      </c>
      <c r="D2220" s="62" t="n">
        <v>5.5</v>
      </c>
      <c r="E2220" t="n">
        <v>9500</v>
      </c>
      <c r="T2220" t="n">
        <v>81</v>
      </c>
    </row>
    <row r="2221">
      <c r="A2221" t="n">
        <v>5102012</v>
      </c>
      <c r="B2221" t="inlineStr">
        <is>
          <t>WO Pipe
5-1/2" FJWP Pin x Box</t>
        </is>
      </c>
      <c r="C2221" t="n">
        <v>1135.221681165</v>
      </c>
      <c r="D2221" s="62" t="n">
        <v>5.5</v>
      </c>
      <c r="E2221" t="n">
        <v>9500</v>
      </c>
      <c r="T2221" t="n">
        <v>82</v>
      </c>
    </row>
    <row r="2222">
      <c r="A2222" t="n">
        <v>5092013</v>
      </c>
      <c r="B2222" t="inlineStr">
        <is>
          <t>WO Extension Lg 2930 mm
5-1/2" FJWP Pin x Box</t>
        </is>
      </c>
      <c r="C2222" t="n">
        <v>75.05289273665623</v>
      </c>
      <c r="D2222" s="62" t="n">
        <v>5.5</v>
      </c>
      <c r="E2222" t="n">
        <v>2930</v>
      </c>
      <c r="T2222" t="n">
        <v>62</v>
      </c>
    </row>
    <row r="2223">
      <c r="A2223" t="n">
        <v>5092014</v>
      </c>
      <c r="B2223" t="inlineStr">
        <is>
          <t>WO Extension Lg 2950 mm
5-1/2" FJWP Pin x Box</t>
        </is>
      </c>
      <c r="C2223" t="n">
        <v>75.56519917171873</v>
      </c>
      <c r="D2223" s="62" t="n">
        <v>5.5</v>
      </c>
      <c r="E2223" t="n">
        <v>2950</v>
      </c>
      <c r="T2223" t="n">
        <v>63</v>
      </c>
    </row>
    <row r="2224">
      <c r="A2224" t="n">
        <v>5092015</v>
      </c>
      <c r="B2224" t="inlineStr">
        <is>
          <t>WO Extension Lg 3915 mm
5-1/2" FJWP Pin x Box</t>
        </is>
      </c>
      <c r="C2224" t="n">
        <v>100.2839846634844</v>
      </c>
      <c r="D2224" s="62" t="n">
        <v>5.5</v>
      </c>
      <c r="E2224" t="n">
        <v>3915</v>
      </c>
      <c r="T2224" t="n">
        <v>64</v>
      </c>
    </row>
    <row r="2225">
      <c r="A2225" t="n">
        <v>5092016</v>
      </c>
      <c r="B2225" t="inlineStr">
        <is>
          <t>WO Extension Lg 5460 mm
5-1/2" FJWP Pin x Box</t>
        </is>
      </c>
      <c r="C2225" t="n">
        <v>139.8596567720625</v>
      </c>
      <c r="D2225" s="62" t="n">
        <v>5.5</v>
      </c>
      <c r="E2225" t="n">
        <v>5460</v>
      </c>
      <c r="T2225" t="n">
        <v>65</v>
      </c>
    </row>
    <row r="2226">
      <c r="A2226" t="n">
        <v>5092017</v>
      </c>
      <c r="B2226" t="inlineStr">
        <is>
          <t>WO Extension Lg 1500 mm
5-1/2" FJWP Pin x Box</t>
        </is>
      </c>
      <c r="C2226" t="n">
        <v>38.4229826296875</v>
      </c>
      <c r="D2226" s="62" t="n">
        <v>5.5</v>
      </c>
      <c r="E2226" t="n">
        <v>1500</v>
      </c>
      <c r="T2226" t="n">
        <v>43</v>
      </c>
    </row>
    <row r="2227">
      <c r="A2227" t="n">
        <v>5092018</v>
      </c>
      <c r="B2227" t="inlineStr">
        <is>
          <t>WO Extension Lg 2040 mm
5-1/2" FJWP Pin x Box</t>
        </is>
      </c>
      <c r="C2227" t="n">
        <v>52.25525637637499</v>
      </c>
      <c r="D2227" s="62" t="n">
        <v>5.5</v>
      </c>
      <c r="E2227" t="n">
        <v>2040</v>
      </c>
      <c r="T2227" t="n">
        <v>46</v>
      </c>
    </row>
    <row r="2228">
      <c r="A2228" t="n">
        <v>5092019</v>
      </c>
      <c r="B2228" t="inlineStr">
        <is>
          <t>WO Extension Lg 2730 mm
5-1/2" FJWP Pin x Box</t>
        </is>
      </c>
      <c r="C2228" t="n">
        <v>69.92982838603125</v>
      </c>
      <c r="D2228" s="62" t="n">
        <v>5.5</v>
      </c>
      <c r="E2228" t="n">
        <v>2730</v>
      </c>
      <c r="T2228" t="n">
        <v>47</v>
      </c>
    </row>
    <row r="2229">
      <c r="A2229" t="n">
        <v>5092020</v>
      </c>
      <c r="B2229" t="inlineStr">
        <is>
          <t>WO Extension Lg 2730 mm
5-1/2" FJWP Pin x Box</t>
        </is>
      </c>
      <c r="C2229" t="n">
        <v>69.92982838603125</v>
      </c>
      <c r="D2229" s="62" t="n">
        <v>5.5</v>
      </c>
      <c r="E2229" t="n">
        <v>2730</v>
      </c>
      <c r="T2229" t="n">
        <v>48</v>
      </c>
    </row>
    <row r="2230">
      <c r="A2230" t="n">
        <v>8092021</v>
      </c>
      <c r="B2230" t="inlineStr">
        <is>
          <t>Near Bit Stab
3-1/2" IF Box x 3-1/2" REG Box BF</t>
        </is>
      </c>
      <c r="C2230" t="n">
        <v>129</v>
      </c>
      <c r="D2230" s="62" t="n">
        <v>6.125</v>
      </c>
      <c r="E2230" t="n">
        <v>1574.8</v>
      </c>
      <c r="T2230" t="n">
        <v>9</v>
      </c>
    </row>
    <row r="2231">
      <c r="A2231" t="n">
        <v>8092022</v>
      </c>
      <c r="B2231" t="inlineStr">
        <is>
          <t>Near Bit Stab
3-1/2" IF Box x 3-1/2" REG Box BF</t>
        </is>
      </c>
      <c r="C2231" t="n">
        <v>129</v>
      </c>
      <c r="D2231" s="62" t="n">
        <v>6.25</v>
      </c>
      <c r="E2231" t="n">
        <v>1574.8</v>
      </c>
      <c r="T2231" t="n">
        <v>11</v>
      </c>
    </row>
    <row r="2232">
      <c r="A2232" t="n">
        <v>8092023</v>
      </c>
      <c r="B2232" t="inlineStr">
        <is>
          <t>Near Bit Stab
3-1/2" IF Box x 3-1/2" REG Box BF</t>
        </is>
      </c>
      <c r="C2232" t="n">
        <v>129</v>
      </c>
      <c r="D2232" s="62" t="n">
        <v>6.125</v>
      </c>
      <c r="E2232" t="n">
        <v>1574.8</v>
      </c>
      <c r="T2232" t="n">
        <v>10</v>
      </c>
    </row>
    <row r="2233">
      <c r="A2233" t="n">
        <v>8112024</v>
      </c>
      <c r="B2233" t="inlineStr">
        <is>
          <t>String Stab
3-1/2" IF Pin x 3-1/2" IF Box</t>
        </is>
      </c>
      <c r="C2233" t="n">
        <v>129</v>
      </c>
      <c r="D2233" s="62" t="n">
        <v>6.1875</v>
      </c>
      <c r="E2233" t="n">
        <v>1480</v>
      </c>
      <c r="T2233" t="n">
        <v>16</v>
      </c>
    </row>
    <row r="2234">
      <c r="A2234" t="n">
        <v>8112025</v>
      </c>
      <c r="B2234" t="inlineStr">
        <is>
          <t>String Stab
3-1/2" IF Pin x 3-1/2" IF Box</t>
        </is>
      </c>
      <c r="C2234" t="n">
        <v>129</v>
      </c>
      <c r="D2234" s="62" t="n">
        <v>6.125</v>
      </c>
      <c r="E2234" t="n">
        <v>1480</v>
      </c>
      <c r="T2234" t="n">
        <v>17</v>
      </c>
    </row>
    <row r="2235">
      <c r="A2235" t="n">
        <v>8112026</v>
      </c>
      <c r="B2235" t="inlineStr">
        <is>
          <t>String Stab
3-1/2" IF Pin x 3-1/2" IF Box</t>
        </is>
      </c>
      <c r="C2235" t="n">
        <v>129</v>
      </c>
      <c r="D2235" s="62" t="n">
        <v>6.3125</v>
      </c>
      <c r="E2235" t="n">
        <v>1480</v>
      </c>
      <c r="T2235" t="n">
        <v>18</v>
      </c>
    </row>
    <row r="2236">
      <c r="A2236" t="n">
        <v>8092027</v>
      </c>
      <c r="B2236" t="inlineStr">
        <is>
          <t>Near Bit Stab
4-1/2" IF Box x 4-1/2" REG Box BF</t>
        </is>
      </c>
      <c r="C2236" t="n">
        <v>275</v>
      </c>
      <c r="D2236" s="62" t="n">
        <v>8.5625</v>
      </c>
      <c r="E2236" t="n">
        <v>1879.6</v>
      </c>
      <c r="T2236" t="n">
        <v>18</v>
      </c>
    </row>
    <row r="2237">
      <c r="A2237" t="n">
        <v>8092028</v>
      </c>
      <c r="B2237" t="inlineStr">
        <is>
          <t>Near Bit Stab
4-1/2" IF Box x 4-1/2" REG Box BF</t>
        </is>
      </c>
      <c r="C2237" t="n">
        <v>275</v>
      </c>
      <c r="D2237" s="62" t="n">
        <v>8.25</v>
      </c>
      <c r="E2237" t="n">
        <v>1879.6</v>
      </c>
      <c r="T2237" t="n">
        <v>12</v>
      </c>
    </row>
    <row r="2238">
      <c r="A2238" t="n">
        <v>8112029</v>
      </c>
      <c r="B2238" t="inlineStr">
        <is>
          <t>String Stab
4-1/2" IF Pin SRG x 4-1/2" IF Box BB</t>
        </is>
      </c>
      <c r="C2238" t="n">
        <v>273</v>
      </c>
      <c r="D2238" s="62" t="n">
        <v>8.4375</v>
      </c>
      <c r="E2238" t="n">
        <v>1780</v>
      </c>
      <c r="T2238" t="n">
        <v>26</v>
      </c>
    </row>
    <row r="2239">
      <c r="A2239" t="n">
        <v>8112030</v>
      </c>
      <c r="B2239" t="inlineStr">
        <is>
          <t>String Stab
4-1/2" IF Pin SRG x 4-1/2" IF Box BB</t>
        </is>
      </c>
      <c r="C2239" t="n">
        <v>273</v>
      </c>
      <c r="D2239" s="62" t="n">
        <v>8.375</v>
      </c>
      <c r="E2239" t="n">
        <v>1780</v>
      </c>
      <c r="T2239" t="n">
        <v>27</v>
      </c>
    </row>
    <row r="2240">
      <c r="A2240" t="n">
        <v>8112031</v>
      </c>
      <c r="B2240" t="inlineStr">
        <is>
          <t>String Stab
4-1/2" IF Pin SRG x 4-1/2" IF Box BB</t>
        </is>
      </c>
      <c r="C2240" t="n">
        <v>273</v>
      </c>
      <c r="D2240" s="62" t="n">
        <v>8.5</v>
      </c>
      <c r="E2240" t="n">
        <v>1780</v>
      </c>
      <c r="T2240" t="n">
        <v>28</v>
      </c>
    </row>
    <row r="2241">
      <c r="A2241" t="n">
        <v>8112032</v>
      </c>
      <c r="B2241" t="inlineStr">
        <is>
          <t>String Stab
4-1/2" IF Pin SRG x 4-1/2" IF Box BB</t>
        </is>
      </c>
      <c r="C2241" t="n">
        <v>273</v>
      </c>
      <c r="D2241" s="62" t="n">
        <v>8.5</v>
      </c>
      <c r="E2241" t="n">
        <v>1780</v>
      </c>
      <c r="T2241" t="n">
        <v>29</v>
      </c>
    </row>
    <row r="2242">
      <c r="A2242" t="n">
        <v>8092033</v>
      </c>
      <c r="B2242" t="inlineStr">
        <is>
          <t>Near Bit Stab
4-1/2" IF Box x 4-1/2" REG Box BF</t>
        </is>
      </c>
      <c r="C2242" t="n">
        <v>277</v>
      </c>
      <c r="D2242" s="62" t="n">
        <v>9.4375</v>
      </c>
      <c r="E2242" t="n">
        <v>1930.4</v>
      </c>
      <c r="T2242" t="n">
        <v>19</v>
      </c>
    </row>
    <row r="2243">
      <c r="A2243" t="n">
        <v>8112034</v>
      </c>
      <c r="B2243" t="inlineStr">
        <is>
          <t>String Stab
4-1/2" IF Pin SRG x 4-1/2" IF Box BBB</t>
        </is>
      </c>
      <c r="C2243" t="n">
        <v>306</v>
      </c>
      <c r="D2243" s="62" t="n">
        <v>9.5</v>
      </c>
      <c r="E2243" t="n">
        <v>1830</v>
      </c>
      <c r="T2243" t="n">
        <v>41</v>
      </c>
    </row>
    <row r="2244">
      <c r="A2244" t="n">
        <v>8112035</v>
      </c>
      <c r="B2244" t="inlineStr">
        <is>
          <t>String Stab
4-1/2" IF Pin SRG x 4-1/2" IF Box BBB</t>
        </is>
      </c>
      <c r="C2244" t="n">
        <v>306</v>
      </c>
      <c r="D2244" s="62" t="n">
        <v>9.375</v>
      </c>
      <c r="E2244" t="n">
        <v>1830</v>
      </c>
      <c r="T2244" t="n">
        <v>42</v>
      </c>
    </row>
    <row r="2245">
      <c r="A2245" t="n">
        <v>8092036</v>
      </c>
      <c r="B2245" t="inlineStr">
        <is>
          <t>Near Bit Stab
6-5/8" REG Box x 6-5/8" REG Box BF</t>
        </is>
      </c>
      <c r="C2245" t="n">
        <v>545</v>
      </c>
      <c r="D2245" s="62" t="n">
        <v>12</v>
      </c>
      <c r="E2245" t="n">
        <v>2184.4</v>
      </c>
      <c r="T2245" t="n">
        <v>24</v>
      </c>
    </row>
    <row r="2246">
      <c r="A2246" t="n">
        <v>8112037</v>
      </c>
      <c r="B2246" t="inlineStr">
        <is>
          <t>String Stab
6-5/8" REG Pin SRG x 6-5/8" REG Box BB</t>
        </is>
      </c>
      <c r="C2246" t="n">
        <v>540</v>
      </c>
      <c r="D2246" s="62" t="n">
        <v>12.25</v>
      </c>
      <c r="E2246" t="n">
        <v>2080</v>
      </c>
      <c r="T2246" t="n">
        <v>59</v>
      </c>
    </row>
    <row r="2247">
      <c r="A2247" t="n">
        <v>8112038</v>
      </c>
      <c r="B2247" t="inlineStr">
        <is>
          <t>String Stab
6-5/8" REG Pin SRG x 6-5/8" REG Box BB</t>
        </is>
      </c>
      <c r="C2247" t="n">
        <v>540</v>
      </c>
      <c r="D2247" s="62" t="n">
        <v>12.25</v>
      </c>
      <c r="E2247" t="n">
        <v>2080</v>
      </c>
      <c r="T2247" t="n">
        <v>60</v>
      </c>
    </row>
    <row r="2248">
      <c r="A2248" t="n">
        <v>8092039</v>
      </c>
      <c r="B2248" t="inlineStr">
        <is>
          <t>Near Bit Stab
7-5/8" REG Box x 7-5/8" REG Box BF</t>
        </is>
      </c>
      <c r="C2248" t="n">
        <v>1049</v>
      </c>
      <c r="D2248" s="62" t="n">
        <v>17.375</v>
      </c>
      <c r="E2248" t="n">
        <v>2388</v>
      </c>
      <c r="T2248" t="n">
        <v>38</v>
      </c>
    </row>
    <row r="2249">
      <c r="A2249" t="n">
        <v>8092040</v>
      </c>
      <c r="B2249" t="inlineStr">
        <is>
          <t>Near Bit Stab
7-5/8" REG Box x 7-5/8" REG Box BF</t>
        </is>
      </c>
      <c r="C2249" t="n">
        <v>1049</v>
      </c>
      <c r="D2249" s="62" t="n">
        <v>17.4375</v>
      </c>
      <c r="E2249" t="n">
        <v>2388</v>
      </c>
      <c r="T2249" t="n">
        <v>39</v>
      </c>
    </row>
    <row r="2250">
      <c r="A2250" t="n">
        <v>8112041</v>
      </c>
      <c r="B2250" t="inlineStr">
        <is>
          <t>String Stab
7-5/8" REG Pin SRG x 7-5/8" REG Box BB</t>
        </is>
      </c>
      <c r="C2250" t="n">
        <v>1030</v>
      </c>
      <c r="D2250" s="62" t="n">
        <v>17.4375</v>
      </c>
      <c r="E2250" t="n">
        <v>2250</v>
      </c>
      <c r="T2250" t="n">
        <v>91</v>
      </c>
    </row>
    <row r="2251">
      <c r="A2251" t="n">
        <v>8112042</v>
      </c>
      <c r="B2251" t="inlineStr">
        <is>
          <t>String Stab
7-5/8" REG Pin SRG x 7-5/8" REG Box BB</t>
        </is>
      </c>
      <c r="C2251" t="n">
        <v>1030</v>
      </c>
      <c r="D2251" s="62" t="n">
        <v>17.125</v>
      </c>
      <c r="E2251" t="n">
        <v>2250</v>
      </c>
      <c r="T2251" t="n">
        <v>92</v>
      </c>
    </row>
    <row r="2252">
      <c r="A2252" t="n">
        <v>8112043</v>
      </c>
      <c r="B2252" t="inlineStr">
        <is>
          <t>String Stab
7-5/8" REG Pin SRG x 7-5/8" REG Box BB</t>
        </is>
      </c>
      <c r="C2252" t="n">
        <v>1030</v>
      </c>
      <c r="D2252" s="62" t="n">
        <v>17.25</v>
      </c>
      <c r="E2252" t="n">
        <v>2250</v>
      </c>
      <c r="T2252" t="n">
        <v>93</v>
      </c>
    </row>
    <row r="2253">
      <c r="A2253" t="n">
        <v>8112044</v>
      </c>
      <c r="B2253" t="inlineStr">
        <is>
          <t>String Stab
7-5/8" REG Pin SRG x 7-5/8" REG Box BB</t>
        </is>
      </c>
      <c r="C2253" t="n">
        <v>1100</v>
      </c>
      <c r="D2253" s="62" t="n">
        <v>18</v>
      </c>
      <c r="E2253" t="n">
        <v>2250</v>
      </c>
      <c r="T2253" t="n">
        <v>100</v>
      </c>
    </row>
    <row r="2254">
      <c r="A2254" t="n">
        <v>8112045</v>
      </c>
      <c r="B2254" t="inlineStr">
        <is>
          <t>String Stab
7-5/8" REG Pin SRG x 7-5/8" REG Box BB</t>
        </is>
      </c>
      <c r="C2254" t="n">
        <v>1100</v>
      </c>
      <c r="D2254" s="62" t="n">
        <v>18</v>
      </c>
      <c r="E2254" t="n">
        <v>2250</v>
      </c>
      <c r="T2254" t="n">
        <v>101</v>
      </c>
    </row>
    <row r="2255">
      <c r="A2255" t="n">
        <v>8112046</v>
      </c>
      <c r="B2255" t="inlineStr">
        <is>
          <t>String Stab
7-5/8" REG Pin SRG x 7-5/8" REG Box BB</t>
        </is>
      </c>
      <c r="C2255" t="n">
        <v>2750</v>
      </c>
      <c r="D2255" s="62" t="n">
        <v>25.625</v>
      </c>
      <c r="E2255" t="n">
        <v>2750</v>
      </c>
      <c r="T2255" t="n">
        <v>111</v>
      </c>
    </row>
    <row r="2256">
      <c r="A2256" t="n">
        <v>8092047</v>
      </c>
      <c r="B2256" t="inlineStr">
        <is>
          <t>Near Bit Stab
7-5/8" REG Box x 7-5/8" REG Box BB</t>
        </is>
      </c>
      <c r="C2256" t="n">
        <v>2343</v>
      </c>
      <c r="D2256" s="62" t="n">
        <v>25.75</v>
      </c>
      <c r="E2256" t="n">
        <v>2850</v>
      </c>
      <c r="T2256" t="n">
        <v>51</v>
      </c>
    </row>
    <row r="2257">
      <c r="A2257" t="n">
        <v>8092048</v>
      </c>
      <c r="B2257" t="inlineStr">
        <is>
          <t>Near Bit Stab
7-5/8" REG Box x 7-5/8" REG Box BB</t>
        </is>
      </c>
      <c r="C2257" t="n">
        <v>2343</v>
      </c>
      <c r="D2257" s="62" t="n">
        <v>25.75</v>
      </c>
      <c r="E2257" t="n">
        <v>2850</v>
      </c>
      <c r="T2257" t="n">
        <v>52</v>
      </c>
    </row>
    <row r="2258">
      <c r="A2258" t="n">
        <v>8112049</v>
      </c>
      <c r="B2258" t="inlineStr">
        <is>
          <t>String Stab
7-5/8" REG Pin SRG x 7-5/8" REG Box BB</t>
        </is>
      </c>
      <c r="C2258" t="n">
        <v>2750</v>
      </c>
      <c r="D2258" s="62" t="inlineStr">
        <is>
          <t>27 15 16</t>
        </is>
      </c>
      <c r="E2258" t="n">
        <v>2750</v>
      </c>
      <c r="T2258" t="n">
        <v>112</v>
      </c>
    </row>
    <row r="2259">
      <c r="A2259" t="n">
        <v>8092050</v>
      </c>
      <c r="B2259" t="inlineStr">
        <is>
          <t>Near Bit Stab
7-5/8" REG Box x 7-5/8" REG Box BB</t>
        </is>
      </c>
      <c r="C2259" t="n">
        <v>2726</v>
      </c>
      <c r="D2259" s="62" t="n">
        <v>27.9375</v>
      </c>
      <c r="E2259" t="n">
        <v>2850</v>
      </c>
      <c r="T2259" t="n">
        <v>55</v>
      </c>
    </row>
    <row r="2260">
      <c r="A2260" t="n">
        <v>5082051</v>
      </c>
      <c r="B2260" t="inlineStr">
        <is>
          <t>Taper Mill 
4-1/2" REG Pin</t>
        </is>
      </c>
      <c r="C2260" t="n">
        <v>0</v>
      </c>
      <c r="D2260" s="62" t="n">
        <v>8.875</v>
      </c>
      <c r="E2260" t="n">
        <v>0</v>
      </c>
      <c r="T2260" t="n">
        <v>41</v>
      </c>
    </row>
    <row r="2261">
      <c r="A2261" t="n">
        <v>7132052</v>
      </c>
      <c r="B2261" t="inlineStr">
        <is>
          <t>Pack Off 5-11/16 OD body CA 9615
3-1/2" IF Pin down x Box up</t>
        </is>
      </c>
      <c r="C2261" t="n">
        <v>0</v>
      </c>
      <c r="D2261" s="62" t="n">
        <v>5.6875</v>
      </c>
      <c r="E2261" t="inlineStr">
        <is>
          <t>CA 9615</t>
        </is>
      </c>
      <c r="T2261" t="n">
        <v>9</v>
      </c>
      <c r="V2261" t="inlineStr">
        <is>
          <t>FR</t>
        </is>
      </c>
    </row>
    <row r="2262">
      <c r="A2262" t="n">
        <v>8062053</v>
      </c>
      <c r="B2262" t="inlineStr">
        <is>
          <t>Drill Collar 8"
6-5/8" REG Pin x Box</t>
        </is>
      </c>
      <c r="C2262" t="n">
        <v>2065.056009093431</v>
      </c>
      <c r="D2262" s="62" t="n">
        <v>8</v>
      </c>
      <c r="E2262" t="n">
        <v>9320</v>
      </c>
      <c r="T2262" t="n">
        <v>50</v>
      </c>
    </row>
    <row r="2263">
      <c r="A2263" t="n">
        <v>8062054</v>
      </c>
      <c r="B2263" t="inlineStr">
        <is>
          <t>Drill Collar 8"
6-5/8" REG Pin x Box</t>
        </is>
      </c>
      <c r="C2263" t="n">
        <v>2143.855837027735</v>
      </c>
      <c r="D2263" s="62" t="n">
        <v>8.125</v>
      </c>
      <c r="E2263" t="n">
        <v>9340</v>
      </c>
      <c r="T2263" t="n">
        <v>51</v>
      </c>
    </row>
    <row r="2264">
      <c r="A2264" t="n">
        <v>8062055</v>
      </c>
      <c r="B2264" t="inlineStr">
        <is>
          <t>Drill Collar 8"
6-5/8" REG Pin x Box</t>
        </is>
      </c>
      <c r="C2264" t="n">
        <v>2025.172953123815</v>
      </c>
      <c r="D2264" s="62" t="n">
        <v>8</v>
      </c>
      <c r="E2264" t="n">
        <v>9140</v>
      </c>
      <c r="T2264" t="n">
        <v>52</v>
      </c>
    </row>
    <row r="2265">
      <c r="A2265" t="n">
        <v>8132056</v>
      </c>
      <c r="B2265" t="inlineStr">
        <is>
          <t>XO
6-5/8" REG Pin x 4" FH Box</t>
        </is>
      </c>
      <c r="C2265" t="n">
        <v>138.482833227832</v>
      </c>
      <c r="D2265" s="62" t="n">
        <v>8</v>
      </c>
      <c r="E2265" t="n">
        <v>625</v>
      </c>
      <c r="T2265" t="n">
        <v>203</v>
      </c>
      <c r="V2265" t="inlineStr">
        <is>
          <t>FR</t>
        </is>
      </c>
    </row>
    <row r="2266">
      <c r="A2266" t="n">
        <v>8132057</v>
      </c>
      <c r="B2266" t="inlineStr">
        <is>
          <t>XO
6-5/8" REG Pin x 4" FH Box</t>
        </is>
      </c>
      <c r="C2266" t="n">
        <v>138.482833227832</v>
      </c>
      <c r="D2266" s="62" t="n">
        <v>8</v>
      </c>
      <c r="E2266" t="n">
        <v>625</v>
      </c>
      <c r="T2266" t="n">
        <v>204</v>
      </c>
      <c r="V2266" t="inlineStr">
        <is>
          <t>FR</t>
        </is>
      </c>
    </row>
    <row r="2267">
      <c r="A2267" t="n">
        <v>8132058</v>
      </c>
      <c r="B2267" t="inlineStr">
        <is>
          <t>XO
6-5/8" REG Pin x 4" IF Box</t>
        </is>
      </c>
      <c r="C2267" t="n">
        <v>131.9343379453125</v>
      </c>
      <c r="D2267" s="62" t="n">
        <v>8</v>
      </c>
      <c r="E2267" t="n">
        <v>625</v>
      </c>
      <c r="T2267" t="n">
        <v>206</v>
      </c>
      <c r="V2267" t="inlineStr">
        <is>
          <t>FR</t>
        </is>
      </c>
    </row>
    <row r="2268">
      <c r="A2268" t="n">
        <v>8132059</v>
      </c>
      <c r="B2268" t="inlineStr">
        <is>
          <t>XO
4" IF Pin x 4" FH Box</t>
        </is>
      </c>
      <c r="C2268" t="n">
        <v>76.91347552001953</v>
      </c>
      <c r="D2268" s="62" t="n">
        <v>6.25</v>
      </c>
      <c r="E2268" t="n">
        <v>625</v>
      </c>
      <c r="T2268" t="n">
        <v>139</v>
      </c>
      <c r="V2268" t="inlineStr">
        <is>
          <t>FR</t>
        </is>
      </c>
    </row>
    <row r="2269">
      <c r="A2269" t="n">
        <v>8132060</v>
      </c>
      <c r="B2269" t="inlineStr">
        <is>
          <t>XO
4" IF Pin x 4" FH Box</t>
        </is>
      </c>
      <c r="C2269" t="n">
        <v>76.91347552001953</v>
      </c>
      <c r="D2269" s="62" t="n">
        <v>6.25</v>
      </c>
      <c r="E2269" t="n">
        <v>625</v>
      </c>
      <c r="T2269" t="n">
        <v>140</v>
      </c>
      <c r="V2269" t="inlineStr">
        <is>
          <t>FR</t>
        </is>
      </c>
    </row>
    <row r="2270">
      <c r="A2270" t="n">
        <v>8042061</v>
      </c>
      <c r="B2270" t="inlineStr">
        <is>
          <t>Lift Sub 6-5/8" REG Pin down x 4" IF Box up
5" OD body for Elevator DP 18°</t>
        </is>
      </c>
      <c r="C2270" t="n">
        <v>235</v>
      </c>
      <c r="D2270" s="62" t="inlineStr">
        <is>
          <t>5"</t>
        </is>
      </c>
      <c r="E2270" t="n">
        <v>2100</v>
      </c>
      <c r="T2270" t="n">
        <v>5</v>
      </c>
      <c r="V2270" t="inlineStr">
        <is>
          <t>FR</t>
        </is>
      </c>
    </row>
    <row r="2271">
      <c r="A2271" t="n">
        <v>8042062</v>
      </c>
      <c r="B2271" t="inlineStr">
        <is>
          <t>Lift Sub 6-5/8" REG Pin down x 4" IF Box up
5" OD body for Elevator DP 18°</t>
        </is>
      </c>
      <c r="C2271" t="n">
        <v>235</v>
      </c>
      <c r="D2271" s="62" t="inlineStr">
        <is>
          <t>5"</t>
        </is>
      </c>
      <c r="E2271" t="n">
        <v>2100</v>
      </c>
      <c r="T2271" t="n">
        <v>6</v>
      </c>
      <c r="V2271" t="inlineStr">
        <is>
          <t>FR</t>
        </is>
      </c>
    </row>
    <row r="2272">
      <c r="A2272" t="n">
        <v>7042063</v>
      </c>
      <c r="B2272" t="inlineStr">
        <is>
          <t>5-3/4" FS Overshot - CA 8975
3-1/2" IF Box</t>
        </is>
      </c>
      <c r="C2272" t="n">
        <v>70</v>
      </c>
      <c r="D2272" s="62" t="inlineStr">
        <is>
          <t>5-3/4" FS</t>
        </is>
      </c>
      <c r="E2272" t="n">
        <v>1035</v>
      </c>
      <c r="T2272" t="n">
        <v>37</v>
      </c>
    </row>
    <row r="2273">
      <c r="A2273" t="n">
        <v>7052064</v>
      </c>
      <c r="B2273" t="inlineStr">
        <is>
          <t>Extension 5-3/4" FS Lg 900mm CA 8975
5-3/4" FS Sellers Pin x Box</t>
        </is>
      </c>
      <c r="C2273" t="n">
        <v>45.55206615374998</v>
      </c>
      <c r="D2273" s="62" t="inlineStr">
        <is>
          <t>5-3/4" FS</t>
        </is>
      </c>
      <c r="E2273" t="n">
        <v>900</v>
      </c>
      <c r="T2273" t="n">
        <v>28</v>
      </c>
    </row>
    <row r="2274">
      <c r="A2274" t="n">
        <v>7042065</v>
      </c>
      <c r="B2274" t="inlineStr">
        <is>
          <t>8-1/8" FS Overshot - CA C-5342
4-1/2" IF Box</t>
        </is>
      </c>
      <c r="C2274" t="n">
        <v>142</v>
      </c>
      <c r="D2274" s="62" t="inlineStr">
        <is>
          <t>8-1/8" FS</t>
        </is>
      </c>
      <c r="E2274" t="n">
        <v>1210</v>
      </c>
      <c r="T2274" t="n">
        <v>61</v>
      </c>
    </row>
    <row r="2275">
      <c r="A2275" t="n">
        <v>7052066</v>
      </c>
      <c r="B2275" t="inlineStr">
        <is>
          <t>Extension 8-1/8" FS Lg 830mm CA C-5342
8-1/8" FS Sellers Pin x Box</t>
        </is>
      </c>
      <c r="C2275" t="n">
        <v>61.47677220750002</v>
      </c>
      <c r="D2275" s="62" t="inlineStr">
        <is>
          <t>8-1/8" FS</t>
        </is>
      </c>
      <c r="E2275" t="n">
        <v>830</v>
      </c>
      <c r="T2275" t="n">
        <v>47</v>
      </c>
    </row>
    <row r="2276">
      <c r="A2276" t="n">
        <v>3022068</v>
      </c>
      <c r="B2276" t="inlineStr">
        <is>
          <t>DTU 18000
7-5/8" REG Pin up x 7-5/8" REG Box down</t>
        </is>
      </c>
      <c r="C2276" t="n">
        <v>0</v>
      </c>
      <c r="D2276" s="62" t="n">
        <v>18000</v>
      </c>
      <c r="E2276" t="n">
        <v>3550</v>
      </c>
      <c r="T2276" t="n">
        <v>10</v>
      </c>
    </row>
    <row r="2277">
      <c r="A2277" t="n">
        <v>5112069</v>
      </c>
      <c r="B2277" t="inlineStr">
        <is>
          <t>WO Shoe
11-3/4" FJWP Box</t>
        </is>
      </c>
      <c r="C2277" t="n">
        <v>0</v>
      </c>
      <c r="D2277" s="62" t="n">
        <v>12.5</v>
      </c>
      <c r="E2277" t="n">
        <v>770</v>
      </c>
      <c r="T2277" t="n">
        <v>221</v>
      </c>
    </row>
    <row r="2278">
      <c r="A2278" t="n">
        <v>20</v>
      </c>
      <c r="B2278" t="inlineStr">
        <is>
          <t>Loading Basket 4160mm x 1100mm L</t>
        </is>
      </c>
      <c r="C2278" t="n">
        <v>660</v>
      </c>
      <c r="D2278" s="62" t="n">
        <v>1100</v>
      </c>
      <c r="E2278" t="n">
        <v>4160</v>
      </c>
      <c r="T2278" t="n">
        <v>15</v>
      </c>
      <c r="V2278" t="inlineStr">
        <is>
          <t>FR</t>
        </is>
      </c>
      <c r="W2278" t="n">
        <v>86090090</v>
      </c>
    </row>
    <row r="2279">
      <c r="A2279" t="n">
        <v>21</v>
      </c>
      <c r="B2279" t="inlineStr">
        <is>
          <t>Loading Basket 4160mm x 1100mm L</t>
        </is>
      </c>
      <c r="C2279" t="n">
        <v>660</v>
      </c>
      <c r="D2279" s="62" t="n">
        <v>1100</v>
      </c>
      <c r="E2279" t="n">
        <v>4160</v>
      </c>
      <c r="T2279" t="n">
        <v>16</v>
      </c>
      <c r="V2279" t="inlineStr">
        <is>
          <t>FR</t>
        </is>
      </c>
      <c r="W2279" t="n">
        <v>86090090</v>
      </c>
    </row>
    <row r="2280">
      <c r="A2280" t="n">
        <v>22</v>
      </c>
      <c r="B2280" t="inlineStr">
        <is>
          <t>Loading Basket 4160mm x 1100mm L</t>
        </is>
      </c>
      <c r="C2280" t="n">
        <v>660</v>
      </c>
      <c r="D2280" s="62" t="n">
        <v>1100</v>
      </c>
      <c r="E2280" t="n">
        <v>4160</v>
      </c>
      <c r="T2280" t="n">
        <v>17</v>
      </c>
      <c r="V2280" t="inlineStr">
        <is>
          <t>FR</t>
        </is>
      </c>
      <c r="W2280" t="n">
        <v>86090090</v>
      </c>
    </row>
    <row r="2281">
      <c r="A2281" t="n">
        <v>23</v>
      </c>
      <c r="B2281" t="inlineStr">
        <is>
          <t>Loading Basket 4160mm x 1100mm L</t>
        </is>
      </c>
      <c r="C2281" t="n">
        <v>660</v>
      </c>
      <c r="D2281" s="62" t="n">
        <v>1100</v>
      </c>
      <c r="E2281" t="n">
        <v>4160</v>
      </c>
      <c r="T2281" t="n">
        <v>18</v>
      </c>
      <c r="V2281" t="inlineStr">
        <is>
          <t>FR</t>
        </is>
      </c>
      <c r="W2281" t="n">
        <v>86090090</v>
      </c>
    </row>
    <row r="2282">
      <c r="A2282" t="n">
        <v>24</v>
      </c>
      <c r="B2282" t="inlineStr">
        <is>
          <t>Loading Basket 3200mm x 1100mm M</t>
        </is>
      </c>
      <c r="C2282" t="n">
        <v>550</v>
      </c>
      <c r="D2282" s="62" t="n">
        <v>1100</v>
      </c>
      <c r="E2282" t="n">
        <v>3200</v>
      </c>
      <c r="T2282" t="n">
        <v>19</v>
      </c>
      <c r="V2282" t="inlineStr">
        <is>
          <t>FR</t>
        </is>
      </c>
      <c r="W2282" t="n">
        <v>86090090</v>
      </c>
    </row>
    <row r="2283">
      <c r="A2283" t="n">
        <v>25</v>
      </c>
      <c r="B2283" t="inlineStr">
        <is>
          <t>Loading Basket 3200mm x 1100mm M</t>
        </is>
      </c>
      <c r="C2283" t="n">
        <v>550</v>
      </c>
      <c r="D2283" s="62" t="n">
        <v>1100</v>
      </c>
      <c r="E2283" t="n">
        <v>3200</v>
      </c>
      <c r="T2283" t="n">
        <v>20</v>
      </c>
      <c r="V2283" t="inlineStr">
        <is>
          <t>FR</t>
        </is>
      </c>
      <c r="W2283" t="n">
        <v>86090090</v>
      </c>
    </row>
    <row r="2284">
      <c r="A2284" t="n">
        <v>26</v>
      </c>
      <c r="B2284" t="inlineStr">
        <is>
          <t>Loading Basket 3200mm x 1100mm M</t>
        </is>
      </c>
      <c r="C2284" t="n">
        <v>550</v>
      </c>
      <c r="D2284" s="62" t="n">
        <v>1100</v>
      </c>
      <c r="E2284" t="n">
        <v>3200</v>
      </c>
      <c r="T2284" t="n">
        <v>21</v>
      </c>
      <c r="V2284" t="inlineStr">
        <is>
          <t>FR</t>
        </is>
      </c>
      <c r="W2284" t="n">
        <v>86090090</v>
      </c>
    </row>
    <row r="2285">
      <c r="A2285" t="n">
        <v>27</v>
      </c>
      <c r="B2285" t="inlineStr">
        <is>
          <t>Loading Basket 3200mm x 1100mm M</t>
        </is>
      </c>
      <c r="C2285" t="n">
        <v>550</v>
      </c>
      <c r="D2285" s="62" t="n">
        <v>1100</v>
      </c>
      <c r="E2285" t="n">
        <v>3200</v>
      </c>
      <c r="T2285" t="n">
        <v>22</v>
      </c>
      <c r="V2285" t="inlineStr">
        <is>
          <t>FR</t>
        </is>
      </c>
      <c r="W2285" t="n">
        <v>86090090</v>
      </c>
    </row>
    <row r="2286">
      <c r="A2286" t="n">
        <v>8132069</v>
      </c>
      <c r="B2286" t="inlineStr">
        <is>
          <t>XO
6-5/8" REG Pin x 4-1/2" IF Box</t>
        </is>
      </c>
      <c r="C2286" t="n">
        <v>0</v>
      </c>
      <c r="D2286" s="62" t="n">
        <v>8</v>
      </c>
      <c r="E2286" t="n">
        <v>910</v>
      </c>
      <c r="T2286" t="n">
        <v>211</v>
      </c>
      <c r="V2286" t="inlineStr">
        <is>
          <t>FR</t>
        </is>
      </c>
    </row>
    <row r="2287">
      <c r="A2287" t="n">
        <v>8132070</v>
      </c>
      <c r="B2287" t="inlineStr">
        <is>
          <t>XO
6-5/8" REG Pin x 4-1/2" IF Box</t>
        </is>
      </c>
      <c r="C2287" t="n">
        <v>0</v>
      </c>
      <c r="D2287" s="62" t="n">
        <v>8</v>
      </c>
      <c r="E2287" t="n">
        <v>910</v>
      </c>
      <c r="T2287" t="n">
        <v>212</v>
      </c>
      <c r="V2287" t="inlineStr">
        <is>
          <t>FR</t>
        </is>
      </c>
    </row>
    <row r="2288">
      <c r="A2288" t="n">
        <v>8132071</v>
      </c>
      <c r="B2288" t="inlineStr">
        <is>
          <t>XO
6-5/8" REG Pin x 4-1/2" IF Box</t>
        </is>
      </c>
      <c r="C2288" t="n">
        <v>0</v>
      </c>
      <c r="D2288" s="62" t="n">
        <v>8</v>
      </c>
      <c r="E2288" t="n">
        <v>910</v>
      </c>
      <c r="T2288" t="n">
        <v>213</v>
      </c>
      <c r="V2288" t="inlineStr">
        <is>
          <t>FR</t>
        </is>
      </c>
    </row>
    <row r="2289">
      <c r="A2289" t="n">
        <v>8132072</v>
      </c>
      <c r="B2289" t="inlineStr">
        <is>
          <t>XO
4-1/2" IF Pin x 6-5/8" REG Box</t>
        </is>
      </c>
      <c r="C2289" t="n">
        <v>0</v>
      </c>
      <c r="D2289" s="62" t="n">
        <v>8</v>
      </c>
      <c r="E2289" t="n">
        <v>915</v>
      </c>
      <c r="T2289" t="n">
        <v>176</v>
      </c>
      <c r="V2289" t="inlineStr">
        <is>
          <t>FR</t>
        </is>
      </c>
    </row>
    <row r="2290">
      <c r="A2290" t="n">
        <v>8132073</v>
      </c>
      <c r="B2290" t="inlineStr">
        <is>
          <t>XO
4-1/2" IF Pin x 6-5/8" REG Box</t>
        </is>
      </c>
      <c r="C2290" t="n">
        <v>0</v>
      </c>
      <c r="D2290" s="62" t="n">
        <v>8</v>
      </c>
      <c r="E2290" t="n">
        <v>915</v>
      </c>
      <c r="T2290" t="n">
        <v>177</v>
      </c>
      <c r="V2290" t="inlineStr">
        <is>
          <t>FR</t>
        </is>
      </c>
    </row>
    <row r="2291">
      <c r="A2291" t="n">
        <v>4022074</v>
      </c>
      <c r="B2291" t="inlineStr">
        <is>
          <t>Bumper Sub 3-5/32" OD 
2-3/8" REG Pin down x Box up</t>
        </is>
      </c>
      <c r="C2291" t="e">
        <v>#N/A</v>
      </c>
      <c r="D2291" s="62" t="e">
        <v>#N/A</v>
      </c>
      <c r="E2291" t="e">
        <v>#N/A</v>
      </c>
      <c r="T2291" t="e">
        <v>#N/A</v>
      </c>
    </row>
    <row r="2292">
      <c r="A2292" t="n">
        <v>4022075</v>
      </c>
      <c r="B2292" t="inlineStr">
        <is>
          <t>Bumper Sub 4-3/4" OD
3-1/2" IF Pin down x Box up</t>
        </is>
      </c>
      <c r="C2292" t="e">
        <v>#N/A</v>
      </c>
      <c r="D2292" s="62" t="e">
        <v>#N/A</v>
      </c>
      <c r="E2292" t="e">
        <v>#N/A</v>
      </c>
      <c r="T2292" t="e">
        <v>#N/A</v>
      </c>
    </row>
    <row r="2293">
      <c r="A2293" t="n">
        <v>4022076</v>
      </c>
      <c r="B2293" t="inlineStr">
        <is>
          <t>Bumper Sub 6-1/4" OD
4-1/2" IF Pin down x Box up</t>
        </is>
      </c>
      <c r="C2293" t="e">
        <v>#N/A</v>
      </c>
      <c r="D2293" s="62" t="e">
        <v>#N/A</v>
      </c>
      <c r="E2293" t="e">
        <v>#N/A</v>
      </c>
      <c r="T2293" t="e">
        <v>#N/A</v>
      </c>
    </row>
    <row r="2294">
      <c r="A2294" t="n">
        <v>4022077</v>
      </c>
      <c r="B2294" t="inlineStr">
        <is>
          <t>Bumper Sub 6-1/4" OD
4-1/2" IF Pin down x Box up</t>
        </is>
      </c>
      <c r="C2294" t="e">
        <v>#N/A</v>
      </c>
      <c r="D2294" s="62" t="e">
        <v>#N/A</v>
      </c>
      <c r="E2294" t="e">
        <v>#N/A</v>
      </c>
      <c r="T2294" t="e">
        <v>#N/A</v>
      </c>
    </row>
    <row r="2295">
      <c r="A2295" t="n">
        <v>4022078</v>
      </c>
      <c r="B2295" t="inlineStr">
        <is>
          <t xml:space="preserve">Bumper Sub 8" OD
6-5/8" REG Pin down x Box up </t>
        </is>
      </c>
      <c r="C2295" t="n">
        <v>277</v>
      </c>
      <c r="D2295" s="62" t="n">
        <v>8</v>
      </c>
      <c r="E2295" t="n">
        <v>1570</v>
      </c>
      <c r="T2295" t="n">
        <v>25</v>
      </c>
    </row>
    <row r="2296">
      <c r="A2296" t="n">
        <v>4022079</v>
      </c>
      <c r="B2296" t="inlineStr">
        <is>
          <t xml:space="preserve">Bumper Sub 8" OD
6-5/8" REG Pin down x Box up </t>
        </is>
      </c>
      <c r="C2296" t="e">
        <v>#N/A</v>
      </c>
      <c r="D2296" s="62" t="e">
        <v>#N/A</v>
      </c>
      <c r="E2296" t="e">
        <v>#N/A</v>
      </c>
      <c r="T2296" t="e">
        <v>#N/A</v>
      </c>
    </row>
    <row r="2297">
      <c r="A2297" t="n">
        <v>4032080</v>
      </c>
      <c r="B2297" t="inlineStr">
        <is>
          <t>Jar Z 3-1/8" 
2-3/8" REG Pin down x Box up</t>
        </is>
      </c>
      <c r="C2297" t="n">
        <v>60</v>
      </c>
      <c r="D2297" s="62" t="n">
        <v>3.125</v>
      </c>
      <c r="E2297" t="n">
        <v>1900</v>
      </c>
      <c r="T2297" t="n">
        <v>8</v>
      </c>
    </row>
    <row r="2298">
      <c r="A2298" t="n">
        <v>4032081</v>
      </c>
      <c r="B2298" t="inlineStr">
        <is>
          <t>Jar Z 4-3/4" 
3-1/2" IF Pin down x Box up</t>
        </is>
      </c>
      <c r="C2298" t="n">
        <v>180</v>
      </c>
      <c r="D2298" s="62" t="n">
        <v>4.75</v>
      </c>
      <c r="E2298" t="n">
        <v>2140</v>
      </c>
      <c r="T2298" t="n">
        <v>13</v>
      </c>
    </row>
    <row r="2299">
      <c r="A2299" t="n">
        <v>4082082</v>
      </c>
      <c r="B2299" t="inlineStr">
        <is>
          <t>Super Fishing Jar 8" OD 
6-5/8" REG Pin down x Box up</t>
        </is>
      </c>
      <c r="C2299" t="e">
        <v>#N/A</v>
      </c>
      <c r="D2299" s="62" t="e">
        <v>#N/A</v>
      </c>
      <c r="E2299" t="e">
        <v>#N/A</v>
      </c>
      <c r="T2299" t="e">
        <v>#N/A</v>
      </c>
    </row>
    <row r="2300">
      <c r="A2300" t="n">
        <v>4042083</v>
      </c>
      <c r="B2300" t="inlineStr">
        <is>
          <t>Intensifier 3-1/8" OD 
2-3/8" REG Pin x Box</t>
        </is>
      </c>
      <c r="C2300" t="n">
        <v>53</v>
      </c>
      <c r="D2300" s="62" t="n">
        <v>3.125</v>
      </c>
      <c r="E2300" t="n">
        <v>2630</v>
      </c>
      <c r="T2300" t="n">
        <v>6</v>
      </c>
    </row>
    <row r="2301">
      <c r="A2301" t="n">
        <v>4042084</v>
      </c>
      <c r="B2301" t="inlineStr">
        <is>
          <t>Intensifier 4-3/4" OD 
3-1/2" IF Pin x Box</t>
        </is>
      </c>
      <c r="C2301" t="n">
        <v>200</v>
      </c>
      <c r="D2301" s="62" t="n">
        <v>4.75</v>
      </c>
      <c r="E2301" t="n">
        <v>3300</v>
      </c>
      <c r="T2301" t="n">
        <v>10</v>
      </c>
    </row>
    <row r="2302">
      <c r="A2302" t="n">
        <v>4042085</v>
      </c>
      <c r="B2302" t="inlineStr">
        <is>
          <t>Intensifier 6-1/2" OD 
4-1/2" IF Pin x Box</t>
        </is>
      </c>
      <c r="C2302" t="n">
        <v>460</v>
      </c>
      <c r="D2302" s="62" t="n">
        <v>6.5</v>
      </c>
      <c r="E2302" t="n">
        <v>3980</v>
      </c>
      <c r="T2302" t="n">
        <v>14</v>
      </c>
    </row>
    <row r="2303">
      <c r="A2303" t="n">
        <v>1062086</v>
      </c>
      <c r="B2303" t="inlineStr">
        <is>
          <t>Impression Block
6-5/8" REG Box</t>
        </is>
      </c>
      <c r="C2303" t="n">
        <v>165</v>
      </c>
      <c r="D2303" s="62" t="n">
        <v>11.25</v>
      </c>
      <c r="E2303" t="n">
        <v>791</v>
      </c>
      <c r="T2303" t="n">
        <v>25</v>
      </c>
      <c r="V2303" t="inlineStr">
        <is>
          <t>FR</t>
        </is>
      </c>
    </row>
    <row r="2304">
      <c r="A2304" t="n">
        <v>1062087</v>
      </c>
      <c r="B2304" t="inlineStr">
        <is>
          <t>Impression Block
4-1/2" IF Box</t>
        </is>
      </c>
      <c r="C2304" t="n">
        <v>150</v>
      </c>
      <c r="D2304" s="62" t="n">
        <v>9.125</v>
      </c>
      <c r="E2304" t="n">
        <v>785</v>
      </c>
      <c r="T2304" t="n">
        <v>21</v>
      </c>
      <c r="V2304" t="inlineStr">
        <is>
          <t>FR</t>
        </is>
      </c>
    </row>
    <row r="2305">
      <c r="A2305" t="n">
        <v>1062088</v>
      </c>
      <c r="B2305" t="inlineStr">
        <is>
          <t>Impression Block
4-1/2" IF Box</t>
        </is>
      </c>
      <c r="C2305" t="n">
        <v>155</v>
      </c>
      <c r="D2305" s="62" t="n">
        <v>9.375</v>
      </c>
      <c r="E2305" t="n">
        <v>785</v>
      </c>
      <c r="T2305" t="n">
        <v>22</v>
      </c>
      <c r="V2305" t="inlineStr">
        <is>
          <t>FR</t>
        </is>
      </c>
    </row>
    <row r="2306">
      <c r="A2306" t="n">
        <v>5072089</v>
      </c>
      <c r="B2306" t="inlineStr">
        <is>
          <t>Super Junk Mill 
3-1/2" REG Pin</t>
        </is>
      </c>
      <c r="C2306" t="n">
        <v>0</v>
      </c>
      <c r="D2306" s="62" t="n">
        <v>6.125</v>
      </c>
      <c r="E2306" t="n">
        <v>670</v>
      </c>
      <c r="T2306" t="n">
        <v>48</v>
      </c>
      <c r="V2306" t="inlineStr">
        <is>
          <t>FR</t>
        </is>
      </c>
    </row>
    <row r="2307">
      <c r="A2307" t="n">
        <v>5072090</v>
      </c>
      <c r="B2307" t="inlineStr">
        <is>
          <t>Super Junk Mill 
3-1/2" REG Pin</t>
        </is>
      </c>
      <c r="C2307" t="n">
        <v>0</v>
      </c>
      <c r="D2307" s="62" t="n">
        <v>6.0625</v>
      </c>
      <c r="E2307" t="n">
        <v>670</v>
      </c>
      <c r="T2307" t="n">
        <v>49</v>
      </c>
      <c r="V2307" t="inlineStr">
        <is>
          <t>FR</t>
        </is>
      </c>
    </row>
    <row r="2308">
      <c r="A2308" t="n">
        <v>5072091</v>
      </c>
      <c r="B2308" t="inlineStr">
        <is>
          <t>Super Junk Mill 
3-1/2" REG Pin</t>
        </is>
      </c>
      <c r="C2308" t="n">
        <v>0</v>
      </c>
      <c r="D2308" s="62" t="n">
        <v>5.875</v>
      </c>
      <c r="E2308" t="n">
        <v>670</v>
      </c>
      <c r="T2308" t="n">
        <v>31</v>
      </c>
      <c r="V2308" t="inlineStr">
        <is>
          <t>FR</t>
        </is>
      </c>
    </row>
    <row r="2309">
      <c r="A2309" t="n">
        <v>5072092</v>
      </c>
      <c r="B2309" t="inlineStr">
        <is>
          <t>Super Junk Mill 
3-1/2" REG Pin</t>
        </is>
      </c>
      <c r="C2309" t="n">
        <v>0</v>
      </c>
      <c r="D2309" s="62" t="n">
        <v>5.875</v>
      </c>
      <c r="E2309" t="n">
        <v>670</v>
      </c>
      <c r="T2309" t="n">
        <v>32</v>
      </c>
      <c r="V2309" t="inlineStr">
        <is>
          <t>FR</t>
        </is>
      </c>
    </row>
    <row r="2310">
      <c r="A2310" t="n">
        <v>5022093</v>
      </c>
      <c r="B2310" t="inlineStr">
        <is>
          <t>Economill 
3-1/2" REG Pin</t>
        </is>
      </c>
      <c r="C2310" t="n">
        <v>0</v>
      </c>
      <c r="D2310" s="62" t="n">
        <v>6.125</v>
      </c>
      <c r="E2310" t="n">
        <v>405</v>
      </c>
      <c r="T2310" t="n">
        <v>33</v>
      </c>
      <c r="V2310" t="inlineStr">
        <is>
          <t>FR</t>
        </is>
      </c>
    </row>
    <row r="2311">
      <c r="A2311" t="n">
        <v>5022094</v>
      </c>
      <c r="B2311" t="inlineStr">
        <is>
          <t>Economill 
3-1/2" REG Pin</t>
        </is>
      </c>
      <c r="C2311" t="n">
        <v>0</v>
      </c>
      <c r="D2311" s="62" t="n">
        <v>6.125</v>
      </c>
      <c r="E2311" t="n">
        <v>405</v>
      </c>
      <c r="T2311" t="n">
        <v>34</v>
      </c>
      <c r="V2311" t="inlineStr">
        <is>
          <t>FR</t>
        </is>
      </c>
    </row>
    <row r="2312">
      <c r="A2312" t="n">
        <v>5022095</v>
      </c>
      <c r="B2312" t="inlineStr">
        <is>
          <t>Economill 
3-1/2" REG Pin</t>
        </is>
      </c>
      <c r="C2312" t="n">
        <v>0</v>
      </c>
      <c r="D2312" s="62" t="n">
        <v>5.875</v>
      </c>
      <c r="E2312" t="n">
        <v>405</v>
      </c>
      <c r="T2312" t="n">
        <v>27</v>
      </c>
      <c r="V2312" t="inlineStr">
        <is>
          <t>FR</t>
        </is>
      </c>
    </row>
    <row r="2313">
      <c r="A2313" t="n">
        <v>5022096</v>
      </c>
      <c r="B2313" t="inlineStr">
        <is>
          <t>Economill 
3-1/2" REG Pin</t>
        </is>
      </c>
      <c r="C2313" t="n">
        <v>0</v>
      </c>
      <c r="D2313" s="62" t="n">
        <v>5.875</v>
      </c>
      <c r="E2313" t="n">
        <v>405</v>
      </c>
      <c r="T2313" t="n">
        <v>28</v>
      </c>
      <c r="V2313" t="inlineStr">
        <is>
          <t>FR</t>
        </is>
      </c>
    </row>
    <row r="2314">
      <c r="A2314" t="n">
        <v>5122097</v>
      </c>
      <c r="B2314" t="inlineStr">
        <is>
          <t xml:space="preserve">WO Top Sub 
6-5/8" REG Box x 13-3/8" FJWP Pin x 6-5/8" REG Box in </t>
        </is>
      </c>
      <c r="C2314" t="n">
        <v>0</v>
      </c>
      <c r="D2314" s="62" t="n">
        <v>13.375</v>
      </c>
      <c r="E2314" t="n">
        <v>1218</v>
      </c>
      <c r="T2314" t="n">
        <v>48</v>
      </c>
      <c r="V2314" t="inlineStr">
        <is>
          <t>FR</t>
        </is>
      </c>
    </row>
    <row r="2315">
      <c r="A2315" t="n">
        <v>5122098</v>
      </c>
      <c r="B2315" t="inlineStr">
        <is>
          <t xml:space="preserve">WO Top Sub 
6-5/8" REG Box x 13-3/8" FJWP Pin x 6-5/8" REG Box in </t>
        </is>
      </c>
      <c r="C2315" t="n">
        <v>0</v>
      </c>
      <c r="D2315" s="62" t="n">
        <v>13.375</v>
      </c>
      <c r="E2315" t="n">
        <v>1218</v>
      </c>
      <c r="T2315" t="n">
        <v>49</v>
      </c>
      <c r="V2315" t="inlineStr">
        <is>
          <t>FR</t>
        </is>
      </c>
    </row>
    <row r="2316">
      <c r="A2316" t="n">
        <v>8022099</v>
      </c>
      <c r="B2316" t="inlineStr">
        <is>
          <t>Bit Sub
6-5/8" REG Box x 7-5/8" REG Box BF</t>
        </is>
      </c>
      <c r="C2316" t="n">
        <v>256.7704542000001</v>
      </c>
      <c r="D2316" s="62" t="n">
        <v>9.5</v>
      </c>
      <c r="E2316" t="n">
        <v>800</v>
      </c>
      <c r="T2316" t="n">
        <v>62</v>
      </c>
      <c r="V2316" t="inlineStr">
        <is>
          <t>FR</t>
        </is>
      </c>
    </row>
    <row r="2317">
      <c r="A2317" t="n">
        <v>8022100</v>
      </c>
      <c r="B2317" t="inlineStr">
        <is>
          <t>Bit Sub
6-5/8" REG Box x 6-5/8" REG Box BF</t>
        </is>
      </c>
      <c r="C2317" t="n">
        <v>199.4152798480781</v>
      </c>
      <c r="D2317" s="62" t="n">
        <v>8</v>
      </c>
      <c r="E2317" t="n">
        <v>900</v>
      </c>
      <c r="T2317" t="n">
        <v>59</v>
      </c>
      <c r="V2317" t="inlineStr">
        <is>
          <t>FR</t>
        </is>
      </c>
    </row>
    <row r="2318">
      <c r="A2318" t="n">
        <v>8022101</v>
      </c>
      <c r="B2318" t="inlineStr">
        <is>
          <t>Bit Sub
6-5/8" REG Box x 6-5/8" REG Box BF</t>
        </is>
      </c>
      <c r="C2318" t="n">
        <v>199.4152798480781</v>
      </c>
      <c r="D2318" s="62" t="n">
        <v>8</v>
      </c>
      <c r="E2318" t="n">
        <v>900</v>
      </c>
      <c r="T2318" t="n">
        <v>60</v>
      </c>
      <c r="V2318" t="inlineStr">
        <is>
          <t>FR</t>
        </is>
      </c>
    </row>
    <row r="2319">
      <c r="A2319" t="n">
        <v>8022102</v>
      </c>
      <c r="B2319" t="inlineStr">
        <is>
          <t>Bit Sub
4-1/2" IF Box x 4-1/2" REG Box BF</t>
        </is>
      </c>
      <c r="C2319" t="n">
        <v>95.93640103256014</v>
      </c>
      <c r="D2319" s="62" t="n">
        <v>6.75</v>
      </c>
      <c r="E2319" t="n">
        <v>645</v>
      </c>
      <c r="T2319" t="n">
        <v>52</v>
      </c>
      <c r="V2319" t="inlineStr">
        <is>
          <t>FR</t>
        </is>
      </c>
    </row>
    <row r="2320">
      <c r="A2320" t="n">
        <v>8022103</v>
      </c>
      <c r="B2320" t="inlineStr">
        <is>
          <t>Bit Sub
4-1/2" IF Box x 4-1/2" REG Box BF</t>
        </is>
      </c>
      <c r="C2320" t="n">
        <v>48.34004703191015</v>
      </c>
      <c r="D2320" s="62" t="n">
        <v>6.75</v>
      </c>
      <c r="E2320" t="n">
        <v>325</v>
      </c>
      <c r="T2320" t="n">
        <v>53</v>
      </c>
      <c r="V2320" t="inlineStr">
        <is>
          <t>FR</t>
        </is>
      </c>
    </row>
    <row r="2321">
      <c r="A2321" t="n">
        <v>4032104</v>
      </c>
      <c r="B2321" t="inlineStr">
        <is>
          <t>Jar Z 6-1/4" 
4-1/2" IF Pin down x Box up</t>
        </is>
      </c>
      <c r="C2321" t="n">
        <v>300</v>
      </c>
      <c r="D2321" s="62" t="n">
        <v>6.25</v>
      </c>
      <c r="E2321" t="n">
        <v>2380</v>
      </c>
      <c r="T2321" t="n">
        <v>15</v>
      </c>
    </row>
    <row r="2322">
      <c r="A2322" t="n">
        <v>1082105</v>
      </c>
      <c r="B2322" t="inlineStr">
        <is>
          <t>Reverse Circulating Junk Basket 10" OD Barrel 
6-5/8" REG Box</t>
        </is>
      </c>
      <c r="C2322" t="n">
        <v>394</v>
      </c>
      <c r="D2322" s="62" t="n">
        <v>10</v>
      </c>
      <c r="E2322" t="n">
        <v>1840</v>
      </c>
      <c r="T2322" t="n">
        <v>11</v>
      </c>
    </row>
    <row r="2323">
      <c r="A2323" t="n">
        <v>1082106</v>
      </c>
      <c r="B2323" t="inlineStr">
        <is>
          <t>Reverse Circulating Junk Basket 7" OD Barrel 
6-5/8" REG Box</t>
        </is>
      </c>
      <c r="C2323" t="n">
        <v>120</v>
      </c>
      <c r="D2323" s="62" t="n">
        <v>7</v>
      </c>
      <c r="E2323" t="n">
        <v>1130</v>
      </c>
      <c r="T2323" t="n">
        <v>7</v>
      </c>
    </row>
    <row r="2324">
      <c r="A2324" t="n">
        <v>8081535</v>
      </c>
      <c r="B2324" t="inlineStr">
        <is>
          <t>Pony Collar 4-3/4"
3-1/2" IF Pin x Box</t>
        </is>
      </c>
      <c r="C2324" t="n">
        <v>107.2417850119688</v>
      </c>
      <c r="D2324" s="62" t="n">
        <v>4.625</v>
      </c>
      <c r="E2324" t="n">
        <v>2970</v>
      </c>
      <c r="T2324" t="n">
        <v>15</v>
      </c>
      <c r="V2324" t="inlineStr">
        <is>
          <t>FR</t>
        </is>
      </c>
    </row>
    <row r="2325">
      <c r="A2325" t="n">
        <v>8081536</v>
      </c>
      <c r="B2325" t="inlineStr">
        <is>
          <t>Pony Collar 4-3/4"
3-1/2" IF Pin x Box</t>
        </is>
      </c>
      <c r="C2325" t="n">
        <v>176.4108692037656</v>
      </c>
      <c r="D2325" s="62" t="n">
        <v>4.625</v>
      </c>
      <c r="E2325" t="n">
        <v>2735</v>
      </c>
      <c r="T2325" t="n">
        <v>14</v>
      </c>
      <c r="V2325" t="inlineStr">
        <is>
          <t>FR</t>
        </is>
      </c>
    </row>
    <row r="2326">
      <c r="A2326" t="n">
        <v>8081534</v>
      </c>
      <c r="B2326" t="inlineStr">
        <is>
          <t>Pony Collar 6-3/4"
4-1/2 IF Pin x Box</t>
        </is>
      </c>
      <c r="C2326" t="n">
        <v>500.70238569</v>
      </c>
      <c r="D2326" s="62" t="n">
        <v>6.5</v>
      </c>
      <c r="E2326" t="n">
        <v>3000</v>
      </c>
      <c r="T2326" t="n">
        <v>22</v>
      </c>
      <c r="V2326" t="inlineStr">
        <is>
          <t>FR</t>
        </is>
      </c>
    </row>
    <row r="2327">
      <c r="A2327" t="n">
        <v>8082107</v>
      </c>
      <c r="B2327" t="inlineStr">
        <is>
          <t>Pony Collar 6-3/8"
4-1/2 IF Pin x Box</t>
        </is>
      </c>
      <c r="C2327" t="n">
        <v>394.7845733324999</v>
      </c>
      <c r="D2327" s="62" t="n">
        <v>6.75</v>
      </c>
      <c r="E2327" t="n">
        <v>3000</v>
      </c>
      <c r="T2327" t="n">
        <v>23</v>
      </c>
      <c r="V2327" t="inlineStr">
        <is>
          <t>FR</t>
        </is>
      </c>
    </row>
    <row r="2328">
      <c r="A2328" t="inlineStr">
        <is>
          <t>Cabine n°4</t>
        </is>
      </c>
      <c r="B2328" t="inlineStr">
        <is>
          <t>Cabine de chantier n°4 (Container RJMU 013170-2)</t>
        </is>
      </c>
      <c r="C2328" t="n">
        <v>2500</v>
      </c>
      <c r="D2328" s="62" t="n"/>
      <c r="E2328" t="inlineStr">
        <is>
          <t>20ft</t>
        </is>
      </c>
      <c r="T2328" t="n">
        <v>8</v>
      </c>
      <c r="V2328" t="inlineStr">
        <is>
          <t>FR</t>
        </is>
      </c>
    </row>
    <row r="2329">
      <c r="A2329" t="inlineStr">
        <is>
          <t>Kit MWD n°01</t>
        </is>
      </c>
      <c r="B2329" t="inlineStr">
        <is>
          <t>MWD kit n°01</t>
        </is>
      </c>
      <c r="C2329" t="inlineStr">
        <is>
          <t>Poids</t>
        </is>
      </c>
      <c r="D2329" s="62" t="n"/>
      <c r="E2329" t="inlineStr">
        <is>
          <t>Lg</t>
        </is>
      </c>
      <c r="T2329" t="n">
        <v>8</v>
      </c>
      <c r="V2329" t="inlineStr">
        <is>
          <t>CA</t>
        </is>
      </c>
      <c r="W2329" t="n">
        <v>9015808000</v>
      </c>
    </row>
    <row r="2330">
      <c r="A2330" t="inlineStr">
        <is>
          <t>UL1</t>
        </is>
      </c>
      <c r="B2330" t="inlineStr">
        <is>
          <t>Ultralight (String Pulser + DM + Surface Kit)</t>
        </is>
      </c>
      <c r="C2330" t="n">
        <v>0</v>
      </c>
      <c r="D2330" s="62" t="n"/>
      <c r="E2330" t="n">
        <v>0</v>
      </c>
      <c r="T2330" t="n">
        <v>11</v>
      </c>
      <c r="V2330" t="inlineStr">
        <is>
          <t>CA</t>
        </is>
      </c>
      <c r="W2330" t="n">
        <v>9015808000</v>
      </c>
    </row>
    <row r="2331">
      <c r="A2331" t="inlineStr">
        <is>
          <t>UL2</t>
        </is>
      </c>
      <c r="B2331" t="inlineStr">
        <is>
          <t>Ultralight (String Pulser + DM + Surface Kit)</t>
        </is>
      </c>
      <c r="C2331" t="n">
        <v>700</v>
      </c>
      <c r="D2331" s="62" t="n"/>
      <c r="E2331" t="inlineStr">
        <is>
          <t>268x100x96
(244sans les oreilles de levage)</t>
        </is>
      </c>
      <c r="T2331" t="n">
        <v>12</v>
      </c>
      <c r="V2331" t="inlineStr">
        <is>
          <t>CA</t>
        </is>
      </c>
      <c r="W2331" t="n">
        <v>9015808000</v>
      </c>
    </row>
    <row r="2332">
      <c r="A2332" t="n">
        <v>4032110</v>
      </c>
      <c r="B2332" t="inlineStr">
        <is>
          <t>Jar Z 6-1/4" 
4-1/2" IF Pin down x Box up</t>
        </is>
      </c>
      <c r="C2332" t="n">
        <v>300</v>
      </c>
      <c r="D2332" s="62" t="n">
        <v>6.25</v>
      </c>
      <c r="E2332" t="n">
        <v>2300</v>
      </c>
      <c r="T2332" t="n">
        <v>16</v>
      </c>
    </row>
    <row r="2333">
      <c r="A2333" t="n">
        <v>8081532</v>
      </c>
      <c r="B2333" t="inlineStr">
        <is>
          <t>Pony Collar 8"
6-5/8" REG Pin x Box</t>
        </is>
      </c>
      <c r="C2333" t="n">
        <v>630.210983527125</v>
      </c>
      <c r="D2333" s="62" t="n">
        <v>7.75</v>
      </c>
      <c r="E2333" t="n">
        <v>3080</v>
      </c>
      <c r="T2333" t="n">
        <v>26</v>
      </c>
      <c r="V2333" t="inlineStr">
        <is>
          <t>FR</t>
        </is>
      </c>
    </row>
    <row r="2334">
      <c r="A2334" t="n">
        <v>8081533</v>
      </c>
      <c r="B2334" t="inlineStr">
        <is>
          <t>Pony Collar 8"
6-5/8" REG Pin x Box</t>
        </is>
      </c>
      <c r="C2334" t="n">
        <v>680.7348910476562</v>
      </c>
      <c r="D2334" s="62" t="n">
        <v>8.0625</v>
      </c>
      <c r="E2334" t="n">
        <v>3000</v>
      </c>
      <c r="T2334" t="n">
        <v>27</v>
      </c>
      <c r="V2334" t="inlineStr">
        <is>
          <t>FR</t>
        </is>
      </c>
    </row>
    <row r="2335">
      <c r="A2335" t="n">
        <v>8081531</v>
      </c>
      <c r="B2335" t="inlineStr">
        <is>
          <t>Pony Collar 9-1/2"
7-5/8" REG Pin x Box</t>
        </is>
      </c>
      <c r="C2335" t="n">
        <v>1038.31552417125</v>
      </c>
      <c r="D2335" s="62" t="n">
        <v>9.5</v>
      </c>
      <c r="E2335" t="n">
        <v>3235</v>
      </c>
      <c r="T2335" t="n">
        <v>31</v>
      </c>
      <c r="V2335" t="inlineStr">
        <is>
          <t>FR</t>
        </is>
      </c>
    </row>
    <row r="2336">
      <c r="A2336" t="n">
        <v>8082111</v>
      </c>
      <c r="B2336" t="inlineStr">
        <is>
          <t>Pony Collar 8"
7-5/8" REG Pin x Box</t>
        </is>
      </c>
      <c r="C2336" t="n">
        <v>943.6314191849999</v>
      </c>
      <c r="D2336" s="62" t="n">
        <v>9.5</v>
      </c>
      <c r="E2336" t="n">
        <v>2940</v>
      </c>
      <c r="T2336" t="n">
        <v>32</v>
      </c>
      <c r="V2336" t="inlineStr">
        <is>
          <t>FR</t>
        </is>
      </c>
    </row>
    <row r="2337">
      <c r="A2337" t="n">
        <v>8132112</v>
      </c>
      <c r="B2337" t="inlineStr">
        <is>
          <t>XO
2-3/8" REG Pin x 3-1/2" IF Box</t>
        </is>
      </c>
      <c r="C2337" t="n">
        <v>47</v>
      </c>
      <c r="D2337" s="62" t="n">
        <v>4.75</v>
      </c>
      <c r="E2337" t="n">
        <v>825</v>
      </c>
      <c r="T2337" t="n">
        <v>61</v>
      </c>
      <c r="V2337" t="inlineStr">
        <is>
          <t>FR</t>
        </is>
      </c>
    </row>
    <row r="2338">
      <c r="A2338" t="n">
        <v>8132113</v>
      </c>
      <c r="B2338" t="inlineStr">
        <is>
          <t>XO
2-3/8" REG Pin x 3-1/2" IF Box</t>
        </is>
      </c>
      <c r="C2338" t="n">
        <v>47</v>
      </c>
      <c r="D2338" s="62" t="n">
        <v>4.75</v>
      </c>
      <c r="E2338" t="n">
        <v>825</v>
      </c>
      <c r="T2338" t="n">
        <v>62</v>
      </c>
      <c r="V2338" t="inlineStr">
        <is>
          <t>FR</t>
        </is>
      </c>
    </row>
    <row r="2339">
      <c r="A2339" t="n">
        <v>1082114</v>
      </c>
      <c r="B2339" t="inlineStr">
        <is>
          <t>Reverse Circulating Junk Basket 7" OD Barrel 
4-1/2" IF Box</t>
        </is>
      </c>
      <c r="C2339" t="n">
        <v>110</v>
      </c>
      <c r="D2339" s="62" t="n">
        <v>7</v>
      </c>
      <c r="E2339" t="n">
        <v>1140</v>
      </c>
      <c r="T2339" t="n">
        <v>6</v>
      </c>
    </row>
    <row r="2340">
      <c r="A2340" t="n">
        <v>2032115</v>
      </c>
      <c r="B2340" t="inlineStr">
        <is>
          <t>Pipe Cutter 11700s
6-5/8" REG Box up x Box down</t>
        </is>
      </c>
      <c r="C2340" t="n">
        <v>0</v>
      </c>
      <c r="D2340" s="62" t="n">
        <v>11700</v>
      </c>
      <c r="E2340" t="n">
        <v>0</v>
      </c>
      <c r="T2340" t="n">
        <v>16</v>
      </c>
      <c r="V2340" t="inlineStr">
        <is>
          <t>FR</t>
        </is>
      </c>
    </row>
    <row r="2341">
      <c r="A2341" t="n">
        <v>2052116</v>
      </c>
      <c r="B2341" t="inlineStr">
        <is>
          <t>Section Mill 11700
6-5/8" REG Pin up</t>
        </is>
      </c>
      <c r="C2341" t="n">
        <v>0</v>
      </c>
      <c r="D2341" s="62" t="n">
        <v>11700</v>
      </c>
      <c r="E2341" t="n">
        <v>0</v>
      </c>
      <c r="T2341" t="n">
        <v>12</v>
      </c>
      <c r="V2341" t="inlineStr">
        <is>
          <t>FR</t>
        </is>
      </c>
    </row>
    <row r="2342">
      <c r="A2342" t="n">
        <v>2052117</v>
      </c>
      <c r="B2342" t="inlineStr">
        <is>
          <t>Section Mill 11700
6-5/8" REG Pin up</t>
        </is>
      </c>
      <c r="C2342" t="n">
        <v>0</v>
      </c>
      <c r="D2342" s="62" t="n">
        <v>11700</v>
      </c>
      <c r="E2342" t="n">
        <v>0</v>
      </c>
      <c r="T2342" t="n">
        <v>13</v>
      </c>
      <c r="V2342" t="inlineStr">
        <is>
          <t>FR</t>
        </is>
      </c>
    </row>
    <row r="2343">
      <c r="A2343" t="n">
        <v>5102118</v>
      </c>
      <c r="B2343" t="inlineStr">
        <is>
          <t>WO Pipe
5-1/2" FJWP Pin x Box</t>
        </is>
      </c>
      <c r="C2343" t="n">
        <v>464.4088695675003</v>
      </c>
      <c r="D2343" s="62" t="n">
        <v>8.625</v>
      </c>
      <c r="E2343" t="n">
        <v>9500</v>
      </c>
      <c r="T2343" t="n">
        <v>136</v>
      </c>
      <c r="V2343" t="inlineStr">
        <is>
          <t>FR</t>
        </is>
      </c>
    </row>
    <row r="2344">
      <c r="A2344" t="n">
        <v>5102119</v>
      </c>
      <c r="B2344" t="inlineStr">
        <is>
          <t>WO Pipe 
8-5/8" FJWP Pin x Box</t>
        </is>
      </c>
      <c r="C2344" t="n">
        <v>464.4088695675003</v>
      </c>
      <c r="D2344" s="62" t="n">
        <v>8.625</v>
      </c>
      <c r="E2344" t="n">
        <v>9500</v>
      </c>
      <c r="T2344" t="n">
        <v>137</v>
      </c>
      <c r="V2344" t="inlineStr">
        <is>
          <t>FR</t>
        </is>
      </c>
    </row>
    <row r="2345">
      <c r="A2345" t="n">
        <v>5102120</v>
      </c>
      <c r="B2345" t="inlineStr">
        <is>
          <t>WO Pipe 
8-5/8" FJWP Pin x Box</t>
        </is>
      </c>
      <c r="C2345" t="n">
        <v>464.4088695675003</v>
      </c>
      <c r="D2345" s="62" t="n">
        <v>8.625</v>
      </c>
      <c r="E2345" t="n">
        <v>9500</v>
      </c>
      <c r="T2345" t="n">
        <v>138</v>
      </c>
      <c r="V2345" t="inlineStr">
        <is>
          <t>FR</t>
        </is>
      </c>
    </row>
    <row r="2346">
      <c r="A2346" t="n">
        <v>5102121</v>
      </c>
      <c r="B2346" t="inlineStr">
        <is>
          <t>WO Pipe 
8-5/8" FJWP Pin x Box</t>
        </is>
      </c>
      <c r="C2346" t="n">
        <v>464.4088695675003</v>
      </c>
      <c r="D2346" s="62" t="n">
        <v>8.625</v>
      </c>
      <c r="E2346" t="n">
        <v>9500</v>
      </c>
      <c r="T2346" t="n">
        <v>139</v>
      </c>
      <c r="V2346" t="inlineStr">
        <is>
          <t>FR</t>
        </is>
      </c>
    </row>
    <row r="2347">
      <c r="A2347" t="n">
        <v>5102122</v>
      </c>
      <c r="B2347" t="inlineStr">
        <is>
          <t>WO Pipe 
8-5/8" FJWP Pin x Box</t>
        </is>
      </c>
      <c r="C2347" t="n">
        <v>464.4088695675003</v>
      </c>
      <c r="D2347" s="62" t="n">
        <v>8.625</v>
      </c>
      <c r="E2347" t="n">
        <v>9500</v>
      </c>
      <c r="T2347" t="n">
        <v>140</v>
      </c>
      <c r="V2347" t="inlineStr">
        <is>
          <t>FR</t>
        </is>
      </c>
    </row>
    <row r="2348">
      <c r="A2348" t="n">
        <v>5102123</v>
      </c>
      <c r="B2348" t="inlineStr">
        <is>
          <t>WO Pipe 
8-5/8" FJWP Pin x Box</t>
        </is>
      </c>
      <c r="C2348" t="n">
        <v>464.4088695675003</v>
      </c>
      <c r="D2348" s="62" t="n">
        <v>8.625</v>
      </c>
      <c r="E2348" t="n">
        <v>9500</v>
      </c>
      <c r="T2348" t="n">
        <v>141</v>
      </c>
      <c r="V2348" t="inlineStr">
        <is>
          <t>FR</t>
        </is>
      </c>
    </row>
    <row r="2349">
      <c r="A2349" t="n">
        <v>5102124</v>
      </c>
      <c r="B2349" t="inlineStr">
        <is>
          <t>WO Pipe 
8-5/8" FJWP Pin x Box</t>
        </is>
      </c>
      <c r="C2349" t="n">
        <v>464.4088695675003</v>
      </c>
      <c r="D2349" s="62" t="n">
        <v>8.625</v>
      </c>
      <c r="E2349" t="n">
        <v>9500</v>
      </c>
      <c r="T2349" t="n">
        <v>142</v>
      </c>
      <c r="V2349" t="inlineStr">
        <is>
          <t>FR</t>
        </is>
      </c>
    </row>
    <row r="2350">
      <c r="A2350" t="n">
        <v>5102125</v>
      </c>
      <c r="B2350" t="inlineStr">
        <is>
          <t>WO Pipe 
8-5/8" FJWP Pin x Box</t>
        </is>
      </c>
      <c r="C2350" t="n">
        <v>464.4088695675003</v>
      </c>
      <c r="D2350" s="62" t="n">
        <v>8.625</v>
      </c>
      <c r="E2350" t="n">
        <v>9500</v>
      </c>
      <c r="T2350" t="n">
        <v>143</v>
      </c>
      <c r="V2350" t="inlineStr">
        <is>
          <t>FR</t>
        </is>
      </c>
    </row>
    <row r="2351">
      <c r="A2351" t="n">
        <v>5102126</v>
      </c>
      <c r="B2351" t="inlineStr">
        <is>
          <t>WO Pipe 
8-5/8" FJWP Pin x Box</t>
        </is>
      </c>
      <c r="C2351" t="n">
        <v>464.4088695675003</v>
      </c>
      <c r="D2351" s="62" t="n">
        <v>8.625</v>
      </c>
      <c r="E2351" t="n">
        <v>9500</v>
      </c>
      <c r="T2351" t="n">
        <v>144</v>
      </c>
      <c r="V2351" t="inlineStr">
        <is>
          <t>FR</t>
        </is>
      </c>
    </row>
    <row r="2352">
      <c r="A2352" t="n">
        <v>5092127</v>
      </c>
      <c r="B2352" t="inlineStr">
        <is>
          <t>WO Extension Lg 4050 mm
8-5/8" FJWP Pin x Box</t>
        </is>
      </c>
      <c r="C2352" t="n">
        <v>197.9848338682501</v>
      </c>
      <c r="D2352" s="62" t="n">
        <v>8.625</v>
      </c>
      <c r="E2352" t="n">
        <v>4050</v>
      </c>
      <c r="T2352" t="n">
        <v>117</v>
      </c>
      <c r="V2352" t="inlineStr">
        <is>
          <t>FR</t>
        </is>
      </c>
    </row>
    <row r="2353">
      <c r="A2353" t="n">
        <v>5092128</v>
      </c>
      <c r="B2353" t="inlineStr">
        <is>
          <t>WO Extension Lg 4050 mm
8-5/8" FJWP Pin x Box</t>
        </is>
      </c>
      <c r="C2353" t="n">
        <v>197.9848338682501</v>
      </c>
      <c r="D2353" s="62" t="n">
        <v>8.625</v>
      </c>
      <c r="E2353" t="n">
        <v>4050</v>
      </c>
      <c r="T2353" t="n">
        <v>118</v>
      </c>
      <c r="V2353" t="inlineStr">
        <is>
          <t>FR</t>
        </is>
      </c>
    </row>
    <row r="2354">
      <c r="A2354" t="n">
        <v>5092129</v>
      </c>
      <c r="B2354" t="inlineStr">
        <is>
          <t>WO Extension Lg 4060 mm
8-5/8" FJWP Pin x Box</t>
        </is>
      </c>
      <c r="C2354" t="n">
        <v>198.4736853099001</v>
      </c>
      <c r="D2354" s="62" t="n">
        <v>8.625</v>
      </c>
      <c r="E2354" t="n">
        <v>4060</v>
      </c>
      <c r="T2354" t="n">
        <v>119</v>
      </c>
      <c r="V2354" t="inlineStr">
        <is>
          <t>FR</t>
        </is>
      </c>
    </row>
    <row r="2355">
      <c r="A2355" t="n">
        <v>5092130</v>
      </c>
      <c r="B2355" t="inlineStr">
        <is>
          <t>WO Extension Lg 4050 mm
8-5/8" FJWP Pin x Box</t>
        </is>
      </c>
      <c r="C2355" t="n">
        <v>197.9848338682501</v>
      </c>
      <c r="D2355" s="62" t="n">
        <v>8.625</v>
      </c>
      <c r="E2355" t="n">
        <v>4050</v>
      </c>
      <c r="T2355" t="n">
        <v>120</v>
      </c>
      <c r="V2355" t="inlineStr">
        <is>
          <t>FR</t>
        </is>
      </c>
    </row>
    <row r="2356">
      <c r="A2356" t="n">
        <v>5092131</v>
      </c>
      <c r="B2356" t="inlineStr">
        <is>
          <t>WO Extension Lg 3000 mm
8-5/8" FJWP Pin x Box</t>
        </is>
      </c>
      <c r="C2356" t="n">
        <v>146.6554324950001</v>
      </c>
      <c r="D2356" s="62" t="n">
        <v>8.625</v>
      </c>
      <c r="E2356" t="n">
        <v>3000</v>
      </c>
      <c r="T2356" t="n">
        <v>114</v>
      </c>
      <c r="V2356" t="inlineStr">
        <is>
          <t>FR</t>
        </is>
      </c>
    </row>
    <row r="2357">
      <c r="A2357" t="n">
        <v>5092132</v>
      </c>
      <c r="B2357" t="inlineStr">
        <is>
          <t>WO Extension Lg 3000 mm
8-5/8" FJWP Pin x Box</t>
        </is>
      </c>
      <c r="C2357" t="n">
        <v>146.6554324950001</v>
      </c>
      <c r="D2357" s="62" t="n">
        <v>8.625</v>
      </c>
      <c r="E2357" t="n">
        <v>3000</v>
      </c>
      <c r="T2357" t="n">
        <v>115</v>
      </c>
      <c r="V2357" t="inlineStr">
        <is>
          <t>FR</t>
        </is>
      </c>
    </row>
    <row r="2358">
      <c r="A2358" t="n">
        <v>5892133</v>
      </c>
      <c r="B2358" t="inlineStr">
        <is>
          <t>WO Internal Hook Lg 2300 mm
8-5/8" FJWP Pin x Box</t>
        </is>
      </c>
      <c r="C2358" t="n">
        <v>0</v>
      </c>
      <c r="D2358" s="62" t="n">
        <v>8.625</v>
      </c>
      <c r="E2358" t="n">
        <v>2300</v>
      </c>
      <c r="T2358" t="n">
        <v>19</v>
      </c>
      <c r="V2358" t="inlineStr">
        <is>
          <t>FR</t>
        </is>
      </c>
    </row>
    <row r="2359">
      <c r="A2359" t="n">
        <v>5092134</v>
      </c>
      <c r="B2359" t="inlineStr">
        <is>
          <t>WO Extension Lg 970 mm
8-5/8" FJWP Pin x Box</t>
        </is>
      </c>
      <c r="C2359" t="n">
        <v>47.41858984005002</v>
      </c>
      <c r="D2359" s="62" t="n">
        <v>8.625</v>
      </c>
      <c r="E2359" t="n">
        <v>970</v>
      </c>
      <c r="T2359" t="n">
        <v>107</v>
      </c>
      <c r="V2359" t="inlineStr">
        <is>
          <t>FR</t>
        </is>
      </c>
    </row>
    <row r="2360">
      <c r="A2360" t="n">
        <v>5092135</v>
      </c>
      <c r="B2360" t="inlineStr">
        <is>
          <t>WO Extension Lg 2000 mm
8-5/8" FJWP Pin x Box</t>
        </is>
      </c>
      <c r="C2360" t="n">
        <v>97.77028833000007</v>
      </c>
      <c r="D2360" s="62" t="n">
        <v>8.625</v>
      </c>
      <c r="E2360" t="n">
        <v>2000</v>
      </c>
      <c r="T2360" t="n">
        <v>108</v>
      </c>
      <c r="V2360" t="inlineStr">
        <is>
          <t>FR</t>
        </is>
      </c>
    </row>
    <row r="2361">
      <c r="A2361" t="n">
        <v>5092136</v>
      </c>
      <c r="B2361" t="inlineStr">
        <is>
          <t>WO Extension Lg 2000 mm
8-5/8" FJWP Pin x Box</t>
        </is>
      </c>
      <c r="C2361" t="n">
        <v>97.77028833000007</v>
      </c>
      <c r="D2361" s="62" t="n">
        <v>8.625</v>
      </c>
      <c r="E2361" t="n">
        <v>2000</v>
      </c>
      <c r="T2361" t="n">
        <v>109</v>
      </c>
      <c r="V2361" t="inlineStr">
        <is>
          <t>FR</t>
        </is>
      </c>
    </row>
    <row r="2362">
      <c r="A2362" t="n">
        <v>5092137</v>
      </c>
      <c r="B2362" t="inlineStr">
        <is>
          <t>WO Extension Lg 2000 mm
8-5/8" FJWP Pin x Box</t>
        </is>
      </c>
      <c r="C2362" t="n">
        <v>97.77028833000007</v>
      </c>
      <c r="D2362" s="62" t="n">
        <v>8.625</v>
      </c>
      <c r="E2362" t="n">
        <v>2000</v>
      </c>
      <c r="T2362" t="n">
        <v>110</v>
      </c>
      <c r="V2362" t="inlineStr">
        <is>
          <t>FR</t>
        </is>
      </c>
    </row>
    <row r="2363">
      <c r="A2363" t="n">
        <v>5092138</v>
      </c>
      <c r="B2363" t="inlineStr">
        <is>
          <t>WO Extension Lg 2000 mm
8-5/8" FJWP Pin x Box</t>
        </is>
      </c>
      <c r="C2363" t="n">
        <v>97.77028833000007</v>
      </c>
      <c r="D2363" s="62" t="n">
        <v>8.625</v>
      </c>
      <c r="E2363" t="n">
        <v>2000</v>
      </c>
      <c r="T2363" t="n">
        <v>111</v>
      </c>
      <c r="V2363" t="inlineStr">
        <is>
          <t>FR</t>
        </is>
      </c>
    </row>
    <row r="2364">
      <c r="A2364" t="n">
        <v>5102139</v>
      </c>
      <c r="B2364" t="inlineStr">
        <is>
          <t>WO Pipe 
13-3/8" FJWP Pin x Box</t>
        </is>
      </c>
      <c r="C2364" t="n">
        <v>946.0016079929987</v>
      </c>
      <c r="D2364" s="62" t="n">
        <v>13.375</v>
      </c>
      <c r="E2364" t="n">
        <v>9300</v>
      </c>
      <c r="T2364" t="n">
        <v>160</v>
      </c>
      <c r="V2364" t="inlineStr">
        <is>
          <t>FR</t>
        </is>
      </c>
    </row>
    <row r="2365">
      <c r="A2365" t="n">
        <v>5102140</v>
      </c>
      <c r="B2365" t="inlineStr">
        <is>
          <t>WO Pipe 
13-3/8" FJWP Pin x Box</t>
        </is>
      </c>
      <c r="C2365" t="n">
        <v>946.0016079929987</v>
      </c>
      <c r="D2365" s="62" t="n">
        <v>13.375</v>
      </c>
      <c r="E2365" t="n">
        <v>9300</v>
      </c>
      <c r="T2365" t="n">
        <v>161</v>
      </c>
      <c r="V2365" t="inlineStr">
        <is>
          <t>FR</t>
        </is>
      </c>
    </row>
    <row r="2366">
      <c r="A2366" t="n">
        <v>5102141</v>
      </c>
      <c r="B2366" t="inlineStr">
        <is>
          <t>WO Pipe 
13-3/8" FJWP Pin x Box</t>
        </is>
      </c>
      <c r="C2366" t="n">
        <v>946.0016079929987</v>
      </c>
      <c r="D2366" s="62" t="n">
        <v>13.375</v>
      </c>
      <c r="E2366" t="n">
        <v>9300</v>
      </c>
      <c r="T2366" t="n">
        <v>162</v>
      </c>
      <c r="V2366" t="inlineStr">
        <is>
          <t>FR</t>
        </is>
      </c>
    </row>
    <row r="2367">
      <c r="A2367" t="n">
        <v>5102142</v>
      </c>
      <c r="B2367" t="inlineStr">
        <is>
          <t>WO Pipe 
13-3/8" FJWP Pin x Box</t>
        </is>
      </c>
      <c r="C2367" t="n">
        <v>946.0016079929987</v>
      </c>
      <c r="D2367" s="62" t="n">
        <v>13.375</v>
      </c>
      <c r="E2367" t="n">
        <v>9300</v>
      </c>
      <c r="T2367" t="n">
        <v>163</v>
      </c>
      <c r="V2367" t="inlineStr">
        <is>
          <t>FR</t>
        </is>
      </c>
    </row>
    <row r="2368">
      <c r="A2368" t="n">
        <v>5102143</v>
      </c>
      <c r="B2368" t="inlineStr">
        <is>
          <t>WO Pipe 
13-3/8" FJWP Pin x Box</t>
        </is>
      </c>
      <c r="C2368" t="n">
        <v>946.0016079929987</v>
      </c>
      <c r="D2368" s="62" t="n">
        <v>13.375</v>
      </c>
      <c r="E2368" t="n">
        <v>9300</v>
      </c>
      <c r="T2368" t="n">
        <v>164</v>
      </c>
      <c r="V2368" t="inlineStr">
        <is>
          <t>FR</t>
        </is>
      </c>
    </row>
    <row r="2369">
      <c r="A2369" t="n">
        <v>5092144</v>
      </c>
      <c r="B2369" t="inlineStr">
        <is>
          <t>WO Extension Lg 2930 mm
13-3/8" FJWP Pin x Box</t>
        </is>
      </c>
      <c r="C2369" t="n">
        <v>472.5619487250182</v>
      </c>
      <c r="D2369" s="62" t="n">
        <v>13.375</v>
      </c>
      <c r="E2369" t="n">
        <v>2930</v>
      </c>
      <c r="T2369" t="n">
        <v>137</v>
      </c>
      <c r="V2369" t="inlineStr">
        <is>
          <t>FR</t>
        </is>
      </c>
    </row>
    <row r="2370">
      <c r="A2370" t="n">
        <v>5092145</v>
      </c>
      <c r="B2370" t="inlineStr">
        <is>
          <t>WO Extension Lg 2910 mm
13-3/8" FJWP Pin x Box</t>
        </is>
      </c>
      <c r="C2370" t="n">
        <v>469.3362698941307</v>
      </c>
      <c r="D2370" s="62" t="n">
        <v>13.375</v>
      </c>
      <c r="E2370" t="n">
        <v>2910</v>
      </c>
      <c r="T2370" t="n">
        <v>138</v>
      </c>
      <c r="V2370" t="inlineStr">
        <is>
          <t>FR</t>
        </is>
      </c>
    </row>
    <row r="2371">
      <c r="A2371" t="n">
        <v>5092146</v>
      </c>
      <c r="B2371" t="inlineStr">
        <is>
          <t>WO Extension Lg 3000 mm
13-3/8" FJWP Pin x Box</t>
        </is>
      </c>
      <c r="C2371" t="n">
        <v>483.8518246331244</v>
      </c>
      <c r="D2371" s="62" t="n">
        <v>13.375</v>
      </c>
      <c r="E2371" t="n">
        <v>3000</v>
      </c>
      <c r="T2371" t="n">
        <v>139</v>
      </c>
      <c r="V2371" t="inlineStr">
        <is>
          <t>FR</t>
        </is>
      </c>
    </row>
    <row r="2372">
      <c r="A2372" t="n">
        <v>5092147</v>
      </c>
      <c r="B2372" t="inlineStr">
        <is>
          <t>WO Extension Lg 2000 mm
13-3/8" FJWP Pin x Box</t>
        </is>
      </c>
      <c r="C2372" t="n">
        <v>322.5678830887496</v>
      </c>
      <c r="D2372" s="62" t="n">
        <v>13.375</v>
      </c>
      <c r="E2372" t="n">
        <v>2000</v>
      </c>
      <c r="T2372" t="n">
        <v>140</v>
      </c>
      <c r="V2372" t="inlineStr">
        <is>
          <t>FR</t>
        </is>
      </c>
    </row>
    <row r="2373">
      <c r="A2373" t="n">
        <v>5112148</v>
      </c>
      <c r="B2373" t="inlineStr">
        <is>
          <t>WO Shoe
13-3/8" FJWP Pin</t>
        </is>
      </c>
      <c r="C2373" t="n">
        <v>0</v>
      </c>
      <c r="D2373" s="62" t="n">
        <v>0</v>
      </c>
      <c r="E2373" t="n">
        <v>1000</v>
      </c>
      <c r="T2373" t="n">
        <v>224</v>
      </c>
      <c r="V2373" t="inlineStr">
        <is>
          <t>FR</t>
        </is>
      </c>
    </row>
    <row r="2374">
      <c r="A2374" t="n">
        <v>5112149</v>
      </c>
      <c r="B2374" t="inlineStr">
        <is>
          <t>WO Shoe
13-3/8" FJWP Pin</t>
        </is>
      </c>
      <c r="C2374" t="n">
        <v>0</v>
      </c>
      <c r="D2374" s="62" t="n">
        <v>0</v>
      </c>
      <c r="E2374" t="n">
        <v>1000</v>
      </c>
      <c r="T2374" t="n">
        <v>225</v>
      </c>
      <c r="V2374" t="inlineStr">
        <is>
          <t>FR</t>
        </is>
      </c>
    </row>
    <row r="2375">
      <c r="A2375" t="n">
        <v>5112150</v>
      </c>
      <c r="B2375" t="inlineStr">
        <is>
          <t>WO Shoe
13-3/8" FJWP Pin</t>
        </is>
      </c>
      <c r="C2375" t="n">
        <v>0</v>
      </c>
      <c r="D2375" s="62" t="n">
        <v>0</v>
      </c>
      <c r="E2375" t="n">
        <v>1000</v>
      </c>
      <c r="T2375" t="n">
        <v>226</v>
      </c>
      <c r="V2375" t="inlineStr">
        <is>
          <t>FR</t>
        </is>
      </c>
    </row>
    <row r="2376">
      <c r="A2376" t="n">
        <v>5112151</v>
      </c>
      <c r="B2376" t="inlineStr">
        <is>
          <t>WO Shoe
13-3/8" FJWP Pin</t>
        </is>
      </c>
      <c r="C2376" t="n">
        <v>0</v>
      </c>
      <c r="D2376" s="62" t="n">
        <v>0</v>
      </c>
      <c r="E2376" t="n">
        <v>1000</v>
      </c>
      <c r="T2376" t="n">
        <v>227</v>
      </c>
      <c r="V2376" t="inlineStr">
        <is>
          <t>FR</t>
        </is>
      </c>
    </row>
    <row r="2377">
      <c r="A2377" t="n">
        <v>1062152</v>
      </c>
      <c r="B2377" t="inlineStr">
        <is>
          <t>Impression Block
1-1/2" AMMT Box</t>
        </is>
      </c>
      <c r="C2377" t="n">
        <v>0</v>
      </c>
      <c r="D2377" s="62" t="n">
        <v>2.125</v>
      </c>
      <c r="E2377" t="n">
        <v>164</v>
      </c>
      <c r="T2377" t="n">
        <v>5</v>
      </c>
    </row>
    <row r="2378">
      <c r="A2378" t="n">
        <v>5032153</v>
      </c>
      <c r="B2378" t="inlineStr">
        <is>
          <t>Junk Mill 
1" AMMT Pin</t>
        </is>
      </c>
      <c r="C2378" t="n">
        <v>0</v>
      </c>
      <c r="D2378" s="62" t="n">
        <v>2.125</v>
      </c>
      <c r="E2378" t="n">
        <v>0</v>
      </c>
      <c r="T2378" t="n">
        <v>5</v>
      </c>
    </row>
    <row r="2379">
      <c r="A2379" t="n">
        <v>8782154</v>
      </c>
      <c r="B2379" t="inlineStr">
        <is>
          <t>Short NMDC 3-1/2" Lg 3060mm
2-7/8" PH6 Pin x 2-7/8" PH6 Box</t>
        </is>
      </c>
      <c r="C2379" t="n">
        <v>86.88223349325</v>
      </c>
      <c r="D2379" s="62" t="n">
        <v>3.5</v>
      </c>
      <c r="E2379" t="n">
        <v>3060</v>
      </c>
      <c r="T2379" t="n">
        <v>50</v>
      </c>
      <c r="V2379" t="inlineStr">
        <is>
          <t>CH</t>
        </is>
      </c>
    </row>
    <row r="2380">
      <c r="A2380" t="n">
        <v>8782155</v>
      </c>
      <c r="B2380" t="inlineStr">
        <is>
          <t>Short NMDC 3-1/2" Lg 3060mm
2-7/8" PH6 Pin x 2-7/8" PH6 Box</t>
        </is>
      </c>
      <c r="C2380" t="n">
        <v>86.88223349325</v>
      </c>
      <c r="D2380" s="62" t="n">
        <v>3.5</v>
      </c>
      <c r="E2380" t="n">
        <v>3060</v>
      </c>
      <c r="T2380" t="n">
        <v>51</v>
      </c>
      <c r="V2380" t="inlineStr">
        <is>
          <t>CH</t>
        </is>
      </c>
    </row>
    <row r="2381">
      <c r="A2381" t="n">
        <v>8772156</v>
      </c>
      <c r="B2381" t="inlineStr">
        <is>
          <t>Non Mag HWDP Range 2
2-7/8" PH6 Pin x Box</t>
        </is>
      </c>
      <c r="C2381" t="inlineStr">
        <is>
          <t>HWDP</t>
        </is>
      </c>
      <c r="D2381" s="62" t="n">
        <v>2.875</v>
      </c>
      <c r="E2381" t="n">
        <v>9130</v>
      </c>
      <c r="T2381" t="n">
        <v>24</v>
      </c>
      <c r="V2381" t="inlineStr">
        <is>
          <t>CH</t>
        </is>
      </c>
    </row>
    <row r="2382">
      <c r="A2382" t="n">
        <v>8772157</v>
      </c>
      <c r="B2382" t="inlineStr">
        <is>
          <t>Non Mag HWDP Range 2
2-7/8" PH6 Pin x Box</t>
        </is>
      </c>
      <c r="C2382" t="inlineStr">
        <is>
          <t>HWDP</t>
        </is>
      </c>
      <c r="D2382" s="62" t="n">
        <v>2.875</v>
      </c>
      <c r="E2382" t="n">
        <v>9130</v>
      </c>
      <c r="T2382" t="n">
        <v>25</v>
      </c>
      <c r="V2382" t="inlineStr">
        <is>
          <t>CH</t>
        </is>
      </c>
    </row>
    <row r="2383">
      <c r="A2383" t="n">
        <v>8712158</v>
      </c>
      <c r="B2383" t="inlineStr">
        <is>
          <t>String Stab
2-7/8" PH6 Pin x 2-7/8" PH6 Box</t>
        </is>
      </c>
      <c r="C2383" t="n">
        <v>0</v>
      </c>
      <c r="D2383" s="62" t="n">
        <v>4</v>
      </c>
      <c r="E2383" t="n">
        <v>1775</v>
      </c>
      <c r="T2383" t="n">
        <v>7</v>
      </c>
      <c r="V2383" t="inlineStr">
        <is>
          <t>CH</t>
        </is>
      </c>
    </row>
    <row r="2384">
      <c r="A2384" t="n">
        <v>8712159</v>
      </c>
      <c r="B2384" t="inlineStr">
        <is>
          <t>String Stab
2-7/8" PH6 Pin x 2-7/8" PH6 Box</t>
        </is>
      </c>
      <c r="C2384" t="n">
        <v>0</v>
      </c>
      <c r="D2384" s="62" t="n">
        <v>4</v>
      </c>
      <c r="E2384" t="n">
        <v>1775</v>
      </c>
      <c r="T2384" t="n">
        <v>8</v>
      </c>
      <c r="V2384" t="inlineStr">
        <is>
          <t>CH</t>
        </is>
      </c>
    </row>
    <row r="2385">
      <c r="A2385" t="inlineStr">
        <is>
          <t>6082160M</t>
        </is>
      </c>
      <c r="B2385" t="inlineStr">
        <is>
          <t>NMDC 3-1/2" for MWD
2-7/8" PH-6 Pin x Box</t>
        </is>
      </c>
      <c r="C2385" t="n">
        <v>259.227056141625</v>
      </c>
      <c r="D2385" s="62" t="n">
        <v>3.5</v>
      </c>
      <c r="E2385" t="n">
        <v>9130</v>
      </c>
      <c r="T2385" t="n">
        <v>9</v>
      </c>
      <c r="V2385" t="inlineStr">
        <is>
          <t>CH</t>
        </is>
      </c>
    </row>
    <row r="2386">
      <c r="A2386" t="inlineStr">
        <is>
          <t>6082161M</t>
        </is>
      </c>
      <c r="B2386" t="inlineStr">
        <is>
          <t>NMDC 3-1/2" for MWD
2-7/8" PH-6 Pin x Box</t>
        </is>
      </c>
      <c r="C2386" t="n">
        <v>259.227056141625</v>
      </c>
      <c r="D2386" s="62" t="n">
        <v>3.5</v>
      </c>
      <c r="E2386" t="n">
        <v>9130</v>
      </c>
      <c r="T2386" t="n">
        <v>10</v>
      </c>
      <c r="V2386" t="inlineStr">
        <is>
          <t>CH</t>
        </is>
      </c>
    </row>
    <row r="2387">
      <c r="A2387" t="n">
        <v>8072162</v>
      </c>
      <c r="B2387" t="inlineStr">
        <is>
          <t>Drill Pipe 2-3/8" OD Range 2
2-3/8" IF Pin x Box</t>
        </is>
      </c>
      <c r="C2387" t="n">
        <v>6.65</v>
      </c>
      <c r="D2387" s="62" t="n">
        <v>2.375</v>
      </c>
      <c r="E2387" t="inlineStr">
        <is>
          <t>R2</t>
        </is>
      </c>
      <c r="T2387" t="n">
        <v>6</v>
      </c>
      <c r="V2387" t="inlineStr">
        <is>
          <t>CH</t>
        </is>
      </c>
    </row>
    <row r="2388">
      <c r="A2388" t="n">
        <v>8072163</v>
      </c>
      <c r="B2388" t="inlineStr">
        <is>
          <t>Drill Pipe 2-3/8" OD Range 2
2-3/8" IF Pin x Box</t>
        </is>
      </c>
      <c r="C2388" t="n">
        <v>6.65</v>
      </c>
      <c r="D2388" s="62" t="n">
        <v>2.375</v>
      </c>
      <c r="E2388" t="inlineStr">
        <is>
          <t>R2</t>
        </is>
      </c>
      <c r="T2388" t="n">
        <v>7</v>
      </c>
      <c r="V2388" t="inlineStr">
        <is>
          <t>CH</t>
        </is>
      </c>
    </row>
    <row r="2389">
      <c r="A2389" t="n">
        <v>8072164</v>
      </c>
      <c r="B2389" t="inlineStr">
        <is>
          <t>Drill Pipe 2-3/8" OD Range 2
2-3/8" IF Pin x Box</t>
        </is>
      </c>
      <c r="C2389" t="n">
        <v>6.65</v>
      </c>
      <c r="D2389" s="62" t="n">
        <v>2.375</v>
      </c>
      <c r="E2389" t="inlineStr">
        <is>
          <t>R2</t>
        </is>
      </c>
      <c r="T2389" t="n">
        <v>8</v>
      </c>
      <c r="V2389" t="inlineStr">
        <is>
          <t>CH</t>
        </is>
      </c>
    </row>
    <row r="2390">
      <c r="A2390" t="n">
        <v>8072165</v>
      </c>
      <c r="B2390" t="inlineStr">
        <is>
          <t>Drill Pipe 2-3/8" OD Range 2
2-3/8" IF Pin x Box</t>
        </is>
      </c>
      <c r="C2390" t="n">
        <v>6.65</v>
      </c>
      <c r="D2390" s="62" t="n">
        <v>2.375</v>
      </c>
      <c r="E2390" t="inlineStr">
        <is>
          <t>R2</t>
        </is>
      </c>
      <c r="T2390" t="n">
        <v>9</v>
      </c>
      <c r="V2390" t="inlineStr">
        <is>
          <t>CH</t>
        </is>
      </c>
    </row>
    <row r="2391">
      <c r="A2391" t="n">
        <v>8072166</v>
      </c>
      <c r="B2391" t="inlineStr">
        <is>
          <t>Drill Pipe 3-1/2" OD Range 2
3-1/2" IF Pin x Box</t>
        </is>
      </c>
      <c r="C2391" t="n">
        <v>15.5</v>
      </c>
      <c r="D2391" s="62" t="n">
        <v>3.5</v>
      </c>
      <c r="E2391" t="inlineStr">
        <is>
          <t>R2</t>
        </is>
      </c>
      <c r="T2391" t="n">
        <v>14</v>
      </c>
      <c r="V2391" t="inlineStr">
        <is>
          <t>CH</t>
        </is>
      </c>
    </row>
    <row r="2392">
      <c r="A2392" t="n">
        <v>8072167</v>
      </c>
      <c r="B2392" t="inlineStr">
        <is>
          <t>Drill Pipe 3-1/2" OD Range 2
3-1/2" IF Pin x Box</t>
        </is>
      </c>
      <c r="C2392" t="n">
        <v>15.5</v>
      </c>
      <c r="D2392" s="62" t="n">
        <v>3.5</v>
      </c>
      <c r="E2392" t="inlineStr">
        <is>
          <t>R2</t>
        </is>
      </c>
      <c r="T2392" t="n">
        <v>15</v>
      </c>
      <c r="V2392" t="inlineStr">
        <is>
          <t>CH</t>
        </is>
      </c>
    </row>
    <row r="2393">
      <c r="A2393" t="n">
        <v>8072168</v>
      </c>
      <c r="B2393" t="inlineStr">
        <is>
          <t>Drill Pipe 3-1/2" OD Range 2
3-1/2" IF Pin x Box</t>
        </is>
      </c>
      <c r="C2393" t="n">
        <v>15.5</v>
      </c>
      <c r="D2393" s="62" t="n">
        <v>3.5</v>
      </c>
      <c r="E2393" t="inlineStr">
        <is>
          <t>R2</t>
        </is>
      </c>
      <c r="T2393" t="n">
        <v>16</v>
      </c>
      <c r="V2393" t="inlineStr">
        <is>
          <t>CH</t>
        </is>
      </c>
    </row>
    <row r="2394">
      <c r="A2394" t="n">
        <v>8072169</v>
      </c>
      <c r="B2394" t="inlineStr">
        <is>
          <t>Drill Pipe 3-1/2" OD Range 2
3-1/2" IF Pin x Box</t>
        </is>
      </c>
      <c r="C2394" t="n">
        <v>15.5</v>
      </c>
      <c r="D2394" s="62" t="n">
        <v>3.5</v>
      </c>
      <c r="E2394" t="inlineStr">
        <is>
          <t>R2</t>
        </is>
      </c>
      <c r="T2394" t="n">
        <v>17</v>
      </c>
      <c r="V2394" t="inlineStr">
        <is>
          <t>CH</t>
        </is>
      </c>
    </row>
    <row r="2395">
      <c r="A2395" t="n">
        <v>5162170</v>
      </c>
      <c r="B2395" t="inlineStr">
        <is>
          <t>WO Lift Sub for 5" DP 18"
10-3/4" FJWP Pin</t>
        </is>
      </c>
      <c r="C2395" t="n">
        <v>0</v>
      </c>
      <c r="D2395" s="62" t="n">
        <v>10.75</v>
      </c>
      <c r="E2395" t="n">
        <v>1120</v>
      </c>
      <c r="T2395" t="n">
        <v>18</v>
      </c>
      <c r="V2395" t="inlineStr">
        <is>
          <t>FR</t>
        </is>
      </c>
    </row>
    <row r="2396">
      <c r="A2396" t="n">
        <v>5112171</v>
      </c>
      <c r="B2396" t="inlineStr">
        <is>
          <t>WO Shoe
11-3/4" FJWP Box</t>
        </is>
      </c>
      <c r="C2396" t="n">
        <v>0</v>
      </c>
      <c r="D2396" s="62" t="n">
        <v>12</v>
      </c>
      <c r="E2396" t="n">
        <v>770</v>
      </c>
      <c r="T2396" t="n">
        <v>222</v>
      </c>
      <c r="V2396" t="inlineStr">
        <is>
          <t>FR</t>
        </is>
      </c>
    </row>
    <row r="2397">
      <c r="A2397" t="n">
        <v>6092172</v>
      </c>
      <c r="B2397" t="inlineStr">
        <is>
          <t>Whipstock Hydraulic 9-5/8"</t>
        </is>
      </c>
      <c r="D2397" s="62" t="n"/>
      <c r="T2397" t="n">
        <v>7</v>
      </c>
    </row>
    <row r="2398">
      <c r="A2398" t="n">
        <v>6092173</v>
      </c>
      <c r="B2398" t="inlineStr">
        <is>
          <t>Whipstock Hydraulic 9-5/8"</t>
        </is>
      </c>
      <c r="D2398" s="62" t="n"/>
      <c r="T2398" t="n">
        <v>8</v>
      </c>
    </row>
    <row r="2399">
      <c r="A2399" t="n">
        <v>6092174</v>
      </c>
      <c r="B2399" t="inlineStr">
        <is>
          <t>Whipstock Hydraulic 9-5/8"</t>
        </is>
      </c>
      <c r="D2399" s="62" t="n"/>
      <c r="T2399" t="n">
        <v>9</v>
      </c>
    </row>
    <row r="2400">
      <c r="A2400" t="n">
        <v>6092175</v>
      </c>
      <c r="B2400" t="inlineStr">
        <is>
          <t>Whipstock Hydraulic 7"</t>
        </is>
      </c>
      <c r="D2400" s="62" t="n"/>
      <c r="T2400" t="n">
        <v>5</v>
      </c>
    </row>
    <row r="2401">
      <c r="A2401" t="n">
        <v>6092176</v>
      </c>
      <c r="B2401" t="inlineStr">
        <is>
          <t>Whipstock Hydraulic 7"</t>
        </is>
      </c>
      <c r="D2401" s="62" t="n"/>
      <c r="T2401" t="n">
        <v>6</v>
      </c>
    </row>
    <row r="2402">
      <c r="A2402" t="n">
        <v>6102177</v>
      </c>
      <c r="B2402" t="inlineStr">
        <is>
          <t>Secondary Mill 13-3/8"</t>
        </is>
      </c>
      <c r="D2402" s="62" t="n"/>
      <c r="T2402" t="n">
        <v>24</v>
      </c>
    </row>
    <row r="2403">
      <c r="A2403" t="n">
        <v>6102178</v>
      </c>
      <c r="B2403" t="inlineStr">
        <is>
          <t xml:space="preserve">Secondary Mill 13-3/8" </t>
        </is>
      </c>
      <c r="D2403" s="62" t="n"/>
      <c r="T2403" t="n">
        <v>25</v>
      </c>
    </row>
    <row r="2404">
      <c r="A2404" t="n">
        <v>6102179</v>
      </c>
      <c r="B2404" t="inlineStr">
        <is>
          <t>Secondary Mill 13-3/8"</t>
        </is>
      </c>
      <c r="D2404" s="62" t="n"/>
      <c r="T2404" t="n">
        <v>26</v>
      </c>
    </row>
    <row r="2405">
      <c r="A2405" t="n">
        <v>6102180</v>
      </c>
      <c r="B2405" t="inlineStr">
        <is>
          <t xml:space="preserve">Steering Mill 9-5/8" </t>
        </is>
      </c>
      <c r="D2405" s="62" t="n"/>
      <c r="T2405" t="n">
        <v>15</v>
      </c>
    </row>
    <row r="2406">
      <c r="A2406" t="n">
        <v>6102181</v>
      </c>
      <c r="B2406" t="inlineStr">
        <is>
          <t>Steering Mill 9-5/8"</t>
        </is>
      </c>
      <c r="D2406" s="62" t="n"/>
      <c r="T2406" t="n">
        <v>16</v>
      </c>
    </row>
    <row r="2407">
      <c r="A2407" t="n">
        <v>6102182</v>
      </c>
      <c r="B2407" t="inlineStr">
        <is>
          <t>Steering Mill 13-3/8"</t>
        </is>
      </c>
      <c r="D2407" s="62" t="n"/>
      <c r="T2407" t="n">
        <v>17</v>
      </c>
    </row>
    <row r="2408">
      <c r="A2408" t="n">
        <v>6102183</v>
      </c>
      <c r="B2408" t="inlineStr">
        <is>
          <t>Steering Mill 13-3/8"</t>
        </is>
      </c>
      <c r="D2408" s="62" t="n"/>
      <c r="T2408" t="n">
        <v>18</v>
      </c>
    </row>
    <row r="2409">
      <c r="A2409" t="n">
        <v>7052184</v>
      </c>
      <c r="B2409" t="inlineStr">
        <is>
          <t>Extension 7-7/8" SH Lg 0mm CA C5222
7-7/8" SH Sellers Pin x Box</t>
        </is>
      </c>
      <c r="C2409" t="n">
        <v>0</v>
      </c>
      <c r="D2409" s="62" t="inlineStr">
        <is>
          <t>7-7/8" SH</t>
        </is>
      </c>
      <c r="E2409" t="n">
        <v>0</v>
      </c>
      <c r="T2409" t="n">
        <v>39</v>
      </c>
    </row>
    <row r="2410">
      <c r="A2410" t="n">
        <v>7052185</v>
      </c>
      <c r="B2410" t="inlineStr">
        <is>
          <t>Extension 10-5/8" FS Lg 0mm CA C5321
10-5/8" FS Sellers Pin x Box</t>
        </is>
      </c>
      <c r="C2410" t="n">
        <v>0</v>
      </c>
      <c r="D2410" s="62" t="inlineStr">
        <is>
          <t>10-5/8" FS</t>
        </is>
      </c>
      <c r="E2410" t="n">
        <v>0</v>
      </c>
      <c r="T2410" t="n">
        <v>65</v>
      </c>
    </row>
    <row r="2411">
      <c r="A2411" t="n">
        <v>5072186</v>
      </c>
      <c r="B2411" t="inlineStr">
        <is>
          <t>Super Junk Mill 
6-5/8" REG Pin</t>
        </is>
      </c>
      <c r="C2411" t="n">
        <v>166</v>
      </c>
      <c r="D2411" s="62" t="n">
        <v>12</v>
      </c>
      <c r="E2411" t="n">
        <v>530</v>
      </c>
      <c r="T2411" t="n">
        <v>84</v>
      </c>
    </row>
    <row r="2412">
      <c r="A2412" t="inlineStr">
        <is>
          <t>605-962-025</t>
        </is>
      </c>
      <c r="B2412" t="inlineStr">
        <is>
          <t xml:space="preserve">Sleeve 0 for PDM 9-5/8"
Set on : </t>
        </is>
      </c>
      <c r="C2412" t="n">
        <v>140</v>
      </c>
      <c r="D2412" s="62" t="n">
        <v>0</v>
      </c>
      <c r="T2412" t="n">
        <v>45</v>
      </c>
    </row>
    <row r="2413">
      <c r="A2413" t="inlineStr">
        <is>
          <t>605-962-026</t>
        </is>
      </c>
      <c r="B2413" t="inlineStr">
        <is>
          <t xml:space="preserve">Sleeve 0 for PDM 9-5/8"
Set on : </t>
        </is>
      </c>
      <c r="C2413" t="n">
        <v>131</v>
      </c>
      <c r="D2413" s="62" t="n">
        <v>0</v>
      </c>
      <c r="T2413" t="n">
        <v>50</v>
      </c>
    </row>
    <row r="2414">
      <c r="A2414" t="inlineStr">
        <is>
          <t>605-850-027</t>
        </is>
      </c>
      <c r="B2414" t="inlineStr">
        <is>
          <t xml:space="preserve">Sleeve 0 for PDM 8-1/2"
Set on : </t>
        </is>
      </c>
      <c r="C2414" t="n">
        <v>40</v>
      </c>
      <c r="D2414" s="62" t="n">
        <v>0</v>
      </c>
      <c r="T2414" t="n">
        <v>71</v>
      </c>
    </row>
    <row r="2415">
      <c r="A2415" t="inlineStr">
        <is>
          <t>605-850-028</t>
        </is>
      </c>
      <c r="B2415" t="inlineStr">
        <is>
          <t xml:space="preserve">Sleeve 0 for PDM 8-1/2"
Set on : </t>
        </is>
      </c>
      <c r="C2415" t="n">
        <v>40</v>
      </c>
      <c r="D2415" s="62" t="n">
        <v>0</v>
      </c>
      <c r="T2415" t="n">
        <v>72</v>
      </c>
    </row>
    <row r="2416">
      <c r="A2416" t="inlineStr">
        <is>
          <t>605-675-029</t>
        </is>
      </c>
      <c r="B2416" t="inlineStr">
        <is>
          <t xml:space="preserve">Sleeve 0 for PDM 6-3/4"
Set on : </t>
        </is>
      </c>
      <c r="C2416" t="n">
        <v>18</v>
      </c>
      <c r="D2416" s="62" t="n">
        <v>0</v>
      </c>
      <c r="T2416" t="n">
        <v>88</v>
      </c>
    </row>
    <row r="2417">
      <c r="A2417" t="inlineStr">
        <is>
          <t>605-675-030</t>
        </is>
      </c>
      <c r="B2417" t="inlineStr">
        <is>
          <t xml:space="preserve">Sleeve 0 for PDM 6-3/4"
Set on : </t>
        </is>
      </c>
      <c r="C2417" t="n">
        <v>18</v>
      </c>
      <c r="D2417" s="62" t="n">
        <v>0</v>
      </c>
      <c r="T2417" t="n">
        <v>89</v>
      </c>
    </row>
    <row r="2418">
      <c r="A2418" t="inlineStr">
        <is>
          <t>605-675-031</t>
        </is>
      </c>
      <c r="B2418" t="inlineStr">
        <is>
          <t xml:space="preserve">Sleeve 0 for PDM 6-3/4"
Set on : </t>
        </is>
      </c>
      <c r="C2418" t="n">
        <v>18</v>
      </c>
      <c r="D2418" s="62" t="n">
        <v>0</v>
      </c>
      <c r="T2418" t="n">
        <v>90</v>
      </c>
    </row>
    <row r="2419">
      <c r="A2419" t="inlineStr">
        <is>
          <t>605-475-032</t>
        </is>
      </c>
      <c r="B2419" t="inlineStr">
        <is>
          <t xml:space="preserve">Sleeve 0 for PDM 4-3/4"
Set on : </t>
        </is>
      </c>
      <c r="C2419" t="n">
        <v>8</v>
      </c>
      <c r="D2419" s="62" t="n">
        <v>0</v>
      </c>
      <c r="T2419" t="n">
        <v>101</v>
      </c>
    </row>
    <row r="2420">
      <c r="A2420" t="inlineStr">
        <is>
          <t>605-475-033</t>
        </is>
      </c>
      <c r="B2420" t="inlineStr">
        <is>
          <t xml:space="preserve">Sleeve 0 for PDM 4-3/4"
Set on : </t>
        </is>
      </c>
      <c r="C2420" t="n">
        <v>8</v>
      </c>
      <c r="D2420" s="62" t="n">
        <v>0</v>
      </c>
      <c r="T2420" t="n">
        <v>102</v>
      </c>
    </row>
    <row r="2421">
      <c r="A2421" t="inlineStr">
        <is>
          <t>605-475-034</t>
        </is>
      </c>
      <c r="B2421" t="inlineStr">
        <is>
          <t xml:space="preserve">Sleeve 0 for PDM 4-3/4"
Set on : </t>
        </is>
      </c>
      <c r="C2421" t="n">
        <v>8</v>
      </c>
      <c r="D2421" s="62" t="n">
        <v>0</v>
      </c>
      <c r="T2421" t="n">
        <v>103</v>
      </c>
    </row>
    <row r="2422">
      <c r="A2422" t="inlineStr">
        <is>
          <t>605-475-035</t>
        </is>
      </c>
      <c r="B2422" t="inlineStr">
        <is>
          <t xml:space="preserve">Sleeve 0 for PDM 4-3/4"
Set on : </t>
        </is>
      </c>
      <c r="C2422" t="n">
        <v>8</v>
      </c>
      <c r="D2422" s="62" t="n">
        <v>0</v>
      </c>
      <c r="T2422" t="n">
        <v>104</v>
      </c>
    </row>
    <row r="2423">
      <c r="A2423" t="n">
        <v>5032187</v>
      </c>
      <c r="B2423" t="inlineStr">
        <is>
          <t>Junk Mill 
6-5/8" REG Pin</t>
        </is>
      </c>
      <c r="C2423" t="n">
        <v>0</v>
      </c>
      <c r="D2423" s="62" t="n">
        <v>12.4375</v>
      </c>
      <c r="E2423" t="n">
        <v>0</v>
      </c>
      <c r="T2423" t="n">
        <v>90</v>
      </c>
    </row>
    <row r="2424">
      <c r="A2424" t="n">
        <v>8022187</v>
      </c>
      <c r="B2424" t="inlineStr">
        <is>
          <t>Bit Sub
7-5/8" REG Box x 7-5/8" REG Box BF</t>
        </is>
      </c>
      <c r="C2424" t="n">
        <v>247.1415621675</v>
      </c>
      <c r="D2424" s="62" t="n">
        <v>9.5</v>
      </c>
      <c r="E2424" t="n">
        <v>770</v>
      </c>
      <c r="T2424" t="n">
        <v>66</v>
      </c>
    </row>
    <row r="2425">
      <c r="A2425" t="n">
        <v>8132188</v>
      </c>
      <c r="B2425" t="inlineStr">
        <is>
          <t>XO
7-5/8" REG Pin x 6-5/8" REG Box</t>
        </is>
      </c>
      <c r="C2425" t="n">
        <v>394.7845733325</v>
      </c>
      <c r="D2425" s="62" t="n">
        <v>9.5</v>
      </c>
      <c r="E2425" t="n">
        <v>1230</v>
      </c>
      <c r="T2425" t="n">
        <v>229</v>
      </c>
    </row>
    <row r="2426">
      <c r="A2426" t="n">
        <v>8132189</v>
      </c>
      <c r="B2426" t="inlineStr">
        <is>
          <t>XO
4-1/2" IF Pin x 6-5/8" REG Box</t>
        </is>
      </c>
      <c r="C2426" t="n">
        <v>271.58413425</v>
      </c>
      <c r="D2426" s="62" t="n">
        <v>8</v>
      </c>
      <c r="E2426" t="n">
        <v>1250</v>
      </c>
      <c r="T2426" t="n">
        <v>178</v>
      </c>
    </row>
    <row r="2427">
      <c r="A2427" t="n">
        <v>8042190</v>
      </c>
      <c r="B2427" t="inlineStr">
        <is>
          <t>Lift Sub 0
0 OD body for Elevator DP 0</t>
        </is>
      </c>
      <c r="C2427" t="n">
        <v>0</v>
      </c>
      <c r="D2427" s="62" t="n">
        <v>0</v>
      </c>
      <c r="E2427" t="n">
        <v>0</v>
      </c>
      <c r="T2427" t="n">
        <v>80</v>
      </c>
    </row>
    <row r="2428">
      <c r="A2428" t="n">
        <v>8042191</v>
      </c>
      <c r="B2428" t="inlineStr">
        <is>
          <t>Lift Sub 0
0 OD body for Elevator DP 0</t>
        </is>
      </c>
      <c r="C2428" t="n">
        <v>0</v>
      </c>
      <c r="D2428" s="62" t="n">
        <v>0</v>
      </c>
      <c r="E2428" t="n">
        <v>0</v>
      </c>
      <c r="T2428" t="n">
        <v>81</v>
      </c>
    </row>
    <row r="2429">
      <c r="A2429" t="n">
        <v>8042192</v>
      </c>
      <c r="B2429" t="inlineStr">
        <is>
          <t>Lift Sub 0
0 OD body for Elevator DP 0</t>
        </is>
      </c>
      <c r="C2429" t="n">
        <v>0</v>
      </c>
      <c r="D2429" s="62" t="n">
        <v>0</v>
      </c>
      <c r="E2429" t="n">
        <v>0</v>
      </c>
      <c r="T2429" t="n">
        <v>82</v>
      </c>
    </row>
    <row r="2430">
      <c r="A2430" t="n">
        <v>8132193</v>
      </c>
      <c r="B2430" t="inlineStr">
        <is>
          <t>XO
4-1/2" IF Pin x SPC Box</t>
        </is>
      </c>
      <c r="C2430" t="n">
        <v>0</v>
      </c>
      <c r="D2430" s="62" t="n">
        <v>0</v>
      </c>
      <c r="E2430" t="n">
        <v>0</v>
      </c>
      <c r="T2430" t="n">
        <v>180</v>
      </c>
    </row>
    <row r="2431">
      <c r="A2431" t="n">
        <v>8132194</v>
      </c>
      <c r="B2431" t="inlineStr">
        <is>
          <t>XO
3-1/2" EU Pin x 3-1/2" IF Box</t>
        </is>
      </c>
      <c r="C2431" t="n">
        <v>0</v>
      </c>
      <c r="D2431" s="62" t="n">
        <v>4.75</v>
      </c>
      <c r="E2431" t="n">
        <v>660</v>
      </c>
      <c r="T2431" t="n">
        <v>101</v>
      </c>
      <c r="V2431" t="inlineStr">
        <is>
          <t>FR</t>
        </is>
      </c>
    </row>
    <row r="2432">
      <c r="A2432" t="n">
        <v>5092195</v>
      </c>
      <c r="B2432" t="inlineStr">
        <is>
          <t>WO Extension Lg 3000 mm
7-5/8" FJWP Pin x Box</t>
        </is>
      </c>
      <c r="C2432" t="n">
        <v>128.8790164349998</v>
      </c>
      <c r="D2432" s="62" t="n">
        <v>7.625</v>
      </c>
      <c r="E2432" t="n">
        <v>3000</v>
      </c>
      <c r="T2432" t="n">
        <v>80</v>
      </c>
    </row>
    <row r="2433">
      <c r="A2433" t="n">
        <v>5092196</v>
      </c>
      <c r="B2433" t="inlineStr">
        <is>
          <t>WO Extension Lg 4000 mm
7-5/8" FJWP Pin x Box</t>
        </is>
      </c>
      <c r="C2433" t="n">
        <v>171.8386885799998</v>
      </c>
      <c r="D2433" s="62" t="n">
        <v>7.625</v>
      </c>
      <c r="E2433" t="n">
        <v>4000</v>
      </c>
      <c r="T2433" t="n">
        <v>81</v>
      </c>
    </row>
    <row r="2434">
      <c r="A2434" t="n">
        <v>5892197</v>
      </c>
      <c r="B2434" t="inlineStr">
        <is>
          <t>WO Internal Hook Lg 2300 mm
7-5/8" FJWP Pin x Box</t>
        </is>
      </c>
      <c r="C2434" t="n">
        <v>0</v>
      </c>
      <c r="D2434" s="62" t="n">
        <v>7.625</v>
      </c>
      <c r="E2434" t="n">
        <v>2300</v>
      </c>
      <c r="T2434" t="n">
        <v>15</v>
      </c>
    </row>
    <row r="2435">
      <c r="A2435" t="n">
        <v>8012198</v>
      </c>
      <c r="D2435" s="62" t="n"/>
    </row>
    <row r="2436">
      <c r="A2436" t="n">
        <v>5092199</v>
      </c>
      <c r="B2436" t="inlineStr">
        <is>
          <t>WO Extension Lg 2000 mm
8-5/8" FJWP Pin x Box</t>
        </is>
      </c>
      <c r="C2436" t="n">
        <v>97.77028833000007</v>
      </c>
      <c r="D2436" s="62" t="n">
        <v>8.625</v>
      </c>
      <c r="E2436" t="n">
        <v>2000</v>
      </c>
      <c r="T2436" t="n">
        <v>112</v>
      </c>
    </row>
    <row r="2437">
      <c r="A2437" t="n">
        <v>8132200</v>
      </c>
      <c r="B2437" t="inlineStr">
        <is>
          <t>XO
4-1/2" IF Pin x 7-5/8" REG Box</t>
        </is>
      </c>
      <c r="C2437" t="n">
        <v>0</v>
      </c>
      <c r="D2437" s="62" t="n">
        <v>9.5</v>
      </c>
      <c r="E2437" t="n">
        <v>1170</v>
      </c>
      <c r="T2437" t="n">
        <v>179</v>
      </c>
    </row>
    <row r="2438">
      <c r="A2438" t="n">
        <v>5092201</v>
      </c>
      <c r="B2438" t="inlineStr">
        <is>
          <t>WO Extension Lg 1000 mm
7-5/8" FJWP Pin x Box</t>
        </is>
      </c>
      <c r="C2438" t="n">
        <v>42.95967214499996</v>
      </c>
      <c r="D2438" s="62" t="n">
        <v>7.625</v>
      </c>
      <c r="E2438" t="n">
        <v>1000</v>
      </c>
      <c r="T2438" t="n">
        <v>77</v>
      </c>
    </row>
    <row r="2439">
      <c r="A2439" t="n">
        <v>5092202</v>
      </c>
      <c r="B2439" t="inlineStr">
        <is>
          <t>WO Extension Lg 2500 mm
7-5/8" FJWP Pin x Box</t>
        </is>
      </c>
      <c r="C2439" t="n">
        <v>107.3991803624999</v>
      </c>
      <c r="D2439" s="62" t="n">
        <v>7.625</v>
      </c>
      <c r="E2439" t="n">
        <v>2500</v>
      </c>
      <c r="T2439" t="n">
        <v>78</v>
      </c>
    </row>
    <row r="2440">
      <c r="A2440" t="n">
        <v>28</v>
      </c>
      <c r="B2440" t="inlineStr">
        <is>
          <t>Loading Basket 2200mm x 1100mm S</t>
        </is>
      </c>
      <c r="C2440" t="n">
        <v>440</v>
      </c>
      <c r="D2440" s="62" t="n">
        <v>1100</v>
      </c>
      <c r="E2440" t="n">
        <v>2200</v>
      </c>
      <c r="T2440" t="n">
        <v>23</v>
      </c>
      <c r="V2440" t="inlineStr">
        <is>
          <t>FR</t>
        </is>
      </c>
      <c r="W2440" t="n">
        <v>86090090</v>
      </c>
    </row>
    <row r="2441">
      <c r="A2441" t="n">
        <v>29</v>
      </c>
      <c r="B2441" t="inlineStr">
        <is>
          <t>Loading Basket 2200mm x 1100mm S</t>
        </is>
      </c>
      <c r="C2441" t="n">
        <v>440</v>
      </c>
      <c r="D2441" s="62" t="n">
        <v>1100</v>
      </c>
      <c r="E2441" t="n">
        <v>2200</v>
      </c>
      <c r="T2441" t="n">
        <v>24</v>
      </c>
      <c r="V2441" t="inlineStr">
        <is>
          <t>FR</t>
        </is>
      </c>
      <c r="W2441" t="n">
        <v>86090090</v>
      </c>
    </row>
    <row r="2442">
      <c r="A2442" t="n">
        <v>30</v>
      </c>
      <c r="B2442" t="inlineStr">
        <is>
          <t>Loading Basket 2200mm x 1100mm S</t>
        </is>
      </c>
      <c r="C2442" t="n">
        <v>440</v>
      </c>
      <c r="D2442" s="62" t="n">
        <v>1100</v>
      </c>
      <c r="E2442" t="n">
        <v>2200</v>
      </c>
      <c r="T2442" t="n">
        <v>25</v>
      </c>
      <c r="V2442" t="inlineStr">
        <is>
          <t>FR</t>
        </is>
      </c>
      <c r="W2442" t="n">
        <v>86090090</v>
      </c>
    </row>
    <row r="2443">
      <c r="A2443" t="n">
        <v>31</v>
      </c>
      <c r="B2443" t="inlineStr">
        <is>
          <t>Loading Basket 2200mm x 1100mm S</t>
        </is>
      </c>
      <c r="C2443" t="n">
        <v>440</v>
      </c>
      <c r="D2443" s="62" t="n">
        <v>1100</v>
      </c>
      <c r="E2443" t="n">
        <v>2200</v>
      </c>
      <c r="T2443" t="n">
        <v>26</v>
      </c>
      <c r="V2443" t="inlineStr">
        <is>
          <t>FR</t>
        </is>
      </c>
      <c r="W2443" t="n">
        <v>86090090</v>
      </c>
    </row>
    <row r="2444">
      <c r="A2444" t="n">
        <v>5102204</v>
      </c>
      <c r="B2444" t="inlineStr">
        <is>
          <t>WO Pipe 
8-1/8" FJWP Pin x Box</t>
        </is>
      </c>
      <c r="C2444" t="n">
        <v>439.0182219618006</v>
      </c>
      <c r="D2444" s="62" t="n">
        <v>8.125</v>
      </c>
      <c r="E2444" t="n">
        <v>9560</v>
      </c>
      <c r="T2444" t="n">
        <v>127</v>
      </c>
    </row>
    <row r="2445">
      <c r="A2445" t="n">
        <v>7042205</v>
      </c>
      <c r="B2445" t="inlineStr">
        <is>
          <t>11-3/4" FS Overshot - CA C-5329
6-5/8" REG Box</t>
        </is>
      </c>
      <c r="C2445" t="n">
        <v>224</v>
      </c>
      <c r="D2445" s="62" t="inlineStr">
        <is>
          <t>11-3/4" FS</t>
        </is>
      </c>
      <c r="E2445" t="n">
        <v>1340</v>
      </c>
      <c r="T2445" t="n">
        <v>93</v>
      </c>
    </row>
    <row r="2446">
      <c r="A2446" t="n">
        <v>4032206</v>
      </c>
      <c r="B2446" t="inlineStr">
        <is>
          <t>Jar Z 7-3/4" 
6-5/8" REG Pin down  x Box up</t>
        </is>
      </c>
      <c r="C2446" t="n">
        <v>448</v>
      </c>
      <c r="D2446" s="62" t="n">
        <v>8</v>
      </c>
      <c r="E2446" t="n">
        <v>2280</v>
      </c>
      <c r="T2446" t="n">
        <v>25</v>
      </c>
    </row>
    <row r="2447">
      <c r="A2447" t="n">
        <v>8081850</v>
      </c>
      <c r="B2447" t="inlineStr">
        <is>
          <t xml:space="preserve">Saver Sub 8" for DJ
6-5/8" REG Pin x Box
Set on : </t>
        </is>
      </c>
      <c r="C2447" t="n">
        <v>0</v>
      </c>
      <c r="D2447" s="62" t="n">
        <v>8</v>
      </c>
      <c r="E2447" t="n">
        <v>700</v>
      </c>
      <c r="T2447" t="n">
        <v>103</v>
      </c>
    </row>
    <row r="2448">
      <c r="A2448" t="n">
        <v>8082208</v>
      </c>
      <c r="B2448" t="inlineStr">
        <is>
          <t xml:space="preserve">Saver Sub 8" for DJ
6-5/8" REG Pin x Box
Set on : </t>
        </is>
      </c>
      <c r="C2448" t="e">
        <v>#N/A</v>
      </c>
      <c r="D2448" s="62" t="e">
        <v>#N/A</v>
      </c>
      <c r="E2448" t="e">
        <v>#N/A</v>
      </c>
      <c r="T2448" t="e">
        <v>#N/A</v>
      </c>
    </row>
    <row r="2449">
      <c r="A2449" t="n">
        <v>7042209</v>
      </c>
      <c r="B2449" t="inlineStr">
        <is>
          <t>12-3/4" FS Overshot - CA 15800
6-5/8" REG Box</t>
        </is>
      </c>
      <c r="C2449" t="n">
        <v>0</v>
      </c>
      <c r="D2449" s="62" t="inlineStr">
        <is>
          <t>12-3/4"FS</t>
        </is>
      </c>
      <c r="E2449" t="n">
        <v>0</v>
      </c>
      <c r="T2449" t="n">
        <v>97</v>
      </c>
      <c r="V2449" t="inlineStr">
        <is>
          <t>US</t>
        </is>
      </c>
    </row>
    <row r="2450">
      <c r="A2450" t="n">
        <v>5102210</v>
      </c>
      <c r="B2450" t="inlineStr">
        <is>
          <t>WO Pipe 
8" FJWP Pin x Box</t>
        </is>
      </c>
      <c r="C2450" t="n">
        <v>410.7018725462253</v>
      </c>
      <c r="D2450" s="62" t="n">
        <v>8</v>
      </c>
      <c r="E2450" t="n">
        <v>9090</v>
      </c>
      <c r="T2450" t="n">
        <v>103</v>
      </c>
      <c r="V2450" t="inlineStr">
        <is>
          <t>FR</t>
        </is>
      </c>
    </row>
    <row r="2451">
      <c r="A2451" t="n">
        <v>5102211</v>
      </c>
      <c r="B2451" t="inlineStr">
        <is>
          <t>WO Pipe 
8" FJWP Pin x Box</t>
        </is>
      </c>
      <c r="C2451" t="n">
        <v>401.2137104742003</v>
      </c>
      <c r="D2451" s="62" t="n">
        <v>8</v>
      </c>
      <c r="E2451" t="n">
        <v>8880</v>
      </c>
      <c r="T2451" t="n">
        <v>104</v>
      </c>
      <c r="V2451" t="inlineStr">
        <is>
          <t>FR</t>
        </is>
      </c>
    </row>
    <row r="2452">
      <c r="A2452" t="n">
        <v>5102212</v>
      </c>
      <c r="B2452" t="inlineStr">
        <is>
          <t>WO Pipe 
8" FJWP Pin x Box</t>
        </is>
      </c>
      <c r="C2452" t="n">
        <v>417.4791311691002</v>
      </c>
      <c r="D2452" s="62" t="n">
        <v>8</v>
      </c>
      <c r="E2452" t="n">
        <v>9240</v>
      </c>
      <c r="T2452" t="n">
        <v>105</v>
      </c>
      <c r="V2452" t="inlineStr">
        <is>
          <t>FR</t>
        </is>
      </c>
    </row>
    <row r="2453">
      <c r="A2453" t="n">
        <v>5102213</v>
      </c>
      <c r="B2453" t="inlineStr">
        <is>
          <t>WO Pipe 
8" FJWP Pin x Box</t>
        </is>
      </c>
      <c r="C2453" t="n">
        <v>413.4127759953752</v>
      </c>
      <c r="D2453" s="62" t="n">
        <v>8</v>
      </c>
      <c r="E2453" t="n">
        <v>9150</v>
      </c>
      <c r="T2453" t="n">
        <v>106</v>
      </c>
      <c r="V2453" t="inlineStr">
        <is>
          <t>FR</t>
        </is>
      </c>
    </row>
    <row r="2454">
      <c r="A2454" t="n">
        <v>5102214</v>
      </c>
      <c r="B2454" t="inlineStr">
        <is>
          <t>WO Pipe 
8" FJWP Pin x Box</t>
        </is>
      </c>
      <c r="C2454" t="n">
        <v>377.7192139149002</v>
      </c>
      <c r="D2454" s="62" t="n">
        <v>8</v>
      </c>
      <c r="E2454" t="n">
        <v>8360</v>
      </c>
      <c r="T2454" t="n">
        <v>107</v>
      </c>
      <c r="V2454" t="inlineStr">
        <is>
          <t>FR</t>
        </is>
      </c>
    </row>
    <row r="2455">
      <c r="A2455" t="n">
        <v>5102215</v>
      </c>
      <c r="B2455" t="inlineStr">
        <is>
          <t>WO Pipe 
8" FJWP Pin x Box</t>
        </is>
      </c>
      <c r="C2455" t="n">
        <v>407.3132432347878</v>
      </c>
      <c r="D2455" s="62" t="n">
        <v>8</v>
      </c>
      <c r="E2455" t="n">
        <v>9015</v>
      </c>
      <c r="T2455" t="n">
        <v>108</v>
      </c>
      <c r="V2455" t="inlineStr">
        <is>
          <t>FR</t>
        </is>
      </c>
    </row>
    <row r="2456">
      <c r="A2456" t="n">
        <v>5102216</v>
      </c>
      <c r="B2456" t="inlineStr">
        <is>
          <t>WO Pipe 
8" FJWP Pin x Box</t>
        </is>
      </c>
      <c r="C2456" t="n">
        <v>425.7473866890077</v>
      </c>
      <c r="D2456" s="62" t="n">
        <v>8</v>
      </c>
      <c r="E2456" t="n">
        <v>9423</v>
      </c>
      <c r="T2456" t="n">
        <v>109</v>
      </c>
      <c r="V2456" t="inlineStr">
        <is>
          <t>FR</t>
        </is>
      </c>
    </row>
    <row r="2457">
      <c r="A2457" t="n">
        <v>5102217</v>
      </c>
      <c r="B2457" t="inlineStr">
        <is>
          <t>WO Pipe 
8" FJWP Pin x Box</t>
        </is>
      </c>
      <c r="C2457" t="n">
        <v>379.0746656394753</v>
      </c>
      <c r="D2457" s="62" t="n">
        <v>8</v>
      </c>
      <c r="E2457" t="n">
        <v>8390</v>
      </c>
      <c r="T2457" t="n">
        <v>110</v>
      </c>
      <c r="V2457" t="inlineStr">
        <is>
          <t>FR</t>
        </is>
      </c>
    </row>
    <row r="2458">
      <c r="A2458" t="n">
        <v>5102218</v>
      </c>
      <c r="B2458" t="inlineStr">
        <is>
          <t>WO Pipe 
8" FJWP Pin x Box</t>
        </is>
      </c>
      <c r="C2458" t="n">
        <v>399.8582587496252</v>
      </c>
      <c r="D2458" s="62" t="n">
        <v>8</v>
      </c>
      <c r="E2458" t="n">
        <v>8850</v>
      </c>
      <c r="T2458" t="n">
        <v>111</v>
      </c>
      <c r="V2458" t="inlineStr">
        <is>
          <t>FR</t>
        </is>
      </c>
    </row>
    <row r="2459">
      <c r="A2459" t="n">
        <v>5102219</v>
      </c>
      <c r="B2459" t="inlineStr">
        <is>
          <t>WO Pipe 
8" FJWP Pin x Box</t>
        </is>
      </c>
      <c r="C2459" t="n">
        <v>388.1110104699753</v>
      </c>
      <c r="D2459" s="62" t="n">
        <v>8</v>
      </c>
      <c r="E2459" t="n">
        <v>8590</v>
      </c>
      <c r="T2459" t="n">
        <v>112</v>
      </c>
      <c r="V2459" t="inlineStr">
        <is>
          <t>FR</t>
        </is>
      </c>
    </row>
    <row r="2460">
      <c r="A2460" t="n">
        <v>5102220</v>
      </c>
      <c r="B2460" t="inlineStr">
        <is>
          <t>WO Pipe 
8" FJWP Pin x Box</t>
        </is>
      </c>
      <c r="C2460" t="n">
        <v>392.6291828852252</v>
      </c>
      <c r="D2460" s="62" t="n">
        <v>8</v>
      </c>
      <c r="E2460" t="n">
        <v>8690</v>
      </c>
      <c r="T2460" t="n">
        <v>113</v>
      </c>
      <c r="V2460" t="inlineStr">
        <is>
          <t>FR</t>
        </is>
      </c>
    </row>
    <row r="2461">
      <c r="A2461" t="n">
        <v>5102221</v>
      </c>
      <c r="B2461" t="inlineStr">
        <is>
          <t>WO Pipe 
8" FJWP Pin x Box</t>
        </is>
      </c>
      <c r="C2461" t="n">
        <v>370.4901380505002</v>
      </c>
      <c r="D2461" s="62" t="n">
        <v>8</v>
      </c>
      <c r="E2461" t="n">
        <v>8200</v>
      </c>
      <c r="T2461" t="n">
        <v>114</v>
      </c>
      <c r="V2461" t="inlineStr">
        <is>
          <t>FR</t>
        </is>
      </c>
    </row>
    <row r="2462">
      <c r="A2462" t="n">
        <v>5102222</v>
      </c>
      <c r="B2462" t="inlineStr">
        <is>
          <t>WO Pipe 
8" FJWP Pin x Box</t>
        </is>
      </c>
      <c r="C2462" t="n">
        <v>415.6718622030002</v>
      </c>
      <c r="D2462" s="62" t="n">
        <v>8</v>
      </c>
      <c r="E2462" t="n">
        <v>9200</v>
      </c>
      <c r="T2462" t="n">
        <v>115</v>
      </c>
      <c r="V2462" t="inlineStr">
        <is>
          <t>FR</t>
        </is>
      </c>
    </row>
    <row r="2463">
      <c r="A2463" t="n">
        <v>5102223</v>
      </c>
      <c r="B2463" t="inlineStr">
        <is>
          <t>WO Pipe 
8" FJWP Pin x Box</t>
        </is>
      </c>
      <c r="C2463" t="n">
        <v>415.6718622030002</v>
      </c>
      <c r="D2463" s="62" t="n">
        <v>8</v>
      </c>
      <c r="E2463" t="n">
        <v>9200</v>
      </c>
      <c r="T2463" t="n">
        <v>116</v>
      </c>
      <c r="V2463" t="inlineStr">
        <is>
          <t>FR</t>
        </is>
      </c>
    </row>
    <row r="2464">
      <c r="A2464" t="n">
        <v>5102224</v>
      </c>
      <c r="B2464" t="inlineStr">
        <is>
          <t>WO Pipe 
8" FJWP Pin x Box</t>
        </is>
      </c>
      <c r="C2464" t="n">
        <v>267.4758069828002</v>
      </c>
      <c r="D2464" s="62" t="n">
        <v>8</v>
      </c>
      <c r="E2464" t="n">
        <v>5920</v>
      </c>
      <c r="T2464" t="n">
        <v>117</v>
      </c>
      <c r="V2464" t="inlineStr">
        <is>
          <t>FR</t>
        </is>
      </c>
    </row>
    <row r="2465">
      <c r="A2465" t="n">
        <v>5102225</v>
      </c>
      <c r="B2465" t="inlineStr">
        <is>
          <t>WO Pipe 
8" FJWP Pin x Box</t>
        </is>
      </c>
      <c r="C2465" t="n">
        <v>393.0810001267502</v>
      </c>
      <c r="D2465" s="62" t="n">
        <v>8</v>
      </c>
      <c r="E2465" t="n">
        <v>8700</v>
      </c>
      <c r="T2465" t="n">
        <v>118</v>
      </c>
      <c r="V2465" t="inlineStr">
        <is>
          <t>FR</t>
        </is>
      </c>
    </row>
    <row r="2466">
      <c r="A2466" t="n">
        <v>5092277</v>
      </c>
      <c r="B2466" t="inlineStr">
        <is>
          <t>WO Extension Lg 3050 mm
8" FJWP Pin x Box</t>
        </is>
      </c>
      <c r="C2466" t="n">
        <v>137.8042586651251</v>
      </c>
      <c r="D2466" s="62" t="n">
        <v>8</v>
      </c>
      <c r="E2466" t="n">
        <v>3050</v>
      </c>
      <c r="T2466" t="n">
        <v>84</v>
      </c>
      <c r="V2466" t="inlineStr">
        <is>
          <t>FR</t>
        </is>
      </c>
    </row>
    <row r="2467">
      <c r="A2467" t="n">
        <v>5092278</v>
      </c>
      <c r="B2467" t="inlineStr">
        <is>
          <t>WO Extension Lg 3000 mm
8" FJWP Pin x Box</t>
        </is>
      </c>
      <c r="C2467" t="n">
        <v>135.5451724575001</v>
      </c>
      <c r="D2467" s="62" t="n">
        <v>8</v>
      </c>
      <c r="E2467" t="n">
        <v>3000</v>
      </c>
      <c r="T2467" t="n">
        <v>85</v>
      </c>
      <c r="V2467" t="inlineStr">
        <is>
          <t>FR</t>
        </is>
      </c>
    </row>
    <row r="2468">
      <c r="A2468" t="n">
        <v>5092279</v>
      </c>
      <c r="B2468" t="inlineStr">
        <is>
          <t>WO Extension Lg 3035 mm
8" FJWP Pin x Box</t>
        </is>
      </c>
      <c r="C2468" t="n">
        <v>137.1265328028376</v>
      </c>
      <c r="D2468" s="62" t="n">
        <v>8</v>
      </c>
      <c r="E2468" t="n">
        <v>3035</v>
      </c>
      <c r="T2468" t="n">
        <v>86</v>
      </c>
      <c r="V2468" t="inlineStr">
        <is>
          <t>FR</t>
        </is>
      </c>
    </row>
    <row r="2469">
      <c r="A2469" t="n">
        <v>5092280</v>
      </c>
      <c r="B2469" t="inlineStr">
        <is>
          <t>WO Extension Lg 2910 mm
8" FJWP Pin x Box</t>
        </is>
      </c>
      <c r="C2469" t="n">
        <v>131.4788172837751</v>
      </c>
      <c r="D2469" s="62" t="n">
        <v>8</v>
      </c>
      <c r="E2469" t="n">
        <v>2910</v>
      </c>
      <c r="T2469" t="n">
        <v>87</v>
      </c>
      <c r="V2469" t="inlineStr">
        <is>
          <t>FR</t>
        </is>
      </c>
    </row>
    <row r="2470">
      <c r="A2470" t="n">
        <v>5892230</v>
      </c>
      <c r="B2470" t="inlineStr">
        <is>
          <t>WO Internal Hook Lg 3000 mm
8" FJWP Pin x Box</t>
        </is>
      </c>
      <c r="C2470" t="n">
        <v>0</v>
      </c>
      <c r="D2470" s="62" t="e">
        <v>#REF!</v>
      </c>
      <c r="E2470" t="n">
        <v>3000</v>
      </c>
      <c r="T2470" t="n">
        <v>16</v>
      </c>
      <c r="V2470" t="inlineStr">
        <is>
          <t>FR</t>
        </is>
      </c>
    </row>
    <row r="2471">
      <c r="A2471" t="n">
        <v>5892231</v>
      </c>
      <c r="B2471" t="inlineStr">
        <is>
          <t>WO Internal Hook Lg 3000 mm
8" FJWP Pin x Box</t>
        </is>
      </c>
      <c r="C2471" t="n">
        <v>0</v>
      </c>
      <c r="D2471" s="62" t="n">
        <v>8</v>
      </c>
      <c r="E2471" t="n">
        <v>3000</v>
      </c>
      <c r="T2471" t="n">
        <v>17</v>
      </c>
      <c r="V2471" t="inlineStr">
        <is>
          <t>FR</t>
        </is>
      </c>
    </row>
    <row r="2472">
      <c r="A2472" t="n">
        <v>5112232</v>
      </c>
      <c r="B2472" t="inlineStr">
        <is>
          <t>WO Shoe
8" FJWP Box</t>
        </is>
      </c>
      <c r="C2472" t="n">
        <v>0</v>
      </c>
      <c r="D2472" s="62" t="n">
        <v>0</v>
      </c>
      <c r="E2472" t="n">
        <v>710</v>
      </c>
      <c r="T2472" t="n">
        <v>165</v>
      </c>
      <c r="V2472" t="inlineStr">
        <is>
          <t>FR</t>
        </is>
      </c>
    </row>
    <row r="2473">
      <c r="A2473" t="n">
        <v>5112233</v>
      </c>
      <c r="B2473" t="inlineStr">
        <is>
          <t>WO Shoe
8" FJWP Box</t>
        </is>
      </c>
      <c r="C2473" t="n">
        <v>0</v>
      </c>
      <c r="D2473" s="62" t="n">
        <v>0</v>
      </c>
      <c r="E2473" t="n">
        <v>710</v>
      </c>
      <c r="T2473" t="n">
        <v>166</v>
      </c>
      <c r="V2473" t="inlineStr">
        <is>
          <t>FR</t>
        </is>
      </c>
    </row>
    <row r="2474">
      <c r="A2474" t="n">
        <v>5112234</v>
      </c>
      <c r="B2474" t="inlineStr">
        <is>
          <t>WO Shoe
8" FJWP Box</t>
        </is>
      </c>
      <c r="C2474" t="n">
        <v>0</v>
      </c>
      <c r="D2474" s="62" t="n">
        <v>0</v>
      </c>
      <c r="E2474" t="n">
        <v>710</v>
      </c>
      <c r="T2474" t="n">
        <v>167</v>
      </c>
      <c r="V2474" t="inlineStr">
        <is>
          <t>FR</t>
        </is>
      </c>
    </row>
    <row r="2475">
      <c r="A2475" t="n">
        <v>5112235</v>
      </c>
      <c r="B2475" t="inlineStr">
        <is>
          <t>WO Shoe
8" FJWP Box</t>
        </is>
      </c>
      <c r="C2475" t="n">
        <v>0</v>
      </c>
      <c r="D2475" s="62" t="n">
        <v>0</v>
      </c>
      <c r="E2475" t="n">
        <v>710</v>
      </c>
      <c r="T2475" t="n">
        <v>168</v>
      </c>
      <c r="V2475" t="inlineStr">
        <is>
          <t>FR</t>
        </is>
      </c>
    </row>
    <row r="2476">
      <c r="A2476" t="n">
        <v>5112236</v>
      </c>
      <c r="B2476" t="inlineStr">
        <is>
          <t>WO Shoe
8" FJWP Box</t>
        </is>
      </c>
      <c r="C2476" t="n">
        <v>0</v>
      </c>
      <c r="D2476" s="62" t="n">
        <v>0</v>
      </c>
      <c r="E2476" t="n">
        <v>710</v>
      </c>
      <c r="T2476" t="n">
        <v>169</v>
      </c>
      <c r="V2476" t="inlineStr">
        <is>
          <t>FR</t>
        </is>
      </c>
    </row>
    <row r="2477">
      <c r="A2477" t="n">
        <v>5112237</v>
      </c>
      <c r="B2477" t="inlineStr">
        <is>
          <t>WO Shoe
8" FJWP Box</t>
        </is>
      </c>
      <c r="C2477" t="n">
        <v>0</v>
      </c>
      <c r="D2477" s="62" t="n">
        <v>0</v>
      </c>
      <c r="E2477" t="n">
        <v>710</v>
      </c>
      <c r="T2477" t="n">
        <v>170</v>
      </c>
      <c r="V2477" t="inlineStr">
        <is>
          <t>FR</t>
        </is>
      </c>
    </row>
    <row r="2478">
      <c r="A2478" t="n">
        <v>5112238</v>
      </c>
      <c r="B2478" t="inlineStr">
        <is>
          <t>WO Shoe
8" FJWP Box</t>
        </is>
      </c>
      <c r="C2478" t="n">
        <v>0</v>
      </c>
      <c r="D2478" s="62" t="n">
        <v>0</v>
      </c>
      <c r="E2478" t="n">
        <v>710</v>
      </c>
      <c r="T2478" t="n">
        <v>171</v>
      </c>
      <c r="V2478" t="inlineStr">
        <is>
          <t>FR</t>
        </is>
      </c>
    </row>
    <row r="2479">
      <c r="A2479" t="n">
        <v>5112239</v>
      </c>
      <c r="B2479" t="inlineStr">
        <is>
          <t>WO Shoe
8" FJWP Box</t>
        </is>
      </c>
      <c r="C2479" t="n">
        <v>0</v>
      </c>
      <c r="D2479" s="62" t="n">
        <v>0</v>
      </c>
      <c r="E2479" t="n">
        <v>710</v>
      </c>
      <c r="T2479" t="n">
        <v>172</v>
      </c>
      <c r="V2479" t="inlineStr">
        <is>
          <t>FR</t>
        </is>
      </c>
    </row>
    <row r="2480">
      <c r="A2480" t="n">
        <v>5112240</v>
      </c>
      <c r="B2480" t="inlineStr">
        <is>
          <t>WO Shoe
8" FJWP Box</t>
        </is>
      </c>
      <c r="C2480" t="n">
        <v>0</v>
      </c>
      <c r="D2480" s="62" t="n">
        <v>0</v>
      </c>
      <c r="E2480" t="n">
        <v>710</v>
      </c>
      <c r="T2480" t="n">
        <v>173</v>
      </c>
      <c r="V2480" t="inlineStr">
        <is>
          <t>FR</t>
        </is>
      </c>
    </row>
    <row r="2481">
      <c r="A2481" t="n">
        <v>4032241</v>
      </c>
      <c r="B2481" t="inlineStr">
        <is>
          <t>Jar Z 6-11/32"
4-1/2" IF Pin down  x Box up</t>
        </is>
      </c>
      <c r="C2481" t="n">
        <v>448</v>
      </c>
      <c r="D2481" s="62" t="n">
        <v>6.34375</v>
      </c>
      <c r="E2481" t="n">
        <v>2390</v>
      </c>
      <c r="T2481" t="n">
        <v>22</v>
      </c>
    </row>
    <row r="2482">
      <c r="A2482" t="n">
        <v>5152242</v>
      </c>
      <c r="B2482" t="inlineStr">
        <is>
          <t>WO Lift Plug 
8" FJWP Pin</t>
        </is>
      </c>
      <c r="C2482" t="n">
        <v>0</v>
      </c>
      <c r="D2482" s="62" t="n">
        <v>10.125</v>
      </c>
      <c r="T2482" t="n">
        <v>23</v>
      </c>
      <c r="V2482" t="inlineStr">
        <is>
          <t>FR</t>
        </is>
      </c>
    </row>
    <row r="2483">
      <c r="A2483" t="n">
        <v>5152243</v>
      </c>
      <c r="B2483" t="inlineStr">
        <is>
          <t>WO Lift Plug 
8" FJWP Pin</t>
        </is>
      </c>
      <c r="C2483" t="n">
        <v>0</v>
      </c>
      <c r="D2483" s="62" t="n">
        <v>10.125</v>
      </c>
      <c r="T2483" t="n">
        <v>24</v>
      </c>
      <c r="V2483" t="inlineStr">
        <is>
          <t>FR</t>
        </is>
      </c>
    </row>
    <row r="2484">
      <c r="A2484" t="n">
        <v>5162244</v>
      </c>
      <c r="B2484" t="inlineStr">
        <is>
          <t>WO Lift Sub for 5" DP 18"
8" FJWP Pin</t>
        </is>
      </c>
      <c r="C2484" t="n">
        <v>0</v>
      </c>
      <c r="D2484" s="62" t="n">
        <v>0</v>
      </c>
      <c r="E2484" t="n">
        <v>0</v>
      </c>
      <c r="T2484" t="n">
        <v>13</v>
      </c>
      <c r="V2484" t="inlineStr">
        <is>
          <t>FR</t>
        </is>
      </c>
    </row>
    <row r="2485">
      <c r="A2485" t="n">
        <v>5162245</v>
      </c>
      <c r="B2485" t="inlineStr">
        <is>
          <t>WO Lift Sub for 5" DP 18"
8" FJWP Pin</t>
        </is>
      </c>
      <c r="C2485" t="n">
        <v>0</v>
      </c>
      <c r="D2485" s="62" t="n">
        <v>0</v>
      </c>
      <c r="E2485" t="n">
        <v>0</v>
      </c>
      <c r="T2485" t="n">
        <v>14</v>
      </c>
      <c r="V2485" t="inlineStr">
        <is>
          <t>FR</t>
        </is>
      </c>
    </row>
    <row r="2486">
      <c r="A2486" t="n">
        <v>5152246</v>
      </c>
      <c r="B2486" t="inlineStr">
        <is>
          <t>WO Lift Plug 
8" FJWP Pin</t>
        </is>
      </c>
      <c r="C2486" t="n">
        <v>0</v>
      </c>
      <c r="D2486" s="62" t="inlineStr">
        <is>
          <t>Flush w/ Handle</t>
        </is>
      </c>
      <c r="T2486" t="n">
        <v>25</v>
      </c>
      <c r="V2486" t="inlineStr">
        <is>
          <t>FR</t>
        </is>
      </c>
    </row>
    <row r="2487">
      <c r="A2487" t="n">
        <v>5152247</v>
      </c>
      <c r="B2487" t="inlineStr">
        <is>
          <t>WO Lift Plug 
8" FJWP Pin</t>
        </is>
      </c>
      <c r="C2487" t="n">
        <v>0</v>
      </c>
      <c r="D2487" s="62" t="inlineStr">
        <is>
          <t>Flush w/ Handle</t>
        </is>
      </c>
      <c r="T2487" t="n">
        <v>26</v>
      </c>
      <c r="V2487" t="inlineStr">
        <is>
          <t>FR</t>
        </is>
      </c>
    </row>
    <row r="2488">
      <c r="A2488" t="n">
        <v>5122248</v>
      </c>
      <c r="B2488" t="inlineStr">
        <is>
          <t>WO Top Sub 
4-1/2" IF Box x 8" FJWP Pin x 4-1/2" REG Box in</t>
        </is>
      </c>
      <c r="C2488" t="n">
        <v>0</v>
      </c>
      <c r="D2488" s="62" t="n">
        <v>8</v>
      </c>
      <c r="E2488" t="n">
        <v>750</v>
      </c>
      <c r="T2488" t="n">
        <v>34</v>
      </c>
      <c r="V2488" t="inlineStr">
        <is>
          <t>FR</t>
        </is>
      </c>
    </row>
    <row r="2489">
      <c r="A2489" t="n">
        <v>5122249</v>
      </c>
      <c r="B2489" t="inlineStr">
        <is>
          <t>WO Top Sub 
4-1/2" IF Box x 8" FJWP Pin x 4-1/2" REG Box in</t>
        </is>
      </c>
      <c r="C2489" t="n">
        <v>0</v>
      </c>
      <c r="D2489" s="62" t="n">
        <v>8</v>
      </c>
      <c r="E2489" t="n">
        <v>750</v>
      </c>
      <c r="T2489" t="n">
        <v>35</v>
      </c>
      <c r="V2489" t="inlineStr">
        <is>
          <t>FR</t>
        </is>
      </c>
    </row>
    <row r="2490">
      <c r="A2490" t="n">
        <v>5122250</v>
      </c>
      <c r="B2490" t="inlineStr">
        <is>
          <t>WO Top Sub 
4-1/2" IF Box x 8" FJWP Pin x 4-1/2" REG Box in</t>
        </is>
      </c>
      <c r="C2490" t="n">
        <v>0</v>
      </c>
      <c r="D2490" s="62" t="n">
        <v>8</v>
      </c>
      <c r="E2490" t="n">
        <v>750</v>
      </c>
      <c r="T2490" t="n">
        <v>36</v>
      </c>
      <c r="V2490" t="inlineStr">
        <is>
          <t>FR</t>
        </is>
      </c>
    </row>
    <row r="2491">
      <c r="A2491" t="n">
        <v>5122251</v>
      </c>
      <c r="B2491" t="inlineStr">
        <is>
          <t>WO Top Sub 
4-1/2" IF Box x 8" FJWP Pin x 4-1/2" REG Box in</t>
        </is>
      </c>
      <c r="C2491" t="n">
        <v>0</v>
      </c>
      <c r="D2491" s="62" t="n">
        <v>8</v>
      </c>
      <c r="E2491" t="n">
        <v>750</v>
      </c>
      <c r="T2491" t="n">
        <v>37</v>
      </c>
      <c r="V2491" t="inlineStr">
        <is>
          <t>FR</t>
        </is>
      </c>
    </row>
    <row r="2492">
      <c r="A2492" t="n">
        <v>8132252</v>
      </c>
      <c r="B2492" t="inlineStr">
        <is>
          <t>XO
8" FJWP Pin x 8-1/8" FJWP Box</t>
        </is>
      </c>
      <c r="C2492" t="n">
        <v>35.07509093838756</v>
      </c>
      <c r="D2492" s="62" t="n">
        <v>8.125</v>
      </c>
      <c r="E2492" t="n">
        <v>660</v>
      </c>
      <c r="T2492" t="n">
        <v>234</v>
      </c>
      <c r="V2492" t="inlineStr">
        <is>
          <t>FR</t>
        </is>
      </c>
    </row>
    <row r="2493">
      <c r="A2493" t="n">
        <v>8132253</v>
      </c>
      <c r="B2493" t="inlineStr">
        <is>
          <t>XO
8" FJWP Pin x 8-1/8" FJWP Box</t>
        </is>
      </c>
      <c r="C2493" t="n">
        <v>37.20085402556256</v>
      </c>
      <c r="D2493" s="62" t="n">
        <v>8.125</v>
      </c>
      <c r="E2493" t="n">
        <v>700</v>
      </c>
      <c r="T2493" t="n">
        <v>235</v>
      </c>
      <c r="V2493" t="inlineStr">
        <is>
          <t>FR</t>
        </is>
      </c>
    </row>
    <row r="2494">
      <c r="A2494" t="n">
        <v>8132254</v>
      </c>
      <c r="B2494" t="inlineStr">
        <is>
          <t>XO
8-1/8" FJWP Pin x 8" FJWP Box</t>
        </is>
      </c>
      <c r="C2494" t="n">
        <v>42.78098212939695</v>
      </c>
      <c r="D2494" s="62" t="n">
        <v>8.125</v>
      </c>
      <c r="E2494" t="n">
        <v>805</v>
      </c>
      <c r="T2494" t="n">
        <v>236</v>
      </c>
      <c r="V2494" t="inlineStr">
        <is>
          <t>FR</t>
        </is>
      </c>
    </row>
    <row r="2495">
      <c r="A2495" t="n">
        <v>8132255</v>
      </c>
      <c r="B2495" t="inlineStr">
        <is>
          <t>XO
8-1/8" FJWP Pin x 8" FJWP Box</t>
        </is>
      </c>
      <c r="C2495" t="n">
        <v>42.78098212939695</v>
      </c>
      <c r="D2495" s="62" t="n">
        <v>8.125</v>
      </c>
      <c r="E2495" t="n">
        <v>805</v>
      </c>
      <c r="T2495" t="n">
        <v>237</v>
      </c>
      <c r="V2495" t="inlineStr">
        <is>
          <t>FR</t>
        </is>
      </c>
    </row>
    <row r="2496">
      <c r="A2496" t="n">
        <v>8132256</v>
      </c>
      <c r="B2496" t="inlineStr">
        <is>
          <t>XO
3-1/2" IF Pin x 2-7/8" EU Box</t>
        </is>
      </c>
      <c r="C2496" t="n">
        <v>0</v>
      </c>
      <c r="D2496" s="62" t="n">
        <v>4.75</v>
      </c>
      <c r="E2496" t="n">
        <v>400</v>
      </c>
      <c r="T2496" t="n">
        <v>110</v>
      </c>
      <c r="V2496" t="inlineStr">
        <is>
          <t>FR</t>
        </is>
      </c>
    </row>
    <row r="2497">
      <c r="A2497" t="n">
        <v>8132257</v>
      </c>
      <c r="B2497" t="inlineStr">
        <is>
          <t>XO
3-1/2" IF Pin x 2-7/8" EU Box</t>
        </is>
      </c>
      <c r="C2497" t="n">
        <v>0</v>
      </c>
      <c r="D2497" s="62" t="n">
        <v>4.75</v>
      </c>
      <c r="E2497" t="n">
        <v>400</v>
      </c>
      <c r="T2497" t="n">
        <v>111</v>
      </c>
      <c r="V2497" t="inlineStr">
        <is>
          <t>FR</t>
        </is>
      </c>
    </row>
    <row r="2498">
      <c r="A2498" t="n">
        <v>5112258</v>
      </c>
      <c r="B2498" t="inlineStr">
        <is>
          <t>WO Shoe
13-3/8" FJWP Pin</t>
        </is>
      </c>
      <c r="C2498" t="n">
        <v>0</v>
      </c>
      <c r="D2498" s="62" t="n">
        <v>0</v>
      </c>
      <c r="E2498" t="n">
        <v>1000</v>
      </c>
      <c r="T2498" t="n">
        <v>228</v>
      </c>
      <c r="V2498" t="inlineStr">
        <is>
          <t>FR</t>
        </is>
      </c>
    </row>
    <row r="2499">
      <c r="A2499" t="n">
        <v>5092259</v>
      </c>
      <c r="B2499" t="inlineStr">
        <is>
          <t>WO Extension Lg 2860 mm
8-1/8" FJWP Pin x Box</t>
        </is>
      </c>
      <c r="C2499" t="n">
        <v>131.3380873233002</v>
      </c>
      <c r="D2499" s="62" t="n">
        <v>8.125</v>
      </c>
      <c r="E2499" t="n">
        <v>2860</v>
      </c>
      <c r="T2499" t="n">
        <v>99</v>
      </c>
      <c r="V2499" t="inlineStr">
        <is>
          <t>FR</t>
        </is>
      </c>
    </row>
    <row r="2500">
      <c r="A2500" t="n">
        <v>5092260</v>
      </c>
      <c r="B2500" t="inlineStr">
        <is>
          <t>WO Extension Lg 4000 mm
8-1/8" FJWP Pin x Box</t>
        </is>
      </c>
      <c r="C2500" t="n">
        <v>183.6896326200002</v>
      </c>
      <c r="D2500" s="62" t="n">
        <v>8.125</v>
      </c>
      <c r="E2500" t="n">
        <v>4000</v>
      </c>
      <c r="T2500" t="n">
        <v>100</v>
      </c>
      <c r="V2500" t="inlineStr">
        <is>
          <t>FR</t>
        </is>
      </c>
    </row>
    <row r="2501">
      <c r="A2501" t="n">
        <v>4032261</v>
      </c>
      <c r="B2501" t="inlineStr">
        <is>
          <t>Jar Z 7-3/4" 
6-5/8" REG Pin down  x Box up</t>
        </is>
      </c>
      <c r="C2501" t="n">
        <v>448</v>
      </c>
      <c r="D2501" s="62" t="n">
        <v>7.75</v>
      </c>
      <c r="E2501" t="n">
        <v>2290</v>
      </c>
      <c r="T2501" t="n">
        <v>24</v>
      </c>
    </row>
    <row r="2502">
      <c r="A2502" t="n">
        <v>4032262</v>
      </c>
      <c r="B2502" t="inlineStr">
        <is>
          <t>Jar Z 6-11/32"
4-1/2" IF Pin down  x Box up</t>
        </is>
      </c>
      <c r="C2502" t="n">
        <v>448</v>
      </c>
      <c r="D2502" s="62" t="n">
        <v>6.34375</v>
      </c>
      <c r="E2502" t="n">
        <v>2260</v>
      </c>
      <c r="T2502" t="n">
        <v>21</v>
      </c>
    </row>
    <row r="2503">
      <c r="A2503" t="n">
        <v>5112263</v>
      </c>
      <c r="B2503" t="inlineStr">
        <is>
          <t>WO Shoe
8-1/8" FJWP Box</t>
        </is>
      </c>
      <c r="C2503" t="n">
        <v>0</v>
      </c>
      <c r="D2503" s="62" t="n">
        <v>0</v>
      </c>
      <c r="E2503" t="n">
        <v>0</v>
      </c>
      <c r="T2503" t="n">
        <v>182</v>
      </c>
      <c r="V2503" t="inlineStr">
        <is>
          <t>FR</t>
        </is>
      </c>
    </row>
    <row r="2504">
      <c r="A2504" t="n">
        <v>5112264</v>
      </c>
      <c r="B2504" t="inlineStr">
        <is>
          <t>WO Shoe
8-1/8" FJWP Box</t>
        </is>
      </c>
      <c r="C2504" t="n">
        <v>38</v>
      </c>
      <c r="D2504" s="62" t="inlineStr">
        <is>
          <t>flush</t>
        </is>
      </c>
      <c r="E2504" t="n">
        <v>695</v>
      </c>
      <c r="T2504" t="n">
        <v>183</v>
      </c>
      <c r="V2504" t="inlineStr">
        <is>
          <t>FR</t>
        </is>
      </c>
    </row>
    <row r="2505">
      <c r="A2505" t="n">
        <v>5112265</v>
      </c>
      <c r="B2505" t="inlineStr">
        <is>
          <t>WO Shoe
8-1/8" FJWP Box</t>
        </is>
      </c>
      <c r="C2505" t="n">
        <v>38</v>
      </c>
      <c r="D2505" s="62" t="inlineStr">
        <is>
          <t>flush</t>
        </is>
      </c>
      <c r="E2505" t="n">
        <v>700</v>
      </c>
      <c r="T2505" t="n">
        <v>184</v>
      </c>
      <c r="V2505" t="inlineStr">
        <is>
          <t>FR</t>
        </is>
      </c>
    </row>
    <row r="2506">
      <c r="A2506" t="n">
        <v>5112266</v>
      </c>
      <c r="B2506" t="inlineStr">
        <is>
          <t>WO Shoe
7-5/8" FJWP Box</t>
        </is>
      </c>
      <c r="C2506" t="n">
        <v>0</v>
      </c>
      <c r="D2506" s="62" t="n">
        <v>8.125</v>
      </c>
      <c r="E2506" t="n">
        <v>720</v>
      </c>
      <c r="T2506" t="n">
        <v>161</v>
      </c>
      <c r="V2506" t="inlineStr">
        <is>
          <t>FR</t>
        </is>
      </c>
    </row>
    <row r="2507">
      <c r="A2507" t="n">
        <v>5112267</v>
      </c>
      <c r="B2507" t="inlineStr">
        <is>
          <t>WO Shoe
7-5/8" FJWP Box</t>
        </is>
      </c>
      <c r="C2507" t="n">
        <v>0</v>
      </c>
      <c r="D2507" s="62" t="n">
        <v>8.125</v>
      </c>
      <c r="E2507" t="n">
        <v>690</v>
      </c>
      <c r="T2507" t="n">
        <v>162</v>
      </c>
      <c r="V2507" t="inlineStr">
        <is>
          <t>FR</t>
        </is>
      </c>
    </row>
    <row r="2508">
      <c r="A2508" t="n">
        <v>5112268</v>
      </c>
      <c r="B2508" t="inlineStr">
        <is>
          <t>WO Shoe
7-5/8" FJWP Box</t>
        </is>
      </c>
      <c r="C2508" t="n">
        <v>0</v>
      </c>
      <c r="D2508" s="62" t="n">
        <v>8.125</v>
      </c>
      <c r="E2508" t="n">
        <v>840</v>
      </c>
      <c r="T2508" t="n">
        <v>163</v>
      </c>
      <c r="V2508" t="inlineStr">
        <is>
          <t>FR</t>
        </is>
      </c>
    </row>
    <row r="2509">
      <c r="A2509" t="n">
        <v>5092269</v>
      </c>
      <c r="B2509" t="inlineStr">
        <is>
          <t>WO Extension Lg 2890 mm
7-5/8" FJWP Pin x Box</t>
        </is>
      </c>
      <c r="C2509" t="n">
        <v>0</v>
      </c>
      <c r="D2509" s="62" t="n">
        <v>7.625</v>
      </c>
      <c r="E2509" t="n">
        <v>2890</v>
      </c>
      <c r="T2509" t="n">
        <v>79</v>
      </c>
      <c r="V2509" t="inlineStr">
        <is>
          <t>FR</t>
        </is>
      </c>
    </row>
    <row r="2510">
      <c r="A2510" t="n">
        <v>8082270</v>
      </c>
      <c r="B2510" t="inlineStr">
        <is>
          <t xml:space="preserve">Saver Sub 8" for DJ
6-5/8" REG Pin x Box
Set on : </t>
        </is>
      </c>
      <c r="C2510" t="n">
        <v>0</v>
      </c>
      <c r="D2510" s="62" t="n">
        <v>8</v>
      </c>
      <c r="E2510" t="n">
        <v>0</v>
      </c>
      <c r="T2510" t="n">
        <v>105</v>
      </c>
    </row>
    <row r="2511">
      <c r="A2511" t="n">
        <v>5072271</v>
      </c>
      <c r="B2511" t="inlineStr">
        <is>
          <t>Super Junk Mill 
4-1/2" REG Pin</t>
        </is>
      </c>
      <c r="C2511" t="n">
        <v>0</v>
      </c>
      <c r="D2511" s="62" t="n">
        <v>8.5</v>
      </c>
      <c r="E2511" t="n">
        <v>0</v>
      </c>
      <c r="T2511" t="n">
        <v>67</v>
      </c>
      <c r="V2511" t="inlineStr">
        <is>
          <t>FR</t>
        </is>
      </c>
    </row>
    <row r="2512">
      <c r="A2512" t="n">
        <v>5072272</v>
      </c>
      <c r="B2512" t="inlineStr">
        <is>
          <t>Super Junk Mill 
4-1/2" REG Pin</t>
        </is>
      </c>
      <c r="C2512" t="n">
        <v>0</v>
      </c>
      <c r="D2512" s="62" t="n">
        <v>8.5</v>
      </c>
      <c r="E2512" t="n">
        <v>0</v>
      </c>
      <c r="T2512" t="n">
        <v>68</v>
      </c>
      <c r="V2512" t="inlineStr">
        <is>
          <t>FR</t>
        </is>
      </c>
    </row>
    <row r="2513">
      <c r="A2513" t="n">
        <v>5032273</v>
      </c>
      <c r="B2513" t="inlineStr">
        <is>
          <t>Junk Mill 
4-1/2" REG Pin</t>
        </is>
      </c>
      <c r="C2513" t="n">
        <v>110</v>
      </c>
      <c r="D2513" s="62" t="n">
        <v>8.5</v>
      </c>
      <c r="E2513" t="n">
        <v>0</v>
      </c>
      <c r="T2513" t="n">
        <v>77</v>
      </c>
    </row>
    <row r="2514">
      <c r="A2514" t="n">
        <v>5032274</v>
      </c>
      <c r="B2514" t="inlineStr">
        <is>
          <t>Junk Mill 
4-1/2" REG Pin</t>
        </is>
      </c>
      <c r="C2514" t="n">
        <v>110</v>
      </c>
      <c r="D2514" s="62" t="n">
        <v>8.5</v>
      </c>
      <c r="E2514" t="n">
        <v>0</v>
      </c>
      <c r="T2514" t="n">
        <v>78</v>
      </c>
    </row>
    <row r="2515">
      <c r="A2515" t="inlineStr">
        <is>
          <t>6882275M</t>
        </is>
      </c>
      <c r="B2515" t="inlineStr">
        <is>
          <t>Short NMDC 9-1/2" Lg 4590mm
7-5/8" REG Pin SRG x 7-5/8" Reg Box BB</t>
        </is>
      </c>
      <c r="C2515" t="n">
        <v>1308.899735017875</v>
      </c>
      <c r="D2515" s="62" t="n">
        <v>9.5</v>
      </c>
      <c r="E2515" t="n">
        <v>4590</v>
      </c>
      <c r="T2515" t="n">
        <v>56</v>
      </c>
    </row>
    <row r="2516">
      <c r="A2516" t="inlineStr">
        <is>
          <t>6882276M</t>
        </is>
      </c>
      <c r="B2516" t="inlineStr">
        <is>
          <t>Short NMDC 9-1/2" Lg 4590mm
7-5/8" REG Pin SRG x 7-5/8" Reg Box BB</t>
        </is>
      </c>
      <c r="C2516" t="n">
        <v>1308.899735017875</v>
      </c>
      <c r="D2516" s="62" t="n">
        <v>9.5</v>
      </c>
      <c r="E2516" t="n">
        <v>4590</v>
      </c>
      <c r="T2516" t="n">
        <v>57</v>
      </c>
    </row>
    <row r="2517">
      <c r="A2517" t="n">
        <v>5092226</v>
      </c>
      <c r="B2517" t="inlineStr">
        <is>
          <t>WO Extension Lg 4020 mm
8" FJWP Pin x Box</t>
        </is>
      </c>
      <c r="C2517" t="n">
        <v>181.6305310930501</v>
      </c>
      <c r="D2517" s="62" t="n">
        <v>8</v>
      </c>
      <c r="E2517" t="n">
        <v>4020</v>
      </c>
      <c r="T2517" t="n">
        <v>88</v>
      </c>
    </row>
    <row r="2518">
      <c r="A2518" t="n">
        <v>5092227</v>
      </c>
      <c r="B2518" t="inlineStr">
        <is>
          <t>WO Extension Lg 4040 mm
8" FJWP Pin x Box</t>
        </is>
      </c>
      <c r="C2518" t="n">
        <v>182.5341655761001</v>
      </c>
      <c r="D2518" s="62" t="n">
        <v>8</v>
      </c>
      <c r="E2518" t="n">
        <v>4040</v>
      </c>
      <c r="T2518" t="n">
        <v>89</v>
      </c>
    </row>
    <row r="2519">
      <c r="A2519" t="n">
        <v>5092228</v>
      </c>
      <c r="B2519" t="inlineStr">
        <is>
          <t>WO Extension Lg 4010 mm
8" FJWP Pin x Box</t>
        </is>
      </c>
      <c r="C2519" t="n">
        <v>181.1787138515251</v>
      </c>
      <c r="D2519" s="62" t="n">
        <v>8</v>
      </c>
      <c r="E2519" t="n">
        <v>4010</v>
      </c>
      <c r="T2519" t="n">
        <v>90</v>
      </c>
    </row>
    <row r="2520">
      <c r="A2520" t="n">
        <v>5092229</v>
      </c>
      <c r="B2520" t="inlineStr">
        <is>
          <t>WO Extension Lg 3990 mm
8" FJWP Pin x Box</t>
        </is>
      </c>
      <c r="C2520" t="n">
        <v>180.2750793684751</v>
      </c>
      <c r="D2520" s="62" t="n">
        <v>8</v>
      </c>
      <c r="E2520" t="n">
        <v>3990</v>
      </c>
      <c r="T2520" t="n">
        <v>91</v>
      </c>
    </row>
    <row r="2521">
      <c r="A2521" t="inlineStr">
        <is>
          <t>6082281M</t>
        </is>
      </c>
      <c r="B2521" t="inlineStr">
        <is>
          <t>NMDC 9-1/2" OD
7-5/8" REG Pin x Box</t>
        </is>
      </c>
      <c r="C2521" t="n">
        <v>2580.728235710626</v>
      </c>
      <c r="D2521" s="62" t="n">
        <v>9.5</v>
      </c>
      <c r="E2521" t="n">
        <v>9050</v>
      </c>
      <c r="T2521" t="n">
        <v>40</v>
      </c>
    </row>
    <row r="2522">
      <c r="A2522" t="inlineStr">
        <is>
          <t>6082282M</t>
        </is>
      </c>
      <c r="B2522" t="inlineStr">
        <is>
          <t>NMDC 9-1/2" OD
7-5/8" REG Pin x Box</t>
        </is>
      </c>
      <c r="C2522" t="n">
        <v>2580.728235710626</v>
      </c>
      <c r="D2522" s="62" t="n">
        <v>9.5</v>
      </c>
      <c r="E2522" t="n">
        <v>9050</v>
      </c>
      <c r="T2522" t="n">
        <v>41</v>
      </c>
    </row>
    <row r="2523">
      <c r="A2523" t="inlineStr">
        <is>
          <t>6082283M</t>
        </is>
      </c>
      <c r="B2523" t="inlineStr">
        <is>
          <t>NMDC 9-1/2" OD
7-5/8" REG Pin x Box</t>
        </is>
      </c>
      <c r="C2523" t="n">
        <v>2580.728235710626</v>
      </c>
      <c r="D2523" s="62" t="n">
        <v>9.5</v>
      </c>
      <c r="E2523" t="n">
        <v>9050</v>
      </c>
      <c r="T2523" t="n">
        <v>42</v>
      </c>
    </row>
    <row r="2524">
      <c r="A2524" t="inlineStr">
        <is>
          <t>6082284M</t>
        </is>
      </c>
      <c r="B2524" t="inlineStr">
        <is>
          <t>NMDC 9-1/2" OD
7-5/8" REG Pin x Box</t>
        </is>
      </c>
      <c r="C2524" t="n">
        <v>2580.728235710626</v>
      </c>
      <c r="D2524" s="62" t="n">
        <v>9.5</v>
      </c>
      <c r="E2524" t="n">
        <v>9050</v>
      </c>
      <c r="T2524" t="n">
        <v>43</v>
      </c>
    </row>
    <row r="2525">
      <c r="A2525" t="inlineStr">
        <is>
          <t>6082285M</t>
        </is>
      </c>
      <c r="B2525" t="inlineStr">
        <is>
          <t>NMDC 9-1/2" OD
7-5/8" REG Pin x Box</t>
        </is>
      </c>
      <c r="C2525" t="n">
        <v>2580.728235710626</v>
      </c>
      <c r="D2525" s="62" t="n">
        <v>9.5</v>
      </c>
      <c r="E2525" t="n">
        <v>9050</v>
      </c>
      <c r="T2525" t="n">
        <v>44</v>
      </c>
    </row>
    <row r="2526">
      <c r="A2526" t="inlineStr">
        <is>
          <t>6082286M</t>
        </is>
      </c>
      <c r="B2526" t="inlineStr">
        <is>
          <t>NMDC 8" OD
6-5/8" REG Pin x Box</t>
        </is>
      </c>
      <c r="C2526" t="n">
        <v>1789.228372745775</v>
      </c>
      <c r="D2526" s="62" t="n">
        <v>8</v>
      </c>
      <c r="E2526" t="n">
        <v>9070</v>
      </c>
      <c r="T2526" t="n">
        <v>31</v>
      </c>
    </row>
    <row r="2527">
      <c r="A2527" t="inlineStr">
        <is>
          <t>6082287M</t>
        </is>
      </c>
      <c r="B2527" t="inlineStr">
        <is>
          <t>NMDC 8" OD
6-5/8" REG Pin x Box</t>
        </is>
      </c>
      <c r="C2527" t="n">
        <v>1789.228372745775</v>
      </c>
      <c r="D2527" s="62" t="n">
        <v>8</v>
      </c>
      <c r="E2527" t="n">
        <v>9070</v>
      </c>
      <c r="T2527" t="n">
        <v>32</v>
      </c>
    </row>
    <row r="2528">
      <c r="A2528" t="inlineStr">
        <is>
          <t>6082288M</t>
        </is>
      </c>
      <c r="B2528" t="inlineStr">
        <is>
          <t>NMDC 8" OD
6-5/8" REG Pin x Box</t>
        </is>
      </c>
      <c r="C2528" t="n">
        <v>1789.228372745775</v>
      </c>
      <c r="D2528" s="62" t="n">
        <v>8</v>
      </c>
      <c r="E2528" t="n">
        <v>9070</v>
      </c>
      <c r="T2528" t="n">
        <v>33</v>
      </c>
    </row>
    <row r="2529">
      <c r="A2529" t="inlineStr">
        <is>
          <t>6082289M</t>
        </is>
      </c>
      <c r="B2529" t="inlineStr">
        <is>
          <t>NMDC 8" OD
6-5/8" REG Pin x Box</t>
        </is>
      </c>
      <c r="C2529" t="n">
        <v>1789.228372745775</v>
      </c>
      <c r="D2529" s="62" t="n">
        <v>8</v>
      </c>
      <c r="E2529" t="n">
        <v>9070</v>
      </c>
      <c r="T2529" t="n">
        <v>34</v>
      </c>
    </row>
    <row r="2530">
      <c r="A2530" t="inlineStr">
        <is>
          <t>6082290M</t>
        </is>
      </c>
      <c r="B2530" t="inlineStr">
        <is>
          <t>NMDC 8" OD
6-5/8" REG Pin x Box</t>
        </is>
      </c>
      <c r="C2530" t="n">
        <v>1789.228372745775</v>
      </c>
      <c r="D2530" s="62" t="n">
        <v>8</v>
      </c>
      <c r="E2530" t="n">
        <v>9070</v>
      </c>
      <c r="T2530" t="n">
        <v>35</v>
      </c>
    </row>
    <row r="2531">
      <c r="A2531" t="inlineStr">
        <is>
          <t>6082291M</t>
        </is>
      </c>
      <c r="B2531" t="inlineStr">
        <is>
          <t>NMDC 8" OD
6-5/8" REG Pin x Box</t>
        </is>
      </c>
      <c r="C2531" t="n">
        <v>1789.228372745775</v>
      </c>
      <c r="D2531" s="62" t="n">
        <v>8</v>
      </c>
      <c r="E2531" t="n">
        <v>9070</v>
      </c>
      <c r="T2531" t="n">
        <v>36</v>
      </c>
    </row>
    <row r="2532">
      <c r="A2532" t="inlineStr">
        <is>
          <t>6082292M</t>
        </is>
      </c>
      <c r="B2532" t="inlineStr">
        <is>
          <t>NMDC 6-1/2" OD
4-1/2" REG Pin x Box</t>
        </is>
      </c>
      <c r="C2532" t="n">
        <v>1135.342659552075</v>
      </c>
      <c r="D2532" s="62" t="n">
        <v>6.5</v>
      </c>
      <c r="E2532" t="n">
        <v>9070</v>
      </c>
      <c r="T2532" t="n">
        <v>26</v>
      </c>
    </row>
    <row r="2533">
      <c r="A2533" t="inlineStr">
        <is>
          <t>6082293M</t>
        </is>
      </c>
      <c r="B2533" t="inlineStr">
        <is>
          <t>NMDC 4-3/4" OD
3-1/2" IF Pin x Box</t>
        </is>
      </c>
      <c r="C2533" t="n">
        <v>550.2226663871437</v>
      </c>
      <c r="D2533" s="62" t="n">
        <v>4.75</v>
      </c>
      <c r="E2533" t="n">
        <v>9080</v>
      </c>
      <c r="T2533" t="n">
        <v>18</v>
      </c>
    </row>
    <row r="2534">
      <c r="A2534" t="inlineStr">
        <is>
          <t>6082294M</t>
        </is>
      </c>
      <c r="B2534" t="inlineStr">
        <is>
          <t>NMDC 4-3/4" OD
3-1/2" IF Pin x Box</t>
        </is>
      </c>
      <c r="C2534" t="n">
        <v>550.2226663871437</v>
      </c>
      <c r="D2534" s="62" t="n">
        <v>4.75</v>
      </c>
      <c r="E2534" t="n">
        <v>9080</v>
      </c>
      <c r="T2534" t="n">
        <v>19</v>
      </c>
    </row>
    <row r="2535">
      <c r="A2535" t="inlineStr">
        <is>
          <t>6882295M</t>
        </is>
      </c>
      <c r="B2535" t="inlineStr">
        <is>
          <t>Flex Short NMDC 6-3/4" Lg 3000mm
4-1/2" IF Pin x 4-1/2" IF Box</t>
        </is>
      </c>
      <c r="C2535" t="n">
        <v>433.3001414624999</v>
      </c>
      <c r="D2535" s="62" t="n">
        <v>6.75</v>
      </c>
      <c r="E2535" t="n">
        <v>3000</v>
      </c>
      <c r="T2535" t="n">
        <v>52</v>
      </c>
    </row>
    <row r="2536">
      <c r="A2536" t="inlineStr">
        <is>
          <t>6882296M</t>
        </is>
      </c>
      <c r="B2536" t="inlineStr">
        <is>
          <t>Flex Short NMDC 6-3/4" Lg 3000mm
4-1/2" IF Pin x 4-1/2" IF Box</t>
        </is>
      </c>
      <c r="C2536" t="n">
        <v>433.3001414624999</v>
      </c>
      <c r="D2536" s="62" t="n">
        <v>6.75</v>
      </c>
      <c r="E2536" t="n">
        <v>3000</v>
      </c>
      <c r="T2536" t="n">
        <v>53</v>
      </c>
    </row>
    <row r="2537">
      <c r="A2537" t="inlineStr">
        <is>
          <t>6882297M</t>
        </is>
      </c>
      <c r="B2537" t="inlineStr">
        <is>
          <t>Flex Short NMDC 8-1/4" Lg 3000mm
6-5/8" REG Pin x 6-5/8" REG Box</t>
        </is>
      </c>
      <c r="C2537" t="n">
        <v>661.4308142325</v>
      </c>
      <c r="D2537" s="62" t="n">
        <v>8.25</v>
      </c>
      <c r="E2537" t="n">
        <v>3000</v>
      </c>
      <c r="T2537" t="n">
        <v>54</v>
      </c>
    </row>
    <row r="2538">
      <c r="A2538" t="inlineStr">
        <is>
          <t>6882298M</t>
        </is>
      </c>
      <c r="B2538" t="inlineStr">
        <is>
          <t>Flex Short NMDC 8-1/4" Lg 3000mm
6-5/8" REG Pin x 6-5/8" REG Box</t>
        </is>
      </c>
      <c r="C2538" t="n">
        <v>661.4308142325</v>
      </c>
      <c r="D2538" s="62" t="n">
        <v>8.25</v>
      </c>
      <c r="E2538" t="n">
        <v>3000</v>
      </c>
      <c r="T2538" t="n">
        <v>55</v>
      </c>
    </row>
    <row r="2539">
      <c r="A2539" t="n">
        <v>8132299</v>
      </c>
      <c r="B2539" t="inlineStr">
        <is>
          <t>XO
2-7/8" IF Pin x 3-1/2" IF Pin</t>
        </is>
      </c>
      <c r="C2539" t="n">
        <v>36.66385812375</v>
      </c>
      <c r="D2539" s="62" t="n">
        <v>4.75</v>
      </c>
      <c r="E2539" t="n">
        <v>500</v>
      </c>
      <c r="T2539" t="n">
        <v>89</v>
      </c>
      <c r="V2539" t="inlineStr">
        <is>
          <t>FR</t>
        </is>
      </c>
    </row>
    <row r="2540">
      <c r="A2540" t="n">
        <v>5092300</v>
      </c>
      <c r="B2540" t="inlineStr">
        <is>
          <t>WO Extension Lg 2990 mm
5-1/2" FJWP Pin x Box</t>
        </is>
      </c>
      <c r="C2540" t="n">
        <v>76.58981204184374</v>
      </c>
      <c r="D2540" s="62" t="n">
        <v>5.5</v>
      </c>
      <c r="E2540" t="n">
        <v>2990</v>
      </c>
      <c r="T2540" t="n">
        <v>53</v>
      </c>
    </row>
    <row r="2541">
      <c r="A2541" t="n">
        <v>5092301</v>
      </c>
      <c r="B2541" t="inlineStr">
        <is>
          <t>WO Extension Lg 3000 mm
5-1/2" FJWP Pin x Box</t>
        </is>
      </c>
      <c r="C2541" t="n">
        <v>76.84596525937499</v>
      </c>
      <c r="D2541" s="62" t="n">
        <v>5.5</v>
      </c>
      <c r="E2541" t="n">
        <v>3000</v>
      </c>
      <c r="T2541" t="n">
        <v>54</v>
      </c>
    </row>
    <row r="2542">
      <c r="A2542" t="n">
        <v>5092302</v>
      </c>
      <c r="B2542" t="inlineStr">
        <is>
          <t>WO Extension Lg 3000 mm
5-1/2" FJWP Pin x Box</t>
        </is>
      </c>
      <c r="C2542" t="n">
        <v>76.84596525937499</v>
      </c>
      <c r="D2542" s="62" t="n">
        <v>5.5</v>
      </c>
      <c r="E2542" t="n">
        <v>3000</v>
      </c>
      <c r="T2542" t="n">
        <v>55</v>
      </c>
    </row>
    <row r="2543">
      <c r="A2543" t="inlineStr">
        <is>
          <t>6015140T3</t>
        </is>
      </c>
      <c r="D2543" s="62" t="n"/>
    </row>
    <row r="2544">
      <c r="A2544" t="inlineStr">
        <is>
          <t>6016837T2</t>
        </is>
      </c>
      <c r="D2544" s="62" t="n"/>
    </row>
    <row r="2545">
      <c r="A2545" t="inlineStr">
        <is>
          <t>SK1</t>
        </is>
      </c>
      <c r="B2545" t="inlineStr">
        <is>
          <t>Skid Stabilizer 1740mm x 760mm L</t>
        </is>
      </c>
      <c r="C2545" t="n">
        <v>120</v>
      </c>
      <c r="D2545" s="62" t="n">
        <v>760</v>
      </c>
      <c r="E2545" t="n">
        <v>1740</v>
      </c>
      <c r="T2545" t="n">
        <v>31</v>
      </c>
      <c r="V2545" t="inlineStr">
        <is>
          <t>FR</t>
        </is>
      </c>
      <c r="W2545" t="n">
        <v>86090090</v>
      </c>
    </row>
    <row r="2546">
      <c r="A2546" t="inlineStr">
        <is>
          <t>SK2</t>
        </is>
      </c>
      <c r="B2546" t="inlineStr">
        <is>
          <t>Skid Stabilizer 1740mm x 760mm L</t>
        </is>
      </c>
      <c r="C2546" t="n">
        <v>120</v>
      </c>
      <c r="D2546" s="62" t="n">
        <v>760</v>
      </c>
      <c r="E2546" t="n">
        <v>1740</v>
      </c>
      <c r="T2546" t="n">
        <v>32</v>
      </c>
      <c r="V2546" t="inlineStr">
        <is>
          <t>FR</t>
        </is>
      </c>
      <c r="W2546" t="n">
        <v>86090090</v>
      </c>
    </row>
    <row r="2547">
      <c r="A2547" t="inlineStr">
        <is>
          <t>SK3</t>
        </is>
      </c>
      <c r="B2547" t="inlineStr">
        <is>
          <t>Skid Stabilizer 1740mm x 760mm L</t>
        </is>
      </c>
      <c r="C2547" t="n">
        <v>120</v>
      </c>
      <c r="D2547" s="62" t="n">
        <v>760</v>
      </c>
      <c r="E2547" t="n">
        <v>1740</v>
      </c>
      <c r="T2547" t="n">
        <v>33</v>
      </c>
      <c r="V2547" t="inlineStr">
        <is>
          <t>FR</t>
        </is>
      </c>
      <c r="W2547" t="n">
        <v>86090090</v>
      </c>
    </row>
    <row r="2548">
      <c r="A2548" t="inlineStr">
        <is>
          <t>SK4</t>
        </is>
      </c>
      <c r="B2548" t="inlineStr">
        <is>
          <t>Skid Stabilizer 1740mm x 760mm L</t>
        </is>
      </c>
      <c r="C2548" t="n">
        <v>120</v>
      </c>
      <c r="D2548" s="62" t="n">
        <v>760</v>
      </c>
      <c r="E2548" t="n">
        <v>1740</v>
      </c>
      <c r="T2548" t="n">
        <v>34</v>
      </c>
      <c r="V2548" t="inlineStr">
        <is>
          <t>FR</t>
        </is>
      </c>
      <c r="W2548" t="n">
        <v>86090090</v>
      </c>
    </row>
    <row r="2549">
      <c r="A2549" t="inlineStr">
        <is>
          <t>SK5</t>
        </is>
      </c>
      <c r="B2549" t="inlineStr">
        <is>
          <t>Skid Stabilizer 1740mm x 760mm L</t>
        </is>
      </c>
      <c r="C2549" t="n">
        <v>120</v>
      </c>
      <c r="D2549" s="62" t="n">
        <v>760</v>
      </c>
      <c r="E2549" t="n">
        <v>1740</v>
      </c>
      <c r="T2549" t="n">
        <v>35</v>
      </c>
      <c r="V2549" t="inlineStr">
        <is>
          <t>FR</t>
        </is>
      </c>
      <c r="W2549" t="n">
        <v>86090090</v>
      </c>
    </row>
    <row r="2550">
      <c r="A2550" t="inlineStr">
        <is>
          <t>SK6</t>
        </is>
      </c>
      <c r="B2550" t="inlineStr">
        <is>
          <t>Skid Stabilizer 1740mm x 760mm L</t>
        </is>
      </c>
      <c r="C2550" t="n">
        <v>120</v>
      </c>
      <c r="D2550" s="62" t="n">
        <v>760</v>
      </c>
      <c r="E2550" t="n">
        <v>1740</v>
      </c>
      <c r="T2550" t="n">
        <v>36</v>
      </c>
      <c r="V2550" t="inlineStr">
        <is>
          <t>FR</t>
        </is>
      </c>
      <c r="W2550" t="n">
        <v>86090090</v>
      </c>
    </row>
    <row r="2551">
      <c r="A2551" t="inlineStr">
        <is>
          <t>SK7</t>
        </is>
      </c>
      <c r="B2551" t="inlineStr">
        <is>
          <t>Skid Stabilizer 1240mm x 760mm M</t>
        </is>
      </c>
      <c r="C2551" t="n">
        <v>100</v>
      </c>
      <c r="D2551" s="62" t="n">
        <v>760</v>
      </c>
      <c r="E2551" t="n">
        <v>1240</v>
      </c>
      <c r="T2551" t="n">
        <v>39</v>
      </c>
      <c r="V2551" t="inlineStr">
        <is>
          <t>FR</t>
        </is>
      </c>
      <c r="W2551" t="n">
        <v>86090090</v>
      </c>
    </row>
    <row r="2552">
      <c r="A2552" t="inlineStr">
        <is>
          <t>SK8</t>
        </is>
      </c>
      <c r="B2552" t="inlineStr">
        <is>
          <t>Skid Stabilizer 1240mm x 760mm M</t>
        </is>
      </c>
      <c r="C2552" t="n">
        <v>100</v>
      </c>
      <c r="D2552" s="62" t="n">
        <v>760</v>
      </c>
      <c r="E2552" t="n">
        <v>1240</v>
      </c>
      <c r="T2552" t="n">
        <v>40</v>
      </c>
      <c r="V2552" t="inlineStr">
        <is>
          <t>FR</t>
        </is>
      </c>
      <c r="W2552" t="n">
        <v>86090090</v>
      </c>
    </row>
    <row r="2553">
      <c r="A2553" t="inlineStr">
        <is>
          <t>SK9</t>
        </is>
      </c>
      <c r="B2553" t="inlineStr">
        <is>
          <t>Skid Stabilizer 1240mm x 760mm M</t>
        </is>
      </c>
      <c r="C2553" t="n">
        <v>100</v>
      </c>
      <c r="D2553" s="62" t="n">
        <v>760</v>
      </c>
      <c r="E2553" t="n">
        <v>1240</v>
      </c>
      <c r="T2553" t="n">
        <v>41</v>
      </c>
      <c r="V2553" t="inlineStr">
        <is>
          <t>FR</t>
        </is>
      </c>
      <c r="W2553" t="n">
        <v>86090090</v>
      </c>
    </row>
    <row r="2554">
      <c r="A2554" t="inlineStr">
        <is>
          <t>SK10</t>
        </is>
      </c>
      <c r="B2554" t="inlineStr">
        <is>
          <t>Skid Stabilizer 1240mm x 760mm M</t>
        </is>
      </c>
      <c r="C2554" t="n">
        <v>100</v>
      </c>
      <c r="D2554" s="62" t="n">
        <v>760</v>
      </c>
      <c r="E2554" t="n">
        <v>1240</v>
      </c>
      <c r="T2554" t="n">
        <v>42</v>
      </c>
      <c r="V2554" t="inlineStr">
        <is>
          <t>FR</t>
        </is>
      </c>
      <c r="W2554" t="n">
        <v>86090090</v>
      </c>
    </row>
    <row r="2555">
      <c r="A2555" t="inlineStr">
        <is>
          <t>SK11</t>
        </is>
      </c>
      <c r="B2555" t="inlineStr">
        <is>
          <t>Skid Stabilizer 1240mm x 760mm M</t>
        </is>
      </c>
      <c r="C2555" t="n">
        <v>100</v>
      </c>
      <c r="D2555" s="62" t="n">
        <v>760</v>
      </c>
      <c r="E2555" t="n">
        <v>1240</v>
      </c>
      <c r="T2555" t="n">
        <v>43</v>
      </c>
      <c r="V2555" t="inlineStr">
        <is>
          <t>FR</t>
        </is>
      </c>
      <c r="W2555" t="n">
        <v>86090090</v>
      </c>
    </row>
    <row r="2556">
      <c r="A2556" t="inlineStr">
        <is>
          <t>SK12</t>
        </is>
      </c>
      <c r="B2556" t="inlineStr">
        <is>
          <t>Skid Stabilizer 1240mm x 760mm M</t>
        </is>
      </c>
      <c r="C2556" t="n">
        <v>100</v>
      </c>
      <c r="D2556" s="62" t="n">
        <v>760</v>
      </c>
      <c r="E2556" t="n">
        <v>1240</v>
      </c>
      <c r="T2556" t="n">
        <v>44</v>
      </c>
      <c r="V2556" t="inlineStr">
        <is>
          <t>FR</t>
        </is>
      </c>
      <c r="W2556" t="n">
        <v>86090090</v>
      </c>
    </row>
    <row r="2557">
      <c r="A2557" t="inlineStr">
        <is>
          <t>SK13</t>
        </is>
      </c>
      <c r="B2557" t="inlineStr">
        <is>
          <t>Skid Stabilizer 1240mm x 760mm M</t>
        </is>
      </c>
      <c r="C2557" t="n">
        <v>100</v>
      </c>
      <c r="D2557" s="62" t="n">
        <v>760</v>
      </c>
      <c r="E2557" t="n">
        <v>1240</v>
      </c>
      <c r="T2557" t="n">
        <v>45</v>
      </c>
      <c r="V2557" t="inlineStr">
        <is>
          <t>FR</t>
        </is>
      </c>
      <c r="W2557" t="n">
        <v>86090090</v>
      </c>
    </row>
    <row r="2558">
      <c r="A2558" t="inlineStr">
        <is>
          <t>SK14</t>
        </is>
      </c>
      <c r="B2558" t="inlineStr">
        <is>
          <t>Skid Stabilizer 1240mm x 760mm M</t>
        </is>
      </c>
      <c r="C2558" t="n">
        <v>100</v>
      </c>
      <c r="D2558" s="62" t="n">
        <v>760</v>
      </c>
      <c r="E2558" t="n">
        <v>1240</v>
      </c>
      <c r="T2558" t="n">
        <v>46</v>
      </c>
      <c r="V2558" t="inlineStr">
        <is>
          <t>FR</t>
        </is>
      </c>
      <c r="W2558" t="n">
        <v>86090090</v>
      </c>
    </row>
    <row r="2559">
      <c r="A2559" t="inlineStr">
        <is>
          <t>SK15</t>
        </is>
      </c>
      <c r="B2559" t="inlineStr">
        <is>
          <t>Skid Stabilizer 1240mm x 760mm M</t>
        </is>
      </c>
      <c r="C2559" t="n">
        <v>100</v>
      </c>
      <c r="D2559" s="62" t="n">
        <v>760</v>
      </c>
      <c r="E2559" t="n">
        <v>1240</v>
      </c>
      <c r="T2559" t="n">
        <v>47</v>
      </c>
      <c r="V2559" t="inlineStr">
        <is>
          <t>FR</t>
        </is>
      </c>
      <c r="W2559" t="n">
        <v>86090090</v>
      </c>
    </row>
    <row r="2560">
      <c r="A2560" t="inlineStr">
        <is>
          <t>SK16</t>
        </is>
      </c>
      <c r="B2560" t="inlineStr">
        <is>
          <t>Skid Stabilizer 1240mm x 760mm M</t>
        </is>
      </c>
      <c r="C2560" t="n">
        <v>100</v>
      </c>
      <c r="D2560" s="62" t="n">
        <v>760</v>
      </c>
      <c r="E2560" t="n">
        <v>1240</v>
      </c>
      <c r="T2560" t="n">
        <v>48</v>
      </c>
      <c r="V2560" t="inlineStr">
        <is>
          <t>FR</t>
        </is>
      </c>
      <c r="W2560" t="n">
        <v>86090090</v>
      </c>
    </row>
    <row r="2561">
      <c r="A2561" t="inlineStr">
        <is>
          <t>SK17</t>
        </is>
      </c>
      <c r="B2561" t="inlineStr">
        <is>
          <t>Skid Stabilizer 1240mm x 760mm M</t>
        </is>
      </c>
      <c r="C2561" t="n">
        <v>100</v>
      </c>
      <c r="D2561" s="62" t="n">
        <v>760</v>
      </c>
      <c r="E2561" t="n">
        <v>1240</v>
      </c>
      <c r="T2561" t="n">
        <v>49</v>
      </c>
      <c r="V2561" t="inlineStr">
        <is>
          <t>FR</t>
        </is>
      </c>
      <c r="W2561" t="n">
        <v>86090090</v>
      </c>
    </row>
    <row r="2562">
      <c r="A2562" t="inlineStr">
        <is>
          <t>SK18</t>
        </is>
      </c>
      <c r="B2562" t="inlineStr">
        <is>
          <t>Skid Stabilizer 1240mm x 760mm M</t>
        </is>
      </c>
      <c r="C2562" t="n">
        <v>100</v>
      </c>
      <c r="D2562" s="62" t="n">
        <v>760</v>
      </c>
      <c r="E2562" t="n">
        <v>1240</v>
      </c>
      <c r="T2562" t="n">
        <v>50</v>
      </c>
      <c r="V2562" t="inlineStr">
        <is>
          <t>FR</t>
        </is>
      </c>
      <c r="W2562" t="n">
        <v>86090090</v>
      </c>
    </row>
    <row r="2563">
      <c r="A2563" t="inlineStr">
        <is>
          <t>SK19</t>
        </is>
      </c>
      <c r="B2563" t="inlineStr">
        <is>
          <t>Skid Stabilizer 1240mm x 760mm M</t>
        </is>
      </c>
      <c r="C2563" t="n">
        <v>100</v>
      </c>
      <c r="D2563" s="62" t="n">
        <v>760</v>
      </c>
      <c r="E2563" t="n">
        <v>1240</v>
      </c>
      <c r="T2563" t="n">
        <v>51</v>
      </c>
      <c r="V2563" t="inlineStr">
        <is>
          <t>FR</t>
        </is>
      </c>
      <c r="W2563" t="n">
        <v>86090090</v>
      </c>
    </row>
    <row r="2564">
      <c r="A2564" t="inlineStr">
        <is>
          <t>SK20</t>
        </is>
      </c>
      <c r="B2564" t="inlineStr">
        <is>
          <t>Skid Stabilizer 1240mm x 760mm M</t>
        </is>
      </c>
      <c r="C2564" t="n">
        <v>100</v>
      </c>
      <c r="D2564" s="62" t="n">
        <v>760</v>
      </c>
      <c r="E2564" t="n">
        <v>1240</v>
      </c>
      <c r="T2564" t="n">
        <v>52</v>
      </c>
      <c r="V2564" t="inlineStr">
        <is>
          <t>FR</t>
        </is>
      </c>
      <c r="W2564" t="n">
        <v>86090090</v>
      </c>
    </row>
    <row r="2565">
      <c r="A2565" t="inlineStr">
        <is>
          <t>SK21</t>
        </is>
      </c>
      <c r="B2565" t="inlineStr">
        <is>
          <t>Skid Stabilizer 1240mm x 760mm M</t>
        </is>
      </c>
      <c r="C2565" t="n">
        <v>100</v>
      </c>
      <c r="D2565" s="62" t="n">
        <v>760</v>
      </c>
      <c r="E2565" t="n">
        <v>1240</v>
      </c>
      <c r="T2565" t="n">
        <v>53</v>
      </c>
      <c r="V2565" t="inlineStr">
        <is>
          <t>FR</t>
        </is>
      </c>
      <c r="W2565" t="n">
        <v>86090090</v>
      </c>
    </row>
    <row r="2566">
      <c r="A2566" t="inlineStr">
        <is>
          <t>SK22</t>
        </is>
      </c>
      <c r="B2566" t="inlineStr">
        <is>
          <t>Skid Stabilizer 1240mm x 760mm M</t>
        </is>
      </c>
      <c r="C2566" t="n">
        <v>100</v>
      </c>
      <c r="D2566" s="62" t="n">
        <v>760</v>
      </c>
      <c r="E2566" t="n">
        <v>1240</v>
      </c>
      <c r="T2566" t="n">
        <v>54</v>
      </c>
      <c r="V2566" t="inlineStr">
        <is>
          <t>FR</t>
        </is>
      </c>
      <c r="W2566" t="n">
        <v>86090090</v>
      </c>
    </row>
    <row r="2567">
      <c r="A2567" t="inlineStr">
        <is>
          <t>SK23</t>
        </is>
      </c>
      <c r="B2567" t="inlineStr">
        <is>
          <t>Skid Stabilizer 1740mm x 760mm L</t>
        </is>
      </c>
      <c r="C2567" t="n">
        <v>120</v>
      </c>
      <c r="D2567" s="62" t="n">
        <v>760</v>
      </c>
      <c r="E2567" t="n">
        <v>1740</v>
      </c>
      <c r="T2567" t="n">
        <v>37</v>
      </c>
      <c r="V2567" t="inlineStr">
        <is>
          <t>FR</t>
        </is>
      </c>
      <c r="W2567" t="n">
        <v>86090090</v>
      </c>
    </row>
    <row r="2568">
      <c r="A2568" t="inlineStr">
        <is>
          <t>SK24</t>
        </is>
      </c>
      <c r="B2568" t="inlineStr">
        <is>
          <t>Skid Stabilizer 1740mm x 760mm L</t>
        </is>
      </c>
      <c r="C2568" t="n">
        <v>120</v>
      </c>
      <c r="D2568" s="62" t="n">
        <v>760</v>
      </c>
      <c r="E2568" t="n">
        <v>1740</v>
      </c>
      <c r="T2568" t="n">
        <v>38</v>
      </c>
      <c r="V2568" t="inlineStr">
        <is>
          <t>FR</t>
        </is>
      </c>
      <c r="W2568" t="n">
        <v>86090090</v>
      </c>
    </row>
    <row r="2569">
      <c r="A2569" t="n">
        <v>5082305</v>
      </c>
      <c r="B2569" t="inlineStr">
        <is>
          <t>Taper Mill 
1" AMMT Pin</t>
        </is>
      </c>
      <c r="C2569" t="n">
        <v>0</v>
      </c>
      <c r="D2569" s="62" t="n">
        <v>2.5</v>
      </c>
      <c r="E2569" t="n">
        <v>0</v>
      </c>
      <c r="T2569" t="n">
        <v>5</v>
      </c>
      <c r="V2569" t="inlineStr">
        <is>
          <t>FR</t>
        </is>
      </c>
    </row>
    <row r="2570">
      <c r="A2570" t="n">
        <v>8022306</v>
      </c>
      <c r="B2570" t="inlineStr">
        <is>
          <t>Bit Sub
1" AMMT Box x BQ Box</t>
        </is>
      </c>
      <c r="C2570" t="n">
        <v>5.004246291890626</v>
      </c>
      <c r="D2570" s="62" t="n">
        <v>2.1875</v>
      </c>
      <c r="E2570" t="n">
        <v>300</v>
      </c>
      <c r="T2570" t="n">
        <v>5</v>
      </c>
      <c r="V2570" t="inlineStr">
        <is>
          <t>FR</t>
        </is>
      </c>
    </row>
    <row r="2571">
      <c r="A2571" t="n">
        <v>5072307</v>
      </c>
      <c r="B2571" t="inlineStr">
        <is>
          <t>Super Junk Mill 
6-5/8" REG Pin</t>
        </is>
      </c>
      <c r="C2571" t="n">
        <v>287</v>
      </c>
      <c r="D2571" s="62" t="n">
        <v>10.75</v>
      </c>
      <c r="E2571" t="n">
        <v>1070</v>
      </c>
      <c r="T2571" t="n">
        <v>76</v>
      </c>
      <c r="V2571" t="inlineStr">
        <is>
          <t>FR</t>
        </is>
      </c>
    </row>
    <row r="2572">
      <c r="A2572" t="n">
        <v>5072308</v>
      </c>
      <c r="B2572" t="inlineStr">
        <is>
          <t>Super Junk Mill 
6-5/8" REG Pin</t>
        </is>
      </c>
      <c r="C2572" t="n">
        <v>270</v>
      </c>
      <c r="D2572" s="62" t="n">
        <v>10.75</v>
      </c>
      <c r="E2572" t="n">
        <v>1070</v>
      </c>
      <c r="T2572" t="n">
        <v>77</v>
      </c>
      <c r="V2572" t="inlineStr">
        <is>
          <t>FR</t>
        </is>
      </c>
    </row>
    <row r="2573">
      <c r="A2573" t="n">
        <v>8082309</v>
      </c>
      <c r="B2573" t="inlineStr">
        <is>
          <t xml:space="preserve">Flex Collar 3-1/8" OD for DJ FH
2-3/8" REG Pin x Box
Set on : </t>
        </is>
      </c>
      <c r="C2573" t="n">
        <v>0</v>
      </c>
      <c r="D2573" s="62" t="n">
        <v>3.125</v>
      </c>
      <c r="E2573" t="n">
        <v>0</v>
      </c>
      <c r="T2573" t="n">
        <v>11</v>
      </c>
      <c r="V2573" t="inlineStr">
        <is>
          <t>CH</t>
        </is>
      </c>
    </row>
    <row r="2574">
      <c r="A2574" t="n">
        <v>8082310</v>
      </c>
      <c r="B2574" t="inlineStr">
        <is>
          <t xml:space="preserve">Flex Collar 3-1/8" OD for DJ FH
2-3/8" REG Pin x Box
Set on : </t>
        </is>
      </c>
      <c r="C2574" t="n">
        <v>0</v>
      </c>
      <c r="D2574" s="62" t="n">
        <v>3.125</v>
      </c>
      <c r="E2574" t="n">
        <v>0</v>
      </c>
      <c r="T2574" t="n">
        <v>12</v>
      </c>
      <c r="V2574" t="inlineStr">
        <is>
          <t>CH</t>
        </is>
      </c>
    </row>
    <row r="2575">
      <c r="A2575" t="n">
        <v>8082311</v>
      </c>
      <c r="B2575" t="inlineStr">
        <is>
          <t xml:space="preserve">Flex Collar 3-1/8" OD for DJ FH
2-3/8" REG Pin x Box
Set on : </t>
        </is>
      </c>
      <c r="C2575" t="n">
        <v>0</v>
      </c>
      <c r="D2575" s="62" t="n">
        <v>3.125</v>
      </c>
      <c r="E2575" t="n">
        <v>0</v>
      </c>
      <c r="T2575" t="n">
        <v>13</v>
      </c>
      <c r="V2575" t="inlineStr">
        <is>
          <t>CH</t>
        </is>
      </c>
    </row>
    <row r="2576">
      <c r="A2576" t="n">
        <v>8082312</v>
      </c>
      <c r="B2576" t="inlineStr">
        <is>
          <t xml:space="preserve">Flex Collar 3-1/8" OD for DJ FH
2-3/8" REG Pin x Box
Set on : </t>
        </is>
      </c>
      <c r="C2576" t="n">
        <v>0</v>
      </c>
      <c r="D2576" s="62" t="n">
        <v>3.125</v>
      </c>
      <c r="E2576" t="n">
        <v>0</v>
      </c>
      <c r="T2576" t="n">
        <v>14</v>
      </c>
      <c r="V2576" t="inlineStr">
        <is>
          <t>CH</t>
        </is>
      </c>
    </row>
    <row r="2577">
      <c r="A2577" t="n">
        <v>8082313</v>
      </c>
      <c r="B2577" t="inlineStr">
        <is>
          <t xml:space="preserve">Saver Sub 3-1/8" OD for DJ
2-3/8" REG Pin x Box
Set on : </t>
        </is>
      </c>
      <c r="C2577" t="n">
        <v>0</v>
      </c>
      <c r="D2577" s="62" t="n">
        <v>3.125</v>
      </c>
      <c r="E2577" t="n">
        <v>0</v>
      </c>
      <c r="T2577" t="n">
        <v>15</v>
      </c>
      <c r="V2577" t="inlineStr">
        <is>
          <t>CH</t>
        </is>
      </c>
    </row>
    <row r="2578">
      <c r="A2578" t="n">
        <v>8082314</v>
      </c>
      <c r="B2578" t="inlineStr">
        <is>
          <t xml:space="preserve">Saver Sub 3-1/8" OD for DJ
2-3/8" REG Pin x Box
Set on : </t>
        </is>
      </c>
      <c r="C2578" t="n">
        <v>0</v>
      </c>
      <c r="D2578" s="62" t="n">
        <v>3.125</v>
      </c>
      <c r="E2578" t="n">
        <v>0</v>
      </c>
      <c r="T2578" t="n">
        <v>16</v>
      </c>
      <c r="V2578" t="inlineStr">
        <is>
          <t>CH</t>
        </is>
      </c>
    </row>
    <row r="2579">
      <c r="A2579" t="n">
        <v>8082315</v>
      </c>
      <c r="B2579" t="inlineStr">
        <is>
          <t xml:space="preserve">Saver Sub 3-1/8" OD for DJ
2-3/8" REG Pin x Box
Set on : </t>
        </is>
      </c>
      <c r="C2579" t="n">
        <v>0</v>
      </c>
      <c r="D2579" s="62" t="n">
        <v>3.125</v>
      </c>
      <c r="E2579" t="n">
        <v>0</v>
      </c>
      <c r="T2579" t="n">
        <v>17</v>
      </c>
      <c r="V2579" t="inlineStr">
        <is>
          <t>CH</t>
        </is>
      </c>
    </row>
    <row r="2580">
      <c r="A2580" t="n">
        <v>8082316</v>
      </c>
      <c r="B2580" t="inlineStr">
        <is>
          <t xml:space="preserve">Saver Sub 3-1/8" OD for DJ
2-3/8" REG Pin x Box
Set on : </t>
        </is>
      </c>
      <c r="C2580" t="n">
        <v>0</v>
      </c>
      <c r="D2580" s="62" t="n">
        <v>3.125</v>
      </c>
      <c r="E2580" t="n">
        <v>0</v>
      </c>
      <c r="T2580" t="n">
        <v>18</v>
      </c>
      <c r="V2580" t="inlineStr">
        <is>
          <t>CH</t>
        </is>
      </c>
    </row>
    <row r="2581">
      <c r="A2581" t="n">
        <v>8082317</v>
      </c>
      <c r="B2581" t="inlineStr">
        <is>
          <t xml:space="preserve">Flex Collar 4-3/4" OD for DJ FH
3-1/2" IF Pin x Box
Set on : </t>
        </is>
      </c>
      <c r="C2581" t="n">
        <v>0</v>
      </c>
      <c r="D2581" s="62" t="n">
        <v>4.75</v>
      </c>
      <c r="E2581" t="n">
        <v>0</v>
      </c>
      <c r="T2581" t="n">
        <v>29</v>
      </c>
      <c r="V2581" t="inlineStr">
        <is>
          <t>CH</t>
        </is>
      </c>
    </row>
    <row r="2582">
      <c r="A2582" t="n">
        <v>8082318</v>
      </c>
      <c r="B2582" t="inlineStr">
        <is>
          <t xml:space="preserve">Flex Collar 4-3/4" OD for DJ FH
3-1/2" IF Pin x Box
Set on : </t>
        </is>
      </c>
      <c r="C2582" t="n">
        <v>0</v>
      </c>
      <c r="D2582" s="62" t="n">
        <v>4.75</v>
      </c>
      <c r="E2582" t="n">
        <v>0</v>
      </c>
      <c r="T2582" t="n">
        <v>30</v>
      </c>
      <c r="V2582" t="inlineStr">
        <is>
          <t>CH</t>
        </is>
      </c>
    </row>
    <row r="2583">
      <c r="A2583" t="n">
        <v>8082319</v>
      </c>
      <c r="B2583" t="inlineStr">
        <is>
          <t xml:space="preserve">Flex Collar 6-3/4" OD for DJ FH
4-1/2" IF Pin x Box
Set on : </t>
        </is>
      </c>
      <c r="C2583" t="n">
        <v>0</v>
      </c>
      <c r="D2583" s="62" t="n">
        <v>6.75</v>
      </c>
      <c r="E2583" t="n">
        <v>0</v>
      </c>
      <c r="T2583" t="n">
        <v>54</v>
      </c>
      <c r="V2583" t="inlineStr">
        <is>
          <t>CH</t>
        </is>
      </c>
    </row>
    <row r="2584">
      <c r="A2584" t="n">
        <v>8082320</v>
      </c>
      <c r="B2584" t="inlineStr">
        <is>
          <t xml:space="preserve">Flex Collar 6-3/4" OD for DJ FH
4-1/2" IF Pin x Box
Set on : </t>
        </is>
      </c>
      <c r="C2584" t="n">
        <v>0</v>
      </c>
      <c r="D2584" s="62" t="n">
        <v>6.75</v>
      </c>
      <c r="E2584" t="n">
        <v>0</v>
      </c>
      <c r="T2584" t="n">
        <v>55</v>
      </c>
      <c r="V2584" t="inlineStr">
        <is>
          <t>CH</t>
        </is>
      </c>
    </row>
    <row r="2585">
      <c r="A2585" t="n">
        <v>8082321</v>
      </c>
      <c r="B2585" t="inlineStr">
        <is>
          <t xml:space="preserve">Flex Collar 6-3/4" OD for DJ FH
4-1/2" IF Pin x Box
Set on : </t>
        </is>
      </c>
      <c r="C2585" t="n">
        <v>0</v>
      </c>
      <c r="D2585" s="62" t="n">
        <v>6.75</v>
      </c>
      <c r="E2585" t="n">
        <v>0</v>
      </c>
      <c r="T2585" t="n">
        <v>56</v>
      </c>
      <c r="V2585" t="inlineStr">
        <is>
          <t>CH</t>
        </is>
      </c>
    </row>
    <row r="2586">
      <c r="A2586" t="n">
        <v>8082322</v>
      </c>
      <c r="B2586" t="inlineStr">
        <is>
          <t xml:space="preserve">Flex Collar 6-3/4" OD for DJ FH
4-1/2" IF Pin x Box
Set on : </t>
        </is>
      </c>
      <c r="C2586" t="n">
        <v>0</v>
      </c>
      <c r="D2586" s="62" t="n">
        <v>6.75</v>
      </c>
      <c r="E2586" t="n">
        <v>0</v>
      </c>
      <c r="T2586" t="n">
        <v>57</v>
      </c>
      <c r="V2586" t="inlineStr">
        <is>
          <t>CH</t>
        </is>
      </c>
    </row>
    <row r="2587">
      <c r="A2587" t="n">
        <v>8082323</v>
      </c>
      <c r="B2587" t="inlineStr">
        <is>
          <t>Flex Collar 6-3/4" OD for DJ FH
4-1/2" IF Pin x Box</t>
        </is>
      </c>
      <c r="C2587" t="n">
        <v>0</v>
      </c>
      <c r="D2587" s="62" t="n">
        <v>6.75</v>
      </c>
      <c r="E2587" t="n">
        <v>0</v>
      </c>
      <c r="T2587" t="n">
        <v>58</v>
      </c>
      <c r="V2587" t="inlineStr">
        <is>
          <t>CH</t>
        </is>
      </c>
    </row>
    <row r="2588">
      <c r="A2588" t="n">
        <v>8082324</v>
      </c>
      <c r="B2588" t="inlineStr">
        <is>
          <t xml:space="preserve">Flex Collar 6-3/4" OD for DJ FH
4-1/2" IF Pin x Box
Set on : </t>
        </is>
      </c>
      <c r="C2588" t="n">
        <v>0</v>
      </c>
      <c r="D2588" s="62" t="n">
        <v>6.75</v>
      </c>
      <c r="E2588" t="n">
        <v>0</v>
      </c>
      <c r="T2588" t="n">
        <v>59</v>
      </c>
      <c r="V2588" t="inlineStr">
        <is>
          <t>CH</t>
        </is>
      </c>
    </row>
    <row r="2589">
      <c r="A2589" t="n">
        <v>8082325</v>
      </c>
      <c r="B2589" t="inlineStr">
        <is>
          <t xml:space="preserve">Saver Sub 6-3/4" OD for DJ
4-1/2" IF Pin x Box
Set on : </t>
        </is>
      </c>
      <c r="C2589" t="n">
        <v>0</v>
      </c>
      <c r="D2589" s="62" t="n">
        <v>6.75</v>
      </c>
      <c r="E2589" t="n">
        <v>0</v>
      </c>
      <c r="T2589" t="n">
        <v>60</v>
      </c>
      <c r="V2589" t="inlineStr">
        <is>
          <t>CH</t>
        </is>
      </c>
    </row>
    <row r="2590">
      <c r="A2590" t="n">
        <v>8082326</v>
      </c>
      <c r="B2590" t="inlineStr">
        <is>
          <t xml:space="preserve">Saver Sub 6-3/4" OD for DJ
4-1/2" IF Pin x Box
Set on : </t>
        </is>
      </c>
      <c r="C2590" t="n">
        <v>0</v>
      </c>
      <c r="D2590" s="62" t="n">
        <v>6.75</v>
      </c>
      <c r="E2590" t="n">
        <v>0</v>
      </c>
      <c r="T2590" t="n">
        <v>61</v>
      </c>
      <c r="V2590" t="inlineStr">
        <is>
          <t>CH</t>
        </is>
      </c>
    </row>
    <row r="2591">
      <c r="A2591" t="n">
        <v>8082327</v>
      </c>
      <c r="B2591" t="inlineStr">
        <is>
          <t xml:space="preserve">Saver Sub 6-3/4" OD for DJ
4-1/2" IF Pin x Box
Set on : </t>
        </is>
      </c>
      <c r="C2591" t="n">
        <v>0</v>
      </c>
      <c r="D2591" s="62" t="n">
        <v>6.75</v>
      </c>
      <c r="E2591" t="n">
        <v>0</v>
      </c>
      <c r="T2591" t="n">
        <v>62</v>
      </c>
      <c r="V2591" t="inlineStr">
        <is>
          <t>CH</t>
        </is>
      </c>
    </row>
    <row r="2592">
      <c r="A2592" t="n">
        <v>8082328</v>
      </c>
      <c r="B2592" t="inlineStr">
        <is>
          <t xml:space="preserve">Saver Sub 6-3/4" OD for DJ
4-1/2" IF Pin x Box
Set on : </t>
        </is>
      </c>
      <c r="C2592" t="n">
        <v>0</v>
      </c>
      <c r="D2592" s="62" t="n">
        <v>6.75</v>
      </c>
      <c r="E2592" t="n">
        <v>0</v>
      </c>
      <c r="T2592" t="n">
        <v>63</v>
      </c>
      <c r="V2592" t="inlineStr">
        <is>
          <t>CH</t>
        </is>
      </c>
    </row>
    <row r="2593">
      <c r="A2593" t="n">
        <v>8082329</v>
      </c>
      <c r="B2593" t="inlineStr">
        <is>
          <t xml:space="preserve">Flex Collar 8" OD for DJ HM
6-5/8" REG Pin x Box
Set on : </t>
        </is>
      </c>
      <c r="C2593" t="n">
        <v>0</v>
      </c>
      <c r="D2593" s="62" t="n">
        <v>8</v>
      </c>
      <c r="E2593" t="n">
        <v>0</v>
      </c>
      <c r="T2593" t="n">
        <v>92</v>
      </c>
      <c r="V2593" t="inlineStr">
        <is>
          <t>CH</t>
        </is>
      </c>
    </row>
    <row r="2594">
      <c r="A2594" t="n">
        <v>8082330</v>
      </c>
      <c r="B2594" t="inlineStr">
        <is>
          <t xml:space="preserve">Flex Collar 8" OD for DJ HM
6-5/8" REG Pin x Box
Set on : </t>
        </is>
      </c>
      <c r="C2594" t="n">
        <v>0</v>
      </c>
      <c r="D2594" s="62" t="n">
        <v>8</v>
      </c>
      <c r="E2594" t="n">
        <v>0</v>
      </c>
      <c r="T2594" t="n">
        <v>93</v>
      </c>
      <c r="V2594" t="inlineStr">
        <is>
          <t>CH</t>
        </is>
      </c>
    </row>
    <row r="2595">
      <c r="A2595" t="n">
        <v>8082331</v>
      </c>
      <c r="B2595" t="inlineStr">
        <is>
          <t xml:space="preserve">Flex Collar 8" OD for DJ FH
6-5/8" REG Pin x Box
Set on : </t>
        </is>
      </c>
      <c r="C2595" t="n">
        <v>0</v>
      </c>
      <c r="D2595" s="62" t="n">
        <v>8</v>
      </c>
      <c r="E2595" t="n">
        <v>0</v>
      </c>
      <c r="T2595" t="n">
        <v>94</v>
      </c>
      <c r="V2595" t="inlineStr">
        <is>
          <t>CH</t>
        </is>
      </c>
    </row>
    <row r="2596">
      <c r="A2596" t="inlineStr">
        <is>
          <t>4062332</t>
        </is>
      </c>
      <c r="D2596" s="62" t="n"/>
      <c r="V2596" t="inlineStr">
        <is>
          <t>UAE</t>
        </is>
      </c>
    </row>
    <row r="2597">
      <c r="A2597" t="inlineStr">
        <is>
          <t>4062333</t>
        </is>
      </c>
      <c r="D2597" s="62" t="n"/>
      <c r="V2597" t="inlineStr">
        <is>
          <t>UAE</t>
        </is>
      </c>
    </row>
    <row r="2598">
      <c r="A2598" t="inlineStr">
        <is>
          <t>6012334</t>
        </is>
      </c>
      <c r="D2598" s="62" t="n"/>
      <c r="V2598" t="inlineStr">
        <is>
          <t>UAE</t>
        </is>
      </c>
    </row>
    <row r="2599">
      <c r="A2599" t="inlineStr">
        <is>
          <t>6012335</t>
        </is>
      </c>
      <c r="D2599" s="62" t="n"/>
      <c r="V2599" t="inlineStr">
        <is>
          <t>UAE</t>
        </is>
      </c>
    </row>
    <row r="2600">
      <c r="A2600" t="inlineStr">
        <is>
          <t>6012336</t>
        </is>
      </c>
      <c r="D2600" s="62" t="n"/>
      <c r="V2600" t="inlineStr">
        <is>
          <t>UAE</t>
        </is>
      </c>
    </row>
    <row r="2601">
      <c r="A2601" t="inlineStr">
        <is>
          <t>6012337</t>
        </is>
      </c>
      <c r="D2601" s="62" t="n"/>
      <c r="V2601" t="inlineStr">
        <is>
          <t>UAE</t>
        </is>
      </c>
    </row>
    <row r="2602">
      <c r="A2602" t="inlineStr">
        <is>
          <t>6012338</t>
        </is>
      </c>
      <c r="D2602" s="62" t="n"/>
      <c r="V2602" t="inlineStr">
        <is>
          <t>UAE</t>
        </is>
      </c>
    </row>
    <row r="2603">
      <c r="A2603" t="inlineStr">
        <is>
          <t>6012339</t>
        </is>
      </c>
      <c r="D2603" s="62" t="n"/>
      <c r="V2603" t="inlineStr">
        <is>
          <t>UAE</t>
        </is>
      </c>
    </row>
    <row r="2604">
      <c r="A2604" t="inlineStr">
        <is>
          <t>6012340</t>
        </is>
      </c>
      <c r="D2604" s="62" t="n"/>
      <c r="V2604" t="inlineStr">
        <is>
          <t>UAE</t>
        </is>
      </c>
    </row>
    <row r="2605">
      <c r="A2605" t="inlineStr">
        <is>
          <t>6012341</t>
        </is>
      </c>
      <c r="D2605" s="62" t="n"/>
      <c r="V2605" t="inlineStr">
        <is>
          <t>UAE</t>
        </is>
      </c>
    </row>
    <row r="2606">
      <c r="A2606" t="inlineStr">
        <is>
          <t>6012342</t>
        </is>
      </c>
      <c r="D2606" s="62" t="n"/>
      <c r="V2606" t="inlineStr">
        <is>
          <t>UAE</t>
        </is>
      </c>
    </row>
    <row r="2607">
      <c r="A2607" t="inlineStr">
        <is>
          <t>6012343</t>
        </is>
      </c>
      <c r="D2607" s="62" t="n"/>
      <c r="V2607" t="inlineStr">
        <is>
          <t>UAE</t>
        </is>
      </c>
    </row>
    <row r="2608">
      <c r="A2608" t="inlineStr">
        <is>
          <t>4012344</t>
        </is>
      </c>
      <c r="C2608" t="e">
        <v>#N/A</v>
      </c>
      <c r="D2608" s="62" t="e">
        <v>#N/A</v>
      </c>
      <c r="E2608" t="e">
        <v>#N/A</v>
      </c>
      <c r="T2608" t="e">
        <v>#N/A</v>
      </c>
      <c r="V2608" t="inlineStr">
        <is>
          <t>UAE</t>
        </is>
      </c>
    </row>
    <row r="2609">
      <c r="A2609" t="inlineStr">
        <is>
          <t>4012345</t>
        </is>
      </c>
      <c r="C2609" t="e">
        <v>#N/A</v>
      </c>
      <c r="D2609" s="62" t="e">
        <v>#N/A</v>
      </c>
      <c r="E2609" t="e">
        <v>#N/A</v>
      </c>
      <c r="T2609" t="e">
        <v>#N/A</v>
      </c>
      <c r="V2609" t="inlineStr">
        <is>
          <t>UAE</t>
        </is>
      </c>
    </row>
    <row r="2610">
      <c r="A2610" t="inlineStr">
        <is>
          <t>4012346</t>
        </is>
      </c>
      <c r="C2610" t="e">
        <v>#N/A</v>
      </c>
      <c r="D2610" s="62" t="e">
        <v>#N/A</v>
      </c>
      <c r="E2610" t="e">
        <v>#N/A</v>
      </c>
      <c r="T2610" t="e">
        <v>#N/A</v>
      </c>
      <c r="V2610" t="inlineStr">
        <is>
          <t>UAE</t>
        </is>
      </c>
    </row>
    <row r="2611">
      <c r="A2611" t="inlineStr">
        <is>
          <t>4012347</t>
        </is>
      </c>
      <c r="C2611" t="e">
        <v>#N/A</v>
      </c>
      <c r="D2611" s="62" t="e">
        <v>#N/A</v>
      </c>
      <c r="E2611" t="e">
        <v>#N/A</v>
      </c>
      <c r="T2611" t="e">
        <v>#N/A</v>
      </c>
      <c r="V2611" t="inlineStr">
        <is>
          <t>UAE</t>
        </is>
      </c>
    </row>
    <row r="2612">
      <c r="A2612" t="inlineStr">
        <is>
          <t>4012348</t>
        </is>
      </c>
      <c r="C2612" t="e">
        <v>#N/A</v>
      </c>
      <c r="D2612" s="62" t="e">
        <v>#N/A</v>
      </c>
      <c r="E2612" t="e">
        <v>#N/A</v>
      </c>
      <c r="T2612" t="e">
        <v>#N/A</v>
      </c>
      <c r="V2612" t="inlineStr">
        <is>
          <t>UAE</t>
        </is>
      </c>
    </row>
    <row r="2613">
      <c r="A2613" t="inlineStr">
        <is>
          <t>4012349</t>
        </is>
      </c>
      <c r="C2613" t="e">
        <v>#N/A</v>
      </c>
      <c r="D2613" s="62" t="e">
        <v>#N/A</v>
      </c>
      <c r="E2613" t="e">
        <v>#N/A</v>
      </c>
      <c r="T2613" t="e">
        <v>#N/A</v>
      </c>
      <c r="V2613" t="inlineStr">
        <is>
          <t>UAE</t>
        </is>
      </c>
    </row>
    <row r="2614">
      <c r="A2614" t="inlineStr">
        <is>
          <t>4012350</t>
        </is>
      </c>
      <c r="C2614" t="e">
        <v>#N/A</v>
      </c>
      <c r="D2614" s="62" t="e">
        <v>#N/A</v>
      </c>
      <c r="E2614" t="e">
        <v>#N/A</v>
      </c>
      <c r="T2614" t="e">
        <v>#N/A</v>
      </c>
      <c r="V2614" t="inlineStr">
        <is>
          <t>UAE</t>
        </is>
      </c>
    </row>
    <row r="2615">
      <c r="A2615" t="inlineStr">
        <is>
          <t>4012351</t>
        </is>
      </c>
      <c r="C2615" t="e">
        <v>#N/A</v>
      </c>
      <c r="D2615" s="62" t="e">
        <v>#N/A</v>
      </c>
      <c r="E2615" t="e">
        <v>#N/A</v>
      </c>
      <c r="T2615" t="e">
        <v>#N/A</v>
      </c>
      <c r="V2615" t="inlineStr">
        <is>
          <t>UAE</t>
        </is>
      </c>
    </row>
    <row r="2616">
      <c r="A2616" t="inlineStr">
        <is>
          <t>4012352</t>
        </is>
      </c>
      <c r="C2616" t="e">
        <v>#N/A</v>
      </c>
      <c r="D2616" s="62" t="e">
        <v>#N/A</v>
      </c>
      <c r="E2616" t="e">
        <v>#N/A</v>
      </c>
      <c r="T2616" t="e">
        <v>#N/A</v>
      </c>
      <c r="V2616" t="inlineStr">
        <is>
          <t>UAE</t>
        </is>
      </c>
    </row>
    <row r="2617">
      <c r="A2617" t="inlineStr">
        <is>
          <t>4012353</t>
        </is>
      </c>
      <c r="C2617" t="e">
        <v>#N/A</v>
      </c>
      <c r="D2617" s="62" t="e">
        <v>#N/A</v>
      </c>
      <c r="E2617" t="e">
        <v>#N/A</v>
      </c>
      <c r="T2617" t="e">
        <v>#N/A</v>
      </c>
      <c r="V2617" t="inlineStr">
        <is>
          <t>UAE</t>
        </is>
      </c>
    </row>
    <row r="2618">
      <c r="A2618" t="inlineStr">
        <is>
          <t>4012354</t>
        </is>
      </c>
      <c r="C2618" t="e">
        <v>#N/A</v>
      </c>
      <c r="D2618" s="62" t="e">
        <v>#N/A</v>
      </c>
      <c r="E2618" t="e">
        <v>#N/A</v>
      </c>
      <c r="T2618" t="e">
        <v>#N/A</v>
      </c>
      <c r="V2618" t="inlineStr">
        <is>
          <t>UAE</t>
        </is>
      </c>
    </row>
    <row r="2619">
      <c r="A2619" t="inlineStr">
        <is>
          <t>4012355</t>
        </is>
      </c>
      <c r="C2619" t="e">
        <v>#N/A</v>
      </c>
      <c r="D2619" s="62" t="e">
        <v>#N/A</v>
      </c>
      <c r="E2619" t="e">
        <v>#N/A</v>
      </c>
      <c r="T2619" t="e">
        <v>#N/A</v>
      </c>
      <c r="V2619" t="inlineStr">
        <is>
          <t>UAE</t>
        </is>
      </c>
    </row>
    <row r="2620">
      <c r="A2620" t="inlineStr">
        <is>
          <t>4012356</t>
        </is>
      </c>
      <c r="C2620" t="e">
        <v>#N/A</v>
      </c>
      <c r="D2620" s="62" t="e">
        <v>#N/A</v>
      </c>
      <c r="E2620" t="e">
        <v>#N/A</v>
      </c>
      <c r="T2620" t="e">
        <v>#N/A</v>
      </c>
      <c r="V2620" t="inlineStr">
        <is>
          <t>UAE</t>
        </is>
      </c>
    </row>
    <row r="2621">
      <c r="A2621" t="n">
        <v>1032357</v>
      </c>
      <c r="B2621" t="inlineStr">
        <is>
          <t>Casing Scraper 7-1/4" OD Body
4-1/2" REG Pin x 4-1/2" REG Box</t>
        </is>
      </c>
      <c r="C2621" t="n">
        <v>0</v>
      </c>
      <c r="D2621" s="62" t="n">
        <v>7.875</v>
      </c>
      <c r="E2621" t="n">
        <v>1700</v>
      </c>
      <c r="T2621" t="n">
        <v>14</v>
      </c>
      <c r="V2621" t="inlineStr">
        <is>
          <t>FR</t>
        </is>
      </c>
    </row>
    <row r="2622">
      <c r="A2622" t="n">
        <v>1032358</v>
      </c>
      <c r="B2622" t="inlineStr">
        <is>
          <t>Casing Scraper 5-1/4" OD Body
3-1/2" REG Pin x 3-1/2" REG Box</t>
        </is>
      </c>
      <c r="C2622" t="n">
        <v>0</v>
      </c>
      <c r="D2622" s="62" t="n">
        <v>5.25</v>
      </c>
      <c r="E2622" t="n">
        <v>1915</v>
      </c>
      <c r="T2622" t="n">
        <v>13</v>
      </c>
      <c r="V2622" t="inlineStr">
        <is>
          <t>FR</t>
        </is>
      </c>
    </row>
    <row r="2623">
      <c r="A2623" t="n">
        <v>1032359</v>
      </c>
      <c r="B2623" t="inlineStr">
        <is>
          <t>Casing Scraper 5-1/4" OD Body
3-1/2" REG Pin x 3-1/2" REG Box</t>
        </is>
      </c>
      <c r="C2623" t="n">
        <v>0</v>
      </c>
      <c r="D2623" s="62" t="n">
        <v>5.25</v>
      </c>
      <c r="E2623" t="n">
        <v>0</v>
      </c>
      <c r="T2623" t="n">
        <v>12</v>
      </c>
      <c r="V2623" t="inlineStr">
        <is>
          <t>US</t>
        </is>
      </c>
    </row>
    <row r="2624">
      <c r="A2624" t="n">
        <v>8132360</v>
      </c>
      <c r="B2624" t="inlineStr">
        <is>
          <t>XO
6-5/8" FH Pin x 6-5/8" REG Box</t>
        </is>
      </c>
      <c r="C2624" t="n">
        <v>0</v>
      </c>
      <c r="D2624" s="62" t="n">
        <v>0</v>
      </c>
      <c r="E2624" t="n">
        <v>0</v>
      </c>
      <c r="T2624" t="n">
        <v>201</v>
      </c>
      <c r="V2624" t="inlineStr">
        <is>
          <t>FR</t>
        </is>
      </c>
    </row>
    <row r="2625">
      <c r="A2625" t="n">
        <v>1032361</v>
      </c>
      <c r="B2625" t="inlineStr">
        <is>
          <t>Casing Scraper 7-1/4" OD Body
4-1/2" REG Pin x 4-1/2" REG Box</t>
        </is>
      </c>
      <c r="C2625" t="n">
        <v>0</v>
      </c>
      <c r="D2625" s="62" t="n">
        <v>7.25</v>
      </c>
      <c r="E2625" t="n">
        <v>0</v>
      </c>
      <c r="T2625" t="n">
        <v>15</v>
      </c>
      <c r="V2625" t="inlineStr">
        <is>
          <t>UAE</t>
        </is>
      </c>
    </row>
    <row r="2626">
      <c r="A2626" t="n">
        <v>8112362</v>
      </c>
      <c r="B2626" t="inlineStr">
        <is>
          <t>String Stab
7-5/8" REG Pin x 7-5/8" REG Box</t>
        </is>
      </c>
      <c r="C2626" t="n">
        <v>766</v>
      </c>
      <c r="D2626" s="62" t="n">
        <v>14.9375</v>
      </c>
      <c r="E2626" t="n">
        <v>1860</v>
      </c>
      <c r="T2626" t="n">
        <v>84</v>
      </c>
    </row>
    <row r="2627">
      <c r="A2627" t="n">
        <v>2032363</v>
      </c>
      <c r="B2627" t="inlineStr">
        <is>
          <t>Pipe Cutter 8200s
6-5/8" REG Box up x Box down</t>
        </is>
      </c>
      <c r="C2627" t="n">
        <v>0</v>
      </c>
      <c r="D2627" s="62" t="n">
        <v>8200</v>
      </c>
      <c r="E2627" t="n">
        <v>710</v>
      </c>
      <c r="T2627" t="n">
        <v>13</v>
      </c>
      <c r="V2627" t="inlineStr">
        <is>
          <t>FR</t>
        </is>
      </c>
    </row>
    <row r="2628">
      <c r="A2628" t="n">
        <v>3052364</v>
      </c>
      <c r="B2628" t="inlineStr">
        <is>
          <t>SPR8200
4-1/2" IF Box up x 4-1/2" IF Pin down</t>
        </is>
      </c>
      <c r="C2628" t="n">
        <v>0</v>
      </c>
      <c r="D2628" s="62" t="inlineStr">
        <is>
          <t>SPR8200</t>
        </is>
      </c>
      <c r="E2628" t="n">
        <v>0</v>
      </c>
      <c r="T2628" t="n">
        <v>13</v>
      </c>
      <c r="V2628" t="inlineStr">
        <is>
          <t>UAE</t>
        </is>
      </c>
    </row>
    <row r="2629">
      <c r="A2629" t="n">
        <v>5062373</v>
      </c>
      <c r="B2629" t="inlineStr">
        <is>
          <t>String Mill 6 OD 
3-1/2" REG Box x 3-1/2" REG Pin</t>
        </is>
      </c>
      <c r="C2629" t="n">
        <v>0</v>
      </c>
      <c r="D2629" s="62" t="n">
        <v>6</v>
      </c>
      <c r="E2629" t="n">
        <v>1400</v>
      </c>
      <c r="T2629" t="n">
        <v>14</v>
      </c>
      <c r="V2629" t="inlineStr">
        <is>
          <t>FR</t>
        </is>
      </c>
    </row>
    <row r="2630">
      <c r="A2630" t="n">
        <v>4022374</v>
      </c>
      <c r="B2630" t="inlineStr">
        <is>
          <t xml:space="preserve">Bumper Sub 8" OD
6-5/8" REG Pin down x Box up </t>
        </is>
      </c>
      <c r="C2630" t="n">
        <v>277</v>
      </c>
      <c r="D2630" s="62" t="n">
        <v>8</v>
      </c>
      <c r="E2630" t="n">
        <v>1570</v>
      </c>
      <c r="T2630" t="n">
        <v>26</v>
      </c>
    </row>
    <row r="2631">
      <c r="A2631" t="n">
        <v>4022375</v>
      </c>
      <c r="B2631" t="inlineStr">
        <is>
          <t xml:space="preserve">Bumper Sub 6-1/4" OD
4-1/2" IF Pin down x Box up </t>
        </is>
      </c>
      <c r="C2631" t="n">
        <v>157</v>
      </c>
      <c r="D2631" s="62" t="n">
        <v>6.25</v>
      </c>
      <c r="E2631" t="n">
        <v>1515</v>
      </c>
      <c r="T2631" t="n">
        <v>19</v>
      </c>
    </row>
    <row r="2632">
      <c r="A2632" t="n">
        <v>8082376</v>
      </c>
      <c r="B2632" t="inlineStr">
        <is>
          <t xml:space="preserve">Saver Sub 4-3/4" OD for DJ
3-1/2" IF Pin x Box
Set on : </t>
        </is>
      </c>
      <c r="C2632" t="n">
        <v>26.6152451565</v>
      </c>
      <c r="D2632" s="62" t="n">
        <v>4.75</v>
      </c>
      <c r="E2632" t="n">
        <v>385</v>
      </c>
      <c r="T2632" t="n">
        <v>38</v>
      </c>
      <c r="V2632" t="inlineStr">
        <is>
          <t>FR</t>
        </is>
      </c>
    </row>
    <row r="2633">
      <c r="A2633" t="inlineStr">
        <is>
          <t>SK25</t>
        </is>
      </c>
      <c r="B2633" t="inlineStr">
        <is>
          <t>Skid Stabilizer 945mm x 760mm DLR</t>
        </is>
      </c>
      <c r="C2633" t="n">
        <v>76</v>
      </c>
      <c r="D2633" s="62" t="n">
        <v>760</v>
      </c>
      <c r="E2633" t="n">
        <v>945</v>
      </c>
      <c r="T2633" t="n">
        <v>55</v>
      </c>
      <c r="V2633" t="inlineStr">
        <is>
          <t>FR</t>
        </is>
      </c>
      <c r="W2633" t="n">
        <v>86090090</v>
      </c>
    </row>
    <row r="2634">
      <c r="A2634" t="inlineStr">
        <is>
          <t>SK26</t>
        </is>
      </c>
      <c r="B2634" t="inlineStr">
        <is>
          <t>Skid Stabilizer 945mm x 760mm DLR</t>
        </is>
      </c>
      <c r="C2634" t="n">
        <v>76</v>
      </c>
      <c r="D2634" s="62" t="n">
        <v>760</v>
      </c>
      <c r="E2634" t="n">
        <v>945</v>
      </c>
      <c r="T2634" t="n">
        <v>56</v>
      </c>
      <c r="V2634" t="inlineStr">
        <is>
          <t>FR</t>
        </is>
      </c>
      <c r="W2634" t="n">
        <v>86090090</v>
      </c>
    </row>
    <row r="2635">
      <c r="A2635" t="n">
        <v>5022377</v>
      </c>
      <c r="B2635" t="inlineStr">
        <is>
          <t>Economill 
3-1/2" REG Pin</t>
        </is>
      </c>
      <c r="C2635" t="n">
        <v>0</v>
      </c>
      <c r="D2635" s="62" t="n">
        <v>5.921875</v>
      </c>
      <c r="E2635" t="n">
        <v>0</v>
      </c>
      <c r="T2635" t="n">
        <v>35</v>
      </c>
    </row>
    <row r="2636">
      <c r="A2636" t="n">
        <v>5022378</v>
      </c>
      <c r="B2636" t="inlineStr">
        <is>
          <t>Economill 
3-1/2" REG Pin</t>
        </is>
      </c>
      <c r="C2636" t="n">
        <v>0</v>
      </c>
      <c r="D2636" s="62" t="n">
        <v>5.921875</v>
      </c>
      <c r="E2636" t="n">
        <v>0</v>
      </c>
      <c r="T2636" t="n">
        <v>36</v>
      </c>
    </row>
    <row r="2637">
      <c r="A2637" t="n">
        <v>5022379</v>
      </c>
      <c r="B2637" t="inlineStr">
        <is>
          <t>Economill 
3-1/2" REG Pin</t>
        </is>
      </c>
      <c r="C2637" t="n">
        <v>0</v>
      </c>
      <c r="D2637" s="62" t="n">
        <v>5.921875</v>
      </c>
      <c r="E2637" t="n">
        <v>0</v>
      </c>
      <c r="T2637" t="n">
        <v>37</v>
      </c>
    </row>
    <row r="2638">
      <c r="A2638" t="n">
        <v>5022380</v>
      </c>
      <c r="B2638" t="inlineStr">
        <is>
          <t>Economill 
3-1/2" REG Pin</t>
        </is>
      </c>
      <c r="C2638" t="n">
        <v>0</v>
      </c>
      <c r="D2638" s="62" t="n">
        <v>5.921875</v>
      </c>
      <c r="E2638" t="n">
        <v>0</v>
      </c>
      <c r="T2638" t="n">
        <v>38</v>
      </c>
    </row>
    <row r="2639">
      <c r="A2639" t="n">
        <v>5022381</v>
      </c>
      <c r="B2639" t="inlineStr">
        <is>
          <t>Economill 
3-1/2" REG Pin</t>
        </is>
      </c>
      <c r="C2639" t="n">
        <v>0</v>
      </c>
      <c r="D2639" s="62" t="n">
        <v>5.921875</v>
      </c>
      <c r="E2639" t="n">
        <v>0</v>
      </c>
      <c r="T2639" t="n">
        <v>39</v>
      </c>
    </row>
    <row r="2640">
      <c r="A2640" t="n">
        <v>5022382</v>
      </c>
      <c r="B2640" t="inlineStr">
        <is>
          <t>Economill 
3-1/2" REG Pin</t>
        </is>
      </c>
      <c r="C2640" t="n">
        <v>0</v>
      </c>
      <c r="D2640" s="62" t="n">
        <v>5.921875</v>
      </c>
      <c r="E2640" t="n">
        <v>0</v>
      </c>
      <c r="T2640" t="n">
        <v>40</v>
      </c>
    </row>
    <row r="2641">
      <c r="A2641" t="n">
        <v>5022383</v>
      </c>
      <c r="B2641" t="inlineStr">
        <is>
          <t>Economill 
3-1/2" REG Pin</t>
        </is>
      </c>
      <c r="C2641" t="n">
        <v>0</v>
      </c>
      <c r="D2641" s="62" t="n">
        <v>6.0625</v>
      </c>
      <c r="E2641" t="n">
        <v>0</v>
      </c>
      <c r="T2641" t="n">
        <v>41</v>
      </c>
    </row>
    <row r="2642">
      <c r="A2642" t="n">
        <v>5022384</v>
      </c>
      <c r="B2642" t="inlineStr">
        <is>
          <t>Economill 
3-1/2" REG Pin</t>
        </is>
      </c>
      <c r="C2642" t="n">
        <v>0</v>
      </c>
      <c r="D2642" s="62" t="n">
        <v>6.0625</v>
      </c>
      <c r="E2642" t="n">
        <v>0</v>
      </c>
      <c r="T2642" t="n">
        <v>42</v>
      </c>
    </row>
    <row r="2643">
      <c r="A2643" t="n">
        <v>5032395</v>
      </c>
      <c r="B2643" t="inlineStr">
        <is>
          <t>Junk Mill 
blank</t>
        </is>
      </c>
      <c r="C2643" t="n">
        <v>0</v>
      </c>
      <c r="D2643" s="62" t="n">
        <v>4.25</v>
      </c>
      <c r="E2643" t="n">
        <v>0</v>
      </c>
      <c r="T2643" t="n">
        <v>10</v>
      </c>
    </row>
    <row r="2644">
      <c r="A2644" t="n">
        <v>5032396</v>
      </c>
      <c r="B2644" t="inlineStr">
        <is>
          <t>Junk Mill 
blank</t>
        </is>
      </c>
      <c r="C2644" t="n">
        <v>0</v>
      </c>
      <c r="D2644" s="62" t="n">
        <v>4.25</v>
      </c>
      <c r="E2644" t="n">
        <v>0</v>
      </c>
      <c r="T2644" t="n">
        <v>11</v>
      </c>
    </row>
    <row r="2645">
      <c r="A2645" t="n">
        <v>5032397</v>
      </c>
      <c r="B2645" t="inlineStr">
        <is>
          <t>Junk Mill 
blank</t>
        </is>
      </c>
      <c r="C2645" t="n">
        <v>0</v>
      </c>
      <c r="D2645" s="62" t="n">
        <v>4.25</v>
      </c>
      <c r="E2645" t="n">
        <v>0</v>
      </c>
      <c r="T2645" t="n">
        <v>12</v>
      </c>
    </row>
    <row r="2646">
      <c r="A2646" t="n">
        <v>5032398</v>
      </c>
      <c r="B2646" t="inlineStr">
        <is>
          <t>Junk Mill 
blank</t>
        </is>
      </c>
      <c r="C2646" t="n">
        <v>0</v>
      </c>
      <c r="D2646" s="62" t="n">
        <v>4.25</v>
      </c>
      <c r="E2646" t="n">
        <v>0</v>
      </c>
      <c r="T2646" t="n">
        <v>13</v>
      </c>
    </row>
    <row r="2647">
      <c r="A2647" t="n">
        <v>5032399</v>
      </c>
      <c r="B2647" t="inlineStr">
        <is>
          <t>Junk Mill 
blank</t>
        </is>
      </c>
      <c r="C2647" t="n">
        <v>0</v>
      </c>
      <c r="D2647" s="62" t="n">
        <v>4.25</v>
      </c>
      <c r="E2647" t="n">
        <v>0</v>
      </c>
      <c r="T2647" t="n">
        <v>14</v>
      </c>
    </row>
    <row r="2648">
      <c r="A2648" t="n">
        <v>5032400</v>
      </c>
      <c r="B2648" t="inlineStr">
        <is>
          <t>Junk Mill 
3-1/2" REG Pin</t>
        </is>
      </c>
      <c r="C2648" t="n">
        <v>0</v>
      </c>
      <c r="D2648" s="62" t="n">
        <v>6.1875</v>
      </c>
      <c r="E2648" t="n">
        <v>0</v>
      </c>
      <c r="T2648" t="n">
        <v>50</v>
      </c>
    </row>
    <row r="2649">
      <c r="A2649" t="n">
        <v>5032401</v>
      </c>
      <c r="B2649" t="inlineStr">
        <is>
          <t>Junk Mill 
3-1/2" REG Pin</t>
        </is>
      </c>
      <c r="C2649" t="n">
        <v>0</v>
      </c>
      <c r="D2649" s="62" t="n">
        <v>6.1875</v>
      </c>
      <c r="E2649" t="n">
        <v>0</v>
      </c>
      <c r="T2649" t="n">
        <v>51</v>
      </c>
    </row>
    <row r="2650">
      <c r="A2650" t="n">
        <v>5032402</v>
      </c>
      <c r="B2650" t="inlineStr">
        <is>
          <t>Junk Mill 
3-1/2" REG Pin</t>
        </is>
      </c>
      <c r="C2650" t="n">
        <v>0</v>
      </c>
      <c r="D2650" s="62" t="n">
        <v>6.1875</v>
      </c>
      <c r="E2650" t="n">
        <v>0</v>
      </c>
      <c r="T2650" t="n">
        <v>52</v>
      </c>
    </row>
    <row r="2651">
      <c r="A2651" t="n">
        <v>5032403</v>
      </c>
      <c r="B2651" t="inlineStr">
        <is>
          <t>Junk Mill 
3-1/2" REG Pin</t>
        </is>
      </c>
      <c r="C2651" t="n">
        <v>0</v>
      </c>
      <c r="D2651" s="62" t="n">
        <v>6.1875</v>
      </c>
      <c r="E2651" t="n">
        <v>0</v>
      </c>
      <c r="T2651" t="n">
        <v>53</v>
      </c>
    </row>
    <row r="2652">
      <c r="A2652" t="n">
        <v>5032404</v>
      </c>
      <c r="B2652" t="inlineStr">
        <is>
          <t>Junk Mill 
3-1/2" REG Pin</t>
        </is>
      </c>
      <c r="C2652" t="n">
        <v>0</v>
      </c>
      <c r="D2652" s="62" t="n">
        <v>6.1875</v>
      </c>
      <c r="E2652" t="n">
        <v>0</v>
      </c>
      <c r="T2652" t="n">
        <v>54</v>
      </c>
    </row>
    <row r="2653">
      <c r="A2653" t="n">
        <v>5032405</v>
      </c>
      <c r="B2653" t="inlineStr">
        <is>
          <t>Junk Mill 
3-1/2" REG Pin</t>
        </is>
      </c>
      <c r="C2653" t="n">
        <v>0</v>
      </c>
      <c r="D2653" s="62" t="n">
        <v>6.1875</v>
      </c>
      <c r="E2653" t="n">
        <v>0</v>
      </c>
      <c r="T2653" t="n">
        <v>55</v>
      </c>
    </row>
    <row r="2654">
      <c r="A2654" t="n">
        <v>5032406</v>
      </c>
      <c r="B2654" t="inlineStr">
        <is>
          <t>Junk Mill 
blank</t>
        </is>
      </c>
      <c r="C2654" t="n">
        <v>0</v>
      </c>
      <c r="D2654" s="62" t="n">
        <v>6.1875</v>
      </c>
      <c r="E2654" t="n">
        <v>0</v>
      </c>
      <c r="T2654" t="n">
        <v>56</v>
      </c>
    </row>
    <row r="2655">
      <c r="A2655" t="n">
        <v>5032407</v>
      </c>
      <c r="B2655" t="inlineStr">
        <is>
          <t>Junk Mill 
blank</t>
        </is>
      </c>
      <c r="C2655" t="n">
        <v>0</v>
      </c>
      <c r="D2655" s="62" t="n">
        <v>6.1875</v>
      </c>
      <c r="E2655" t="n">
        <v>0</v>
      </c>
      <c r="T2655" t="n">
        <v>57</v>
      </c>
    </row>
    <row r="2656">
      <c r="A2656" t="n">
        <v>5032408</v>
      </c>
      <c r="B2656" t="inlineStr">
        <is>
          <t>Junk Mill 
blank</t>
        </is>
      </c>
      <c r="C2656" t="n">
        <v>0</v>
      </c>
      <c r="D2656" s="62" t="n">
        <v>6.1875</v>
      </c>
      <c r="E2656" t="n">
        <v>0</v>
      </c>
      <c r="T2656" t="n">
        <v>58</v>
      </c>
    </row>
    <row r="2657">
      <c r="A2657" t="n">
        <v>5032409</v>
      </c>
      <c r="B2657" t="inlineStr">
        <is>
          <t>Junk Mill 
blank</t>
        </is>
      </c>
      <c r="C2657" t="n">
        <v>0</v>
      </c>
      <c r="D2657" s="62" t="n">
        <v>6.1875</v>
      </c>
      <c r="E2657" t="n">
        <v>0</v>
      </c>
      <c r="T2657" t="n">
        <v>59</v>
      </c>
    </row>
    <row r="2658">
      <c r="A2658" t="n">
        <v>5032410</v>
      </c>
      <c r="B2658" t="inlineStr">
        <is>
          <t>Junk Mill 
blank</t>
        </is>
      </c>
      <c r="C2658" t="n">
        <v>0</v>
      </c>
      <c r="D2658" s="62" t="n">
        <v>6.1875</v>
      </c>
      <c r="E2658" t="n">
        <v>0</v>
      </c>
      <c r="T2658" t="n">
        <v>60</v>
      </c>
    </row>
    <row r="2659">
      <c r="A2659" t="n">
        <v>5032411</v>
      </c>
      <c r="B2659" t="inlineStr">
        <is>
          <t>Junk Mill 
blank</t>
        </is>
      </c>
      <c r="C2659" t="n">
        <v>0</v>
      </c>
      <c r="D2659" s="62" t="n">
        <v>6.1875</v>
      </c>
      <c r="E2659" t="n">
        <v>0</v>
      </c>
      <c r="T2659" t="n">
        <v>61</v>
      </c>
    </row>
    <row r="2660">
      <c r="A2660" t="n">
        <v>5032412</v>
      </c>
      <c r="B2660" t="inlineStr">
        <is>
          <t>Junk Mill 
blank</t>
        </is>
      </c>
      <c r="C2660" t="n">
        <v>0</v>
      </c>
      <c r="D2660" s="62" t="n">
        <v>6.1875</v>
      </c>
      <c r="E2660" t="n">
        <v>0</v>
      </c>
      <c r="T2660" t="n">
        <v>62</v>
      </c>
    </row>
    <row r="2661">
      <c r="A2661" t="n">
        <v>5032413</v>
      </c>
      <c r="B2661" t="inlineStr">
        <is>
          <t>Junk Mill 
blank</t>
        </is>
      </c>
      <c r="C2661" t="n">
        <v>0</v>
      </c>
      <c r="D2661" s="62" t="n">
        <v>6.1875</v>
      </c>
      <c r="E2661" t="n">
        <v>0</v>
      </c>
      <c r="T2661" t="n">
        <v>63</v>
      </c>
    </row>
    <row r="2662">
      <c r="A2662" t="n">
        <v>5032414</v>
      </c>
      <c r="B2662" t="inlineStr">
        <is>
          <t>Junk Mill 
blank</t>
        </is>
      </c>
      <c r="C2662" t="n">
        <v>0</v>
      </c>
      <c r="D2662" s="62" t="n">
        <v>6.1875</v>
      </c>
      <c r="E2662" t="n">
        <v>0</v>
      </c>
      <c r="T2662" t="n">
        <v>64</v>
      </c>
    </row>
    <row r="2663">
      <c r="A2663" t="n">
        <v>5032415</v>
      </c>
      <c r="B2663" t="inlineStr">
        <is>
          <t>Junk Mill 
blank</t>
        </is>
      </c>
      <c r="C2663" t="n">
        <v>0</v>
      </c>
      <c r="D2663" s="62" t="n">
        <v>6.1875</v>
      </c>
      <c r="E2663" t="n">
        <v>0</v>
      </c>
      <c r="T2663" t="n">
        <v>65</v>
      </c>
    </row>
    <row r="2664">
      <c r="A2664" t="n">
        <v>5032416</v>
      </c>
      <c r="B2664" t="inlineStr">
        <is>
          <t>Junk Mill 
blank</t>
        </is>
      </c>
      <c r="C2664" t="n">
        <v>0</v>
      </c>
      <c r="D2664" s="62" t="n">
        <v>8.5</v>
      </c>
      <c r="E2664" t="n">
        <v>0</v>
      </c>
      <c r="T2664" t="n">
        <v>79</v>
      </c>
    </row>
    <row r="2665">
      <c r="A2665" t="n">
        <v>5032417</v>
      </c>
      <c r="B2665" t="inlineStr">
        <is>
          <t>Junk Mill 
blank</t>
        </is>
      </c>
      <c r="C2665" t="n">
        <v>0</v>
      </c>
      <c r="D2665" s="62" t="n">
        <v>8.5</v>
      </c>
      <c r="E2665" t="n">
        <v>0</v>
      </c>
      <c r="T2665" t="n">
        <v>80</v>
      </c>
    </row>
    <row r="2666">
      <c r="A2666" t="n">
        <v>5032418</v>
      </c>
      <c r="B2666" t="inlineStr">
        <is>
          <t>Junk Mill 
blank</t>
        </is>
      </c>
      <c r="C2666" t="n">
        <v>0</v>
      </c>
      <c r="D2666" s="62" t="n">
        <v>8.5</v>
      </c>
      <c r="E2666" t="n">
        <v>0</v>
      </c>
      <c r="T2666" t="n">
        <v>81</v>
      </c>
    </row>
    <row r="2667">
      <c r="A2667" t="n">
        <v>5032419</v>
      </c>
      <c r="B2667" t="inlineStr">
        <is>
          <t>Junk Mill 
blank</t>
        </is>
      </c>
      <c r="C2667" t="n">
        <v>0</v>
      </c>
      <c r="D2667" s="62" t="n">
        <v>8.5</v>
      </c>
      <c r="E2667" t="n">
        <v>0</v>
      </c>
      <c r="T2667" t="n">
        <v>82</v>
      </c>
    </row>
    <row r="2668">
      <c r="A2668" t="n">
        <v>5032420</v>
      </c>
      <c r="B2668" t="inlineStr">
        <is>
          <t>Junk Mill 
blank</t>
        </is>
      </c>
      <c r="C2668" t="n">
        <v>0</v>
      </c>
      <c r="D2668" s="62" t="n">
        <v>8.5</v>
      </c>
      <c r="E2668" t="n">
        <v>0</v>
      </c>
      <c r="T2668" t="n">
        <v>83</v>
      </c>
    </row>
    <row r="2669">
      <c r="A2669" t="n">
        <v>5032421</v>
      </c>
      <c r="B2669" t="inlineStr">
        <is>
          <t>Junk Mill 
blank</t>
        </is>
      </c>
      <c r="C2669" t="n">
        <v>0</v>
      </c>
      <c r="D2669" s="62" t="n">
        <v>8.5</v>
      </c>
      <c r="E2669" t="n">
        <v>0</v>
      </c>
      <c r="T2669" t="n">
        <v>84</v>
      </c>
    </row>
    <row r="2670">
      <c r="A2670" t="n">
        <v>5032422</v>
      </c>
      <c r="B2670" t="inlineStr">
        <is>
          <t>Junk Mill 
blank</t>
        </is>
      </c>
      <c r="C2670" t="n">
        <v>0</v>
      </c>
      <c r="D2670" s="62" t="n">
        <v>8.5</v>
      </c>
      <c r="E2670" t="n">
        <v>0</v>
      </c>
      <c r="T2670" t="n">
        <v>85</v>
      </c>
    </row>
    <row r="2671">
      <c r="A2671" t="n">
        <v>5032423</v>
      </c>
      <c r="B2671" t="inlineStr">
        <is>
          <t>Junk Mill 
blank</t>
        </is>
      </c>
      <c r="C2671" t="n">
        <v>0</v>
      </c>
      <c r="D2671" s="62" t="n">
        <v>8.5</v>
      </c>
      <c r="E2671" t="n">
        <v>0</v>
      </c>
      <c r="T2671" t="n">
        <v>86</v>
      </c>
    </row>
    <row r="2672">
      <c r="A2672" t="n">
        <v>5032424</v>
      </c>
      <c r="B2672" t="inlineStr">
        <is>
          <t>Junk Mill 
blank</t>
        </is>
      </c>
      <c r="C2672" t="n">
        <v>0</v>
      </c>
      <c r="D2672" s="62" t="n">
        <v>8.5</v>
      </c>
      <c r="E2672" t="n">
        <v>0</v>
      </c>
      <c r="T2672" t="n">
        <v>87</v>
      </c>
    </row>
    <row r="2673">
      <c r="A2673" t="n">
        <v>5032425</v>
      </c>
      <c r="B2673" t="inlineStr">
        <is>
          <t>Junk Mill 
blank</t>
        </is>
      </c>
      <c r="C2673" t="n">
        <v>0</v>
      </c>
      <c r="D2673" s="62" t="n">
        <v>8.5</v>
      </c>
      <c r="E2673" t="n">
        <v>0</v>
      </c>
      <c r="T2673" t="n">
        <v>88</v>
      </c>
    </row>
    <row r="2674">
      <c r="A2674" t="n">
        <v>5072426</v>
      </c>
      <c r="B2674" t="inlineStr">
        <is>
          <t>Super Junk Mill 
blank</t>
        </is>
      </c>
      <c r="C2674" t="n">
        <v>0</v>
      </c>
      <c r="D2674" s="62" t="n">
        <v>5.3125</v>
      </c>
      <c r="E2674" t="n">
        <v>0</v>
      </c>
      <c r="T2674" t="n">
        <v>33</v>
      </c>
    </row>
    <row r="2675">
      <c r="A2675" t="n">
        <v>5072427</v>
      </c>
      <c r="B2675" t="inlineStr">
        <is>
          <t>Super Junk Mill 
blank</t>
        </is>
      </c>
      <c r="C2675" t="n">
        <v>0</v>
      </c>
      <c r="D2675" s="62" t="n">
        <v>5.3125</v>
      </c>
      <c r="E2675" t="n">
        <v>0</v>
      </c>
      <c r="T2675" t="n">
        <v>34</v>
      </c>
    </row>
    <row r="2676">
      <c r="A2676" t="n">
        <v>5072428</v>
      </c>
      <c r="B2676" t="inlineStr">
        <is>
          <t>Super Junk Mill 
blank</t>
        </is>
      </c>
      <c r="C2676" t="n">
        <v>0</v>
      </c>
      <c r="D2676" s="62" t="n">
        <v>5.3125</v>
      </c>
      <c r="E2676" t="n">
        <v>0</v>
      </c>
      <c r="T2676" t="n">
        <v>35</v>
      </c>
    </row>
    <row r="2677">
      <c r="A2677" t="n">
        <v>5072429</v>
      </c>
      <c r="B2677" t="inlineStr">
        <is>
          <t>Super Junk Mill 
blank</t>
        </is>
      </c>
      <c r="C2677" t="n">
        <v>0</v>
      </c>
      <c r="D2677" s="62" t="n">
        <v>5.3125</v>
      </c>
      <c r="E2677" t="n">
        <v>0</v>
      </c>
      <c r="T2677" t="n">
        <v>36</v>
      </c>
    </row>
    <row r="2678">
      <c r="A2678" t="n">
        <v>5072430</v>
      </c>
      <c r="B2678" t="inlineStr">
        <is>
          <t>Super Junk Mill 
blank</t>
        </is>
      </c>
      <c r="C2678" t="n">
        <v>0</v>
      </c>
      <c r="D2678" s="62" t="n">
        <v>5.3125</v>
      </c>
      <c r="E2678" t="n">
        <v>0</v>
      </c>
      <c r="T2678" t="n">
        <v>37</v>
      </c>
    </row>
    <row r="2679">
      <c r="A2679" t="n">
        <v>5072431</v>
      </c>
      <c r="B2679" t="inlineStr">
        <is>
          <t>Super Junk Mill 
blank</t>
        </is>
      </c>
      <c r="C2679" t="n">
        <v>0</v>
      </c>
      <c r="D2679" s="62" t="n">
        <v>5.3125</v>
      </c>
      <c r="E2679" t="n">
        <v>0</v>
      </c>
      <c r="T2679" t="n">
        <v>38</v>
      </c>
    </row>
    <row r="2680">
      <c r="A2680" t="n">
        <v>5072432</v>
      </c>
      <c r="B2680" t="inlineStr">
        <is>
          <t>Super Junk Mill 
blank</t>
        </is>
      </c>
      <c r="C2680" t="n">
        <v>0</v>
      </c>
      <c r="D2680" s="62" t="n">
        <v>5.3125</v>
      </c>
      <c r="E2680" t="n">
        <v>0</v>
      </c>
      <c r="T2680" t="n">
        <v>39</v>
      </c>
    </row>
    <row r="2681">
      <c r="A2681" t="n">
        <v>5072433</v>
      </c>
      <c r="B2681" t="inlineStr">
        <is>
          <t>Super Junk Mill 
blank</t>
        </is>
      </c>
      <c r="C2681" t="n">
        <v>0</v>
      </c>
      <c r="D2681" s="62" t="n">
        <v>5.3125</v>
      </c>
      <c r="E2681" t="n">
        <v>0</v>
      </c>
      <c r="T2681" t="n">
        <v>40</v>
      </c>
    </row>
    <row r="2682">
      <c r="A2682" t="n">
        <v>5072434</v>
      </c>
      <c r="B2682" t="inlineStr">
        <is>
          <t>Super Junk Mill 
blank</t>
        </is>
      </c>
      <c r="C2682" t="n">
        <v>0</v>
      </c>
      <c r="D2682" s="62" t="n">
        <v>5.3125</v>
      </c>
      <c r="E2682" t="n">
        <v>0</v>
      </c>
      <c r="T2682" t="n">
        <v>41</v>
      </c>
    </row>
    <row r="2683">
      <c r="A2683" t="n">
        <v>5072435</v>
      </c>
      <c r="B2683" t="inlineStr">
        <is>
          <t>Super Junk Mill 
blank</t>
        </is>
      </c>
      <c r="C2683" t="n">
        <v>0</v>
      </c>
      <c r="D2683" s="62" t="n">
        <v>5.3125</v>
      </c>
      <c r="E2683" t="n">
        <v>0</v>
      </c>
      <c r="T2683" t="n">
        <v>42</v>
      </c>
    </row>
    <row r="2684">
      <c r="A2684" t="n">
        <v>5072436</v>
      </c>
      <c r="B2684" t="inlineStr">
        <is>
          <t>Super Junk Mill 
blank</t>
        </is>
      </c>
      <c r="C2684" t="n">
        <v>0</v>
      </c>
      <c r="D2684" s="62" t="n">
        <v>6.171875</v>
      </c>
      <c r="E2684" t="n">
        <v>0</v>
      </c>
      <c r="T2684" t="n">
        <v>43</v>
      </c>
    </row>
    <row r="2685">
      <c r="A2685" t="n">
        <v>5072437</v>
      </c>
      <c r="B2685" t="inlineStr">
        <is>
          <t>Super Junk Mill 
blank</t>
        </is>
      </c>
      <c r="C2685" t="n">
        <v>0</v>
      </c>
      <c r="D2685" s="62" t="n">
        <v>6.171875</v>
      </c>
      <c r="E2685" t="n">
        <v>0</v>
      </c>
      <c r="T2685" t="n">
        <v>44</v>
      </c>
    </row>
    <row r="2686">
      <c r="A2686" t="n">
        <v>5072438</v>
      </c>
      <c r="B2686" t="inlineStr">
        <is>
          <t>Super Junk Mill 
blank</t>
        </is>
      </c>
      <c r="C2686" t="n">
        <v>0</v>
      </c>
      <c r="D2686" s="62" t="n">
        <v>6.171875</v>
      </c>
      <c r="E2686" t="n">
        <v>0</v>
      </c>
      <c r="T2686" t="n">
        <v>45</v>
      </c>
    </row>
    <row r="2687">
      <c r="A2687" t="n">
        <v>5072439</v>
      </c>
      <c r="B2687" t="inlineStr">
        <is>
          <t>Super Junk Mill 
blank</t>
        </is>
      </c>
      <c r="C2687" t="n">
        <v>0</v>
      </c>
      <c r="D2687" s="62" t="n">
        <v>6.171875</v>
      </c>
      <c r="E2687" t="n">
        <v>0</v>
      </c>
      <c r="T2687" t="n">
        <v>46</v>
      </c>
    </row>
    <row r="2688">
      <c r="A2688" t="n">
        <v>5072440</v>
      </c>
      <c r="B2688" t="inlineStr">
        <is>
          <t>Super Junk Mill 
blank</t>
        </is>
      </c>
      <c r="C2688" t="n">
        <v>0</v>
      </c>
      <c r="D2688" s="62" t="n">
        <v>6.171875</v>
      </c>
      <c r="E2688" t="n">
        <v>0</v>
      </c>
      <c r="T2688" t="n">
        <v>47</v>
      </c>
    </row>
    <row r="2689">
      <c r="A2689" t="n">
        <v>5082441</v>
      </c>
      <c r="B2689" t="inlineStr">
        <is>
          <t>Taper Mill 
3-1/2" REG Pin</t>
        </is>
      </c>
      <c r="C2689" t="n">
        <v>0</v>
      </c>
      <c r="D2689" s="62" t="n">
        <v>6.125</v>
      </c>
      <c r="E2689" t="n">
        <v>0</v>
      </c>
      <c r="T2689" t="n">
        <v>25</v>
      </c>
    </row>
    <row r="2690">
      <c r="A2690" t="n">
        <v>5082442</v>
      </c>
      <c r="B2690" t="inlineStr">
        <is>
          <t>Taper Mill 
3-1/2" REG Pin</t>
        </is>
      </c>
      <c r="C2690" t="n">
        <v>0</v>
      </c>
      <c r="D2690" s="62" t="n">
        <v>6.125</v>
      </c>
      <c r="E2690" t="n">
        <v>0</v>
      </c>
      <c r="T2690" t="n">
        <v>26</v>
      </c>
    </row>
    <row r="2691">
      <c r="A2691" t="n">
        <v>5082443</v>
      </c>
      <c r="B2691" t="inlineStr">
        <is>
          <t>Taper Mill 
3-1/2" REG Pin</t>
        </is>
      </c>
      <c r="C2691" t="n">
        <v>0</v>
      </c>
      <c r="D2691" s="62" t="n">
        <v>6.125</v>
      </c>
      <c r="E2691" t="n">
        <v>0</v>
      </c>
      <c r="T2691" t="n">
        <v>27</v>
      </c>
    </row>
    <row r="2692">
      <c r="A2692" t="n">
        <v>5082444</v>
      </c>
      <c r="B2692" t="inlineStr">
        <is>
          <t>Taper Mill 
3-1/2" REG Pin</t>
        </is>
      </c>
      <c r="C2692" t="n">
        <v>0</v>
      </c>
      <c r="D2692" s="62" t="n">
        <v>6.125</v>
      </c>
      <c r="E2692" t="n">
        <v>0</v>
      </c>
      <c r="T2692" t="n">
        <v>28</v>
      </c>
    </row>
    <row r="2693">
      <c r="A2693" t="n">
        <v>5082445</v>
      </c>
      <c r="B2693" t="inlineStr">
        <is>
          <t>Taper Mill 
3-1/2" REG Pin</t>
        </is>
      </c>
      <c r="C2693" t="n">
        <v>0</v>
      </c>
      <c r="D2693" s="62" t="n">
        <v>6.125</v>
      </c>
      <c r="E2693" t="n">
        <v>0</v>
      </c>
      <c r="T2693" t="n">
        <v>29</v>
      </c>
    </row>
    <row r="2694">
      <c r="A2694" t="n">
        <v>5082446</v>
      </c>
      <c r="B2694" t="inlineStr">
        <is>
          <t>Taper Mill 
3-1/2" REG Pin</t>
        </is>
      </c>
      <c r="C2694" t="n">
        <v>0</v>
      </c>
      <c r="D2694" s="62" t="n">
        <v>6.125</v>
      </c>
      <c r="E2694" t="n">
        <v>0</v>
      </c>
      <c r="T2694" t="n">
        <v>30</v>
      </c>
    </row>
    <row r="2695">
      <c r="A2695" t="n">
        <v>5082447</v>
      </c>
      <c r="B2695" t="inlineStr">
        <is>
          <t>Taper Mill 
3-1/2" REG Pin</t>
        </is>
      </c>
      <c r="C2695" t="n">
        <v>0</v>
      </c>
      <c r="D2695" s="62" t="n">
        <v>6.125</v>
      </c>
      <c r="E2695" t="n">
        <v>0</v>
      </c>
      <c r="T2695" t="n">
        <v>31</v>
      </c>
    </row>
    <row r="2696">
      <c r="A2696" t="n">
        <v>5082448</v>
      </c>
      <c r="B2696" t="inlineStr">
        <is>
          <t>Taper Mill 
3-1/2" REG Pin</t>
        </is>
      </c>
      <c r="C2696" t="n">
        <v>0</v>
      </c>
      <c r="D2696" s="62" t="n">
        <v>6.125</v>
      </c>
      <c r="E2696" t="n">
        <v>0</v>
      </c>
      <c r="T2696" t="n">
        <v>32</v>
      </c>
    </row>
    <row r="2697">
      <c r="A2697" t="n">
        <v>5082449</v>
      </c>
      <c r="B2697" t="inlineStr">
        <is>
          <t>Taper Mill 
3-1/2" REG Pin</t>
        </is>
      </c>
      <c r="C2697" t="n">
        <v>0</v>
      </c>
      <c r="D2697" s="62" t="n">
        <v>6.125</v>
      </c>
      <c r="E2697" t="n">
        <v>0</v>
      </c>
      <c r="T2697" t="n">
        <v>33</v>
      </c>
    </row>
    <row r="2698">
      <c r="A2698" t="n">
        <v>5082450</v>
      </c>
      <c r="B2698" t="inlineStr">
        <is>
          <t>Taper Mill 
3-1/2" REG Pin</t>
        </is>
      </c>
      <c r="C2698" t="n">
        <v>0</v>
      </c>
      <c r="D2698" s="62" t="n">
        <v>6.125</v>
      </c>
      <c r="E2698" t="n">
        <v>0</v>
      </c>
      <c r="T2698" t="n">
        <v>34</v>
      </c>
    </row>
    <row r="2699">
      <c r="A2699" t="n">
        <v>5082451</v>
      </c>
      <c r="B2699" t="inlineStr">
        <is>
          <t>Taper Mill 
3-1/2" REG Pin</t>
        </is>
      </c>
      <c r="C2699" t="n">
        <v>0</v>
      </c>
      <c r="D2699" s="62" t="n">
        <v>6.125</v>
      </c>
      <c r="E2699" t="n">
        <v>0</v>
      </c>
      <c r="T2699" t="n">
        <v>35</v>
      </c>
    </row>
    <row r="2700">
      <c r="A2700" t="n">
        <v>5112452</v>
      </c>
      <c r="B2700" t="inlineStr">
        <is>
          <t>WO Shoe
à fileter</t>
        </is>
      </c>
      <c r="C2700" t="n">
        <v>0</v>
      </c>
      <c r="D2700" s="62" t="n">
        <v>0</v>
      </c>
      <c r="E2700" t="n">
        <v>0</v>
      </c>
      <c r="T2700" t="n">
        <v>143</v>
      </c>
    </row>
    <row r="2701">
      <c r="A2701" t="n">
        <v>5112453</v>
      </c>
      <c r="B2701" t="inlineStr">
        <is>
          <t>WO Shoe
à fileter</t>
        </is>
      </c>
      <c r="C2701" t="n">
        <v>0</v>
      </c>
      <c r="D2701" s="62" t="n">
        <v>0</v>
      </c>
      <c r="E2701" t="n">
        <v>0</v>
      </c>
      <c r="T2701" t="n">
        <v>144</v>
      </c>
    </row>
    <row r="2702">
      <c r="A2702" t="n">
        <v>5112454</v>
      </c>
      <c r="B2702" t="inlineStr">
        <is>
          <t>WO Shoe
à fileter</t>
        </is>
      </c>
      <c r="C2702" t="n">
        <v>0</v>
      </c>
      <c r="D2702" s="62" t="n">
        <v>0</v>
      </c>
      <c r="E2702" t="n">
        <v>0</v>
      </c>
      <c r="T2702" t="n">
        <v>145</v>
      </c>
    </row>
    <row r="2703">
      <c r="A2703" t="n">
        <v>5112455</v>
      </c>
      <c r="B2703" t="inlineStr">
        <is>
          <t>WO Shoe
à fileter</t>
        </is>
      </c>
      <c r="C2703" t="n">
        <v>0</v>
      </c>
      <c r="D2703" s="62" t="n">
        <v>0</v>
      </c>
      <c r="E2703" t="n">
        <v>0</v>
      </c>
      <c r="T2703" t="n">
        <v>146</v>
      </c>
    </row>
    <row r="2704">
      <c r="A2704" t="n">
        <v>5112456</v>
      </c>
      <c r="B2704" t="inlineStr">
        <is>
          <t>WO Shoe
à fileter</t>
        </is>
      </c>
      <c r="C2704" t="n">
        <v>0</v>
      </c>
      <c r="D2704" s="62" t="n">
        <v>0</v>
      </c>
      <c r="E2704" t="n">
        <v>0</v>
      </c>
      <c r="T2704" t="n">
        <v>147</v>
      </c>
    </row>
    <row r="2705">
      <c r="A2705" t="n">
        <v>5112457</v>
      </c>
      <c r="B2705" t="inlineStr">
        <is>
          <t>WO Shoe
à fileter</t>
        </is>
      </c>
      <c r="C2705" t="n">
        <v>0</v>
      </c>
      <c r="D2705" s="62" t="n">
        <v>0</v>
      </c>
      <c r="E2705" t="n">
        <v>0</v>
      </c>
      <c r="T2705" t="n">
        <v>148</v>
      </c>
    </row>
    <row r="2706">
      <c r="A2706" t="n">
        <v>5112458</v>
      </c>
      <c r="B2706" t="inlineStr">
        <is>
          <t>WO Shoe
à fileter</t>
        </is>
      </c>
      <c r="C2706" t="n">
        <v>0</v>
      </c>
      <c r="D2706" s="62" t="n">
        <v>0</v>
      </c>
      <c r="E2706" t="n">
        <v>0</v>
      </c>
      <c r="T2706" t="n">
        <v>149</v>
      </c>
    </row>
    <row r="2707">
      <c r="A2707" t="n">
        <v>5112459</v>
      </c>
      <c r="B2707" t="inlineStr">
        <is>
          <t>WO Shoe
à fileter</t>
        </is>
      </c>
      <c r="C2707" t="n">
        <v>0</v>
      </c>
      <c r="D2707" s="62" t="n">
        <v>0</v>
      </c>
      <c r="E2707" t="n">
        <v>0</v>
      </c>
      <c r="T2707" t="n">
        <v>150</v>
      </c>
    </row>
    <row r="2708">
      <c r="A2708" t="n">
        <v>5112460</v>
      </c>
      <c r="B2708" t="inlineStr">
        <is>
          <t>WO Shoe
à fileter</t>
        </is>
      </c>
      <c r="C2708" t="n">
        <v>0</v>
      </c>
      <c r="D2708" s="62" t="n">
        <v>0</v>
      </c>
      <c r="E2708" t="n">
        <v>0</v>
      </c>
      <c r="T2708" t="n">
        <v>151</v>
      </c>
    </row>
    <row r="2709">
      <c r="A2709" t="n">
        <v>5112461</v>
      </c>
      <c r="B2709" t="inlineStr">
        <is>
          <t>WO Shoe
à fileter</t>
        </is>
      </c>
      <c r="C2709" t="n">
        <v>0</v>
      </c>
      <c r="D2709" s="62" t="n">
        <v>0</v>
      </c>
      <c r="E2709" t="n">
        <v>0</v>
      </c>
      <c r="T2709" t="n">
        <v>152</v>
      </c>
    </row>
    <row r="2710">
      <c r="A2710" t="n">
        <v>5112462</v>
      </c>
      <c r="B2710" t="inlineStr">
        <is>
          <t>WO Shoe
à fileter</t>
        </is>
      </c>
      <c r="C2710" t="n">
        <v>0</v>
      </c>
      <c r="D2710" s="62" t="n">
        <v>0</v>
      </c>
      <c r="E2710" t="n">
        <v>0</v>
      </c>
      <c r="T2710" t="n">
        <v>185</v>
      </c>
    </row>
    <row r="2711">
      <c r="A2711" t="n">
        <v>5112463</v>
      </c>
      <c r="B2711" t="inlineStr">
        <is>
          <t>WO Shoe
à fileter</t>
        </is>
      </c>
      <c r="C2711" t="n">
        <v>0</v>
      </c>
      <c r="D2711" s="62" t="n">
        <v>0</v>
      </c>
      <c r="E2711" t="n">
        <v>0</v>
      </c>
      <c r="T2711" t="n">
        <v>186</v>
      </c>
    </row>
    <row r="2712">
      <c r="A2712" t="n">
        <v>5112464</v>
      </c>
      <c r="B2712" t="inlineStr">
        <is>
          <t>WO Shoe
à fileter</t>
        </is>
      </c>
      <c r="C2712" t="n">
        <v>0</v>
      </c>
      <c r="D2712" s="62" t="n">
        <v>0</v>
      </c>
      <c r="E2712" t="n">
        <v>0</v>
      </c>
      <c r="T2712" t="n">
        <v>187</v>
      </c>
    </row>
    <row r="2713">
      <c r="A2713" t="n">
        <v>5112465</v>
      </c>
      <c r="B2713" t="inlineStr">
        <is>
          <t>WO Shoe
à fileter</t>
        </is>
      </c>
      <c r="C2713" t="n">
        <v>0</v>
      </c>
      <c r="D2713" s="62" t="n">
        <v>0</v>
      </c>
      <c r="E2713" t="n">
        <v>0</v>
      </c>
      <c r="T2713" t="n">
        <v>188</v>
      </c>
    </row>
    <row r="2714">
      <c r="A2714" t="n">
        <v>5112466</v>
      </c>
      <c r="B2714" t="inlineStr">
        <is>
          <t>WO Shoe
à fileter</t>
        </is>
      </c>
      <c r="C2714" t="n">
        <v>0</v>
      </c>
      <c r="D2714" s="62" t="n">
        <v>0</v>
      </c>
      <c r="E2714" t="n">
        <v>0</v>
      </c>
      <c r="T2714" t="n">
        <v>189</v>
      </c>
    </row>
    <row r="2715">
      <c r="A2715" t="n">
        <v>5112467</v>
      </c>
      <c r="B2715" t="inlineStr">
        <is>
          <t>WO Shoe
à fileter</t>
        </is>
      </c>
      <c r="C2715" t="n">
        <v>0</v>
      </c>
      <c r="D2715" s="62" t="n">
        <v>0</v>
      </c>
      <c r="E2715" t="n">
        <v>0</v>
      </c>
      <c r="T2715" t="n">
        <v>190</v>
      </c>
    </row>
    <row r="2716">
      <c r="A2716" t="n">
        <v>5112468</v>
      </c>
      <c r="B2716" t="inlineStr">
        <is>
          <t>WO Shoe
à fileter</t>
        </is>
      </c>
      <c r="C2716" t="n">
        <v>0</v>
      </c>
      <c r="D2716" s="62" t="n">
        <v>0</v>
      </c>
      <c r="E2716" t="n">
        <v>0</v>
      </c>
      <c r="T2716" t="n">
        <v>191</v>
      </c>
    </row>
    <row r="2717">
      <c r="A2717" t="n">
        <v>5112469</v>
      </c>
      <c r="B2717" t="inlineStr">
        <is>
          <t>WO Shoe
à fileter</t>
        </is>
      </c>
      <c r="C2717" t="n">
        <v>0</v>
      </c>
      <c r="D2717" s="62" t="n">
        <v>0</v>
      </c>
      <c r="E2717" t="n">
        <v>0</v>
      </c>
      <c r="T2717" t="n">
        <v>192</v>
      </c>
    </row>
    <row r="2718">
      <c r="A2718" t="n">
        <v>5112470</v>
      </c>
      <c r="B2718" t="inlineStr">
        <is>
          <t>WO Shoe
à fileter</t>
        </is>
      </c>
      <c r="C2718" t="n">
        <v>0</v>
      </c>
      <c r="D2718" s="62" t="n">
        <v>0</v>
      </c>
      <c r="E2718" t="n">
        <v>0</v>
      </c>
      <c r="T2718" t="n">
        <v>193</v>
      </c>
    </row>
    <row r="2719">
      <c r="A2719" t="n">
        <v>5112471</v>
      </c>
      <c r="B2719" t="inlineStr">
        <is>
          <t>WO Shoe
à fileter</t>
        </is>
      </c>
      <c r="C2719" t="n">
        <v>0</v>
      </c>
      <c r="D2719" s="62" t="n">
        <v>0</v>
      </c>
      <c r="E2719" t="n">
        <v>0</v>
      </c>
      <c r="T2719" t="n">
        <v>194</v>
      </c>
    </row>
    <row r="2720">
      <c r="A2720" t="n">
        <v>3052475</v>
      </c>
      <c r="B2720" t="inlineStr">
        <is>
          <t>SPR10200
7-5/8" REG Box up x 7-5/8" REG Pin down</t>
        </is>
      </c>
      <c r="C2720" t="n">
        <v>0</v>
      </c>
      <c r="D2720" s="62" t="inlineStr">
        <is>
          <t>SPR10200</t>
        </is>
      </c>
      <c r="E2720" t="n">
        <v>0</v>
      </c>
      <c r="T2720" t="n">
        <v>14</v>
      </c>
      <c r="V2720" t="inlineStr">
        <is>
          <t>UAE</t>
        </is>
      </c>
    </row>
    <row r="2721">
      <c r="A2721" t="n">
        <v>8062473</v>
      </c>
      <c r="B2721" t="inlineStr">
        <is>
          <t>Drill Collar 3-1/2"
2-7/8" HT PAC Pin x Box</t>
        </is>
      </c>
      <c r="C2721" t="n">
        <v>367.37926524</v>
      </c>
      <c r="D2721" s="62" t="n">
        <v>3.5</v>
      </c>
      <c r="E2721" t="n">
        <v>9300</v>
      </c>
      <c r="T2721" t="n">
        <v>15</v>
      </c>
    </row>
    <row r="2722">
      <c r="A2722" t="n">
        <v>8062474</v>
      </c>
      <c r="B2722" t="inlineStr">
        <is>
          <t>Drill Collar 3-1/2"
2-7/8" HT PAC Pin x Box</t>
        </is>
      </c>
      <c r="C2722" t="n">
        <v>367.37926524</v>
      </c>
      <c r="D2722" s="62" t="n">
        <v>3.5</v>
      </c>
      <c r="E2722" t="n">
        <v>9300</v>
      </c>
      <c r="T2722" t="n">
        <v>16</v>
      </c>
    </row>
    <row r="2723">
      <c r="A2723" t="n">
        <v>8062475</v>
      </c>
      <c r="B2723" t="inlineStr">
        <is>
          <t>Drill Collar 3-1/2"
2-7/8" HT PAC Pin x Box</t>
        </is>
      </c>
      <c r="C2723" t="n">
        <v>367.37926524</v>
      </c>
      <c r="D2723" s="62" t="n">
        <v>3.5</v>
      </c>
      <c r="E2723" t="n">
        <v>9300</v>
      </c>
      <c r="T2723" t="n">
        <v>17</v>
      </c>
    </row>
    <row r="2724">
      <c r="A2724" t="n">
        <v>8062476</v>
      </c>
      <c r="B2724" t="inlineStr">
        <is>
          <t>Drill Collar 3-1/2"
2-7/8" HT PAC Pin x Box</t>
        </is>
      </c>
      <c r="C2724" t="n">
        <v>367.37926524</v>
      </c>
      <c r="D2724" s="62" t="n">
        <v>3.5</v>
      </c>
      <c r="E2724" t="n">
        <v>9300</v>
      </c>
      <c r="T2724" t="n">
        <v>18</v>
      </c>
    </row>
    <row r="2725">
      <c r="A2725" t="n">
        <v>8062477</v>
      </c>
      <c r="B2725" t="inlineStr">
        <is>
          <t>Drill Collar 3-1/2"
2-7/8" HT PAC Pin x Box</t>
        </is>
      </c>
      <c r="C2725" t="n">
        <v>367.37926524</v>
      </c>
      <c r="D2725" s="62" t="n">
        <v>3.5</v>
      </c>
      <c r="E2725" t="n">
        <v>9300</v>
      </c>
      <c r="T2725" t="n">
        <v>19</v>
      </c>
    </row>
    <row r="2726">
      <c r="A2726" t="n">
        <v>8062478</v>
      </c>
      <c r="B2726" t="inlineStr">
        <is>
          <t>Drill Collar 3-1/2"
2-7/8" HT PAC Pin x Box</t>
        </is>
      </c>
      <c r="C2726" t="n">
        <v>367.37926524</v>
      </c>
      <c r="D2726" s="62" t="n">
        <v>3.5</v>
      </c>
      <c r="E2726" t="n">
        <v>9300</v>
      </c>
      <c r="T2726" t="n">
        <v>20</v>
      </c>
    </row>
    <row r="2727">
      <c r="A2727" t="n">
        <v>8062479</v>
      </c>
      <c r="B2727" t="inlineStr">
        <is>
          <t>Drill Collar 3-1/2"
2-7/8" HT PAC Pin x Box</t>
        </is>
      </c>
      <c r="C2727" t="n">
        <v>367.37926524</v>
      </c>
      <c r="D2727" s="62" t="n">
        <v>3.5</v>
      </c>
      <c r="E2727" t="n">
        <v>9300</v>
      </c>
      <c r="T2727" t="n">
        <v>21</v>
      </c>
    </row>
    <row r="2728">
      <c r="A2728" t="n">
        <v>8062480</v>
      </c>
      <c r="B2728" t="inlineStr">
        <is>
          <t>Drill Collar 3-1/2"
2-7/8" HT PAC Pin x Box</t>
        </is>
      </c>
      <c r="C2728" t="n">
        <v>367.37926524</v>
      </c>
      <c r="D2728" s="62" t="n">
        <v>3.5</v>
      </c>
      <c r="E2728" t="n">
        <v>9300</v>
      </c>
      <c r="T2728" t="n">
        <v>22</v>
      </c>
    </row>
    <row r="2729">
      <c r="A2729" t="n">
        <v>8062481</v>
      </c>
      <c r="B2729" t="inlineStr">
        <is>
          <t>Drill Collar 3-1/2"
2-7/8" HT PAC Pin x Box</t>
        </is>
      </c>
      <c r="C2729" t="n">
        <v>367.37926524</v>
      </c>
      <c r="D2729" s="62" t="n">
        <v>3.5</v>
      </c>
      <c r="E2729" t="n">
        <v>9300</v>
      </c>
      <c r="T2729" t="n">
        <v>23</v>
      </c>
    </row>
    <row r="2730">
      <c r="A2730" t="n">
        <v>8062482</v>
      </c>
      <c r="B2730" t="inlineStr">
        <is>
          <t>Drill Collar 3-1/2"
2-7/8" HT PAC Pin x Box</t>
        </is>
      </c>
      <c r="C2730" t="n">
        <v>367.37926524</v>
      </c>
      <c r="D2730" s="62" t="n">
        <v>3.5</v>
      </c>
      <c r="E2730" t="n">
        <v>9300</v>
      </c>
      <c r="T2730" t="n">
        <v>24</v>
      </c>
    </row>
    <row r="2731">
      <c r="A2731" t="n">
        <v>8062483</v>
      </c>
      <c r="B2731" t="inlineStr">
        <is>
          <t>Drill Collar 3-1/2"
2-7/8" HT PAC Pin x Box</t>
        </is>
      </c>
      <c r="C2731" t="n">
        <v>367.37926524</v>
      </c>
      <c r="D2731" s="62" t="n">
        <v>3.5</v>
      </c>
      <c r="E2731" t="n">
        <v>9300</v>
      </c>
      <c r="T2731" t="n">
        <v>25</v>
      </c>
    </row>
    <row r="2732">
      <c r="A2732" t="n">
        <v>8062484</v>
      </c>
      <c r="B2732" t="inlineStr">
        <is>
          <t>Drill Collar 3-1/2"
2-7/8" HT PAC Pin x Box</t>
        </is>
      </c>
      <c r="C2732" t="n">
        <v>367.37926524</v>
      </c>
      <c r="D2732" s="62" t="n">
        <v>3.5</v>
      </c>
      <c r="E2732" t="n">
        <v>9300</v>
      </c>
      <c r="T2732" t="n">
        <v>26</v>
      </c>
    </row>
    <row r="2733">
      <c r="A2733" t="n">
        <v>8062485</v>
      </c>
      <c r="B2733" t="inlineStr">
        <is>
          <t>Drill Collar 3-1/2"
2-7/8" HT PAC Pin x Box</t>
        </is>
      </c>
      <c r="C2733" t="n">
        <v>367.37926524</v>
      </c>
      <c r="D2733" s="62" t="n">
        <v>3.5</v>
      </c>
      <c r="E2733" t="n">
        <v>9300</v>
      </c>
      <c r="T2733" t="n">
        <v>27</v>
      </c>
    </row>
    <row r="2734">
      <c r="A2734" t="n">
        <v>8062486</v>
      </c>
      <c r="B2734" t="inlineStr">
        <is>
          <t>Drill Collar 3-1/2"
2-7/8" HT PAC Pin x Box</t>
        </is>
      </c>
      <c r="C2734" t="n">
        <v>367.37926524</v>
      </c>
      <c r="D2734" s="62" t="n">
        <v>3.5</v>
      </c>
      <c r="E2734" t="n">
        <v>9300</v>
      </c>
      <c r="T2734" t="n">
        <v>28</v>
      </c>
    </row>
    <row r="2735">
      <c r="A2735" t="n">
        <v>8062487</v>
      </c>
      <c r="B2735" t="inlineStr">
        <is>
          <t>Drill Collar 3-1/2"
2-7/8" HT PAC Pin x Box</t>
        </is>
      </c>
      <c r="C2735" t="n">
        <v>367.37926524</v>
      </c>
      <c r="D2735" s="62" t="n">
        <v>3.5</v>
      </c>
      <c r="E2735" t="n">
        <v>9300</v>
      </c>
      <c r="T2735" t="n">
        <v>29</v>
      </c>
    </row>
    <row r="2736">
      <c r="A2736" t="n">
        <v>8062488</v>
      </c>
      <c r="B2736" t="inlineStr">
        <is>
          <t>Drill Collar 3-1/2"
2-7/8" HT PAC Pin x Box</t>
        </is>
      </c>
      <c r="C2736" t="n">
        <v>367.37926524</v>
      </c>
      <c r="D2736" s="62" t="n">
        <v>3.5</v>
      </c>
      <c r="E2736" t="n">
        <v>9300</v>
      </c>
      <c r="T2736" t="n">
        <v>30</v>
      </c>
    </row>
    <row r="2737">
      <c r="A2737" t="inlineStr">
        <is>
          <t>Kit MWD n°02</t>
        </is>
      </c>
      <c r="B2737" t="inlineStr">
        <is>
          <t>MWD kit n°02</t>
        </is>
      </c>
      <c r="C2737" t="n">
        <v>0</v>
      </c>
      <c r="D2737" s="62" t="n"/>
      <c r="E2737" t="n">
        <v>0</v>
      </c>
      <c r="T2737" t="n">
        <v>9</v>
      </c>
      <c r="V2737" t="inlineStr">
        <is>
          <t>CA</t>
        </is>
      </c>
      <c r="W2737" t="n">
        <v>9015808000</v>
      </c>
    </row>
    <row r="2738">
      <c r="A2738" t="inlineStr">
        <is>
          <t>UL3</t>
        </is>
      </c>
      <c r="B2738" t="inlineStr">
        <is>
          <t>Ultralight (String Pulser + DM + Surface Kit)</t>
        </is>
      </c>
      <c r="C2738" t="n">
        <v>0</v>
      </c>
      <c r="D2738" s="62" t="n"/>
      <c r="E2738" t="n">
        <v>0</v>
      </c>
      <c r="T2738" t="n">
        <v>13</v>
      </c>
      <c r="V2738" t="inlineStr">
        <is>
          <t>CA</t>
        </is>
      </c>
      <c r="W2738" t="n">
        <v>9015808000</v>
      </c>
    </row>
    <row r="2739">
      <c r="A2739" t="inlineStr">
        <is>
          <t>UL4</t>
        </is>
      </c>
      <c r="B2739" t="inlineStr">
        <is>
          <t>Ultralight (String Pulser + DM + Surface Kit)</t>
        </is>
      </c>
      <c r="C2739" t="n">
        <v>0</v>
      </c>
      <c r="D2739" s="62" t="n"/>
      <c r="E2739" t="n">
        <v>0</v>
      </c>
      <c r="T2739" t="n">
        <v>14</v>
      </c>
      <c r="V2739" t="inlineStr">
        <is>
          <t>CA</t>
        </is>
      </c>
      <c r="W2739" t="n">
        <v>9015808000</v>
      </c>
    </row>
    <row r="2740">
      <c r="A2740" t="n">
        <v>7122492</v>
      </c>
      <c r="B2740" t="inlineStr">
        <is>
          <t>Releasing Spear HD 8-1/4" OD Mandrel CA 17246
6-5/8" REG Box</t>
        </is>
      </c>
      <c r="C2740" t="n">
        <v>0</v>
      </c>
      <c r="D2740" s="62" t="n">
        <v>8.25</v>
      </c>
      <c r="E2740" t="inlineStr">
        <is>
          <t>CA 17246</t>
        </is>
      </c>
      <c r="T2740" t="n">
        <v>33</v>
      </c>
    </row>
    <row r="2741">
      <c r="A2741" t="n">
        <v>7122493</v>
      </c>
      <c r="B2741" t="inlineStr">
        <is>
          <t>Releasing Spear 8-1/4" OD Mandrel CA 9281
6-5/8" REG Box</t>
        </is>
      </c>
      <c r="C2741" t="n">
        <v>0</v>
      </c>
      <c r="D2741" s="62" t="n">
        <v>8.25</v>
      </c>
      <c r="E2741" t="inlineStr">
        <is>
          <t>CA 9281</t>
        </is>
      </c>
      <c r="T2741" t="n">
        <v>31</v>
      </c>
    </row>
    <row r="2742">
      <c r="A2742" t="n">
        <v>5112494</v>
      </c>
      <c r="B2742" t="inlineStr">
        <is>
          <t>WO Shoe
16" FJWP Box</t>
        </is>
      </c>
      <c r="C2742" t="n">
        <v>89.39562120839986</v>
      </c>
      <c r="D2742" s="62" t="n">
        <v>16.125</v>
      </c>
      <c r="E2742" t="n">
        <v>730</v>
      </c>
      <c r="T2742" t="n">
        <v>234</v>
      </c>
    </row>
    <row r="2743">
      <c r="A2743" t="n">
        <v>5112495</v>
      </c>
      <c r="B2743" t="inlineStr">
        <is>
          <t>WO Shoe
16" FJWP Box</t>
        </is>
      </c>
      <c r="C2743" t="n">
        <v>86.94642610679985</v>
      </c>
      <c r="D2743" s="62" t="n">
        <v>16.5</v>
      </c>
      <c r="E2743" t="n">
        <v>710</v>
      </c>
      <c r="T2743" t="n">
        <v>235</v>
      </c>
    </row>
    <row r="2744">
      <c r="A2744" t="n">
        <v>6042496</v>
      </c>
      <c r="B2744" t="inlineStr">
        <is>
          <t>3-1/2" OD UBHO
2-3/8" IF Pin x 2-7/8" PH6 Box</t>
        </is>
      </c>
      <c r="C2744" t="n">
        <v>30.022391568</v>
      </c>
      <c r="D2744" s="62" t="n">
        <v>3.5</v>
      </c>
      <c r="E2744" t="n">
        <v>760</v>
      </c>
      <c r="T2744" t="n">
        <v>8</v>
      </c>
      <c r="V2744" t="inlineStr">
        <is>
          <t>FR</t>
        </is>
      </c>
    </row>
    <row r="2745">
      <c r="A2745" t="n">
        <v>6042497</v>
      </c>
      <c r="B2745" t="inlineStr">
        <is>
          <t>3-1/2" OD UBHO
2-3/8" IF Pin x 2-7/8" PH6 Box</t>
        </is>
      </c>
      <c r="C2745" t="n">
        <v>30.022391568</v>
      </c>
      <c r="D2745" s="62" t="n">
        <v>3.5</v>
      </c>
      <c r="E2745" t="n">
        <v>760</v>
      </c>
      <c r="T2745" t="n">
        <v>9</v>
      </c>
      <c r="V2745" t="inlineStr">
        <is>
          <t>FR</t>
        </is>
      </c>
    </row>
    <row r="2746">
      <c r="A2746" t="n">
        <v>6042498</v>
      </c>
      <c r="B2746" t="inlineStr">
        <is>
          <t>3-1/2" OD UBHO
2-3/8" IF Pin x 2-7/8" PH6 Box</t>
        </is>
      </c>
      <c r="C2746" t="n">
        <v>30.022391568</v>
      </c>
      <c r="D2746" s="62" t="n">
        <v>3.5</v>
      </c>
      <c r="E2746" t="n">
        <v>760</v>
      </c>
      <c r="T2746" t="n">
        <v>10</v>
      </c>
      <c r="V2746" t="inlineStr">
        <is>
          <t>FR</t>
        </is>
      </c>
    </row>
    <row r="2747">
      <c r="A2747" t="n">
        <v>3050208</v>
      </c>
      <c r="B2747" t="inlineStr">
        <is>
          <t>8200
4-1/2" REG Pin up x nose down</t>
        </is>
      </c>
      <c r="C2747" t="n">
        <v>0</v>
      </c>
      <c r="D2747" s="62" t="n">
        <v>8200</v>
      </c>
      <c r="E2747" t="n">
        <v>1790</v>
      </c>
      <c r="T2747" t="n">
        <v>9</v>
      </c>
    </row>
    <row r="2748">
      <c r="A2748" t="n">
        <v>5112500</v>
      </c>
      <c r="B2748" t="inlineStr">
        <is>
          <t>WO Shoe
5-1/2" FJWP Box</t>
        </is>
      </c>
      <c r="C2748" t="n">
        <v>0</v>
      </c>
      <c r="D2748" s="62" t="n">
        <v>0</v>
      </c>
      <c r="E2748" t="n">
        <v>0</v>
      </c>
      <c r="T2748" t="n">
        <v>127</v>
      </c>
    </row>
    <row r="2749">
      <c r="A2749" t="n">
        <v>5892501</v>
      </c>
      <c r="B2749" t="inlineStr">
        <is>
          <t>WO Internal Hook Lg 0 mm
5-1/2" FJWP Pin x Box</t>
        </is>
      </c>
      <c r="C2749" t="n">
        <v>0</v>
      </c>
      <c r="D2749" s="62" t="n">
        <v>5.5</v>
      </c>
      <c r="E2749" t="n">
        <v>0</v>
      </c>
      <c r="T2749" t="n">
        <v>13</v>
      </c>
    </row>
    <row r="2750">
      <c r="A2750" t="n">
        <v>8132502</v>
      </c>
      <c r="B2750" t="inlineStr">
        <is>
          <t>XO
4" FH Pin x 4-1/2" IF Box</t>
        </is>
      </c>
      <c r="C2750" t="n">
        <v>121.1728166256562</v>
      </c>
      <c r="D2750" s="62" t="n">
        <v>6.625</v>
      </c>
      <c r="E2750" t="n">
        <v>790</v>
      </c>
      <c r="T2750" t="n">
        <v>242</v>
      </c>
      <c r="V2750" t="inlineStr">
        <is>
          <t>FR</t>
        </is>
      </c>
    </row>
    <row r="2751">
      <c r="A2751" t="n">
        <v>8132503</v>
      </c>
      <c r="B2751" t="inlineStr">
        <is>
          <t>XO
4" FH Pin x 4-1/2" IF Box</t>
        </is>
      </c>
      <c r="C2751" t="n">
        <v>122.7066497475</v>
      </c>
      <c r="D2751" s="62" t="n">
        <v>6.625</v>
      </c>
      <c r="E2751" t="n">
        <v>800</v>
      </c>
      <c r="T2751" t="n">
        <v>243</v>
      </c>
      <c r="V2751" t="inlineStr">
        <is>
          <t>FR</t>
        </is>
      </c>
    </row>
    <row r="2752">
      <c r="A2752" t="n">
        <v>8132504</v>
      </c>
      <c r="B2752" t="inlineStr">
        <is>
          <t>XO
4-1/2" IF Pin x 4" FH Box</t>
        </is>
      </c>
      <c r="C2752" t="n">
        <v>122.7066497475</v>
      </c>
      <c r="D2752" s="62" t="n">
        <v>6.625</v>
      </c>
      <c r="E2752" t="n">
        <v>800</v>
      </c>
      <c r="T2752" t="n">
        <v>244</v>
      </c>
      <c r="V2752" t="inlineStr">
        <is>
          <t>FR</t>
        </is>
      </c>
    </row>
    <row r="2753">
      <c r="A2753" t="n">
        <v>8132505</v>
      </c>
      <c r="B2753" t="inlineStr">
        <is>
          <t>XO
4-1/2" IF Pin x 4" FH Box</t>
        </is>
      </c>
      <c r="C2753" t="n">
        <v>121.1728166256562</v>
      </c>
      <c r="D2753" s="62" t="n">
        <v>6.625</v>
      </c>
      <c r="E2753" t="n">
        <v>790</v>
      </c>
      <c r="T2753" t="n">
        <v>245</v>
      </c>
      <c r="V2753" t="inlineStr">
        <is>
          <t>FR</t>
        </is>
      </c>
    </row>
    <row r="2754">
      <c r="A2754" t="n">
        <v>8132506</v>
      </c>
      <c r="B2754" t="inlineStr">
        <is>
          <t>XO
3-1/2" IF Pin x 4" FH Box</t>
        </is>
      </c>
      <c r="C2754" t="n">
        <v>56.41049363039998</v>
      </c>
      <c r="D2754" s="62" t="n">
        <v>5.75</v>
      </c>
      <c r="E2754" t="n">
        <v>510</v>
      </c>
      <c r="T2754" t="n">
        <v>246</v>
      </c>
      <c r="V2754" t="inlineStr">
        <is>
          <t>FR</t>
        </is>
      </c>
    </row>
    <row r="2755">
      <c r="A2755" t="n">
        <v>8132507</v>
      </c>
      <c r="B2755" t="inlineStr">
        <is>
          <t>XO
3-1/2" IF Pin x 4" FH Box</t>
        </is>
      </c>
      <c r="C2755" t="n">
        <v>56.41049363039998</v>
      </c>
      <c r="D2755" s="62" t="n">
        <v>5.75</v>
      </c>
      <c r="E2755" t="n">
        <v>510</v>
      </c>
      <c r="T2755" t="n">
        <v>247</v>
      </c>
      <c r="V2755" t="inlineStr">
        <is>
          <t>FR</t>
        </is>
      </c>
    </row>
    <row r="2756">
      <c r="A2756" t="n">
        <v>1032508</v>
      </c>
      <c r="B2756" t="inlineStr">
        <is>
          <t>Casing Scraper 2-7/8" OD Body
2-3/8" HT PAC Pin x 2-3/8" HT PAC Box</t>
        </is>
      </c>
      <c r="C2756" t="n">
        <v>0</v>
      </c>
      <c r="D2756" s="62" t="n">
        <v>2.875</v>
      </c>
      <c r="E2756" t="n">
        <v>0</v>
      </c>
      <c r="T2756" t="n">
        <v>6</v>
      </c>
      <c r="V2756" t="inlineStr">
        <is>
          <t>FR</t>
        </is>
      </c>
    </row>
    <row r="2757">
      <c r="A2757" t="n">
        <v>6152509</v>
      </c>
      <c r="B2757" t="inlineStr">
        <is>
          <t>8" OD Top Mounted Sub</t>
        </is>
      </c>
      <c r="C2757" t="n">
        <v>0</v>
      </c>
      <c r="D2757" s="62" t="n">
        <v>8</v>
      </c>
      <c r="E2757" t="n">
        <v>0</v>
      </c>
      <c r="T2757" t="n">
        <v>52</v>
      </c>
      <c r="V2757" t="inlineStr">
        <is>
          <t>FR</t>
        </is>
      </c>
    </row>
    <row r="2758">
      <c r="A2758" t="n">
        <v>6152510</v>
      </c>
      <c r="B2758" t="inlineStr">
        <is>
          <t>8" OD Top Mounted Sub</t>
        </is>
      </c>
      <c r="C2758" t="n">
        <v>0</v>
      </c>
      <c r="D2758" s="62" t="n">
        <v>8</v>
      </c>
      <c r="E2758" t="n">
        <v>0</v>
      </c>
      <c r="T2758" t="n">
        <v>53</v>
      </c>
      <c r="V2758" t="inlineStr">
        <is>
          <t>FR</t>
        </is>
      </c>
    </row>
    <row r="2759">
      <c r="A2759" t="n">
        <v>6152511</v>
      </c>
      <c r="B2759" t="inlineStr">
        <is>
          <t>8" OD Top Mounted Sub</t>
        </is>
      </c>
      <c r="C2759" t="n">
        <v>0</v>
      </c>
      <c r="D2759" s="62" t="n">
        <v>8</v>
      </c>
      <c r="E2759" t="n">
        <v>0</v>
      </c>
      <c r="T2759" t="n">
        <v>54</v>
      </c>
      <c r="V2759" t="inlineStr">
        <is>
          <t>FR</t>
        </is>
      </c>
    </row>
    <row r="2760">
      <c r="A2760" t="n">
        <v>33700000004</v>
      </c>
      <c r="B2760" t="inlineStr">
        <is>
          <t>External Casing Patch for 7" csg</t>
        </is>
      </c>
      <c r="C2760" t="n">
        <v>0</v>
      </c>
      <c r="D2760" s="62" t="n">
        <v>8.375</v>
      </c>
      <c r="E2760" t="inlineStr">
        <is>
          <t>Lead</t>
        </is>
      </c>
      <c r="T2760" t="n">
        <v>5</v>
      </c>
    </row>
    <row r="2761">
      <c r="A2761" t="n">
        <v>33107500006</v>
      </c>
      <c r="B2761" t="inlineStr">
        <is>
          <t>External Casing Patch for 10-3/4" csg w/ oversize guide</t>
        </is>
      </c>
      <c r="C2761" t="n">
        <v>0</v>
      </c>
      <c r="D2761" s="62" t="n">
        <v>12.0625</v>
      </c>
      <c r="E2761" t="n">
        <v>0</v>
      </c>
      <c r="T2761" t="n">
        <v>7</v>
      </c>
    </row>
    <row r="2762">
      <c r="A2762" t="n">
        <v>33107500003</v>
      </c>
      <c r="B2762" t="inlineStr">
        <is>
          <t>External Casing Patch for 10-3/4" csg</t>
        </is>
      </c>
      <c r="C2762" t="n">
        <v>0</v>
      </c>
      <c r="D2762" s="62" t="n">
        <v>13.625</v>
      </c>
      <c r="E2762" t="n">
        <v>0</v>
      </c>
      <c r="T2762" t="n">
        <v>8</v>
      </c>
    </row>
    <row r="2763">
      <c r="A2763" t="n">
        <v>24020568050</v>
      </c>
      <c r="B2763" t="inlineStr">
        <is>
          <t>Junk Basket ITCO type 5" OD body
3-1/2" REG Box</t>
        </is>
      </c>
      <c r="C2763" t="n">
        <v>132</v>
      </c>
      <c r="D2763" s="62" t="n">
        <v>5</v>
      </c>
      <c r="E2763" t="n">
        <v>1740</v>
      </c>
      <c r="T2763" t="n">
        <v>5</v>
      </c>
    </row>
    <row r="2764">
      <c r="A2764" t="n">
        <v>13181250006</v>
      </c>
      <c r="B2764" t="inlineStr">
        <is>
          <t>Junk Basket ITCO type 8-1/8" OD body
4-1/2" IF Box</t>
        </is>
      </c>
      <c r="C2764" t="n">
        <v>78</v>
      </c>
      <c r="D2764" s="62" t="n">
        <v>8.125</v>
      </c>
      <c r="E2764" t="n">
        <v>1070</v>
      </c>
      <c r="T2764" t="n">
        <v>9</v>
      </c>
    </row>
    <row r="2765">
      <c r="A2765" t="n">
        <v>13181250005</v>
      </c>
      <c r="B2765" t="inlineStr">
        <is>
          <t>Junk Basket ITCO type 8-1/8" OD body
4-1/2" IF Box</t>
        </is>
      </c>
      <c r="C2765" t="n">
        <v>96</v>
      </c>
      <c r="D2765" s="62" t="n">
        <v>8.125</v>
      </c>
      <c r="E2765" t="n">
        <v>1100</v>
      </c>
      <c r="T2765" t="n">
        <v>10</v>
      </c>
    </row>
    <row r="2766">
      <c r="A2766" t="n">
        <v>13100000003</v>
      </c>
      <c r="B2766" t="inlineStr">
        <is>
          <t>Junk Basket ITCO type 10-1/8" OD body
6-5/8" REG Box</t>
        </is>
      </c>
      <c r="C2766" t="n">
        <v>120</v>
      </c>
      <c r="D2766" s="62" t="n">
        <v>10.125</v>
      </c>
      <c r="E2766" t="n">
        <v>1120</v>
      </c>
      <c r="T2766" t="n">
        <v>11</v>
      </c>
    </row>
    <row r="2767">
      <c r="A2767" t="n">
        <v>13100000004</v>
      </c>
      <c r="B2767" t="inlineStr">
        <is>
          <t>Junk Basket ITCO type 10-1/8" OD body
6-5/8" REG Box</t>
        </is>
      </c>
      <c r="C2767" t="n">
        <v>126</v>
      </c>
      <c r="D2767" s="62" t="n">
        <v>10.125</v>
      </c>
      <c r="E2767" t="n">
        <v>1120</v>
      </c>
      <c r="T2767" t="n">
        <v>12</v>
      </c>
    </row>
    <row r="2768">
      <c r="A2768" t="n">
        <v>13112500002</v>
      </c>
      <c r="B2768" t="inlineStr">
        <is>
          <t>Junk Basket ITCO type 11-1/4" OD body
6-5/8" REG Box</t>
        </is>
      </c>
      <c r="C2768" t="n">
        <v>134</v>
      </c>
      <c r="D2768" s="62" t="n">
        <v>11.25</v>
      </c>
      <c r="E2768" t="n">
        <v>1120</v>
      </c>
      <c r="T2768" t="n">
        <v>13</v>
      </c>
    </row>
    <row r="2769">
      <c r="A2769" t="n">
        <v>13114500001</v>
      </c>
      <c r="B2769" t="inlineStr">
        <is>
          <t>Junk Basket ITCO type 14-1/2" OD body
6-5/8" REG Box</t>
        </is>
      </c>
      <c r="C2769" t="n">
        <v>280</v>
      </c>
      <c r="D2769" s="62" t="n">
        <v>14.5</v>
      </c>
      <c r="E2769" t="n">
        <v>1600</v>
      </c>
      <c r="T2769" t="n">
        <v>14</v>
      </c>
    </row>
    <row r="2770">
      <c r="A2770" t="n">
        <v>1050587050</v>
      </c>
      <c r="B2770" t="inlineStr">
        <is>
          <t>Hydraulic Junk Retriever 5-7/8" OD body
3-1/2" REG Pin</t>
        </is>
      </c>
      <c r="C2770" t="n">
        <v>156</v>
      </c>
      <c r="D2770" s="62" t="n">
        <v>5.875</v>
      </c>
      <c r="T2770" t="n">
        <v>5</v>
      </c>
    </row>
    <row r="2771">
      <c r="A2771" t="n">
        <v>15812500001</v>
      </c>
      <c r="B2771" t="inlineStr">
        <is>
          <t>Hydraulic Junk Retriever 8-1/8" OD body
4-1/2" IF Box</t>
        </is>
      </c>
      <c r="C2771" t="n">
        <v>144</v>
      </c>
      <c r="D2771" s="62" t="n">
        <v>8.125</v>
      </c>
      <c r="T2771" t="n">
        <v>6</v>
      </c>
    </row>
    <row r="2772">
      <c r="A2772" t="n">
        <v>1328000006</v>
      </c>
      <c r="B2772" t="inlineStr">
        <is>
          <t>Isert Magnet for ITCO JB or RCJB 11" OD barrel</t>
        </is>
      </c>
      <c r="D2772" s="62" t="inlineStr">
        <is>
          <t>8" OD</t>
        </is>
      </c>
    </row>
    <row r="2773">
      <c r="A2773" t="n">
        <v>1328000007</v>
      </c>
      <c r="B2773" t="inlineStr">
        <is>
          <t>Isert Magnet for ITCO JB or RCJB 11" OD barrel</t>
        </is>
      </c>
      <c r="D2773" s="62" t="inlineStr">
        <is>
          <t>8" OD</t>
        </is>
      </c>
    </row>
    <row r="2774">
      <c r="A2774" t="n">
        <v>1329000005</v>
      </c>
      <c r="B2774" t="inlineStr">
        <is>
          <t>Isert Magnet for ITCO JB or RCJB 10-3/8" OD barrel</t>
        </is>
      </c>
      <c r="D2774" s="62" t="inlineStr">
        <is>
          <t>9" OD</t>
        </is>
      </c>
    </row>
    <row r="2775">
      <c r="A2775" t="n">
        <v>13213500014</v>
      </c>
      <c r="B2775" t="inlineStr">
        <is>
          <t>Isert Magnet for ITCO JB or RCJB 13-3/4" OD barrel</t>
        </is>
      </c>
      <c r="D2775" s="62" t="inlineStr">
        <is>
          <t>11-1/2" OD</t>
        </is>
      </c>
    </row>
    <row r="2776">
      <c r="A2776" t="n">
        <v>13255000009</v>
      </c>
      <c r="B2776" t="inlineStr">
        <is>
          <t>Isert Magnet for ITCO JB or RCJB 7-7/8" OD barrel</t>
        </is>
      </c>
      <c r="D2776" s="62" t="inlineStr">
        <is>
          <t>5-1/2" OD</t>
        </is>
      </c>
    </row>
    <row r="2777">
      <c r="A2777" t="n">
        <v>13255000012</v>
      </c>
      <c r="B2777" t="inlineStr">
        <is>
          <t>Isert Magnet for ITCO JB or RCJB 7-7/8" OD barrel</t>
        </is>
      </c>
      <c r="D2777" s="62" t="inlineStr">
        <is>
          <t>5-1/2" OD</t>
        </is>
      </c>
    </row>
    <row r="2778">
      <c r="A2778" t="n">
        <v>132912500013</v>
      </c>
      <c r="B2778" t="inlineStr">
        <is>
          <t>Isert Magnet for ITCO JB or RCJB 9-3/8" OD barrel</t>
        </is>
      </c>
      <c r="D2778" s="62" t="inlineStr">
        <is>
          <t>7-1/2" OD</t>
        </is>
      </c>
    </row>
    <row r="2779">
      <c r="A2779" t="n">
        <v>13210500004</v>
      </c>
      <c r="B2779" t="inlineStr">
        <is>
          <t>Isert Magnet for ITCO JB or RCJB 13-5/8" OD barrel</t>
        </is>
      </c>
      <c r="D2779" s="62" t="inlineStr">
        <is>
          <t>handle</t>
        </is>
      </c>
    </row>
    <row r="2780">
      <c r="A2780" t="n">
        <v>4233875001</v>
      </c>
      <c r="B2780" t="inlineStr">
        <is>
          <t>Mechanical External Cutter 3-7/8" OD</t>
        </is>
      </c>
      <c r="C2780" t="n">
        <v>20</v>
      </c>
      <c r="D2780" s="62" t="n">
        <v>3.875</v>
      </c>
      <c r="T2780" t="n">
        <v>5</v>
      </c>
    </row>
    <row r="2781">
      <c r="A2781" t="n">
        <v>42360000008</v>
      </c>
      <c r="B2781" t="inlineStr">
        <is>
          <t>Mechanical External Cutter 5-7/8" OD</t>
        </is>
      </c>
      <c r="C2781" t="n">
        <v>70</v>
      </c>
      <c r="D2781" s="62" t="n">
        <v>5.875</v>
      </c>
      <c r="T2781" t="n">
        <v>6</v>
      </c>
    </row>
    <row r="2782">
      <c r="A2782" t="n">
        <v>41406250007</v>
      </c>
      <c r="B2782" t="inlineStr">
        <is>
          <t>Internal Mechanical Cutter 5-3/4" OD</t>
        </is>
      </c>
      <c r="C2782" t="n">
        <v>66</v>
      </c>
      <c r="D2782" s="62" t="n">
        <v>5.75</v>
      </c>
      <c r="E2782" t="n">
        <v>1290</v>
      </c>
      <c r="T2782" t="n">
        <v>5</v>
      </c>
    </row>
    <row r="2783">
      <c r="A2783" t="n">
        <v>41587500006</v>
      </c>
      <c r="B2783" t="inlineStr">
        <is>
          <t>Internal Mechanical Cutter 4" OD</t>
        </is>
      </c>
      <c r="C2783" t="n">
        <v>116</v>
      </c>
      <c r="D2783" s="62" t="n">
        <v>4</v>
      </c>
      <c r="E2783" t="n">
        <v>1300</v>
      </c>
      <c r="T2783" t="n">
        <v>6</v>
      </c>
    </row>
    <row r="2784">
      <c r="A2784" t="n">
        <v>3010302</v>
      </c>
      <c r="B2784" t="inlineStr">
        <is>
          <t>RTU 5700
3-1/2" REG Pin up</t>
        </is>
      </c>
      <c r="C2784" t="n">
        <v>212</v>
      </c>
      <c r="D2784" s="62" t="n">
        <v>5700</v>
      </c>
      <c r="E2784" t="n">
        <v>2270</v>
      </c>
      <c r="T2784" t="n">
        <v>6</v>
      </c>
    </row>
    <row r="2785">
      <c r="A2785" t="inlineStr">
        <is>
          <t>DTS083503</t>
        </is>
      </c>
      <c r="B2785" t="inlineStr">
        <is>
          <t>RTU Drag Type Stabilized Underreamer DTS350
2-3/8" REG Pin up</t>
        </is>
      </c>
      <c r="C2785" t="n">
        <v>28</v>
      </c>
      <c r="D2785" s="62" t="inlineStr">
        <is>
          <t>DTS350</t>
        </is>
      </c>
      <c r="E2785" t="n">
        <v>790</v>
      </c>
      <c r="T2785" t="n">
        <v>5</v>
      </c>
    </row>
    <row r="2786">
      <c r="A2786" t="n">
        <v>93147500001</v>
      </c>
      <c r="B2786" t="inlineStr">
        <is>
          <t>Hole Opener 14-3/4" 
6-5/8" REG Box x Box</t>
        </is>
      </c>
      <c r="C2786" t="n">
        <v>0</v>
      </c>
      <c r="D2786" s="62" t="n">
        <v>14.75</v>
      </c>
      <c r="E2786" t="n">
        <v>0</v>
      </c>
      <c r="T2786" t="n">
        <v>5</v>
      </c>
    </row>
    <row r="2787">
      <c r="A2787" t="inlineStr">
        <is>
          <t>DS2432</t>
        </is>
      </c>
      <c r="B2787" t="inlineStr">
        <is>
          <t>Bumper Sub 6-1/4" EBL Houston Engineers
4-1/2" IF Pin x Box</t>
        </is>
      </c>
      <c r="C2787" t="n">
        <v>340</v>
      </c>
      <c r="D2787" s="62" t="n">
        <v>6.25</v>
      </c>
      <c r="E2787" t="n">
        <v>0</v>
      </c>
      <c r="T2787" t="n">
        <v>20</v>
      </c>
    </row>
    <row r="2788">
      <c r="A2788" t="n">
        <v>4080299</v>
      </c>
      <c r="B2788" t="inlineStr">
        <is>
          <t>Super Fishing Jar 4-3/4" OD 
3-1/2" IF Pin down x Box up</t>
        </is>
      </c>
      <c r="C2788" t="n">
        <v>220</v>
      </c>
      <c r="D2788" s="62" t="n">
        <v>4.75</v>
      </c>
      <c r="E2788" t="n">
        <v>3380</v>
      </c>
      <c r="T2788" t="n">
        <v>7</v>
      </c>
    </row>
    <row r="2789">
      <c r="A2789" t="n">
        <v>4080300</v>
      </c>
      <c r="B2789" t="inlineStr">
        <is>
          <t>Super Fishing Jar 4-3/4" OD 
3-1/2" IF Pin down x Box up</t>
        </is>
      </c>
      <c r="C2789" t="n">
        <v>220</v>
      </c>
      <c r="D2789" s="62" t="n">
        <v>4.75</v>
      </c>
      <c r="E2789" t="n">
        <v>3380</v>
      </c>
      <c r="T2789" t="n">
        <v>8</v>
      </c>
    </row>
    <row r="2790">
      <c r="A2790" t="n">
        <v>14941250010</v>
      </c>
      <c r="B2790" t="inlineStr">
        <is>
          <t>String Mill 4,125 OD 
HT 26 Box x HT 26 Pin</t>
        </is>
      </c>
      <c r="C2790" t="n">
        <v>54</v>
      </c>
      <c r="D2790" s="62" t="n">
        <v>4.125</v>
      </c>
      <c r="E2790" t="n">
        <v>1375</v>
      </c>
      <c r="T2790" t="n">
        <v>5</v>
      </c>
    </row>
    <row r="2791">
      <c r="A2791" t="n">
        <v>14960000002</v>
      </c>
      <c r="B2791" t="inlineStr">
        <is>
          <t>String Mill 5,5625 OD 
3-1/2" REG Box x 3-1/2" IF Box</t>
        </is>
      </c>
      <c r="C2791" t="n">
        <v>112</v>
      </c>
      <c r="D2791" s="62" t="n">
        <v>5.5625</v>
      </c>
      <c r="E2791" t="n">
        <v>1580</v>
      </c>
      <c r="T2791" t="n">
        <v>11</v>
      </c>
    </row>
    <row r="2792">
      <c r="A2792" t="n">
        <v>14998125007</v>
      </c>
      <c r="B2792" t="inlineStr">
        <is>
          <t>String Mill 9,75 OD 
6-5/8" REG Box x 6-5/8" REG Pin</t>
        </is>
      </c>
      <c r="C2792" t="n">
        <v>316</v>
      </c>
      <c r="D2792" s="62" t="n">
        <v>9.75</v>
      </c>
      <c r="E2792" t="n">
        <v>1310</v>
      </c>
      <c r="T2792" t="n">
        <v>24</v>
      </c>
    </row>
    <row r="2793">
      <c r="A2793" t="n">
        <v>14827625032</v>
      </c>
      <c r="B2793" t="inlineStr">
        <is>
          <t>XO pour WO
7-5/8" HYD Pin x 7-5/8" XL</t>
        </is>
      </c>
      <c r="D2793" s="62" t="n">
        <v>7.625</v>
      </c>
      <c r="E2793" t="n">
        <v>380</v>
      </c>
    </row>
    <row r="2794">
      <c r="A2794" t="inlineStr">
        <is>
          <t>5110217-1</t>
        </is>
      </c>
      <c r="B2794" t="inlineStr">
        <is>
          <t>WO Shoe
8-5/8" FJWP Box</t>
        </is>
      </c>
      <c r="C2794" t="n">
        <v>0</v>
      </c>
      <c r="D2794" s="62" t="n">
        <v>8.75</v>
      </c>
      <c r="E2794" t="n">
        <v>750</v>
      </c>
      <c r="T2794" t="n">
        <v>203</v>
      </c>
    </row>
    <row r="2795">
      <c r="A2795" t="inlineStr">
        <is>
          <t>5110217-2</t>
        </is>
      </c>
      <c r="B2795" t="inlineStr">
        <is>
          <t>WO Shoe
8-5/8" FJWP Box</t>
        </is>
      </c>
      <c r="C2795" t="n">
        <v>0</v>
      </c>
      <c r="D2795" s="62" t="n">
        <v>8.75</v>
      </c>
      <c r="E2795" t="n">
        <v>850</v>
      </c>
      <c r="T2795" t="n">
        <v>204</v>
      </c>
    </row>
    <row r="2796">
      <c r="A2796" t="inlineStr">
        <is>
          <t>5110217-3</t>
        </is>
      </c>
      <c r="B2796" t="inlineStr">
        <is>
          <t>WO Shoe
8-5/8" FJWP Box</t>
        </is>
      </c>
      <c r="C2796" t="n">
        <v>0</v>
      </c>
      <c r="D2796" s="62" t="n">
        <v>0</v>
      </c>
      <c r="E2796" t="n">
        <v>0</v>
      </c>
      <c r="T2796" t="n">
        <v>205</v>
      </c>
    </row>
    <row r="2797">
      <c r="A2797" t="inlineStr">
        <is>
          <t>5110217-4</t>
        </is>
      </c>
      <c r="B2797" t="inlineStr">
        <is>
          <t>WO Shoe
8-5/8" FJWP Box</t>
        </is>
      </c>
      <c r="C2797" t="n">
        <v>0</v>
      </c>
      <c r="D2797" s="62" t="n">
        <v>0</v>
      </c>
      <c r="E2797" t="n">
        <v>0</v>
      </c>
      <c r="T2797" t="n">
        <v>206</v>
      </c>
    </row>
    <row r="2798">
      <c r="A2798" t="inlineStr">
        <is>
          <t>gris 2</t>
        </is>
      </c>
      <c r="B2798" t="inlineStr">
        <is>
          <t>DP Elevator for 3-1/2" DP 18°
Center Latch</t>
        </is>
      </c>
      <c r="C2798" t="n">
        <v>162</v>
      </c>
      <c r="D2798" s="62" t="inlineStr">
        <is>
          <t>3-1/2" DP</t>
        </is>
      </c>
      <c r="E2798" t="inlineStr">
        <is>
          <t>18°</t>
        </is>
      </c>
      <c r="T2798" t="n">
        <v>14</v>
      </c>
    </row>
    <row r="2799">
      <c r="A2799" t="inlineStr">
        <is>
          <t>gris 3</t>
        </is>
      </c>
      <c r="B2799" t="inlineStr">
        <is>
          <t>DP Elevator for 3-1/2" Tbg with slips
Center Latch 100T</t>
        </is>
      </c>
      <c r="C2799" t="n">
        <v>162</v>
      </c>
      <c r="D2799" s="62" t="inlineStr">
        <is>
          <t>3-1/2" Tbg</t>
        </is>
      </c>
      <c r="E2799" t="inlineStr">
        <is>
          <t>à peignes</t>
        </is>
      </c>
      <c r="T2799" t="n">
        <v>12</v>
      </c>
    </row>
    <row r="2800">
      <c r="A2800" t="n">
        <v>191327002</v>
      </c>
      <c r="B2800" t="inlineStr">
        <is>
          <t xml:space="preserve">Sleeve 0 for PDM 9-5/8"
Set on : </t>
        </is>
      </c>
      <c r="C2800" t="n">
        <v>140</v>
      </c>
      <c r="D2800" s="62" t="n">
        <v>0</v>
      </c>
      <c r="T2800" t="n">
        <v>46</v>
      </c>
    </row>
    <row r="2801">
      <c r="A2801" t="n">
        <v>191326002</v>
      </c>
      <c r="B2801" t="inlineStr">
        <is>
          <t xml:space="preserve">Sleeve 0 for PDM 9-5/8"
Set on : </t>
        </is>
      </c>
      <c r="C2801" t="n">
        <v>140</v>
      </c>
      <c r="D2801" s="62" t="n">
        <v>0</v>
      </c>
      <c r="T2801" t="n">
        <v>47</v>
      </c>
    </row>
    <row r="2802">
      <c r="A2802" t="n">
        <v>191326001</v>
      </c>
      <c r="B2802" t="inlineStr">
        <is>
          <t xml:space="preserve">Sleeve 0 for PDM 9-5/8"
Set on : </t>
        </is>
      </c>
      <c r="C2802" t="n">
        <v>140</v>
      </c>
      <c r="D2802" s="62" t="n">
        <v>0</v>
      </c>
      <c r="T2802" t="n">
        <v>48</v>
      </c>
    </row>
    <row r="2803">
      <c r="A2803" t="n">
        <v>191328002</v>
      </c>
      <c r="B2803" t="inlineStr">
        <is>
          <t xml:space="preserve">Sleeve 0 for PDM 9-5/8"
Set on : </t>
        </is>
      </c>
      <c r="C2803" t="n">
        <v>110</v>
      </c>
      <c r="D2803" s="62" t="n">
        <v>0</v>
      </c>
      <c r="T2803" t="n">
        <v>55</v>
      </c>
    </row>
    <row r="2804">
      <c r="A2804" t="n">
        <v>191328001</v>
      </c>
      <c r="B2804" t="inlineStr">
        <is>
          <t xml:space="preserve">Sleeve 0 for PDM 9-5/8"
Set on : </t>
        </is>
      </c>
      <c r="C2804" t="n">
        <v>110</v>
      </c>
      <c r="D2804" s="62" t="n">
        <v>0</v>
      </c>
      <c r="T2804" t="n">
        <v>56</v>
      </c>
    </row>
    <row r="2805">
      <c r="A2805" t="n">
        <v>191329002</v>
      </c>
      <c r="B2805" t="inlineStr">
        <is>
          <t xml:space="preserve">Sleeve 0 for PDM 9-5/8"
Set on : </t>
        </is>
      </c>
      <c r="C2805" t="n">
        <v>110</v>
      </c>
      <c r="D2805" s="62" t="n">
        <v>0</v>
      </c>
      <c r="T2805" t="n">
        <v>57</v>
      </c>
    </row>
    <row r="2806">
      <c r="A2806" t="n">
        <v>191329001</v>
      </c>
      <c r="B2806" t="inlineStr">
        <is>
          <t xml:space="preserve">Sleeve 0 for PDM 9-5/8"
Set on : </t>
        </is>
      </c>
      <c r="C2806" t="n">
        <v>110</v>
      </c>
      <c r="D2806" s="62" t="n">
        <v>0</v>
      </c>
      <c r="T2806" t="n">
        <v>58</v>
      </c>
    </row>
    <row r="2807">
      <c r="A2807" t="n">
        <v>191220001</v>
      </c>
      <c r="B2807" t="inlineStr">
        <is>
          <t>Sleeve 0 for PDM 8-1/2"</t>
        </is>
      </c>
      <c r="C2807" t="n">
        <v>70</v>
      </c>
      <c r="D2807" s="62" t="n">
        <v>0</v>
      </c>
      <c r="T2807" t="n">
        <v>69</v>
      </c>
    </row>
    <row r="2808">
      <c r="A2808" t="n">
        <v>191346001</v>
      </c>
      <c r="B2808" t="inlineStr">
        <is>
          <t>Sleeve 0 for PDM 8-1/2"</t>
        </is>
      </c>
      <c r="C2808" t="n">
        <v>70</v>
      </c>
      <c r="D2808" s="62" t="n">
        <v>0</v>
      </c>
      <c r="T2808" t="n">
        <v>70</v>
      </c>
    </row>
    <row r="2809">
      <c r="A2809" t="n">
        <v>191213002</v>
      </c>
      <c r="B2809" t="inlineStr">
        <is>
          <t>Sleeve 0 for PDM 6-3/4"</t>
        </is>
      </c>
      <c r="C2809" t="n">
        <v>22</v>
      </c>
      <c r="D2809" s="62" t="n">
        <v>0</v>
      </c>
      <c r="T2809" t="n">
        <v>83</v>
      </c>
    </row>
    <row r="2810">
      <c r="A2810" t="n">
        <v>191213001</v>
      </c>
      <c r="B2810" t="inlineStr">
        <is>
          <t>Sleeve 0 for PDM 6-3/4"</t>
        </is>
      </c>
      <c r="C2810" t="n">
        <v>22</v>
      </c>
      <c r="D2810" s="62" t="n">
        <v>0</v>
      </c>
      <c r="T2810" t="n">
        <v>84</v>
      </c>
    </row>
    <row r="2811">
      <c r="A2811" t="n">
        <v>191212002</v>
      </c>
      <c r="B2811" t="inlineStr">
        <is>
          <t>Sleeve 0 for PDM 6-3/4"</t>
        </is>
      </c>
      <c r="C2811" t="n">
        <v>22</v>
      </c>
      <c r="D2811" s="62" t="n">
        <v>0</v>
      </c>
      <c r="T2811" t="n">
        <v>85</v>
      </c>
    </row>
    <row r="2812">
      <c r="A2812" t="n">
        <v>191212001</v>
      </c>
      <c r="B2812" t="inlineStr">
        <is>
          <t>Sleeve 0 for PDM 6-3/4"</t>
        </is>
      </c>
      <c r="C2812" t="n">
        <v>22</v>
      </c>
      <c r="D2812" s="62" t="n">
        <v>0</v>
      </c>
      <c r="T2812" t="n">
        <v>86</v>
      </c>
    </row>
    <row r="2813">
      <c r="A2813" t="n">
        <v>191197002</v>
      </c>
      <c r="B2813" t="inlineStr">
        <is>
          <t>Sleeve 0 for PDM 6-3/4"</t>
        </is>
      </c>
      <c r="C2813" t="n">
        <v>30</v>
      </c>
      <c r="D2813" s="62" t="n">
        <v>0</v>
      </c>
      <c r="T2813" t="n">
        <v>91</v>
      </c>
    </row>
    <row r="2814">
      <c r="A2814" t="n">
        <v>191196002</v>
      </c>
      <c r="B2814" t="inlineStr">
        <is>
          <t>Sleeve 0 for PDM 6-3/4"</t>
        </is>
      </c>
      <c r="C2814" t="n">
        <v>30</v>
      </c>
      <c r="D2814" s="62" t="n">
        <v>0</v>
      </c>
      <c r="T2814" t="n">
        <v>92</v>
      </c>
    </row>
    <row r="2815">
      <c r="A2815" t="n">
        <v>191197001</v>
      </c>
      <c r="B2815" t="inlineStr">
        <is>
          <t>Sleeve 0 for PDM 6-3/4"</t>
        </is>
      </c>
      <c r="C2815" t="n">
        <v>30</v>
      </c>
      <c r="D2815" s="62" t="n">
        <v>0</v>
      </c>
      <c r="T2815" t="n">
        <v>93</v>
      </c>
    </row>
    <row r="2816">
      <c r="A2816" t="n">
        <v>192719001</v>
      </c>
      <c r="B2816" t="inlineStr">
        <is>
          <t>Sleeve 0 for PDM 4-3/4"</t>
        </is>
      </c>
      <c r="C2816" t="n">
        <v>8</v>
      </c>
      <c r="D2816" s="62" t="n">
        <v>0</v>
      </c>
      <c r="T2816" t="n">
        <v>99</v>
      </c>
    </row>
    <row r="2817">
      <c r="A2817" t="n">
        <v>192719002</v>
      </c>
      <c r="B2817" t="inlineStr">
        <is>
          <t>Sleeve 0 for PDM 4-3/4"</t>
        </is>
      </c>
      <c r="C2817" t="n">
        <v>8</v>
      </c>
      <c r="D2817" s="62" t="n">
        <v>0</v>
      </c>
      <c r="T2817" t="n">
        <v>100</v>
      </c>
    </row>
    <row r="2818">
      <c r="A2818" t="inlineStr">
        <is>
          <t>40125100-1</t>
        </is>
      </c>
      <c r="B2818" t="inlineStr">
        <is>
          <t>Totco Recorder Single Shot MD</t>
        </is>
      </c>
      <c r="D2818" s="62" t="n"/>
      <c r="T2818" t="n">
        <v>5</v>
      </c>
    </row>
    <row r="2819">
      <c r="A2819" t="inlineStr">
        <is>
          <t>Kit MWD n°10</t>
        </is>
      </c>
      <c r="B2819" t="inlineStr">
        <is>
          <t>MWD kit n°10</t>
        </is>
      </c>
      <c r="C2819" t="n">
        <v>652</v>
      </c>
      <c r="D2819" s="62" t="n"/>
      <c r="E2819" t="inlineStr">
        <is>
          <t>244x122x92</t>
        </is>
      </c>
      <c r="T2819" t="n">
        <v>5</v>
      </c>
      <c r="W2819" t="n">
        <v>9015808000</v>
      </c>
    </row>
    <row r="2820">
      <c r="A2820" t="inlineStr">
        <is>
          <t>Kit MWD n°23</t>
        </is>
      </c>
      <c r="B2820" t="inlineStr">
        <is>
          <t>MWD kit n°23</t>
        </is>
      </c>
      <c r="C2820" t="n">
        <v>652</v>
      </c>
      <c r="D2820" s="62" t="n"/>
      <c r="E2820" t="inlineStr">
        <is>
          <t>244x122x92</t>
        </is>
      </c>
      <c r="T2820" t="n">
        <v>7</v>
      </c>
      <c r="V2820" t="inlineStr">
        <is>
          <t>CA</t>
        </is>
      </c>
      <c r="W2820" t="n">
        <v>9015808000</v>
      </c>
    </row>
    <row r="2821">
      <c r="A2821" t="inlineStr">
        <is>
          <t>Kit MWD n°24</t>
        </is>
      </c>
      <c r="B2821" t="inlineStr">
        <is>
          <t>MWD kit n°24</t>
        </is>
      </c>
      <c r="C2821" t="n">
        <v>650</v>
      </c>
      <c r="D2821" s="62" t="n"/>
      <c r="E2821" t="inlineStr">
        <is>
          <t>244x122x92</t>
        </is>
      </c>
      <c r="T2821" t="n">
        <v>6</v>
      </c>
      <c r="V2821" t="inlineStr">
        <is>
          <t>CA</t>
        </is>
      </c>
      <c r="W2821" t="n">
        <v>9015808000</v>
      </c>
    </row>
    <row r="2822">
      <c r="A2822" t="n">
        <v>71400000006</v>
      </c>
      <c r="B2822" t="inlineStr">
        <is>
          <t>Die Collar Left Hand to catch 3" to 3-5/8"
Lg taper 340mm
2-7/8" REG Box LH</t>
        </is>
      </c>
      <c r="C2822" t="n">
        <v>10</v>
      </c>
      <c r="D2822" s="62" t="n">
        <v>4</v>
      </c>
      <c r="E2822" t="n">
        <v>0</v>
      </c>
      <c r="T2822" t="n">
        <v>5</v>
      </c>
    </row>
    <row r="2823">
      <c r="A2823" t="n">
        <v>72468750004</v>
      </c>
      <c r="B2823" t="inlineStr">
        <is>
          <t>FS Overshot Left Hand - CA ?
3-1/2" IF LH Box</t>
        </is>
      </c>
      <c r="C2823" t="n">
        <v>0</v>
      </c>
      <c r="D2823" s="62" t="inlineStr">
        <is>
          <t>FS</t>
        </is>
      </c>
      <c r="E2823" t="n">
        <v>0</v>
      </c>
      <c r="T2823" t="n">
        <v>99</v>
      </c>
    </row>
    <row r="2824">
      <c r="A2824" t="n">
        <v>72812500026</v>
      </c>
      <c r="B2824" t="inlineStr">
        <is>
          <t>FS Overshot Left Hand - CA ?
4-1/2" IF LH Box</t>
        </is>
      </c>
      <c r="C2824" t="n">
        <v>0</v>
      </c>
      <c r="D2824" s="62" t="inlineStr">
        <is>
          <t>FS</t>
        </is>
      </c>
      <c r="E2824" t="n">
        <v>0</v>
      </c>
      <c r="T2824" t="n">
        <v>100</v>
      </c>
    </row>
    <row r="2825">
      <c r="A2825" t="n">
        <v>7040762002</v>
      </c>
      <c r="B2825" t="inlineStr">
        <is>
          <t>Oversize Guide 10-3/4" OD
7-5/8" SH Sellers Pin</t>
        </is>
      </c>
      <c r="C2825" t="n">
        <v>0</v>
      </c>
      <c r="D2825" s="62" t="inlineStr">
        <is>
          <t>10-3/4"</t>
        </is>
      </c>
      <c r="E2825" t="n">
        <v>0</v>
      </c>
      <c r="T2825" t="n">
        <v>8</v>
      </c>
    </row>
    <row r="2826">
      <c r="A2826" t="n">
        <v>7040775001</v>
      </c>
      <c r="B2826" t="inlineStr">
        <is>
          <t>Oversize Guide 13" OD
7-3/4" SFS Sellers Pin</t>
        </is>
      </c>
      <c r="C2826" t="n">
        <v>0</v>
      </c>
      <c r="D2826" s="62" t="inlineStr">
        <is>
          <t>13"</t>
        </is>
      </c>
      <c r="E2826" t="n">
        <v>0</v>
      </c>
      <c r="T2826" t="n">
        <v>9</v>
      </c>
    </row>
    <row r="2827">
      <c r="A2827" t="n">
        <v>7040787006</v>
      </c>
      <c r="B2827" t="inlineStr">
        <is>
          <t>Oversize Guide 11" OD
7-7/8" FS Sellers Pin</t>
        </is>
      </c>
      <c r="C2827" t="n">
        <v>0</v>
      </c>
      <c r="D2827" s="62" t="inlineStr">
        <is>
          <t>11"</t>
        </is>
      </c>
      <c r="E2827" t="n">
        <v>0</v>
      </c>
      <c r="T2827" t="n">
        <v>10</v>
      </c>
    </row>
    <row r="2828">
      <c r="A2828" t="n">
        <v>7040787007</v>
      </c>
      <c r="B2828" t="inlineStr">
        <is>
          <t>Oversize Guide 11" OD
7-7/8" FS Sellers Pin</t>
        </is>
      </c>
      <c r="C2828" t="n">
        <v>0</v>
      </c>
      <c r="D2828" s="62" t="inlineStr">
        <is>
          <t>11"</t>
        </is>
      </c>
      <c r="E2828" t="n">
        <v>0</v>
      </c>
      <c r="T2828" t="n">
        <v>11</v>
      </c>
    </row>
    <row r="2829">
      <c r="A2829" t="n">
        <v>7040812002</v>
      </c>
      <c r="B2829" t="inlineStr">
        <is>
          <t>Oversize Guide 15" OD
7-7/8" FS Sellers Pin</t>
        </is>
      </c>
      <c r="C2829" t="n">
        <v>0</v>
      </c>
      <c r="D2829" s="62" t="inlineStr">
        <is>
          <t>15"</t>
        </is>
      </c>
      <c r="E2829" t="n">
        <v>0</v>
      </c>
      <c r="T2829" t="n">
        <v>12</v>
      </c>
    </row>
    <row r="2830">
      <c r="A2830" t="n">
        <v>7040787001</v>
      </c>
      <c r="B2830" t="inlineStr">
        <is>
          <t>Oversize Guide 0 OD
7-7/8" SH Sellers Pin</t>
        </is>
      </c>
      <c r="C2830" t="n">
        <v>0</v>
      </c>
      <c r="D2830" s="62" t="n">
        <v>0</v>
      </c>
      <c r="E2830" t="n">
        <v>0</v>
      </c>
      <c r="T2830" t="n">
        <v>13</v>
      </c>
    </row>
    <row r="2831">
      <c r="A2831" t="n">
        <v>7040787002</v>
      </c>
      <c r="B2831" t="inlineStr">
        <is>
          <t>Oversize Guide 15" OD
7-7/8" SH Sellers Pin</t>
        </is>
      </c>
      <c r="C2831" t="n">
        <v>0</v>
      </c>
      <c r="D2831" s="62" t="inlineStr">
        <is>
          <t>15"</t>
        </is>
      </c>
      <c r="E2831" t="n">
        <v>0</v>
      </c>
      <c r="T2831" t="n">
        <v>14</v>
      </c>
    </row>
    <row r="2832">
      <c r="A2832" t="n">
        <v>7040787003</v>
      </c>
      <c r="B2832" t="inlineStr">
        <is>
          <t>Oversize Guide 15" OD
7-7/8" SH Sellers Pin</t>
        </is>
      </c>
      <c r="C2832" t="n">
        <v>0</v>
      </c>
      <c r="D2832" s="62" t="inlineStr">
        <is>
          <t>15"</t>
        </is>
      </c>
      <c r="E2832" t="n">
        <v>0</v>
      </c>
      <c r="T2832" t="n">
        <v>15</v>
      </c>
    </row>
    <row r="2833">
      <c r="A2833" t="n">
        <v>7040787004</v>
      </c>
      <c r="B2833" t="inlineStr">
        <is>
          <t>Oversize Guide 10-7/8" OD
7-7/8" SH Sellers Pin</t>
        </is>
      </c>
      <c r="C2833" t="n">
        <v>0</v>
      </c>
      <c r="D2833" s="62" t="inlineStr">
        <is>
          <t>10-7/8"</t>
        </is>
      </c>
      <c r="E2833" t="n">
        <v>0</v>
      </c>
      <c r="T2833" t="n">
        <v>16</v>
      </c>
    </row>
    <row r="2834">
      <c r="A2834" t="n">
        <v>7040812001</v>
      </c>
      <c r="B2834" t="inlineStr">
        <is>
          <t>Oversize Guide 21-13/16" OD
8-1/8" FS Sellers Pin</t>
        </is>
      </c>
      <c r="C2834" t="n">
        <v>0</v>
      </c>
      <c r="D2834" s="62" t="inlineStr">
        <is>
          <t>21-13/16"</t>
        </is>
      </c>
      <c r="E2834" t="n">
        <v>0</v>
      </c>
      <c r="T2834" t="n">
        <v>17</v>
      </c>
    </row>
    <row r="2835">
      <c r="A2835" t="n">
        <v>7040812005</v>
      </c>
      <c r="B2835" t="inlineStr">
        <is>
          <t>Oversize Guide 12" OD
8-1/8" FS Sellers Pin</t>
        </is>
      </c>
      <c r="C2835" t="n">
        <v>0</v>
      </c>
      <c r="D2835" s="62" t="inlineStr">
        <is>
          <t>12"</t>
        </is>
      </c>
      <c r="E2835" t="n">
        <v>0</v>
      </c>
      <c r="T2835" t="n">
        <v>18</v>
      </c>
    </row>
    <row r="2836">
      <c r="A2836" t="n">
        <v>704096004</v>
      </c>
      <c r="B2836" t="inlineStr">
        <is>
          <t>Oversize Guide 10,9375 OD
8-1/8" FS Sellers Pin</t>
        </is>
      </c>
      <c r="C2836" t="n">
        <v>0</v>
      </c>
      <c r="D2836" s="62" t="n">
        <v>10.9375</v>
      </c>
      <c r="E2836" t="n">
        <v>0</v>
      </c>
      <c r="T2836" t="n">
        <v>19</v>
      </c>
    </row>
    <row r="2837">
      <c r="A2837" t="n">
        <v>7060806</v>
      </c>
      <c r="B2837" t="inlineStr">
        <is>
          <t>Oversize Guide 10-1/8" OD
8-1/8" FS Sellers Pin</t>
        </is>
      </c>
      <c r="C2837" t="n">
        <v>0</v>
      </c>
      <c r="D2837" s="62" t="inlineStr">
        <is>
          <t>10-1/8"</t>
        </is>
      </c>
      <c r="E2837" t="n">
        <v>0</v>
      </c>
      <c r="T2837" t="n">
        <v>20</v>
      </c>
    </row>
    <row r="2838">
      <c r="A2838" t="n">
        <v>7040912001</v>
      </c>
      <c r="B2838" t="inlineStr">
        <is>
          <t>Oversize Guide 13" OD
9-1/8" SH Sellers Pin</t>
        </is>
      </c>
      <c r="C2838" t="n">
        <v>0</v>
      </c>
      <c r="D2838" s="62" t="inlineStr">
        <is>
          <t>13"</t>
        </is>
      </c>
      <c r="E2838" t="n">
        <v>0</v>
      </c>
      <c r="T2838" t="n">
        <v>26</v>
      </c>
    </row>
    <row r="2839">
      <c r="A2839" t="n">
        <v>7040912002</v>
      </c>
      <c r="B2839" t="inlineStr">
        <is>
          <t>Oversize Guide 19" OD
9-1/8" SH Sellers Pin</t>
        </is>
      </c>
      <c r="C2839" t="n">
        <v>0</v>
      </c>
      <c r="D2839" s="62" t="inlineStr">
        <is>
          <t>19"</t>
        </is>
      </c>
      <c r="E2839" t="n">
        <v>0</v>
      </c>
      <c r="T2839" t="n">
        <v>27</v>
      </c>
    </row>
    <row r="2840">
      <c r="A2840" t="n">
        <v>7040937006</v>
      </c>
      <c r="B2840" t="inlineStr">
        <is>
          <t>Oversize Guide 11" OD
9-1/8" SH Sellers Pin</t>
        </is>
      </c>
      <c r="C2840" t="n">
        <v>0</v>
      </c>
      <c r="D2840" s="62" t="inlineStr">
        <is>
          <t>11"</t>
        </is>
      </c>
      <c r="E2840" t="n">
        <v>0</v>
      </c>
      <c r="T2840" t="n">
        <v>28</v>
      </c>
    </row>
    <row r="2841">
      <c r="A2841" t="n">
        <v>7040937001</v>
      </c>
      <c r="B2841" t="inlineStr">
        <is>
          <t>Oversize Guide 13" OD
9-3/8" FS Sellers Pin</t>
        </is>
      </c>
      <c r="C2841" t="n">
        <v>0</v>
      </c>
      <c r="D2841" s="62" t="inlineStr">
        <is>
          <t>13"</t>
        </is>
      </c>
      <c r="E2841" t="n">
        <v>0</v>
      </c>
      <c r="T2841" t="n">
        <v>29</v>
      </c>
    </row>
    <row r="2842">
      <c r="A2842" t="n">
        <v>7040937005</v>
      </c>
      <c r="B2842" t="inlineStr">
        <is>
          <t>Oversize Guide 21-1/4" OD
9-3/8" FS Sellers Pin</t>
        </is>
      </c>
      <c r="C2842" t="n">
        <v>0</v>
      </c>
      <c r="D2842" s="62" t="inlineStr">
        <is>
          <t>21-1/4"</t>
        </is>
      </c>
      <c r="E2842" t="n">
        <v>0</v>
      </c>
      <c r="T2842" t="n">
        <v>31</v>
      </c>
    </row>
    <row r="2843">
      <c r="A2843" t="n">
        <v>7040962002</v>
      </c>
      <c r="B2843" t="inlineStr">
        <is>
          <t>Oversize Guide 11" OD
9-5/8" FS Sellers Pin</t>
        </is>
      </c>
      <c r="C2843" t="n">
        <v>0</v>
      </c>
      <c r="D2843" s="62" t="inlineStr">
        <is>
          <t>11"</t>
        </is>
      </c>
      <c r="E2843" t="n">
        <v>0</v>
      </c>
      <c r="T2843" t="n">
        <v>33</v>
      </c>
    </row>
    <row r="2844">
      <c r="A2844" t="n">
        <v>7040962003</v>
      </c>
      <c r="B2844" t="inlineStr">
        <is>
          <t>Oversize Guide 11-3/8" OD
9-5/8" FS Sellers Pin</t>
        </is>
      </c>
      <c r="C2844" t="n">
        <v>0</v>
      </c>
      <c r="D2844" s="62" t="inlineStr">
        <is>
          <t>11-3/8"</t>
        </is>
      </c>
      <c r="E2844" t="n">
        <v>0</v>
      </c>
      <c r="T2844" t="n">
        <v>34</v>
      </c>
    </row>
    <row r="2845">
      <c r="A2845" t="n">
        <v>7041087001</v>
      </c>
      <c r="B2845" t="inlineStr">
        <is>
          <t>Oversize Guide 15" OD
0</t>
        </is>
      </c>
      <c r="C2845" t="n">
        <v>0</v>
      </c>
      <c r="D2845" s="62" t="inlineStr">
        <is>
          <t>15"</t>
        </is>
      </c>
      <c r="E2845" t="n">
        <v>0</v>
      </c>
      <c r="T2845" t="n">
        <v>37</v>
      </c>
    </row>
    <row r="2846">
      <c r="A2846" t="n">
        <v>7041275001</v>
      </c>
      <c r="B2846" t="inlineStr">
        <is>
          <t>Oversize Guide 15" OD
0</t>
        </is>
      </c>
      <c r="C2846" t="n">
        <v>0</v>
      </c>
      <c r="D2846" s="62" t="inlineStr">
        <is>
          <t>15"</t>
        </is>
      </c>
      <c r="E2846" t="n">
        <v>0</v>
      </c>
      <c r="T2846" t="n">
        <v>43</v>
      </c>
    </row>
    <row r="2847">
      <c r="A2847" t="n">
        <v>740220000001</v>
      </c>
      <c r="B2847" t="inlineStr">
        <is>
          <t>Oversize Guide ? OD
0</t>
        </is>
      </c>
      <c r="C2847" t="n">
        <v>0</v>
      </c>
      <c r="D2847" s="62" t="inlineStr">
        <is>
          <t>?</t>
        </is>
      </c>
      <c r="E2847" t="n">
        <v>0</v>
      </c>
      <c r="T2847" t="n">
        <v>44</v>
      </c>
    </row>
    <row r="2848">
      <c r="A2848" t="inlineStr">
        <is>
          <t>#7</t>
        </is>
      </c>
      <c r="B2848" t="inlineStr">
        <is>
          <t>Oversize Guide 15" OD
8-1/8" FS Sellers Pin</t>
        </is>
      </c>
      <c r="C2848" t="n">
        <v>0</v>
      </c>
      <c r="D2848" s="62" t="inlineStr">
        <is>
          <t>15"</t>
        </is>
      </c>
      <c r="E2848" t="n">
        <v>570</v>
      </c>
      <c r="T2848" t="n">
        <v>21</v>
      </c>
    </row>
    <row r="2849">
      <c r="A2849" t="n">
        <v>7050556001</v>
      </c>
      <c r="B2849" t="inlineStr">
        <is>
          <t>Oversize Guide 5,6875 OD
5-9/16" FS Sellers Pin</t>
        </is>
      </c>
      <c r="C2849" t="n">
        <v>0</v>
      </c>
      <c r="D2849" s="62" t="n">
        <v>5.6875</v>
      </c>
      <c r="E2849" t="n">
        <v>775</v>
      </c>
      <c r="T2849" t="n">
        <v>5</v>
      </c>
    </row>
    <row r="2850">
      <c r="A2850" t="n">
        <v>7050787050</v>
      </c>
      <c r="B2850" t="inlineStr">
        <is>
          <t>Oversize Guide 8,125 OD
7-7/8" SH Sellers Pin</t>
        </is>
      </c>
      <c r="C2850" t="n">
        <v>0</v>
      </c>
      <c r="D2850" s="62" t="n">
        <v>8.125</v>
      </c>
      <c r="E2850" t="n">
        <v>910</v>
      </c>
      <c r="T2850" t="n">
        <v>6</v>
      </c>
    </row>
    <row r="2851">
      <c r="A2851" t="n">
        <v>7050787051</v>
      </c>
      <c r="B2851" t="inlineStr">
        <is>
          <t>Oversize Guide 7,875 OD
7-7/8" FS Sellers Pin</t>
        </is>
      </c>
      <c r="C2851" t="n">
        <v>0</v>
      </c>
      <c r="D2851" s="62" t="n">
        <v>7.875</v>
      </c>
      <c r="E2851" t="n">
        <v>840</v>
      </c>
      <c r="T2851" t="n">
        <v>7</v>
      </c>
    </row>
    <row r="2852">
      <c r="A2852" t="n">
        <v>75787500003</v>
      </c>
      <c r="B2852" t="inlineStr">
        <is>
          <t>Oversize Guide 7,875 OD
8-1/8" FS Sellers Pin</t>
        </is>
      </c>
      <c r="C2852" t="n">
        <v>0</v>
      </c>
      <c r="D2852" s="62" t="n">
        <v>7.875</v>
      </c>
      <c r="E2852" t="n">
        <v>840</v>
      </c>
      <c r="T2852" t="n">
        <v>8</v>
      </c>
    </row>
    <row r="2853">
      <c r="A2853" t="n">
        <v>75117500001</v>
      </c>
      <c r="B2853" t="inlineStr">
        <is>
          <t>Oversize Guide 11,75 OD
11-3/4" FS Sellers Pin</t>
        </is>
      </c>
      <c r="C2853" t="n">
        <v>0</v>
      </c>
      <c r="D2853" s="62" t="n">
        <v>11.75</v>
      </c>
      <c r="E2853" t="n">
        <v>840</v>
      </c>
      <c r="T2853" t="n">
        <v>9</v>
      </c>
    </row>
    <row r="2854">
      <c r="A2854" t="n">
        <v>75117500002</v>
      </c>
      <c r="B2854" t="inlineStr">
        <is>
          <t>Oversize Guide 11,75 OD
11-3/4" FS Sellers Pin</t>
        </is>
      </c>
      <c r="C2854" t="n">
        <v>0</v>
      </c>
      <c r="D2854" s="62" t="n">
        <v>11.75</v>
      </c>
      <c r="E2854" t="n">
        <v>830</v>
      </c>
      <c r="T2854" t="n">
        <v>10</v>
      </c>
    </row>
    <row r="2855">
      <c r="A2855" t="n">
        <v>75117500004</v>
      </c>
      <c r="B2855" t="inlineStr">
        <is>
          <t>Oversize Guide 11,75 OD
11-3/4" FS Sellers Pin</t>
        </is>
      </c>
      <c r="C2855" t="n">
        <v>0</v>
      </c>
      <c r="D2855" s="62" t="n">
        <v>11.75</v>
      </c>
      <c r="E2855" t="n">
        <v>1435</v>
      </c>
      <c r="T2855" t="n">
        <v>11</v>
      </c>
    </row>
    <row r="2856">
      <c r="A2856" t="inlineStr">
        <is>
          <t>#9</t>
        </is>
      </c>
      <c r="B2856" t="inlineStr">
        <is>
          <t>Oversize Guide 5,75 OD
5-3/4" FS Sellers Pin</t>
        </is>
      </c>
      <c r="C2856" t="n">
        <v>0</v>
      </c>
      <c r="D2856" s="62" t="n">
        <v>5.75</v>
      </c>
      <c r="E2856" t="n">
        <v>840</v>
      </c>
      <c r="T2856" t="n">
        <v>12</v>
      </c>
    </row>
    <row r="2857">
      <c r="A2857" t="n">
        <v>11546250005</v>
      </c>
      <c r="B2857" t="inlineStr">
        <is>
          <t>Taper Tap 4-5/8" OD Left Hand
3-1/2" REG LH Box</t>
        </is>
      </c>
      <c r="C2857" t="n">
        <v>22</v>
      </c>
      <c r="D2857" s="62" t="n">
        <v>4.625</v>
      </c>
      <c r="E2857" t="n">
        <v>585</v>
      </c>
      <c r="T2857" t="n">
        <v>15</v>
      </c>
    </row>
    <row r="2858">
      <c r="A2858" t="n">
        <v>11562500035</v>
      </c>
      <c r="B2858" t="inlineStr">
        <is>
          <t>Taper Tap 6-1/4" OD Left Hand
4-1/2" IF LH Box</t>
        </is>
      </c>
      <c r="C2858" t="n">
        <v>56</v>
      </c>
      <c r="D2858" s="62" t="n">
        <v>6.25</v>
      </c>
      <c r="E2858" t="n">
        <v>990</v>
      </c>
      <c r="T2858" t="n">
        <v>29</v>
      </c>
    </row>
    <row r="2859">
      <c r="A2859" t="inlineStr">
        <is>
          <t>PR100014EX</t>
        </is>
      </c>
      <c r="B2859" t="inlineStr">
        <is>
          <t>Extension PMT Lg 305 mm
2-1/4" PRT Box x 2-1/4" PRT Pin</t>
        </is>
      </c>
      <c r="C2859" t="n">
        <v>6</v>
      </c>
      <c r="D2859" s="62" t="n">
        <v>2.25</v>
      </c>
      <c r="E2859" t="n">
        <v>305</v>
      </c>
      <c r="T2859" t="n">
        <v>18</v>
      </c>
    </row>
    <row r="2860">
      <c r="A2860" t="inlineStr">
        <is>
          <t>PR100015EX</t>
        </is>
      </c>
      <c r="B2860" t="inlineStr">
        <is>
          <t>Extension PMT Lg 610 mm
2-1/4" PRT Box x 2-1/4" PRT Pin</t>
        </is>
      </c>
      <c r="C2860" t="n">
        <v>12</v>
      </c>
      <c r="D2860" s="62" t="n">
        <v>2.25</v>
      </c>
      <c r="E2860" t="n">
        <v>610</v>
      </c>
      <c r="T2860" t="n">
        <v>19</v>
      </c>
    </row>
    <row r="2861">
      <c r="A2861" t="inlineStr">
        <is>
          <t>PR100016EX</t>
        </is>
      </c>
      <c r="B2861" t="inlineStr">
        <is>
          <t>Extension PMT Lg 910 mm
2-1/4" PRT Pin x 2-1/4" PRT Pin</t>
        </is>
      </c>
      <c r="C2861" t="n">
        <v>18</v>
      </c>
      <c r="D2861" s="62" t="n">
        <v>2.25</v>
      </c>
      <c r="E2861" t="n">
        <v>910</v>
      </c>
      <c r="T2861" t="n">
        <v>20</v>
      </c>
    </row>
    <row r="2862">
      <c r="A2862" t="inlineStr">
        <is>
          <t>PR100009EX</t>
        </is>
      </c>
      <c r="B2862" t="inlineStr">
        <is>
          <t>Extension PMT Lg 915 mm
3-1/8" PRT Box x 3-1/8" PRT Pin</t>
        </is>
      </c>
      <c r="C2862" t="n">
        <v>32</v>
      </c>
      <c r="D2862" s="62" t="n">
        <v>3.125</v>
      </c>
      <c r="E2862" t="n">
        <v>915</v>
      </c>
      <c r="T2862" t="n">
        <v>23</v>
      </c>
    </row>
    <row r="2863">
      <c r="A2863" t="inlineStr">
        <is>
          <t>PR100011EX</t>
        </is>
      </c>
      <c r="B2863" t="inlineStr">
        <is>
          <t>Extension PMT Lg 1525 mm
3-1/8" PRT Box x 3-1/8" PRT Pin</t>
        </is>
      </c>
      <c r="C2863" t="n">
        <v>54</v>
      </c>
      <c r="D2863" s="62" t="n">
        <v>3.125</v>
      </c>
      <c r="E2863" t="n">
        <v>1525</v>
      </c>
      <c r="T2863" t="n">
        <v>24</v>
      </c>
    </row>
    <row r="2864">
      <c r="A2864" t="inlineStr">
        <is>
          <t>PR100012EX</t>
        </is>
      </c>
      <c r="B2864" t="inlineStr">
        <is>
          <t>Extension PMT Lg 1830 mm
3-1/8" PRT Box x 3-1/8" PRT Pin</t>
        </is>
      </c>
      <c r="C2864" t="n">
        <v>66</v>
      </c>
      <c r="D2864" s="62" t="n">
        <v>3.125</v>
      </c>
      <c r="E2864" t="n">
        <v>1830</v>
      </c>
      <c r="T2864" t="n">
        <v>25</v>
      </c>
    </row>
    <row r="2865">
      <c r="A2865" t="inlineStr">
        <is>
          <t>PR100013EX</t>
        </is>
      </c>
      <c r="B2865" t="inlineStr">
        <is>
          <t>Extension PMT Lg 915 mm
3-1/8" PRT Box x 4-1/4" PRT Pin</t>
        </is>
      </c>
      <c r="C2865" t="n">
        <v>60</v>
      </c>
      <c r="D2865" s="62" t="n">
        <v>4.25</v>
      </c>
      <c r="E2865" t="n">
        <v>915</v>
      </c>
      <c r="T2865" t="n">
        <v>26</v>
      </c>
    </row>
    <row r="2866">
      <c r="A2866" t="inlineStr">
        <is>
          <t>PR100001EX</t>
        </is>
      </c>
      <c r="B2866" t="inlineStr">
        <is>
          <t>Extension PMT Lg 305 mm
4-1/4" PRT Box x 4-1/4" PRT Pin</t>
        </is>
      </c>
      <c r="C2866" t="n">
        <v>18</v>
      </c>
      <c r="D2866" s="62" t="n">
        <v>4.25</v>
      </c>
      <c r="E2866" t="n">
        <v>305</v>
      </c>
      <c r="T2866" t="n">
        <v>27</v>
      </c>
    </row>
    <row r="2867">
      <c r="A2867" t="inlineStr">
        <is>
          <t>PR100002EX</t>
        </is>
      </c>
      <c r="B2867" t="inlineStr">
        <is>
          <t>Extension PMT Lg 610 mm
4-1/4" PRT Box x 4-1/4" PRT Pin</t>
        </is>
      </c>
      <c r="C2867" t="n">
        <v>36</v>
      </c>
      <c r="D2867" s="62" t="n">
        <v>4.25</v>
      </c>
      <c r="E2867" t="n">
        <v>610</v>
      </c>
      <c r="T2867" t="n">
        <v>28</v>
      </c>
    </row>
    <row r="2868">
      <c r="A2868" t="inlineStr">
        <is>
          <t>PR100007EX1</t>
        </is>
      </c>
      <c r="B2868" t="inlineStr">
        <is>
          <t>Extension PMT Lg 915 mm
4-1/4" PRT Box x 4-1/4" PRT Pin</t>
        </is>
      </c>
      <c r="C2868" t="n">
        <v>58</v>
      </c>
      <c r="D2868" s="62" t="n">
        <v>4.25</v>
      </c>
      <c r="E2868" t="n">
        <v>915</v>
      </c>
      <c r="T2868" t="n">
        <v>29</v>
      </c>
    </row>
    <row r="2869">
      <c r="A2869" t="inlineStr">
        <is>
          <t>PR100007EX2</t>
        </is>
      </c>
      <c r="B2869" t="inlineStr">
        <is>
          <t>Extension PMT Lg 915 mm
4-1/4" PRT Box x 4-1/4" PRT Pin</t>
        </is>
      </c>
      <c r="C2869" t="n">
        <v>52</v>
      </c>
      <c r="D2869" s="62" t="n">
        <v>4.25</v>
      </c>
      <c r="E2869" t="n">
        <v>915</v>
      </c>
      <c r="T2869" t="n">
        <v>30</v>
      </c>
    </row>
    <row r="2870">
      <c r="A2870" t="inlineStr">
        <is>
          <t>PR100004EX1</t>
        </is>
      </c>
      <c r="B2870" t="inlineStr">
        <is>
          <t>Extension PMT Lg 1220 mm
4-1/4" PRT Box x 4-1/4" PRT Pin</t>
        </is>
      </c>
      <c r="C2870" t="n">
        <v>68</v>
      </c>
      <c r="D2870" s="62" t="n">
        <v>4.25</v>
      </c>
      <c r="E2870" t="n">
        <v>1220</v>
      </c>
      <c r="T2870" t="n">
        <v>31</v>
      </c>
    </row>
    <row r="2871">
      <c r="A2871" t="inlineStr">
        <is>
          <t>PR100004EX2</t>
        </is>
      </c>
      <c r="B2871" t="inlineStr">
        <is>
          <t>Extension PMT Lg 1220 mm
4-1/4" PRT Box x 4-1/4" PRT Pin</t>
        </is>
      </c>
      <c r="C2871" t="n">
        <v>68</v>
      </c>
      <c r="D2871" s="62" t="n">
        <v>4.25</v>
      </c>
      <c r="E2871" t="n">
        <v>1220</v>
      </c>
      <c r="T2871" t="n">
        <v>32</v>
      </c>
    </row>
    <row r="2872">
      <c r="A2872" t="inlineStr">
        <is>
          <t>PR100005EX</t>
        </is>
      </c>
      <c r="B2872" t="inlineStr">
        <is>
          <t>Extension PMT Lg 1525 mm
4-1/4" PRT Box x 4-1/4" PRT Pin</t>
        </is>
      </c>
      <c r="C2872" t="n">
        <v>84</v>
      </c>
      <c r="D2872" s="62" t="n">
        <v>4.25</v>
      </c>
      <c r="E2872" t="n">
        <v>1525</v>
      </c>
      <c r="T2872" t="n">
        <v>33</v>
      </c>
    </row>
    <row r="2873">
      <c r="A2873" t="inlineStr">
        <is>
          <t>PR100006EX</t>
        </is>
      </c>
      <c r="B2873" t="inlineStr">
        <is>
          <t>Extension PMT Lg 1830 mm
4-1/4" PRT Box x 4-1/4" PRT Pin</t>
        </is>
      </c>
      <c r="C2873" t="n">
        <v>102</v>
      </c>
      <c r="D2873" s="62" t="n">
        <v>4.25</v>
      </c>
      <c r="E2873" t="n">
        <v>1830</v>
      </c>
      <c r="T2873" t="n">
        <v>34</v>
      </c>
    </row>
    <row r="2874">
      <c r="A2874" t="inlineStr">
        <is>
          <t>DS2FH171</t>
        </is>
      </c>
      <c r="B2874" t="inlineStr">
        <is>
          <t>Releasing Spear 1-7/8" OD Mandrel Heavy Duty CA 17228
? Box</t>
        </is>
      </c>
      <c r="C2874" t="n">
        <v>4</v>
      </c>
      <c r="D2874" s="62" t="n">
        <v>1.875</v>
      </c>
      <c r="E2874" t="inlineStr">
        <is>
          <t>CA 17228</t>
        </is>
      </c>
      <c r="T2874" t="n">
        <v>5</v>
      </c>
    </row>
    <row r="2875">
      <c r="A2875" t="n">
        <v>11340000001</v>
      </c>
      <c r="B2875" t="inlineStr">
        <is>
          <t>Pack Off 3-1/4" OD body 
SPC Box x Box up</t>
        </is>
      </c>
      <c r="C2875" t="n">
        <v>16</v>
      </c>
      <c r="D2875" s="62" t="n">
        <v>3.25</v>
      </c>
      <c r="E2875" t="inlineStr">
        <is>
          <t xml:space="preserve">CA </t>
        </is>
      </c>
      <c r="T2875" t="n">
        <v>5</v>
      </c>
    </row>
    <row r="2876">
      <c r="A2876" t="n">
        <v>1</v>
      </c>
      <c r="B2876" t="inlineStr">
        <is>
          <t>DP Lift Head
3-1/2" IF Box</t>
        </is>
      </c>
      <c r="D2876" s="62" t="n"/>
      <c r="T2876" t="n">
        <v>5</v>
      </c>
    </row>
    <row r="2877">
      <c r="A2877" t="n">
        <v>2</v>
      </c>
      <c r="B2877" t="inlineStr">
        <is>
          <t>DP Lift Head
3-1/2" IF Box</t>
        </is>
      </c>
      <c r="D2877" s="62" t="n"/>
      <c r="T2877" t="n">
        <v>6</v>
      </c>
    </row>
    <row r="2878">
      <c r="A2878" t="n">
        <v>19</v>
      </c>
      <c r="B2878" t="inlineStr">
        <is>
          <t>DP Lift Head
3-1/2" IF Box</t>
        </is>
      </c>
      <c r="D2878" s="62" t="n"/>
      <c r="T2878" t="n">
        <v>7</v>
      </c>
    </row>
    <row r="2879">
      <c r="A2879" t="n">
        <v>3</v>
      </c>
      <c r="B2879" t="inlineStr">
        <is>
          <t>DP Lift Head
4-1/2" IF Box</t>
        </is>
      </c>
      <c r="D2879" s="62" t="n"/>
      <c r="T2879" t="n">
        <v>8</v>
      </c>
    </row>
    <row r="2880">
      <c r="A2880" t="n">
        <v>4</v>
      </c>
      <c r="B2880" t="inlineStr">
        <is>
          <t>DP Lift Head
4" IF Box</t>
        </is>
      </c>
      <c r="D2880" s="62" t="n"/>
      <c r="T2880" t="n">
        <v>9</v>
      </c>
    </row>
    <row r="2881">
      <c r="A2881" t="n">
        <v>5</v>
      </c>
      <c r="B2881" t="inlineStr">
        <is>
          <t>DP Lift Head
4" IF Box</t>
        </is>
      </c>
      <c r="D2881" s="62" t="n"/>
      <c r="T2881" t="n">
        <v>10</v>
      </c>
    </row>
    <row r="2882">
      <c r="A2882" t="n">
        <v>6</v>
      </c>
      <c r="B2882" t="inlineStr">
        <is>
          <t>DP Lift Head
4" IF Box</t>
        </is>
      </c>
      <c r="D2882" s="62" t="n"/>
      <c r="T2882" t="n">
        <v>11</v>
      </c>
    </row>
    <row r="2883">
      <c r="A2883" t="inlineStr">
        <is>
          <t>TLB4</t>
        </is>
      </c>
      <c r="B2883" t="inlineStr">
        <is>
          <t>DP Lift Head
4-1/2" IF Box</t>
        </is>
      </c>
      <c r="D2883" s="62" t="n"/>
      <c r="T2883" t="n">
        <v>12</v>
      </c>
    </row>
    <row r="2884">
      <c r="A2884" t="n">
        <v>7</v>
      </c>
      <c r="B2884" t="inlineStr">
        <is>
          <t>DP Lift Head
6-5/8" REG Box</t>
        </is>
      </c>
      <c r="D2884" s="62" t="n"/>
      <c r="T2884" t="n">
        <v>13</v>
      </c>
    </row>
    <row r="2885">
      <c r="A2885" t="n">
        <v>8</v>
      </c>
      <c r="B2885" t="inlineStr">
        <is>
          <t>DP Lift Head
7-5/8" REG Box</t>
        </is>
      </c>
      <c r="D2885" s="62" t="n"/>
      <c r="T2885" t="n">
        <v>14</v>
      </c>
    </row>
    <row r="2886">
      <c r="A2886" t="inlineStr">
        <is>
          <t>TLB5</t>
        </is>
      </c>
      <c r="B2886" t="inlineStr">
        <is>
          <t>DP Lift Head
7-5/8" REG Box</t>
        </is>
      </c>
      <c r="D2886" s="62" t="n"/>
      <c r="T2886" t="n">
        <v>15</v>
      </c>
    </row>
    <row r="2887">
      <c r="A2887" t="inlineStr">
        <is>
          <t>TLB5bis</t>
        </is>
      </c>
      <c r="B2887" t="inlineStr">
        <is>
          <t>DP Lift Head
7-5/8" REG Box</t>
        </is>
      </c>
      <c r="D2887" s="62" t="n"/>
      <c r="T2887" t="n">
        <v>16</v>
      </c>
    </row>
    <row r="2888">
      <c r="A2888" t="n">
        <v>9</v>
      </c>
      <c r="B2888" t="inlineStr">
        <is>
          <t>DP Lift Head
8-5/8" REG Box</t>
        </is>
      </c>
      <c r="D2888" s="62" t="n"/>
      <c r="T2888" t="n">
        <v>17</v>
      </c>
    </row>
    <row r="2889">
      <c r="A2889" t="inlineStr">
        <is>
          <t>TLP5</t>
        </is>
      </c>
      <c r="B2889" t="inlineStr">
        <is>
          <t>DP Lift Head
3-1/2" IF Pin</t>
        </is>
      </c>
      <c r="D2889" s="62" t="n"/>
      <c r="T2889" t="n">
        <v>18</v>
      </c>
    </row>
    <row r="2890">
      <c r="A2890" t="inlineStr">
        <is>
          <t>TLP4</t>
        </is>
      </c>
      <c r="B2890" t="inlineStr">
        <is>
          <t>DP Lift Head
4-1/2" IF Pin</t>
        </is>
      </c>
      <c r="D2890" s="62" t="n"/>
      <c r="T2890" t="n">
        <v>19</v>
      </c>
    </row>
    <row r="2891">
      <c r="A2891" t="n">
        <v>10</v>
      </c>
      <c r="B2891" t="inlineStr">
        <is>
          <t>DP Lift Head
4-1/2" IF Pin</t>
        </is>
      </c>
      <c r="D2891" s="62" t="n"/>
      <c r="T2891" t="n">
        <v>20</v>
      </c>
    </row>
    <row r="2892">
      <c r="A2892" t="n">
        <v>11</v>
      </c>
      <c r="B2892" t="inlineStr">
        <is>
          <t>DP Lift Head
4-1/2" IF Pin</t>
        </is>
      </c>
      <c r="D2892" s="62" t="n"/>
      <c r="T2892" t="n">
        <v>21</v>
      </c>
    </row>
    <row r="2893">
      <c r="A2893" t="n">
        <v>12</v>
      </c>
      <c r="B2893" t="inlineStr">
        <is>
          <t>DP Lift Head
4-1/2" IF Pin</t>
        </is>
      </c>
      <c r="D2893" s="62" t="n"/>
      <c r="T2893" t="n">
        <v>22</v>
      </c>
    </row>
    <row r="2894">
      <c r="A2894" t="n">
        <v>13</v>
      </c>
      <c r="B2894" t="inlineStr">
        <is>
          <t>DP Lift Head
4-1/2" IF Pin</t>
        </is>
      </c>
      <c r="D2894" s="62" t="n"/>
      <c r="T2894" t="n">
        <v>23</v>
      </c>
    </row>
    <row r="2895">
      <c r="A2895" t="n">
        <v>14</v>
      </c>
      <c r="B2895" t="inlineStr">
        <is>
          <t>DP Lift Head
4-1/2" IF Pin</t>
        </is>
      </c>
      <c r="D2895" s="62" t="n"/>
      <c r="T2895" t="n">
        <v>24</v>
      </c>
    </row>
    <row r="2896">
      <c r="A2896" t="n">
        <v>15</v>
      </c>
      <c r="B2896" t="inlineStr">
        <is>
          <t>DP Lift Head
3-1/2" IF Pin</t>
        </is>
      </c>
      <c r="D2896" s="62" t="n"/>
      <c r="T2896" t="n">
        <v>25</v>
      </c>
    </row>
    <row r="2897">
      <c r="A2897" t="n">
        <v>17</v>
      </c>
      <c r="B2897" t="inlineStr">
        <is>
          <t>DP Lift Head
6-5/8" REG Pin</t>
        </is>
      </c>
      <c r="D2897" s="62" t="n"/>
      <c r="T2897" t="n">
        <v>26</v>
      </c>
    </row>
    <row r="2898">
      <c r="A2898" t="inlineStr">
        <is>
          <t>TLP5</t>
        </is>
      </c>
      <c r="B2898" t="inlineStr">
        <is>
          <t>DP Lift Head
3-1/2" IF Pin</t>
        </is>
      </c>
      <c r="D2898" s="62" t="n"/>
      <c r="T2898" t="n">
        <v>18</v>
      </c>
    </row>
    <row r="2899">
      <c r="A2899" t="n">
        <v>4848</v>
      </c>
      <c r="B2899" t="inlineStr">
        <is>
          <t>DP Lift Head
6-5/8" REG Pin</t>
        </is>
      </c>
      <c r="D2899" s="62" t="n"/>
      <c r="T2899" t="n">
        <v>28</v>
      </c>
    </row>
    <row r="2900">
      <c r="A2900" t="n">
        <v>464872</v>
      </c>
      <c r="B2900" t="inlineStr">
        <is>
          <t>DP Lift Head
6-5/8" REG Pin</t>
        </is>
      </c>
      <c r="D2900" s="62" t="n"/>
      <c r="T2900" t="n">
        <v>29</v>
      </c>
    </row>
    <row r="2901">
      <c r="A2901" t="n">
        <v>656031</v>
      </c>
      <c r="B2901" t="inlineStr">
        <is>
          <t>DP Lift Head
6-5/8" REG Pin</t>
        </is>
      </c>
      <c r="D2901" s="62" t="n"/>
      <c r="T2901" t="n">
        <v>30</v>
      </c>
    </row>
    <row r="2902">
      <c r="A2902" t="n">
        <v>7321</v>
      </c>
      <c r="B2902" t="inlineStr">
        <is>
          <t>DP Lift Head
7-5/8" REG Pin</t>
        </is>
      </c>
      <c r="D2902" s="62" t="n"/>
      <c r="T2902" t="n">
        <v>31</v>
      </c>
    </row>
    <row r="2903">
      <c r="A2903" t="n">
        <v>638615</v>
      </c>
      <c r="B2903" t="inlineStr">
        <is>
          <t>DP Lift Head
7-5/8" REG Pin</t>
        </is>
      </c>
      <c r="D2903" s="62" t="n"/>
      <c r="T2903" t="n">
        <v>32</v>
      </c>
    </row>
    <row r="2904">
      <c r="A2904" t="n">
        <v>16</v>
      </c>
      <c r="B2904" t="inlineStr">
        <is>
          <t>DP Lift Head
8-5/8" REG Pin</t>
        </is>
      </c>
      <c r="D2904" s="62" t="n"/>
      <c r="T2904" t="n">
        <v>33</v>
      </c>
    </row>
    <row r="2905">
      <c r="A2905" t="n">
        <v>18</v>
      </c>
      <c r="B2905" t="inlineStr">
        <is>
          <t>DP Lift Head
8-5/8" REG Pin</t>
        </is>
      </c>
      <c r="D2905" s="62" t="n"/>
      <c r="T2905" t="n">
        <v>34</v>
      </c>
    </row>
    <row r="2906">
      <c r="A2906" t="n">
        <v>82</v>
      </c>
      <c r="B2906" t="inlineStr">
        <is>
          <t>Lift Sub 2-3/8" REG Pin
0 OD body for Elevator DP 0</t>
        </is>
      </c>
      <c r="C2906" t="n">
        <v>32</v>
      </c>
      <c r="D2906" s="62" t="n">
        <v>0</v>
      </c>
      <c r="E2906" t="n">
        <v>380</v>
      </c>
      <c r="T2906" t="n">
        <v>24</v>
      </c>
    </row>
    <row r="2907">
      <c r="A2907" t="n">
        <v>83</v>
      </c>
      <c r="B2907" t="inlineStr">
        <is>
          <t>Lift Sub 2-3/8" REG Pin
0 OD body for Elevator DP 0</t>
        </is>
      </c>
      <c r="C2907" t="n">
        <v>32</v>
      </c>
      <c r="D2907" s="62" t="n">
        <v>0</v>
      </c>
      <c r="E2907" t="n">
        <v>380</v>
      </c>
      <c r="T2907" t="n">
        <v>25</v>
      </c>
    </row>
    <row r="2908">
      <c r="A2908" t="n">
        <v>824750038</v>
      </c>
      <c r="B2908" t="inlineStr">
        <is>
          <t>Lift Sub 3-1/2" IF Pin
3-1/2" OD body for Elevator DP 18°</t>
        </is>
      </c>
      <c r="C2908" t="n">
        <v>32</v>
      </c>
      <c r="D2908" s="62" t="inlineStr">
        <is>
          <t>3-1/2"</t>
        </is>
      </c>
      <c r="E2908" t="n">
        <v>810</v>
      </c>
      <c r="T2908" t="n">
        <v>39</v>
      </c>
    </row>
    <row r="2909">
      <c r="A2909" t="n">
        <v>824750007</v>
      </c>
      <c r="B2909" t="inlineStr">
        <is>
          <t>Lift Sub 3-1/2" IF Pin
3-1/2" OD body for Elevator DP 18°</t>
        </is>
      </c>
      <c r="C2909" t="n">
        <v>38</v>
      </c>
      <c r="D2909" s="62" t="inlineStr">
        <is>
          <t>3-1/2"</t>
        </is>
      </c>
      <c r="E2909" t="n">
        <v>750</v>
      </c>
      <c r="T2909" t="n">
        <v>40</v>
      </c>
    </row>
    <row r="2910">
      <c r="A2910" t="n">
        <v>824750034</v>
      </c>
      <c r="B2910" t="inlineStr">
        <is>
          <t>Lift Sub 3-1/2" IF Pin
3-1/2" OD body for Elevator DP 18°</t>
        </is>
      </c>
      <c r="C2910" t="n">
        <v>34</v>
      </c>
      <c r="D2910" s="62" t="inlineStr">
        <is>
          <t>3-1/2"</t>
        </is>
      </c>
      <c r="E2910" t="n">
        <v>760</v>
      </c>
      <c r="T2910" t="n">
        <v>41</v>
      </c>
    </row>
    <row r="2911">
      <c r="A2911" t="n">
        <v>82800016</v>
      </c>
      <c r="B2911" t="inlineStr">
        <is>
          <t>Lift Sub 3-1/2" IF Pin
0 OD body for Elevator DP 0</t>
        </is>
      </c>
      <c r="C2911" t="n">
        <v>0</v>
      </c>
      <c r="D2911" s="62" t="n">
        <v>0</v>
      </c>
      <c r="E2911" t="n">
        <v>1388</v>
      </c>
      <c r="T2911" t="n">
        <v>42</v>
      </c>
    </row>
    <row r="2912">
      <c r="A2912" t="n">
        <v>824625040</v>
      </c>
      <c r="B2912" t="inlineStr">
        <is>
          <t>Lift Sub 3-1/2" IF Pin
0 OD body for Elevator DP 18°</t>
        </is>
      </c>
      <c r="C2912" t="n">
        <v>54</v>
      </c>
      <c r="D2912" s="62" t="n">
        <v>0</v>
      </c>
      <c r="E2912" t="n">
        <v>1310</v>
      </c>
      <c r="T2912" t="n">
        <v>43</v>
      </c>
    </row>
    <row r="2913">
      <c r="A2913" t="n">
        <v>826250032</v>
      </c>
      <c r="B2913" t="inlineStr">
        <is>
          <t>Lift Sub 4" IF Pin
0 OD body for Elevator DP 18°</t>
        </is>
      </c>
      <c r="C2913" t="n">
        <v>86</v>
      </c>
      <c r="D2913" s="62" t="n">
        <v>0</v>
      </c>
      <c r="E2913" t="n">
        <v>1040</v>
      </c>
      <c r="T2913" t="n">
        <v>53</v>
      </c>
    </row>
    <row r="2914">
      <c r="A2914" t="n">
        <v>826250029</v>
      </c>
      <c r="B2914" t="inlineStr">
        <is>
          <t>Lift Sub 4" IF Pin
0 OD body for Elevator DP 18°</t>
        </is>
      </c>
      <c r="C2914" t="n">
        <v>74</v>
      </c>
      <c r="D2914" s="62" t="n">
        <v>0</v>
      </c>
      <c r="E2914" t="n">
        <v>800</v>
      </c>
      <c r="T2914" t="n">
        <v>54</v>
      </c>
    </row>
    <row r="2915">
      <c r="A2915" t="n">
        <v>826000031</v>
      </c>
      <c r="B2915" t="inlineStr">
        <is>
          <t>Lift Sub 4" IF Pin
0 OD body for Elevator DP 18°</t>
        </is>
      </c>
      <c r="C2915" t="n">
        <v>52</v>
      </c>
      <c r="D2915" s="62" t="n">
        <v>0</v>
      </c>
      <c r="E2915" t="n">
        <v>935</v>
      </c>
      <c r="T2915" t="n">
        <v>55</v>
      </c>
    </row>
    <row r="2916">
      <c r="A2916" t="n">
        <v>826250028</v>
      </c>
      <c r="B2916" t="inlineStr">
        <is>
          <t>Lift Sub 4" IF Pin
0 OD body for Elevator DP 18°</t>
        </is>
      </c>
      <c r="C2916" t="n">
        <v>68</v>
      </c>
      <c r="D2916" s="62" t="n">
        <v>0</v>
      </c>
      <c r="E2916" t="n">
        <v>790</v>
      </c>
      <c r="T2916" t="n">
        <v>56</v>
      </c>
    </row>
    <row r="2917">
      <c r="A2917" t="n">
        <v>826125027</v>
      </c>
      <c r="B2917" t="inlineStr">
        <is>
          <t>Lift Sub 4-1/2" IF Pin
4-1/2" OD body for Elevator DP 18°</t>
        </is>
      </c>
      <c r="C2917" t="n">
        <v>88</v>
      </c>
      <c r="D2917" s="62" t="inlineStr">
        <is>
          <t>4-1/2"</t>
        </is>
      </c>
      <c r="E2917" t="n">
        <v>1065</v>
      </c>
      <c r="T2917" t="n">
        <v>57</v>
      </c>
    </row>
    <row r="2918">
      <c r="A2918" t="n">
        <v>827625023</v>
      </c>
      <c r="B2918" t="inlineStr">
        <is>
          <t>Lift Sub 4-1/2" IF Pin
4-1/2" OD body for Elevator DP 18°</t>
        </is>
      </c>
      <c r="C2918" t="n">
        <v>94</v>
      </c>
      <c r="D2918" s="62" t="inlineStr">
        <is>
          <t>4-1/2"</t>
        </is>
      </c>
      <c r="E2918" t="n">
        <v>1110</v>
      </c>
      <c r="T2918" t="n">
        <v>58</v>
      </c>
    </row>
    <row r="2919">
      <c r="A2919" t="n">
        <v>826125025</v>
      </c>
      <c r="B2919" t="inlineStr">
        <is>
          <t>Lift Sub 4-1/2" IF Pin
4-1/2" OD body for Elevator DP 18°</t>
        </is>
      </c>
      <c r="C2919" t="n">
        <v>84</v>
      </c>
      <c r="D2919" s="62" t="inlineStr">
        <is>
          <t>4-1/2"</t>
        </is>
      </c>
      <c r="E2919" t="n">
        <v>1035</v>
      </c>
      <c r="T2919" t="n">
        <v>59</v>
      </c>
    </row>
    <row r="2920">
      <c r="A2920" t="n">
        <v>826125026</v>
      </c>
      <c r="B2920" t="inlineStr">
        <is>
          <t>Lift Sub 4-1/2" IF Pin
4-1/2" OD body for Elevator DP 18°</t>
        </is>
      </c>
      <c r="C2920" t="n">
        <v>88</v>
      </c>
      <c r="D2920" s="62" t="inlineStr">
        <is>
          <t>4-1/2"</t>
        </is>
      </c>
      <c r="E2920" t="n">
        <v>1060</v>
      </c>
      <c r="T2920" t="n">
        <v>60</v>
      </c>
    </row>
    <row r="2921">
      <c r="A2921" t="n">
        <v>825750033</v>
      </c>
      <c r="B2921" t="inlineStr">
        <is>
          <t>Lift Sub 4-1/2" IF Pin
5-1/2" OD body for Elevator DP 18°</t>
        </is>
      </c>
      <c r="C2921" t="n">
        <v>66</v>
      </c>
      <c r="D2921" s="62" t="inlineStr">
        <is>
          <t>5-1/2"</t>
        </is>
      </c>
      <c r="E2921" t="n">
        <v>890</v>
      </c>
      <c r="T2921" t="n">
        <v>61</v>
      </c>
    </row>
    <row r="2922">
      <c r="A2922" t="n">
        <v>82800005</v>
      </c>
      <c r="B2922" t="inlineStr">
        <is>
          <t>Lift Sub 5-1/2" H90 Pin
0 OD body for Elevator DP 18°</t>
        </is>
      </c>
      <c r="C2922" t="n">
        <v>100</v>
      </c>
      <c r="D2922" s="62" t="n">
        <v>0</v>
      </c>
      <c r="E2922" t="n">
        <v>790</v>
      </c>
      <c r="T2922" t="n">
        <v>63</v>
      </c>
    </row>
    <row r="2923">
      <c r="A2923" t="n">
        <v>82800006</v>
      </c>
      <c r="B2923" t="inlineStr">
        <is>
          <t>Lift Sub 4-1/2" IF Pin
0 OD body for Elevator DP 18°</t>
        </is>
      </c>
      <c r="C2923" t="n">
        <v>102</v>
      </c>
      <c r="D2923" s="62" t="n">
        <v>0</v>
      </c>
      <c r="E2923" t="n">
        <v>800</v>
      </c>
      <c r="T2923" t="n">
        <v>62</v>
      </c>
    </row>
    <row r="2924">
      <c r="A2924" t="n">
        <v>82800007</v>
      </c>
      <c r="B2924" t="inlineStr">
        <is>
          <t>Lift Sub 5-1/2" H90 Pin
0 OD body for Elevator DP 18°</t>
        </is>
      </c>
      <c r="C2924" t="n">
        <v>102</v>
      </c>
      <c r="D2924" s="62" t="n">
        <v>0</v>
      </c>
      <c r="E2924" t="n">
        <v>795</v>
      </c>
      <c r="T2924" t="n">
        <v>64</v>
      </c>
    </row>
    <row r="2925">
      <c r="A2925" t="n">
        <v>827250020</v>
      </c>
      <c r="B2925" t="inlineStr">
        <is>
          <t>Lift Sub 5-1/2" H90 Pin
0 OD body for Elevator DP 18°</t>
        </is>
      </c>
      <c r="C2925" t="n">
        <v>88</v>
      </c>
      <c r="D2925" s="62" t="n">
        <v>0</v>
      </c>
      <c r="E2925" t="n">
        <v>790</v>
      </c>
      <c r="T2925" t="n">
        <v>65</v>
      </c>
    </row>
    <row r="2926">
      <c r="A2926" t="n">
        <v>827250021</v>
      </c>
      <c r="B2926" t="inlineStr">
        <is>
          <t>Lift Sub 5-1/2" H90 Pin
0 OD body for Elevator DP 18°</t>
        </is>
      </c>
      <c r="C2926" t="n">
        <v>84</v>
      </c>
      <c r="D2926" s="62" t="n">
        <v>0</v>
      </c>
      <c r="E2926" t="n">
        <v>830</v>
      </c>
      <c r="T2926" t="n">
        <v>66</v>
      </c>
    </row>
    <row r="2927">
      <c r="A2927" t="n">
        <v>827250022</v>
      </c>
      <c r="B2927" t="inlineStr">
        <is>
          <t>Lift Sub 5-1/2" H90 Pin
0 OD body for Elevator DP 18°</t>
        </is>
      </c>
      <c r="C2927" t="n">
        <v>80</v>
      </c>
      <c r="D2927" s="62" t="n">
        <v>0</v>
      </c>
      <c r="E2927" t="n">
        <v>800</v>
      </c>
      <c r="T2927" t="n">
        <v>67</v>
      </c>
    </row>
    <row r="2928">
      <c r="A2928" t="n">
        <v>82800017</v>
      </c>
      <c r="B2928" t="inlineStr">
        <is>
          <t>Lift Sub 6-5/8" H90 Pin
0 OD body for Elevator DP 18°</t>
        </is>
      </c>
      <c r="C2928" t="n">
        <v>94</v>
      </c>
      <c r="D2928" s="62" t="n">
        <v>0</v>
      </c>
      <c r="E2928" t="n">
        <v>795</v>
      </c>
      <c r="T2928" t="n">
        <v>68</v>
      </c>
    </row>
    <row r="2929">
      <c r="A2929" t="n">
        <v>827875024</v>
      </c>
      <c r="B2929" t="inlineStr">
        <is>
          <t>Lift Sub 6-5/8" H90 Pin
0 OD body for Elevator DP 18°</t>
        </is>
      </c>
      <c r="C2929" t="n">
        <v>68</v>
      </c>
      <c r="D2929" s="62" t="n">
        <v>0</v>
      </c>
      <c r="E2929" t="n">
        <v>700</v>
      </c>
      <c r="T2929" t="n">
        <v>69</v>
      </c>
    </row>
    <row r="2930">
      <c r="A2930" t="n">
        <v>82800010</v>
      </c>
      <c r="B2930" t="inlineStr">
        <is>
          <t>Lift Sub 6-5/8" REG Pin
4-1/2" OD body for Elevator DP 18°</t>
        </is>
      </c>
      <c r="C2930" t="n">
        <v>114</v>
      </c>
      <c r="D2930" s="62" t="inlineStr">
        <is>
          <t>4-1/2"</t>
        </is>
      </c>
      <c r="E2930" t="n">
        <v>1030</v>
      </c>
      <c r="T2930" t="n">
        <v>70</v>
      </c>
    </row>
    <row r="2931">
      <c r="A2931" t="n">
        <v>82800014</v>
      </c>
      <c r="B2931" t="inlineStr">
        <is>
          <t>Lift Sub 6-5/8" REG Pin
4-1/2" OD body for Elevator DP 45°</t>
        </is>
      </c>
      <c r="C2931" t="n">
        <v>124</v>
      </c>
      <c r="D2931" s="62" t="inlineStr">
        <is>
          <t>4-1/2"</t>
        </is>
      </c>
      <c r="E2931" t="n">
        <v>1095</v>
      </c>
      <c r="T2931" t="n">
        <v>71</v>
      </c>
    </row>
    <row r="2932">
      <c r="A2932" t="n">
        <v>82800009</v>
      </c>
      <c r="B2932" t="inlineStr">
        <is>
          <t>Lift Sub 6-5/8" REG Pin
4-1/2" OD body for Elevator DP 90°</t>
        </is>
      </c>
      <c r="C2932" t="n">
        <v>98</v>
      </c>
      <c r="D2932" s="62" t="inlineStr">
        <is>
          <t>4-1/2"</t>
        </is>
      </c>
      <c r="E2932" t="n">
        <v>800</v>
      </c>
      <c r="T2932" t="n">
        <v>72</v>
      </c>
    </row>
    <row r="2933">
      <c r="A2933" t="n">
        <v>82700012</v>
      </c>
      <c r="B2933" t="inlineStr">
        <is>
          <t>Lift Sub 6-5/8" REG Pin
4-1/2" OD body for Elevator DP 18°</t>
        </is>
      </c>
      <c r="C2933" t="n">
        <v>122</v>
      </c>
      <c r="D2933" s="62" t="inlineStr">
        <is>
          <t>4-1/2"</t>
        </is>
      </c>
      <c r="E2933" t="n">
        <v>970</v>
      </c>
      <c r="T2933" t="n">
        <v>73</v>
      </c>
    </row>
    <row r="2934">
      <c r="A2934" t="n">
        <v>82800013</v>
      </c>
      <c r="B2934" t="inlineStr">
        <is>
          <t>Lift Sub 6-5/8" REG Pin
0 OD body for Elevator DP 45°</t>
        </is>
      </c>
      <c r="C2934" t="n">
        <v>124</v>
      </c>
      <c r="D2934" s="62" t="n">
        <v>0</v>
      </c>
      <c r="E2934" t="n">
        <v>1095</v>
      </c>
      <c r="T2934" t="n">
        <v>74</v>
      </c>
    </row>
    <row r="2935">
      <c r="A2935" t="n">
        <v>82800015</v>
      </c>
      <c r="B2935" t="inlineStr">
        <is>
          <t>Lift Sub 6-5/8" REG Pin
4-1/2" OD body for Elevator DP 45°</t>
        </is>
      </c>
      <c r="C2935" t="n">
        <v>124</v>
      </c>
      <c r="D2935" s="62" t="inlineStr">
        <is>
          <t>4-1/2"</t>
        </is>
      </c>
      <c r="E2935" t="n">
        <v>1105</v>
      </c>
      <c r="T2935" t="n">
        <v>75</v>
      </c>
    </row>
    <row r="2936">
      <c r="A2936" t="n">
        <v>82800018</v>
      </c>
      <c r="B2936" t="inlineStr">
        <is>
          <t>Lift Sub 6-5/8" REG Pin
4-1/2" OD body for Elevator DP 18°</t>
        </is>
      </c>
      <c r="C2936" t="n">
        <v>90</v>
      </c>
      <c r="D2936" s="62" t="inlineStr">
        <is>
          <t>4-1/2"</t>
        </is>
      </c>
      <c r="E2936" t="n">
        <v>1050</v>
      </c>
      <c r="T2936" t="n">
        <v>76</v>
      </c>
    </row>
    <row r="2937">
      <c r="A2937" t="n">
        <v>82800019</v>
      </c>
      <c r="B2937" t="inlineStr">
        <is>
          <t>Lift Sub 6-5/8" REG Pin
0 OD body for Elevator DP 18°</t>
        </is>
      </c>
      <c r="C2937" t="n">
        <v>92</v>
      </c>
      <c r="D2937" s="62" t="n">
        <v>0</v>
      </c>
      <c r="E2937" t="n">
        <v>780</v>
      </c>
      <c r="T2937" t="n">
        <v>77</v>
      </c>
    </row>
    <row r="2938">
      <c r="A2938" t="n">
        <v>82900003</v>
      </c>
      <c r="B2938" t="inlineStr">
        <is>
          <t>Lift Sub 7-5/8" REG Pin
for Elevator DP 18°</t>
        </is>
      </c>
      <c r="C2938" t="n">
        <v>104</v>
      </c>
      <c r="D2938" s="62" t="inlineStr">
        <is>
          <t>for Elevator DP</t>
        </is>
      </c>
      <c r="E2938" t="n">
        <v>780</v>
      </c>
      <c r="T2938" t="n">
        <v>78</v>
      </c>
    </row>
    <row r="2939">
      <c r="A2939" t="n">
        <v>82110001</v>
      </c>
      <c r="B2939" t="inlineStr">
        <is>
          <t>Lift Sub 7-5/8" REG Pin
for Elevator DP 18°</t>
        </is>
      </c>
      <c r="C2939" t="n">
        <v>126</v>
      </c>
      <c r="D2939" s="62" t="inlineStr">
        <is>
          <t>for Elevator DP</t>
        </is>
      </c>
      <c r="E2939" t="n">
        <v>770</v>
      </c>
      <c r="T2939" t="n">
        <v>79</v>
      </c>
    </row>
    <row r="2940">
      <c r="A2940" t="inlineStr">
        <is>
          <t>ref 807-5,000HWDP</t>
        </is>
      </c>
      <c r="B2940" t="inlineStr">
        <is>
          <t>HWDP 5" Range 2
4-1/2" IF Pin x Box</t>
        </is>
      </c>
      <c r="C2940" t="inlineStr">
        <is>
          <t>HWDP</t>
        </is>
      </c>
      <c r="D2940" s="62" t="n">
        <v>5</v>
      </c>
      <c r="E2940" t="inlineStr">
        <is>
          <t>R2</t>
        </is>
      </c>
      <c r="T2940" t="n">
        <v>26</v>
      </c>
    </row>
    <row r="2941">
      <c r="A2941" t="inlineStr">
        <is>
          <t>ref 807-2,875NVAMpup</t>
        </is>
      </c>
      <c r="B2941" t="inlineStr">
        <is>
          <t>Pup Joint 2-7/8"
2-7/8" New Vam Pin x Box</t>
        </is>
      </c>
      <c r="C2941" t="n">
        <v>0</v>
      </c>
      <c r="D2941" s="62" t="n">
        <v>2.875</v>
      </c>
      <c r="E2941" t="inlineStr">
        <is>
          <t>pup joint</t>
        </is>
      </c>
      <c r="T2941" t="n">
        <v>34</v>
      </c>
    </row>
    <row r="2942">
      <c r="A2942" t="inlineStr">
        <is>
          <t>ref 807-5,000NC50pup</t>
        </is>
      </c>
      <c r="B2942" t="inlineStr">
        <is>
          <t>Pup Joint 5" Range 1
4-1/2" IF Pin x Box</t>
        </is>
      </c>
      <c r="C2942" t="n">
        <v>0</v>
      </c>
      <c r="D2942" s="62" t="n">
        <v>5</v>
      </c>
      <c r="E2942" t="n">
        <v>4440</v>
      </c>
      <c r="T2942" t="n">
        <v>35</v>
      </c>
    </row>
    <row r="2943">
      <c r="A2943" t="n">
        <v>21365000147</v>
      </c>
      <c r="B2943" t="inlineStr">
        <is>
          <t>Short DC 6-1/2"LEFT HAND Lg 0mm
4-1/2" IF LH Pin x Box</t>
        </is>
      </c>
      <c r="C2943" t="n">
        <v>0</v>
      </c>
      <c r="D2943" s="62" t="n">
        <v>6.5</v>
      </c>
      <c r="E2943" t="n">
        <v>0</v>
      </c>
      <c r="T2943" t="n">
        <v>24</v>
      </c>
    </row>
    <row r="2944">
      <c r="A2944" t="inlineStr">
        <is>
          <t>MTG86250002</t>
        </is>
      </c>
      <c r="B2944" t="inlineStr">
        <is>
          <t>XO
4-1/2" IF Pin x 4" IF Box</t>
        </is>
      </c>
      <c r="C2944" t="n">
        <v>54.89394313528123</v>
      </c>
      <c r="D2944" s="62" t="n">
        <v>6.3125</v>
      </c>
      <c r="E2944" t="n">
        <v>440</v>
      </c>
      <c r="T2944" t="n">
        <v>167</v>
      </c>
    </row>
    <row r="2945">
      <c r="A2945" t="inlineStr">
        <is>
          <t>MTG86250003</t>
        </is>
      </c>
      <c r="B2945" t="inlineStr">
        <is>
          <t>XO
4-1/2" IF Pin x 4" IF Box</t>
        </is>
      </c>
      <c r="C2945" t="n">
        <v>54.89394313528123</v>
      </c>
      <c r="D2945" s="62" t="n">
        <v>6.3125</v>
      </c>
      <c r="E2945" t="n">
        <v>440</v>
      </c>
      <c r="T2945" t="n">
        <v>168</v>
      </c>
    </row>
    <row r="2946">
      <c r="A2946" t="inlineStr">
        <is>
          <t>MTG86250004</t>
        </is>
      </c>
      <c r="B2946" t="inlineStr">
        <is>
          <t>XO
4" IF Pin x 4-1/2" IF Box BF</t>
        </is>
      </c>
      <c r="C2946" t="n">
        <v>54.89394313528123</v>
      </c>
      <c r="D2946" s="62" t="n">
        <v>6.3125</v>
      </c>
      <c r="E2946" t="n">
        <v>440</v>
      </c>
      <c r="T2946" t="n">
        <v>141</v>
      </c>
    </row>
    <row r="2947">
      <c r="A2947" t="inlineStr">
        <is>
          <t>MTG86250005</t>
        </is>
      </c>
      <c r="B2947" t="inlineStr">
        <is>
          <t>XO
4" IF Pin x 4-1/2" IF Box</t>
        </is>
      </c>
      <c r="C2947" t="n">
        <v>54.89394313528123</v>
      </c>
      <c r="D2947" s="62" t="n">
        <v>6.3125</v>
      </c>
      <c r="E2947" t="n">
        <v>440</v>
      </c>
      <c r="T2947" t="n">
        <v>142</v>
      </c>
    </row>
    <row r="2948">
      <c r="A2948" t="inlineStr">
        <is>
          <t>MTG86250006</t>
        </is>
      </c>
      <c r="B2948" t="inlineStr">
        <is>
          <t>XO
4" IF Pin x 4-1/2" IF Box</t>
        </is>
      </c>
      <c r="C2948" t="n">
        <v>68.61742891910154</v>
      </c>
      <c r="D2948" s="62" t="n">
        <v>6.3125</v>
      </c>
      <c r="E2948" t="n">
        <v>550</v>
      </c>
      <c r="T2948" t="n">
        <v>143</v>
      </c>
    </row>
    <row r="2949">
      <c r="A2949" t="n">
        <v>2134750024</v>
      </c>
      <c r="B2949" t="inlineStr">
        <is>
          <t>XO
1-1/2" GAZ Pin x 3-1/2" IF Box</t>
        </is>
      </c>
      <c r="C2949" t="n">
        <v>0</v>
      </c>
      <c r="D2949" s="62" t="n">
        <v>4.75</v>
      </c>
      <c r="E2949" t="n">
        <v>270</v>
      </c>
      <c r="T2949" t="n">
        <v>12</v>
      </c>
    </row>
    <row r="2950">
      <c r="A2950" t="n">
        <v>21337500089</v>
      </c>
      <c r="B2950" t="inlineStr">
        <is>
          <t>XO
1,900 PH6 Pin x 2-3/8" NU Box</t>
        </is>
      </c>
      <c r="C2950" t="n">
        <v>6.20384575760625</v>
      </c>
      <c r="D2950" s="62" t="n">
        <v>2.875</v>
      </c>
      <c r="E2950" t="n">
        <v>190</v>
      </c>
      <c r="T2950" t="n">
        <v>13</v>
      </c>
    </row>
    <row r="2951">
      <c r="A2951" t="n">
        <v>21337500070</v>
      </c>
      <c r="B2951" t="inlineStr">
        <is>
          <t>XO
HT 26 Pin x 2-3/8" IF Pin</t>
        </is>
      </c>
      <c r="C2951" t="n">
        <v>13.65381519483515</v>
      </c>
      <c r="D2951" s="62" t="n">
        <v>3.3125</v>
      </c>
      <c r="E2951" t="n">
        <v>315</v>
      </c>
      <c r="T2951" t="n">
        <v>18</v>
      </c>
    </row>
    <row r="2952">
      <c r="A2952" t="n">
        <v>21335000058</v>
      </c>
      <c r="B2952" t="inlineStr">
        <is>
          <t>XO
2-3/8" Sellers Pin x HT 26 Pin</t>
        </is>
      </c>
      <c r="C2952" t="n">
        <v>11.6991038194875</v>
      </c>
      <c r="D2952" s="62" t="n">
        <v>3.375</v>
      </c>
      <c r="E2952" t="n">
        <v>260</v>
      </c>
      <c r="T2952" t="n">
        <v>66</v>
      </c>
    </row>
    <row r="2953">
      <c r="A2953" t="n">
        <v>2135625025</v>
      </c>
      <c r="B2953" t="inlineStr">
        <is>
          <t>XO
2-7/8" EU Pin x 4-3/4" Sellers Box</t>
        </is>
      </c>
      <c r="C2953" t="n">
        <v>30.55707283230468</v>
      </c>
      <c r="D2953" s="62" t="n">
        <v>5.5625</v>
      </c>
      <c r="E2953" t="n">
        <v>250</v>
      </c>
      <c r="T2953" t="n">
        <v>77</v>
      </c>
    </row>
    <row r="2954">
      <c r="A2954" t="n">
        <v>14825500011</v>
      </c>
      <c r="B2954" t="inlineStr">
        <is>
          <t>XO
5-1/2" FJWP Pin x 4-1/2" FJWP Box</t>
        </is>
      </c>
      <c r="C2954" t="n">
        <v>18</v>
      </c>
      <c r="D2954" s="62" t="n">
        <v>5.5</v>
      </c>
      <c r="E2954" t="n">
        <v>380</v>
      </c>
      <c r="T2954" t="n">
        <v>191</v>
      </c>
    </row>
    <row r="2955">
      <c r="A2955" t="n">
        <v>24030575050</v>
      </c>
      <c r="B2955" t="inlineStr">
        <is>
          <t>XO
5-1/8" Sellers Pin x 5-1/2" FJWP Box</t>
        </is>
      </c>
      <c r="C2955" t="n">
        <v>21.5687181528</v>
      </c>
      <c r="D2955" s="62" t="n">
        <v>5.75</v>
      </c>
      <c r="E2955" t="n">
        <v>320</v>
      </c>
      <c r="T2955" t="n">
        <v>193</v>
      </c>
    </row>
    <row r="2956">
      <c r="A2956" t="n">
        <v>2134750022</v>
      </c>
      <c r="B2956" t="inlineStr">
        <is>
          <t>Bit Sub
2" GAZ Box x 3-1/2" IF Box</t>
        </is>
      </c>
      <c r="C2956" t="n">
        <v>21.99831487425</v>
      </c>
      <c r="D2956" s="62" t="n">
        <v>4.75</v>
      </c>
      <c r="E2956" t="n">
        <v>300</v>
      </c>
      <c r="T2956" t="n">
        <v>8</v>
      </c>
    </row>
    <row r="2957">
      <c r="A2957" t="n">
        <v>2005</v>
      </c>
      <c r="B2957" t="inlineStr">
        <is>
          <t>Near Bit Stab
? x ?</t>
        </is>
      </c>
      <c r="C2957" t="n">
        <v>0</v>
      </c>
      <c r="D2957" s="62" t="n">
        <v>24</v>
      </c>
      <c r="E2957" t="e">
        <v>#VALUE!</v>
      </c>
      <c r="T2957" t="n">
        <v>48</v>
      </c>
    </row>
    <row r="2958">
      <c r="A2958" t="n">
        <v>1667858</v>
      </c>
      <c r="B2958" t="inlineStr">
        <is>
          <t>Tricône</t>
        </is>
      </c>
      <c r="C2958" t="inlineStr">
        <is>
          <t>Varel</t>
        </is>
      </c>
      <c r="D2958" s="62" t="n">
        <v>9.5</v>
      </c>
      <c r="E2958" t="inlineStr">
        <is>
          <t>HE24MRSV</t>
        </is>
      </c>
    </row>
    <row r="2959">
      <c r="A2959" t="n">
        <v>6019309</v>
      </c>
      <c r="B2959" t="inlineStr">
        <is>
          <t>PDC</t>
        </is>
      </c>
      <c r="C2959" t="inlineStr">
        <is>
          <t>Varel</t>
        </is>
      </c>
      <c r="D2959" s="62" t="n">
        <v>8.5</v>
      </c>
      <c r="E2959" t="inlineStr">
        <is>
          <t>V419DGHX</t>
        </is>
      </c>
    </row>
    <row r="2960">
      <c r="A2960" t="n">
        <v>24275500023</v>
      </c>
      <c r="B2960" t="inlineStr">
        <is>
          <t>WO Shoe
0</t>
        </is>
      </c>
      <c r="C2960" t="n">
        <v>50</v>
      </c>
      <c r="D2960" s="62" t="n">
        <v>6.25</v>
      </c>
      <c r="E2960" t="n">
        <v>1235</v>
      </c>
      <c r="T2960" t="n">
        <v>137</v>
      </c>
    </row>
    <row r="2961">
      <c r="D2961" s="62" t="n"/>
    </row>
    <row r="2962">
      <c r="D2962" s="62" t="n"/>
    </row>
    <row r="2963">
      <c r="D2963" s="62" t="n"/>
    </row>
    <row r="2964">
      <c r="D2964" s="62" t="n"/>
    </row>
    <row r="2965">
      <c r="D2965" s="62" t="n"/>
    </row>
    <row r="2966">
      <c r="D2966" s="62" t="n"/>
    </row>
    <row r="2967">
      <c r="D2967" s="62" t="n"/>
    </row>
    <row r="2968">
      <c r="D2968" s="62" t="n"/>
    </row>
    <row r="2969">
      <c r="D2969" s="62" t="n"/>
    </row>
    <row r="2970">
      <c r="D2970" s="62" t="n"/>
    </row>
    <row r="2971">
      <c r="D2971" s="62" t="n"/>
    </row>
    <row r="2972">
      <c r="D2972" s="62" t="n"/>
    </row>
    <row r="2973">
      <c r="D2973" s="62" t="n"/>
    </row>
    <row r="2974">
      <c r="D2974" s="62" t="n"/>
    </row>
    <row r="2975">
      <c r="D2975" s="62" t="n"/>
    </row>
    <row r="2976">
      <c r="D2976" s="62" t="n"/>
    </row>
    <row r="2977">
      <c r="D2977" s="62" t="n"/>
    </row>
    <row r="2978">
      <c r="D2978" s="62" t="n"/>
    </row>
    <row r="2979">
      <c r="D2979" s="62" t="n"/>
    </row>
    <row r="2980">
      <c r="D2980" s="62" t="n"/>
    </row>
    <row r="2981">
      <c r="D2981" s="62" t="n"/>
    </row>
    <row r="2982">
      <c r="D2982" s="62" t="n"/>
    </row>
    <row r="2983">
      <c r="D2983" s="62" t="n"/>
    </row>
    <row r="2984">
      <c r="D2984" s="62" t="n"/>
    </row>
    <row r="2985">
      <c r="D2985" s="62" t="n"/>
    </row>
    <row r="2986">
      <c r="D2986" s="62" t="n"/>
    </row>
    <row r="2987">
      <c r="D2987" s="62" t="n"/>
    </row>
    <row r="2988">
      <c r="D2988" s="62" t="n"/>
    </row>
    <row r="2989">
      <c r="D2989" s="62" t="n"/>
    </row>
    <row r="2990">
      <c r="D2990" s="62" t="n"/>
    </row>
    <row r="2991">
      <c r="D2991" s="62" t="n"/>
    </row>
    <row r="2992">
      <c r="D2992" s="62" t="n"/>
    </row>
    <row r="2993">
      <c r="D2993" s="62" t="n"/>
    </row>
    <row r="2994">
      <c r="D2994" s="62" t="n"/>
    </row>
    <row r="2995">
      <c r="D2995" s="62" t="n"/>
    </row>
    <row r="2996">
      <c r="D2996" s="62" t="n"/>
    </row>
    <row r="2997">
      <c r="D2997" s="62" t="n"/>
    </row>
    <row r="2998">
      <c r="D2998" s="62" t="n"/>
    </row>
    <row r="2999">
      <c r="D2999" s="62" t="n"/>
    </row>
    <row r="3000">
      <c r="D3000" s="62" t="n"/>
    </row>
    <row r="3001">
      <c r="D3001" s="62" t="n"/>
    </row>
    <row r="3002">
      <c r="D3002" s="62" t="n"/>
    </row>
    <row r="3003">
      <c r="D3003" s="62" t="n"/>
    </row>
    <row r="3004">
      <c r="D3004" s="62" t="n"/>
    </row>
    <row r="3005">
      <c r="D3005" s="62" t="n"/>
    </row>
    <row r="3006">
      <c r="D3006" s="62" t="n"/>
    </row>
    <row r="3007">
      <c r="D3007" s="62" t="n"/>
    </row>
    <row r="3008">
      <c r="D3008" s="62" t="n"/>
    </row>
    <row r="3009">
      <c r="D3009" s="62" t="n"/>
    </row>
    <row r="3010">
      <c r="D3010" s="62" t="n"/>
    </row>
    <row r="3011">
      <c r="D3011" s="62" t="n"/>
    </row>
    <row r="3012">
      <c r="D3012" s="62" t="n"/>
    </row>
    <row r="3013">
      <c r="D3013" s="62" t="n"/>
    </row>
    <row r="3014">
      <c r="D3014" s="62" t="n"/>
    </row>
    <row r="3015">
      <c r="D3015" s="62" t="n"/>
    </row>
    <row r="3016">
      <c r="D3016" s="62" t="n"/>
    </row>
    <row r="3017">
      <c r="D3017" s="62" t="n"/>
    </row>
    <row r="3018">
      <c r="D3018" s="62" t="n"/>
    </row>
    <row r="3019">
      <c r="D3019" s="62" t="n"/>
    </row>
    <row r="3020">
      <c r="D3020" s="62" t="n"/>
    </row>
    <row r="3021">
      <c r="D3021" s="62" t="n"/>
    </row>
    <row r="3022">
      <c r="D3022" s="62" t="n"/>
    </row>
    <row r="3023">
      <c r="D3023" s="62" t="n"/>
    </row>
    <row r="3024">
      <c r="D3024" s="62" t="n"/>
    </row>
    <row r="3025">
      <c r="D3025" s="62" t="n"/>
    </row>
    <row r="3026">
      <c r="D3026" s="62" t="n"/>
    </row>
    <row r="3027">
      <c r="D3027" s="62" t="n"/>
    </row>
    <row r="3028">
      <c r="D3028" s="62" t="n"/>
    </row>
    <row r="3029">
      <c r="D3029" s="62" t="n"/>
    </row>
    <row r="3030">
      <c r="D3030" s="62" t="n"/>
    </row>
    <row r="3031">
      <c r="D3031" s="62" t="n"/>
    </row>
    <row r="3032">
      <c r="D3032" s="62" t="n"/>
    </row>
    <row r="3033">
      <c r="D3033" s="62" t="n"/>
    </row>
    <row r="3034">
      <c r="D3034" s="62" t="n"/>
    </row>
    <row r="3035">
      <c r="D3035" s="62" t="n"/>
    </row>
    <row r="3036">
      <c r="D3036" s="62" t="n"/>
    </row>
    <row r="3037">
      <c r="D3037" s="62" t="n"/>
    </row>
    <row r="3038">
      <c r="D3038" s="62" t="n"/>
    </row>
    <row r="3039">
      <c r="D3039" s="62" t="n"/>
    </row>
    <row r="3040">
      <c r="D3040" s="62" t="n"/>
    </row>
    <row r="3041">
      <c r="D3041" s="62" t="n"/>
    </row>
    <row r="3042">
      <c r="D3042" s="62" t="n"/>
    </row>
    <row r="3043">
      <c r="D3043" s="62" t="n"/>
    </row>
    <row r="3044">
      <c r="D3044" s="62" t="n"/>
    </row>
    <row r="3045">
      <c r="D3045" s="62" t="n"/>
    </row>
    <row r="3046">
      <c r="D3046" s="62" t="n"/>
    </row>
    <row r="3047">
      <c r="D3047" s="62" t="n"/>
    </row>
    <row r="3048">
      <c r="D3048" s="62" t="n"/>
    </row>
    <row r="3049">
      <c r="D3049" s="62" t="n"/>
    </row>
    <row r="3050">
      <c r="D3050" s="62" t="n"/>
    </row>
    <row r="3051">
      <c r="D3051" s="62" t="n"/>
    </row>
    <row r="3052">
      <c r="D3052" s="62" t="n"/>
    </row>
    <row r="3053">
      <c r="D3053" s="62" t="n"/>
    </row>
    <row r="3054">
      <c r="D3054" s="62" t="n"/>
    </row>
    <row r="3055">
      <c r="D3055" s="62" t="n"/>
    </row>
    <row r="3056">
      <c r="D3056" s="62" t="n"/>
    </row>
    <row r="3057">
      <c r="D3057" s="62" t="n"/>
    </row>
    <row r="3058">
      <c r="D3058" s="62" t="n"/>
    </row>
    <row r="3059">
      <c r="D3059" s="62" t="n"/>
    </row>
    <row r="3060">
      <c r="D3060" s="62" t="n"/>
    </row>
    <row r="3061">
      <c r="D3061" s="62" t="n"/>
    </row>
    <row r="3062">
      <c r="D3062" s="62" t="n"/>
    </row>
    <row r="3063">
      <c r="D3063" s="62" t="n"/>
    </row>
    <row r="3064">
      <c r="D3064" s="62" t="n"/>
    </row>
    <row r="3065">
      <c r="D3065" s="62" t="n"/>
    </row>
    <row r="3066">
      <c r="D3066" s="62" t="n"/>
    </row>
    <row r="3067">
      <c r="D3067" s="62" t="n"/>
    </row>
    <row r="3068">
      <c r="D3068" s="62" t="n"/>
    </row>
    <row r="3069">
      <c r="D3069" s="62" t="n"/>
    </row>
    <row r="3070">
      <c r="D3070" s="62" t="n"/>
    </row>
    <row r="3071">
      <c r="D3071" s="62" t="n"/>
    </row>
    <row r="3072">
      <c r="D3072" s="62" t="n"/>
    </row>
    <row r="3073">
      <c r="D3073" s="62" t="n"/>
    </row>
    <row r="3074">
      <c r="D3074" s="62" t="n"/>
    </row>
    <row r="3075">
      <c r="D3075" s="62" t="n"/>
    </row>
    <row r="3076">
      <c r="D3076" s="62" t="n"/>
    </row>
    <row r="3077">
      <c r="D3077" s="62" t="n"/>
    </row>
    <row r="3078">
      <c r="D3078" s="62" t="n"/>
    </row>
    <row r="3079">
      <c r="D3079" s="62" t="n"/>
    </row>
    <row r="3080">
      <c r="D3080" s="62" t="n"/>
    </row>
    <row r="3081">
      <c r="D3081" s="62" t="n"/>
    </row>
    <row r="3082">
      <c r="D3082" s="62" t="n"/>
    </row>
    <row r="3083">
      <c r="D3083" s="62" t="n"/>
    </row>
    <row r="3084">
      <c r="D3084" s="62" t="n"/>
    </row>
    <row r="3085">
      <c r="D3085" s="62" t="n"/>
    </row>
    <row r="3086">
      <c r="D3086" s="62" t="n"/>
    </row>
    <row r="3087">
      <c r="D3087" s="62" t="n"/>
    </row>
    <row r="3088">
      <c r="D3088" s="62" t="n"/>
    </row>
    <row r="3089">
      <c r="D3089" s="62" t="n"/>
    </row>
    <row r="3090">
      <c r="D3090" s="62" t="n"/>
    </row>
    <row r="3091">
      <c r="D3091" s="62" t="n"/>
    </row>
    <row r="3092">
      <c r="D3092" s="62" t="n"/>
    </row>
    <row r="3093">
      <c r="D3093" s="62" t="n"/>
    </row>
    <row r="3094">
      <c r="D3094" s="62" t="n"/>
    </row>
    <row r="3095">
      <c r="D3095" s="62" t="n"/>
    </row>
    <row r="3096">
      <c r="D3096" s="62" t="n"/>
    </row>
    <row r="3097">
      <c r="D3097" s="62" t="n"/>
    </row>
    <row r="3098">
      <c r="D3098" s="62" t="n"/>
    </row>
    <row r="3099">
      <c r="D3099" s="62" t="n"/>
    </row>
    <row r="3100">
      <c r="D3100" s="62" t="n"/>
    </row>
    <row r="3101">
      <c r="D3101" s="62" t="n"/>
    </row>
    <row r="3102">
      <c r="D3102" s="62" t="n"/>
    </row>
    <row r="3103">
      <c r="D3103" s="62" t="n"/>
    </row>
    <row r="3104">
      <c r="D3104" s="62" t="n"/>
    </row>
    <row r="3105">
      <c r="D3105" s="62" t="n"/>
    </row>
    <row r="3106">
      <c r="D3106" s="62" t="n"/>
    </row>
    <row r="3107">
      <c r="D3107" s="62" t="n"/>
    </row>
    <row r="3108">
      <c r="D3108" s="62" t="n"/>
    </row>
    <row r="3109">
      <c r="D3109" s="62" t="n"/>
    </row>
    <row r="3110">
      <c r="D3110" s="62" t="n"/>
    </row>
    <row r="3111">
      <c r="D3111" s="62" t="n"/>
    </row>
    <row r="3112">
      <c r="D3112" s="62" t="n"/>
    </row>
    <row r="3113">
      <c r="D3113" s="62" t="n"/>
    </row>
    <row r="3114">
      <c r="D3114" s="62" t="n"/>
    </row>
    <row r="3115">
      <c r="D3115" s="62" t="n"/>
    </row>
    <row r="3116">
      <c r="D3116" s="62" t="n"/>
    </row>
    <row r="3117">
      <c r="D3117" s="62" t="n"/>
    </row>
    <row r="3118">
      <c r="D3118" s="62" t="n"/>
    </row>
    <row r="3119">
      <c r="D3119" s="62" t="n"/>
    </row>
    <row r="3120">
      <c r="D3120" s="62" t="n"/>
    </row>
    <row r="3121">
      <c r="D3121" s="62" t="n"/>
    </row>
    <row r="3122">
      <c r="D3122" s="62" t="n"/>
    </row>
    <row r="3123">
      <c r="D3123" s="62" t="n"/>
    </row>
    <row r="3124">
      <c r="D3124" s="62" t="n"/>
    </row>
    <row r="3125">
      <c r="D3125" s="62" t="n"/>
    </row>
    <row r="3126">
      <c r="D3126" s="62" t="n"/>
    </row>
    <row r="3127">
      <c r="D3127" s="62" t="n"/>
    </row>
    <row r="3128">
      <c r="D3128" s="62" t="n"/>
    </row>
    <row r="3129">
      <c r="D3129" s="62" t="n"/>
    </row>
    <row r="3130">
      <c r="D3130" s="62" t="n"/>
    </row>
    <row r="3131">
      <c r="D3131" s="62" t="n"/>
    </row>
    <row r="3132">
      <c r="D3132" s="62" t="n"/>
    </row>
    <row r="3133">
      <c r="D3133" s="62" t="n"/>
    </row>
    <row r="3134">
      <c r="D3134" s="62" t="n"/>
    </row>
    <row r="3135">
      <c r="D3135" s="62" t="n"/>
    </row>
    <row r="3136">
      <c r="D3136" s="62" t="n"/>
    </row>
    <row r="3137">
      <c r="D3137" s="62" t="n"/>
    </row>
    <row r="3138">
      <c r="D3138" s="62" t="n"/>
    </row>
    <row r="3139">
      <c r="D3139" s="62" t="n"/>
    </row>
    <row r="3140">
      <c r="D3140" s="62" t="n"/>
    </row>
    <row r="3141">
      <c r="D3141" s="62" t="n"/>
    </row>
    <row r="3142">
      <c r="D3142" s="62" t="n"/>
    </row>
    <row r="3143">
      <c r="D3143" s="62" t="n"/>
    </row>
    <row r="3144">
      <c r="D3144" s="62" t="n"/>
    </row>
    <row r="3145">
      <c r="D3145" s="62" t="n"/>
    </row>
    <row r="3146">
      <c r="D3146" s="62" t="n"/>
    </row>
    <row r="3147">
      <c r="D3147" s="62" t="n"/>
    </row>
    <row r="3148">
      <c r="D3148" s="62" t="n"/>
    </row>
    <row r="3149">
      <c r="D3149" s="62" t="n"/>
    </row>
    <row r="3150">
      <c r="D3150" s="62" t="n"/>
    </row>
    <row r="3151">
      <c r="D3151" s="62" t="n"/>
    </row>
    <row r="3152">
      <c r="D3152" s="62" t="n"/>
    </row>
    <row r="3153">
      <c r="D3153" s="62" t="n"/>
    </row>
    <row r="3154">
      <c r="D3154" s="62" t="n"/>
    </row>
    <row r="3155">
      <c r="D3155" s="62" t="n"/>
    </row>
    <row r="3156">
      <c r="D3156" s="62" t="n"/>
    </row>
    <row r="3157">
      <c r="D3157" s="62" t="n"/>
    </row>
    <row r="3158">
      <c r="D3158" s="62" t="n"/>
    </row>
    <row r="3159">
      <c r="D3159" s="62" t="n"/>
    </row>
    <row r="3160">
      <c r="D3160" s="62" t="n"/>
    </row>
    <row r="3161">
      <c r="D3161" s="62" t="n"/>
    </row>
    <row r="3162">
      <c r="D3162" s="62" t="n"/>
    </row>
    <row r="3163">
      <c r="D3163" s="62" t="n"/>
    </row>
    <row r="3164">
      <c r="D3164" s="62" t="n"/>
    </row>
    <row r="3165">
      <c r="D3165" s="62" t="n"/>
    </row>
    <row r="3166">
      <c r="D3166" s="62" t="n"/>
    </row>
    <row r="3167">
      <c r="D3167" s="62" t="n"/>
    </row>
    <row r="3168">
      <c r="D3168" s="62" t="n"/>
    </row>
    <row r="3169">
      <c r="D3169" s="62" t="n"/>
    </row>
    <row r="3170">
      <c r="D3170" s="62" t="n"/>
    </row>
    <row r="3171">
      <c r="D3171" s="62" t="n"/>
    </row>
    <row r="3172">
      <c r="D3172" s="62" t="n"/>
    </row>
    <row r="3173">
      <c r="D3173" s="62" t="n"/>
    </row>
    <row r="3174">
      <c r="D3174" s="62" t="n"/>
    </row>
    <row r="3175">
      <c r="D3175" s="62" t="n"/>
    </row>
    <row r="3176">
      <c r="D3176" s="62" t="n"/>
    </row>
    <row r="3177">
      <c r="D3177" s="62" t="n"/>
    </row>
    <row r="3178">
      <c r="D3178" s="62" t="n"/>
    </row>
    <row r="3179">
      <c r="D3179" s="62" t="n"/>
    </row>
    <row r="3180">
      <c r="D3180" s="62" t="n"/>
    </row>
    <row r="3181">
      <c r="D3181" s="62" t="n"/>
    </row>
    <row r="3182">
      <c r="D3182" s="62" t="n"/>
    </row>
    <row r="3183">
      <c r="D3183" s="62" t="n"/>
    </row>
    <row r="3184">
      <c r="D3184" s="62" t="n"/>
    </row>
    <row r="3185">
      <c r="D3185" s="62" t="n"/>
    </row>
    <row r="3186">
      <c r="D3186" s="62" t="n"/>
    </row>
    <row r="3187">
      <c r="D3187" s="62" t="n"/>
    </row>
    <row r="3188">
      <c r="D3188" s="62" t="n"/>
    </row>
    <row r="3189">
      <c r="D3189" s="62" t="n"/>
    </row>
    <row r="3190">
      <c r="D3190" s="62" t="n"/>
    </row>
    <row r="3191">
      <c r="D3191" s="62" t="n"/>
    </row>
    <row r="3192">
      <c r="D3192" s="62" t="n"/>
    </row>
    <row r="3193">
      <c r="D3193" s="62" t="n"/>
    </row>
    <row r="3194">
      <c r="D3194" s="62" t="n"/>
    </row>
    <row r="3195">
      <c r="D3195" s="62" t="n"/>
    </row>
    <row r="3196">
      <c r="D3196" s="62" t="n"/>
    </row>
    <row r="3197">
      <c r="D3197" s="62" t="n"/>
    </row>
    <row r="3198">
      <c r="D3198" s="62" t="n"/>
    </row>
    <row r="3199">
      <c r="D3199" s="62" t="n"/>
    </row>
    <row r="3200">
      <c r="D3200" s="62" t="n"/>
    </row>
    <row r="3201">
      <c r="D3201" s="62" t="n"/>
    </row>
    <row r="3202">
      <c r="D3202" s="62" t="n"/>
    </row>
    <row r="3203">
      <c r="D3203" s="62" t="n"/>
    </row>
    <row r="3204">
      <c r="D3204" s="62" t="n"/>
    </row>
    <row r="3205">
      <c r="D3205" s="62" t="n"/>
    </row>
    <row r="3206">
      <c r="D3206" s="62" t="n"/>
    </row>
    <row r="3207">
      <c r="D3207" s="62" t="n"/>
    </row>
    <row r="3208">
      <c r="D3208" s="62" t="n"/>
    </row>
    <row r="3209">
      <c r="D3209" s="62" t="n"/>
    </row>
    <row r="3210">
      <c r="D3210" s="62" t="n"/>
    </row>
    <row r="3211">
      <c r="D3211" s="62" t="n"/>
    </row>
    <row r="3212">
      <c r="D3212" s="62" t="n"/>
    </row>
    <row r="3213">
      <c r="D3213" s="62" t="n"/>
    </row>
    <row r="3214">
      <c r="D3214" s="62" t="n"/>
    </row>
    <row r="3215">
      <c r="D3215" s="62" t="n"/>
    </row>
    <row r="3216">
      <c r="D3216" s="62" t="n"/>
    </row>
    <row r="3217">
      <c r="D3217" s="62" t="n"/>
    </row>
    <row r="3218">
      <c r="D3218" s="62" t="n"/>
    </row>
    <row r="3219">
      <c r="D3219" s="62" t="n"/>
    </row>
    <row r="3220">
      <c r="D3220" s="62" t="n"/>
    </row>
    <row r="3221">
      <c r="D3221" s="62" t="n"/>
    </row>
    <row r="3222">
      <c r="D3222" s="62" t="n"/>
    </row>
    <row r="3223">
      <c r="D3223" s="62" t="n"/>
    </row>
    <row r="3224">
      <c r="D3224" s="62" t="n"/>
    </row>
    <row r="3225">
      <c r="D3225" s="62" t="n"/>
    </row>
    <row r="3226">
      <c r="D3226" s="62" t="n"/>
    </row>
    <row r="3227">
      <c r="D3227" s="62" t="n"/>
    </row>
    <row r="3228">
      <c r="D3228" s="62" t="n"/>
    </row>
    <row r="3229">
      <c r="D3229" s="62" t="n"/>
    </row>
    <row r="3230">
      <c r="D3230" s="62" t="n"/>
    </row>
    <row r="3231">
      <c r="D3231" s="62" t="n"/>
    </row>
    <row r="3232">
      <c r="D3232" s="62" t="n"/>
    </row>
    <row r="3233">
      <c r="D3233" s="62" t="n"/>
    </row>
    <row r="3234">
      <c r="D3234" s="62" t="n"/>
    </row>
    <row r="3235">
      <c r="D3235" s="62" t="n"/>
    </row>
    <row r="3236">
      <c r="D3236" s="62" t="n"/>
    </row>
    <row r="3237">
      <c r="D3237" s="62" t="n"/>
    </row>
    <row r="3238">
      <c r="D3238" s="62" t="n"/>
    </row>
    <row r="3239">
      <c r="D3239" s="62" t="n"/>
    </row>
    <row r="3240">
      <c r="D3240" s="62" t="n"/>
    </row>
    <row r="3241">
      <c r="D3241" s="62" t="n"/>
    </row>
    <row r="3242">
      <c r="D3242" s="62" t="n"/>
    </row>
    <row r="3243">
      <c r="D3243" s="62" t="n"/>
    </row>
    <row r="3244">
      <c r="D3244" s="62" t="n"/>
    </row>
    <row r="3245">
      <c r="D3245" s="62" t="n"/>
    </row>
    <row r="3246">
      <c r="D3246" s="62" t="n"/>
    </row>
    <row r="3247">
      <c r="D3247" s="62" t="n"/>
    </row>
    <row r="3248">
      <c r="D3248" s="62" t="n"/>
    </row>
    <row r="3249">
      <c r="D3249" s="62" t="n"/>
    </row>
    <row r="3250">
      <c r="D3250" s="62" t="n"/>
    </row>
    <row r="3251">
      <c r="D3251" s="62" t="n"/>
    </row>
    <row r="3252">
      <c r="D3252" s="62" t="n"/>
    </row>
    <row r="3253">
      <c r="D3253" s="62" t="n"/>
    </row>
    <row r="3254">
      <c r="D3254" s="62" t="n"/>
    </row>
    <row r="3255">
      <c r="D3255" s="62" t="n"/>
    </row>
    <row r="3256">
      <c r="D3256" s="62" t="n"/>
    </row>
    <row r="3257">
      <c r="D3257" s="62" t="n"/>
    </row>
    <row r="3258">
      <c r="D3258" s="62" t="n"/>
    </row>
    <row r="3259">
      <c r="D3259" s="62" t="n"/>
    </row>
    <row r="3260">
      <c r="D3260" s="62" t="n"/>
    </row>
    <row r="3261">
      <c r="D3261" s="62" t="n"/>
    </row>
    <row r="3262">
      <c r="D3262" s="62" t="n"/>
    </row>
    <row r="3263">
      <c r="D3263" s="62" t="n"/>
    </row>
    <row r="3264">
      <c r="D3264" s="62" t="n"/>
    </row>
    <row r="3265">
      <c r="D3265" s="62" t="n"/>
    </row>
    <row r="3266">
      <c r="D3266" s="62" t="n"/>
    </row>
    <row r="3267">
      <c r="D3267" s="62" t="n"/>
    </row>
    <row r="3268">
      <c r="D3268" s="62" t="n"/>
    </row>
    <row r="3269">
      <c r="D3269" s="62" t="n"/>
    </row>
    <row r="3270">
      <c r="D3270" s="62" t="n"/>
    </row>
    <row r="3271">
      <c r="D3271" s="62" t="n"/>
    </row>
    <row r="3272">
      <c r="D3272" s="62" t="n"/>
    </row>
    <row r="3273">
      <c r="D3273" s="62" t="n"/>
    </row>
    <row r="3274">
      <c r="D3274" s="62" t="n"/>
    </row>
    <row r="3275">
      <c r="D3275" s="62" t="n"/>
    </row>
    <row r="3276">
      <c r="D3276" s="62" t="n"/>
    </row>
    <row r="3277">
      <c r="D3277" s="62" t="n"/>
    </row>
    <row r="3278">
      <c r="D3278" s="62" t="n"/>
    </row>
    <row r="3279">
      <c r="D3279" s="62" t="n"/>
    </row>
    <row r="3280">
      <c r="D3280" s="62" t="n"/>
    </row>
    <row r="3281">
      <c r="D3281" s="62" t="n"/>
    </row>
    <row r="3282">
      <c r="D3282" s="62" t="n"/>
    </row>
    <row r="3283">
      <c r="D3283" s="62" t="n"/>
    </row>
    <row r="3284">
      <c r="D3284" s="62" t="n"/>
    </row>
    <row r="3285">
      <c r="D3285" s="62" t="n"/>
    </row>
    <row r="3286">
      <c r="D3286" s="62" t="n"/>
    </row>
    <row r="3287">
      <c r="D3287" s="62" t="n"/>
    </row>
    <row r="3288">
      <c r="D3288" s="62" t="n"/>
    </row>
    <row r="3289">
      <c r="D3289" s="62" t="n"/>
    </row>
    <row r="3290">
      <c r="D3290" s="62" t="n"/>
    </row>
    <row r="3291">
      <c r="D3291" s="62" t="n"/>
    </row>
    <row r="3292">
      <c r="D3292" s="62" t="n"/>
    </row>
    <row r="3293">
      <c r="D3293" s="62" t="n"/>
    </row>
    <row r="3294">
      <c r="D3294" s="62" t="n"/>
    </row>
    <row r="3295">
      <c r="D3295" s="62" t="n"/>
    </row>
    <row r="3296">
      <c r="D3296" s="62" t="n"/>
    </row>
    <row r="3297">
      <c r="D3297" s="62" t="n"/>
    </row>
    <row r="3298">
      <c r="D3298" s="62" t="n"/>
    </row>
    <row r="3299">
      <c r="D3299" s="62" t="n"/>
    </row>
    <row r="3300">
      <c r="D3300" s="62" t="n"/>
    </row>
    <row r="3301">
      <c r="D3301" s="62" t="n"/>
    </row>
    <row r="3302">
      <c r="D3302" s="62" t="n"/>
    </row>
    <row r="3303">
      <c r="D3303" s="62" t="n"/>
    </row>
    <row r="3304">
      <c r="D3304" s="62" t="n"/>
    </row>
    <row r="3305">
      <c r="D3305" s="62" t="n"/>
    </row>
    <row r="3306">
      <c r="D3306" s="62" t="n"/>
    </row>
    <row r="3307">
      <c r="D3307" s="62" t="n"/>
    </row>
    <row r="3308">
      <c r="D3308" s="62" t="n"/>
    </row>
    <row r="3309">
      <c r="D3309" s="62" t="n"/>
    </row>
    <row r="3310">
      <c r="D3310" s="62" t="n"/>
    </row>
    <row r="3311">
      <c r="D3311" s="62" t="n"/>
    </row>
    <row r="3312">
      <c r="D3312" s="62" t="n"/>
    </row>
    <row r="3313">
      <c r="D3313" s="62" t="n"/>
    </row>
    <row r="3314">
      <c r="D3314" s="62" t="n"/>
    </row>
    <row r="3315">
      <c r="D3315" s="62" t="n"/>
    </row>
    <row r="3316">
      <c r="D3316" s="62" t="n"/>
    </row>
    <row r="3317">
      <c r="D3317" s="62" t="n"/>
    </row>
    <row r="3318">
      <c r="D3318" s="62" t="n"/>
    </row>
    <row r="3319">
      <c r="D3319" s="62" t="n"/>
    </row>
    <row r="3320">
      <c r="D3320" s="62" t="n"/>
    </row>
    <row r="3321">
      <c r="D3321" s="62" t="n"/>
    </row>
    <row r="3322">
      <c r="D3322" s="62" t="n"/>
    </row>
    <row r="3323">
      <c r="D3323" s="62" t="n"/>
    </row>
    <row r="3324">
      <c r="D3324" s="62" t="n"/>
    </row>
    <row r="3325">
      <c r="D3325" s="62" t="n"/>
    </row>
    <row r="3326">
      <c r="D3326" s="62" t="n"/>
    </row>
    <row r="3327">
      <c r="D3327" s="62" t="n"/>
    </row>
    <row r="3328">
      <c r="D3328" s="62" t="n"/>
    </row>
    <row r="3329">
      <c r="D3329" s="62" t="n"/>
    </row>
    <row r="3330">
      <c r="D3330" s="62" t="n"/>
    </row>
    <row r="3331">
      <c r="D3331" s="62" t="n"/>
    </row>
    <row r="3332">
      <c r="D3332" s="62" t="n"/>
    </row>
    <row r="3333">
      <c r="D3333" s="62" t="n"/>
    </row>
    <row r="3334">
      <c r="D3334" s="62" t="n"/>
    </row>
    <row r="3335">
      <c r="D3335" s="62" t="n"/>
    </row>
    <row r="3336">
      <c r="D3336" s="62" t="n"/>
    </row>
    <row r="3337">
      <c r="D3337" s="62" t="n"/>
    </row>
    <row r="3338">
      <c r="D3338" s="62" t="n"/>
    </row>
    <row r="3339">
      <c r="D3339" s="62" t="n"/>
    </row>
    <row r="3340">
      <c r="D3340" s="62" t="n"/>
    </row>
    <row r="3341">
      <c r="D3341" s="62" t="n"/>
    </row>
    <row r="3342">
      <c r="D3342" s="62" t="n"/>
    </row>
    <row r="3343">
      <c r="D3343" s="62" t="n"/>
    </row>
    <row r="3344">
      <c r="D3344" s="62" t="n"/>
    </row>
    <row r="3345">
      <c r="D3345" s="62" t="n"/>
    </row>
    <row r="3346">
      <c r="D3346" s="62" t="n"/>
    </row>
    <row r="3347">
      <c r="D3347" s="62" t="n"/>
    </row>
    <row r="3348">
      <c r="D3348" s="62" t="n"/>
    </row>
    <row r="3349">
      <c r="D3349" s="62" t="n"/>
    </row>
    <row r="3350">
      <c r="D3350" s="62" t="n"/>
    </row>
    <row r="3351">
      <c r="D3351" s="62" t="n"/>
    </row>
    <row r="3352">
      <c r="D3352" s="62" t="n"/>
    </row>
    <row r="3353">
      <c r="D3353" s="62" t="n"/>
    </row>
    <row r="3354">
      <c r="D3354" s="62" t="n"/>
    </row>
    <row r="3355">
      <c r="D3355" s="62" t="n"/>
    </row>
    <row r="3356">
      <c r="D3356" s="62" t="n"/>
    </row>
    <row r="3357">
      <c r="D3357" s="62" t="n"/>
    </row>
    <row r="3358">
      <c r="D3358" s="62" t="n"/>
    </row>
    <row r="3359">
      <c r="D3359" s="62" t="n"/>
    </row>
    <row r="3360">
      <c r="D3360" s="62" t="n"/>
    </row>
    <row r="3361">
      <c r="D3361" s="62" t="n"/>
    </row>
    <row r="3362">
      <c r="D3362" s="62" t="n"/>
    </row>
    <row r="3363">
      <c r="D3363" s="62" t="n"/>
    </row>
    <row r="3364">
      <c r="D3364" s="62" t="n"/>
    </row>
    <row r="3365">
      <c r="D3365" s="62" t="n"/>
    </row>
    <row r="3366">
      <c r="D3366" s="62" t="n"/>
    </row>
    <row r="3367">
      <c r="D3367" s="62" t="n"/>
    </row>
    <row r="3368">
      <c r="D3368" s="62" t="n"/>
    </row>
    <row r="3369">
      <c r="D3369" s="62" t="n"/>
    </row>
    <row r="3370">
      <c r="D3370" s="62" t="n"/>
    </row>
    <row r="3371">
      <c r="D3371" s="62" t="n"/>
    </row>
    <row r="3372">
      <c r="D3372" s="62" t="n"/>
    </row>
    <row r="3373">
      <c r="D3373" s="62" t="n"/>
    </row>
    <row r="3374">
      <c r="D3374" s="62" t="n"/>
    </row>
    <row r="3375">
      <c r="D3375" s="62" t="n"/>
    </row>
    <row r="3376">
      <c r="D3376" s="62" t="n"/>
    </row>
    <row r="3377">
      <c r="D3377" s="62" t="n"/>
    </row>
    <row r="3378">
      <c r="D3378" s="62" t="n"/>
    </row>
    <row r="3379">
      <c r="D3379" s="62" t="n"/>
    </row>
    <row r="3380">
      <c r="D3380" s="62" t="n"/>
    </row>
    <row r="3381">
      <c r="D3381" s="62" t="n"/>
    </row>
    <row r="3382">
      <c r="D3382" s="62" t="n"/>
    </row>
    <row r="3383">
      <c r="D3383" s="62" t="n"/>
    </row>
    <row r="3384">
      <c r="D3384" s="62" t="n"/>
    </row>
    <row r="3385">
      <c r="D3385" s="62" t="n"/>
    </row>
    <row r="3386">
      <c r="D3386" s="62" t="n"/>
    </row>
    <row r="3387">
      <c r="D3387" s="62" t="n"/>
    </row>
    <row r="3388">
      <c r="D3388" s="62" t="n"/>
    </row>
    <row r="3389">
      <c r="D3389" s="62" t="n"/>
    </row>
    <row r="3390">
      <c r="D3390" s="62" t="n"/>
    </row>
    <row r="3391">
      <c r="D3391" s="62" t="n"/>
    </row>
    <row r="3392">
      <c r="D3392" s="62" t="n"/>
    </row>
    <row r="3393">
      <c r="D3393" s="62" t="n"/>
    </row>
    <row r="3394">
      <c r="D3394" s="62" t="n"/>
    </row>
    <row r="3395">
      <c r="D3395" s="62" t="n"/>
    </row>
    <row r="3396">
      <c r="D3396" s="62" t="n"/>
    </row>
    <row r="3397">
      <c r="D3397" s="62" t="n"/>
    </row>
    <row r="3398">
      <c r="D3398" s="62" t="n"/>
    </row>
    <row r="3399">
      <c r="D3399" s="62" t="n"/>
    </row>
    <row r="3400">
      <c r="D3400" s="62" t="n"/>
    </row>
    <row r="3401">
      <c r="D3401" s="62" t="n"/>
    </row>
    <row r="3402">
      <c r="D3402" s="62" t="n"/>
    </row>
    <row r="3403">
      <c r="D3403" s="62" t="n"/>
    </row>
    <row r="3404">
      <c r="D3404" s="62" t="n"/>
    </row>
    <row r="3405">
      <c r="D3405" s="62" t="n"/>
    </row>
    <row r="3406">
      <c r="D3406" s="62" t="n"/>
    </row>
    <row r="3407">
      <c r="D3407" s="62" t="n"/>
    </row>
    <row r="3408">
      <c r="D3408" s="62" t="n"/>
    </row>
    <row r="3409">
      <c r="D3409" s="62" t="n"/>
    </row>
    <row r="3410">
      <c r="D3410" s="62" t="n"/>
    </row>
    <row r="3411">
      <c r="D3411" s="62" t="n"/>
    </row>
    <row r="3412">
      <c r="D3412" s="62" t="n"/>
    </row>
    <row r="3413">
      <c r="D3413" s="62" t="n"/>
    </row>
    <row r="3414">
      <c r="D3414" s="62" t="n"/>
    </row>
    <row r="3415">
      <c r="D3415" s="62" t="n"/>
    </row>
    <row r="3416">
      <c r="D3416" s="62" t="n"/>
    </row>
    <row r="3417">
      <c r="D3417" s="62" t="n"/>
    </row>
    <row r="3418">
      <c r="D3418" s="62" t="n"/>
    </row>
    <row r="3419">
      <c r="D3419" s="62" t="n"/>
    </row>
    <row r="3420">
      <c r="D3420" s="62" t="n"/>
    </row>
    <row r="3421">
      <c r="D3421" s="62" t="n"/>
    </row>
    <row r="3422">
      <c r="D3422" s="62" t="n"/>
    </row>
    <row r="3423">
      <c r="D3423" s="62" t="n"/>
    </row>
    <row r="3424">
      <c r="D3424" s="62" t="n"/>
    </row>
    <row r="3425">
      <c r="D3425" s="62" t="n"/>
    </row>
    <row r="3426">
      <c r="D3426" s="62" t="n"/>
    </row>
    <row r="3427">
      <c r="D3427" s="62" t="n"/>
    </row>
    <row r="3428">
      <c r="D3428" s="62" t="n"/>
    </row>
    <row r="3429">
      <c r="D3429" s="62" t="n"/>
    </row>
    <row r="3430">
      <c r="D3430" s="62" t="n"/>
    </row>
    <row r="3431">
      <c r="D3431" s="62" t="n"/>
    </row>
    <row r="3432">
      <c r="D3432" s="62" t="n"/>
    </row>
    <row r="3433">
      <c r="D3433" s="62" t="n"/>
    </row>
    <row r="3434">
      <c r="D3434" s="62" t="n"/>
    </row>
    <row r="3435">
      <c r="D3435" s="62" t="n"/>
    </row>
    <row r="3436">
      <c r="D3436" s="62" t="n"/>
    </row>
    <row r="3437">
      <c r="D3437" s="62" t="n"/>
    </row>
    <row r="3438">
      <c r="D3438" s="62" t="n"/>
    </row>
    <row r="3439">
      <c r="D3439" s="62" t="n"/>
    </row>
    <row r="3440">
      <c r="D3440" s="62" t="n"/>
    </row>
    <row r="3441">
      <c r="D3441" s="62" t="n"/>
    </row>
    <row r="3442">
      <c r="D3442" s="62" t="n"/>
    </row>
    <row r="3443">
      <c r="D3443" s="62" t="n"/>
    </row>
    <row r="3444">
      <c r="D3444" s="62" t="n"/>
    </row>
    <row r="3445">
      <c r="D3445" s="62" t="n"/>
    </row>
    <row r="3446">
      <c r="D3446" s="62" t="n"/>
    </row>
    <row r="3447">
      <c r="D3447" s="62" t="n"/>
    </row>
    <row r="3448">
      <c r="D3448" s="62" t="n"/>
    </row>
    <row r="3449">
      <c r="D3449" s="62" t="n"/>
    </row>
    <row r="3450">
      <c r="D3450" s="62" t="n"/>
    </row>
    <row r="3451">
      <c r="D3451" s="62" t="n"/>
    </row>
    <row r="3452">
      <c r="D3452" s="62" t="n"/>
    </row>
    <row r="3453">
      <c r="D3453" s="62" t="n"/>
    </row>
    <row r="3454">
      <c r="D3454" s="62" t="n"/>
    </row>
    <row r="3455">
      <c r="D3455" s="62" t="n"/>
    </row>
    <row r="3456">
      <c r="D3456" s="62" t="n"/>
    </row>
    <row r="3457">
      <c r="D3457" s="62" t="n"/>
    </row>
    <row r="3458">
      <c r="D3458" s="62" t="n"/>
    </row>
    <row r="3459">
      <c r="D3459" s="62" t="n"/>
    </row>
    <row r="3460">
      <c r="D3460" s="62" t="n"/>
    </row>
    <row r="3461">
      <c r="D3461" s="62" t="n"/>
    </row>
    <row r="3462">
      <c r="D3462" s="62" t="n"/>
    </row>
    <row r="3463">
      <c r="D3463" s="62" t="n"/>
    </row>
    <row r="3464">
      <c r="D3464" s="62" t="n"/>
    </row>
    <row r="3465">
      <c r="D3465" s="62" t="n"/>
    </row>
    <row r="3466">
      <c r="D3466" s="62" t="n"/>
    </row>
    <row r="3467">
      <c r="D3467" s="62" t="n"/>
    </row>
    <row r="3468">
      <c r="D3468" s="62" t="n"/>
    </row>
    <row r="3469">
      <c r="D3469" s="62" t="n"/>
    </row>
    <row r="3470">
      <c r="D3470" s="62" t="n"/>
    </row>
    <row r="3471">
      <c r="D3471" s="62" t="n"/>
    </row>
    <row r="3472">
      <c r="D3472" s="62" t="n"/>
    </row>
    <row r="3473">
      <c r="D3473" s="62" t="n"/>
    </row>
    <row r="3474">
      <c r="D3474" s="62" t="n"/>
    </row>
    <row r="3475">
      <c r="D3475" s="62" t="n"/>
    </row>
    <row r="3476">
      <c r="D3476" s="62" t="n"/>
    </row>
    <row r="3477">
      <c r="D3477" s="62" t="n"/>
    </row>
    <row r="3478">
      <c r="D3478" s="62" t="n"/>
    </row>
    <row r="3479">
      <c r="D3479" s="62" t="n"/>
    </row>
    <row r="3480">
      <c r="D3480" s="62" t="n"/>
    </row>
    <row r="3481">
      <c r="D3481" s="62" t="n"/>
    </row>
    <row r="3482">
      <c r="D3482" s="62" t="n"/>
    </row>
    <row r="3483">
      <c r="D3483" s="62" t="n"/>
    </row>
    <row r="3484">
      <c r="D3484" s="62" t="n"/>
    </row>
    <row r="3485">
      <c r="D3485" s="62" t="n"/>
    </row>
    <row r="3486">
      <c r="D3486" s="62" t="n"/>
    </row>
    <row r="3487">
      <c r="D3487" s="62" t="n"/>
    </row>
    <row r="3488">
      <c r="D3488" s="62" t="n"/>
    </row>
    <row r="3489">
      <c r="D3489" s="62" t="n"/>
    </row>
    <row r="3490">
      <c r="D3490" s="62" t="n"/>
    </row>
    <row r="3491">
      <c r="D3491" s="62" t="n"/>
    </row>
    <row r="3492">
      <c r="D3492" s="62" t="n"/>
    </row>
    <row r="3493">
      <c r="D3493" s="62" t="n"/>
    </row>
    <row r="3494">
      <c r="D3494" s="62" t="n"/>
    </row>
    <row r="3495">
      <c r="D3495" s="62" t="n"/>
    </row>
    <row r="3496">
      <c r="D3496" s="62" t="n"/>
    </row>
    <row r="3497">
      <c r="D3497" s="62" t="n"/>
    </row>
    <row r="3498">
      <c r="D3498" s="62" t="n"/>
    </row>
    <row r="3499">
      <c r="D3499" s="62" t="n"/>
    </row>
    <row r="3500">
      <c r="D3500" s="62" t="n"/>
    </row>
    <row r="3501">
      <c r="D3501" s="62" t="n"/>
    </row>
    <row r="3502">
      <c r="D3502" s="62" t="n"/>
    </row>
    <row r="3503">
      <c r="D3503" s="62" t="n"/>
    </row>
    <row r="3504">
      <c r="D3504" s="62" t="n"/>
    </row>
    <row r="3505">
      <c r="D3505" s="62" t="n"/>
    </row>
    <row r="3506">
      <c r="D3506" s="62" t="n"/>
    </row>
    <row r="3507">
      <c r="D3507" s="62" t="n"/>
    </row>
    <row r="3508">
      <c r="D3508" s="62" t="n"/>
    </row>
    <row r="3509">
      <c r="D3509" s="62" t="n"/>
    </row>
    <row r="3510">
      <c r="D3510" s="62" t="n"/>
    </row>
    <row r="3511">
      <c r="D3511" s="62" t="n"/>
    </row>
    <row r="3512">
      <c r="D3512" s="62" t="n"/>
    </row>
    <row r="3513">
      <c r="D3513" s="62" t="n"/>
    </row>
    <row r="3514">
      <c r="D3514" s="62" t="n"/>
    </row>
    <row r="3515">
      <c r="D3515" s="62" t="n"/>
    </row>
    <row r="3516">
      <c r="D3516" s="62" t="n"/>
    </row>
    <row r="3517">
      <c r="D3517" s="62" t="n"/>
    </row>
    <row r="3518">
      <c r="D3518" s="62" t="n"/>
    </row>
    <row r="3519">
      <c r="D3519" s="62" t="n"/>
    </row>
    <row r="3520">
      <c r="D3520" s="62" t="n"/>
    </row>
    <row r="3521">
      <c r="D3521" s="62" t="n"/>
    </row>
    <row r="3522">
      <c r="D3522" s="62" t="n"/>
    </row>
    <row r="3523">
      <c r="D3523" s="62" t="n"/>
    </row>
    <row r="3524">
      <c r="D3524" s="62" t="n"/>
    </row>
    <row r="3525">
      <c r="D3525" s="62" t="n"/>
    </row>
    <row r="3526">
      <c r="D3526" s="62" t="n"/>
    </row>
    <row r="3527">
      <c r="D3527" s="62" t="n"/>
    </row>
    <row r="3528">
      <c r="D3528" s="62" t="n"/>
    </row>
    <row r="3529">
      <c r="D3529" s="62" t="n"/>
    </row>
    <row r="3530">
      <c r="D3530" s="62" t="n"/>
    </row>
    <row r="3531">
      <c r="D3531" s="62" t="n"/>
    </row>
    <row r="3532">
      <c r="D3532" s="62" t="n"/>
    </row>
    <row r="3533">
      <c r="D3533" s="62" t="n"/>
    </row>
    <row r="3534">
      <c r="D3534" s="62" t="n"/>
    </row>
    <row r="3535">
      <c r="D3535" s="62" t="n"/>
    </row>
    <row r="3536">
      <c r="D3536" s="62" t="n"/>
    </row>
    <row r="3537">
      <c r="D3537" s="62" t="n"/>
    </row>
    <row r="3538">
      <c r="D3538" s="62" t="n"/>
    </row>
    <row r="3539">
      <c r="D3539" s="62" t="n"/>
    </row>
    <row r="3540">
      <c r="D3540" s="62" t="n"/>
    </row>
    <row r="3541">
      <c r="D3541" s="62" t="n"/>
    </row>
    <row r="3542">
      <c r="D3542" s="62" t="n"/>
    </row>
    <row r="3543">
      <c r="D3543" s="62" t="n"/>
    </row>
    <row r="3544">
      <c r="D3544" s="62" t="n"/>
    </row>
    <row r="3545">
      <c r="D3545" s="62" t="n"/>
    </row>
    <row r="3546">
      <c r="D3546" s="62" t="n"/>
    </row>
    <row r="3547">
      <c r="D3547" s="62" t="n"/>
    </row>
    <row r="3548">
      <c r="D3548" s="62" t="n"/>
    </row>
    <row r="3549">
      <c r="D3549" s="62" t="n"/>
    </row>
    <row r="3550">
      <c r="D3550" s="62" t="n"/>
    </row>
    <row r="3551">
      <c r="D3551" s="62" t="n"/>
    </row>
    <row r="3552">
      <c r="D3552" s="62" t="n"/>
    </row>
    <row r="3553">
      <c r="D3553" s="62" t="n"/>
    </row>
    <row r="3554">
      <c r="D3554" s="62" t="n"/>
    </row>
    <row r="3555">
      <c r="D3555" s="62" t="n"/>
    </row>
    <row r="3556">
      <c r="D3556" s="62" t="n"/>
    </row>
    <row r="3557">
      <c r="D3557" s="62" t="n"/>
    </row>
    <row r="3558">
      <c r="D3558" s="62" t="n"/>
    </row>
    <row r="3559">
      <c r="D3559" s="62" t="n"/>
    </row>
    <row r="3560">
      <c r="D3560" s="62" t="n"/>
    </row>
    <row r="3561">
      <c r="D3561" s="62" t="n"/>
    </row>
    <row r="3562">
      <c r="D3562" s="62" t="n"/>
    </row>
    <row r="3563">
      <c r="D3563" s="62" t="n"/>
    </row>
    <row r="3564">
      <c r="D3564" s="62" t="n"/>
    </row>
    <row r="3565">
      <c r="D3565" s="62" t="n"/>
    </row>
    <row r="3566">
      <c r="D3566" s="62" t="n"/>
    </row>
    <row r="3567">
      <c r="D3567" s="62" t="n"/>
    </row>
    <row r="3568">
      <c r="D3568" s="62" t="n"/>
    </row>
    <row r="3569">
      <c r="D3569" s="62" t="n"/>
    </row>
    <row r="3570">
      <c r="D3570" s="62" t="n"/>
    </row>
    <row r="3571">
      <c r="D3571" s="62" t="n"/>
    </row>
    <row r="3572">
      <c r="D3572" s="62" t="n"/>
    </row>
    <row r="3573">
      <c r="D3573" s="62" t="n"/>
    </row>
    <row r="3574">
      <c r="D3574" s="62" t="n"/>
    </row>
    <row r="3575">
      <c r="D3575" s="62" t="n"/>
    </row>
    <row r="3576">
      <c r="D3576" s="62" t="n"/>
    </row>
    <row r="3577">
      <c r="D3577" s="62" t="n"/>
    </row>
    <row r="3578">
      <c r="D3578" s="62" t="n"/>
    </row>
    <row r="3579">
      <c r="D3579" s="62" t="n"/>
    </row>
    <row r="3580">
      <c r="D3580" s="62" t="n"/>
    </row>
    <row r="3581">
      <c r="D3581" s="62" t="n"/>
    </row>
    <row r="3582">
      <c r="D3582" s="62" t="n"/>
    </row>
    <row r="3583">
      <c r="D3583" s="62" t="n"/>
    </row>
    <row r="3584">
      <c r="D3584" s="62" t="n"/>
    </row>
    <row r="3585">
      <c r="D3585" s="62" t="n"/>
    </row>
    <row r="3586">
      <c r="D3586" s="62" t="n"/>
    </row>
    <row r="3587">
      <c r="D3587" s="62" t="n"/>
    </row>
    <row r="3588">
      <c r="D3588" s="62" t="n"/>
    </row>
    <row r="3589">
      <c r="D3589" s="62" t="n"/>
    </row>
    <row r="3590">
      <c r="D3590" s="62" t="n"/>
    </row>
    <row r="3591">
      <c r="D3591" s="62" t="n"/>
    </row>
    <row r="3592">
      <c r="D3592" s="62" t="n"/>
    </row>
    <row r="3593">
      <c r="D3593" s="62" t="n"/>
    </row>
    <row r="3594">
      <c r="D3594" s="62" t="n"/>
    </row>
    <row r="3595">
      <c r="D3595" s="62" t="n"/>
    </row>
    <row r="3596">
      <c r="D3596" s="62" t="n"/>
    </row>
    <row r="3597">
      <c r="D3597" s="62" t="n"/>
    </row>
    <row r="3598">
      <c r="D3598" s="62" t="n"/>
    </row>
    <row r="3599">
      <c r="D3599" s="62" t="n"/>
    </row>
    <row r="3600">
      <c r="D3600" s="62" t="n"/>
    </row>
    <row r="3601">
      <c r="D3601" s="62" t="n"/>
    </row>
    <row r="3602">
      <c r="D3602" s="62" t="n"/>
    </row>
    <row r="3603">
      <c r="D3603" s="62" t="n"/>
    </row>
    <row r="3604">
      <c r="D3604" s="62" t="n"/>
    </row>
    <row r="3605">
      <c r="D3605" s="62" t="n"/>
    </row>
    <row r="3606">
      <c r="D3606" s="62" t="n"/>
    </row>
    <row r="3607">
      <c r="D3607" s="62" t="n"/>
    </row>
    <row r="3608">
      <c r="D3608" s="62" t="n"/>
    </row>
    <row r="3609">
      <c r="D3609" s="62" t="n"/>
    </row>
    <row r="3610">
      <c r="D3610" s="62" t="n"/>
    </row>
    <row r="3611">
      <c r="D3611" s="62" t="n"/>
    </row>
    <row r="3612">
      <c r="D3612" s="62" t="n"/>
    </row>
    <row r="3613">
      <c r="D3613" s="62" t="n"/>
    </row>
    <row r="3614">
      <c r="D3614" s="62" t="n"/>
    </row>
    <row r="3615">
      <c r="D3615" s="62" t="n"/>
    </row>
    <row r="3616">
      <c r="D3616" s="62" t="n"/>
    </row>
    <row r="3617">
      <c r="D3617" s="62" t="n"/>
    </row>
    <row r="3618">
      <c r="D3618" s="62" t="n"/>
    </row>
    <row r="3619">
      <c r="D3619" s="62" t="n"/>
    </row>
    <row r="3620">
      <c r="D3620" s="62" t="n"/>
    </row>
    <row r="3621">
      <c r="D3621" s="62" t="n"/>
    </row>
    <row r="3622">
      <c r="D3622" s="62" t="n"/>
    </row>
    <row r="3623">
      <c r="D3623" s="62" t="n"/>
    </row>
    <row r="3624">
      <c r="D3624" s="62" t="n"/>
    </row>
    <row r="3625">
      <c r="D3625" s="62" t="n"/>
    </row>
    <row r="3626">
      <c r="D3626" s="62" t="n"/>
    </row>
    <row r="3627">
      <c r="D3627" s="62" t="n"/>
    </row>
    <row r="3628">
      <c r="D3628" s="62" t="n"/>
    </row>
    <row r="3629">
      <c r="D3629" s="62" t="n"/>
    </row>
    <row r="3630">
      <c r="D3630" s="62" t="n"/>
    </row>
    <row r="3631">
      <c r="D3631" s="62" t="n"/>
    </row>
    <row r="3632">
      <c r="D3632" s="62" t="n"/>
    </row>
    <row r="3633">
      <c r="D3633" s="62" t="n"/>
    </row>
    <row r="3634">
      <c r="D3634" s="62" t="n"/>
    </row>
    <row r="3635">
      <c r="D3635" s="62" t="n"/>
    </row>
    <row r="3636">
      <c r="D3636" s="62" t="n"/>
    </row>
    <row r="3637">
      <c r="D3637" s="62" t="n"/>
    </row>
    <row r="3638">
      <c r="D3638" s="62" t="n"/>
    </row>
    <row r="3639">
      <c r="D3639" s="62" t="n"/>
    </row>
    <row r="3640">
      <c r="D3640" s="62" t="n"/>
    </row>
    <row r="3641">
      <c r="D3641" s="62" t="n"/>
    </row>
    <row r="3642">
      <c r="D3642" s="62" t="n"/>
    </row>
    <row r="3643">
      <c r="D3643" s="62" t="n"/>
    </row>
    <row r="3644">
      <c r="D3644" s="62" t="n"/>
    </row>
    <row r="3645">
      <c r="D3645" s="62" t="n"/>
    </row>
    <row r="3646">
      <c r="D3646" s="62" t="n"/>
    </row>
    <row r="3647">
      <c r="D3647" s="62" t="n"/>
    </row>
    <row r="3648">
      <c r="D3648" s="62" t="n"/>
    </row>
    <row r="3649">
      <c r="D3649" s="62" t="n"/>
    </row>
    <row r="3650">
      <c r="D3650" s="62" t="n"/>
    </row>
    <row r="3651">
      <c r="D3651" s="62" t="n"/>
    </row>
    <row r="3652">
      <c r="D3652" s="62" t="n"/>
    </row>
    <row r="3653">
      <c r="D3653" s="62" t="n"/>
    </row>
    <row r="3654">
      <c r="D3654" s="62" t="n"/>
    </row>
    <row r="3655">
      <c r="D3655" s="62" t="n"/>
    </row>
    <row r="3656">
      <c r="D3656" s="62" t="n"/>
    </row>
    <row r="3657">
      <c r="D3657" s="62" t="n"/>
    </row>
    <row r="3658">
      <c r="D3658" s="62" t="n"/>
    </row>
    <row r="3659">
      <c r="D3659" s="62" t="n"/>
    </row>
    <row r="3660">
      <c r="D3660" s="62" t="n"/>
    </row>
    <row r="3661">
      <c r="D3661" s="62" t="n"/>
    </row>
    <row r="3662">
      <c r="D3662" s="62" t="n"/>
    </row>
    <row r="3663">
      <c r="D3663" s="62" t="n"/>
    </row>
    <row r="3664">
      <c r="D3664" s="62" t="n"/>
    </row>
    <row r="3665">
      <c r="D3665" s="62" t="n"/>
    </row>
    <row r="3666">
      <c r="D3666" s="62" t="n"/>
    </row>
    <row r="3667">
      <c r="D3667" s="62" t="n"/>
    </row>
    <row r="3668">
      <c r="D3668" s="62" t="n"/>
    </row>
    <row r="3669">
      <c r="D3669" s="62" t="n"/>
    </row>
    <row r="3670">
      <c r="D3670" s="62" t="n"/>
    </row>
    <row r="3671">
      <c r="D3671" s="62" t="n"/>
    </row>
    <row r="3672">
      <c r="D3672" s="62" t="n"/>
    </row>
    <row r="3673">
      <c r="D3673" s="62" t="n"/>
    </row>
    <row r="3674">
      <c r="D3674" s="62" t="n"/>
    </row>
    <row r="3675">
      <c r="D3675" s="62" t="n"/>
    </row>
    <row r="3676">
      <c r="D3676" s="62" t="n"/>
    </row>
    <row r="3677">
      <c r="D3677" s="62" t="n"/>
    </row>
    <row r="3678">
      <c r="D3678" s="62" t="n"/>
    </row>
    <row r="3679">
      <c r="D3679" s="62" t="n"/>
    </row>
    <row r="3680">
      <c r="D3680" s="62" t="n"/>
    </row>
    <row r="3681">
      <c r="D3681" s="62" t="n"/>
    </row>
    <row r="3682">
      <c r="D3682" s="62" t="n"/>
    </row>
    <row r="3683">
      <c r="D3683" s="62" t="n"/>
    </row>
    <row r="3684">
      <c r="D3684" s="62" t="n"/>
    </row>
    <row r="3685">
      <c r="D3685" s="62" t="n"/>
    </row>
    <row r="3686">
      <c r="D3686" s="62" t="n"/>
    </row>
    <row r="3687">
      <c r="D3687" s="62" t="n"/>
    </row>
    <row r="3688">
      <c r="D3688" s="62" t="n"/>
    </row>
    <row r="3689">
      <c r="D3689" s="62" t="n"/>
    </row>
    <row r="3690">
      <c r="D3690" s="62" t="n"/>
    </row>
    <row r="3691">
      <c r="D3691" s="62" t="n"/>
    </row>
    <row r="3692">
      <c r="D3692" s="62" t="n"/>
    </row>
    <row r="3693">
      <c r="D3693" s="62" t="n"/>
    </row>
    <row r="3694">
      <c r="D3694" s="62" t="n"/>
    </row>
    <row r="3695">
      <c r="D3695" s="62" t="n"/>
    </row>
    <row r="3696">
      <c r="D3696" s="62" t="n"/>
    </row>
    <row r="3697">
      <c r="D3697" s="62" t="n"/>
    </row>
    <row r="3698">
      <c r="D3698" s="62" t="n"/>
    </row>
    <row r="3699">
      <c r="D3699" s="62" t="n"/>
    </row>
    <row r="3700">
      <c r="D3700" s="62" t="n"/>
    </row>
    <row r="3701">
      <c r="D3701" s="62" t="n"/>
    </row>
    <row r="3702">
      <c r="D3702" s="62" t="n"/>
    </row>
    <row r="3703">
      <c r="D3703" s="62" t="n"/>
    </row>
    <row r="3704">
      <c r="D3704" s="62" t="n"/>
    </row>
    <row r="3705">
      <c r="D3705" s="62" t="n"/>
    </row>
    <row r="3706">
      <c r="D3706" s="62" t="n"/>
    </row>
    <row r="3707">
      <c r="D3707" s="62" t="n"/>
    </row>
    <row r="3708">
      <c r="D3708" s="62" t="n"/>
    </row>
    <row r="3709">
      <c r="D3709" s="62" t="n"/>
    </row>
    <row r="3710">
      <c r="D3710" s="62" t="n"/>
    </row>
    <row r="3711">
      <c r="D3711" s="62" t="n"/>
    </row>
    <row r="3712">
      <c r="D3712" s="62" t="n"/>
    </row>
    <row r="3713">
      <c r="D3713" s="62" t="n"/>
    </row>
    <row r="3714">
      <c r="D3714" s="62" t="n"/>
    </row>
    <row r="3715">
      <c r="D3715" s="62" t="n"/>
    </row>
    <row r="3716">
      <c r="D3716" s="62" t="n"/>
    </row>
    <row r="3717">
      <c r="D3717" s="62" t="n"/>
    </row>
    <row r="3718">
      <c r="D3718" s="62" t="n"/>
    </row>
    <row r="3719">
      <c r="D3719" s="62" t="n"/>
    </row>
    <row r="3720">
      <c r="D3720" s="62" t="n"/>
    </row>
    <row r="3721">
      <c r="D3721" s="62" t="n"/>
    </row>
    <row r="3722">
      <c r="D3722" s="62" t="n"/>
    </row>
    <row r="3723">
      <c r="D3723" s="62" t="n"/>
    </row>
    <row r="3724">
      <c r="D3724" s="62" t="n"/>
    </row>
    <row r="3725">
      <c r="D3725" s="62" t="n"/>
    </row>
    <row r="3726">
      <c r="D3726" s="62" t="n"/>
    </row>
    <row r="3727">
      <c r="D3727" s="62" t="n"/>
    </row>
    <row r="3728">
      <c r="D3728" s="62" t="n"/>
    </row>
    <row r="3729">
      <c r="D3729" s="62" t="n"/>
    </row>
    <row r="3730">
      <c r="D3730" s="62" t="n"/>
    </row>
    <row r="3731">
      <c r="D3731" s="62" t="n"/>
    </row>
    <row r="3732">
      <c r="D3732" s="62" t="n"/>
    </row>
    <row r="3733">
      <c r="D3733" s="62" t="n"/>
    </row>
    <row r="3734">
      <c r="D3734" s="62" t="n"/>
    </row>
    <row r="3735">
      <c r="D3735" s="62" t="n"/>
    </row>
    <row r="3736">
      <c r="D3736" s="62" t="n"/>
    </row>
    <row r="3737">
      <c r="D3737" s="62" t="n"/>
    </row>
    <row r="3738">
      <c r="D3738" s="62" t="n"/>
    </row>
    <row r="3739">
      <c r="D3739" s="62" t="n"/>
    </row>
    <row r="3740">
      <c r="D3740" s="62" t="n"/>
    </row>
    <row r="3741">
      <c r="D3741" s="62" t="n"/>
    </row>
    <row r="3742">
      <c r="D3742" s="62" t="n"/>
    </row>
    <row r="3743">
      <c r="D3743" s="62" t="n"/>
    </row>
    <row r="3744">
      <c r="D3744" s="62" t="n"/>
    </row>
    <row r="3745">
      <c r="D3745" s="62" t="n"/>
    </row>
    <row r="3746">
      <c r="D3746" s="62" t="n"/>
    </row>
    <row r="3747">
      <c r="D3747" s="62" t="n"/>
    </row>
    <row r="3748">
      <c r="D3748" s="62" t="n"/>
    </row>
    <row r="3749">
      <c r="D3749" s="62" t="n"/>
    </row>
    <row r="3750">
      <c r="D3750" s="62" t="n"/>
    </row>
    <row r="3751">
      <c r="D3751" s="62" t="n"/>
    </row>
    <row r="3752">
      <c r="D3752" s="62" t="n"/>
    </row>
    <row r="3753">
      <c r="D3753" s="62" t="n"/>
    </row>
    <row r="3754">
      <c r="D3754" s="62" t="n"/>
    </row>
    <row r="3755">
      <c r="D3755" s="62" t="n"/>
    </row>
    <row r="3756">
      <c r="D3756" s="62" t="n"/>
    </row>
    <row r="3757">
      <c r="D3757" s="62" t="n"/>
    </row>
    <row r="3758">
      <c r="D3758" s="62" t="n"/>
    </row>
    <row r="3759">
      <c r="D3759" s="62" t="n"/>
    </row>
    <row r="3760">
      <c r="D3760" s="62" t="n"/>
    </row>
    <row r="3761">
      <c r="D3761" s="62" t="n"/>
    </row>
    <row r="3762">
      <c r="D3762" s="62" t="n"/>
    </row>
    <row r="3763">
      <c r="D3763" s="62" t="n"/>
    </row>
    <row r="3764">
      <c r="D3764" s="62" t="n"/>
    </row>
    <row r="3765">
      <c r="D3765" s="62" t="n"/>
    </row>
    <row r="3766">
      <c r="D3766" s="62" t="n"/>
    </row>
    <row r="3767">
      <c r="D3767" s="62" t="n"/>
    </row>
    <row r="3768">
      <c r="D3768" s="62" t="n"/>
    </row>
    <row r="3769">
      <c r="D3769" s="62" t="n"/>
    </row>
    <row r="3770">
      <c r="D3770" s="62" t="n"/>
    </row>
    <row r="3771">
      <c r="D3771" s="62" t="n"/>
    </row>
    <row r="3772">
      <c r="D3772" s="62" t="n"/>
    </row>
    <row r="3773">
      <c r="D3773" s="62" t="n"/>
    </row>
    <row r="3774">
      <c r="D3774" s="62" t="n"/>
    </row>
    <row r="3775">
      <c r="D3775" s="62" t="n"/>
    </row>
    <row r="3776">
      <c r="D3776" s="62" t="n"/>
    </row>
    <row r="3777">
      <c r="D3777" s="62" t="n"/>
    </row>
    <row r="3778">
      <c r="D3778" s="62" t="n"/>
    </row>
    <row r="3779">
      <c r="D3779" s="62" t="n"/>
    </row>
    <row r="3780">
      <c r="D3780" s="62" t="n"/>
    </row>
    <row r="3781">
      <c r="D3781" s="62" t="n"/>
    </row>
    <row r="3782">
      <c r="D3782" s="62" t="n"/>
    </row>
    <row r="3783">
      <c r="D3783" s="62" t="n"/>
    </row>
    <row r="3784">
      <c r="D3784" s="62" t="n"/>
    </row>
    <row r="3785">
      <c r="D3785" s="62" t="n"/>
    </row>
    <row r="3786">
      <c r="D3786" s="62" t="n"/>
    </row>
    <row r="3787">
      <c r="D3787" s="62" t="n"/>
    </row>
    <row r="3788">
      <c r="D3788" s="62" t="n"/>
    </row>
    <row r="3789">
      <c r="D3789" s="62" t="n"/>
    </row>
    <row r="3790">
      <c r="D3790" s="62" t="n"/>
    </row>
    <row r="3791">
      <c r="D3791" s="62" t="n"/>
    </row>
    <row r="3792">
      <c r="D3792" s="62" t="n"/>
    </row>
    <row r="3793">
      <c r="D3793" s="62" t="n"/>
    </row>
    <row r="3794">
      <c r="D3794" s="62" t="n"/>
    </row>
    <row r="3795">
      <c r="D3795" s="62" t="n"/>
    </row>
    <row r="3796">
      <c r="D3796" s="62" t="n"/>
    </row>
    <row r="3797">
      <c r="D3797" s="62" t="n"/>
    </row>
    <row r="3798">
      <c r="D3798" s="62" t="n"/>
    </row>
    <row r="3799">
      <c r="D3799" s="62" t="n"/>
    </row>
    <row r="3800">
      <c r="D3800" s="62" t="n"/>
    </row>
    <row r="3801">
      <c r="D3801" s="62" t="n"/>
    </row>
    <row r="3802">
      <c r="D3802" s="62" t="n"/>
    </row>
    <row r="3803">
      <c r="D3803" s="62" t="n"/>
    </row>
    <row r="3804">
      <c r="D3804" s="62" t="n"/>
    </row>
    <row r="3805">
      <c r="D3805" s="62" t="n"/>
    </row>
    <row r="3806">
      <c r="D3806" s="62" t="n"/>
    </row>
    <row r="3807">
      <c r="D3807" s="62" t="n"/>
    </row>
    <row r="3808">
      <c r="D3808" s="62" t="n"/>
    </row>
    <row r="3809">
      <c r="D3809" s="62" t="n"/>
    </row>
    <row r="3810">
      <c r="D3810" s="62" t="n"/>
    </row>
    <row r="3811">
      <c r="D3811" s="62" t="n"/>
    </row>
    <row r="3812">
      <c r="D3812" s="62" t="n"/>
    </row>
    <row r="3813">
      <c r="D3813" s="62" t="n"/>
    </row>
    <row r="3814">
      <c r="D3814" s="62" t="n"/>
    </row>
    <row r="3815">
      <c r="D3815" s="62" t="n"/>
    </row>
    <row r="3816">
      <c r="D3816" s="62" t="n"/>
    </row>
    <row r="3817">
      <c r="D3817" s="62" t="n"/>
    </row>
    <row r="3818">
      <c r="D3818" s="62" t="n"/>
    </row>
    <row r="3819">
      <c r="D3819" s="62" t="n"/>
    </row>
    <row r="3820">
      <c r="D3820" s="62" t="n"/>
    </row>
    <row r="3821">
      <c r="D3821" s="62" t="n"/>
    </row>
    <row r="3822">
      <c r="D3822" s="62" t="n"/>
    </row>
    <row r="3823">
      <c r="D3823" s="62" t="n"/>
    </row>
    <row r="3824">
      <c r="D3824" s="62" t="n"/>
    </row>
    <row r="3825">
      <c r="D3825" s="62" t="n"/>
    </row>
    <row r="3826">
      <c r="D3826" s="62" t="n"/>
    </row>
    <row r="3827">
      <c r="D3827" s="62" t="n"/>
    </row>
    <row r="3828">
      <c r="D3828" s="62" t="n"/>
    </row>
    <row r="3829">
      <c r="D3829" s="62" t="n"/>
    </row>
    <row r="3830">
      <c r="D3830" s="62" t="n"/>
    </row>
    <row r="3831">
      <c r="D3831" s="62" t="n"/>
    </row>
    <row r="3832">
      <c r="D3832" s="62" t="n"/>
    </row>
    <row r="3833">
      <c r="D3833" s="62" t="n"/>
    </row>
    <row r="3834">
      <c r="D3834" s="62" t="n"/>
    </row>
    <row r="3835">
      <c r="D3835" s="62" t="n"/>
    </row>
    <row r="3836">
      <c r="D3836" s="62" t="n"/>
    </row>
    <row r="3837">
      <c r="D3837" s="62" t="n"/>
    </row>
    <row r="3838">
      <c r="D3838" s="62" t="n"/>
    </row>
    <row r="3839">
      <c r="D3839" s="62" t="n"/>
    </row>
    <row r="3840">
      <c r="D3840" s="62" t="n"/>
    </row>
    <row r="3841">
      <c r="D3841" s="62" t="n"/>
    </row>
    <row r="3842">
      <c r="D3842" s="62" t="n"/>
    </row>
    <row r="3843">
      <c r="D3843" s="62" t="n"/>
    </row>
    <row r="3844">
      <c r="D3844" s="62" t="n"/>
    </row>
    <row r="3845">
      <c r="D3845" s="62" t="n"/>
    </row>
    <row r="3846">
      <c r="D3846" s="62" t="n"/>
    </row>
    <row r="3847">
      <c r="D3847" s="62" t="n"/>
    </row>
    <row r="3848">
      <c r="D3848" s="62" t="n"/>
    </row>
    <row r="3849">
      <c r="D3849" s="62" t="n"/>
    </row>
    <row r="3850">
      <c r="D3850" s="62" t="n"/>
    </row>
    <row r="3851">
      <c r="D3851" s="62" t="n"/>
    </row>
    <row r="3852">
      <c r="D3852" s="62" t="n"/>
    </row>
    <row r="3853">
      <c r="D3853" s="62" t="n"/>
    </row>
    <row r="3854">
      <c r="D3854" s="62" t="n"/>
    </row>
    <row r="3855">
      <c r="D3855" s="62" t="n"/>
    </row>
    <row r="3856">
      <c r="D3856" s="62" t="n"/>
    </row>
    <row r="3857">
      <c r="D3857" s="62" t="n"/>
    </row>
    <row r="3858">
      <c r="D3858" s="62" t="n"/>
    </row>
    <row r="3859">
      <c r="D3859" s="62" t="n"/>
    </row>
    <row r="3860">
      <c r="D3860" s="62" t="n"/>
    </row>
    <row r="3861">
      <c r="D3861" s="62" t="n"/>
    </row>
    <row r="3862">
      <c r="D3862" s="62" t="n"/>
    </row>
    <row r="3863">
      <c r="D3863" s="62" t="n"/>
    </row>
    <row r="3864">
      <c r="D3864" s="62" t="n"/>
    </row>
    <row r="3865">
      <c r="D3865" s="62" t="n"/>
    </row>
    <row r="3866">
      <c r="D3866" s="62" t="n"/>
    </row>
    <row r="3867">
      <c r="D3867" s="62" t="n"/>
    </row>
    <row r="3868">
      <c r="D3868" s="62" t="n"/>
    </row>
    <row r="3869">
      <c r="D3869" s="62" t="n"/>
    </row>
    <row r="3870">
      <c r="D3870" s="62" t="n"/>
    </row>
    <row r="3871">
      <c r="D3871" s="62" t="n"/>
    </row>
    <row r="3872">
      <c r="D3872" s="62" t="n"/>
    </row>
    <row r="3873">
      <c r="D3873" s="62" t="n"/>
    </row>
    <row r="3874">
      <c r="D3874" s="62" t="n"/>
    </row>
    <row r="3875">
      <c r="D3875" s="62" t="n"/>
    </row>
    <row r="3876">
      <c r="D3876" s="62" t="n"/>
    </row>
    <row r="3877">
      <c r="D3877" s="62" t="n"/>
    </row>
    <row r="3878">
      <c r="D3878" s="62" t="n"/>
    </row>
    <row r="3879">
      <c r="D3879" s="62" t="n"/>
    </row>
    <row r="3880">
      <c r="D3880" s="62" t="n"/>
    </row>
    <row r="3881">
      <c r="D3881" s="62" t="n"/>
    </row>
    <row r="3882">
      <c r="D3882" s="62" t="n"/>
    </row>
    <row r="3883">
      <c r="D3883" s="62" t="n"/>
    </row>
    <row r="3884">
      <c r="D3884" s="62" t="n"/>
    </row>
    <row r="3885">
      <c r="D3885" s="62" t="n"/>
    </row>
    <row r="3886">
      <c r="D3886" s="62" t="n"/>
    </row>
    <row r="3887">
      <c r="D3887" s="62" t="n"/>
    </row>
    <row r="3888">
      <c r="D3888" s="62" t="n"/>
    </row>
    <row r="3889">
      <c r="D3889" s="62" t="n"/>
    </row>
    <row r="3890">
      <c r="D3890" s="62" t="n"/>
    </row>
    <row r="3891">
      <c r="D3891" s="62" t="n"/>
    </row>
    <row r="3892">
      <c r="D3892" s="62" t="n"/>
    </row>
    <row r="3893">
      <c r="D3893" s="62" t="n"/>
    </row>
    <row r="3894">
      <c r="D3894" s="62" t="n"/>
    </row>
    <row r="3895">
      <c r="D3895" s="62" t="n"/>
    </row>
    <row r="3896">
      <c r="D3896" s="62" t="n"/>
    </row>
    <row r="3897">
      <c r="D3897" s="62" t="n"/>
    </row>
    <row r="3898">
      <c r="D3898" s="62" t="n"/>
    </row>
    <row r="3899">
      <c r="D3899" s="62" t="n"/>
    </row>
    <row r="3900">
      <c r="D3900" s="62" t="n"/>
    </row>
    <row r="3901">
      <c r="D3901" s="62" t="n"/>
    </row>
    <row r="3902">
      <c r="D3902" s="62" t="n"/>
    </row>
    <row r="3903">
      <c r="D3903" s="62" t="n"/>
    </row>
    <row r="3904">
      <c r="D3904" s="62" t="n"/>
    </row>
    <row r="3905">
      <c r="D3905" s="62" t="n"/>
    </row>
    <row r="3906">
      <c r="D3906" s="62" t="n"/>
    </row>
    <row r="3907">
      <c r="D3907" s="62" t="n"/>
    </row>
    <row r="3908">
      <c r="D3908" s="62" t="n"/>
    </row>
    <row r="3909">
      <c r="D3909" s="62" t="n"/>
    </row>
    <row r="3910">
      <c r="D3910" s="62" t="n"/>
    </row>
    <row r="3911">
      <c r="D3911" s="62" t="n"/>
    </row>
    <row r="3912">
      <c r="D3912" s="62" t="n"/>
    </row>
    <row r="3913">
      <c r="D3913" s="62" t="n"/>
    </row>
    <row r="3914">
      <c r="D3914" s="62" t="n"/>
    </row>
    <row r="3915">
      <c r="D3915" s="62" t="n"/>
    </row>
    <row r="3916">
      <c r="D3916" s="62" t="n"/>
    </row>
    <row r="3917">
      <c r="D3917" s="62" t="n"/>
    </row>
    <row r="3918">
      <c r="D3918" s="62" t="n"/>
    </row>
    <row r="3919">
      <c r="D3919" s="62" t="n"/>
    </row>
    <row r="3920">
      <c r="D3920" s="62" t="n"/>
    </row>
    <row r="3921">
      <c r="D3921" s="62" t="n"/>
    </row>
    <row r="3922">
      <c r="D3922" s="62" t="n"/>
    </row>
    <row r="3923">
      <c r="D3923" s="62" t="n"/>
    </row>
    <row r="3924">
      <c r="D3924" s="62" t="n"/>
    </row>
    <row r="3925">
      <c r="D3925" s="62" t="n"/>
    </row>
    <row r="3926">
      <c r="D3926" s="62" t="n"/>
    </row>
    <row r="3927">
      <c r="D3927" s="62" t="n"/>
    </row>
    <row r="3928">
      <c r="D3928" s="62" t="n"/>
    </row>
    <row r="3929">
      <c r="D3929" s="62" t="n"/>
    </row>
    <row r="3930">
      <c r="D3930" s="62" t="n"/>
    </row>
    <row r="3931">
      <c r="D3931" s="62" t="n"/>
    </row>
    <row r="3932">
      <c r="D3932" s="62" t="n"/>
    </row>
    <row r="3933">
      <c r="D3933" s="62" t="n"/>
    </row>
    <row r="3934">
      <c r="D3934" s="62" t="n"/>
    </row>
    <row r="3935">
      <c r="D3935" s="62" t="n"/>
    </row>
    <row r="3936">
      <c r="D3936" s="62" t="n"/>
    </row>
    <row r="3937">
      <c r="D3937" s="62" t="n"/>
    </row>
    <row r="3938">
      <c r="D3938" s="62" t="n"/>
    </row>
    <row r="3939">
      <c r="D3939" s="62" t="n"/>
    </row>
    <row r="3940">
      <c r="D3940" s="62" t="n"/>
    </row>
    <row r="3941">
      <c r="D3941" s="62" t="n"/>
    </row>
    <row r="3942">
      <c r="D3942" s="62" t="n"/>
    </row>
    <row r="3943">
      <c r="D3943" s="62" t="n"/>
    </row>
    <row r="3944">
      <c r="D3944" s="62" t="n"/>
    </row>
    <row r="3945">
      <c r="D3945" s="62" t="n"/>
    </row>
    <row r="3946">
      <c r="D3946" s="62" t="n"/>
    </row>
    <row r="3947">
      <c r="D3947" s="62" t="n"/>
    </row>
    <row r="3948">
      <c r="D3948" s="62" t="n"/>
    </row>
    <row r="3949">
      <c r="D3949" s="62" t="n"/>
    </row>
    <row r="3950">
      <c r="D3950" s="62" t="n"/>
    </row>
    <row r="3951">
      <c r="D3951" s="62" t="n"/>
    </row>
    <row r="3952">
      <c r="D3952" s="62" t="n"/>
    </row>
    <row r="3953">
      <c r="D3953" s="62" t="n"/>
    </row>
    <row r="3954">
      <c r="D3954" s="62" t="n"/>
    </row>
    <row r="3955">
      <c r="D3955" s="62" t="n"/>
    </row>
    <row r="3956">
      <c r="D3956" s="62" t="n"/>
    </row>
    <row r="3957">
      <c r="D3957" s="62" t="n"/>
    </row>
    <row r="3958">
      <c r="D3958" s="62" t="n"/>
    </row>
    <row r="3959">
      <c r="D3959" s="62" t="n"/>
    </row>
    <row r="3960">
      <c r="D3960" s="62" t="n"/>
    </row>
    <row r="3961">
      <c r="D3961" s="62" t="n"/>
    </row>
    <row r="3962">
      <c r="D3962" s="62" t="n"/>
    </row>
    <row r="3963">
      <c r="D3963" s="62" t="n"/>
    </row>
    <row r="3964">
      <c r="D3964" s="62" t="n"/>
    </row>
    <row r="3965">
      <c r="D3965" s="62" t="n"/>
    </row>
    <row r="3966">
      <c r="D3966" s="62" t="n"/>
    </row>
    <row r="3967">
      <c r="D3967" s="62" t="n"/>
    </row>
    <row r="3968">
      <c r="D3968" s="62" t="n"/>
    </row>
    <row r="3969">
      <c r="D3969" s="62" t="n"/>
    </row>
    <row r="3970">
      <c r="D3970" s="62" t="n"/>
    </row>
    <row r="3971">
      <c r="D3971" s="62" t="n"/>
    </row>
    <row r="3972">
      <c r="D3972" s="62" t="n"/>
    </row>
    <row r="3973">
      <c r="D3973" s="62" t="n"/>
    </row>
    <row r="3974">
      <c r="D3974" s="62" t="n"/>
    </row>
    <row r="3975">
      <c r="D3975" s="62" t="n"/>
    </row>
    <row r="3976">
      <c r="D3976" s="62" t="n"/>
    </row>
    <row r="3977">
      <c r="D3977" s="62" t="n"/>
    </row>
    <row r="3978">
      <c r="D3978" s="62" t="n"/>
    </row>
    <row r="3979">
      <c r="D3979" s="62" t="n"/>
    </row>
    <row r="3980">
      <c r="D3980" s="62" t="n"/>
    </row>
    <row r="3981">
      <c r="D3981" s="62" t="n"/>
    </row>
    <row r="3982">
      <c r="D3982" s="62" t="n"/>
    </row>
    <row r="3983">
      <c r="D3983" s="62" t="n"/>
    </row>
    <row r="3984">
      <c r="D3984" s="62" t="n"/>
    </row>
    <row r="3985">
      <c r="D3985" s="62" t="n"/>
    </row>
    <row r="3986">
      <c r="D3986" s="62" t="n"/>
    </row>
    <row r="3987">
      <c r="D3987" s="62" t="n"/>
    </row>
    <row r="3988">
      <c r="D3988" s="62" t="n"/>
    </row>
    <row r="3989">
      <c r="D3989" s="62" t="n"/>
    </row>
    <row r="3990">
      <c r="D3990" s="62" t="n"/>
    </row>
    <row r="3991">
      <c r="D3991" s="62" t="n"/>
    </row>
    <row r="3992">
      <c r="D3992" s="62" t="n"/>
    </row>
    <row r="3993">
      <c r="D3993" s="62" t="n"/>
    </row>
    <row r="3994">
      <c r="D3994" s="62" t="n"/>
    </row>
    <row r="3995">
      <c r="D3995" s="62" t="n"/>
    </row>
    <row r="3996">
      <c r="D3996" s="62" t="n"/>
    </row>
    <row r="3997">
      <c r="D3997" s="62" t="n"/>
    </row>
    <row r="3998">
      <c r="D3998" s="62" t="n"/>
    </row>
    <row r="3999">
      <c r="D3999" s="62" t="n"/>
    </row>
    <row r="4000">
      <c r="D4000" s="62" t="n"/>
    </row>
    <row r="4001">
      <c r="D4001" s="62" t="n"/>
    </row>
    <row r="4002">
      <c r="D4002" s="62" t="n"/>
    </row>
    <row r="4003">
      <c r="D4003" s="62" t="n"/>
    </row>
    <row r="4004">
      <c r="D4004" s="62" t="n"/>
    </row>
    <row r="4005">
      <c r="D4005" s="62" t="n"/>
    </row>
    <row r="4006">
      <c r="D4006" s="62" t="n"/>
    </row>
    <row r="4007">
      <c r="D4007" s="62" t="n"/>
    </row>
    <row r="4008">
      <c r="D4008" s="62" t="n"/>
    </row>
    <row r="4009">
      <c r="D4009" s="62" t="n"/>
    </row>
    <row r="4010">
      <c r="D4010" s="62" t="n"/>
    </row>
    <row r="4011">
      <c r="D4011" s="62" t="n"/>
    </row>
    <row r="4012">
      <c r="D4012" s="62" t="n"/>
    </row>
    <row r="4013">
      <c r="D4013" s="62" t="n"/>
    </row>
    <row r="4014">
      <c r="D4014" s="62" t="n"/>
    </row>
    <row r="4015">
      <c r="D4015" s="62" t="n"/>
    </row>
    <row r="4016">
      <c r="D4016" s="62" t="n"/>
    </row>
    <row r="4017">
      <c r="D4017" s="62" t="n"/>
    </row>
    <row r="4018">
      <c r="D4018" s="62" t="n"/>
    </row>
    <row r="4019">
      <c r="D4019" s="62" t="n"/>
    </row>
    <row r="4020">
      <c r="D4020" s="62" t="n"/>
    </row>
    <row r="4021">
      <c r="D4021" s="62" t="n"/>
    </row>
    <row r="4022">
      <c r="D4022" s="62" t="n"/>
    </row>
    <row r="4023">
      <c r="D4023" s="62" t="n"/>
    </row>
    <row r="4024">
      <c r="D4024" s="62" t="n"/>
    </row>
    <row r="4025">
      <c r="D4025" s="62" t="n"/>
    </row>
    <row r="4026">
      <c r="D4026" s="62" t="n"/>
    </row>
    <row r="4027">
      <c r="D4027" s="62" t="n"/>
    </row>
    <row r="4028">
      <c r="D4028" s="62" t="n"/>
    </row>
    <row r="4029">
      <c r="D4029" s="62" t="n"/>
    </row>
    <row r="4030">
      <c r="D4030" s="62" t="n"/>
    </row>
    <row r="4031">
      <c r="D4031" s="62" t="n"/>
    </row>
    <row r="4032">
      <c r="D4032" s="62" t="n"/>
    </row>
    <row r="4033">
      <c r="D4033" s="62" t="n"/>
    </row>
    <row r="4034">
      <c r="D4034" s="62" t="n"/>
    </row>
    <row r="4035">
      <c r="D4035" s="62" t="n"/>
    </row>
    <row r="4036">
      <c r="D4036" s="62" t="n"/>
    </row>
    <row r="4037">
      <c r="D4037" s="62" t="n"/>
    </row>
    <row r="4038">
      <c r="D4038" s="62" t="n"/>
    </row>
    <row r="4039">
      <c r="D4039" s="62" t="n"/>
    </row>
    <row r="4040">
      <c r="D4040" s="62" t="n"/>
    </row>
    <row r="4041">
      <c r="D4041" s="62" t="n"/>
    </row>
    <row r="4042">
      <c r="D4042" s="62" t="n"/>
    </row>
    <row r="4043">
      <c r="D4043" s="62" t="n"/>
    </row>
    <row r="4044">
      <c r="D4044" s="62" t="n"/>
    </row>
    <row r="4045">
      <c r="D4045" s="62" t="n"/>
    </row>
    <row r="4046">
      <c r="D4046" s="62" t="n"/>
    </row>
    <row r="4047">
      <c r="D4047" s="62" t="n"/>
    </row>
    <row r="4048">
      <c r="D4048" s="62" t="n"/>
    </row>
    <row r="4049">
      <c r="D4049" s="62" t="n"/>
    </row>
    <row r="4050">
      <c r="D4050" s="62" t="n"/>
    </row>
    <row r="4051">
      <c r="D4051" s="62" t="n"/>
    </row>
    <row r="4052">
      <c r="D4052" s="62" t="n"/>
    </row>
    <row r="4053">
      <c r="D4053" s="62" t="n"/>
    </row>
    <row r="4054">
      <c r="D4054" s="62" t="n"/>
    </row>
    <row r="4055">
      <c r="D4055" s="62" t="n"/>
    </row>
    <row r="4056">
      <c r="D4056" s="62" t="n"/>
    </row>
    <row r="4057">
      <c r="D4057" s="62" t="n"/>
    </row>
    <row r="4058">
      <c r="D4058" s="62" t="n"/>
    </row>
    <row r="4059">
      <c r="D4059" s="62" t="n"/>
    </row>
    <row r="4060">
      <c r="D4060" s="62" t="n"/>
    </row>
    <row r="4061">
      <c r="D4061" s="62" t="n"/>
    </row>
    <row r="4062">
      <c r="D4062" s="62" t="n"/>
    </row>
    <row r="4063">
      <c r="D4063" s="62" t="n"/>
    </row>
    <row r="4064">
      <c r="D4064" s="62" t="n"/>
    </row>
    <row r="4065">
      <c r="D4065" s="62" t="n"/>
    </row>
    <row r="4066">
      <c r="D4066" s="62" t="n"/>
    </row>
    <row r="4067">
      <c r="D4067" s="62" t="n"/>
    </row>
    <row r="4068">
      <c r="D4068" s="62" t="n"/>
    </row>
    <row r="4069">
      <c r="D4069" s="62" t="n"/>
    </row>
    <row r="4070">
      <c r="D4070" s="62" t="n"/>
    </row>
    <row r="4071">
      <c r="D4071" s="62" t="n"/>
    </row>
    <row r="4072">
      <c r="D4072" s="62" t="n"/>
    </row>
    <row r="4073">
      <c r="D4073" s="62" t="n"/>
    </row>
    <row r="4074">
      <c r="D4074" s="62" t="n"/>
    </row>
    <row r="4075">
      <c r="D4075" s="62" t="n"/>
    </row>
    <row r="4076">
      <c r="D4076" s="62" t="n"/>
    </row>
    <row r="4077">
      <c r="D4077" s="62" t="n"/>
    </row>
    <row r="4078">
      <c r="D4078" s="62" t="n"/>
    </row>
    <row r="4079">
      <c r="D4079" s="62" t="n"/>
    </row>
    <row r="4080">
      <c r="D4080" s="62" t="n"/>
    </row>
    <row r="4081">
      <c r="D4081" s="62" t="n"/>
    </row>
    <row r="4082">
      <c r="D4082" s="62" t="n"/>
    </row>
    <row r="4083">
      <c r="D4083" s="62" t="n"/>
    </row>
    <row r="4084">
      <c r="D4084" s="62" t="n"/>
    </row>
    <row r="4085">
      <c r="D4085" s="62" t="n"/>
    </row>
    <row r="4086">
      <c r="D4086" s="62" t="n"/>
    </row>
    <row r="4087">
      <c r="D4087" s="62" t="n"/>
    </row>
    <row r="4088">
      <c r="D4088" s="62" t="n"/>
    </row>
    <row r="4089">
      <c r="D4089" s="62" t="n"/>
    </row>
    <row r="4090">
      <c r="D4090" s="62" t="n"/>
    </row>
    <row r="4091">
      <c r="D4091" s="62" t="n"/>
    </row>
    <row r="4092">
      <c r="D4092" s="62" t="n"/>
    </row>
    <row r="4093">
      <c r="D4093" s="62" t="n"/>
    </row>
    <row r="4094">
      <c r="D4094" s="62" t="n"/>
    </row>
    <row r="4095">
      <c r="D4095" s="62" t="n"/>
    </row>
    <row r="4096">
      <c r="D4096" s="62" t="n"/>
    </row>
    <row r="4097">
      <c r="D4097" s="62" t="n"/>
    </row>
    <row r="4098">
      <c r="D4098" s="62" t="n"/>
    </row>
    <row r="4099">
      <c r="D4099" s="62" t="n"/>
    </row>
    <row r="4100">
      <c r="D4100" s="62" t="n"/>
    </row>
    <row r="4101">
      <c r="D4101" s="62" t="n"/>
    </row>
    <row r="4102">
      <c r="D4102" s="62" t="n"/>
    </row>
    <row r="4103">
      <c r="D4103" s="62" t="n"/>
    </row>
    <row r="4104">
      <c r="D4104" s="62" t="n"/>
    </row>
    <row r="4105">
      <c r="D4105" s="62" t="n"/>
    </row>
    <row r="4106">
      <c r="D4106" s="62" t="n"/>
    </row>
    <row r="4107">
      <c r="D4107" s="62" t="n"/>
    </row>
    <row r="4108">
      <c r="D4108" s="62" t="n"/>
    </row>
    <row r="4109">
      <c r="D4109" s="62" t="n"/>
    </row>
    <row r="4110">
      <c r="D4110" s="62" t="n"/>
    </row>
    <row r="4111">
      <c r="D4111" s="62" t="n"/>
    </row>
    <row r="4112">
      <c r="D4112" s="62" t="n"/>
    </row>
    <row r="4113">
      <c r="D4113" s="62" t="n"/>
    </row>
    <row r="4114">
      <c r="D4114" s="62" t="n"/>
    </row>
    <row r="4115">
      <c r="D4115" s="62" t="n"/>
    </row>
    <row r="4116">
      <c r="D4116" s="62" t="n"/>
    </row>
    <row r="4117">
      <c r="D4117" s="62" t="n"/>
    </row>
    <row r="4118">
      <c r="D4118" s="62" t="n"/>
    </row>
    <row r="4119">
      <c r="D4119" s="62" t="n"/>
    </row>
    <row r="4120">
      <c r="D4120" s="62" t="n"/>
    </row>
    <row r="4121">
      <c r="D4121" s="62" t="n"/>
    </row>
    <row r="4122">
      <c r="D4122" s="62" t="n"/>
    </row>
    <row r="4123">
      <c r="D4123" s="62" t="n"/>
    </row>
    <row r="4124">
      <c r="D4124" s="62" t="n"/>
    </row>
    <row r="4125">
      <c r="D4125" s="62" t="n"/>
    </row>
    <row r="4126">
      <c r="D4126" s="62" t="n"/>
    </row>
    <row r="4127">
      <c r="D4127" s="62" t="n"/>
    </row>
    <row r="4128">
      <c r="D4128" s="62" t="n"/>
    </row>
    <row r="4129">
      <c r="D4129" s="62" t="n"/>
    </row>
    <row r="4130">
      <c r="D4130" s="62" t="n"/>
    </row>
    <row r="4131">
      <c r="D4131" s="62" t="n"/>
    </row>
    <row r="4132">
      <c r="D4132" s="62" t="n"/>
    </row>
    <row r="4133">
      <c r="D4133" s="62" t="n"/>
    </row>
    <row r="4134">
      <c r="D4134" s="62" t="n"/>
    </row>
    <row r="4135">
      <c r="D4135" s="62" t="n"/>
    </row>
    <row r="4136">
      <c r="D4136" s="62" t="n"/>
    </row>
    <row r="4137">
      <c r="D4137" s="62" t="n"/>
    </row>
    <row r="4138">
      <c r="D4138" s="62" t="n"/>
    </row>
    <row r="4139">
      <c r="D4139" s="62" t="n"/>
    </row>
    <row r="4140">
      <c r="D4140" s="62" t="n"/>
    </row>
    <row r="4141">
      <c r="D4141" s="62" t="n"/>
    </row>
    <row r="4142">
      <c r="D4142" s="62" t="n"/>
    </row>
    <row r="4143">
      <c r="D4143" s="62" t="n"/>
    </row>
    <row r="4144">
      <c r="D4144" s="62" t="n"/>
    </row>
    <row r="4145">
      <c r="D4145" s="62" t="n"/>
    </row>
    <row r="4146">
      <c r="D4146" s="62" t="n"/>
    </row>
    <row r="4147">
      <c r="D4147" s="62" t="n"/>
    </row>
    <row r="4148">
      <c r="D4148" s="62" t="n"/>
    </row>
    <row r="4149">
      <c r="D4149" s="62" t="n"/>
    </row>
    <row r="4150">
      <c r="D4150" s="62" t="n"/>
    </row>
    <row r="4151">
      <c r="D4151" s="62" t="n"/>
    </row>
    <row r="4152">
      <c r="D4152" s="62" t="n"/>
    </row>
    <row r="4153">
      <c r="D4153" s="62" t="n"/>
    </row>
    <row r="4154">
      <c r="D4154" s="62" t="n"/>
    </row>
    <row r="4155">
      <c r="D4155" s="62" t="n"/>
    </row>
    <row r="4156">
      <c r="D4156" s="62" t="n"/>
    </row>
    <row r="4157">
      <c r="D4157" s="62" t="n"/>
    </row>
    <row r="4158">
      <c r="D4158" s="62" t="n"/>
    </row>
    <row r="4159">
      <c r="D4159" s="62" t="n"/>
    </row>
    <row r="4160">
      <c r="D4160" s="62" t="n"/>
    </row>
    <row r="4161">
      <c r="D4161" s="62" t="n"/>
    </row>
    <row r="4162">
      <c r="D4162" s="62" t="n"/>
    </row>
    <row r="4163">
      <c r="D4163" s="62" t="n"/>
    </row>
    <row r="4164">
      <c r="D4164" s="62" t="n"/>
    </row>
    <row r="4165">
      <c r="D4165" s="62" t="n"/>
    </row>
    <row r="4166">
      <c r="D4166" s="62" t="n"/>
    </row>
    <row r="4167">
      <c r="D4167" s="62" t="n"/>
    </row>
    <row r="4168">
      <c r="D4168" s="62" t="n"/>
    </row>
    <row r="4169">
      <c r="D4169" s="62" t="n"/>
    </row>
    <row r="4170">
      <c r="D4170" s="62" t="n"/>
    </row>
    <row r="4171">
      <c r="D4171" s="62" t="n"/>
    </row>
    <row r="4172">
      <c r="D4172" s="62" t="n"/>
    </row>
    <row r="4173">
      <c r="D4173" s="62" t="n"/>
    </row>
    <row r="4174">
      <c r="D4174" s="62" t="n"/>
    </row>
    <row r="4175">
      <c r="D4175" s="62" t="n"/>
    </row>
    <row r="4176">
      <c r="D4176" s="62" t="n"/>
    </row>
    <row r="4177">
      <c r="D4177" s="62" t="n"/>
    </row>
    <row r="4178">
      <c r="D4178" s="62" t="n"/>
    </row>
    <row r="4179">
      <c r="D4179" s="62" t="n"/>
    </row>
    <row r="4180">
      <c r="D4180" s="62" t="n"/>
    </row>
    <row r="4181">
      <c r="D4181" s="62" t="n"/>
    </row>
    <row r="4182">
      <c r="D4182" s="62" t="n"/>
    </row>
    <row r="4183">
      <c r="D4183" s="62" t="n"/>
    </row>
    <row r="4184">
      <c r="D4184" s="62" t="n"/>
    </row>
    <row r="4185">
      <c r="D4185" s="62" t="n"/>
    </row>
    <row r="4186">
      <c r="D4186" s="62" t="n"/>
    </row>
    <row r="4187">
      <c r="D4187" s="62" t="n"/>
    </row>
    <row r="4188">
      <c r="D4188" s="62" t="n"/>
    </row>
    <row r="4189">
      <c r="D4189" s="62" t="n"/>
    </row>
    <row r="4190">
      <c r="D4190" s="62" t="n"/>
    </row>
    <row r="4191">
      <c r="D4191" s="62" t="n"/>
    </row>
    <row r="4192">
      <c r="D4192" s="62" t="n"/>
    </row>
    <row r="4193">
      <c r="D4193" s="62" t="n"/>
    </row>
    <row r="4194">
      <c r="D4194" s="62" t="n"/>
    </row>
    <row r="4195">
      <c r="D4195" s="62" t="n"/>
    </row>
    <row r="4196">
      <c r="D4196" s="62" t="n"/>
    </row>
    <row r="4197">
      <c r="D4197" s="62" t="n"/>
    </row>
    <row r="4198">
      <c r="D4198" s="62" t="n"/>
    </row>
    <row r="4199">
      <c r="D4199" s="62" t="n"/>
    </row>
    <row r="4200">
      <c r="D4200" s="62" t="n"/>
    </row>
    <row r="4201">
      <c r="D4201" s="62" t="n"/>
    </row>
    <row r="4202">
      <c r="D4202" s="62" t="n"/>
    </row>
    <row r="4203">
      <c r="D4203" s="62" t="n"/>
    </row>
    <row r="4204">
      <c r="D4204" s="62" t="n"/>
    </row>
    <row r="4205">
      <c r="D4205" s="62" t="n"/>
    </row>
    <row r="4206">
      <c r="D4206" s="62" t="n"/>
    </row>
    <row r="4207">
      <c r="D4207" s="62" t="n"/>
    </row>
    <row r="4208">
      <c r="D4208" s="62" t="n"/>
    </row>
    <row r="4209">
      <c r="D4209" s="62" t="n"/>
    </row>
    <row r="4210">
      <c r="D4210" s="62" t="n"/>
    </row>
    <row r="4211">
      <c r="D4211" s="62" t="n"/>
    </row>
    <row r="4212">
      <c r="D4212" s="62" t="n"/>
    </row>
    <row r="4213">
      <c r="D4213" s="62" t="n"/>
    </row>
    <row r="4214">
      <c r="D4214" s="62" t="n"/>
    </row>
    <row r="4215">
      <c r="D4215" s="62" t="n"/>
    </row>
    <row r="4216">
      <c r="D4216" s="62" t="n"/>
    </row>
    <row r="4217">
      <c r="D4217" s="62" t="n"/>
    </row>
    <row r="4218">
      <c r="D4218" s="62" t="n"/>
    </row>
    <row r="4219">
      <c r="D4219" s="62" t="n"/>
    </row>
    <row r="4220">
      <c r="D4220" s="62" t="n"/>
    </row>
    <row r="4221">
      <c r="D4221" s="62" t="n"/>
    </row>
    <row r="4222">
      <c r="D4222" s="62" t="n"/>
    </row>
    <row r="4223">
      <c r="D4223" s="62" t="n"/>
    </row>
    <row r="4224">
      <c r="D4224" s="62" t="n"/>
    </row>
    <row r="4225">
      <c r="D4225" s="62" t="n"/>
    </row>
    <row r="4226">
      <c r="D4226" s="62" t="n"/>
    </row>
    <row r="4227">
      <c r="D4227" s="62" t="n"/>
    </row>
    <row r="4228">
      <c r="D4228" s="62" t="n"/>
    </row>
    <row r="4229">
      <c r="D4229" s="62" t="n"/>
    </row>
    <row r="4230">
      <c r="D4230" s="62" t="n"/>
    </row>
    <row r="4231">
      <c r="D4231" s="62" t="n"/>
    </row>
    <row r="4232">
      <c r="D4232" s="62" t="n"/>
    </row>
    <row r="4233">
      <c r="D4233" s="62" t="n"/>
    </row>
    <row r="4234">
      <c r="D4234" s="62" t="n"/>
    </row>
    <row r="4235">
      <c r="D4235" s="62" t="n"/>
    </row>
    <row r="4236">
      <c r="D4236" s="62" t="n"/>
    </row>
    <row r="4237">
      <c r="D4237" s="62" t="n"/>
    </row>
    <row r="4238">
      <c r="D4238" s="62" t="n"/>
    </row>
    <row r="4239">
      <c r="D4239" s="62" t="n"/>
    </row>
    <row r="4240">
      <c r="D4240" s="62" t="n"/>
    </row>
    <row r="4241">
      <c r="D4241" s="62" t="n"/>
    </row>
    <row r="4242">
      <c r="D4242" s="62" t="n"/>
    </row>
    <row r="4243">
      <c r="D4243" s="62" t="n"/>
    </row>
    <row r="4244">
      <c r="D4244" s="62" t="n"/>
    </row>
    <row r="4245">
      <c r="D4245" s="62" t="n"/>
    </row>
    <row r="4246">
      <c r="D4246" s="62" t="n"/>
    </row>
    <row r="4247">
      <c r="D4247" s="62" t="n"/>
    </row>
    <row r="4248">
      <c r="D4248" s="62" t="n"/>
    </row>
    <row r="4249">
      <c r="D4249" s="62" t="n"/>
    </row>
    <row r="4250">
      <c r="D4250" s="62" t="n"/>
    </row>
    <row r="4251">
      <c r="D4251" s="62" t="n"/>
    </row>
    <row r="4252">
      <c r="D4252" s="62" t="n"/>
    </row>
    <row r="4253">
      <c r="D4253" s="62" t="n"/>
    </row>
    <row r="4254">
      <c r="D4254" s="62" t="n"/>
    </row>
    <row r="4255">
      <c r="D4255" s="62" t="n"/>
    </row>
    <row r="4256">
      <c r="D4256" s="62" t="n"/>
    </row>
    <row r="4257">
      <c r="D4257" s="62" t="n"/>
    </row>
    <row r="4258">
      <c r="D4258" s="62" t="n"/>
    </row>
    <row r="4259">
      <c r="D4259" s="62" t="n"/>
    </row>
    <row r="4260">
      <c r="D4260" s="62" t="n"/>
    </row>
    <row r="4261">
      <c r="D4261" s="62" t="n"/>
    </row>
    <row r="4262">
      <c r="D4262" s="62" t="n"/>
    </row>
    <row r="4263">
      <c r="D4263" s="62" t="n"/>
    </row>
    <row r="4264">
      <c r="D4264" s="62" t="n"/>
    </row>
    <row r="4265">
      <c r="D4265" s="62" t="n"/>
    </row>
    <row r="4266">
      <c r="D4266" s="62" t="n"/>
    </row>
    <row r="4267">
      <c r="D4267" s="62" t="n"/>
    </row>
    <row r="4268">
      <c r="D4268" s="62" t="n"/>
    </row>
    <row r="4269">
      <c r="D4269" s="62" t="n"/>
    </row>
    <row r="4270">
      <c r="D4270" s="62" t="n"/>
    </row>
    <row r="4271">
      <c r="D4271" s="62" t="n"/>
    </row>
    <row r="4272">
      <c r="D4272" s="62" t="n"/>
    </row>
    <row r="4273">
      <c r="D4273" s="62" t="n"/>
    </row>
    <row r="4274">
      <c r="D4274" s="62" t="n"/>
    </row>
    <row r="4275">
      <c r="D4275" s="62" t="n"/>
    </row>
    <row r="4276">
      <c r="D4276" s="62" t="n"/>
    </row>
    <row r="4277">
      <c r="D4277" s="62" t="n"/>
    </row>
    <row r="4278">
      <c r="D4278" s="62" t="n"/>
    </row>
    <row r="4279">
      <c r="D4279" s="62" t="n"/>
    </row>
    <row r="4280">
      <c r="D4280" s="62" t="n"/>
    </row>
    <row r="4281">
      <c r="D4281" s="62" t="n"/>
    </row>
    <row r="4282">
      <c r="D4282" s="62" t="n"/>
    </row>
    <row r="4283">
      <c r="D4283" s="62" t="n"/>
    </row>
    <row r="4284">
      <c r="D4284" s="62" t="n"/>
    </row>
    <row r="4285">
      <c r="D4285" s="62" t="n"/>
    </row>
    <row r="4286">
      <c r="D4286" s="62" t="n"/>
    </row>
    <row r="4287">
      <c r="D4287" s="62" t="n"/>
    </row>
    <row r="4288">
      <c r="D4288" s="62" t="n"/>
    </row>
    <row r="4289">
      <c r="D4289" s="62" t="n"/>
    </row>
    <row r="4290">
      <c r="D4290" s="62" t="n"/>
    </row>
    <row r="4291">
      <c r="D4291" s="62" t="n"/>
    </row>
    <row r="4292">
      <c r="D4292" s="62" t="n"/>
    </row>
    <row r="4293">
      <c r="D4293" s="62" t="n"/>
    </row>
    <row r="4294">
      <c r="D4294" s="62" t="n"/>
    </row>
    <row r="4295">
      <c r="D4295" s="62" t="n"/>
    </row>
    <row r="4296">
      <c r="D4296" s="62" t="n"/>
    </row>
    <row r="4297">
      <c r="D4297" s="62" t="n"/>
    </row>
    <row r="4298">
      <c r="D4298" s="62" t="n"/>
    </row>
    <row r="4299">
      <c r="D4299" s="62" t="n"/>
    </row>
    <row r="4300">
      <c r="D4300" s="62" t="n"/>
    </row>
    <row r="4301">
      <c r="D4301" s="62" t="n"/>
    </row>
    <row r="4302">
      <c r="D4302" s="62" t="n"/>
    </row>
    <row r="4303">
      <c r="D4303" s="62" t="n"/>
    </row>
    <row r="4304">
      <c r="D4304" s="62" t="n"/>
    </row>
    <row r="4305">
      <c r="D4305" s="62" t="n"/>
    </row>
    <row r="4306">
      <c r="D4306" s="62" t="n"/>
    </row>
    <row r="4307">
      <c r="D4307" s="62" t="n"/>
    </row>
    <row r="4308">
      <c r="D4308" s="62" t="n"/>
    </row>
    <row r="4309">
      <c r="D4309" s="62" t="n"/>
    </row>
    <row r="4310">
      <c r="D4310" s="62" t="n"/>
    </row>
    <row r="4311">
      <c r="D4311" s="62" t="n"/>
    </row>
    <row r="4312">
      <c r="D4312" s="62" t="n"/>
    </row>
    <row r="4313">
      <c r="D4313" s="62" t="n"/>
    </row>
    <row r="4314">
      <c r="D4314" s="62" t="n"/>
    </row>
    <row r="4315">
      <c r="D4315" s="62" t="n"/>
    </row>
    <row r="4316">
      <c r="D4316" s="62" t="n"/>
    </row>
    <row r="4317">
      <c r="D4317" s="62" t="n"/>
    </row>
    <row r="4318">
      <c r="D4318" s="62" t="n"/>
    </row>
    <row r="4319">
      <c r="D4319" s="62" t="n"/>
    </row>
    <row r="4320">
      <c r="D4320" s="62" t="n"/>
    </row>
    <row r="4321">
      <c r="D4321" s="62" t="n"/>
    </row>
    <row r="4322">
      <c r="D4322" s="62" t="n"/>
    </row>
    <row r="4323">
      <c r="D4323" s="62" t="n"/>
    </row>
    <row r="4324">
      <c r="D4324" s="62" t="n"/>
    </row>
    <row r="4325">
      <c r="D4325" s="62" t="n"/>
    </row>
    <row r="4326">
      <c r="D4326" s="62" t="n"/>
    </row>
    <row r="4327">
      <c r="D4327" s="62" t="n"/>
    </row>
    <row r="4328">
      <c r="D4328" s="62" t="n"/>
    </row>
    <row r="4329">
      <c r="D4329" s="62" t="n"/>
    </row>
    <row r="4330">
      <c r="D4330" s="62" t="n"/>
    </row>
    <row r="4331">
      <c r="D4331" s="62" t="n"/>
    </row>
    <row r="4332">
      <c r="D4332" s="62" t="n"/>
    </row>
    <row r="4333">
      <c r="D4333" s="62" t="n"/>
    </row>
    <row r="4334">
      <c r="D4334" s="62" t="n"/>
    </row>
    <row r="4335">
      <c r="D4335" s="62" t="n"/>
    </row>
    <row r="4336">
      <c r="D4336" s="62" t="n"/>
    </row>
    <row r="4337">
      <c r="D4337" s="62" t="n"/>
    </row>
    <row r="4338">
      <c r="D4338" s="62" t="n"/>
    </row>
    <row r="4339">
      <c r="D4339" s="62" t="n"/>
    </row>
    <row r="4340">
      <c r="D4340" s="62" t="n"/>
    </row>
    <row r="4341">
      <c r="D4341" s="62" t="n"/>
    </row>
    <row r="4342">
      <c r="D4342" s="62" t="n"/>
    </row>
    <row r="4343">
      <c r="D4343" s="62" t="n"/>
    </row>
    <row r="4344">
      <c r="D4344" s="62" t="n"/>
    </row>
    <row r="4345">
      <c r="D4345" s="62" t="n"/>
    </row>
    <row r="4346">
      <c r="D4346" s="62" t="n"/>
    </row>
    <row r="4347">
      <c r="D4347" s="62" t="n"/>
    </row>
    <row r="4348">
      <c r="D4348" s="62" t="n"/>
    </row>
    <row r="4349">
      <c r="D4349" s="62" t="n"/>
    </row>
    <row r="4350">
      <c r="D4350" s="62" t="n"/>
    </row>
    <row r="4351">
      <c r="D4351" s="62" t="n"/>
    </row>
    <row r="4352">
      <c r="D4352" s="62" t="n"/>
    </row>
    <row r="4353">
      <c r="D4353" s="62" t="n"/>
    </row>
    <row r="4354">
      <c r="D4354" s="62" t="n"/>
    </row>
    <row r="4355">
      <c r="D4355" s="62" t="n"/>
    </row>
    <row r="4356">
      <c r="D4356" s="62" t="n"/>
    </row>
    <row r="4357">
      <c r="D4357" s="62" t="n"/>
    </row>
    <row r="4358">
      <c r="D4358" s="62" t="n"/>
    </row>
    <row r="4359">
      <c r="D4359" s="62" t="n"/>
    </row>
    <row r="4360">
      <c r="D4360" s="62" t="n"/>
    </row>
    <row r="4361">
      <c r="D4361" s="62" t="n"/>
    </row>
    <row r="4362">
      <c r="D4362" s="62" t="n"/>
    </row>
    <row r="4363">
      <c r="D4363" s="62" t="n"/>
    </row>
    <row r="4364">
      <c r="D4364" s="62" t="n"/>
    </row>
    <row r="4365">
      <c r="D4365" s="62" t="n"/>
    </row>
    <row r="4366">
      <c r="D4366" s="62" t="n"/>
    </row>
    <row r="4367">
      <c r="D4367" s="62" t="n"/>
    </row>
    <row r="4368">
      <c r="D4368" s="62" t="n"/>
    </row>
    <row r="4369">
      <c r="D4369" s="62" t="n"/>
    </row>
    <row r="4370">
      <c r="D4370" s="62" t="n"/>
    </row>
    <row r="4371">
      <c r="D4371" s="62" t="n"/>
    </row>
    <row r="4372">
      <c r="D4372" s="62" t="n"/>
    </row>
    <row r="4373">
      <c r="D4373" s="62" t="n"/>
    </row>
    <row r="4374">
      <c r="D4374" s="62" t="n"/>
    </row>
    <row r="4375">
      <c r="D4375" s="62" t="n"/>
    </row>
    <row r="4376">
      <c r="D4376" s="62" t="n"/>
    </row>
    <row r="4377">
      <c r="D4377" s="62" t="n"/>
    </row>
    <row r="4378">
      <c r="D4378" s="62" t="n"/>
    </row>
    <row r="4379">
      <c r="D4379" s="62" t="n"/>
    </row>
    <row r="4380">
      <c r="D4380" s="62" t="n"/>
    </row>
    <row r="4381">
      <c r="D4381" s="62" t="n"/>
    </row>
    <row r="4382">
      <c r="D4382" s="62" t="n"/>
    </row>
    <row r="4383">
      <c r="D4383" s="62" t="n"/>
    </row>
    <row r="4384">
      <c r="D4384" s="62" t="n"/>
    </row>
    <row r="4385">
      <c r="D4385" s="62" t="n"/>
    </row>
    <row r="4386">
      <c r="D4386" s="62" t="n"/>
    </row>
    <row r="4387">
      <c r="D4387" s="62" t="n"/>
    </row>
    <row r="4388">
      <c r="D4388" s="62" t="n"/>
    </row>
    <row r="4389">
      <c r="D4389" s="62" t="n"/>
    </row>
    <row r="4390">
      <c r="D4390" s="62" t="n"/>
    </row>
    <row r="4391">
      <c r="D4391" s="62" t="n"/>
    </row>
    <row r="4392">
      <c r="D4392" s="62" t="n"/>
    </row>
    <row r="4393">
      <c r="D4393" s="62" t="n"/>
    </row>
    <row r="4394">
      <c r="D4394" s="62" t="n"/>
    </row>
    <row r="4395">
      <c r="D4395" s="62" t="n"/>
    </row>
    <row r="4396">
      <c r="D4396" s="62" t="n"/>
    </row>
    <row r="4397">
      <c r="D4397" s="62" t="n"/>
    </row>
    <row r="4398">
      <c r="D4398" s="62" t="n"/>
    </row>
    <row r="4399">
      <c r="D4399" s="62" t="n"/>
    </row>
    <row r="4400">
      <c r="D4400" s="62" t="n"/>
    </row>
    <row r="4401">
      <c r="D4401" s="62" t="n"/>
    </row>
    <row r="4402">
      <c r="D4402" s="62" t="n"/>
    </row>
    <row r="4403">
      <c r="D4403" s="62" t="n"/>
    </row>
    <row r="4404">
      <c r="D4404" s="62" t="n"/>
    </row>
    <row r="4405">
      <c r="D4405" s="62" t="n"/>
    </row>
    <row r="4406">
      <c r="D4406" s="62" t="n"/>
    </row>
    <row r="4407">
      <c r="D4407" s="62" t="n"/>
    </row>
    <row r="4408">
      <c r="D4408" s="62" t="n"/>
    </row>
    <row r="4409">
      <c r="D4409" s="62" t="n"/>
    </row>
    <row r="4410">
      <c r="D4410" s="62" t="n"/>
    </row>
    <row r="4411">
      <c r="D4411" s="62" t="n"/>
    </row>
    <row r="4412">
      <c r="D4412" s="62" t="n"/>
    </row>
    <row r="4413">
      <c r="D4413" s="62" t="n"/>
    </row>
    <row r="4414">
      <c r="D4414" s="62" t="n"/>
    </row>
    <row r="4415">
      <c r="D4415" s="62" t="n"/>
    </row>
    <row r="4416">
      <c r="D4416" s="62" t="n"/>
    </row>
    <row r="4417">
      <c r="D4417" s="62" t="n"/>
    </row>
    <row r="4418">
      <c r="D4418" s="62" t="n"/>
    </row>
    <row r="4419">
      <c r="D4419" s="62" t="n"/>
    </row>
    <row r="4420">
      <c r="D4420" s="62" t="n"/>
    </row>
    <row r="4421">
      <c r="D4421" s="62" t="n"/>
    </row>
    <row r="4422">
      <c r="D4422" s="62" t="n"/>
    </row>
    <row r="4423">
      <c r="D4423" s="62" t="n"/>
    </row>
    <row r="4424">
      <c r="D4424" s="62" t="n"/>
    </row>
    <row r="4425">
      <c r="D4425" s="62" t="n"/>
    </row>
    <row r="4426">
      <c r="D4426" s="62" t="n"/>
    </row>
    <row r="4427">
      <c r="D4427" s="62" t="n"/>
    </row>
    <row r="4428">
      <c r="D4428" s="62" t="n"/>
    </row>
    <row r="4429">
      <c r="D4429" s="62" t="n"/>
    </row>
    <row r="4430">
      <c r="D4430" s="62" t="n"/>
    </row>
    <row r="4431">
      <c r="D4431" s="62" t="n"/>
    </row>
    <row r="4432">
      <c r="D4432" s="62" t="n"/>
    </row>
    <row r="4433">
      <c r="D4433" s="62" t="n"/>
    </row>
    <row r="4434">
      <c r="D4434" s="62" t="n"/>
    </row>
    <row r="4435">
      <c r="D4435" s="62" t="n"/>
    </row>
    <row r="4436">
      <c r="D4436" s="62" t="n"/>
    </row>
    <row r="4437">
      <c r="D4437" s="62" t="n"/>
    </row>
    <row r="4438">
      <c r="D4438" s="62" t="n"/>
    </row>
    <row r="4439">
      <c r="D4439" s="62" t="n"/>
    </row>
    <row r="4440">
      <c r="D4440" s="62" t="n"/>
    </row>
    <row r="4441">
      <c r="D4441" s="62" t="n"/>
    </row>
    <row r="4442">
      <c r="D4442" s="62" t="n"/>
    </row>
    <row r="4443">
      <c r="D4443" s="62" t="n"/>
    </row>
    <row r="4444">
      <c r="D4444" s="62" t="n"/>
    </row>
    <row r="4445">
      <c r="D4445" s="62" t="n"/>
    </row>
    <row r="4446">
      <c r="D4446" s="62" t="n"/>
    </row>
    <row r="4447">
      <c r="D4447" s="62" t="n"/>
    </row>
    <row r="4448">
      <c r="D4448" s="62" t="n"/>
    </row>
    <row r="4449">
      <c r="D4449" s="62" t="n"/>
    </row>
    <row r="4450">
      <c r="D4450" s="62" t="n"/>
    </row>
    <row r="4451">
      <c r="D4451" s="62" t="n"/>
    </row>
    <row r="4452">
      <c r="D4452" s="62" t="n"/>
    </row>
    <row r="4453">
      <c r="D4453" s="62" t="n"/>
    </row>
    <row r="4454">
      <c r="D4454" s="62" t="n"/>
    </row>
    <row r="4455">
      <c r="D4455" s="62" t="n"/>
    </row>
    <row r="4456">
      <c r="D4456" s="62" t="n"/>
    </row>
    <row r="4457">
      <c r="D4457" s="62" t="n"/>
    </row>
    <row r="4458">
      <c r="D4458" s="62" t="n"/>
    </row>
    <row r="4459">
      <c r="D4459" s="62" t="n"/>
    </row>
    <row r="4460">
      <c r="D4460" s="62" t="n"/>
    </row>
    <row r="4461">
      <c r="D4461" s="62" t="n"/>
    </row>
    <row r="4462">
      <c r="D4462" s="62" t="n"/>
    </row>
    <row r="4463">
      <c r="D4463" s="62" t="n"/>
    </row>
    <row r="4464">
      <c r="D4464" s="62" t="n"/>
    </row>
    <row r="4465">
      <c r="D4465" s="62" t="n"/>
    </row>
    <row r="4466">
      <c r="D4466" s="62" t="n"/>
    </row>
    <row r="4467">
      <c r="D4467" s="62" t="n"/>
    </row>
    <row r="4468">
      <c r="D4468" s="62" t="n"/>
    </row>
    <row r="4469">
      <c r="D4469" s="62" t="n"/>
    </row>
    <row r="4470">
      <c r="D4470" s="62" t="n"/>
    </row>
    <row r="4471">
      <c r="D4471" s="62" t="n"/>
    </row>
    <row r="4472">
      <c r="D4472" s="62" t="n"/>
    </row>
    <row r="4473">
      <c r="D4473" s="62" t="n"/>
    </row>
    <row r="4474">
      <c r="D4474" s="62" t="n"/>
    </row>
    <row r="4475">
      <c r="D4475" s="62" t="n"/>
    </row>
    <row r="4476">
      <c r="D4476" s="62" t="n"/>
    </row>
    <row r="4477">
      <c r="D4477" s="62" t="n"/>
    </row>
    <row r="4478">
      <c r="D4478" s="62" t="n"/>
    </row>
    <row r="4479">
      <c r="D4479" s="62" t="n"/>
    </row>
    <row r="4480">
      <c r="D4480" s="62" t="n"/>
    </row>
    <row r="4481">
      <c r="D4481" s="62" t="n"/>
    </row>
    <row r="4482">
      <c r="D4482" s="62" t="n"/>
    </row>
    <row r="4483">
      <c r="D4483" s="62" t="n"/>
    </row>
    <row r="4484">
      <c r="D4484" s="62" t="n"/>
    </row>
    <row r="4485">
      <c r="D4485" s="62" t="n"/>
    </row>
    <row r="4486">
      <c r="D4486" s="62" t="n"/>
    </row>
    <row r="4487">
      <c r="D4487" s="62" t="n"/>
    </row>
    <row r="4488">
      <c r="D4488" s="62" t="n"/>
    </row>
    <row r="4489">
      <c r="D4489" s="62" t="n"/>
    </row>
    <row r="4490">
      <c r="D4490" s="62" t="n"/>
    </row>
    <row r="4491">
      <c r="D4491" s="62" t="n"/>
    </row>
    <row r="4492">
      <c r="D4492" s="62" t="n"/>
    </row>
    <row r="4493">
      <c r="D4493" s="62" t="n"/>
    </row>
    <row r="4494">
      <c r="D4494" s="62" t="n"/>
    </row>
    <row r="4495">
      <c r="D4495" s="62" t="n"/>
    </row>
    <row r="4496">
      <c r="D4496" s="62" t="n"/>
    </row>
    <row r="4497">
      <c r="D4497" s="62" t="n"/>
    </row>
    <row r="4498">
      <c r="D4498" s="62" t="n"/>
    </row>
    <row r="4499">
      <c r="D4499" s="62" t="n"/>
    </row>
    <row r="4500">
      <c r="D4500" s="62" t="n"/>
    </row>
    <row r="4501">
      <c r="D4501" s="62" t="n"/>
    </row>
    <row r="4502">
      <c r="D4502" s="62" t="n"/>
    </row>
    <row r="4503">
      <c r="D4503" s="62" t="n"/>
    </row>
    <row r="4504">
      <c r="D4504" s="62" t="n"/>
    </row>
    <row r="4505">
      <c r="D4505" s="62" t="n"/>
    </row>
    <row r="4506">
      <c r="D4506" s="62" t="n"/>
    </row>
    <row r="4507">
      <c r="D4507" s="62" t="n"/>
    </row>
    <row r="4508">
      <c r="D4508" s="62" t="n"/>
    </row>
    <row r="4509">
      <c r="D4509" s="62" t="n"/>
    </row>
    <row r="4510">
      <c r="D4510" s="62" t="n"/>
    </row>
    <row r="4511">
      <c r="D4511" s="62" t="n"/>
    </row>
    <row r="4512">
      <c r="D4512" s="62" t="n"/>
    </row>
    <row r="4513">
      <c r="D4513" s="62" t="n"/>
    </row>
    <row r="4514">
      <c r="D4514" s="62" t="n"/>
    </row>
    <row r="4515">
      <c r="D4515" s="62" t="n"/>
    </row>
    <row r="4516">
      <c r="D4516" s="62" t="n"/>
    </row>
    <row r="4517">
      <c r="D4517" s="62" t="n"/>
    </row>
    <row r="4518">
      <c r="D4518" s="62" t="n"/>
    </row>
    <row r="4519">
      <c r="D4519" s="62" t="n"/>
    </row>
    <row r="4520">
      <c r="D4520" s="62" t="n"/>
    </row>
    <row r="4521">
      <c r="D4521" s="62" t="n"/>
    </row>
    <row r="4522">
      <c r="D4522" s="62" t="n"/>
    </row>
    <row r="4523">
      <c r="D4523" s="62" t="n"/>
    </row>
    <row r="4524">
      <c r="D4524" s="62" t="n"/>
    </row>
    <row r="4525">
      <c r="D4525" s="62" t="n"/>
    </row>
    <row r="4526">
      <c r="D4526" s="62" t="n"/>
    </row>
    <row r="4527">
      <c r="D4527" s="62" t="n"/>
    </row>
    <row r="4528">
      <c r="D4528" s="62" t="n"/>
    </row>
    <row r="4529">
      <c r="D4529" s="62" t="n"/>
    </row>
    <row r="4530">
      <c r="D4530" s="62" t="n"/>
    </row>
    <row r="4531">
      <c r="D4531" s="62" t="n"/>
    </row>
    <row r="4532">
      <c r="D4532" s="62" t="n"/>
    </row>
    <row r="4533">
      <c r="D4533" s="62" t="n"/>
    </row>
    <row r="4534">
      <c r="D4534" s="62" t="n"/>
    </row>
    <row r="4535">
      <c r="D4535" s="62" t="n"/>
    </row>
    <row r="4536">
      <c r="D4536" s="62" t="n"/>
    </row>
    <row r="4537">
      <c r="D4537" s="62" t="n"/>
    </row>
    <row r="4538">
      <c r="D4538" s="62" t="n"/>
    </row>
    <row r="4539">
      <c r="D4539" s="62" t="n"/>
    </row>
    <row r="4540">
      <c r="D4540" s="62" t="n"/>
    </row>
    <row r="4541">
      <c r="D4541" s="62" t="n"/>
    </row>
    <row r="4542">
      <c r="D4542" s="62" t="n"/>
    </row>
    <row r="4543">
      <c r="D4543" s="62" t="n"/>
    </row>
    <row r="4544">
      <c r="D4544" s="62" t="n"/>
    </row>
    <row r="4545">
      <c r="D4545" s="62" t="n"/>
    </row>
    <row r="4546">
      <c r="D4546" s="62" t="n"/>
    </row>
    <row r="4547">
      <c r="D4547" s="62" t="n"/>
    </row>
    <row r="4548">
      <c r="D4548" s="62" t="n"/>
    </row>
    <row r="4549">
      <c r="D4549" s="62" t="n"/>
    </row>
    <row r="4550">
      <c r="D4550" s="62" t="n"/>
    </row>
    <row r="4551">
      <c r="D4551" s="62" t="n"/>
    </row>
    <row r="4552">
      <c r="D4552" s="62" t="n"/>
    </row>
    <row r="4553">
      <c r="D4553" s="62" t="n"/>
    </row>
    <row r="4554">
      <c r="D4554" s="62" t="n"/>
    </row>
    <row r="4555">
      <c r="D4555" s="62" t="n"/>
    </row>
    <row r="4556">
      <c r="D4556" s="62" t="n"/>
    </row>
    <row r="4557">
      <c r="D4557" s="62" t="n"/>
    </row>
    <row r="4558">
      <c r="D4558" s="62" t="n"/>
    </row>
    <row r="4559">
      <c r="D4559" s="62" t="n"/>
    </row>
    <row r="4560">
      <c r="D4560" s="62" t="n"/>
    </row>
    <row r="4561">
      <c r="D4561" s="62" t="n"/>
    </row>
    <row r="4562">
      <c r="D4562" s="62" t="n"/>
    </row>
    <row r="4563">
      <c r="D4563" s="62" t="n"/>
    </row>
    <row r="4564">
      <c r="D4564" s="62" t="n"/>
    </row>
    <row r="4565">
      <c r="D4565" s="62" t="n"/>
    </row>
    <row r="4566">
      <c r="D4566" s="62" t="n"/>
    </row>
    <row r="4567">
      <c r="D4567" s="62" t="n"/>
    </row>
    <row r="4568">
      <c r="D4568" s="62" t="n"/>
    </row>
    <row r="4569">
      <c r="D4569" s="62" t="n"/>
    </row>
    <row r="4570">
      <c r="D4570" s="62" t="n"/>
    </row>
    <row r="4571">
      <c r="D4571" s="62" t="n"/>
    </row>
    <row r="4572">
      <c r="D4572" s="62" t="n"/>
    </row>
    <row r="4573">
      <c r="D4573" s="62" t="n"/>
    </row>
    <row r="4574">
      <c r="D4574" s="62" t="n"/>
    </row>
    <row r="4575">
      <c r="D4575" s="62" t="n"/>
    </row>
    <row r="4576">
      <c r="D4576" s="62" t="n"/>
    </row>
    <row r="4577">
      <c r="D4577" s="62" t="n"/>
    </row>
    <row r="4578">
      <c r="D4578" s="62" t="n"/>
    </row>
    <row r="4579">
      <c r="D4579" s="62" t="n"/>
    </row>
    <row r="4580">
      <c r="D4580" s="62" t="n"/>
    </row>
    <row r="4581">
      <c r="D4581" s="62" t="n"/>
    </row>
    <row r="4582">
      <c r="D4582" s="62" t="n"/>
    </row>
    <row r="4583">
      <c r="D4583" s="62" t="n"/>
    </row>
    <row r="4584">
      <c r="D4584" s="62" t="n"/>
    </row>
    <row r="4585">
      <c r="D4585" s="62" t="n"/>
    </row>
    <row r="4586">
      <c r="D4586" s="62" t="n"/>
    </row>
    <row r="4587">
      <c r="D4587" s="62" t="n"/>
    </row>
    <row r="4588">
      <c r="D4588" s="62" t="n"/>
    </row>
    <row r="4589">
      <c r="D4589" s="62" t="n"/>
    </row>
    <row r="4590">
      <c r="D4590" s="62" t="n"/>
    </row>
    <row r="4591">
      <c r="D4591" s="62" t="n"/>
    </row>
    <row r="4592">
      <c r="D4592" s="62" t="n"/>
    </row>
    <row r="4593">
      <c r="D4593" s="62" t="n"/>
    </row>
    <row r="4594">
      <c r="D4594" s="62" t="n"/>
    </row>
    <row r="4595">
      <c r="D4595" s="62" t="n"/>
    </row>
    <row r="4596">
      <c r="D4596" s="62" t="n"/>
    </row>
    <row r="4597">
      <c r="D4597" s="62" t="n"/>
    </row>
    <row r="4598">
      <c r="D4598" s="62" t="n"/>
    </row>
    <row r="4599">
      <c r="D4599" s="62" t="n"/>
    </row>
    <row r="4600">
      <c r="D4600" s="62" t="n"/>
    </row>
    <row r="4601">
      <c r="D4601" s="62" t="n"/>
    </row>
    <row r="4602">
      <c r="D4602" s="62" t="n"/>
    </row>
    <row r="4603">
      <c r="D4603" s="62" t="n"/>
    </row>
    <row r="4604">
      <c r="D4604" s="62" t="n"/>
    </row>
    <row r="4605">
      <c r="D4605" s="62" t="n"/>
    </row>
    <row r="4606">
      <c r="D4606" s="62" t="n"/>
    </row>
    <row r="4607">
      <c r="D4607" s="62" t="n"/>
    </row>
    <row r="4608">
      <c r="D4608" s="62" t="n"/>
    </row>
    <row r="4609">
      <c r="D4609" s="62" t="n"/>
    </row>
    <row r="4610">
      <c r="D4610" s="62" t="n"/>
    </row>
    <row r="4611">
      <c r="D4611" s="62" t="n"/>
    </row>
    <row r="4612">
      <c r="D4612" s="62" t="n"/>
    </row>
    <row r="4613">
      <c r="D4613" s="62" t="n"/>
    </row>
    <row r="4614">
      <c r="D4614" s="62" t="n"/>
    </row>
    <row r="4615">
      <c r="D4615" s="62" t="n"/>
    </row>
    <row r="4616">
      <c r="D4616" s="62" t="n"/>
    </row>
    <row r="4617">
      <c r="D4617" s="62" t="n"/>
    </row>
    <row r="4618">
      <c r="D4618" s="62" t="n"/>
    </row>
    <row r="4619">
      <c r="D4619" s="62" t="n"/>
    </row>
    <row r="4620">
      <c r="D4620" s="62" t="n"/>
    </row>
    <row r="4621">
      <c r="D4621" s="62" t="n"/>
    </row>
    <row r="4622">
      <c r="D4622" s="62" t="n"/>
    </row>
    <row r="4623">
      <c r="D4623" s="62" t="n"/>
    </row>
    <row r="4624">
      <c r="D4624" s="62" t="n"/>
    </row>
    <row r="4625">
      <c r="D4625" s="62" t="n"/>
    </row>
    <row r="4626">
      <c r="D4626" s="62" t="n"/>
    </row>
    <row r="4627">
      <c r="D4627" s="62" t="n"/>
    </row>
    <row r="4628">
      <c r="D4628" s="62" t="n"/>
    </row>
    <row r="4629">
      <c r="D4629" s="62" t="n"/>
    </row>
    <row r="4630">
      <c r="D4630" s="62" t="n"/>
    </row>
    <row r="4631">
      <c r="D4631" s="62" t="n"/>
    </row>
    <row r="4632">
      <c r="D4632" s="62" t="n"/>
    </row>
    <row r="4633">
      <c r="D4633" s="62" t="n"/>
    </row>
    <row r="4634">
      <c r="D4634" s="62" t="n"/>
    </row>
    <row r="4635">
      <c r="D4635" s="62" t="n"/>
    </row>
    <row r="4636">
      <c r="D4636" s="62" t="n"/>
    </row>
    <row r="4637">
      <c r="D4637" s="62" t="n"/>
    </row>
    <row r="4638">
      <c r="D4638" s="62" t="n"/>
    </row>
    <row r="4639">
      <c r="D4639" s="62" t="n"/>
    </row>
    <row r="4640">
      <c r="D4640" s="62" t="n"/>
    </row>
    <row r="4641">
      <c r="D4641" s="62" t="n"/>
    </row>
    <row r="4642">
      <c r="D4642" s="62" t="n"/>
    </row>
    <row r="4643">
      <c r="D4643" s="62" t="n"/>
    </row>
    <row r="4644">
      <c r="D4644" s="62" t="n"/>
    </row>
    <row r="4645">
      <c r="D4645" s="62" t="n"/>
    </row>
    <row r="4646">
      <c r="D4646" s="62" t="n"/>
    </row>
    <row r="4647">
      <c r="D4647" s="62" t="n"/>
    </row>
    <row r="4648">
      <c r="D4648" s="62" t="n"/>
    </row>
    <row r="4649">
      <c r="D4649" s="62" t="n"/>
    </row>
    <row r="4650">
      <c r="D4650" s="62" t="n"/>
    </row>
    <row r="4651">
      <c r="D4651" s="62" t="n"/>
    </row>
    <row r="4652">
      <c r="D4652" s="62" t="n"/>
    </row>
    <row r="4653">
      <c r="D4653" s="62" t="n"/>
    </row>
    <row r="4654">
      <c r="D4654" s="62" t="n"/>
    </row>
    <row r="4655">
      <c r="D4655" s="62" t="n"/>
    </row>
    <row r="4656">
      <c r="D4656" s="62" t="n"/>
    </row>
    <row r="4657">
      <c r="D4657" s="62" t="n"/>
    </row>
    <row r="4658">
      <c r="D4658" s="62" t="n"/>
    </row>
    <row r="4659">
      <c r="D4659" s="62" t="n"/>
    </row>
    <row r="4660">
      <c r="D4660" s="62" t="n"/>
    </row>
    <row r="4661">
      <c r="D4661" s="62" t="n"/>
    </row>
    <row r="4662">
      <c r="D4662" s="62" t="n"/>
    </row>
    <row r="4663">
      <c r="D4663" s="62" t="n"/>
    </row>
    <row r="4664">
      <c r="D4664" s="62" t="n"/>
    </row>
    <row r="4665">
      <c r="D4665" s="62" t="n"/>
    </row>
    <row r="4666">
      <c r="D4666" s="62" t="n"/>
    </row>
    <row r="4667">
      <c r="D4667" s="62" t="n"/>
    </row>
    <row r="4668">
      <c r="D4668" s="62" t="n"/>
    </row>
    <row r="4669">
      <c r="D4669" s="62" t="n"/>
    </row>
    <row r="4670">
      <c r="D4670" s="62" t="n"/>
    </row>
    <row r="4671">
      <c r="D4671" s="62" t="n"/>
    </row>
    <row r="4672">
      <c r="D4672" s="62" t="n"/>
    </row>
    <row r="4673">
      <c r="D4673" s="62" t="n"/>
    </row>
    <row r="4674">
      <c r="D4674" s="62" t="n"/>
    </row>
    <row r="4675">
      <c r="D4675" s="62" t="n"/>
    </row>
    <row r="4676">
      <c r="D4676" s="62" t="n"/>
    </row>
    <row r="4677">
      <c r="D4677" s="62" t="n"/>
    </row>
    <row r="4678">
      <c r="D4678" s="62" t="n"/>
    </row>
    <row r="4679">
      <c r="D4679" s="62" t="n"/>
    </row>
    <row r="4680">
      <c r="D4680" s="62" t="n"/>
    </row>
    <row r="4681">
      <c r="D4681" s="62" t="n"/>
    </row>
    <row r="4682">
      <c r="D4682" s="62" t="n"/>
    </row>
    <row r="4683">
      <c r="D4683" s="62" t="n"/>
    </row>
    <row r="4684">
      <c r="D4684" s="62" t="n"/>
    </row>
    <row r="4685">
      <c r="D4685" s="62" t="n"/>
    </row>
    <row r="4686">
      <c r="D4686" s="62" t="n"/>
    </row>
    <row r="4687">
      <c r="D4687" s="62" t="n"/>
    </row>
    <row r="4688">
      <c r="D4688" s="62" t="n"/>
    </row>
    <row r="4689">
      <c r="D4689" s="62" t="n"/>
    </row>
    <row r="4690">
      <c r="D4690" s="62" t="n"/>
    </row>
    <row r="4691">
      <c r="D4691" s="62" t="n"/>
    </row>
    <row r="4692">
      <c r="D4692" s="62" t="n"/>
    </row>
    <row r="4693">
      <c r="D4693" s="62" t="n"/>
    </row>
    <row r="4694">
      <c r="D4694" s="62" t="n"/>
    </row>
    <row r="4695">
      <c r="D4695" s="62" t="n"/>
    </row>
    <row r="4696">
      <c r="D4696" s="62" t="n"/>
    </row>
    <row r="4697">
      <c r="D4697" s="62" t="n"/>
    </row>
    <row r="4698">
      <c r="D4698" s="62" t="n"/>
    </row>
    <row r="4699">
      <c r="D4699" s="62" t="n"/>
    </row>
    <row r="4700">
      <c r="D4700" s="62" t="n"/>
    </row>
    <row r="4701">
      <c r="D4701" s="62" t="n"/>
    </row>
    <row r="4702">
      <c r="D4702" s="62" t="n"/>
    </row>
    <row r="4703">
      <c r="D4703" s="62" t="n"/>
    </row>
    <row r="4704">
      <c r="D4704" s="62" t="n"/>
    </row>
    <row r="4705">
      <c r="D4705" s="62" t="n"/>
    </row>
    <row r="4706">
      <c r="D4706" s="62" t="n"/>
    </row>
    <row r="4707">
      <c r="D4707" s="62" t="n"/>
    </row>
    <row r="4708">
      <c r="D4708" s="62" t="n"/>
    </row>
    <row r="4709">
      <c r="D4709" s="62" t="n"/>
    </row>
    <row r="4710">
      <c r="D4710" s="62" t="n"/>
    </row>
    <row r="4711">
      <c r="D4711" s="62" t="n"/>
    </row>
    <row r="4712">
      <c r="D4712" s="62" t="n"/>
    </row>
    <row r="4713">
      <c r="D4713" s="62" t="n"/>
    </row>
    <row r="4714">
      <c r="D4714" s="62" t="n"/>
    </row>
    <row r="4715">
      <c r="D4715" s="62" t="n"/>
    </row>
    <row r="4716">
      <c r="D4716" s="62" t="n"/>
    </row>
    <row r="4717">
      <c r="D4717" s="62" t="n"/>
    </row>
    <row r="4718">
      <c r="D4718" s="62" t="n"/>
    </row>
    <row r="4719">
      <c r="D4719" s="62" t="n"/>
    </row>
    <row r="4720">
      <c r="D4720" s="62" t="n"/>
    </row>
    <row r="4721">
      <c r="D4721" s="62" t="n"/>
    </row>
    <row r="4722">
      <c r="D4722" s="62" t="n"/>
    </row>
    <row r="4723">
      <c r="D4723" s="62" t="n"/>
    </row>
    <row r="4724">
      <c r="D4724" s="62" t="n"/>
    </row>
    <row r="4725">
      <c r="D4725" s="62" t="n"/>
    </row>
    <row r="4726">
      <c r="D4726" s="62" t="n"/>
    </row>
    <row r="4727">
      <c r="D4727" s="62" t="n"/>
    </row>
    <row r="4728">
      <c r="D4728" s="62" t="n"/>
    </row>
    <row r="4729">
      <c r="D4729" s="62" t="n"/>
    </row>
    <row r="4730">
      <c r="D4730" s="62" t="n"/>
    </row>
    <row r="4731">
      <c r="D4731" s="62" t="n"/>
    </row>
    <row r="4732">
      <c r="D4732" s="62" t="n"/>
    </row>
    <row r="4733">
      <c r="D4733" s="62" t="n"/>
    </row>
    <row r="4734">
      <c r="D4734" s="62" t="n"/>
    </row>
    <row r="4735">
      <c r="D4735" s="62" t="n"/>
    </row>
    <row r="4736">
      <c r="D4736" s="62" t="n"/>
    </row>
    <row r="4737">
      <c r="D4737" s="62" t="n"/>
    </row>
    <row r="4738">
      <c r="D4738" s="62" t="n"/>
    </row>
    <row r="4739">
      <c r="D4739" s="62" t="n"/>
    </row>
    <row r="4740">
      <c r="D4740" s="62" t="n"/>
    </row>
    <row r="4741">
      <c r="D4741" s="62" t="n"/>
    </row>
    <row r="4742">
      <c r="D4742" s="62" t="n"/>
    </row>
    <row r="4743">
      <c r="D4743" s="62" t="n"/>
    </row>
    <row r="4744">
      <c r="D4744" s="62" t="n"/>
    </row>
    <row r="4745">
      <c r="D4745" s="62" t="n"/>
    </row>
    <row r="4746">
      <c r="D4746" s="62" t="n"/>
    </row>
    <row r="4747">
      <c r="D4747" s="62" t="n"/>
    </row>
    <row r="4748">
      <c r="D4748" s="62" t="n"/>
    </row>
    <row r="4749">
      <c r="D4749" s="62" t="n"/>
    </row>
    <row r="4750">
      <c r="D4750" s="62" t="n"/>
    </row>
    <row r="4751">
      <c r="D4751" s="62" t="n"/>
    </row>
    <row r="4752">
      <c r="D4752" s="62" t="n"/>
    </row>
    <row r="4753">
      <c r="D4753" s="62" t="n"/>
    </row>
    <row r="4754">
      <c r="D4754" s="62" t="n"/>
    </row>
    <row r="4755">
      <c r="D4755" s="62" t="n"/>
    </row>
    <row r="4756">
      <c r="D4756" s="62" t="n"/>
    </row>
    <row r="4757">
      <c r="D4757" s="62" t="n"/>
    </row>
    <row r="4758">
      <c r="D4758" s="62" t="n"/>
    </row>
    <row r="4759">
      <c r="D4759" s="62" t="n"/>
    </row>
    <row r="4760">
      <c r="D4760" s="62" t="n"/>
    </row>
    <row r="4761">
      <c r="D4761" s="62" t="n"/>
    </row>
    <row r="4762">
      <c r="D4762" s="62" t="n"/>
    </row>
    <row r="4763">
      <c r="D4763" s="62" t="n"/>
    </row>
    <row r="4764">
      <c r="D4764" s="62" t="n"/>
    </row>
    <row r="4765">
      <c r="D4765" s="62" t="n"/>
    </row>
    <row r="4766">
      <c r="D4766" s="62" t="n"/>
    </row>
    <row r="4767">
      <c r="D4767" s="62" t="n"/>
    </row>
    <row r="4768">
      <c r="D4768" s="62" t="n"/>
    </row>
    <row r="4769">
      <c r="D4769" s="62" t="n"/>
    </row>
    <row r="4770">
      <c r="D4770" s="62" t="n"/>
    </row>
    <row r="4771">
      <c r="D4771" s="62" t="n"/>
    </row>
    <row r="4772">
      <c r="D4772" s="62" t="n"/>
    </row>
    <row r="4773">
      <c r="D4773" s="62" t="n"/>
    </row>
    <row r="4774">
      <c r="D4774" s="62" t="n"/>
    </row>
    <row r="4775">
      <c r="D4775" s="62" t="n"/>
    </row>
    <row r="4776">
      <c r="D4776" s="62" t="n"/>
    </row>
    <row r="4777">
      <c r="D4777" s="62" t="n"/>
    </row>
    <row r="4778">
      <c r="D4778" s="62" t="n"/>
    </row>
    <row r="4779">
      <c r="D4779" s="62" t="n"/>
    </row>
    <row r="4780">
      <c r="D4780" s="62" t="n"/>
    </row>
    <row r="4781">
      <c r="D4781" s="62" t="n"/>
    </row>
    <row r="4782">
      <c r="D4782" s="62" t="n"/>
    </row>
    <row r="4783">
      <c r="D4783" s="62" t="n"/>
    </row>
    <row r="4784">
      <c r="D4784" s="62" t="n"/>
    </row>
    <row r="4785">
      <c r="D4785" s="62" t="n"/>
    </row>
    <row r="4786">
      <c r="D4786" s="62" t="n"/>
    </row>
    <row r="4787">
      <c r="D4787" s="62" t="n"/>
    </row>
    <row r="4788">
      <c r="D4788" s="62" t="n"/>
    </row>
    <row r="4789">
      <c r="D4789" s="62" t="n"/>
    </row>
    <row r="4790">
      <c r="D4790" s="62" t="n"/>
    </row>
    <row r="4791">
      <c r="D4791" s="62" t="n"/>
    </row>
    <row r="4792">
      <c r="D4792" s="62" t="n"/>
    </row>
    <row r="4793">
      <c r="D4793" s="62" t="n"/>
    </row>
    <row r="4794">
      <c r="D4794" s="62" t="n"/>
    </row>
    <row r="4795">
      <c r="D4795" s="62" t="n"/>
    </row>
    <row r="4796">
      <c r="D4796" s="62" t="n"/>
    </row>
    <row r="4797">
      <c r="D4797" s="62" t="n"/>
    </row>
    <row r="4798">
      <c r="D4798" s="62" t="n"/>
    </row>
    <row r="4799">
      <c r="D4799" s="62" t="n"/>
    </row>
    <row r="4800">
      <c r="D4800" s="62" t="n"/>
    </row>
    <row r="4801">
      <c r="D4801" s="62" t="n"/>
    </row>
    <row r="4802">
      <c r="D4802" s="62" t="n"/>
    </row>
    <row r="4803">
      <c r="D4803" s="62" t="n"/>
    </row>
    <row r="4804">
      <c r="D4804" s="62" t="n"/>
    </row>
    <row r="4805">
      <c r="D4805" s="62" t="n"/>
    </row>
    <row r="4806">
      <c r="D4806" s="62" t="n"/>
    </row>
    <row r="4807">
      <c r="D4807" s="62" t="n"/>
    </row>
    <row r="4808">
      <c r="D4808" s="62" t="n"/>
    </row>
    <row r="4809">
      <c r="D4809" s="62" t="n"/>
    </row>
    <row r="4810">
      <c r="D4810" s="62" t="n"/>
    </row>
    <row r="4811">
      <c r="D4811" s="62" t="n"/>
    </row>
    <row r="4812">
      <c r="D4812" s="62" t="n"/>
    </row>
    <row r="4813">
      <c r="D4813" s="62" t="n"/>
    </row>
    <row r="4814">
      <c r="D4814" s="62" t="n"/>
    </row>
    <row r="4815">
      <c r="D4815" s="62" t="n"/>
    </row>
    <row r="4816">
      <c r="D4816" s="62" t="n"/>
    </row>
    <row r="4817">
      <c r="D4817" s="62" t="n"/>
    </row>
    <row r="4818">
      <c r="D4818" s="62" t="n"/>
    </row>
    <row r="4819">
      <c r="D4819" s="62" t="n"/>
    </row>
    <row r="4820">
      <c r="D4820" s="62" t="n"/>
    </row>
    <row r="4821">
      <c r="D4821" s="62" t="n"/>
    </row>
    <row r="4822">
      <c r="D4822" s="62" t="n"/>
    </row>
    <row r="4823">
      <c r="D4823" s="62" t="n"/>
    </row>
    <row r="4824">
      <c r="D4824" s="62" t="n"/>
    </row>
    <row r="4825">
      <c r="D4825" s="62" t="n"/>
    </row>
    <row r="4826">
      <c r="D4826" s="62" t="n"/>
    </row>
    <row r="4827">
      <c r="D4827" s="62" t="n"/>
    </row>
    <row r="4828">
      <c r="D4828" s="62" t="n"/>
    </row>
    <row r="4829">
      <c r="D4829" s="62" t="n"/>
    </row>
    <row r="4830">
      <c r="D4830" s="62" t="n"/>
    </row>
    <row r="4831">
      <c r="D4831" s="62" t="n"/>
    </row>
    <row r="4832">
      <c r="D4832" s="62" t="n"/>
    </row>
    <row r="4833">
      <c r="D4833" s="62" t="n"/>
    </row>
    <row r="4834">
      <c r="D4834" s="62" t="n"/>
    </row>
    <row r="4835">
      <c r="D4835" s="62" t="n"/>
    </row>
    <row r="4836">
      <c r="D4836" s="62" t="n"/>
    </row>
    <row r="4837">
      <c r="D4837" s="62" t="n"/>
    </row>
    <row r="4838">
      <c r="D4838" s="62" t="n"/>
    </row>
    <row r="4839">
      <c r="D4839" s="62" t="n"/>
    </row>
    <row r="4840">
      <c r="D4840" s="62" t="n"/>
    </row>
    <row r="4841">
      <c r="D4841" s="62" t="n"/>
    </row>
    <row r="4842">
      <c r="D4842" s="62" t="n"/>
    </row>
    <row r="4843">
      <c r="D4843" s="62" t="n"/>
    </row>
    <row r="4844">
      <c r="D4844" s="62" t="n"/>
    </row>
    <row r="4845">
      <c r="D4845" s="62" t="n"/>
    </row>
    <row r="4846">
      <c r="D4846" s="62" t="n"/>
    </row>
    <row r="4847">
      <c r="D4847" s="62" t="n"/>
    </row>
    <row r="4848">
      <c r="D4848" s="62" t="n"/>
    </row>
    <row r="4849">
      <c r="D4849" s="62" t="n"/>
    </row>
    <row r="4850">
      <c r="D4850" s="62" t="n"/>
    </row>
    <row r="4851">
      <c r="D4851" s="62" t="n"/>
    </row>
    <row r="4852">
      <c r="D4852" s="62" t="n"/>
    </row>
    <row r="4853">
      <c r="D4853" s="62" t="n"/>
    </row>
    <row r="4854">
      <c r="D4854" s="62" t="n"/>
    </row>
    <row r="4855">
      <c r="D4855" s="62" t="n"/>
    </row>
    <row r="4856">
      <c r="D4856" s="62" t="n"/>
    </row>
    <row r="4857">
      <c r="D4857" s="62" t="n"/>
    </row>
    <row r="4858">
      <c r="D4858" s="62" t="n"/>
    </row>
    <row r="4859">
      <c r="D4859" s="62" t="n"/>
    </row>
    <row r="4860">
      <c r="D4860" s="62" t="n"/>
    </row>
    <row r="4861">
      <c r="D4861" s="62" t="n"/>
    </row>
    <row r="4862">
      <c r="D4862" s="62" t="n"/>
    </row>
    <row r="4863">
      <c r="D4863" s="62" t="n"/>
    </row>
    <row r="4864">
      <c r="D4864" s="62" t="n"/>
    </row>
    <row r="4865">
      <c r="D4865" s="62" t="n"/>
    </row>
    <row r="4866">
      <c r="D4866" s="62" t="n"/>
    </row>
    <row r="4867">
      <c r="D4867" s="62" t="n"/>
    </row>
    <row r="4868">
      <c r="D4868" s="62" t="n"/>
    </row>
    <row r="4869">
      <c r="D4869" s="62" t="n"/>
    </row>
    <row r="4870">
      <c r="D4870" s="62" t="n"/>
    </row>
    <row r="4871">
      <c r="D4871" s="62" t="n"/>
    </row>
    <row r="4872">
      <c r="D4872" s="62" t="n"/>
    </row>
    <row r="4873">
      <c r="D4873" s="62" t="n"/>
    </row>
    <row r="4874">
      <c r="D4874" s="62" t="n"/>
    </row>
    <row r="4875">
      <c r="D4875" s="62" t="n"/>
    </row>
    <row r="4876">
      <c r="D4876" s="62" t="n"/>
    </row>
    <row r="4877">
      <c r="D4877" s="62" t="n"/>
    </row>
    <row r="4878">
      <c r="D4878" s="62" t="n"/>
    </row>
    <row r="4879">
      <c r="D4879" s="62" t="n"/>
    </row>
    <row r="4880">
      <c r="D4880" s="62" t="n"/>
    </row>
    <row r="4881">
      <c r="D4881" s="62" t="n"/>
    </row>
    <row r="4882">
      <c r="D4882" s="62" t="n"/>
    </row>
    <row r="4883">
      <c r="D4883" s="62" t="n"/>
    </row>
    <row r="4884">
      <c r="D4884" s="62" t="n"/>
    </row>
    <row r="4885">
      <c r="D4885" s="62" t="n"/>
    </row>
    <row r="4886">
      <c r="D4886" s="62" t="n"/>
    </row>
    <row r="4887">
      <c r="D4887" s="62" t="n"/>
    </row>
    <row r="4888">
      <c r="D4888" s="62" t="n"/>
    </row>
    <row r="4889">
      <c r="D4889" s="62" t="n"/>
    </row>
    <row r="4890">
      <c r="D4890" s="62" t="n"/>
    </row>
    <row r="4891">
      <c r="D4891" s="62" t="n"/>
    </row>
    <row r="4892">
      <c r="D4892" s="62" t="n"/>
    </row>
    <row r="4893">
      <c r="D4893" s="62" t="n"/>
    </row>
    <row r="4894">
      <c r="D4894" s="62" t="n"/>
    </row>
    <row r="4895">
      <c r="D4895" s="62" t="n"/>
    </row>
    <row r="4896">
      <c r="D4896" s="62" t="n"/>
    </row>
    <row r="4897">
      <c r="D4897" s="62" t="n"/>
    </row>
    <row r="4898">
      <c r="D4898" s="62" t="n"/>
    </row>
    <row r="4899">
      <c r="D4899" s="62" t="n"/>
    </row>
    <row r="4900">
      <c r="D4900" s="62" t="n"/>
    </row>
    <row r="4901">
      <c r="D4901" s="62" t="n"/>
    </row>
    <row r="4902">
      <c r="D4902" s="62" t="n"/>
    </row>
    <row r="4903">
      <c r="D4903" s="62" t="n"/>
    </row>
    <row r="4904">
      <c r="D4904" s="62" t="n"/>
    </row>
    <row r="4905">
      <c r="D4905" s="62" t="n"/>
    </row>
    <row r="4906">
      <c r="D4906" s="62" t="n"/>
    </row>
    <row r="4907">
      <c r="D4907" s="62" t="n"/>
    </row>
    <row r="4908">
      <c r="D4908" s="62" t="n"/>
    </row>
    <row r="4909">
      <c r="D4909" s="62" t="n"/>
    </row>
    <row r="4910">
      <c r="D4910" s="62" t="n"/>
    </row>
    <row r="4911">
      <c r="D4911" s="62" t="n"/>
    </row>
    <row r="4912">
      <c r="D4912" s="62" t="n"/>
    </row>
    <row r="4913">
      <c r="D4913" s="62" t="n"/>
    </row>
    <row r="4914">
      <c r="D4914" s="62" t="n"/>
    </row>
    <row r="4915">
      <c r="D4915" s="62" t="n"/>
    </row>
    <row r="4916">
      <c r="D4916" s="62" t="n"/>
    </row>
    <row r="4917">
      <c r="D4917" s="62" t="n"/>
    </row>
    <row r="4918">
      <c r="D4918" s="62" t="n"/>
    </row>
    <row r="4919">
      <c r="D4919" s="62" t="n"/>
    </row>
    <row r="4920">
      <c r="D4920" s="62" t="n"/>
    </row>
    <row r="4921">
      <c r="D4921" s="62" t="n"/>
    </row>
    <row r="4922">
      <c r="D4922" s="62" t="n"/>
    </row>
    <row r="4923">
      <c r="D4923" s="62" t="n"/>
    </row>
    <row r="4924">
      <c r="D4924" s="62" t="n"/>
    </row>
    <row r="4925">
      <c r="D4925" s="62" t="n"/>
    </row>
    <row r="4926">
      <c r="D4926" s="62" t="n"/>
    </row>
    <row r="4927">
      <c r="D4927" s="62" t="n"/>
    </row>
    <row r="4928">
      <c r="D4928" s="62" t="n"/>
    </row>
    <row r="4929">
      <c r="D4929" s="62" t="n"/>
    </row>
    <row r="4930">
      <c r="D4930" s="62" t="n"/>
    </row>
    <row r="4931">
      <c r="D4931" s="62" t="n"/>
    </row>
    <row r="4932">
      <c r="D4932" s="62" t="n"/>
    </row>
    <row r="4933">
      <c r="D4933" s="62" t="n"/>
    </row>
    <row r="4934">
      <c r="D4934" s="62" t="n"/>
    </row>
    <row r="4935">
      <c r="D4935" s="62" t="n"/>
    </row>
    <row r="4936">
      <c r="D4936" s="62" t="n"/>
    </row>
    <row r="4937">
      <c r="D4937" s="62" t="n"/>
    </row>
    <row r="4938">
      <c r="D4938" s="62" t="n"/>
    </row>
    <row r="4939">
      <c r="D4939" s="62" t="n"/>
    </row>
    <row r="4940">
      <c r="D4940" s="62" t="n"/>
    </row>
    <row r="4941">
      <c r="D4941" s="62" t="n"/>
    </row>
    <row r="4942">
      <c r="D4942" s="62" t="n"/>
    </row>
    <row r="4943">
      <c r="D4943" s="62" t="n"/>
    </row>
    <row r="4944">
      <c r="D4944" s="62" t="n"/>
    </row>
    <row r="4945">
      <c r="D4945" s="62" t="n"/>
    </row>
    <row r="4946">
      <c r="D4946" s="62" t="n"/>
    </row>
    <row r="4947">
      <c r="D4947" s="62" t="n"/>
    </row>
    <row r="4948">
      <c r="D4948" s="62" t="n"/>
    </row>
    <row r="4949">
      <c r="D4949" s="62" t="n"/>
    </row>
    <row r="4950">
      <c r="D4950" s="62" t="n"/>
    </row>
    <row r="4951">
      <c r="D4951" s="62" t="n"/>
    </row>
    <row r="4952">
      <c r="D4952" s="62" t="n"/>
    </row>
    <row r="4953">
      <c r="D4953" s="62" t="n"/>
    </row>
    <row r="4954">
      <c r="D4954" s="62" t="n"/>
    </row>
    <row r="4955">
      <c r="D4955" s="62" t="n"/>
    </row>
    <row r="4956">
      <c r="D4956" s="62" t="n"/>
    </row>
    <row r="4957">
      <c r="D4957" s="62" t="n"/>
    </row>
    <row r="4958">
      <c r="D4958" s="62" t="n"/>
    </row>
    <row r="4959">
      <c r="D4959" s="62" t="n"/>
    </row>
    <row r="4960">
      <c r="D4960" s="62" t="n"/>
    </row>
    <row r="4961">
      <c r="D4961" s="62" t="n"/>
    </row>
    <row r="4962">
      <c r="D4962" s="62" t="n"/>
    </row>
    <row r="4963">
      <c r="D4963" s="62" t="n"/>
    </row>
    <row r="4964">
      <c r="D4964" s="62" t="n"/>
    </row>
    <row r="4965">
      <c r="D4965" s="62" t="n"/>
    </row>
    <row r="4966">
      <c r="D4966" s="62" t="n"/>
    </row>
    <row r="4967">
      <c r="D4967" s="62" t="n"/>
    </row>
    <row r="4968">
      <c r="D4968" s="62" t="n"/>
    </row>
    <row r="4969">
      <c r="D4969" s="62" t="n"/>
    </row>
    <row r="4970">
      <c r="D4970" s="62" t="n"/>
    </row>
    <row r="4971">
      <c r="D4971" s="62" t="n"/>
    </row>
    <row r="4972">
      <c r="D4972" s="62" t="n"/>
    </row>
    <row r="4973">
      <c r="D4973" s="62" t="n"/>
    </row>
    <row r="4974">
      <c r="D4974" s="62" t="n"/>
    </row>
    <row r="4975">
      <c r="D4975" s="62" t="n"/>
    </row>
    <row r="4976">
      <c r="D4976" s="62" t="n"/>
    </row>
    <row r="4977">
      <c r="D4977" s="62" t="n"/>
    </row>
    <row r="4978">
      <c r="D4978" s="62" t="n"/>
    </row>
    <row r="4979">
      <c r="D4979" s="62" t="n"/>
    </row>
    <row r="4980">
      <c r="D4980" s="62" t="n"/>
    </row>
    <row r="4981">
      <c r="D4981" s="62" t="n"/>
    </row>
    <row r="4982">
      <c r="D4982" s="62" t="n"/>
    </row>
    <row r="4983">
      <c r="D4983" s="62" t="n"/>
    </row>
    <row r="4984">
      <c r="D4984" s="62" t="n"/>
    </row>
    <row r="4985">
      <c r="D4985" s="62" t="n"/>
    </row>
    <row r="4986">
      <c r="D4986" s="62" t="n"/>
    </row>
    <row r="4987">
      <c r="D4987" s="62" t="n"/>
    </row>
    <row r="4988">
      <c r="D4988" s="62" t="n"/>
    </row>
    <row r="4989">
      <c r="D4989" s="62" t="n"/>
    </row>
    <row r="4990">
      <c r="D4990" s="62" t="n"/>
    </row>
    <row r="4991">
      <c r="D4991" s="62" t="n"/>
    </row>
    <row r="4992">
      <c r="D4992" s="62" t="n"/>
    </row>
    <row r="4993">
      <c r="D4993" s="62" t="n"/>
    </row>
    <row r="4994">
      <c r="D4994" s="62" t="n"/>
    </row>
    <row r="4995">
      <c r="D4995" s="62" t="n"/>
    </row>
    <row r="4996">
      <c r="D4996" s="62" t="n"/>
    </row>
    <row r="4997">
      <c r="D4997" s="62" t="n"/>
    </row>
    <row r="4998">
      <c r="D4998" s="62" t="n"/>
    </row>
    <row r="4999">
      <c r="D4999" s="62" t="n"/>
    </row>
    <row r="5000">
      <c r="D5000" s="62" t="n"/>
    </row>
    <row r="5001">
      <c r="D5001" s="62" t="n"/>
    </row>
    <row r="5002">
      <c r="D5002" s="62" t="n"/>
    </row>
    <row r="5003">
      <c r="D5003" s="62" t="n"/>
    </row>
    <row r="5004">
      <c r="D5004" s="62" t="n"/>
    </row>
    <row r="5005">
      <c r="D5005" s="62" t="n"/>
    </row>
  </sheetData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tabColor rgb="009FB6CE"/>
    <outlinePr summaryBelow="1" summaryRight="1"/>
    <pageSetUpPr fitToPage="1"/>
  </sheetPr>
  <dimension ref="A1:A5"/>
  <sheetViews>
    <sheetView showGridLines="0"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63" t="inlineStr">
        <is>
          <t>Type de colisage</t>
        </is>
      </c>
    </row>
    <row r="2">
      <c r="A2" t="inlineStr">
        <is>
          <t>Palette</t>
        </is>
      </c>
    </row>
    <row r="3">
      <c r="A3" t="inlineStr">
        <is>
          <t>Fishing basket</t>
        </is>
      </c>
    </row>
    <row r="4">
      <c r="A4" t="inlineStr">
        <is>
          <t>Caisse</t>
        </is>
      </c>
    </row>
    <row r="5">
      <c r="A5" t="inlineStr">
        <is>
          <t>Vrac</t>
        </is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2026-10-28T16:23:02Z</dcterms:created>
  <dcterms:modified xmlns:dcterms="http://purl.org/dc/terms/" xmlns:xsi="http://www.w3.org/2001/XMLSchema-instance" xsi:type="dcterms:W3CDTF">2026-10-28T16:23:02Z</dcterms:modified>
</cp:coreProperties>
</file>