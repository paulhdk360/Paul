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 Bon de livraison" sheetId="1" state="visible" r:id="rId1"/>
    <sheet xmlns:r="http://schemas.openxmlformats.org/officeDocument/2006/relationships" name="2 Import devis" sheetId="2" state="visible" r:id="rId2"/>
    <sheet xmlns:r="http://schemas.openxmlformats.org/officeDocument/2006/relationships" name="Listes" sheetId="3" state="visible" r:id="rId3"/>
  </sheets>
  <definedNames>
    <definedName name="_xlnm._FilterDatabase" localSheetId="0" hidden="1">'1 Bon de livraison'!$A$14:$I$38</definedName>
    <definedName name="_xlnm.Print_Area" localSheetId="0">'1 Bon de livraison'!$A$1:$G$53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dd/mm/yyyy"/>
    <numFmt numFmtId="165" formatCode="#,##0.0"/>
    <numFmt numFmtId="166" formatCode="#,##0.0 &quot;kg&quot;"/>
    <numFmt numFmtId="167" formatCode="#,##0.00 &quot;€&quot;"/>
    <numFmt numFmtId="168" formatCode="0.000"/>
    <numFmt numFmtId="169" formatCode="0.000 &quot;m³&quot;"/>
  </numFmts>
  <fonts count="21">
    <font>
      <name val="Calibri"/>
      <family val="2"/>
      <color theme="1"/>
      <sz val="11"/>
      <scheme val="minor"/>
    </font>
    <font>
      <name val="Calibri"/>
      <b val="1"/>
      <color rgb="00FFFFFF"/>
      <sz val="9"/>
    </font>
    <font>
      <name val="Calibri"/>
      <b val="1"/>
      <color rgb="00FFFFFF"/>
      <sz val="18"/>
    </font>
    <font>
      <name val="Calibri"/>
      <color rgb="009FD8F5"/>
      <sz val="10"/>
    </font>
    <font>
      <name val="Calibri"/>
      <color rgb="000A4FA0"/>
      <sz val="10"/>
    </font>
    <font>
      <name val="Calibri"/>
      <i val="1"/>
      <color rgb="0051647A"/>
      <sz val="9"/>
    </font>
    <font>
      <name val="Calibri"/>
      <b val="1"/>
      <color rgb="00FFFFFF"/>
      <sz val="15"/>
    </font>
    <font>
      <name val="Calibri"/>
      <color rgb="009FD8F5"/>
      <sz val="11"/>
    </font>
    <font>
      <name val="Calibri"/>
      <color rgb="0051647A"/>
      <sz val="8"/>
    </font>
    <font>
      <name val="Calibri"/>
      <b val="1"/>
      <color rgb="0051647A"/>
      <sz val="7.5"/>
    </font>
    <font>
      <name val="Calibri"/>
      <b val="1"/>
      <color rgb="000A4FA0"/>
      <sz val="10.5"/>
    </font>
    <font>
      <name val="Calibri"/>
      <b val="1"/>
      <color rgb="0008203F"/>
      <sz val="8.5"/>
    </font>
    <font>
      <name val="Calibri"/>
      <color rgb="00B8C4D2"/>
      <sz val="7"/>
    </font>
    <font>
      <name val="Calibri"/>
      <color rgb="000B1B2E"/>
      <sz val="10.5"/>
    </font>
    <font>
      <name val="Calibri"/>
      <color rgb="000A4FA0"/>
      <sz val="10.5"/>
    </font>
    <font>
      <name val="Calibri"/>
      <b val="1"/>
      <color rgb="00E2231A"/>
      <sz val="9"/>
    </font>
    <font>
      <name val="Calibri"/>
      <b val="1"/>
      <color rgb="00FFFFFF"/>
      <sz val="10.5"/>
    </font>
    <font>
      <name val="Calibri"/>
      <b val="1"/>
      <color rgb="00FFFFFF"/>
      <sz val="10"/>
    </font>
    <font>
      <name val="Calibri"/>
      <b val="1"/>
      <color rgb="0008203F"/>
      <sz val="10.5"/>
    </font>
    <font>
      <name val="Calibri"/>
      <b val="1"/>
      <color rgb="0051647A"/>
      <sz val="8.5"/>
    </font>
    <font>
      <name val="Calibri"/>
      <b val="1"/>
      <color rgb="0051647A"/>
      <sz val="8"/>
    </font>
  </fonts>
  <fills count="8">
    <fill>
      <patternFill/>
    </fill>
    <fill>
      <patternFill patternType="gray125"/>
    </fill>
    <fill>
      <patternFill patternType="solid">
        <fgColor rgb="0008203F"/>
        <bgColor rgb="0008203F"/>
      </patternFill>
    </fill>
    <fill>
      <patternFill patternType="solid">
        <fgColor rgb="0000AEEF"/>
        <bgColor rgb="0000AEEF"/>
      </patternFill>
    </fill>
    <fill>
      <patternFill patternType="solid">
        <fgColor rgb="000A4FA0"/>
        <bgColor rgb="000A4FA0"/>
      </patternFill>
    </fill>
    <fill>
      <patternFill patternType="solid">
        <fgColor rgb="007A8CA3"/>
        <bgColor rgb="007A8CA3"/>
      </patternFill>
    </fill>
    <fill>
      <patternFill patternType="solid">
        <fgColor rgb="00EAF6FD"/>
        <bgColor rgb="00EAF6FD"/>
      </patternFill>
    </fill>
    <fill>
      <patternFill patternType="solid">
        <fgColor rgb="00DCE8F5"/>
        <bgColor rgb="00DCE8F5"/>
      </patternFill>
    </fill>
  </fills>
  <borders count="16">
    <border>
      <left/>
      <right/>
      <top/>
      <bottom/>
      <diagonal/>
    </border>
    <border>
      <bottom style="thin">
        <color rgb="0000AEEF"/>
      </bottom>
    </border>
    <border>
      <bottom style="thin">
        <color rgb="00B7DDF2"/>
      </bottom>
    </border>
    <border>
      <bottom style="thin">
        <color rgb="00D5DEE8"/>
      </bottom>
    </border>
    <border>
      <left/>
      <right/>
      <top/>
      <bottom style="thin">
        <color rgb="00B7DDF2"/>
      </bottom>
      <diagonal/>
    </border>
    <border>
      <left style="thin">
        <color rgb="00D5DEE8"/>
      </left>
      <top style="thin">
        <color rgb="00D5DEE8"/>
      </top>
    </border>
    <border>
      <right style="thin">
        <color rgb="00D5DEE8"/>
      </right>
      <top style="thin">
        <color rgb="00D5DEE8"/>
      </top>
    </border>
    <border>
      <left style="thin">
        <color rgb="00D5DEE8"/>
      </left>
    </border>
    <border>
      <right style="thin">
        <color rgb="00D5DEE8"/>
      </right>
    </border>
    <border>
      <left style="thin">
        <color rgb="00D5DEE8"/>
      </left>
      <bottom style="thin">
        <color rgb="00D5DEE8"/>
      </bottom>
    </border>
    <border>
      <right style="thin">
        <color rgb="00D5DEE8"/>
      </right>
      <bottom style="thin">
        <color rgb="00D5DEE8"/>
      </bottom>
    </border>
    <border>
      <left style="thin">
        <color rgb="00D5DEE8"/>
      </left>
      <right style="thin">
        <color rgb="00D5DEE8"/>
      </right>
      <top style="thin">
        <color rgb="00D5DEE8"/>
      </top>
    </border>
    <border>
      <left style="thin">
        <color rgb="00D5DEE8"/>
      </left>
      <right style="thin">
        <color rgb="00D5DEE8"/>
      </right>
    </border>
    <border>
      <left style="thin">
        <color rgb="00D5DEE8"/>
      </left>
      <right style="thin">
        <color rgb="00D5DEE8"/>
      </right>
      <bottom style="thin">
        <color rgb="00D5DEE8"/>
      </bottom>
    </border>
    <border>
      <top style="thin">
        <color rgb="00D5DEE8"/>
      </top>
    </border>
    <border/>
  </borders>
  <cellStyleXfs count="1">
    <xf numFmtId="0" fontId="0" fillId="0" borderId="0"/>
  </cellStyleXfs>
  <cellXfs count="55">
    <xf numFmtId="0" fontId="0" fillId="0" borderId="0" pivotButton="0" quotePrefix="0" xfId="0"/>
    <xf numFmtId="0" fontId="0" fillId="2" borderId="0" pivotButton="0" quotePrefix="0" xfId="0"/>
    <xf numFmtId="0" fontId="6" fillId="2" borderId="0" applyAlignment="1" pivotButton="0" quotePrefix="0" xfId="0">
      <alignment horizontal="right" vertical="center"/>
    </xf>
    <xf numFmtId="0" fontId="7" fillId="2" borderId="0" applyAlignment="1" pivotButton="0" quotePrefix="0" xfId="0">
      <alignment horizontal="right" vertical="center"/>
    </xf>
    <xf numFmtId="0" fontId="0" fillId="3" borderId="0" pivotButton="0" quotePrefix="0" xfId="0"/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vertical="bottom" indent="1"/>
    </xf>
    <xf numFmtId="0" fontId="10" fillId="6" borderId="1" applyAlignment="1" pivotButton="0" quotePrefix="0" xfId="0">
      <alignment horizontal="left" vertical="center" wrapText="1" indent="1"/>
    </xf>
    <xf numFmtId="0" fontId="0" fillId="6" borderId="1" pivotButton="0" quotePrefix="0" xfId="0"/>
    <xf numFmtId="164" fontId="10" fillId="6" borderId="1" applyAlignment="1" pivotButton="0" quotePrefix="0" xfId="0">
      <alignment horizontal="left" vertical="center" wrapText="1" indent="1"/>
    </xf>
    <xf numFmtId="0" fontId="15" fillId="0" borderId="0" applyAlignment="1" pivotButton="0" quotePrefix="0" xfId="0">
      <alignment vertical="center" indent="1"/>
    </xf>
    <xf numFmtId="0" fontId="11" fillId="7" borderId="0" applyAlignment="1" pivotButton="0" quotePrefix="0" xfId="0">
      <alignment horizontal="center" vertical="center" wrapText="1"/>
    </xf>
    <xf numFmtId="0" fontId="12" fillId="0" borderId="0" pivotButton="0" quotePrefix="0" xfId="0"/>
    <xf numFmtId="0" fontId="14" fillId="6" borderId="2" applyAlignment="1" pivotButton="0" quotePrefix="0" xfId="0">
      <alignment horizontal="left" vertical="center" wrapText="1" indent="1"/>
    </xf>
    <xf numFmtId="0" fontId="13" fillId="0" borderId="3" applyAlignment="1" pivotButton="0" quotePrefix="0" xfId="0">
      <alignment vertical="center" wrapText="1" indent="1"/>
    </xf>
    <xf numFmtId="0" fontId="13" fillId="0" borderId="3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165" fontId="14" fillId="6" borderId="2" applyAlignment="1" pivotButton="0" quotePrefix="0" xfId="0">
      <alignment horizontal="center" vertical="center" wrapText="1"/>
    </xf>
    <xf numFmtId="4" fontId="13" fillId="0" borderId="3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 indent="1"/>
    </xf>
    <xf numFmtId="0" fontId="16" fillId="2" borderId="0" applyAlignment="1" pivotButton="0" quotePrefix="0" xfId="0">
      <alignment horizontal="left" vertical="center"/>
    </xf>
    <xf numFmtId="0" fontId="16" fillId="2" borderId="0" applyAlignment="1" pivotButton="0" quotePrefix="0" xfId="0">
      <alignment horizontal="center" vertical="center"/>
    </xf>
    <xf numFmtId="166" fontId="16" fillId="2" borderId="0" applyAlignment="1" pivotButton="0" quotePrefix="0" xfId="0">
      <alignment horizontal="center" vertical="center"/>
    </xf>
    <xf numFmtId="167" fontId="16" fillId="2" borderId="0" applyAlignment="1" pivotButton="0" quotePrefix="0" xfId="0">
      <alignment horizontal="center" vertical="center"/>
    </xf>
    <xf numFmtId="0" fontId="17" fillId="2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/>
    </xf>
    <xf numFmtId="0" fontId="0" fillId="0" borderId="4" pivotButton="0" quotePrefix="0" xfId="0"/>
    <xf numFmtId="165" fontId="14" fillId="6" borderId="2" applyAlignment="1" pivotButton="0" quotePrefix="0" xfId="0">
      <alignment horizontal="center" vertical="center"/>
    </xf>
    <xf numFmtId="168" fontId="14" fillId="6" borderId="2" applyAlignment="1" pivotButton="0" quotePrefix="0" xfId="0">
      <alignment horizontal="center" vertical="center"/>
    </xf>
    <xf numFmtId="0" fontId="17" fillId="2" borderId="0" applyAlignment="1" pivotButton="0" quotePrefix="0" xfId="0">
      <alignment horizontal="left" vertical="center" indent="1"/>
    </xf>
    <xf numFmtId="166" fontId="17" fillId="2" borderId="0" applyAlignment="1" pivotButton="0" quotePrefix="0" xfId="0">
      <alignment horizontal="center" vertical="center"/>
    </xf>
    <xf numFmtId="169" fontId="17" fillId="2" borderId="0" applyAlignment="1" pivotButton="0" quotePrefix="0" xfId="0">
      <alignment horizontal="center" vertical="center"/>
    </xf>
    <xf numFmtId="0" fontId="19" fillId="0" borderId="0" applyAlignment="1" pivotButton="0" quotePrefix="0" xfId="0">
      <alignment vertical="center" wrapText="1" indent="1"/>
    </xf>
    <xf numFmtId="0" fontId="20" fillId="0" borderId="5" applyAlignment="1" pivotButton="0" quotePrefix="0" xfId="0">
      <alignment vertical="top" wrapText="1" indent="1"/>
    </xf>
    <xf numFmtId="0" fontId="0" fillId="0" borderId="6" pivotButton="0" quotePrefix="0" xfId="0"/>
    <xf numFmtId="0" fontId="20" fillId="0" borderId="11" applyAlignment="1" pivotButton="0" quotePrefix="0" xfId="0">
      <alignment vertical="top" wrapText="1" indent="1"/>
    </xf>
    <xf numFmtId="0" fontId="0" fillId="0" borderId="14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12" pivotButton="0" quotePrefix="0" xfId="0"/>
    <xf numFmtId="0" fontId="0" fillId="0" borderId="15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3" pivotButton="0" quotePrefix="0" xfId="0"/>
    <xf numFmtId="0" fontId="0" fillId="0" borderId="3" pivotButton="0" quotePrefix="0" xfId="0"/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1" fillId="4" borderId="0" applyAlignment="1" pivotButton="0" quotePrefix="0" xfId="0">
      <alignment horizontal="center" vertical="center" wrapText="1"/>
    </xf>
    <xf numFmtId="0" fontId="1" fillId="5" borderId="0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center" vertical="center"/>
    </xf>
    <xf numFmtId="4" fontId="4" fillId="6" borderId="1" applyAlignment="1" pivotButton="0" quotePrefix="0" xfId="0">
      <alignment horizontal="center" vertical="center"/>
    </xf>
    <xf numFmtId="0" fontId="5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dxfs count="2">
    <dxf>
      <font>
        <name val="Calibri"/>
        <color rgb="0008203F"/>
      </font>
      <fill>
        <patternFill patternType="solid">
          <fgColor rgb="0008203F"/>
          <bgColor rgb="0008203F"/>
        </patternFill>
      </fill>
    </dxf>
    <dxf>
      <font>
        <name val="Calibri"/>
        <b val="1"/>
        <color rgb="00FFFFFF"/>
      </font>
      <fill>
        <patternFill patternType="solid">
          <fgColor rgb="0008203F"/>
          <bgColor rgb="0008203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14287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0A4FA0"/>
    <outlinePr summaryBelow="1" summaryRight="1"/>
    <pageSetUpPr fitToPage="1"/>
  </sheetPr>
  <dimension ref="A1:I53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20" customWidth="1" min="2" max="2"/>
    <col width="52" customWidth="1" min="3" max="3"/>
    <col width="7" customWidth="1" min="4" max="4"/>
    <col width="9" customWidth="1" min="5" max="5"/>
    <col width="12" customWidth="1" min="6" max="6"/>
    <col width="14" customWidth="1" min="7" max="7"/>
    <col hidden="1" width="13" customWidth="1" min="9" max="9"/>
  </cols>
  <sheetData>
    <row r="1" ht="34" customHeight="1">
      <c r="A1" s="1" t="n"/>
      <c r="B1" s="1" t="n"/>
      <c r="C1" s="2" t="inlineStr">
        <is>
          <t>BON DE LIVRAISON · DELIVERY TICKET</t>
        </is>
      </c>
    </row>
    <row r="2" ht="22" customHeight="1">
      <c r="A2" s="1" t="n"/>
      <c r="B2" s="1" t="n"/>
      <c r="C2" s="3">
        <f>"N° "&amp;A6</f>
        <v/>
      </c>
    </row>
    <row r="3" ht="5" customHeight="1">
      <c r="A3" s="4" t="n"/>
      <c r="B3" s="4" t="n"/>
      <c r="C3" s="4" t="n"/>
      <c r="D3" s="4" t="n"/>
      <c r="E3" s="4" t="n"/>
      <c r="F3" s="4" t="n"/>
      <c r="G3" s="4" t="n"/>
    </row>
    <row r="4" ht="18" customHeight="1">
      <c r="A4" s="5" t="inlineStr">
        <is>
          <t>ENEDRIL SAS · 3 Avenue des Lacs · 64140 Lons (France) · +33 (0)5 59 04 50 45 · SIRET 79464246200020 · TVA FR11794642462</t>
        </is>
      </c>
    </row>
    <row r="5" ht="15" customHeight="1">
      <c r="A5" s="6" t="inlineStr">
        <is>
          <t>N° DU BL · DELIVERY TICKET N°</t>
        </is>
      </c>
      <c r="C5" s="6" t="inlineStr">
        <is>
          <t>DATE</t>
        </is>
      </c>
      <c r="D5" s="6" t="inlineStr">
        <is>
          <t>N° DE DOSSIER (DEVIS) · JOB NUMBER</t>
        </is>
      </c>
    </row>
    <row r="6" ht="21" customHeight="1">
      <c r="A6" s="7" t="inlineStr">
        <is>
          <t>BL-26-0123</t>
        </is>
      </c>
      <c r="B6" s="8" t="n"/>
      <c r="C6" s="9" t="n">
        <v>46335</v>
      </c>
      <c r="D6" s="7" t="inlineStr">
        <is>
          <t>26-82-FR</t>
        </is>
      </c>
      <c r="E6" s="8" t="n"/>
      <c r="F6" s="8" t="n"/>
      <c r="G6" s="8" t="n"/>
    </row>
    <row r="7" ht="15" customHeight="1">
      <c r="A7" s="6" t="inlineStr">
        <is>
          <t>CLIENT · CUSTOMER</t>
        </is>
      </c>
      <c r="C7" s="6" t="inlineStr">
        <is>
          <t>PUITS / CHANTIER · WELL</t>
        </is>
      </c>
      <c r="D7" s="6" t="inlineStr">
        <is>
          <t>PO CLIENT · PURCHASE ORDER</t>
        </is>
      </c>
    </row>
    <row r="8" ht="21" customHeight="1">
      <c r="A8" s="7" t="inlineStr">
        <is>
          <t>Geopetrol</t>
        </is>
      </c>
      <c r="B8" s="8" t="n"/>
      <c r="C8" s="7" t="inlineStr">
        <is>
          <t>Puits Lacq-12 · CLU108</t>
        </is>
      </c>
      <c r="D8" s="7" t="inlineStr">
        <is>
          <t>PO-4500123</t>
        </is>
      </c>
      <c r="E8" s="8" t="n"/>
      <c r="F8" s="8" t="n"/>
      <c r="G8" s="8" t="n"/>
    </row>
    <row r="9" ht="15" customHeight="1">
      <c r="A9" s="6" t="inlineStr">
        <is>
          <t>TRANSPORTEUR · TRANSPORT COMPANY</t>
        </is>
      </c>
      <c r="C9" s="6" t="inlineStr">
        <is>
          <t>PO TRANSPORT · TRANSPORT PO N°</t>
        </is>
      </c>
      <c r="D9" s="6" t="inlineStr">
        <is>
          <t>DÉLAI · EXPECTED TIME OF ARRIVAL (ETA)</t>
        </is>
      </c>
    </row>
    <row r="10" ht="21" customHeight="1">
      <c r="A10" s="7" t="inlineStr">
        <is>
          <t>Transports Durand</t>
        </is>
      </c>
      <c r="B10" s="8" t="n"/>
      <c r="C10" s="7" t="inlineStr">
        <is>
          <t>TPO-778</t>
        </is>
      </c>
      <c r="D10" s="7" t="inlineStr">
        <is>
          <t>48 h après chargement</t>
        </is>
      </c>
      <c r="E10" s="8" t="n"/>
      <c r="F10" s="8" t="n"/>
      <c r="G10" s="8" t="n"/>
    </row>
    <row r="11" ht="15" customHeight="1">
      <c r="A11" s="6" t="inlineStr">
        <is>
          <t>ADRESSE DE CHARGEMENT · LOADING ADDRESS</t>
        </is>
      </c>
      <c r="D11" s="6" t="inlineStr">
        <is>
          <t>ADRESSE DE LIVRAISON · DELIVERY ADDRESS</t>
        </is>
      </c>
    </row>
    <row r="12" ht="34" customHeight="1">
      <c r="A12" s="7" t="inlineStr">
        <is>
          <t>Enedril · 3 Avenue des Lacs · 64140 Lons (France)</t>
        </is>
      </c>
      <c r="B12" s="8" t="n"/>
      <c r="C12" s="8" t="n"/>
      <c r="D12" s="7" t="inlineStr">
        <is>
          <t>Geopetrol · Base de Lacq · 64170 Lacq</t>
        </is>
      </c>
      <c r="E12" s="8" t="n"/>
      <c r="F12" s="8" t="n"/>
      <c r="G12" s="8" t="n"/>
    </row>
    <row r="13" ht="14" customHeight="1">
      <c r="A13" s="10">
        <f>IF(SUBTOTAL(103,C15:C38)&lt;SUM(I15:I38),"⚠  Appuyer sur Ctrl + Alt + L pour afficher toutes les lignes du BL.","")</f>
        <v/>
      </c>
    </row>
    <row r="14" ht="36" customHeight="1">
      <c r="A14" s="11" t="inlineStr">
        <is>
          <t>Réf
Ref</t>
        </is>
      </c>
      <c r="B14" s="11" t="inlineStr">
        <is>
          <t>N° de série
Serial number</t>
        </is>
      </c>
      <c r="C14" s="11" t="inlineStr">
        <is>
          <t>Description</t>
        </is>
      </c>
      <c r="D14" s="11" t="inlineStr">
        <is>
          <t>Qté
Qty</t>
        </is>
      </c>
      <c r="E14" s="11" t="inlineStr">
        <is>
          <t>Origine
Origin</t>
        </is>
      </c>
      <c r="F14" s="11" t="inlineStr">
        <is>
          <t>Poids net
kg / unité</t>
        </is>
      </c>
      <c r="G14" s="11" t="inlineStr">
        <is>
          <t>Valeur de remplacement
€ / unité</t>
        </is>
      </c>
      <c r="I14" s="12" t="inlineStr">
        <is>
          <t>actif</t>
        </is>
      </c>
    </row>
    <row r="15" ht="26" customHeight="1">
      <c r="A15" s="13" t="n"/>
      <c r="B15" s="13" t="n"/>
      <c r="C15" s="14">
        <f>IF('2 Import devis'!$B6="","",'2 Import devis'!$B6)</f>
        <v/>
      </c>
      <c r="D15" s="15">
        <f>IF(OR('2 Import devis'!$B6="",N('2 Import devis'!$C6)=0),"",'2 Import devis'!$C6)</f>
        <v/>
      </c>
      <c r="E15" s="16" t="inlineStr">
        <is>
          <t>FR</t>
        </is>
      </c>
      <c r="F15" s="17" t="n"/>
      <c r="G15" s="18">
        <f>IF(OR(D15="",'2 Import devis'!$G6=""),"",'2 Import devis'!$G6)</f>
        <v/>
      </c>
      <c r="I15" s="12">
        <f>IF('2 Import devis'!$B6="",0,1)</f>
        <v/>
      </c>
    </row>
    <row r="16" ht="26" customHeight="1">
      <c r="A16" s="13" t="inlineStr">
        <is>
          <t>PL-0412</t>
        </is>
      </c>
      <c r="B16" s="13" t="inlineStr">
        <is>
          <t>SN-4471</t>
        </is>
      </c>
      <c r="C16" s="14">
        <f>IF('2 Import devis'!$B7="","",'2 Import devis'!$B7)</f>
        <v/>
      </c>
      <c r="D16" s="15">
        <f>IF(OR('2 Import devis'!$B7="",N('2 Import devis'!$C7)=0),"",'2 Import devis'!$C7)</f>
        <v/>
      </c>
      <c r="E16" s="16" t="inlineStr">
        <is>
          <t>FR</t>
        </is>
      </c>
      <c r="F16" s="17" t="n">
        <v>85</v>
      </c>
      <c r="G16" s="18">
        <f>IF(OR(D16="",'2 Import devis'!$G7=""),"",'2 Import devis'!$G7)</f>
        <v/>
      </c>
      <c r="I16" s="12">
        <f>IF('2 Import devis'!$B7="",0,1)</f>
        <v/>
      </c>
    </row>
    <row r="17" ht="26" customHeight="1">
      <c r="A17" s="13" t="inlineStr">
        <is>
          <t>PL-0377</t>
        </is>
      </c>
      <c r="B17" s="13" t="inlineStr">
        <is>
          <t>SN-1120 / SN-1121</t>
        </is>
      </c>
      <c r="C17" s="14">
        <f>IF('2 Import devis'!$B8="","",'2 Import devis'!$B8)</f>
        <v/>
      </c>
      <c r="D17" s="15">
        <f>IF(OR('2 Import devis'!$B8="",N('2 Import devis'!$C8)=0),"",'2 Import devis'!$C8)</f>
        <v/>
      </c>
      <c r="E17" s="16" t="inlineStr">
        <is>
          <t>FR</t>
        </is>
      </c>
      <c r="F17" s="17" t="n">
        <v>12.5</v>
      </c>
      <c r="G17" s="18">
        <f>IF(OR(D17="",'2 Import devis'!$G8=""),"",'2 Import devis'!$G8)</f>
        <v/>
      </c>
      <c r="I17" s="12">
        <f>IF('2 Import devis'!$B8="",0,1)</f>
        <v/>
      </c>
    </row>
    <row r="18" ht="26" customHeight="1">
      <c r="A18" s="13" t="inlineStr">
        <is>
          <t>PL-0378</t>
        </is>
      </c>
      <c r="B18" s="13" t="inlineStr">
        <is>
          <t>SN-1130</t>
        </is>
      </c>
      <c r="C18" s="14">
        <f>IF('2 Import devis'!$B9="","",'2 Import devis'!$B9)</f>
        <v/>
      </c>
      <c r="D18" s="15">
        <f>IF(OR('2 Import devis'!$B9="",N('2 Import devis'!$C9)=0),"",'2 Import devis'!$C9)</f>
        <v/>
      </c>
      <c r="E18" s="16" t="inlineStr">
        <is>
          <t>FR</t>
        </is>
      </c>
      <c r="F18" s="17" t="n">
        <v>12.5</v>
      </c>
      <c r="G18" s="18">
        <f>IF(OR(D18="",'2 Import devis'!$G9=""),"",'2 Import devis'!$G9)</f>
        <v/>
      </c>
      <c r="I18" s="12">
        <f>IF('2 Import devis'!$B9="",0,1)</f>
        <v/>
      </c>
    </row>
    <row r="19" hidden="1" ht="26" customHeight="1">
      <c r="A19" s="13" t="n"/>
      <c r="B19" s="13" t="n"/>
      <c r="C19" s="14">
        <f>IF('2 Import devis'!$B10="","",'2 Import devis'!$B10)</f>
        <v/>
      </c>
      <c r="D19" s="15">
        <f>IF(OR('2 Import devis'!$B10="",N('2 Import devis'!$C10)=0),"",'2 Import devis'!$C10)</f>
        <v/>
      </c>
      <c r="E19" s="16" t="inlineStr">
        <is>
          <t>FR</t>
        </is>
      </c>
      <c r="F19" s="17" t="n"/>
      <c r="G19" s="18">
        <f>IF(OR(D19="",'2 Import devis'!$G10=""),"",'2 Import devis'!$G10)</f>
        <v/>
      </c>
      <c r="I19" s="12">
        <f>IF('2 Import devis'!$B10="",0,1)</f>
        <v/>
      </c>
    </row>
    <row r="20" hidden="1" ht="26" customHeight="1">
      <c r="A20" s="13" t="n"/>
      <c r="B20" s="13" t="n"/>
      <c r="C20" s="14">
        <f>IF('2 Import devis'!$B11="","",'2 Import devis'!$B11)</f>
        <v/>
      </c>
      <c r="D20" s="15">
        <f>IF(OR('2 Import devis'!$B11="",N('2 Import devis'!$C11)=0),"",'2 Import devis'!$C11)</f>
        <v/>
      </c>
      <c r="E20" s="16" t="inlineStr">
        <is>
          <t>FR</t>
        </is>
      </c>
      <c r="F20" s="17" t="n"/>
      <c r="G20" s="18">
        <f>IF(OR(D20="",'2 Import devis'!$G11=""),"",'2 Import devis'!$G11)</f>
        <v/>
      </c>
      <c r="I20" s="12">
        <f>IF('2 Import devis'!$B11="",0,1)</f>
        <v/>
      </c>
    </row>
    <row r="21" hidden="1" ht="26" customHeight="1">
      <c r="A21" s="13" t="n"/>
      <c r="B21" s="13" t="n"/>
      <c r="C21" s="14">
        <f>IF('2 Import devis'!$B12="","",'2 Import devis'!$B12)</f>
        <v/>
      </c>
      <c r="D21" s="15">
        <f>IF(OR('2 Import devis'!$B12="",N('2 Import devis'!$C12)=0),"",'2 Import devis'!$C12)</f>
        <v/>
      </c>
      <c r="E21" s="16" t="inlineStr">
        <is>
          <t>FR</t>
        </is>
      </c>
      <c r="F21" s="17" t="n"/>
      <c r="G21" s="18">
        <f>IF(OR(D21="",'2 Import devis'!$G12=""),"",'2 Import devis'!$G12)</f>
        <v/>
      </c>
      <c r="I21" s="12">
        <f>IF('2 Import devis'!$B12="",0,1)</f>
        <v/>
      </c>
    </row>
    <row r="22" hidden="1" ht="26" customHeight="1">
      <c r="A22" s="13" t="n"/>
      <c r="B22" s="13" t="n"/>
      <c r="C22" s="14">
        <f>IF('2 Import devis'!$B13="","",'2 Import devis'!$B13)</f>
        <v/>
      </c>
      <c r="D22" s="15">
        <f>IF(OR('2 Import devis'!$B13="",N('2 Import devis'!$C13)=0),"",'2 Import devis'!$C13)</f>
        <v/>
      </c>
      <c r="E22" s="16" t="inlineStr">
        <is>
          <t>FR</t>
        </is>
      </c>
      <c r="F22" s="17" t="n"/>
      <c r="G22" s="18">
        <f>IF(OR(D22="",'2 Import devis'!$G13=""),"",'2 Import devis'!$G13)</f>
        <v/>
      </c>
      <c r="I22" s="12">
        <f>IF('2 Import devis'!$B13="",0,1)</f>
        <v/>
      </c>
    </row>
    <row r="23" hidden="1" ht="26" customHeight="1">
      <c r="A23" s="13" t="n"/>
      <c r="B23" s="13" t="n"/>
      <c r="C23" s="14">
        <f>IF('2 Import devis'!$B14="","",'2 Import devis'!$B14)</f>
        <v/>
      </c>
      <c r="D23" s="15">
        <f>IF(OR('2 Import devis'!$B14="",N('2 Import devis'!$C14)=0),"",'2 Import devis'!$C14)</f>
        <v/>
      </c>
      <c r="E23" s="16" t="inlineStr">
        <is>
          <t>FR</t>
        </is>
      </c>
      <c r="F23" s="17" t="n"/>
      <c r="G23" s="18">
        <f>IF(OR(D23="",'2 Import devis'!$G14=""),"",'2 Import devis'!$G14)</f>
        <v/>
      </c>
      <c r="I23" s="12">
        <f>IF('2 Import devis'!$B14="",0,1)</f>
        <v/>
      </c>
    </row>
    <row r="24" hidden="1" ht="26" customHeight="1">
      <c r="A24" s="13" t="n"/>
      <c r="B24" s="13" t="n"/>
      <c r="C24" s="14">
        <f>IF('2 Import devis'!$B15="","",'2 Import devis'!$B15)</f>
        <v/>
      </c>
      <c r="D24" s="15">
        <f>IF(OR('2 Import devis'!$B15="",N('2 Import devis'!$C15)=0),"",'2 Import devis'!$C15)</f>
        <v/>
      </c>
      <c r="E24" s="16" t="inlineStr">
        <is>
          <t>FR</t>
        </is>
      </c>
      <c r="F24" s="17" t="n"/>
      <c r="G24" s="18">
        <f>IF(OR(D24="",'2 Import devis'!$G15=""),"",'2 Import devis'!$G15)</f>
        <v/>
      </c>
      <c r="I24" s="12">
        <f>IF('2 Import devis'!$B15="",0,1)</f>
        <v/>
      </c>
    </row>
    <row r="25" hidden="1" ht="26" customHeight="1">
      <c r="A25" s="13" t="n"/>
      <c r="B25" s="13" t="n"/>
      <c r="C25" s="14">
        <f>IF('2 Import devis'!$B16="","",'2 Import devis'!$B16)</f>
        <v/>
      </c>
      <c r="D25" s="15">
        <f>IF(OR('2 Import devis'!$B16="",N('2 Import devis'!$C16)=0),"",'2 Import devis'!$C16)</f>
        <v/>
      </c>
      <c r="E25" s="16" t="inlineStr">
        <is>
          <t>FR</t>
        </is>
      </c>
      <c r="F25" s="17" t="n"/>
      <c r="G25" s="18">
        <f>IF(OR(D25="",'2 Import devis'!$G16=""),"",'2 Import devis'!$G16)</f>
        <v/>
      </c>
      <c r="I25" s="12">
        <f>IF('2 Import devis'!$B16="",0,1)</f>
        <v/>
      </c>
    </row>
    <row r="26" hidden="1" ht="26" customHeight="1">
      <c r="A26" s="13" t="n"/>
      <c r="B26" s="13" t="n"/>
      <c r="C26" s="14">
        <f>IF('2 Import devis'!$B17="","",'2 Import devis'!$B17)</f>
        <v/>
      </c>
      <c r="D26" s="15">
        <f>IF(OR('2 Import devis'!$B17="",N('2 Import devis'!$C17)=0),"",'2 Import devis'!$C17)</f>
        <v/>
      </c>
      <c r="E26" s="16" t="inlineStr">
        <is>
          <t>FR</t>
        </is>
      </c>
      <c r="F26" s="17" t="n"/>
      <c r="G26" s="18">
        <f>IF(OR(D26="",'2 Import devis'!$G17=""),"",'2 Import devis'!$G17)</f>
        <v/>
      </c>
      <c r="I26" s="12">
        <f>IF('2 Import devis'!$B17="",0,1)</f>
        <v/>
      </c>
    </row>
    <row r="27" hidden="1" ht="26" customHeight="1">
      <c r="A27" s="13" t="n"/>
      <c r="B27" s="13" t="n"/>
      <c r="C27" s="14">
        <f>IF('2 Import devis'!$B18="","",'2 Import devis'!$B18)</f>
        <v/>
      </c>
      <c r="D27" s="15">
        <f>IF(OR('2 Import devis'!$B18="",N('2 Import devis'!$C18)=0),"",'2 Import devis'!$C18)</f>
        <v/>
      </c>
      <c r="E27" s="16" t="inlineStr">
        <is>
          <t>FR</t>
        </is>
      </c>
      <c r="F27" s="17" t="n"/>
      <c r="G27" s="18">
        <f>IF(OR(D27="",'2 Import devis'!$G18=""),"",'2 Import devis'!$G18)</f>
        <v/>
      </c>
      <c r="I27" s="12">
        <f>IF('2 Import devis'!$B18="",0,1)</f>
        <v/>
      </c>
    </row>
    <row r="28" hidden="1" ht="26" customHeight="1">
      <c r="A28" s="13" t="n"/>
      <c r="B28" s="13" t="n"/>
      <c r="C28" s="14">
        <f>IF('2 Import devis'!$B19="","",'2 Import devis'!$B19)</f>
        <v/>
      </c>
      <c r="D28" s="15">
        <f>IF(OR('2 Import devis'!$B19="",N('2 Import devis'!$C19)=0),"",'2 Import devis'!$C19)</f>
        <v/>
      </c>
      <c r="E28" s="16" t="inlineStr">
        <is>
          <t>FR</t>
        </is>
      </c>
      <c r="F28" s="17" t="n"/>
      <c r="G28" s="18">
        <f>IF(OR(D28="",'2 Import devis'!$G19=""),"",'2 Import devis'!$G19)</f>
        <v/>
      </c>
      <c r="I28" s="12">
        <f>IF('2 Import devis'!$B19="",0,1)</f>
        <v/>
      </c>
    </row>
    <row r="29" hidden="1" ht="26" customHeight="1">
      <c r="A29" s="13" t="n"/>
      <c r="B29" s="13" t="n"/>
      <c r="C29" s="14">
        <f>IF('2 Import devis'!$B20="","",'2 Import devis'!$B20)</f>
        <v/>
      </c>
      <c r="D29" s="15">
        <f>IF(OR('2 Import devis'!$B20="",N('2 Import devis'!$C20)=0),"",'2 Import devis'!$C20)</f>
        <v/>
      </c>
      <c r="E29" s="16" t="inlineStr">
        <is>
          <t>FR</t>
        </is>
      </c>
      <c r="F29" s="17" t="n"/>
      <c r="G29" s="18">
        <f>IF(OR(D29="",'2 Import devis'!$G20=""),"",'2 Import devis'!$G20)</f>
        <v/>
      </c>
      <c r="I29" s="12">
        <f>IF('2 Import devis'!$B20="",0,1)</f>
        <v/>
      </c>
    </row>
    <row r="30" hidden="1" ht="26" customHeight="1">
      <c r="A30" s="13" t="n"/>
      <c r="B30" s="13" t="n"/>
      <c r="C30" s="14">
        <f>IF('2 Import devis'!$B21="","",'2 Import devis'!$B21)</f>
        <v/>
      </c>
      <c r="D30" s="15">
        <f>IF(OR('2 Import devis'!$B21="",N('2 Import devis'!$C21)=0),"",'2 Import devis'!$C21)</f>
        <v/>
      </c>
      <c r="E30" s="16" t="inlineStr">
        <is>
          <t>FR</t>
        </is>
      </c>
      <c r="F30" s="17" t="n"/>
      <c r="G30" s="18">
        <f>IF(OR(D30="",'2 Import devis'!$G21=""),"",'2 Import devis'!$G21)</f>
        <v/>
      </c>
      <c r="I30" s="12">
        <f>IF('2 Import devis'!$B21="",0,1)</f>
        <v/>
      </c>
    </row>
    <row r="31" hidden="1" ht="26" customHeight="1">
      <c r="A31" s="13" t="n"/>
      <c r="B31" s="13" t="n"/>
      <c r="C31" s="14">
        <f>IF('2 Import devis'!$B22="","",'2 Import devis'!$B22)</f>
        <v/>
      </c>
      <c r="D31" s="15">
        <f>IF(OR('2 Import devis'!$B22="",N('2 Import devis'!$C22)=0),"",'2 Import devis'!$C22)</f>
        <v/>
      </c>
      <c r="E31" s="16" t="inlineStr">
        <is>
          <t>FR</t>
        </is>
      </c>
      <c r="F31" s="17" t="n"/>
      <c r="G31" s="18">
        <f>IF(OR(D31="",'2 Import devis'!$G22=""),"",'2 Import devis'!$G22)</f>
        <v/>
      </c>
      <c r="I31" s="12">
        <f>IF('2 Import devis'!$B22="",0,1)</f>
        <v/>
      </c>
    </row>
    <row r="32" hidden="1" ht="26" customHeight="1">
      <c r="A32" s="13" t="n"/>
      <c r="B32" s="13" t="n"/>
      <c r="C32" s="14">
        <f>IF('2 Import devis'!$B23="","",'2 Import devis'!$B23)</f>
        <v/>
      </c>
      <c r="D32" s="15">
        <f>IF(OR('2 Import devis'!$B23="",N('2 Import devis'!$C23)=0),"",'2 Import devis'!$C23)</f>
        <v/>
      </c>
      <c r="E32" s="16" t="inlineStr">
        <is>
          <t>FR</t>
        </is>
      </c>
      <c r="F32" s="17" t="n"/>
      <c r="G32" s="18">
        <f>IF(OR(D32="",'2 Import devis'!$G23=""),"",'2 Import devis'!$G23)</f>
        <v/>
      </c>
      <c r="I32" s="12">
        <f>IF('2 Import devis'!$B23="",0,1)</f>
        <v/>
      </c>
    </row>
    <row r="33" hidden="1" ht="26" customHeight="1">
      <c r="A33" s="13" t="n"/>
      <c r="B33" s="13" t="n"/>
      <c r="C33" s="14">
        <f>IF('2 Import devis'!$B24="","",'2 Import devis'!$B24)</f>
        <v/>
      </c>
      <c r="D33" s="15">
        <f>IF(OR('2 Import devis'!$B24="",N('2 Import devis'!$C24)=0),"",'2 Import devis'!$C24)</f>
        <v/>
      </c>
      <c r="E33" s="16" t="inlineStr">
        <is>
          <t>FR</t>
        </is>
      </c>
      <c r="F33" s="17" t="n"/>
      <c r="G33" s="18">
        <f>IF(OR(D33="",'2 Import devis'!$G24=""),"",'2 Import devis'!$G24)</f>
        <v/>
      </c>
      <c r="I33" s="12">
        <f>IF('2 Import devis'!$B24="",0,1)</f>
        <v/>
      </c>
    </row>
    <row r="34" hidden="1" ht="26" customHeight="1">
      <c r="A34" s="13" t="n"/>
      <c r="B34" s="13" t="n"/>
      <c r="C34" s="14">
        <f>IF('2 Import devis'!$B25="","",'2 Import devis'!$B25)</f>
        <v/>
      </c>
      <c r="D34" s="15">
        <f>IF(OR('2 Import devis'!$B25="",N('2 Import devis'!$C25)=0),"",'2 Import devis'!$C25)</f>
        <v/>
      </c>
      <c r="E34" s="16" t="inlineStr">
        <is>
          <t>FR</t>
        </is>
      </c>
      <c r="F34" s="17" t="n"/>
      <c r="G34" s="18">
        <f>IF(OR(D34="",'2 Import devis'!$G25=""),"",'2 Import devis'!$G25)</f>
        <v/>
      </c>
      <c r="I34" s="12">
        <f>IF('2 Import devis'!$B25="",0,1)</f>
        <v/>
      </c>
    </row>
    <row r="35" hidden="1" ht="26" customHeight="1">
      <c r="A35" s="13" t="n"/>
      <c r="B35" s="13" t="n"/>
      <c r="C35" s="14">
        <f>IF('2 Import devis'!$B26="","",'2 Import devis'!$B26)</f>
        <v/>
      </c>
      <c r="D35" s="15">
        <f>IF(OR('2 Import devis'!$B26="",N('2 Import devis'!$C26)=0),"",'2 Import devis'!$C26)</f>
        <v/>
      </c>
      <c r="E35" s="16" t="inlineStr">
        <is>
          <t>FR</t>
        </is>
      </c>
      <c r="F35" s="17" t="n"/>
      <c r="G35" s="18">
        <f>IF(OR(D35="",'2 Import devis'!$G26=""),"",'2 Import devis'!$G26)</f>
        <v/>
      </c>
      <c r="I35" s="12">
        <f>IF('2 Import devis'!$B26="",0,1)</f>
        <v/>
      </c>
    </row>
    <row r="36" hidden="1" ht="26" customHeight="1">
      <c r="A36" s="13" t="n"/>
      <c r="B36" s="13" t="n"/>
      <c r="C36" s="14">
        <f>IF('2 Import devis'!$B27="","",'2 Import devis'!$B27)</f>
        <v/>
      </c>
      <c r="D36" s="15">
        <f>IF(OR('2 Import devis'!$B27="",N('2 Import devis'!$C27)=0),"",'2 Import devis'!$C27)</f>
        <v/>
      </c>
      <c r="E36" s="16" t="inlineStr">
        <is>
          <t>FR</t>
        </is>
      </c>
      <c r="F36" s="17" t="n"/>
      <c r="G36" s="18">
        <f>IF(OR(D36="",'2 Import devis'!$G27=""),"",'2 Import devis'!$G27)</f>
        <v/>
      </c>
      <c r="I36" s="12">
        <f>IF('2 Import devis'!$B27="",0,1)</f>
        <v/>
      </c>
    </row>
    <row r="37" hidden="1" ht="26" customHeight="1">
      <c r="A37" s="13" t="n"/>
      <c r="B37" s="13" t="n"/>
      <c r="C37" s="14">
        <f>IF('2 Import devis'!$B28="","",'2 Import devis'!$B28)</f>
        <v/>
      </c>
      <c r="D37" s="15">
        <f>IF(OR('2 Import devis'!$B28="",N('2 Import devis'!$C28)=0),"",'2 Import devis'!$C28)</f>
        <v/>
      </c>
      <c r="E37" s="16" t="inlineStr">
        <is>
          <t>FR</t>
        </is>
      </c>
      <c r="F37" s="17" t="n"/>
      <c r="G37" s="18">
        <f>IF(OR(D37="",'2 Import devis'!$G28=""),"",'2 Import devis'!$G28)</f>
        <v/>
      </c>
      <c r="I37" s="12">
        <f>IF('2 Import devis'!$B28="",0,1)</f>
        <v/>
      </c>
    </row>
    <row r="38" hidden="1" ht="26" customHeight="1">
      <c r="A38" s="13" t="n"/>
      <c r="B38" s="13" t="n"/>
      <c r="C38" s="14">
        <f>IF('2 Import devis'!$B29="","",'2 Import devis'!$B29)</f>
        <v/>
      </c>
      <c r="D38" s="15">
        <f>IF(OR('2 Import devis'!$B29="",N('2 Import devis'!$C29)=0),"",'2 Import devis'!$C29)</f>
        <v/>
      </c>
      <c r="E38" s="16" t="inlineStr">
        <is>
          <t>FR</t>
        </is>
      </c>
      <c r="F38" s="17" t="n"/>
      <c r="G38" s="18">
        <f>IF(OR(D38="",'2 Import devis'!$G29=""),"",'2 Import devis'!$G29)</f>
        <v/>
      </c>
      <c r="I38" s="12">
        <f>IF('2 Import devis'!$B29="",0,1)</f>
        <v/>
      </c>
    </row>
    <row r="39" ht="24" customHeight="1">
      <c r="A39" s="19" t="inlineStr">
        <is>
          <t>TOTAL</t>
        </is>
      </c>
      <c r="B39" s="20" t="n"/>
      <c r="C39" s="20" t="n"/>
      <c r="D39" s="21">
        <f>SUM(D15:D38)</f>
        <v/>
      </c>
      <c r="E39" s="21" t="n"/>
      <c r="F39" s="22">
        <f>SUMPRODUCT(IF(ISNUMBER(D15:D38),D15:D38,0)*IF(ISNUMBER(F15:F38),F15:F38,0))</f>
        <v/>
      </c>
      <c r="G39" s="23">
        <f>SUMPRODUCT(IF(ISNUMBER(D15:D38),D15:D38,0)*IF(ISNUMBER(G15:G38),G15:G38,0))</f>
        <v/>
      </c>
    </row>
    <row r="40" ht="18" customHeight="1"/>
    <row r="41" ht="18" customHeight="1"/>
    <row r="42" ht="22" customHeight="1">
      <c r="A42" s="24" t="inlineStr">
        <is>
          <t>COLISAGE · PACKING (ensemble des articles)</t>
        </is>
      </c>
      <c r="B42" s="1" t="n"/>
      <c r="C42" s="1" t="n"/>
      <c r="D42" s="1" t="n"/>
      <c r="E42" s="1" t="n"/>
      <c r="F42" s="1" t="n"/>
      <c r="G42" s="1" t="n"/>
    </row>
    <row r="43" ht="30" customHeight="1">
      <c r="A43" s="11" t="inlineStr">
        <is>
          <t>Colis · Package</t>
        </is>
      </c>
      <c r="B43" s="11" t="inlineStr">
        <is>
          <t>Type de colisage · Type</t>
        </is>
      </c>
      <c r="C43" s="11" t="inlineStr">
        <is>
          <t>Dimensions L × l × h (cm)</t>
        </is>
      </c>
      <c r="F43" s="11" t="inlineStr">
        <is>
          <t>Poids brut
kg</t>
        </is>
      </c>
      <c r="G43" s="11" t="inlineStr">
        <is>
          <t>Volume
m³</t>
        </is>
      </c>
    </row>
    <row r="44" ht="26" customHeight="1">
      <c r="A44" s="25" t="inlineStr">
        <is>
          <t>Colis 1</t>
        </is>
      </c>
      <c r="B44" s="26" t="inlineStr">
        <is>
          <t>Fishing basket</t>
        </is>
      </c>
      <c r="C44" s="26" t="inlineStr">
        <is>
          <t>120 × 80 × 60</t>
        </is>
      </c>
      <c r="D44" s="27" t="n"/>
      <c r="E44" s="27" t="n"/>
      <c r="F44" s="28" t="n">
        <v>145</v>
      </c>
      <c r="G44" s="29" t="n">
        <v>0.576</v>
      </c>
    </row>
    <row r="45" ht="26" customHeight="1">
      <c r="A45" s="25" t="inlineStr">
        <is>
          <t>Colis 2</t>
        </is>
      </c>
      <c r="B45" s="26" t="n"/>
      <c r="C45" s="26" t="n"/>
      <c r="D45" s="27" t="n"/>
      <c r="E45" s="27" t="n"/>
      <c r="F45" s="28" t="n"/>
      <c r="G45" s="29" t="n"/>
    </row>
    <row r="46" ht="26" customHeight="1">
      <c r="A46" s="25" t="inlineStr">
        <is>
          <t>Colis 3</t>
        </is>
      </c>
      <c r="B46" s="26" t="n"/>
      <c r="C46" s="26" t="n"/>
      <c r="D46" s="27" t="n"/>
      <c r="E46" s="27" t="n"/>
      <c r="F46" s="28" t="n"/>
      <c r="G46" s="29" t="n"/>
    </row>
    <row r="47" ht="22" customHeight="1">
      <c r="A47" s="30">
        <f>"TOTAL  ·  "&amp;COUNTA(B44:B46)&amp;" colis"</f>
        <v/>
      </c>
      <c r="B47" s="24" t="n"/>
      <c r="C47" s="24" t="n"/>
      <c r="D47" s="24" t="n"/>
      <c r="E47" s="24" t="n"/>
      <c r="F47" s="31">
        <f>SUM(F44:F46)</f>
        <v/>
      </c>
      <c r="G47" s="32">
        <f>SUM(G44:G46)</f>
        <v/>
      </c>
    </row>
    <row r="49" ht="26" customHeight="1">
      <c r="A49" s="33" t="inlineStr">
        <is>
          <t>Marchandises reçues en bon état, à retourner à Enedril à la fin de la location · Goods received in good condition, to be returned to Enedril at the end of the rental</t>
        </is>
      </c>
    </row>
    <row r="50" ht="17" customHeight="1">
      <c r="A50" s="34" t="inlineStr">
        <is>
          <t>EXPÉDITEUR · ENEDRIL
Nom, date, signature</t>
        </is>
      </c>
      <c r="B50" s="35" t="n"/>
      <c r="C50" s="36" t="inlineStr">
        <is>
          <t>TRANSPORTEUR
Nom, date, signature</t>
        </is>
      </c>
      <c r="D50" s="34" t="inlineStr">
        <is>
          <t>RÉCEPTION CLIENT · RECEIVED BY
Nom, date, signature, cachet</t>
        </is>
      </c>
      <c r="E50" s="37" t="n"/>
      <c r="F50" s="37" t="n"/>
      <c r="G50" s="35" t="n"/>
    </row>
    <row r="51" ht="17" customHeight="1">
      <c r="A51" s="38" t="n"/>
      <c r="B51" s="39" t="n"/>
      <c r="C51" s="40" t="n"/>
      <c r="D51" s="38" t="n"/>
      <c r="E51" s="41" t="n"/>
      <c r="F51" s="41" t="n"/>
      <c r="G51" s="39" t="n"/>
    </row>
    <row r="52" ht="17" customHeight="1">
      <c r="A52" s="38" t="n"/>
      <c r="B52" s="39" t="n"/>
      <c r="C52" s="40" t="n"/>
      <c r="D52" s="38" t="n"/>
      <c r="E52" s="41" t="n"/>
      <c r="F52" s="41" t="n"/>
      <c r="G52" s="39" t="n"/>
    </row>
    <row r="53" ht="17" customHeight="1">
      <c r="A53" s="42" t="n"/>
      <c r="B53" s="43" t="n"/>
      <c r="C53" s="44" t="n"/>
      <c r="D53" s="42" t="n"/>
      <c r="E53" s="45" t="n"/>
      <c r="F53" s="45" t="n"/>
      <c r="G53" s="43" t="n"/>
    </row>
  </sheetData>
  <autoFilter ref="A14:I38">
    <filterColumn colId="0" hiddenButton="1" showButton="0"/>
    <filterColumn colId="1" hiddenButton="1" showButton="0"/>
    <filterColumn colId="2" hiddenButton="1" showButton="0"/>
    <filterColumn colId="3" hiddenButton="1" showButton="0"/>
    <filterColumn colId="4" hiddenButton="1" showButton="0"/>
    <filterColumn colId="5" hiddenButton="1" showButton="0"/>
    <filterColumn colId="6" hiddenButton="1" showButton="0"/>
    <filterColumn colId="7" hiddenButton="1" showButton="0"/>
    <filterColumn colId="8" hiddenButton="1" showButton="0">
      <customFilters>
        <customFilter val="0" operator="greaterThan"/>
      </customFilters>
    </filterColumn>
  </autoFilter>
  <mergeCells count="31">
    <mergeCell ref="D50:G53"/>
    <mergeCell ref="D9:G9"/>
    <mergeCell ref="C44:E44"/>
    <mergeCell ref="A50:B53"/>
    <mergeCell ref="D12:G12"/>
    <mergeCell ref="D8:G8"/>
    <mergeCell ref="A4:G4"/>
    <mergeCell ref="A12:C12"/>
    <mergeCell ref="D5:G5"/>
    <mergeCell ref="C43:E43"/>
    <mergeCell ref="A6:B6"/>
    <mergeCell ref="C46:E46"/>
    <mergeCell ref="A13:G13"/>
    <mergeCell ref="A7:B7"/>
    <mergeCell ref="C1:G1"/>
    <mergeCell ref="C50:C53"/>
    <mergeCell ref="D10:G10"/>
    <mergeCell ref="A49:G49"/>
    <mergeCell ref="C2:G2"/>
    <mergeCell ref="D6:G6"/>
    <mergeCell ref="A5:B5"/>
    <mergeCell ref="A47:E47"/>
    <mergeCell ref="D11:G11"/>
    <mergeCell ref="A39:C39"/>
    <mergeCell ref="A8:B8"/>
    <mergeCell ref="A11:C11"/>
    <mergeCell ref="C45:E45"/>
    <mergeCell ref="A10:B10"/>
    <mergeCell ref="D7:G7"/>
    <mergeCell ref="A9:B9"/>
    <mergeCell ref="A42:G42"/>
  </mergeCells>
  <conditionalFormatting sqref="E15:E38">
    <cfRule type="expression" priority="1" dxfId="0" stopIfTrue="1">
      <formula>AND($I15=1,$D15="")</formula>
    </cfRule>
  </conditionalFormatting>
  <conditionalFormatting sqref="A15:G38">
    <cfRule type="expression" priority="2" dxfId="1" stopIfTrue="1">
      <formula>AND($I15=1,$D15="")</formula>
    </cfRule>
  </conditionalFormatting>
  <dataValidations count="1">
    <dataValidation sqref="B44:B46" showDropDown="0" showInputMessage="0" showErrorMessage="0" allowBlank="1" type="list">
      <formula1>=Listes!$A$2:$A$6</formula1>
    </dataValidation>
  </dataValidations>
  <pageMargins left="0.4" right="0.4" top="0.4" bottom="0.5" header="0.5" footer="0.5"/>
  <pageSetup orientation="portrait" paperSize="9" fitToHeight="0" fitToWidth="1"/>
  <headerFooter>
    <oddHeader/>
    <oddFooter>&amp;C&amp;8 Enedril · Bon de livraison &amp;P / &amp;N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0AEEF"/>
    <outlinePr summaryBelow="1" summaryRight="1"/>
    <pageSetUpPr fitToPage="1"/>
  </sheetPr>
  <dimension ref="A1:I3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0" customWidth="1" min="2" max="2"/>
    <col width="7" customWidth="1" min="3" max="3"/>
    <col width="10" customWidth="1" min="4" max="4"/>
    <col width="10" customWidth="1" min="5" max="5"/>
    <col width="10" customWidth="1" min="6" max="6"/>
    <col width="12" customWidth="1" min="7" max="7"/>
    <col width="10" customWidth="1" min="8" max="8"/>
    <col width="10" customWidth="1" min="9" max="9"/>
  </cols>
  <sheetData>
    <row r="1" ht="30" customHeight="1">
      <c r="A1" s="1" t="n"/>
      <c r="B1" s="46" t="inlineStr">
        <is>
          <t>IMPORT DU DEVIS</t>
        </is>
      </c>
      <c r="C1" s="1" t="n"/>
      <c r="D1" s="1" t="n"/>
      <c r="E1" s="1" t="n"/>
      <c r="F1" s="1" t="n"/>
      <c r="G1" s="1" t="n"/>
      <c r="H1" s="1" t="n"/>
      <c r="I1" s="1" t="n"/>
    </row>
    <row r="2" ht="20" customHeight="1">
      <c r="A2" s="1" t="n"/>
      <c r="B2" s="47" t="inlineStr">
        <is>
          <t>Dans le classeur Devis, onglet « 2 Matériel » : copier les colonnes C à J (lignes 6 à 29) et les coller ici en B6. Seuls la description, la quantité et la valeur de remplacement passent sur le BL.</t>
        </is>
      </c>
      <c r="C2" s="1" t="n"/>
      <c r="D2" s="1" t="n"/>
      <c r="E2" s="1" t="n"/>
      <c r="F2" s="1" t="n"/>
      <c r="G2" s="1" t="n"/>
      <c r="H2" s="1" t="n"/>
      <c r="I2" s="1" t="n"/>
    </row>
    <row r="3" ht="5" customHeight="1">
      <c r="A3" s="4" t="n"/>
      <c r="B3" s="4" t="n"/>
      <c r="C3" s="4" t="n"/>
      <c r="D3" s="4" t="n"/>
      <c r="E3" s="4" t="n"/>
      <c r="F3" s="4" t="n"/>
      <c r="G3" s="4" t="n"/>
      <c r="H3" s="4" t="n"/>
      <c r="I3" s="4" t="n"/>
    </row>
    <row r="5" ht="32" customHeight="1">
      <c r="B5" s="48" t="inlineStr">
        <is>
          <t>Description</t>
        </is>
      </c>
      <c r="C5" s="48" t="inlineStr">
        <is>
          <t>Qté</t>
        </is>
      </c>
      <c r="D5" s="49" t="inlineStr">
        <is>
          <t>Stand-by</t>
        </is>
      </c>
      <c r="E5" s="49" t="inlineStr">
        <is>
          <t>Opér.</t>
        </is>
      </c>
      <c r="F5" s="49" t="inlineStr">
        <is>
          <t>UC</t>
        </is>
      </c>
      <c r="G5" s="48" t="inlineStr">
        <is>
          <t>Valeur remplac.
(LIH / DBR)</t>
        </is>
      </c>
      <c r="H5" s="49" t="inlineStr">
        <is>
          <t>Inspection</t>
        </is>
      </c>
      <c r="I5" s="49" t="inlineStr">
        <is>
          <t>Restocking</t>
        </is>
      </c>
    </row>
    <row r="6">
      <c r="B6" s="50" t="inlineStr">
        <is>
          <t>BHA #1</t>
        </is>
      </c>
      <c r="C6" s="51" t="n"/>
      <c r="D6" s="52" t="n"/>
      <c r="E6" s="52" t="n"/>
      <c r="F6" s="52" t="n"/>
      <c r="G6" s="52" t="n"/>
      <c r="H6" s="52" t="n"/>
      <c r="I6" s="52" t="n"/>
    </row>
    <row r="7">
      <c r="B7" s="50" t="inlineStr">
        <is>
          <t>Stab 5-7/8 OD, 2-1/4" ID - 3-1/2" IF Pin x Box</t>
        </is>
      </c>
      <c r="C7" s="51" t="n">
        <v>1</v>
      </c>
      <c r="D7" s="52" t="n">
        <v>85</v>
      </c>
      <c r="E7" s="52" t="n">
        <v>120</v>
      </c>
      <c r="F7" s="52" t="n">
        <v>40</v>
      </c>
      <c r="G7" s="52" t="n">
        <v>4200</v>
      </c>
      <c r="H7" s="52" t="n">
        <v>150</v>
      </c>
      <c r="I7" s="52" t="n">
        <v>600</v>
      </c>
    </row>
    <row r="8">
      <c r="B8" s="50" t="inlineStr">
        <is>
          <t>XO 3-1/2" IF Pin x 2-7/8" EU Box</t>
        </is>
      </c>
      <c r="C8" s="51" t="n">
        <v>2</v>
      </c>
      <c r="D8" s="52" t="n">
        <v>20</v>
      </c>
      <c r="E8" s="52" t="n">
        <v>30</v>
      </c>
      <c r="F8" s="52" t="n">
        <v>10</v>
      </c>
      <c r="G8" s="52" t="n">
        <v>900</v>
      </c>
      <c r="H8" s="52" t="n">
        <v>60</v>
      </c>
      <c r="I8" s="52" t="n">
        <v>150</v>
      </c>
    </row>
    <row r="9">
      <c r="B9" s="50" t="inlineStr">
        <is>
          <t>XO 3-1/2" IF Box x 2-7/8" EU Pin</t>
        </is>
      </c>
      <c r="C9" s="51" t="n">
        <v>1</v>
      </c>
      <c r="D9" s="52" t="n">
        <v>20</v>
      </c>
      <c r="E9" s="52" t="n">
        <v>30</v>
      </c>
      <c r="F9" s="52" t="n">
        <v>10</v>
      </c>
      <c r="G9" s="52" t="n">
        <v>900</v>
      </c>
      <c r="H9" s="52" t="n">
        <v>60</v>
      </c>
      <c r="I9" s="52" t="n">
        <v>150</v>
      </c>
    </row>
    <row r="10">
      <c r="B10" s="50" t="n"/>
      <c r="C10" s="51" t="n"/>
      <c r="D10" s="52" t="n"/>
      <c r="E10" s="52" t="n"/>
      <c r="F10" s="52" t="n"/>
      <c r="G10" s="52" t="n"/>
      <c r="H10" s="52" t="n"/>
      <c r="I10" s="52" t="n"/>
    </row>
    <row r="11">
      <c r="B11" s="50" t="n"/>
      <c r="C11" s="51" t="n"/>
      <c r="D11" s="52" t="n"/>
      <c r="E11" s="52" t="n"/>
      <c r="F11" s="52" t="n"/>
      <c r="G11" s="52" t="n"/>
      <c r="H11" s="52" t="n"/>
      <c r="I11" s="52" t="n"/>
    </row>
    <row r="12">
      <c r="B12" s="50" t="n"/>
      <c r="C12" s="51" t="n"/>
      <c r="D12" s="52" t="n"/>
      <c r="E12" s="52" t="n"/>
      <c r="F12" s="52" t="n"/>
      <c r="G12" s="52" t="n"/>
      <c r="H12" s="52" t="n"/>
      <c r="I12" s="52" t="n"/>
    </row>
    <row r="13">
      <c r="B13" s="50" t="n"/>
      <c r="C13" s="51" t="n"/>
      <c r="D13" s="52" t="n"/>
      <c r="E13" s="52" t="n"/>
      <c r="F13" s="52" t="n"/>
      <c r="G13" s="52" t="n"/>
      <c r="H13" s="52" t="n"/>
      <c r="I13" s="52" t="n"/>
    </row>
    <row r="14">
      <c r="B14" s="50" t="n"/>
      <c r="C14" s="51" t="n"/>
      <c r="D14" s="52" t="n"/>
      <c r="E14" s="52" t="n"/>
      <c r="F14" s="52" t="n"/>
      <c r="G14" s="52" t="n"/>
      <c r="H14" s="52" t="n"/>
      <c r="I14" s="52" t="n"/>
    </row>
    <row r="15">
      <c r="B15" s="50" t="n"/>
      <c r="C15" s="51" t="n"/>
      <c r="D15" s="52" t="n"/>
      <c r="E15" s="52" t="n"/>
      <c r="F15" s="52" t="n"/>
      <c r="G15" s="52" t="n"/>
      <c r="H15" s="52" t="n"/>
      <c r="I15" s="52" t="n"/>
    </row>
    <row r="16">
      <c r="B16" s="50" t="n"/>
      <c r="C16" s="51" t="n"/>
      <c r="D16" s="52" t="n"/>
      <c r="E16" s="52" t="n"/>
      <c r="F16" s="52" t="n"/>
      <c r="G16" s="52" t="n"/>
      <c r="H16" s="52" t="n"/>
      <c r="I16" s="52" t="n"/>
    </row>
    <row r="17">
      <c r="B17" s="50" t="n"/>
      <c r="C17" s="51" t="n"/>
      <c r="D17" s="52" t="n"/>
      <c r="E17" s="52" t="n"/>
      <c r="F17" s="52" t="n"/>
      <c r="G17" s="52" t="n"/>
      <c r="H17" s="52" t="n"/>
      <c r="I17" s="52" t="n"/>
    </row>
    <row r="18">
      <c r="B18" s="50" t="n"/>
      <c r="C18" s="51" t="n"/>
      <c r="D18" s="52" t="n"/>
      <c r="E18" s="52" t="n"/>
      <c r="F18" s="52" t="n"/>
      <c r="G18" s="52" t="n"/>
      <c r="H18" s="52" t="n"/>
      <c r="I18" s="52" t="n"/>
    </row>
    <row r="19">
      <c r="B19" s="50" t="n"/>
      <c r="C19" s="51" t="n"/>
      <c r="D19" s="52" t="n"/>
      <c r="E19" s="52" t="n"/>
      <c r="F19" s="52" t="n"/>
      <c r="G19" s="52" t="n"/>
      <c r="H19" s="52" t="n"/>
      <c r="I19" s="52" t="n"/>
    </row>
    <row r="20">
      <c r="B20" s="50" t="n"/>
      <c r="C20" s="51" t="n"/>
      <c r="D20" s="52" t="n"/>
      <c r="E20" s="52" t="n"/>
      <c r="F20" s="52" t="n"/>
      <c r="G20" s="52" t="n"/>
      <c r="H20" s="52" t="n"/>
      <c r="I20" s="52" t="n"/>
    </row>
    <row r="21">
      <c r="B21" s="50" t="n"/>
      <c r="C21" s="51" t="n"/>
      <c r="D21" s="52" t="n"/>
      <c r="E21" s="52" t="n"/>
      <c r="F21" s="52" t="n"/>
      <c r="G21" s="52" t="n"/>
      <c r="H21" s="52" t="n"/>
      <c r="I21" s="52" t="n"/>
    </row>
    <row r="22">
      <c r="B22" s="50" t="n"/>
      <c r="C22" s="51" t="n"/>
      <c r="D22" s="52" t="n"/>
      <c r="E22" s="52" t="n"/>
      <c r="F22" s="52" t="n"/>
      <c r="G22" s="52" t="n"/>
      <c r="H22" s="52" t="n"/>
      <c r="I22" s="52" t="n"/>
    </row>
    <row r="23">
      <c r="B23" s="50" t="n"/>
      <c r="C23" s="51" t="n"/>
      <c r="D23" s="52" t="n"/>
      <c r="E23" s="52" t="n"/>
      <c r="F23" s="52" t="n"/>
      <c r="G23" s="52" t="n"/>
      <c r="H23" s="52" t="n"/>
      <c r="I23" s="52" t="n"/>
    </row>
    <row r="24">
      <c r="B24" s="50" t="n"/>
      <c r="C24" s="51" t="n"/>
      <c r="D24" s="52" t="n"/>
      <c r="E24" s="52" t="n"/>
      <c r="F24" s="52" t="n"/>
      <c r="G24" s="52" t="n"/>
      <c r="H24" s="52" t="n"/>
      <c r="I24" s="52" t="n"/>
    </row>
    <row r="25">
      <c r="B25" s="50" t="n"/>
      <c r="C25" s="51" t="n"/>
      <c r="D25" s="52" t="n"/>
      <c r="E25" s="52" t="n"/>
      <c r="F25" s="52" t="n"/>
      <c r="G25" s="52" t="n"/>
      <c r="H25" s="52" t="n"/>
      <c r="I25" s="52" t="n"/>
    </row>
    <row r="26">
      <c r="B26" s="50" t="n"/>
      <c r="C26" s="51" t="n"/>
      <c r="D26" s="52" t="n"/>
      <c r="E26" s="52" t="n"/>
      <c r="F26" s="52" t="n"/>
      <c r="G26" s="52" t="n"/>
      <c r="H26" s="52" t="n"/>
      <c r="I26" s="52" t="n"/>
    </row>
    <row r="27">
      <c r="B27" s="50" t="n"/>
      <c r="C27" s="51" t="n"/>
      <c r="D27" s="52" t="n"/>
      <c r="E27" s="52" t="n"/>
      <c r="F27" s="52" t="n"/>
      <c r="G27" s="52" t="n"/>
      <c r="H27" s="52" t="n"/>
      <c r="I27" s="52" t="n"/>
    </row>
    <row r="28">
      <c r="B28" s="50" t="n"/>
      <c r="C28" s="51" t="n"/>
      <c r="D28" s="52" t="n"/>
      <c r="E28" s="52" t="n"/>
      <c r="F28" s="52" t="n"/>
      <c r="G28" s="52" t="n"/>
      <c r="H28" s="52" t="n"/>
      <c r="I28" s="52" t="n"/>
    </row>
    <row r="29">
      <c r="B29" s="50" t="n"/>
      <c r="C29" s="51" t="n"/>
      <c r="D29" s="52" t="n"/>
      <c r="E29" s="52" t="n"/>
      <c r="F29" s="52" t="n"/>
      <c r="G29" s="52" t="n"/>
      <c r="H29" s="52" t="n"/>
      <c r="I29" s="52" t="n"/>
    </row>
    <row r="31">
      <c r="B31" s="53" t="inlineStr">
        <is>
          <t>Colonnes grises : tarifs, non repris sur le BL (le BL peut être envoyé au transporteur et au client sans les prix de location).</t>
        </is>
      </c>
    </row>
  </sheetData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tabColor rgb="009FB6CE"/>
    <outlinePr summaryBelow="1" summaryRight="1"/>
    <pageSetUpPr fitToPage="1"/>
  </sheetPr>
  <dimension ref="A1:A5"/>
  <sheetViews>
    <sheetView showGridLines="0" workbookViewId="0">
      <selection activeCell="A1" sqref="A1"/>
    </sheetView>
  </sheetViews>
  <sheetFormatPr baseColWidth="8" defaultRowHeight="15"/>
  <cols>
    <col width="24" customWidth="1" min="1" max="1"/>
  </cols>
  <sheetData>
    <row r="1">
      <c r="A1" s="54" t="inlineStr">
        <is>
          <t>Type de colisage</t>
        </is>
      </c>
    </row>
    <row r="2">
      <c r="A2" t="inlineStr">
        <is>
          <t>Palette</t>
        </is>
      </c>
    </row>
    <row r="3">
      <c r="A3" t="inlineStr">
        <is>
          <t>Fishing basket</t>
        </is>
      </c>
    </row>
    <row r="4">
      <c r="A4" t="inlineStr">
        <is>
          <t>Caisse</t>
        </is>
      </c>
    </row>
    <row r="5">
      <c r="A5" t="inlineStr">
        <is>
          <t>Vrac</t>
        </is>
      </c>
    </row>
  </sheetData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2026-10-28T16:10:27Z</dcterms:created>
  <dcterms:modified xmlns:dcterms="http://purl.org/dc/terms/" xmlns:xsi="http://www.w3.org/2001/XMLSchema-instance" xsi:type="dcterms:W3CDTF">2026-10-28T16:10:27Z</dcterms:modified>
</cp:coreProperties>
</file>