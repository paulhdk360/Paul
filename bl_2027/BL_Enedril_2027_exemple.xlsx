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3 Catalogue outils" sheetId="3" state="visible" r:id="rId3"/>
    <sheet xmlns:r="http://schemas.openxmlformats.org/officeDocument/2006/relationships" name="Listes" sheetId="4" state="visible" r:id="rId4"/>
  </sheet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23" fillId="2" borderId="0" applyAlignment="1" pivotButton="0" quotePrefix="0" xfId="0">
      <alignment vertical="center"/>
    </xf>
    <xf numFmtId="0" fontId="0" fillId="8" borderId="0" pivotButton="0" quotePrefix="0" xfId="0"/>
    <xf numFmtId="0" fontId="18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O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0" customWidth="1" min="14" max="14"/>
    <col width="10" customWidth="1" min="15" max="15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inlineStr">
        <is>
          <t>BL-26-0123</t>
        </is>
      </c>
      <c r="B6" s="8" t="n"/>
      <c r="C6" s="9" t="n">
        <v>46335</v>
      </c>
      <c r="D6" s="7" t="inlineStr">
        <is>
          <t>26-82-FR</t>
        </is>
      </c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inlineStr">
        <is>
          <t>Geopetrol</t>
        </is>
      </c>
      <c r="B8" s="8" t="n"/>
      <c r="C8" s="7" t="inlineStr">
        <is>
          <t>Puits Lacq-12 · CLU108</t>
        </is>
      </c>
      <c r="D8" s="7" t="inlineStr">
        <is>
          <t>PO-4500123</t>
        </is>
      </c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inlineStr">
        <is>
          <t>Transports Durand</t>
        </is>
      </c>
      <c r="B10" s="8" t="n"/>
      <c r="C10" s="7" t="inlineStr">
        <is>
          <t>TPO-778</t>
        </is>
      </c>
      <c r="D10" s="7" t="inlineStr">
        <is>
          <t>48 h après chargement</t>
        </is>
      </c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inlineStr">
        <is>
          <t>Geopetrol · Base de Lacq · 64170 Lacq</t>
        </is>
      </c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Réf
Ref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Code SH</t>
        </is>
      </c>
      <c r="N14" s="14" t="inlineStr">
        <is>
          <t>OD</t>
        </is>
      </c>
      <c r="O14" s="14" t="inlineStr">
        <is>
          <t>Lg</t>
        </is>
      </c>
    </row>
    <row r="15" ht="26" customHeight="1">
      <c r="A15" s="15">
        <f>IF(L15&gt;0,INDEX('3 Catalogue outils'!$B$6:$B$5005,L15),"")</f>
        <v/>
      </c>
      <c r="B15" s="15" t="n"/>
      <c r="C15" s="16">
        <f>IF(J15=0,"",IF(K15=1,UPPER(INDEX('2 Import devis'!$B$6:$B$29,J15)),IF(L15&gt;0,INDEX('3 Catalogue outils'!$C$6:$C$5005,L15),INDEX('2 Import devis'!$B$6:$B$29,J15))))</f>
        <v/>
      </c>
      <c r="D15" s="17">
        <f>IF(OR(J15=0,K15=1),"",1)</f>
        <v/>
      </c>
      <c r="E15" s="17">
        <f>IF(K15=1,"",IF(L15&gt;0,IF(INDEX('3 Catalogue outils'!$D$6:$D$5005,L15)="","FR",INDEX('3 Catalogue outils'!$D$6:$D$5005,L15)),"FR"))</f>
        <v/>
      </c>
      <c r="F15" s="18">
        <f>IF(L15&gt;0,IF(INDEX('3 Catalogue outils'!$F$6:$F$5005,L15)="","",INDEX('3 Catalogue outils'!$F$6:$F$5005,L15)),"")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IF(OR(J15=0,K15=1,B15=""),0,IFERROR(MATCH(B15,'3 Catalogue outils'!$A$6:$A$5005,0),0))</f>
        <v/>
      </c>
      <c r="M15" s="20">
        <f>IF(L15&gt;0,IF(INDEX('3 Catalogue outils'!$E$6:$E$5005,L15)="","",INDEX('3 Catalogue outils'!$E$6:$E$5005,L15)),"")</f>
        <v/>
      </c>
      <c r="N15" s="20">
        <f>IF(L15&gt;0,IF(INDEX('3 Catalogue outils'!$G$6:$G$5005,L15)="","",INDEX('3 Catalogue outils'!$G$6:$G$5005,L15)),"")</f>
        <v/>
      </c>
      <c r="O15" s="20">
        <f>IF(L15&gt;0,IF(INDEX('3 Catalogue outils'!$H$6:$H$5005,L15)="","",INDEX('3 Catalogue outils'!$H$6:$H$5005,L15)),"")</f>
        <v/>
      </c>
    </row>
    <row r="16" ht="26" customHeight="1">
      <c r="A16" s="15">
        <f>IF(L16&gt;0,INDEX('3 Catalogue outils'!$B$6:$B$5005,L16),"")</f>
        <v/>
      </c>
      <c r="B16" s="15" t="inlineStr">
        <is>
          <t>SN-4471</t>
        </is>
      </c>
      <c r="C16" s="16">
        <f>IF(J16=0,"",IF(K16=1,UPPER(INDEX('2 Import devis'!$B$6:$B$29,J16)),IF(L16&gt;0,INDEX('3 Catalogue outils'!$C$6:$C$5005,L16),INDEX('2 Import devis'!$B$6:$B$29,J16))))</f>
        <v/>
      </c>
      <c r="D16" s="17">
        <f>IF(OR(J16=0,K16=1),"",1)</f>
        <v/>
      </c>
      <c r="E16" s="17">
        <f>IF(K16=1,"",IF(L16&gt;0,IF(INDEX('3 Catalogue outils'!$D$6:$D$5005,L16)="","FR",INDEX('3 Catalogue outils'!$D$6:$D$5005,L16)),"FR"))</f>
        <v/>
      </c>
      <c r="F16" s="18">
        <f>IF(L16&gt;0,IF(INDEX('3 Catalogue outils'!$F$6:$F$5005,L16)="","",INDEX('3 Catalogue outils'!$F$6:$F$5005,L16)),"")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IF(OR(J16=0,K16=1,B16=""),0,IFERROR(MATCH(B16,'3 Catalogue outils'!$A$6:$A$5005,0),0))</f>
        <v/>
      </c>
      <c r="M16" s="20">
        <f>IF(L16&gt;0,IF(INDEX('3 Catalogue outils'!$E$6:$E$5005,L16)="","",INDEX('3 Catalogue outils'!$E$6:$E$5005,L16)),"")</f>
        <v/>
      </c>
      <c r="N16" s="20">
        <f>IF(L16&gt;0,IF(INDEX('3 Catalogue outils'!$G$6:$G$5005,L16)="","",INDEX('3 Catalogue outils'!$G$6:$G$5005,L16)),"")</f>
        <v/>
      </c>
      <c r="O16" s="20">
        <f>IF(L16&gt;0,IF(INDEX('3 Catalogue outils'!$H$6:$H$5005,L16)="","",INDEX('3 Catalogue outils'!$H$6:$H$5005,L16)),"")</f>
        <v/>
      </c>
    </row>
    <row r="17" ht="26" customHeight="1">
      <c r="A17" s="15">
        <f>IF(L17&gt;0,INDEX('3 Catalogue outils'!$B$6:$B$5005,L17),"")</f>
        <v/>
      </c>
      <c r="B17" s="15" t="inlineStr">
        <is>
          <t>SN-1120</t>
        </is>
      </c>
      <c r="C17" s="16">
        <f>IF(J17=0,"",IF(K17=1,UPPER(INDEX('2 Import devis'!$B$6:$B$29,J17)),IF(L17&gt;0,INDEX('3 Catalogue outils'!$C$6:$C$5005,L17),INDEX('2 Import devis'!$B$6:$B$29,J17))))</f>
        <v/>
      </c>
      <c r="D17" s="17">
        <f>IF(OR(J17=0,K17=1),"",1)</f>
        <v/>
      </c>
      <c r="E17" s="17">
        <f>IF(K17=1,"",IF(L17&gt;0,IF(INDEX('3 Catalogue outils'!$D$6:$D$5005,L17)="","FR",INDEX('3 Catalogue outils'!$D$6:$D$5005,L17)),"FR"))</f>
        <v/>
      </c>
      <c r="F17" s="18">
        <f>IF(L17&gt;0,IF(INDEX('3 Catalogue outils'!$F$6:$F$5005,L17)="","",INDEX('3 Catalogue outils'!$F$6:$F$5005,L17)),"")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IF(OR(J17=0,K17=1,B17=""),0,IFERROR(MATCH(B17,'3 Catalogue outils'!$A$6:$A$5005,0),0))</f>
        <v/>
      </c>
      <c r="M17" s="20">
        <f>IF(L17&gt;0,IF(INDEX('3 Catalogue outils'!$E$6:$E$5005,L17)="","",INDEX('3 Catalogue outils'!$E$6:$E$5005,L17)),"")</f>
        <v/>
      </c>
      <c r="N17" s="20">
        <f>IF(L17&gt;0,IF(INDEX('3 Catalogue outils'!$G$6:$G$5005,L17)="","",INDEX('3 Catalogue outils'!$G$6:$G$5005,L17)),"")</f>
        <v/>
      </c>
      <c r="O17" s="20">
        <f>IF(L17&gt;0,IF(INDEX('3 Catalogue outils'!$H$6:$H$5005,L17)="","",INDEX('3 Catalogue outils'!$H$6:$H$5005,L17)),"")</f>
        <v/>
      </c>
    </row>
    <row r="18" ht="26" customHeight="1">
      <c r="A18" s="15">
        <f>IF(L18&gt;0,INDEX('3 Catalogue outils'!$B$6:$B$5005,L18),"")</f>
        <v/>
      </c>
      <c r="B18" s="15" t="inlineStr">
        <is>
          <t>SN-1121</t>
        </is>
      </c>
      <c r="C18" s="16">
        <f>IF(J18=0,"",IF(K18=1,UPPER(INDEX('2 Import devis'!$B$6:$B$29,J18)),IF(L18&gt;0,INDEX('3 Catalogue outils'!$C$6:$C$5005,L18),INDEX('2 Import devis'!$B$6:$B$29,J18))))</f>
        <v/>
      </c>
      <c r="D18" s="17">
        <f>IF(OR(J18=0,K18=1),"",1)</f>
        <v/>
      </c>
      <c r="E18" s="17">
        <f>IF(K18=1,"",IF(L18&gt;0,IF(INDEX('3 Catalogue outils'!$D$6:$D$5005,L18)="","FR",INDEX('3 Catalogue outils'!$D$6:$D$5005,L18)),"FR"))</f>
        <v/>
      </c>
      <c r="F18" s="18">
        <f>IF(L18&gt;0,IF(INDEX('3 Catalogue outils'!$F$6:$F$5005,L18)="","",INDEX('3 Catalogue outils'!$F$6:$F$5005,L18)),"")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IF(OR(J18=0,K18=1,B18=""),0,IFERROR(MATCH(B18,'3 Catalogue outils'!$A$6:$A$5005,0),0))</f>
        <v/>
      </c>
      <c r="M18" s="20">
        <f>IF(L18&gt;0,IF(INDEX('3 Catalogue outils'!$E$6:$E$5005,L18)="","",INDEX('3 Catalogue outils'!$E$6:$E$5005,L18)),"")</f>
        <v/>
      </c>
      <c r="N18" s="20">
        <f>IF(L18&gt;0,IF(INDEX('3 Catalogue outils'!$G$6:$G$5005,L18)="","",INDEX('3 Catalogue outils'!$G$6:$G$5005,L18)),"")</f>
        <v/>
      </c>
      <c r="O18" s="20">
        <f>IF(L18&gt;0,IF(INDEX('3 Catalogue outils'!$H$6:$H$5005,L18)="","",INDEX('3 Catalogue outils'!$H$6:$H$5005,L18)),"")</f>
        <v/>
      </c>
    </row>
    <row r="19" ht="26" customHeight="1">
      <c r="A19" s="15">
        <f>IF(L19&gt;0,INDEX('3 Catalogue outils'!$B$6:$B$5005,L19),"")</f>
        <v/>
      </c>
      <c r="B19" s="15" t="inlineStr">
        <is>
          <t>SN-1130</t>
        </is>
      </c>
      <c r="C19" s="16">
        <f>IF(J19=0,"",IF(K19=1,UPPER(INDEX('2 Import devis'!$B$6:$B$29,J19)),IF(L19&gt;0,INDEX('3 Catalogue outils'!$C$6:$C$5005,L19),INDEX('2 Import devis'!$B$6:$B$29,J19))))</f>
        <v/>
      </c>
      <c r="D19" s="17">
        <f>IF(OR(J19=0,K19=1),"",1)</f>
        <v/>
      </c>
      <c r="E19" s="17">
        <f>IF(K19=1,"",IF(L19&gt;0,IF(INDEX('3 Catalogue outils'!$D$6:$D$5005,L19)="","FR",INDEX('3 Catalogue outils'!$D$6:$D$5005,L19)),"FR"))</f>
        <v/>
      </c>
      <c r="F19" s="18">
        <f>IF(L19&gt;0,IF(INDEX('3 Catalogue outils'!$F$6:$F$5005,L19)="","",INDEX('3 Catalogue outils'!$F$6:$F$5005,L19)),"")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IF(OR(J19=0,K19=1,B19=""),0,IFERROR(MATCH(B19,'3 Catalogue outils'!$A$6:$A$5005,0),0))</f>
        <v/>
      </c>
      <c r="M19" s="20">
        <f>IF(L19&gt;0,IF(INDEX('3 Catalogue outils'!$E$6:$E$5005,L19)="","",INDEX('3 Catalogue outils'!$E$6:$E$5005,L19)),"")</f>
        <v/>
      </c>
      <c r="N19" s="20">
        <f>IF(L19&gt;0,IF(INDEX('3 Catalogue outils'!$G$6:$G$5005,L19)="","",INDEX('3 Catalogue outils'!$G$6:$G$5005,L19)),"")</f>
        <v/>
      </c>
      <c r="O19" s="20">
        <f>IF(L19&gt;0,IF(INDEX('3 Catalogue outils'!$H$6:$H$5005,L19)="","",INDEX('3 Catalogue outils'!$H$6:$H$5005,L19)),"")</f>
        <v/>
      </c>
    </row>
    <row r="20" hidden="1" ht="26" customHeight="1">
      <c r="A20" s="15">
        <f>IF(L20&gt;0,INDEX('3 Catalogue outils'!$B$6:$B$5005,L20),"")</f>
        <v/>
      </c>
      <c r="B20" s="15" t="n"/>
      <c r="C20" s="16">
        <f>IF(J20=0,"",IF(K20=1,UPPER(INDEX('2 Import devis'!$B$6:$B$29,J20)),IF(L20&gt;0,INDEX('3 Catalogue outils'!$C$6:$C$5005,L20),INDEX('2 Import devis'!$B$6:$B$29,J20))))</f>
        <v/>
      </c>
      <c r="D20" s="17">
        <f>IF(OR(J20=0,K20=1),"",1)</f>
        <v/>
      </c>
      <c r="E20" s="17">
        <f>IF(K20=1,"",IF(L20&gt;0,IF(INDEX('3 Catalogue outils'!$D$6:$D$5005,L20)="","FR",INDEX('3 Catalogue outils'!$D$6:$D$5005,L20)),"FR"))</f>
        <v/>
      </c>
      <c r="F20" s="18">
        <f>IF(L20&gt;0,IF(INDEX('3 Catalogue outils'!$F$6:$F$5005,L20)="","",INDEX('3 Catalogue outils'!$F$6:$F$5005,L20)),"")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IF(OR(J20=0,K20=1,B20=""),0,IFERROR(MATCH(B20,'3 Catalogue outils'!$A$6:$A$5005,0),0))</f>
        <v/>
      </c>
      <c r="M20" s="20">
        <f>IF(L20&gt;0,IF(INDEX('3 Catalogue outils'!$E$6:$E$5005,L20)="","",INDEX('3 Catalogue outils'!$E$6:$E$5005,L20)),"")</f>
        <v/>
      </c>
      <c r="N20" s="20">
        <f>IF(L20&gt;0,IF(INDEX('3 Catalogue outils'!$G$6:$G$5005,L20)="","",INDEX('3 Catalogue outils'!$G$6:$G$5005,L20)),"")</f>
        <v/>
      </c>
      <c r="O20" s="20">
        <f>IF(L20&gt;0,IF(INDEX('3 Catalogue outils'!$H$6:$H$5005,L20)="","",INDEX('3 Catalogue outils'!$H$6:$H$5005,L20)),"")</f>
        <v/>
      </c>
    </row>
    <row r="21" hidden="1" ht="26" customHeight="1">
      <c r="A21" s="15">
        <f>IF(L21&gt;0,INDEX('3 Catalogue outils'!$B$6:$B$5005,L21),"")</f>
        <v/>
      </c>
      <c r="B21" s="15" t="n"/>
      <c r="C21" s="16">
        <f>IF(J21=0,"",IF(K21=1,UPPER(INDEX('2 Import devis'!$B$6:$B$29,J21)),IF(L21&gt;0,INDEX('3 Catalogue outils'!$C$6:$C$5005,L21),INDEX('2 Import devis'!$B$6:$B$29,J21))))</f>
        <v/>
      </c>
      <c r="D21" s="17">
        <f>IF(OR(J21=0,K21=1),"",1)</f>
        <v/>
      </c>
      <c r="E21" s="17">
        <f>IF(K21=1,"",IF(L21&gt;0,IF(INDEX('3 Catalogue outils'!$D$6:$D$5005,L21)="","FR",INDEX('3 Catalogue outils'!$D$6:$D$5005,L21)),"FR"))</f>
        <v/>
      </c>
      <c r="F21" s="18">
        <f>IF(L21&gt;0,IF(INDEX('3 Catalogue outils'!$F$6:$F$5005,L21)="","",INDEX('3 Catalogue outils'!$F$6:$F$5005,L21)),"")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IF(OR(J21=0,K21=1,B21=""),0,IFERROR(MATCH(B21,'3 Catalogue outils'!$A$6:$A$5005,0),0))</f>
        <v/>
      </c>
      <c r="M21" s="20">
        <f>IF(L21&gt;0,IF(INDEX('3 Catalogue outils'!$E$6:$E$5005,L21)="","",INDEX('3 Catalogue outils'!$E$6:$E$5005,L21)),"")</f>
        <v/>
      </c>
      <c r="N21" s="20">
        <f>IF(L21&gt;0,IF(INDEX('3 Catalogue outils'!$G$6:$G$5005,L21)="","",INDEX('3 Catalogue outils'!$G$6:$G$5005,L21)),"")</f>
        <v/>
      </c>
      <c r="O21" s="20">
        <f>IF(L21&gt;0,IF(INDEX('3 Catalogue outils'!$H$6:$H$5005,L21)="","",INDEX('3 Catalogue outils'!$H$6:$H$5005,L21)),"")</f>
        <v/>
      </c>
    </row>
    <row r="22" hidden="1" ht="26" customHeight="1">
      <c r="A22" s="15">
        <f>IF(L22&gt;0,INDEX('3 Catalogue outils'!$B$6:$B$5005,L22),"")</f>
        <v/>
      </c>
      <c r="B22" s="15" t="n"/>
      <c r="C22" s="16">
        <f>IF(J22=0,"",IF(K22=1,UPPER(INDEX('2 Import devis'!$B$6:$B$29,J22)),IF(L22&gt;0,INDEX('3 Catalogue outils'!$C$6:$C$5005,L22),INDEX('2 Import devis'!$B$6:$B$29,J22))))</f>
        <v/>
      </c>
      <c r="D22" s="17">
        <f>IF(OR(J22=0,K22=1),"",1)</f>
        <v/>
      </c>
      <c r="E22" s="17">
        <f>IF(K22=1,"",IF(L22&gt;0,IF(INDEX('3 Catalogue outils'!$D$6:$D$5005,L22)="","FR",INDEX('3 Catalogue outils'!$D$6:$D$5005,L22)),"FR"))</f>
        <v/>
      </c>
      <c r="F22" s="18">
        <f>IF(L22&gt;0,IF(INDEX('3 Catalogue outils'!$F$6:$F$5005,L22)="","",INDEX('3 Catalogue outils'!$F$6:$F$5005,L22)),"")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IF(OR(J22=0,K22=1,B22=""),0,IFERROR(MATCH(B22,'3 Catalogue outils'!$A$6:$A$5005,0),0))</f>
        <v/>
      </c>
      <c r="M22" s="20">
        <f>IF(L22&gt;0,IF(INDEX('3 Catalogue outils'!$E$6:$E$5005,L22)="","",INDEX('3 Catalogue outils'!$E$6:$E$5005,L22)),"")</f>
        <v/>
      </c>
      <c r="N22" s="20">
        <f>IF(L22&gt;0,IF(INDEX('3 Catalogue outils'!$G$6:$G$5005,L22)="","",INDEX('3 Catalogue outils'!$G$6:$G$5005,L22)),"")</f>
        <v/>
      </c>
      <c r="O22" s="20">
        <f>IF(L22&gt;0,IF(INDEX('3 Catalogue outils'!$H$6:$H$5005,L22)="","",INDEX('3 Catalogue outils'!$H$6:$H$5005,L22)),"")</f>
        <v/>
      </c>
    </row>
    <row r="23" hidden="1" ht="26" customHeight="1">
      <c r="A23" s="15">
        <f>IF(L23&gt;0,INDEX('3 Catalogue outils'!$B$6:$B$5005,L23),"")</f>
        <v/>
      </c>
      <c r="B23" s="15" t="n"/>
      <c r="C23" s="16">
        <f>IF(J23=0,"",IF(K23=1,UPPER(INDEX('2 Import devis'!$B$6:$B$29,J23)),IF(L23&gt;0,INDEX('3 Catalogue outils'!$C$6:$C$5005,L23),INDEX('2 Import devis'!$B$6:$B$29,J23))))</f>
        <v/>
      </c>
      <c r="D23" s="17">
        <f>IF(OR(J23=0,K23=1),"",1)</f>
        <v/>
      </c>
      <c r="E23" s="17">
        <f>IF(K23=1,"",IF(L23&gt;0,IF(INDEX('3 Catalogue outils'!$D$6:$D$5005,L23)="","FR",INDEX('3 Catalogue outils'!$D$6:$D$5005,L23)),"FR"))</f>
        <v/>
      </c>
      <c r="F23" s="18">
        <f>IF(L23&gt;0,IF(INDEX('3 Catalogue outils'!$F$6:$F$5005,L23)="","",INDEX('3 Catalogue outils'!$F$6:$F$5005,L23)),"")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IF(OR(J23=0,K23=1,B23=""),0,IFERROR(MATCH(B23,'3 Catalogue outils'!$A$6:$A$5005,0),0))</f>
        <v/>
      </c>
      <c r="M23" s="20">
        <f>IF(L23&gt;0,IF(INDEX('3 Catalogue outils'!$E$6:$E$5005,L23)="","",INDEX('3 Catalogue outils'!$E$6:$E$5005,L23)),"")</f>
        <v/>
      </c>
      <c r="N23" s="20">
        <f>IF(L23&gt;0,IF(INDEX('3 Catalogue outils'!$G$6:$G$5005,L23)="","",INDEX('3 Catalogue outils'!$G$6:$G$5005,L23)),"")</f>
        <v/>
      </c>
      <c r="O23" s="20">
        <f>IF(L23&gt;0,IF(INDEX('3 Catalogue outils'!$H$6:$H$5005,L23)="","",INDEX('3 Catalogue outils'!$H$6:$H$5005,L23)),"")</f>
        <v/>
      </c>
    </row>
    <row r="24" hidden="1" ht="26" customHeight="1">
      <c r="A24" s="15">
        <f>IF(L24&gt;0,INDEX('3 Catalogue outils'!$B$6:$B$5005,L24),"")</f>
        <v/>
      </c>
      <c r="B24" s="15" t="n"/>
      <c r="C24" s="16">
        <f>IF(J24=0,"",IF(K24=1,UPPER(INDEX('2 Import devis'!$B$6:$B$29,J24)),IF(L24&gt;0,INDEX('3 Catalogue outils'!$C$6:$C$5005,L24),INDEX('2 Import devis'!$B$6:$B$29,J24))))</f>
        <v/>
      </c>
      <c r="D24" s="17">
        <f>IF(OR(J24=0,K24=1),"",1)</f>
        <v/>
      </c>
      <c r="E24" s="17">
        <f>IF(K24=1,"",IF(L24&gt;0,IF(INDEX('3 Catalogue outils'!$D$6:$D$5005,L24)="","FR",INDEX('3 Catalogue outils'!$D$6:$D$5005,L24)),"FR"))</f>
        <v/>
      </c>
      <c r="F24" s="18">
        <f>IF(L24&gt;0,IF(INDEX('3 Catalogue outils'!$F$6:$F$5005,L24)="","",INDEX('3 Catalogue outils'!$F$6:$F$5005,L24)),"")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IF(OR(J24=0,K24=1,B24=""),0,IFERROR(MATCH(B24,'3 Catalogue outils'!$A$6:$A$5005,0),0))</f>
        <v/>
      </c>
      <c r="M24" s="20">
        <f>IF(L24&gt;0,IF(INDEX('3 Catalogue outils'!$E$6:$E$5005,L24)="","",INDEX('3 Catalogue outils'!$E$6:$E$5005,L24)),"")</f>
        <v/>
      </c>
      <c r="N24" s="20">
        <f>IF(L24&gt;0,IF(INDEX('3 Catalogue outils'!$G$6:$G$5005,L24)="","",INDEX('3 Catalogue outils'!$G$6:$G$5005,L24)),"")</f>
        <v/>
      </c>
      <c r="O24" s="20">
        <f>IF(L24&gt;0,IF(INDEX('3 Catalogue outils'!$H$6:$H$5005,L24)="","",INDEX('3 Catalogue outils'!$H$6:$H$5005,L24)),"")</f>
        <v/>
      </c>
    </row>
    <row r="25" hidden="1" ht="26" customHeight="1">
      <c r="A25" s="15">
        <f>IF(L25&gt;0,INDEX('3 Catalogue outils'!$B$6:$B$5005,L25),"")</f>
        <v/>
      </c>
      <c r="B25" s="15" t="n"/>
      <c r="C25" s="16">
        <f>IF(J25=0,"",IF(K25=1,UPPER(INDEX('2 Import devis'!$B$6:$B$29,J25)),IF(L25&gt;0,INDEX('3 Catalogue outils'!$C$6:$C$5005,L25),INDEX('2 Import devis'!$B$6:$B$29,J25))))</f>
        <v/>
      </c>
      <c r="D25" s="17">
        <f>IF(OR(J25=0,K25=1),"",1)</f>
        <v/>
      </c>
      <c r="E25" s="17">
        <f>IF(K25=1,"",IF(L25&gt;0,IF(INDEX('3 Catalogue outils'!$D$6:$D$5005,L25)="","FR",INDEX('3 Catalogue outils'!$D$6:$D$5005,L25)),"FR"))</f>
        <v/>
      </c>
      <c r="F25" s="18">
        <f>IF(L25&gt;0,IF(INDEX('3 Catalogue outils'!$F$6:$F$5005,L25)="","",INDEX('3 Catalogue outils'!$F$6:$F$5005,L25)),"")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IF(OR(J25=0,K25=1,B25=""),0,IFERROR(MATCH(B25,'3 Catalogue outils'!$A$6:$A$5005,0),0))</f>
        <v/>
      </c>
      <c r="M25" s="20">
        <f>IF(L25&gt;0,IF(INDEX('3 Catalogue outils'!$E$6:$E$5005,L25)="","",INDEX('3 Catalogue outils'!$E$6:$E$5005,L25)),"")</f>
        <v/>
      </c>
      <c r="N25" s="20">
        <f>IF(L25&gt;0,IF(INDEX('3 Catalogue outils'!$G$6:$G$5005,L25)="","",INDEX('3 Catalogue outils'!$G$6:$G$5005,L25)),"")</f>
        <v/>
      </c>
      <c r="O25" s="20">
        <f>IF(L25&gt;0,IF(INDEX('3 Catalogue outils'!$H$6:$H$5005,L25)="","",INDEX('3 Catalogue outils'!$H$6:$H$5005,L25)),"")</f>
        <v/>
      </c>
    </row>
    <row r="26" hidden="1" ht="26" customHeight="1">
      <c r="A26" s="15">
        <f>IF(L26&gt;0,INDEX('3 Catalogue outils'!$B$6:$B$5005,L26),"")</f>
        <v/>
      </c>
      <c r="B26" s="15" t="n"/>
      <c r="C26" s="16">
        <f>IF(J26=0,"",IF(K26=1,UPPER(INDEX('2 Import devis'!$B$6:$B$29,J26)),IF(L26&gt;0,INDEX('3 Catalogue outils'!$C$6:$C$5005,L26),INDEX('2 Import devis'!$B$6:$B$29,J26))))</f>
        <v/>
      </c>
      <c r="D26" s="17">
        <f>IF(OR(J26=0,K26=1),"",1)</f>
        <v/>
      </c>
      <c r="E26" s="17">
        <f>IF(K26=1,"",IF(L26&gt;0,IF(INDEX('3 Catalogue outils'!$D$6:$D$5005,L26)="","FR",INDEX('3 Catalogue outils'!$D$6:$D$5005,L26)),"FR"))</f>
        <v/>
      </c>
      <c r="F26" s="18">
        <f>IF(L26&gt;0,IF(INDEX('3 Catalogue outils'!$F$6:$F$5005,L26)="","",INDEX('3 Catalogue outils'!$F$6:$F$5005,L26)),"")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IF(OR(J26=0,K26=1,B26=""),0,IFERROR(MATCH(B26,'3 Catalogue outils'!$A$6:$A$5005,0),0))</f>
        <v/>
      </c>
      <c r="M26" s="20">
        <f>IF(L26&gt;0,IF(INDEX('3 Catalogue outils'!$E$6:$E$5005,L26)="","",INDEX('3 Catalogue outils'!$E$6:$E$5005,L26)),"")</f>
        <v/>
      </c>
      <c r="N26" s="20">
        <f>IF(L26&gt;0,IF(INDEX('3 Catalogue outils'!$G$6:$G$5005,L26)="","",INDEX('3 Catalogue outils'!$G$6:$G$5005,L26)),"")</f>
        <v/>
      </c>
      <c r="O26" s="20">
        <f>IF(L26&gt;0,IF(INDEX('3 Catalogue outils'!$H$6:$H$5005,L26)="","",INDEX('3 Catalogue outils'!$H$6:$H$5005,L26)),"")</f>
        <v/>
      </c>
    </row>
    <row r="27" hidden="1" ht="26" customHeight="1">
      <c r="A27" s="15">
        <f>IF(L27&gt;0,INDEX('3 Catalogue outils'!$B$6:$B$5005,L27),"")</f>
        <v/>
      </c>
      <c r="B27" s="15" t="n"/>
      <c r="C27" s="16">
        <f>IF(J27=0,"",IF(K27=1,UPPER(INDEX('2 Import devis'!$B$6:$B$29,J27)),IF(L27&gt;0,INDEX('3 Catalogue outils'!$C$6:$C$5005,L27),INDEX('2 Import devis'!$B$6:$B$29,J27))))</f>
        <v/>
      </c>
      <c r="D27" s="17">
        <f>IF(OR(J27=0,K27=1),"",1)</f>
        <v/>
      </c>
      <c r="E27" s="17">
        <f>IF(K27=1,"",IF(L27&gt;0,IF(INDEX('3 Catalogue outils'!$D$6:$D$5005,L27)="","FR",INDEX('3 Catalogue outils'!$D$6:$D$5005,L27)),"FR"))</f>
        <v/>
      </c>
      <c r="F27" s="18">
        <f>IF(L27&gt;0,IF(INDEX('3 Catalogue outils'!$F$6:$F$5005,L27)="","",INDEX('3 Catalogue outils'!$F$6:$F$5005,L27)),"")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IF(OR(J27=0,K27=1,B27=""),0,IFERROR(MATCH(B27,'3 Catalogue outils'!$A$6:$A$5005,0),0))</f>
        <v/>
      </c>
      <c r="M27" s="20">
        <f>IF(L27&gt;0,IF(INDEX('3 Catalogue outils'!$E$6:$E$5005,L27)="","",INDEX('3 Catalogue outils'!$E$6:$E$5005,L27)),"")</f>
        <v/>
      </c>
      <c r="N27" s="20">
        <f>IF(L27&gt;0,IF(INDEX('3 Catalogue outils'!$G$6:$G$5005,L27)="","",INDEX('3 Catalogue outils'!$G$6:$G$5005,L27)),"")</f>
        <v/>
      </c>
      <c r="O27" s="20">
        <f>IF(L27&gt;0,IF(INDEX('3 Catalogue outils'!$H$6:$H$5005,L27)="","",INDEX('3 Catalogue outils'!$H$6:$H$5005,L27)),"")</f>
        <v/>
      </c>
    </row>
    <row r="28" hidden="1" ht="26" customHeight="1">
      <c r="A28" s="15">
        <f>IF(L28&gt;0,INDEX('3 Catalogue outils'!$B$6:$B$5005,L28),"")</f>
        <v/>
      </c>
      <c r="B28" s="15" t="n"/>
      <c r="C28" s="16">
        <f>IF(J28=0,"",IF(K28=1,UPPER(INDEX('2 Import devis'!$B$6:$B$29,J28)),IF(L28&gt;0,INDEX('3 Catalogue outils'!$C$6:$C$5005,L28),INDEX('2 Import devis'!$B$6:$B$29,J28))))</f>
        <v/>
      </c>
      <c r="D28" s="17">
        <f>IF(OR(J28=0,K28=1),"",1)</f>
        <v/>
      </c>
      <c r="E28" s="17">
        <f>IF(K28=1,"",IF(L28&gt;0,IF(INDEX('3 Catalogue outils'!$D$6:$D$5005,L28)="","FR",INDEX('3 Catalogue outils'!$D$6:$D$5005,L28)),"FR"))</f>
        <v/>
      </c>
      <c r="F28" s="18">
        <f>IF(L28&gt;0,IF(INDEX('3 Catalogue outils'!$F$6:$F$5005,L28)="","",INDEX('3 Catalogue outils'!$F$6:$F$5005,L28)),"")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IF(OR(J28=0,K28=1,B28=""),0,IFERROR(MATCH(B28,'3 Catalogue outils'!$A$6:$A$5005,0),0))</f>
        <v/>
      </c>
      <c r="M28" s="20">
        <f>IF(L28&gt;0,IF(INDEX('3 Catalogue outils'!$E$6:$E$5005,L28)="","",INDEX('3 Catalogue outils'!$E$6:$E$5005,L28)),"")</f>
        <v/>
      </c>
      <c r="N28" s="20">
        <f>IF(L28&gt;0,IF(INDEX('3 Catalogue outils'!$G$6:$G$5005,L28)="","",INDEX('3 Catalogue outils'!$G$6:$G$5005,L28)),"")</f>
        <v/>
      </c>
      <c r="O28" s="20">
        <f>IF(L28&gt;0,IF(INDEX('3 Catalogue outils'!$H$6:$H$5005,L28)="","",INDEX('3 Catalogue outils'!$H$6:$H$5005,L28)),"")</f>
        <v/>
      </c>
    </row>
    <row r="29" hidden="1" ht="26" customHeight="1">
      <c r="A29" s="15">
        <f>IF(L29&gt;0,INDEX('3 Catalogue outils'!$B$6:$B$5005,L29),"")</f>
        <v/>
      </c>
      <c r="B29" s="15" t="n"/>
      <c r="C29" s="16">
        <f>IF(J29=0,"",IF(K29=1,UPPER(INDEX('2 Import devis'!$B$6:$B$29,J29)),IF(L29&gt;0,INDEX('3 Catalogue outils'!$C$6:$C$5005,L29),INDEX('2 Import devis'!$B$6:$B$29,J29))))</f>
        <v/>
      </c>
      <c r="D29" s="17">
        <f>IF(OR(J29=0,K29=1),"",1)</f>
        <v/>
      </c>
      <c r="E29" s="17">
        <f>IF(K29=1,"",IF(L29&gt;0,IF(INDEX('3 Catalogue outils'!$D$6:$D$5005,L29)="","FR",INDEX('3 Catalogue outils'!$D$6:$D$5005,L29)),"FR"))</f>
        <v/>
      </c>
      <c r="F29" s="18">
        <f>IF(L29&gt;0,IF(INDEX('3 Catalogue outils'!$F$6:$F$5005,L29)="","",INDEX('3 Catalogue outils'!$F$6:$F$5005,L29)),"")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IF(OR(J29=0,K29=1,B29=""),0,IFERROR(MATCH(B29,'3 Catalogue outils'!$A$6:$A$5005,0),0))</f>
        <v/>
      </c>
      <c r="M29" s="20">
        <f>IF(L29&gt;0,IF(INDEX('3 Catalogue outils'!$E$6:$E$5005,L29)="","",INDEX('3 Catalogue outils'!$E$6:$E$5005,L29)),"")</f>
        <v/>
      </c>
      <c r="N29" s="20">
        <f>IF(L29&gt;0,IF(INDEX('3 Catalogue outils'!$G$6:$G$5005,L29)="","",INDEX('3 Catalogue outils'!$G$6:$G$5005,L29)),"")</f>
        <v/>
      </c>
      <c r="O29" s="20">
        <f>IF(L29&gt;0,IF(INDEX('3 Catalogue outils'!$H$6:$H$5005,L29)="","",INDEX('3 Catalogue outils'!$H$6:$H$5005,L29)),"")</f>
        <v/>
      </c>
    </row>
    <row r="30" hidden="1" ht="26" customHeight="1">
      <c r="A30" s="15">
        <f>IF(L30&gt;0,INDEX('3 Catalogue outils'!$B$6:$B$5005,L30),"")</f>
        <v/>
      </c>
      <c r="B30" s="15" t="n"/>
      <c r="C30" s="16">
        <f>IF(J30=0,"",IF(K30=1,UPPER(INDEX('2 Import devis'!$B$6:$B$29,J30)),IF(L30&gt;0,INDEX('3 Catalogue outils'!$C$6:$C$5005,L30),INDEX('2 Import devis'!$B$6:$B$29,J30))))</f>
        <v/>
      </c>
      <c r="D30" s="17">
        <f>IF(OR(J30=0,K30=1),"",1)</f>
        <v/>
      </c>
      <c r="E30" s="17">
        <f>IF(K30=1,"",IF(L30&gt;0,IF(INDEX('3 Catalogue outils'!$D$6:$D$5005,L30)="","FR",INDEX('3 Catalogue outils'!$D$6:$D$5005,L30)),"FR"))</f>
        <v/>
      </c>
      <c r="F30" s="18">
        <f>IF(L30&gt;0,IF(INDEX('3 Catalogue outils'!$F$6:$F$5005,L30)="","",INDEX('3 Catalogue outils'!$F$6:$F$5005,L30)),"")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IF(OR(J30=0,K30=1,B30=""),0,IFERROR(MATCH(B30,'3 Catalogue outils'!$A$6:$A$5005,0),0))</f>
        <v/>
      </c>
      <c r="M30" s="20">
        <f>IF(L30&gt;0,IF(INDEX('3 Catalogue outils'!$E$6:$E$5005,L30)="","",INDEX('3 Catalogue outils'!$E$6:$E$5005,L30)),"")</f>
        <v/>
      </c>
      <c r="N30" s="20">
        <f>IF(L30&gt;0,IF(INDEX('3 Catalogue outils'!$G$6:$G$5005,L30)="","",INDEX('3 Catalogue outils'!$G$6:$G$5005,L30)),"")</f>
        <v/>
      </c>
      <c r="O30" s="20">
        <f>IF(L30&gt;0,IF(INDEX('3 Catalogue outils'!$H$6:$H$5005,L30)="","",INDEX('3 Catalogue outils'!$H$6:$H$5005,L30)),"")</f>
        <v/>
      </c>
    </row>
    <row r="31" hidden="1" ht="26" customHeight="1">
      <c r="A31" s="15">
        <f>IF(L31&gt;0,INDEX('3 Catalogue outils'!$B$6:$B$5005,L31),"")</f>
        <v/>
      </c>
      <c r="B31" s="15" t="n"/>
      <c r="C31" s="16">
        <f>IF(J31=0,"",IF(K31=1,UPPER(INDEX('2 Import devis'!$B$6:$B$29,J31)),IF(L31&gt;0,INDEX('3 Catalogue outils'!$C$6:$C$5005,L31),INDEX('2 Import devis'!$B$6:$B$29,J31))))</f>
        <v/>
      </c>
      <c r="D31" s="17">
        <f>IF(OR(J31=0,K31=1),"",1)</f>
        <v/>
      </c>
      <c r="E31" s="17">
        <f>IF(K31=1,"",IF(L31&gt;0,IF(INDEX('3 Catalogue outils'!$D$6:$D$5005,L31)="","FR",INDEX('3 Catalogue outils'!$D$6:$D$5005,L31)),"FR"))</f>
        <v/>
      </c>
      <c r="F31" s="18">
        <f>IF(L31&gt;0,IF(INDEX('3 Catalogue outils'!$F$6:$F$5005,L31)="","",INDEX('3 Catalogue outils'!$F$6:$F$5005,L31)),"")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IF(OR(J31=0,K31=1,B31=""),0,IFERROR(MATCH(B31,'3 Catalogue outils'!$A$6:$A$5005,0),0))</f>
        <v/>
      </c>
      <c r="M31" s="20">
        <f>IF(L31&gt;0,IF(INDEX('3 Catalogue outils'!$E$6:$E$5005,L31)="","",INDEX('3 Catalogue outils'!$E$6:$E$5005,L31)),"")</f>
        <v/>
      </c>
      <c r="N31" s="20">
        <f>IF(L31&gt;0,IF(INDEX('3 Catalogue outils'!$G$6:$G$5005,L31)="","",INDEX('3 Catalogue outils'!$G$6:$G$5005,L31)),"")</f>
        <v/>
      </c>
      <c r="O31" s="20">
        <f>IF(L31&gt;0,IF(INDEX('3 Catalogue outils'!$H$6:$H$5005,L31)="","",INDEX('3 Catalogue outils'!$H$6:$H$5005,L31)),"")</f>
        <v/>
      </c>
    </row>
    <row r="32" hidden="1" ht="26" customHeight="1">
      <c r="A32" s="15">
        <f>IF(L32&gt;0,INDEX('3 Catalogue outils'!$B$6:$B$5005,L32),"")</f>
        <v/>
      </c>
      <c r="B32" s="15" t="n"/>
      <c r="C32" s="16">
        <f>IF(J32=0,"",IF(K32=1,UPPER(INDEX('2 Import devis'!$B$6:$B$29,J32)),IF(L32&gt;0,INDEX('3 Catalogue outils'!$C$6:$C$5005,L32),INDEX('2 Import devis'!$B$6:$B$29,J32))))</f>
        <v/>
      </c>
      <c r="D32" s="17">
        <f>IF(OR(J32=0,K32=1),"",1)</f>
        <v/>
      </c>
      <c r="E32" s="17">
        <f>IF(K32=1,"",IF(L32&gt;0,IF(INDEX('3 Catalogue outils'!$D$6:$D$5005,L32)="","FR",INDEX('3 Catalogue outils'!$D$6:$D$5005,L32)),"FR"))</f>
        <v/>
      </c>
      <c r="F32" s="18">
        <f>IF(L32&gt;0,IF(INDEX('3 Catalogue outils'!$F$6:$F$5005,L32)="","",INDEX('3 Catalogue outils'!$F$6:$F$5005,L32)),"")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IF(OR(J32=0,K32=1,B32=""),0,IFERROR(MATCH(B32,'3 Catalogue outils'!$A$6:$A$5005,0),0))</f>
        <v/>
      </c>
      <c r="M32" s="20">
        <f>IF(L32&gt;0,IF(INDEX('3 Catalogue outils'!$E$6:$E$5005,L32)="","",INDEX('3 Catalogue outils'!$E$6:$E$5005,L32)),"")</f>
        <v/>
      </c>
      <c r="N32" s="20">
        <f>IF(L32&gt;0,IF(INDEX('3 Catalogue outils'!$G$6:$G$5005,L32)="","",INDEX('3 Catalogue outils'!$G$6:$G$5005,L32)),"")</f>
        <v/>
      </c>
      <c r="O32" s="20">
        <f>IF(L32&gt;0,IF(INDEX('3 Catalogue outils'!$H$6:$H$5005,L32)="","",INDEX('3 Catalogue outils'!$H$6:$H$5005,L32)),"")</f>
        <v/>
      </c>
    </row>
    <row r="33" hidden="1" ht="26" customHeight="1">
      <c r="A33" s="15">
        <f>IF(L33&gt;0,INDEX('3 Catalogue outils'!$B$6:$B$5005,L33),"")</f>
        <v/>
      </c>
      <c r="B33" s="15" t="n"/>
      <c r="C33" s="16">
        <f>IF(J33=0,"",IF(K33=1,UPPER(INDEX('2 Import devis'!$B$6:$B$29,J33)),IF(L33&gt;0,INDEX('3 Catalogue outils'!$C$6:$C$5005,L33),INDEX('2 Import devis'!$B$6:$B$29,J33))))</f>
        <v/>
      </c>
      <c r="D33" s="17">
        <f>IF(OR(J33=0,K33=1),"",1)</f>
        <v/>
      </c>
      <c r="E33" s="17">
        <f>IF(K33=1,"",IF(L33&gt;0,IF(INDEX('3 Catalogue outils'!$D$6:$D$5005,L33)="","FR",INDEX('3 Catalogue outils'!$D$6:$D$5005,L33)),"FR"))</f>
        <v/>
      </c>
      <c r="F33" s="18">
        <f>IF(L33&gt;0,IF(INDEX('3 Catalogue outils'!$F$6:$F$5005,L33)="","",INDEX('3 Catalogue outils'!$F$6:$F$5005,L33)),"")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IF(OR(J33=0,K33=1,B33=""),0,IFERROR(MATCH(B33,'3 Catalogue outils'!$A$6:$A$5005,0),0))</f>
        <v/>
      </c>
      <c r="M33" s="20">
        <f>IF(L33&gt;0,IF(INDEX('3 Catalogue outils'!$E$6:$E$5005,L33)="","",INDEX('3 Catalogue outils'!$E$6:$E$5005,L33)),"")</f>
        <v/>
      </c>
      <c r="N33" s="20">
        <f>IF(L33&gt;0,IF(INDEX('3 Catalogue outils'!$G$6:$G$5005,L33)="","",INDEX('3 Catalogue outils'!$G$6:$G$5005,L33)),"")</f>
        <v/>
      </c>
      <c r="O33" s="20">
        <f>IF(L33&gt;0,IF(INDEX('3 Catalogue outils'!$H$6:$H$5005,L33)="","",INDEX('3 Catalogue outils'!$H$6:$H$5005,L33)),"")</f>
        <v/>
      </c>
    </row>
    <row r="34" hidden="1" ht="26" customHeight="1">
      <c r="A34" s="15">
        <f>IF(L34&gt;0,INDEX('3 Catalogue outils'!$B$6:$B$5005,L34),"")</f>
        <v/>
      </c>
      <c r="B34" s="15" t="n"/>
      <c r="C34" s="16">
        <f>IF(J34=0,"",IF(K34=1,UPPER(INDEX('2 Import devis'!$B$6:$B$29,J34)),IF(L34&gt;0,INDEX('3 Catalogue outils'!$C$6:$C$5005,L34),INDEX('2 Import devis'!$B$6:$B$29,J34))))</f>
        <v/>
      </c>
      <c r="D34" s="17">
        <f>IF(OR(J34=0,K34=1),"",1)</f>
        <v/>
      </c>
      <c r="E34" s="17">
        <f>IF(K34=1,"",IF(L34&gt;0,IF(INDEX('3 Catalogue outils'!$D$6:$D$5005,L34)="","FR",INDEX('3 Catalogue outils'!$D$6:$D$5005,L34)),"FR"))</f>
        <v/>
      </c>
      <c r="F34" s="18">
        <f>IF(L34&gt;0,IF(INDEX('3 Catalogue outils'!$F$6:$F$5005,L34)="","",INDEX('3 Catalogue outils'!$F$6:$F$5005,L34)),"")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IF(OR(J34=0,K34=1,B34=""),0,IFERROR(MATCH(B34,'3 Catalogue outils'!$A$6:$A$5005,0),0))</f>
        <v/>
      </c>
      <c r="M34" s="20">
        <f>IF(L34&gt;0,IF(INDEX('3 Catalogue outils'!$E$6:$E$5005,L34)="","",INDEX('3 Catalogue outils'!$E$6:$E$5005,L34)),"")</f>
        <v/>
      </c>
      <c r="N34" s="20">
        <f>IF(L34&gt;0,IF(INDEX('3 Catalogue outils'!$G$6:$G$5005,L34)="","",INDEX('3 Catalogue outils'!$G$6:$G$5005,L34)),"")</f>
        <v/>
      </c>
      <c r="O34" s="20">
        <f>IF(L34&gt;0,IF(INDEX('3 Catalogue outils'!$H$6:$H$5005,L34)="","",INDEX('3 Catalogue outils'!$H$6:$H$5005,L34)),"")</f>
        <v/>
      </c>
    </row>
    <row r="35" hidden="1" ht="26" customHeight="1">
      <c r="A35" s="15">
        <f>IF(L35&gt;0,INDEX('3 Catalogue outils'!$B$6:$B$5005,L35),"")</f>
        <v/>
      </c>
      <c r="B35" s="15" t="n"/>
      <c r="C35" s="16">
        <f>IF(J35=0,"",IF(K35=1,UPPER(INDEX('2 Import devis'!$B$6:$B$29,J35)),IF(L35&gt;0,INDEX('3 Catalogue outils'!$C$6:$C$5005,L35),INDEX('2 Import devis'!$B$6:$B$29,J35))))</f>
        <v/>
      </c>
      <c r="D35" s="17">
        <f>IF(OR(J35=0,K35=1),"",1)</f>
        <v/>
      </c>
      <c r="E35" s="17">
        <f>IF(K35=1,"",IF(L35&gt;0,IF(INDEX('3 Catalogue outils'!$D$6:$D$5005,L35)="","FR",INDEX('3 Catalogue outils'!$D$6:$D$5005,L35)),"FR"))</f>
        <v/>
      </c>
      <c r="F35" s="18">
        <f>IF(L35&gt;0,IF(INDEX('3 Catalogue outils'!$F$6:$F$5005,L35)="","",INDEX('3 Catalogue outils'!$F$6:$F$5005,L35)),"")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IF(OR(J35=0,K35=1,B35=""),0,IFERROR(MATCH(B35,'3 Catalogue outils'!$A$6:$A$5005,0),0))</f>
        <v/>
      </c>
      <c r="M35" s="20">
        <f>IF(L35&gt;0,IF(INDEX('3 Catalogue outils'!$E$6:$E$5005,L35)="","",INDEX('3 Catalogue outils'!$E$6:$E$5005,L35)),"")</f>
        <v/>
      </c>
      <c r="N35" s="20">
        <f>IF(L35&gt;0,IF(INDEX('3 Catalogue outils'!$G$6:$G$5005,L35)="","",INDEX('3 Catalogue outils'!$G$6:$G$5005,L35)),"")</f>
        <v/>
      </c>
      <c r="O35" s="20">
        <f>IF(L35&gt;0,IF(INDEX('3 Catalogue outils'!$H$6:$H$5005,L35)="","",INDEX('3 Catalogue outils'!$H$6:$H$5005,L35)),"")</f>
        <v/>
      </c>
    </row>
    <row r="36" hidden="1" ht="26" customHeight="1">
      <c r="A36" s="15">
        <f>IF(L36&gt;0,INDEX('3 Catalogue outils'!$B$6:$B$5005,L36),"")</f>
        <v/>
      </c>
      <c r="B36" s="15" t="n"/>
      <c r="C36" s="16">
        <f>IF(J36=0,"",IF(K36=1,UPPER(INDEX('2 Import devis'!$B$6:$B$29,J36)),IF(L36&gt;0,INDEX('3 Catalogue outils'!$C$6:$C$5005,L36),INDEX('2 Import devis'!$B$6:$B$29,J36))))</f>
        <v/>
      </c>
      <c r="D36" s="17">
        <f>IF(OR(J36=0,K36=1),"",1)</f>
        <v/>
      </c>
      <c r="E36" s="17">
        <f>IF(K36=1,"",IF(L36&gt;0,IF(INDEX('3 Catalogue outils'!$D$6:$D$5005,L36)="","FR",INDEX('3 Catalogue outils'!$D$6:$D$5005,L36)),"FR"))</f>
        <v/>
      </c>
      <c r="F36" s="18">
        <f>IF(L36&gt;0,IF(INDEX('3 Catalogue outils'!$F$6:$F$5005,L36)="","",INDEX('3 Catalogue outils'!$F$6:$F$5005,L36)),"")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IF(OR(J36=0,K36=1,B36=""),0,IFERROR(MATCH(B36,'3 Catalogue outils'!$A$6:$A$5005,0),0))</f>
        <v/>
      </c>
      <c r="M36" s="20">
        <f>IF(L36&gt;0,IF(INDEX('3 Catalogue outils'!$E$6:$E$5005,L36)="","",INDEX('3 Catalogue outils'!$E$6:$E$5005,L36)),"")</f>
        <v/>
      </c>
      <c r="N36" s="20">
        <f>IF(L36&gt;0,IF(INDEX('3 Catalogue outils'!$G$6:$G$5005,L36)="","",INDEX('3 Catalogue outils'!$G$6:$G$5005,L36)),"")</f>
        <v/>
      </c>
      <c r="O36" s="20">
        <f>IF(L36&gt;0,IF(INDEX('3 Catalogue outils'!$H$6:$H$5005,L36)="","",INDEX('3 Catalogue outils'!$H$6:$H$5005,L36)),"")</f>
        <v/>
      </c>
    </row>
    <row r="37" hidden="1" ht="26" customHeight="1">
      <c r="A37" s="15">
        <f>IF(L37&gt;0,INDEX('3 Catalogue outils'!$B$6:$B$5005,L37),"")</f>
        <v/>
      </c>
      <c r="B37" s="15" t="n"/>
      <c r="C37" s="16">
        <f>IF(J37=0,"",IF(K37=1,UPPER(INDEX('2 Import devis'!$B$6:$B$29,J37)),IF(L37&gt;0,INDEX('3 Catalogue outils'!$C$6:$C$5005,L37),INDEX('2 Import devis'!$B$6:$B$29,J37))))</f>
        <v/>
      </c>
      <c r="D37" s="17">
        <f>IF(OR(J37=0,K37=1),"",1)</f>
        <v/>
      </c>
      <c r="E37" s="17">
        <f>IF(K37=1,"",IF(L37&gt;0,IF(INDEX('3 Catalogue outils'!$D$6:$D$5005,L37)="","FR",INDEX('3 Catalogue outils'!$D$6:$D$5005,L37)),"FR"))</f>
        <v/>
      </c>
      <c r="F37" s="18">
        <f>IF(L37&gt;0,IF(INDEX('3 Catalogue outils'!$F$6:$F$5005,L37)="","",INDEX('3 Catalogue outils'!$F$6:$F$5005,L37)),"")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IF(OR(J37=0,K37=1,B37=""),0,IFERROR(MATCH(B37,'3 Catalogue outils'!$A$6:$A$5005,0),0))</f>
        <v/>
      </c>
      <c r="M37" s="20">
        <f>IF(L37&gt;0,IF(INDEX('3 Catalogue outils'!$E$6:$E$5005,L37)="","",INDEX('3 Catalogue outils'!$E$6:$E$5005,L37)),"")</f>
        <v/>
      </c>
      <c r="N37" s="20">
        <f>IF(L37&gt;0,IF(INDEX('3 Catalogue outils'!$G$6:$G$5005,L37)="","",INDEX('3 Catalogue outils'!$G$6:$G$5005,L37)),"")</f>
        <v/>
      </c>
      <c r="O37" s="20">
        <f>IF(L37&gt;0,IF(INDEX('3 Catalogue outils'!$H$6:$H$5005,L37)="","",INDEX('3 Catalogue outils'!$H$6:$H$5005,L37)),"")</f>
        <v/>
      </c>
    </row>
    <row r="38" hidden="1" ht="26" customHeight="1">
      <c r="A38" s="15">
        <f>IF(L38&gt;0,INDEX('3 Catalogue outils'!$B$6:$B$5005,L38),"")</f>
        <v/>
      </c>
      <c r="B38" s="15" t="n"/>
      <c r="C38" s="16">
        <f>IF(J38=0,"",IF(K38=1,UPPER(INDEX('2 Import devis'!$B$6:$B$29,J38)),IF(L38&gt;0,INDEX('3 Catalogue outils'!$C$6:$C$5005,L38),INDEX('2 Import devis'!$B$6:$B$29,J38))))</f>
        <v/>
      </c>
      <c r="D38" s="17">
        <f>IF(OR(J38=0,K38=1),"",1)</f>
        <v/>
      </c>
      <c r="E38" s="17">
        <f>IF(K38=1,"",IF(L38&gt;0,IF(INDEX('3 Catalogue outils'!$D$6:$D$5005,L38)="","FR",INDEX('3 Catalogue outils'!$D$6:$D$5005,L38)),"FR"))</f>
        <v/>
      </c>
      <c r="F38" s="18">
        <f>IF(L38&gt;0,IF(INDEX('3 Catalogue outils'!$F$6:$F$5005,L38)="","",INDEX('3 Catalogue outils'!$F$6:$F$5005,L38)),"")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IF(OR(J38=0,K38=1,B38=""),0,IFERROR(MATCH(B38,'3 Catalogue outils'!$A$6:$A$5005,0),0))</f>
        <v/>
      </c>
      <c r="M38" s="20">
        <f>IF(L38&gt;0,IF(INDEX('3 Catalogue outils'!$E$6:$E$5005,L38)="","",INDEX('3 Catalogue outils'!$E$6:$E$5005,L38)),"")</f>
        <v/>
      </c>
      <c r="N38" s="20">
        <f>IF(L38&gt;0,IF(INDEX('3 Catalogue outils'!$G$6:$G$5005,L38)="","",INDEX('3 Catalogue outils'!$G$6:$G$5005,L38)),"")</f>
        <v/>
      </c>
      <c r="O38" s="20">
        <f>IF(L38&gt;0,IF(INDEX('3 Catalogue outils'!$H$6:$H$5005,L38)="","",INDEX('3 Catalogue outils'!$H$6:$H$5005,L38)),"")</f>
        <v/>
      </c>
    </row>
    <row r="39" hidden="1" ht="26" customHeight="1">
      <c r="A39" s="15">
        <f>IF(L39&gt;0,INDEX('3 Catalogue outils'!$B$6:$B$5005,L39),"")</f>
        <v/>
      </c>
      <c r="B39" s="15" t="n"/>
      <c r="C39" s="16">
        <f>IF(J39=0,"",IF(K39=1,UPPER(INDEX('2 Import devis'!$B$6:$B$29,J39)),IF(L39&gt;0,INDEX('3 Catalogue outils'!$C$6:$C$5005,L39),INDEX('2 Import devis'!$B$6:$B$29,J39))))</f>
        <v/>
      </c>
      <c r="D39" s="17">
        <f>IF(OR(J39=0,K39=1),"",1)</f>
        <v/>
      </c>
      <c r="E39" s="17">
        <f>IF(K39=1,"",IF(L39&gt;0,IF(INDEX('3 Catalogue outils'!$D$6:$D$5005,L39)="","FR",INDEX('3 Catalogue outils'!$D$6:$D$5005,L39)),"FR"))</f>
        <v/>
      </c>
      <c r="F39" s="18">
        <f>IF(L39&gt;0,IF(INDEX('3 Catalogue outils'!$F$6:$F$5005,L39)="","",INDEX('3 Catalogue outils'!$F$6:$F$5005,L39)),"")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IF(OR(J39=0,K39=1,B39=""),0,IFERROR(MATCH(B39,'3 Catalogue outils'!$A$6:$A$5005,0),0))</f>
        <v/>
      </c>
      <c r="M39" s="20">
        <f>IF(L39&gt;0,IF(INDEX('3 Catalogue outils'!$E$6:$E$5005,L39)="","",INDEX('3 Catalogue outils'!$E$6:$E$5005,L39)),"")</f>
        <v/>
      </c>
      <c r="N39" s="20">
        <f>IF(L39&gt;0,IF(INDEX('3 Catalogue outils'!$G$6:$G$5005,L39)="","",INDEX('3 Catalogue outils'!$G$6:$G$5005,L39)),"")</f>
        <v/>
      </c>
      <c r="O39" s="20">
        <f>IF(L39&gt;0,IF(INDEX('3 Catalogue outils'!$H$6:$H$5005,L39)="","",INDEX('3 Catalogue outils'!$H$6:$H$5005,L39)),"")</f>
        <v/>
      </c>
    </row>
    <row r="40" hidden="1" ht="26" customHeight="1">
      <c r="A40" s="15">
        <f>IF(L40&gt;0,INDEX('3 Catalogue outils'!$B$6:$B$5005,L40),"")</f>
        <v/>
      </c>
      <c r="B40" s="15" t="n"/>
      <c r="C40" s="16">
        <f>IF(J40=0,"",IF(K40=1,UPPER(INDEX('2 Import devis'!$B$6:$B$29,J40)),IF(L40&gt;0,INDEX('3 Catalogue outils'!$C$6:$C$5005,L40),INDEX('2 Import devis'!$B$6:$B$29,J40))))</f>
        <v/>
      </c>
      <c r="D40" s="17">
        <f>IF(OR(J40=0,K40=1),"",1)</f>
        <v/>
      </c>
      <c r="E40" s="17">
        <f>IF(K40=1,"",IF(L40&gt;0,IF(INDEX('3 Catalogue outils'!$D$6:$D$5005,L40)="","FR",INDEX('3 Catalogue outils'!$D$6:$D$5005,L40)),"FR"))</f>
        <v/>
      </c>
      <c r="F40" s="18">
        <f>IF(L40&gt;0,IF(INDEX('3 Catalogue outils'!$F$6:$F$5005,L40)="","",INDEX('3 Catalogue outils'!$F$6:$F$5005,L40)),"")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IF(OR(J40=0,K40=1,B40=""),0,IFERROR(MATCH(B40,'3 Catalogue outils'!$A$6:$A$5005,0),0))</f>
        <v/>
      </c>
      <c r="M40" s="20">
        <f>IF(L40&gt;0,IF(INDEX('3 Catalogue outils'!$E$6:$E$5005,L40)="","",INDEX('3 Catalogue outils'!$E$6:$E$5005,L40)),"")</f>
        <v/>
      </c>
      <c r="N40" s="20">
        <f>IF(L40&gt;0,IF(INDEX('3 Catalogue outils'!$G$6:$G$5005,L40)="","",INDEX('3 Catalogue outils'!$G$6:$G$5005,L40)),"")</f>
        <v/>
      </c>
      <c r="O40" s="20">
        <f>IF(L40&gt;0,IF(INDEX('3 Catalogue outils'!$H$6:$H$5005,L40)="","",INDEX('3 Catalogue outils'!$H$6:$H$5005,L40)),"")</f>
        <v/>
      </c>
    </row>
    <row r="41" hidden="1" ht="26" customHeight="1">
      <c r="A41" s="15">
        <f>IF(L41&gt;0,INDEX('3 Catalogue outils'!$B$6:$B$5005,L41),"")</f>
        <v/>
      </c>
      <c r="B41" s="15" t="n"/>
      <c r="C41" s="16">
        <f>IF(J41=0,"",IF(K41=1,UPPER(INDEX('2 Import devis'!$B$6:$B$29,J41)),IF(L41&gt;0,INDEX('3 Catalogue outils'!$C$6:$C$5005,L41),INDEX('2 Import devis'!$B$6:$B$29,J41))))</f>
        <v/>
      </c>
      <c r="D41" s="17">
        <f>IF(OR(J41=0,K41=1),"",1)</f>
        <v/>
      </c>
      <c r="E41" s="17">
        <f>IF(K41=1,"",IF(L41&gt;0,IF(INDEX('3 Catalogue outils'!$D$6:$D$5005,L41)="","FR",INDEX('3 Catalogue outils'!$D$6:$D$5005,L41)),"FR"))</f>
        <v/>
      </c>
      <c r="F41" s="18">
        <f>IF(L41&gt;0,IF(INDEX('3 Catalogue outils'!$F$6:$F$5005,L41)="","",INDEX('3 Catalogue outils'!$F$6:$F$5005,L41)),"")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IF(OR(J41=0,K41=1,B41=""),0,IFERROR(MATCH(B41,'3 Catalogue outils'!$A$6:$A$5005,0),0))</f>
        <v/>
      </c>
      <c r="M41" s="20">
        <f>IF(L41&gt;0,IF(INDEX('3 Catalogue outils'!$E$6:$E$5005,L41)="","",INDEX('3 Catalogue outils'!$E$6:$E$5005,L41)),"")</f>
        <v/>
      </c>
      <c r="N41" s="20">
        <f>IF(L41&gt;0,IF(INDEX('3 Catalogue outils'!$G$6:$G$5005,L41)="","",INDEX('3 Catalogue outils'!$G$6:$G$5005,L41)),"")</f>
        <v/>
      </c>
      <c r="O41" s="20">
        <f>IF(L41&gt;0,IF(INDEX('3 Catalogue outils'!$H$6:$H$5005,L41)="","",INDEX('3 Catalogue outils'!$H$6:$H$5005,L41)),"")</f>
        <v/>
      </c>
    </row>
    <row r="42" hidden="1" ht="26" customHeight="1">
      <c r="A42" s="15">
        <f>IF(L42&gt;0,INDEX('3 Catalogue outils'!$B$6:$B$5005,L42),"")</f>
        <v/>
      </c>
      <c r="B42" s="15" t="n"/>
      <c r="C42" s="16">
        <f>IF(J42=0,"",IF(K42=1,UPPER(INDEX('2 Import devis'!$B$6:$B$29,J42)),IF(L42&gt;0,INDEX('3 Catalogue outils'!$C$6:$C$5005,L42),INDEX('2 Import devis'!$B$6:$B$29,J42))))</f>
        <v/>
      </c>
      <c r="D42" s="17">
        <f>IF(OR(J42=0,K42=1),"",1)</f>
        <v/>
      </c>
      <c r="E42" s="17">
        <f>IF(K42=1,"",IF(L42&gt;0,IF(INDEX('3 Catalogue outils'!$D$6:$D$5005,L42)="","FR",INDEX('3 Catalogue outils'!$D$6:$D$5005,L42)),"FR"))</f>
        <v/>
      </c>
      <c r="F42" s="18">
        <f>IF(L42&gt;0,IF(INDEX('3 Catalogue outils'!$F$6:$F$5005,L42)="","",INDEX('3 Catalogue outils'!$F$6:$F$5005,L42)),"")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IF(OR(J42=0,K42=1,B42=""),0,IFERROR(MATCH(B42,'3 Catalogue outils'!$A$6:$A$5005,0),0))</f>
        <v/>
      </c>
      <c r="M42" s="20">
        <f>IF(L42&gt;0,IF(INDEX('3 Catalogue outils'!$E$6:$E$5005,L42)="","",INDEX('3 Catalogue outils'!$E$6:$E$5005,L42)),"")</f>
        <v/>
      </c>
      <c r="N42" s="20">
        <f>IF(L42&gt;0,IF(INDEX('3 Catalogue outils'!$G$6:$G$5005,L42)="","",INDEX('3 Catalogue outils'!$G$6:$G$5005,L42)),"")</f>
        <v/>
      </c>
      <c r="O42" s="20">
        <f>IF(L42&gt;0,IF(INDEX('3 Catalogue outils'!$H$6:$H$5005,L42)="","",INDEX('3 Catalogue outils'!$H$6:$H$5005,L42)),"")</f>
        <v/>
      </c>
    </row>
    <row r="43" hidden="1" ht="26" customHeight="1">
      <c r="A43" s="15">
        <f>IF(L43&gt;0,INDEX('3 Catalogue outils'!$B$6:$B$5005,L43),"")</f>
        <v/>
      </c>
      <c r="B43" s="15" t="n"/>
      <c r="C43" s="16">
        <f>IF(J43=0,"",IF(K43=1,UPPER(INDEX('2 Import devis'!$B$6:$B$29,J43)),IF(L43&gt;0,INDEX('3 Catalogue outils'!$C$6:$C$5005,L43),INDEX('2 Import devis'!$B$6:$B$29,J43))))</f>
        <v/>
      </c>
      <c r="D43" s="17">
        <f>IF(OR(J43=0,K43=1),"",1)</f>
        <v/>
      </c>
      <c r="E43" s="17">
        <f>IF(K43=1,"",IF(L43&gt;0,IF(INDEX('3 Catalogue outils'!$D$6:$D$5005,L43)="","FR",INDEX('3 Catalogue outils'!$D$6:$D$5005,L43)),"FR"))</f>
        <v/>
      </c>
      <c r="F43" s="18">
        <f>IF(L43&gt;0,IF(INDEX('3 Catalogue outils'!$F$6:$F$5005,L43)="","",INDEX('3 Catalogue outils'!$F$6:$F$5005,L43)),"")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IF(OR(J43=0,K43=1,B43=""),0,IFERROR(MATCH(B43,'3 Catalogue outils'!$A$6:$A$5005,0),0))</f>
        <v/>
      </c>
      <c r="M43" s="20">
        <f>IF(L43&gt;0,IF(INDEX('3 Catalogue outils'!$E$6:$E$5005,L43)="","",INDEX('3 Catalogue outils'!$E$6:$E$5005,L43)),"")</f>
        <v/>
      </c>
      <c r="N43" s="20">
        <f>IF(L43&gt;0,IF(INDEX('3 Catalogue outils'!$G$6:$G$5005,L43)="","",INDEX('3 Catalogue outils'!$G$6:$G$5005,L43)),"")</f>
        <v/>
      </c>
      <c r="O43" s="20">
        <f>IF(L43&gt;0,IF(INDEX('3 Catalogue outils'!$H$6:$H$5005,L43)="","",INDEX('3 Catalogue outils'!$H$6:$H$5005,L43)),"")</f>
        <v/>
      </c>
    </row>
    <row r="44" hidden="1" ht="26" customHeight="1">
      <c r="A44" s="15">
        <f>IF(L44&gt;0,INDEX('3 Catalogue outils'!$B$6:$B$5005,L44),"")</f>
        <v/>
      </c>
      <c r="B44" s="15" t="n"/>
      <c r="C44" s="16">
        <f>IF(J44=0,"",IF(K44=1,UPPER(INDEX('2 Import devis'!$B$6:$B$29,J44)),IF(L44&gt;0,INDEX('3 Catalogue outils'!$C$6:$C$5005,L44),INDEX('2 Import devis'!$B$6:$B$29,J44))))</f>
        <v/>
      </c>
      <c r="D44" s="17">
        <f>IF(OR(J44=0,K44=1),"",1)</f>
        <v/>
      </c>
      <c r="E44" s="17">
        <f>IF(K44=1,"",IF(L44&gt;0,IF(INDEX('3 Catalogue outils'!$D$6:$D$5005,L44)="","FR",INDEX('3 Catalogue outils'!$D$6:$D$5005,L44)),"FR"))</f>
        <v/>
      </c>
      <c r="F44" s="18">
        <f>IF(L44&gt;0,IF(INDEX('3 Catalogue outils'!$F$6:$F$5005,L44)="","",INDEX('3 Catalogue outils'!$F$6:$F$5005,L44)),"")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IF(OR(J44=0,K44=1,B44=""),0,IFERROR(MATCH(B44,'3 Catalogue outils'!$A$6:$A$5005,0),0))</f>
        <v/>
      </c>
      <c r="M44" s="20">
        <f>IF(L44&gt;0,IF(INDEX('3 Catalogue outils'!$E$6:$E$5005,L44)="","",INDEX('3 Catalogue outils'!$E$6:$E$5005,L44)),"")</f>
        <v/>
      </c>
      <c r="N44" s="20">
        <f>IF(L44&gt;0,IF(INDEX('3 Catalogue outils'!$G$6:$G$5005,L44)="","",INDEX('3 Catalogue outils'!$G$6:$G$5005,L44)),"")</f>
        <v/>
      </c>
      <c r="O44" s="20">
        <f>IF(L44&gt;0,IF(INDEX('3 Catalogue outils'!$H$6:$H$5005,L44)="","",INDEX('3 Catalogue outils'!$H$6:$H$5005,L44)),"")</f>
        <v/>
      </c>
    </row>
    <row r="45" hidden="1" ht="26" customHeight="1">
      <c r="A45" s="15">
        <f>IF(L45&gt;0,INDEX('3 Catalogue outils'!$B$6:$B$5005,L45),"")</f>
        <v/>
      </c>
      <c r="B45" s="15" t="n"/>
      <c r="C45" s="16">
        <f>IF(J45=0,"",IF(K45=1,UPPER(INDEX('2 Import devis'!$B$6:$B$29,J45)),IF(L45&gt;0,INDEX('3 Catalogue outils'!$C$6:$C$5005,L45),INDEX('2 Import devis'!$B$6:$B$29,J45))))</f>
        <v/>
      </c>
      <c r="D45" s="17">
        <f>IF(OR(J45=0,K45=1),"",1)</f>
        <v/>
      </c>
      <c r="E45" s="17">
        <f>IF(K45=1,"",IF(L45&gt;0,IF(INDEX('3 Catalogue outils'!$D$6:$D$5005,L45)="","FR",INDEX('3 Catalogue outils'!$D$6:$D$5005,L45)),"FR"))</f>
        <v/>
      </c>
      <c r="F45" s="18">
        <f>IF(L45&gt;0,IF(INDEX('3 Catalogue outils'!$F$6:$F$5005,L45)="","",INDEX('3 Catalogue outils'!$F$6:$F$5005,L45)),"")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IF(OR(J45=0,K45=1,B45=""),0,IFERROR(MATCH(B45,'3 Catalogue outils'!$A$6:$A$5005,0),0))</f>
        <v/>
      </c>
      <c r="M45" s="20">
        <f>IF(L45&gt;0,IF(INDEX('3 Catalogue outils'!$E$6:$E$5005,L45)="","",INDEX('3 Catalogue outils'!$E$6:$E$5005,L45)),"")</f>
        <v/>
      </c>
      <c r="N45" s="20">
        <f>IF(L45&gt;0,IF(INDEX('3 Catalogue outils'!$G$6:$G$5005,L45)="","",INDEX('3 Catalogue outils'!$G$6:$G$5005,L45)),"")</f>
        <v/>
      </c>
      <c r="O45" s="20">
        <f>IF(L45&gt;0,IF(INDEX('3 Catalogue outils'!$H$6:$H$5005,L45)="","",INDEX('3 Catalogue outils'!$H$6:$H$5005,L45)),"")</f>
        <v/>
      </c>
    </row>
    <row r="46" hidden="1" ht="26" customHeight="1">
      <c r="A46" s="15">
        <f>IF(L46&gt;0,INDEX('3 Catalogue outils'!$B$6:$B$5005,L46),"")</f>
        <v/>
      </c>
      <c r="B46" s="15" t="n"/>
      <c r="C46" s="16">
        <f>IF(J46=0,"",IF(K46=1,UPPER(INDEX('2 Import devis'!$B$6:$B$29,J46)),IF(L46&gt;0,INDEX('3 Catalogue outils'!$C$6:$C$5005,L46),INDEX('2 Import devis'!$B$6:$B$29,J46))))</f>
        <v/>
      </c>
      <c r="D46" s="17">
        <f>IF(OR(J46=0,K46=1),"",1)</f>
        <v/>
      </c>
      <c r="E46" s="17">
        <f>IF(K46=1,"",IF(L46&gt;0,IF(INDEX('3 Catalogue outils'!$D$6:$D$5005,L46)="","FR",INDEX('3 Catalogue outils'!$D$6:$D$5005,L46)),"FR"))</f>
        <v/>
      </c>
      <c r="F46" s="18">
        <f>IF(L46&gt;0,IF(INDEX('3 Catalogue outils'!$F$6:$F$5005,L46)="","",INDEX('3 Catalogue outils'!$F$6:$F$5005,L46)),"")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IF(OR(J46=0,K46=1,B46=""),0,IFERROR(MATCH(B46,'3 Catalogue outils'!$A$6:$A$5005,0),0))</f>
        <v/>
      </c>
      <c r="M46" s="20">
        <f>IF(L46&gt;0,IF(INDEX('3 Catalogue outils'!$E$6:$E$5005,L46)="","",INDEX('3 Catalogue outils'!$E$6:$E$5005,L46)),"")</f>
        <v/>
      </c>
      <c r="N46" s="20">
        <f>IF(L46&gt;0,IF(INDEX('3 Catalogue outils'!$G$6:$G$5005,L46)="","",INDEX('3 Catalogue outils'!$G$6:$G$5005,L46)),"")</f>
        <v/>
      </c>
      <c r="O46" s="20">
        <f>IF(L46&gt;0,IF(INDEX('3 Catalogue outils'!$H$6:$H$5005,L46)="","",INDEX('3 Catalogue outils'!$H$6:$H$5005,L46)),"")</f>
        <v/>
      </c>
    </row>
    <row r="47" hidden="1" ht="26" customHeight="1">
      <c r="A47" s="15">
        <f>IF(L47&gt;0,INDEX('3 Catalogue outils'!$B$6:$B$5005,L47),"")</f>
        <v/>
      </c>
      <c r="B47" s="15" t="n"/>
      <c r="C47" s="16">
        <f>IF(J47=0,"",IF(K47=1,UPPER(INDEX('2 Import devis'!$B$6:$B$29,J47)),IF(L47&gt;0,INDEX('3 Catalogue outils'!$C$6:$C$5005,L47),INDEX('2 Import devis'!$B$6:$B$29,J47))))</f>
        <v/>
      </c>
      <c r="D47" s="17">
        <f>IF(OR(J47=0,K47=1),"",1)</f>
        <v/>
      </c>
      <c r="E47" s="17">
        <f>IF(K47=1,"",IF(L47&gt;0,IF(INDEX('3 Catalogue outils'!$D$6:$D$5005,L47)="","FR",INDEX('3 Catalogue outils'!$D$6:$D$5005,L47)),"FR"))</f>
        <v/>
      </c>
      <c r="F47" s="18">
        <f>IF(L47&gt;0,IF(INDEX('3 Catalogue outils'!$F$6:$F$5005,L47)="","",INDEX('3 Catalogue outils'!$F$6:$F$5005,L47)),"")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IF(OR(J47=0,K47=1,B47=""),0,IFERROR(MATCH(B47,'3 Catalogue outils'!$A$6:$A$5005,0),0))</f>
        <v/>
      </c>
      <c r="M47" s="20">
        <f>IF(L47&gt;0,IF(INDEX('3 Catalogue outils'!$E$6:$E$5005,L47)="","",INDEX('3 Catalogue outils'!$E$6:$E$5005,L47)),"")</f>
        <v/>
      </c>
      <c r="N47" s="20">
        <f>IF(L47&gt;0,IF(INDEX('3 Catalogue outils'!$G$6:$G$5005,L47)="","",INDEX('3 Catalogue outils'!$G$6:$G$5005,L47)),"")</f>
        <v/>
      </c>
      <c r="O47" s="20">
        <f>IF(L47&gt;0,IF(INDEX('3 Catalogue outils'!$H$6:$H$5005,L47)="","",INDEX('3 Catalogue outils'!$H$6:$H$5005,L47)),"")</f>
        <v/>
      </c>
    </row>
    <row r="48" hidden="1" ht="26" customHeight="1">
      <c r="A48" s="15">
        <f>IF(L48&gt;0,INDEX('3 Catalogue outils'!$B$6:$B$5005,L48),"")</f>
        <v/>
      </c>
      <c r="B48" s="15" t="n"/>
      <c r="C48" s="16">
        <f>IF(J48=0,"",IF(K48=1,UPPER(INDEX('2 Import devis'!$B$6:$B$29,J48)),IF(L48&gt;0,INDEX('3 Catalogue outils'!$C$6:$C$5005,L48),INDEX('2 Import devis'!$B$6:$B$29,J48))))</f>
        <v/>
      </c>
      <c r="D48" s="17">
        <f>IF(OR(J48=0,K48=1),"",1)</f>
        <v/>
      </c>
      <c r="E48" s="17">
        <f>IF(K48=1,"",IF(L48&gt;0,IF(INDEX('3 Catalogue outils'!$D$6:$D$5005,L48)="","FR",INDEX('3 Catalogue outils'!$D$6:$D$5005,L48)),"FR"))</f>
        <v/>
      </c>
      <c r="F48" s="18">
        <f>IF(L48&gt;0,IF(INDEX('3 Catalogue outils'!$F$6:$F$5005,L48)="","",INDEX('3 Catalogue outils'!$F$6:$F$5005,L48)),"")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IF(OR(J48=0,K48=1,B48=""),0,IFERROR(MATCH(B48,'3 Catalogue outils'!$A$6:$A$5005,0),0))</f>
        <v/>
      </c>
      <c r="M48" s="20">
        <f>IF(L48&gt;0,IF(INDEX('3 Catalogue outils'!$E$6:$E$5005,L48)="","",INDEX('3 Catalogue outils'!$E$6:$E$5005,L48)),"")</f>
        <v/>
      </c>
      <c r="N48" s="20">
        <f>IF(L48&gt;0,IF(INDEX('3 Catalogue outils'!$G$6:$G$5005,L48)="","",INDEX('3 Catalogue outils'!$G$6:$G$5005,L48)),"")</f>
        <v/>
      </c>
      <c r="O48" s="20">
        <f>IF(L48&gt;0,IF(INDEX('3 Catalogue outils'!$H$6:$H$5005,L48)="","",INDEX('3 Catalogue outils'!$H$6:$H$5005,L48)),"")</f>
        <v/>
      </c>
    </row>
    <row r="49" hidden="1" ht="26" customHeight="1">
      <c r="A49" s="15">
        <f>IF(L49&gt;0,INDEX('3 Catalogue outils'!$B$6:$B$5005,L49),"")</f>
        <v/>
      </c>
      <c r="B49" s="15" t="n"/>
      <c r="C49" s="16">
        <f>IF(J49=0,"",IF(K49=1,UPPER(INDEX('2 Import devis'!$B$6:$B$29,J49)),IF(L49&gt;0,INDEX('3 Catalogue outils'!$C$6:$C$5005,L49),INDEX('2 Import devis'!$B$6:$B$29,J49))))</f>
        <v/>
      </c>
      <c r="D49" s="17">
        <f>IF(OR(J49=0,K49=1),"",1)</f>
        <v/>
      </c>
      <c r="E49" s="17">
        <f>IF(K49=1,"",IF(L49&gt;0,IF(INDEX('3 Catalogue outils'!$D$6:$D$5005,L49)="","FR",INDEX('3 Catalogue outils'!$D$6:$D$5005,L49)),"FR"))</f>
        <v/>
      </c>
      <c r="F49" s="18">
        <f>IF(L49&gt;0,IF(INDEX('3 Catalogue outils'!$F$6:$F$5005,L49)="","",INDEX('3 Catalogue outils'!$F$6:$F$5005,L49)),"")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IF(OR(J49=0,K49=1,B49=""),0,IFERROR(MATCH(B49,'3 Catalogue outils'!$A$6:$A$5005,0),0))</f>
        <v/>
      </c>
      <c r="M49" s="20">
        <f>IF(L49&gt;0,IF(INDEX('3 Catalogue outils'!$E$6:$E$5005,L49)="","",INDEX('3 Catalogue outils'!$E$6:$E$5005,L49)),"")</f>
        <v/>
      </c>
      <c r="N49" s="20">
        <f>IF(L49&gt;0,IF(INDEX('3 Catalogue outils'!$G$6:$G$5005,L49)="","",INDEX('3 Catalogue outils'!$G$6:$G$5005,L49)),"")</f>
        <v/>
      </c>
      <c r="O49" s="20">
        <f>IF(L49&gt;0,IF(INDEX('3 Catalogue outils'!$H$6:$H$5005,L49)="","",INDEX('3 Catalogue outils'!$H$6:$H$5005,L49)),"")</f>
        <v/>
      </c>
    </row>
    <row r="50" hidden="1" ht="26" customHeight="1">
      <c r="A50" s="15">
        <f>IF(L50&gt;0,INDEX('3 Catalogue outils'!$B$6:$B$5005,L50),"")</f>
        <v/>
      </c>
      <c r="B50" s="15" t="n"/>
      <c r="C50" s="16">
        <f>IF(J50=0,"",IF(K50=1,UPPER(INDEX('2 Import devis'!$B$6:$B$29,J50)),IF(L50&gt;0,INDEX('3 Catalogue outils'!$C$6:$C$5005,L50),INDEX('2 Import devis'!$B$6:$B$29,J50))))</f>
        <v/>
      </c>
      <c r="D50" s="17">
        <f>IF(OR(J50=0,K50=1),"",1)</f>
        <v/>
      </c>
      <c r="E50" s="17">
        <f>IF(K50=1,"",IF(L50&gt;0,IF(INDEX('3 Catalogue outils'!$D$6:$D$5005,L50)="","FR",INDEX('3 Catalogue outils'!$D$6:$D$5005,L50)),"FR"))</f>
        <v/>
      </c>
      <c r="F50" s="18">
        <f>IF(L50&gt;0,IF(INDEX('3 Catalogue outils'!$F$6:$F$5005,L50)="","",INDEX('3 Catalogue outils'!$F$6:$F$5005,L50)),"")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IF(OR(J50=0,K50=1,B50=""),0,IFERROR(MATCH(B50,'3 Catalogue outils'!$A$6:$A$5005,0),0))</f>
        <v/>
      </c>
      <c r="M50" s="20">
        <f>IF(L50&gt;0,IF(INDEX('3 Catalogue outils'!$E$6:$E$5005,L50)="","",INDEX('3 Catalogue outils'!$E$6:$E$5005,L50)),"")</f>
        <v/>
      </c>
      <c r="N50" s="20">
        <f>IF(L50&gt;0,IF(INDEX('3 Catalogue outils'!$G$6:$G$5005,L50)="","",INDEX('3 Catalogue outils'!$G$6:$G$5005,L50)),"")</f>
        <v/>
      </c>
      <c r="O50" s="20">
        <f>IF(L50&gt;0,IF(INDEX('3 Catalogue outils'!$H$6:$H$5005,L50)="","",INDEX('3 Catalogue outils'!$H$6:$H$5005,L50)),"")</f>
        <v/>
      </c>
    </row>
    <row r="51" hidden="1" ht="26" customHeight="1">
      <c r="A51" s="15">
        <f>IF(L51&gt;0,INDEX('3 Catalogue outils'!$B$6:$B$5005,L51),"")</f>
        <v/>
      </c>
      <c r="B51" s="15" t="n"/>
      <c r="C51" s="16">
        <f>IF(J51=0,"",IF(K51=1,UPPER(INDEX('2 Import devis'!$B$6:$B$29,J51)),IF(L51&gt;0,INDEX('3 Catalogue outils'!$C$6:$C$5005,L51),INDEX('2 Import devis'!$B$6:$B$29,J51))))</f>
        <v/>
      </c>
      <c r="D51" s="17">
        <f>IF(OR(J51=0,K51=1),"",1)</f>
        <v/>
      </c>
      <c r="E51" s="17">
        <f>IF(K51=1,"",IF(L51&gt;0,IF(INDEX('3 Catalogue outils'!$D$6:$D$5005,L51)="","FR",INDEX('3 Catalogue outils'!$D$6:$D$5005,L51)),"FR"))</f>
        <v/>
      </c>
      <c r="F51" s="18">
        <f>IF(L51&gt;0,IF(INDEX('3 Catalogue outils'!$F$6:$F$5005,L51)="","",INDEX('3 Catalogue outils'!$F$6:$F$5005,L51)),"")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IF(OR(J51=0,K51=1,B51=""),0,IFERROR(MATCH(B51,'3 Catalogue outils'!$A$6:$A$5005,0),0))</f>
        <v/>
      </c>
      <c r="M51" s="20">
        <f>IF(L51&gt;0,IF(INDEX('3 Catalogue outils'!$E$6:$E$5005,L51)="","",INDEX('3 Catalogue outils'!$E$6:$E$5005,L51)),"")</f>
        <v/>
      </c>
      <c r="N51" s="20">
        <f>IF(L51&gt;0,IF(INDEX('3 Catalogue outils'!$G$6:$G$5005,L51)="","",INDEX('3 Catalogue outils'!$G$6:$G$5005,L51)),"")</f>
        <v/>
      </c>
      <c r="O51" s="20">
        <f>IF(L51&gt;0,IF(INDEX('3 Catalogue outils'!$H$6:$H$5005,L51)="","",INDEX('3 Catalogue outils'!$H$6:$H$5005,L51)),"")</f>
        <v/>
      </c>
    </row>
    <row r="52" hidden="1" ht="26" customHeight="1">
      <c r="A52" s="15">
        <f>IF(L52&gt;0,INDEX('3 Catalogue outils'!$B$6:$B$5005,L52),"")</f>
        <v/>
      </c>
      <c r="B52" s="15" t="n"/>
      <c r="C52" s="16">
        <f>IF(J52=0,"",IF(K52=1,UPPER(INDEX('2 Import devis'!$B$6:$B$29,J52)),IF(L52&gt;0,INDEX('3 Catalogue outils'!$C$6:$C$5005,L52),INDEX('2 Import devis'!$B$6:$B$29,J52))))</f>
        <v/>
      </c>
      <c r="D52" s="17">
        <f>IF(OR(J52=0,K52=1),"",1)</f>
        <v/>
      </c>
      <c r="E52" s="17">
        <f>IF(K52=1,"",IF(L52&gt;0,IF(INDEX('3 Catalogue outils'!$D$6:$D$5005,L52)="","FR",INDEX('3 Catalogue outils'!$D$6:$D$5005,L52)),"FR"))</f>
        <v/>
      </c>
      <c r="F52" s="18">
        <f>IF(L52&gt;0,IF(INDEX('3 Catalogue outils'!$F$6:$F$5005,L52)="","",INDEX('3 Catalogue outils'!$F$6:$F$5005,L52)),"")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IF(OR(J52=0,K52=1,B52=""),0,IFERROR(MATCH(B52,'3 Catalogue outils'!$A$6:$A$5005,0),0))</f>
        <v/>
      </c>
      <c r="M52" s="20">
        <f>IF(L52&gt;0,IF(INDEX('3 Catalogue outils'!$E$6:$E$5005,L52)="","",INDEX('3 Catalogue outils'!$E$6:$E$5005,L52)),"")</f>
        <v/>
      </c>
      <c r="N52" s="20">
        <f>IF(L52&gt;0,IF(INDEX('3 Catalogue outils'!$G$6:$G$5005,L52)="","",INDEX('3 Catalogue outils'!$G$6:$G$5005,L52)),"")</f>
        <v/>
      </c>
      <c r="O52" s="20">
        <f>IF(L52&gt;0,IF(INDEX('3 Catalogue outils'!$H$6:$H$5005,L52)="","",INDEX('3 Catalogue outils'!$H$6:$H$5005,L52)),"")</f>
        <v/>
      </c>
    </row>
    <row r="53" hidden="1" ht="26" customHeight="1">
      <c r="A53" s="15">
        <f>IF(L53&gt;0,INDEX('3 Catalogue outils'!$B$6:$B$5005,L53),"")</f>
        <v/>
      </c>
      <c r="B53" s="15" t="n"/>
      <c r="C53" s="16">
        <f>IF(J53=0,"",IF(K53=1,UPPER(INDEX('2 Import devis'!$B$6:$B$29,J53)),IF(L53&gt;0,INDEX('3 Catalogue outils'!$C$6:$C$5005,L53),INDEX('2 Import devis'!$B$6:$B$29,J53))))</f>
        <v/>
      </c>
      <c r="D53" s="17">
        <f>IF(OR(J53=0,K53=1),"",1)</f>
        <v/>
      </c>
      <c r="E53" s="17">
        <f>IF(K53=1,"",IF(L53&gt;0,IF(INDEX('3 Catalogue outils'!$D$6:$D$5005,L53)="","FR",INDEX('3 Catalogue outils'!$D$6:$D$5005,L53)),"FR"))</f>
        <v/>
      </c>
      <c r="F53" s="18">
        <f>IF(L53&gt;0,IF(INDEX('3 Catalogue outils'!$F$6:$F$5005,L53)="","",INDEX('3 Catalogue outils'!$F$6:$F$5005,L53)),"")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IF(OR(J53=0,K53=1,B53=""),0,IFERROR(MATCH(B53,'3 Catalogue outils'!$A$6:$A$5005,0),0))</f>
        <v/>
      </c>
      <c r="M53" s="20">
        <f>IF(L53&gt;0,IF(INDEX('3 Catalogue outils'!$E$6:$E$5005,L53)="","",INDEX('3 Catalogue outils'!$E$6:$E$5005,L53)),"")</f>
        <v/>
      </c>
      <c r="N53" s="20">
        <f>IF(L53&gt;0,IF(INDEX('3 Catalogue outils'!$G$6:$G$5005,L53)="","",INDEX('3 Catalogue outils'!$G$6:$G$5005,L53)),"")</f>
        <v/>
      </c>
      <c r="O53" s="20">
        <f>IF(L53&gt;0,IF(INDEX('3 Catalogue outils'!$H$6:$H$5005,L53)="","",INDEX('3 Catalogue outils'!$H$6:$H$5005,L53)),"")</f>
        <v/>
      </c>
    </row>
    <row r="54" hidden="1" ht="26" customHeight="1">
      <c r="A54" s="15">
        <f>IF(L54&gt;0,INDEX('3 Catalogue outils'!$B$6:$B$5005,L54),"")</f>
        <v/>
      </c>
      <c r="B54" s="15" t="n"/>
      <c r="C54" s="16">
        <f>IF(J54=0,"",IF(K54=1,UPPER(INDEX('2 Import devis'!$B$6:$B$29,J54)),IF(L54&gt;0,INDEX('3 Catalogue outils'!$C$6:$C$5005,L54),INDEX('2 Import devis'!$B$6:$B$29,J54))))</f>
        <v/>
      </c>
      <c r="D54" s="17">
        <f>IF(OR(J54=0,K54=1),"",1)</f>
        <v/>
      </c>
      <c r="E54" s="17">
        <f>IF(K54=1,"",IF(L54&gt;0,IF(INDEX('3 Catalogue outils'!$D$6:$D$5005,L54)="","FR",INDEX('3 Catalogue outils'!$D$6:$D$5005,L54)),"FR"))</f>
        <v/>
      </c>
      <c r="F54" s="18">
        <f>IF(L54&gt;0,IF(INDEX('3 Catalogue outils'!$F$6:$F$5005,L54)="","",INDEX('3 Catalogue outils'!$F$6:$F$5005,L54)),"")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IF(OR(J54=0,K54=1,B54=""),0,IFERROR(MATCH(B54,'3 Catalogue outils'!$A$6:$A$5005,0),0))</f>
        <v/>
      </c>
      <c r="M54" s="20">
        <f>IF(L54&gt;0,IF(INDEX('3 Catalogue outils'!$E$6:$E$5005,L54)="","",INDEX('3 Catalogue outils'!$E$6:$E$5005,L54)),"")</f>
        <v/>
      </c>
      <c r="N54" s="20">
        <f>IF(L54&gt;0,IF(INDEX('3 Catalogue outils'!$G$6:$G$5005,L54)="","",INDEX('3 Catalogue outils'!$G$6:$G$5005,L54)),"")</f>
        <v/>
      </c>
      <c r="O54" s="20">
        <f>IF(L54&gt;0,IF(INDEX('3 Catalogue outils'!$H$6:$H$5005,L54)="","",INDEX('3 Catalogue outils'!$H$6:$H$5005,L54)),"")</f>
        <v/>
      </c>
    </row>
    <row r="55" ht="24" customHeight="1">
      <c r="A55" s="21" t="inlineStr">
        <is>
          <t>TOTAL</t>
        </is>
      </c>
      <c r="B55" s="22" t="n"/>
      <c r="C55" s="22" t="n"/>
      <c r="D55" s="23">
        <f>SUM(D15:D54)</f>
        <v/>
      </c>
      <c r="E55" s="23" t="n"/>
      <c r="F55" s="24">
        <f>SUMPRODUCT(IF(ISNUMBER(D15:D54),D15:D54,0)*IF(ISNUMBER(F15:F54),F15:F54,0))</f>
        <v/>
      </c>
      <c r="G55" s="25">
        <f>SUMPRODUCT(IF(ISNUMBER(D15:D54),D15:D54,0)*IF(ISNUMBER(G15:G54),G15:G54,0))</f>
        <v/>
      </c>
    </row>
    <row r="56" ht="18" customHeight="1"/>
    <row r="57" ht="18" customHeight="1"/>
    <row r="58" ht="22" customHeight="1">
      <c r="A58" s="26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7" t="inlineStr">
        <is>
          <t>Colis 1</t>
        </is>
      </c>
      <c r="B60" s="28" t="inlineStr">
        <is>
          <t>Fishing basket</t>
        </is>
      </c>
      <c r="C60" s="28" t="inlineStr">
        <is>
          <t>120 × 80 × 60</t>
        </is>
      </c>
      <c r="D60" s="29" t="n"/>
      <c r="E60" s="29" t="n"/>
      <c r="F60" s="30" t="n">
        <v>145</v>
      </c>
      <c r="G60" s="31" t="n">
        <v>0.576</v>
      </c>
    </row>
    <row r="61" ht="26" customHeight="1">
      <c r="A61" s="27" t="inlineStr">
        <is>
          <t>Colis 2</t>
        </is>
      </c>
      <c r="B61" s="28" t="n"/>
      <c r="C61" s="28" t="n"/>
      <c r="D61" s="29" t="n"/>
      <c r="E61" s="29" t="n"/>
      <c r="F61" s="30" t="n"/>
      <c r="G61" s="31" t="n"/>
    </row>
    <row r="62" ht="26" customHeight="1">
      <c r="A62" s="27" t="inlineStr">
        <is>
          <t>Colis 3</t>
        </is>
      </c>
      <c r="B62" s="28" t="n"/>
      <c r="C62" s="28" t="n"/>
      <c r="D62" s="29" t="n"/>
      <c r="E62" s="29" t="n"/>
      <c r="F62" s="30" t="n"/>
      <c r="G62" s="31" t="n"/>
    </row>
    <row r="63" ht="22" customHeight="1">
      <c r="A63" s="32">
        <f>"TOTAL  ·  "&amp;COUNTA(B60:B62)&amp;" colis"</f>
        <v/>
      </c>
      <c r="B63" s="26" t="n"/>
      <c r="C63" s="26" t="n"/>
      <c r="D63" s="26" t="n"/>
      <c r="E63" s="26" t="n"/>
      <c r="F63" s="33">
        <f>SUM(F60:F62)</f>
        <v/>
      </c>
      <c r="G63" s="34">
        <f>SUM(G60:G62)</f>
        <v/>
      </c>
    </row>
    <row r="65" ht="26" customHeight="1">
      <c r="A65" s="35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6" t="inlineStr">
        <is>
          <t>EXPÉDITEUR · ENEDRIL
Nom, date, signature</t>
        </is>
      </c>
      <c r="B66" s="37" t="n"/>
      <c r="C66" s="38" t="inlineStr">
        <is>
          <t>TRANSPORTEUR
Nom, date, signature</t>
        </is>
      </c>
      <c r="D66" s="36" t="inlineStr">
        <is>
          <t>RÉCEPTION CLIENT · RECEIVED BY
Nom, date, signature, cachet</t>
        </is>
      </c>
      <c r="E66" s="39" t="n"/>
      <c r="F66" s="39" t="n"/>
      <c r="G66" s="37" t="n"/>
    </row>
    <row r="67" ht="17" customHeight="1">
      <c r="A67" s="40" t="n"/>
      <c r="B67" s="41" t="n"/>
      <c r="C67" s="42" t="n"/>
      <c r="D67" s="40" t="n"/>
      <c r="E67" s="43" t="n"/>
      <c r="F67" s="43" t="n"/>
      <c r="G67" s="41" t="n"/>
    </row>
    <row r="68" ht="17" customHeight="1">
      <c r="A68" s="40" t="n"/>
      <c r="B68" s="41" t="n"/>
      <c r="C68" s="42" t="n"/>
      <c r="D68" s="40" t="n"/>
      <c r="E68" s="43" t="n"/>
      <c r="F68" s="43" t="n"/>
      <c r="G68" s="41" t="n"/>
    </row>
    <row r="69" ht="17" customHeight="1">
      <c r="A69" s="44" t="n"/>
      <c r="B69" s="45" t="n"/>
      <c r="C69" s="46" t="n"/>
      <c r="D69" s="44" t="n"/>
      <c r="E69" s="47" t="n"/>
      <c r="F69" s="47" t="n"/>
      <c r="G69" s="45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1"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8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49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0" t="inlineStr">
        <is>
          <t>Description</t>
        </is>
      </c>
      <c r="C5" s="50" t="inlineStr">
        <is>
          <t>Qté</t>
        </is>
      </c>
      <c r="D5" s="51" t="inlineStr">
        <is>
          <t>Stand-by</t>
        </is>
      </c>
      <c r="E5" s="51" t="inlineStr">
        <is>
          <t>Opér.</t>
        </is>
      </c>
      <c r="F5" s="51" t="inlineStr">
        <is>
          <t>UC</t>
        </is>
      </c>
      <c r="G5" s="50" t="inlineStr">
        <is>
          <t>Valeur remplac.
(LIH / DBR)</t>
        </is>
      </c>
      <c r="H5" s="51" t="inlineStr">
        <is>
          <t>Inspection</t>
        </is>
      </c>
      <c r="I5" s="51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2" t="inlineStr">
        <is>
          <t>BHA #1</t>
        </is>
      </c>
      <c r="C6" s="53" t="n"/>
      <c r="D6" s="54" t="n"/>
      <c r="E6" s="54" t="n"/>
      <c r="F6" s="54" t="n"/>
      <c r="G6" s="54" t="n"/>
      <c r="H6" s="54" t="n"/>
      <c r="I6" s="54" t="n"/>
      <c r="K6" s="13">
        <f>IF(B6="",0,IF(N(C6)=0,1,MAX(1,INT(C6))))</f>
        <v/>
      </c>
      <c r="L6" s="13">
        <f>SUM(K$6:K6)</f>
        <v/>
      </c>
    </row>
    <row r="7">
      <c r="B7" s="52" t="inlineStr">
        <is>
          <t>Stab 5-7/8 OD, 2-1/4" ID - 3-1/2" IF Pin x Box</t>
        </is>
      </c>
      <c r="C7" s="53" t="n">
        <v>1</v>
      </c>
      <c r="D7" s="54" t="n">
        <v>85</v>
      </c>
      <c r="E7" s="54" t="n">
        <v>120</v>
      </c>
      <c r="F7" s="54" t="n">
        <v>40</v>
      </c>
      <c r="G7" s="54" t="n">
        <v>4200</v>
      </c>
      <c r="H7" s="54" t="n">
        <v>150</v>
      </c>
      <c r="I7" s="54" t="n">
        <v>600</v>
      </c>
      <c r="K7" s="13">
        <f>IF(B7="",0,IF(N(C7)=0,1,MAX(1,INT(C7))))</f>
        <v/>
      </c>
      <c r="L7" s="13">
        <f>SUM(K$6:K7)</f>
        <v/>
      </c>
    </row>
    <row r="8">
      <c r="B8" s="52" t="inlineStr">
        <is>
          <t>XO 3-1/2" IF Pin x 2-7/8" EU Box</t>
        </is>
      </c>
      <c r="C8" s="53" t="n">
        <v>2</v>
      </c>
      <c r="D8" s="54" t="n">
        <v>20</v>
      </c>
      <c r="E8" s="54" t="n">
        <v>30</v>
      </c>
      <c r="F8" s="54" t="n">
        <v>10</v>
      </c>
      <c r="G8" s="54" t="n">
        <v>900</v>
      </c>
      <c r="H8" s="54" t="n">
        <v>60</v>
      </c>
      <c r="I8" s="54" t="n">
        <v>150</v>
      </c>
      <c r="K8" s="13">
        <f>IF(B8="",0,IF(N(C8)=0,1,MAX(1,INT(C8))))</f>
        <v/>
      </c>
      <c r="L8" s="13">
        <f>SUM(K$6:K8)</f>
        <v/>
      </c>
    </row>
    <row r="9">
      <c r="B9" s="52" t="inlineStr">
        <is>
          <t>XO 3-1/2" IF Box x 2-7/8" EU Pin</t>
        </is>
      </c>
      <c r="C9" s="53" t="n">
        <v>1</v>
      </c>
      <c r="D9" s="54" t="n">
        <v>20</v>
      </c>
      <c r="E9" s="54" t="n">
        <v>30</v>
      </c>
      <c r="F9" s="54" t="n">
        <v>10</v>
      </c>
      <c r="G9" s="54" t="n">
        <v>900</v>
      </c>
      <c r="H9" s="54" t="n">
        <v>60</v>
      </c>
      <c r="I9" s="54" t="n">
        <v>150</v>
      </c>
      <c r="K9" s="13">
        <f>IF(B9="",0,IF(N(C9)=0,1,MAX(1,INT(C9))))</f>
        <v/>
      </c>
      <c r="L9" s="13">
        <f>SUM(K$6:K9)</f>
        <v/>
      </c>
    </row>
    <row r="10">
      <c r="B10" s="52" t="n"/>
      <c r="C10" s="53" t="n"/>
      <c r="D10" s="54" t="n"/>
      <c r="E10" s="54" t="n"/>
      <c r="F10" s="54" t="n"/>
      <c r="G10" s="54" t="n"/>
      <c r="H10" s="54" t="n"/>
      <c r="I10" s="54" t="n"/>
      <c r="K10" s="13">
        <f>IF(B10="",0,IF(N(C10)=0,1,MAX(1,INT(C10))))</f>
        <v/>
      </c>
      <c r="L10" s="13">
        <f>SUM(K$6:K10)</f>
        <v/>
      </c>
    </row>
    <row r="11">
      <c r="B11" s="52" t="n"/>
      <c r="C11" s="53" t="n"/>
      <c r="D11" s="54" t="n"/>
      <c r="E11" s="54" t="n"/>
      <c r="F11" s="54" t="n"/>
      <c r="G11" s="54" t="n"/>
      <c r="H11" s="54" t="n"/>
      <c r="I11" s="54" t="n"/>
      <c r="K11" s="13">
        <f>IF(B11="",0,IF(N(C11)=0,1,MAX(1,INT(C11))))</f>
        <v/>
      </c>
      <c r="L11" s="13">
        <f>SUM(K$6:K11)</f>
        <v/>
      </c>
    </row>
    <row r="12">
      <c r="B12" s="52" t="n"/>
      <c r="C12" s="53" t="n"/>
      <c r="D12" s="54" t="n"/>
      <c r="E12" s="54" t="n"/>
      <c r="F12" s="54" t="n"/>
      <c r="G12" s="54" t="n"/>
      <c r="H12" s="54" t="n"/>
      <c r="I12" s="54" t="n"/>
      <c r="K12" s="13">
        <f>IF(B12="",0,IF(N(C12)=0,1,MAX(1,INT(C12))))</f>
        <v/>
      </c>
      <c r="L12" s="13">
        <f>SUM(K$6:K12)</f>
        <v/>
      </c>
    </row>
    <row r="13">
      <c r="B13" s="52" t="n"/>
      <c r="C13" s="53" t="n"/>
      <c r="D13" s="54" t="n"/>
      <c r="E13" s="54" t="n"/>
      <c r="F13" s="54" t="n"/>
      <c r="G13" s="54" t="n"/>
      <c r="H13" s="54" t="n"/>
      <c r="I13" s="54" t="n"/>
      <c r="K13" s="13">
        <f>IF(B13="",0,IF(N(C13)=0,1,MAX(1,INT(C13))))</f>
        <v/>
      </c>
      <c r="L13" s="13">
        <f>SUM(K$6:K13)</f>
        <v/>
      </c>
    </row>
    <row r="14">
      <c r="B14" s="52" t="n"/>
      <c r="C14" s="53" t="n"/>
      <c r="D14" s="54" t="n"/>
      <c r="E14" s="54" t="n"/>
      <c r="F14" s="54" t="n"/>
      <c r="G14" s="54" t="n"/>
      <c r="H14" s="54" t="n"/>
      <c r="I14" s="54" t="n"/>
      <c r="K14" s="13">
        <f>IF(B14="",0,IF(N(C14)=0,1,MAX(1,INT(C14))))</f>
        <v/>
      </c>
      <c r="L14" s="13">
        <f>SUM(K$6:K14)</f>
        <v/>
      </c>
    </row>
    <row r="15">
      <c r="B15" s="52" t="n"/>
      <c r="C15" s="53" t="n"/>
      <c r="D15" s="54" t="n"/>
      <c r="E15" s="54" t="n"/>
      <c r="F15" s="54" t="n"/>
      <c r="G15" s="54" t="n"/>
      <c r="H15" s="54" t="n"/>
      <c r="I15" s="54" t="n"/>
      <c r="K15" s="13">
        <f>IF(B15="",0,IF(N(C15)=0,1,MAX(1,INT(C15))))</f>
        <v/>
      </c>
      <c r="L15" s="13">
        <f>SUM(K$6:K15)</f>
        <v/>
      </c>
    </row>
    <row r="16">
      <c r="B16" s="52" t="n"/>
      <c r="C16" s="53" t="n"/>
      <c r="D16" s="54" t="n"/>
      <c r="E16" s="54" t="n"/>
      <c r="F16" s="54" t="n"/>
      <c r="G16" s="54" t="n"/>
      <c r="H16" s="54" t="n"/>
      <c r="I16" s="54" t="n"/>
      <c r="K16" s="13">
        <f>IF(B16="",0,IF(N(C16)=0,1,MAX(1,INT(C16))))</f>
        <v/>
      </c>
      <c r="L16" s="13">
        <f>SUM(K$6:K16)</f>
        <v/>
      </c>
    </row>
    <row r="17">
      <c r="B17" s="52" t="n"/>
      <c r="C17" s="53" t="n"/>
      <c r="D17" s="54" t="n"/>
      <c r="E17" s="54" t="n"/>
      <c r="F17" s="54" t="n"/>
      <c r="G17" s="54" t="n"/>
      <c r="H17" s="54" t="n"/>
      <c r="I17" s="54" t="n"/>
      <c r="K17" s="13">
        <f>IF(B17="",0,IF(N(C17)=0,1,MAX(1,INT(C17))))</f>
        <v/>
      </c>
      <c r="L17" s="13">
        <f>SUM(K$6:K17)</f>
        <v/>
      </c>
    </row>
    <row r="18">
      <c r="B18" s="52" t="n"/>
      <c r="C18" s="53" t="n"/>
      <c r="D18" s="54" t="n"/>
      <c r="E18" s="54" t="n"/>
      <c r="F18" s="54" t="n"/>
      <c r="G18" s="54" t="n"/>
      <c r="H18" s="54" t="n"/>
      <c r="I18" s="54" t="n"/>
      <c r="K18" s="13">
        <f>IF(B18="",0,IF(N(C18)=0,1,MAX(1,INT(C18))))</f>
        <v/>
      </c>
      <c r="L18" s="13">
        <f>SUM(K$6:K18)</f>
        <v/>
      </c>
    </row>
    <row r="19">
      <c r="B19" s="52" t="n"/>
      <c r="C19" s="53" t="n"/>
      <c r="D19" s="54" t="n"/>
      <c r="E19" s="54" t="n"/>
      <c r="F19" s="54" t="n"/>
      <c r="G19" s="54" t="n"/>
      <c r="H19" s="54" t="n"/>
      <c r="I19" s="54" t="n"/>
      <c r="K19" s="13">
        <f>IF(B19="",0,IF(N(C19)=0,1,MAX(1,INT(C19))))</f>
        <v/>
      </c>
      <c r="L19" s="13">
        <f>SUM(K$6:K19)</f>
        <v/>
      </c>
    </row>
    <row r="20">
      <c r="B20" s="52" t="n"/>
      <c r="C20" s="53" t="n"/>
      <c r="D20" s="54" t="n"/>
      <c r="E20" s="54" t="n"/>
      <c r="F20" s="54" t="n"/>
      <c r="G20" s="54" t="n"/>
      <c r="H20" s="54" t="n"/>
      <c r="I20" s="54" t="n"/>
      <c r="K20" s="13">
        <f>IF(B20="",0,IF(N(C20)=0,1,MAX(1,INT(C20))))</f>
        <v/>
      </c>
      <c r="L20" s="13">
        <f>SUM(K$6:K20)</f>
        <v/>
      </c>
    </row>
    <row r="21">
      <c r="B21" s="52" t="n"/>
      <c r="C21" s="53" t="n"/>
      <c r="D21" s="54" t="n"/>
      <c r="E21" s="54" t="n"/>
      <c r="F21" s="54" t="n"/>
      <c r="G21" s="54" t="n"/>
      <c r="H21" s="54" t="n"/>
      <c r="I21" s="54" t="n"/>
      <c r="K21" s="13">
        <f>IF(B21="",0,IF(N(C21)=0,1,MAX(1,INT(C21))))</f>
        <v/>
      </c>
      <c r="L21" s="13">
        <f>SUM(K$6:K21)</f>
        <v/>
      </c>
    </row>
    <row r="22">
      <c r="B22" s="52" t="n"/>
      <c r="C22" s="53" t="n"/>
      <c r="D22" s="54" t="n"/>
      <c r="E22" s="54" t="n"/>
      <c r="F22" s="54" t="n"/>
      <c r="G22" s="54" t="n"/>
      <c r="H22" s="54" t="n"/>
      <c r="I22" s="54" t="n"/>
      <c r="K22" s="13">
        <f>IF(B22="",0,IF(N(C22)=0,1,MAX(1,INT(C22))))</f>
        <v/>
      </c>
      <c r="L22" s="13">
        <f>SUM(K$6:K22)</f>
        <v/>
      </c>
    </row>
    <row r="23">
      <c r="B23" s="52" t="n"/>
      <c r="C23" s="53" t="n"/>
      <c r="D23" s="54" t="n"/>
      <c r="E23" s="54" t="n"/>
      <c r="F23" s="54" t="n"/>
      <c r="G23" s="54" t="n"/>
      <c r="H23" s="54" t="n"/>
      <c r="I23" s="54" t="n"/>
      <c r="K23" s="13">
        <f>IF(B23="",0,IF(N(C23)=0,1,MAX(1,INT(C23))))</f>
        <v/>
      </c>
      <c r="L23" s="13">
        <f>SUM(K$6:K23)</f>
        <v/>
      </c>
    </row>
    <row r="24">
      <c r="B24" s="52" t="n"/>
      <c r="C24" s="53" t="n"/>
      <c r="D24" s="54" t="n"/>
      <c r="E24" s="54" t="n"/>
      <c r="F24" s="54" t="n"/>
      <c r="G24" s="54" t="n"/>
      <c r="H24" s="54" t="n"/>
      <c r="I24" s="54" t="n"/>
      <c r="K24" s="13">
        <f>IF(B24="",0,IF(N(C24)=0,1,MAX(1,INT(C24))))</f>
        <v/>
      </c>
      <c r="L24" s="13">
        <f>SUM(K$6:K24)</f>
        <v/>
      </c>
    </row>
    <row r="25">
      <c r="B25" s="52" t="n"/>
      <c r="C25" s="53" t="n"/>
      <c r="D25" s="54" t="n"/>
      <c r="E25" s="54" t="n"/>
      <c r="F25" s="54" t="n"/>
      <c r="G25" s="54" t="n"/>
      <c r="H25" s="54" t="n"/>
      <c r="I25" s="54" t="n"/>
      <c r="K25" s="13">
        <f>IF(B25="",0,IF(N(C25)=0,1,MAX(1,INT(C25))))</f>
        <v/>
      </c>
      <c r="L25" s="13">
        <f>SUM(K$6:K25)</f>
        <v/>
      </c>
    </row>
    <row r="26">
      <c r="B26" s="52" t="n"/>
      <c r="C26" s="53" t="n"/>
      <c r="D26" s="54" t="n"/>
      <c r="E26" s="54" t="n"/>
      <c r="F26" s="54" t="n"/>
      <c r="G26" s="54" t="n"/>
      <c r="H26" s="54" t="n"/>
      <c r="I26" s="54" t="n"/>
      <c r="K26" s="13">
        <f>IF(B26="",0,IF(N(C26)=0,1,MAX(1,INT(C26))))</f>
        <v/>
      </c>
      <c r="L26" s="13">
        <f>SUM(K$6:K26)</f>
        <v/>
      </c>
    </row>
    <row r="27">
      <c r="B27" s="52" t="n"/>
      <c r="C27" s="53" t="n"/>
      <c r="D27" s="54" t="n"/>
      <c r="E27" s="54" t="n"/>
      <c r="F27" s="54" t="n"/>
      <c r="G27" s="54" t="n"/>
      <c r="H27" s="54" t="n"/>
      <c r="I27" s="54" t="n"/>
      <c r="K27" s="13">
        <f>IF(B27="",0,IF(N(C27)=0,1,MAX(1,INT(C27))))</f>
        <v/>
      </c>
      <c r="L27" s="13">
        <f>SUM(K$6:K27)</f>
        <v/>
      </c>
    </row>
    <row r="28">
      <c r="B28" s="52" t="n"/>
      <c r="C28" s="53" t="n"/>
      <c r="D28" s="54" t="n"/>
      <c r="E28" s="54" t="n"/>
      <c r="F28" s="54" t="n"/>
      <c r="G28" s="54" t="n"/>
      <c r="H28" s="54" t="n"/>
      <c r="I28" s="54" t="n"/>
      <c r="K28" s="13">
        <f>IF(B28="",0,IF(N(C28)=0,1,MAX(1,INT(C28))))</f>
        <v/>
      </c>
      <c r="L28" s="13">
        <f>SUM(K$6:K28)</f>
        <v/>
      </c>
    </row>
    <row r="29">
      <c r="B29" s="52" t="n"/>
      <c r="C29" s="53" t="n"/>
      <c r="D29" s="54" t="n"/>
      <c r="E29" s="54" t="n"/>
      <c r="F29" s="54" t="n"/>
      <c r="G29" s="54" t="n"/>
      <c r="H29" s="54" t="n"/>
      <c r="I29" s="54" t="n"/>
      <c r="K29" s="13">
        <f>IF(B29="",0,IF(N(C29)=0,1,MAX(1,INT(C29))))</f>
        <v/>
      </c>
      <c r="L29" s="13">
        <f>SUM(K$6:K29)</f>
        <v/>
      </c>
    </row>
    <row r="31">
      <c r="B31" s="55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H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56" customWidth="1" min="3" max="3"/>
    <col width="10" customWidth="1" min="4" max="4"/>
    <col width="12" customWidth="1" min="5" max="5"/>
    <col width="11" customWidth="1" min="6" max="6"/>
    <col width="10" customWidth="1" min="7" max="7"/>
    <col width="11" customWidth="1" min="8" max="8"/>
  </cols>
  <sheetData>
    <row r="1" ht="30" customHeight="1">
      <c r="A1" s="48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</row>
    <row r="2" ht="20" customHeight="1">
      <c r="A2" s="56" t="inlineStr">
        <is>
          <t>Coller ici votre registre des outils (en-têtes ligne 5, données dès la ligne 6). Le BL retrouve référence, désignation, origine et poids à partir du N° de série saisi en colonne B du BL.</t>
        </is>
      </c>
      <c r="B2" s="1" t="n"/>
      <c r="C2" s="1" t="n"/>
      <c r="D2" s="1" t="n"/>
      <c r="E2" s="1" t="n"/>
      <c r="F2" s="1" t="n"/>
      <c r="G2" s="1" t="n"/>
      <c r="H2" s="1" t="n"/>
    </row>
    <row r="3" ht="5" customHeight="1">
      <c r="A3" s="57" t="n"/>
      <c r="B3" s="57" t="n"/>
      <c r="C3" s="57" t="n"/>
      <c r="D3" s="57" t="n"/>
      <c r="E3" s="57" t="n"/>
      <c r="F3" s="57" t="n"/>
      <c r="G3" s="57" t="n"/>
      <c r="H3" s="57" t="n"/>
    </row>
    <row r="4">
      <c r="A4" s="58" t="inlineStr">
        <is>
          <t>Lignes ci-dessous : EXEMPLES FICTIFS</t>
        </is>
      </c>
    </row>
    <row r="5" ht="30" customHeight="1">
      <c r="A5" s="50" t="inlineStr">
        <is>
          <t>N° de série</t>
        </is>
      </c>
      <c r="B5" s="50" t="inlineStr">
        <is>
          <t>Référence</t>
        </is>
      </c>
      <c r="C5" s="50" t="inlineStr">
        <is>
          <t>Désignation</t>
        </is>
      </c>
      <c r="D5" s="50" t="inlineStr">
        <is>
          <t>Origine</t>
        </is>
      </c>
      <c r="E5" s="50" t="inlineStr">
        <is>
          <t>Code SH (HS)</t>
        </is>
      </c>
      <c r="F5" s="50" t="inlineStr">
        <is>
          <t>Poids net (kg)</t>
        </is>
      </c>
      <c r="G5" s="50" t="inlineStr">
        <is>
          <t>OD</t>
        </is>
      </c>
      <c r="H5" s="50" t="inlineStr">
        <is>
          <t>Longueur</t>
        </is>
      </c>
    </row>
    <row r="6">
      <c r="A6" s="53" t="inlineStr">
        <is>
          <t>SN-4471</t>
        </is>
      </c>
      <c r="B6" s="53" t="inlineStr">
        <is>
          <t>PL-0412</t>
        </is>
      </c>
      <c r="C6" s="52" t="inlineStr">
        <is>
          <t>Stabilisateur 5-7/8" OD, 2-1/4" ID, 3-1/2" IF pin x box</t>
        </is>
      </c>
      <c r="D6" s="53" t="inlineStr">
        <is>
          <t>FR</t>
        </is>
      </c>
      <c r="E6" s="53" t="inlineStr">
        <is>
          <t>8431 4380</t>
        </is>
      </c>
      <c r="F6" s="53" t="n">
        <v>85</v>
      </c>
      <c r="G6" s="53" t="inlineStr">
        <is>
          <t>5-7/8"</t>
        </is>
      </c>
      <c r="H6" s="53" t="inlineStr">
        <is>
          <t>1.85 m</t>
        </is>
      </c>
    </row>
    <row r="7">
      <c r="A7" s="53" t="inlineStr">
        <is>
          <t>SN-1120</t>
        </is>
      </c>
      <c r="B7" s="53" t="inlineStr">
        <is>
          <t>PL-0377</t>
        </is>
      </c>
      <c r="C7" s="52" t="inlineStr">
        <is>
          <t>Crossover 3-1/2" IF pin x 2-7/8" EU box</t>
        </is>
      </c>
      <c r="D7" s="53" t="inlineStr">
        <is>
          <t>FR</t>
        </is>
      </c>
      <c r="E7" s="53" t="inlineStr">
        <is>
          <t>7307 9190</t>
        </is>
      </c>
      <c r="F7" s="53" t="n">
        <v>12.5</v>
      </c>
      <c r="G7" s="53" t="inlineStr">
        <is>
          <t>4-3/4"</t>
        </is>
      </c>
      <c r="H7" s="53" t="inlineStr">
        <is>
          <t>0.60 m</t>
        </is>
      </c>
    </row>
    <row r="8">
      <c r="A8" s="53" t="inlineStr">
        <is>
          <t>SN-1121</t>
        </is>
      </c>
      <c r="B8" s="53" t="inlineStr">
        <is>
          <t>PL-0377</t>
        </is>
      </c>
      <c r="C8" s="52" t="inlineStr">
        <is>
          <t>Crossover 3-1/2" IF pin x 2-7/8" EU box</t>
        </is>
      </c>
      <c r="D8" s="53" t="inlineStr">
        <is>
          <t>FR</t>
        </is>
      </c>
      <c r="E8" s="53" t="inlineStr">
        <is>
          <t>7307 9190</t>
        </is>
      </c>
      <c r="F8" s="53" t="n">
        <v>12.5</v>
      </c>
      <c r="G8" s="53" t="inlineStr">
        <is>
          <t>4-3/4"</t>
        </is>
      </c>
      <c r="H8" s="53" t="inlineStr">
        <is>
          <t>0.60 m</t>
        </is>
      </c>
    </row>
    <row r="9">
      <c r="A9" s="53" t="inlineStr">
        <is>
          <t>SN-1130</t>
        </is>
      </c>
      <c r="B9" s="53" t="inlineStr">
        <is>
          <t>PL-0378</t>
        </is>
      </c>
      <c r="C9" s="52" t="inlineStr">
        <is>
          <t>Crossover 3-1/2" IF box x 2-7/8" EU pin</t>
        </is>
      </c>
      <c r="D9" s="53" t="inlineStr">
        <is>
          <t>FR</t>
        </is>
      </c>
      <c r="E9" s="53" t="inlineStr">
        <is>
          <t>7307 9190</t>
        </is>
      </c>
      <c r="F9" s="53" t="n">
        <v>12.5</v>
      </c>
      <c r="G9" s="53" t="inlineStr">
        <is>
          <t>4-3/4"</t>
        </is>
      </c>
      <c r="H9" s="53" t="inlineStr">
        <is>
          <t>0.60 m</t>
        </is>
      </c>
    </row>
    <row r="10">
      <c r="A10" s="53" t="n"/>
      <c r="B10" s="53" t="n"/>
      <c r="C10" s="52" t="n"/>
      <c r="D10" s="53" t="n"/>
      <c r="E10" s="53" t="n"/>
      <c r="F10" s="53" t="n"/>
      <c r="G10" s="53" t="n"/>
      <c r="H10" s="53" t="n"/>
    </row>
    <row r="11">
      <c r="A11" s="53" t="n"/>
      <c r="B11" s="53" t="n"/>
      <c r="C11" s="52" t="n"/>
      <c r="D11" s="53" t="n"/>
      <c r="E11" s="53" t="n"/>
      <c r="F11" s="53" t="n"/>
      <c r="G11" s="53" t="n"/>
      <c r="H11" s="53" t="n"/>
    </row>
    <row r="12">
      <c r="A12" s="53" t="n"/>
      <c r="B12" s="53" t="n"/>
      <c r="C12" s="52" t="n"/>
      <c r="D12" s="53" t="n"/>
      <c r="E12" s="53" t="n"/>
      <c r="F12" s="53" t="n"/>
      <c r="G12" s="53" t="n"/>
      <c r="H12" s="53" t="n"/>
    </row>
    <row r="13">
      <c r="A13" s="53" t="n"/>
      <c r="B13" s="53" t="n"/>
      <c r="C13" s="52" t="n"/>
      <c r="D13" s="53" t="n"/>
      <c r="E13" s="53" t="n"/>
      <c r="F13" s="53" t="n"/>
      <c r="G13" s="53" t="n"/>
      <c r="H13" s="53" t="n"/>
    </row>
    <row r="14">
      <c r="A14" s="53" t="n"/>
      <c r="B14" s="53" t="n"/>
      <c r="C14" s="52" t="n"/>
      <c r="D14" s="53" t="n"/>
      <c r="E14" s="53" t="n"/>
      <c r="F14" s="53" t="n"/>
      <c r="G14" s="53" t="n"/>
      <c r="H14" s="53" t="n"/>
    </row>
    <row r="15">
      <c r="A15" s="53" t="n"/>
      <c r="B15" s="53" t="n"/>
      <c r="C15" s="52" t="n"/>
      <c r="D15" s="53" t="n"/>
      <c r="E15" s="53" t="n"/>
      <c r="F15" s="53" t="n"/>
      <c r="G15" s="53" t="n"/>
      <c r="H15" s="53" t="n"/>
    </row>
    <row r="16">
      <c r="A16" s="53" t="n"/>
      <c r="B16" s="53" t="n"/>
      <c r="C16" s="52" t="n"/>
      <c r="D16" s="53" t="n"/>
      <c r="E16" s="53" t="n"/>
      <c r="F16" s="53" t="n"/>
      <c r="G16" s="53" t="n"/>
      <c r="H16" s="53" t="n"/>
    </row>
    <row r="17">
      <c r="A17" s="53" t="n"/>
      <c r="B17" s="53" t="n"/>
      <c r="C17" s="52" t="n"/>
      <c r="D17" s="53" t="n"/>
      <c r="E17" s="53" t="n"/>
      <c r="F17" s="53" t="n"/>
      <c r="G17" s="53" t="n"/>
      <c r="H17" s="53" t="n"/>
    </row>
    <row r="18">
      <c r="A18" s="53" t="n"/>
      <c r="B18" s="53" t="n"/>
      <c r="C18" s="52" t="n"/>
      <c r="D18" s="53" t="n"/>
      <c r="E18" s="53" t="n"/>
      <c r="F18" s="53" t="n"/>
      <c r="G18" s="53" t="n"/>
      <c r="H18" s="53" t="n"/>
    </row>
    <row r="19">
      <c r="A19" s="53" t="n"/>
      <c r="B19" s="53" t="n"/>
      <c r="C19" s="52" t="n"/>
      <c r="D19" s="53" t="n"/>
      <c r="E19" s="53" t="n"/>
      <c r="F19" s="53" t="n"/>
      <c r="G19" s="53" t="n"/>
      <c r="H19" s="53" t="n"/>
    </row>
    <row r="20">
      <c r="A20" s="53" t="n"/>
      <c r="B20" s="53" t="n"/>
      <c r="C20" s="52" t="n"/>
      <c r="D20" s="53" t="n"/>
      <c r="E20" s="53" t="n"/>
      <c r="F20" s="53" t="n"/>
      <c r="G20" s="53" t="n"/>
      <c r="H20" s="53" t="n"/>
    </row>
    <row r="21">
      <c r="A21" s="53" t="n"/>
      <c r="B21" s="53" t="n"/>
      <c r="C21" s="52" t="n"/>
      <c r="D21" s="53" t="n"/>
      <c r="E21" s="53" t="n"/>
      <c r="F21" s="53" t="n"/>
      <c r="G21" s="53" t="n"/>
      <c r="H21" s="53" t="n"/>
    </row>
    <row r="22">
      <c r="A22" s="53" t="n"/>
      <c r="B22" s="53" t="n"/>
      <c r="C22" s="52" t="n"/>
      <c r="D22" s="53" t="n"/>
      <c r="E22" s="53" t="n"/>
      <c r="F22" s="53" t="n"/>
      <c r="G22" s="53" t="n"/>
      <c r="H22" s="53" t="n"/>
    </row>
    <row r="23">
      <c r="A23" s="53" t="n"/>
      <c r="B23" s="53" t="n"/>
      <c r="C23" s="52" t="n"/>
      <c r="D23" s="53" t="n"/>
      <c r="E23" s="53" t="n"/>
      <c r="F23" s="53" t="n"/>
      <c r="G23" s="53" t="n"/>
      <c r="H23" s="53" t="n"/>
    </row>
    <row r="24">
      <c r="A24" s="53" t="n"/>
      <c r="B24" s="53" t="n"/>
      <c r="C24" s="52" t="n"/>
      <c r="D24" s="53" t="n"/>
      <c r="E24" s="53" t="n"/>
      <c r="F24" s="53" t="n"/>
      <c r="G24" s="53" t="n"/>
      <c r="H24" s="53" t="n"/>
    </row>
    <row r="25">
      <c r="A25" s="53" t="n"/>
      <c r="B25" s="53" t="n"/>
      <c r="C25" s="52" t="n"/>
      <c r="D25" s="53" t="n"/>
      <c r="E25" s="53" t="n"/>
      <c r="F25" s="53" t="n"/>
      <c r="G25" s="53" t="n"/>
      <c r="H25" s="53" t="n"/>
    </row>
    <row r="26">
      <c r="A26" s="53" t="n"/>
      <c r="B26" s="53" t="n"/>
      <c r="C26" s="52" t="n"/>
      <c r="D26" s="53" t="n"/>
      <c r="E26" s="53" t="n"/>
      <c r="F26" s="53" t="n"/>
      <c r="G26" s="53" t="n"/>
      <c r="H26" s="53" t="n"/>
    </row>
    <row r="27">
      <c r="A27" s="53" t="n"/>
      <c r="B27" s="53" t="n"/>
      <c r="C27" s="52" t="n"/>
      <c r="D27" s="53" t="n"/>
      <c r="E27" s="53" t="n"/>
      <c r="F27" s="53" t="n"/>
      <c r="G27" s="53" t="n"/>
      <c r="H27" s="53" t="n"/>
    </row>
    <row r="28">
      <c r="A28" s="53" t="n"/>
      <c r="B28" s="53" t="n"/>
      <c r="C28" s="52" t="n"/>
      <c r="D28" s="53" t="n"/>
      <c r="E28" s="53" t="n"/>
      <c r="F28" s="53" t="n"/>
      <c r="G28" s="53" t="n"/>
      <c r="H28" s="53" t="n"/>
    </row>
    <row r="29">
      <c r="A29" s="53" t="n"/>
      <c r="B29" s="53" t="n"/>
      <c r="C29" s="52" t="n"/>
      <c r="D29" s="53" t="n"/>
      <c r="E29" s="53" t="n"/>
      <c r="F29" s="53" t="n"/>
      <c r="G29" s="53" t="n"/>
      <c r="H29" s="53" t="n"/>
    </row>
    <row r="30">
      <c r="A30" s="53" t="n"/>
      <c r="B30" s="53" t="n"/>
      <c r="C30" s="52" t="n"/>
      <c r="D30" s="53" t="n"/>
      <c r="E30" s="53" t="n"/>
      <c r="F30" s="53" t="n"/>
      <c r="G30" s="53" t="n"/>
      <c r="H30" s="53" t="n"/>
    </row>
    <row r="31">
      <c r="A31" s="53" t="n"/>
      <c r="B31" s="53" t="n"/>
      <c r="C31" s="52" t="n"/>
      <c r="D31" s="53" t="n"/>
      <c r="E31" s="53" t="n"/>
      <c r="F31" s="53" t="n"/>
      <c r="G31" s="53" t="n"/>
      <c r="H31" s="53" t="n"/>
    </row>
    <row r="32">
      <c r="A32" s="53" t="n"/>
      <c r="B32" s="53" t="n"/>
      <c r="C32" s="52" t="n"/>
      <c r="D32" s="53" t="n"/>
      <c r="E32" s="53" t="n"/>
      <c r="F32" s="53" t="n"/>
      <c r="G32" s="53" t="n"/>
      <c r="H32" s="53" t="n"/>
    </row>
    <row r="33">
      <c r="A33" s="53" t="n"/>
      <c r="B33" s="53" t="n"/>
      <c r="C33" s="52" t="n"/>
      <c r="D33" s="53" t="n"/>
      <c r="E33" s="53" t="n"/>
      <c r="F33" s="53" t="n"/>
      <c r="G33" s="53" t="n"/>
      <c r="H33" s="53" t="n"/>
    </row>
    <row r="34">
      <c r="A34" s="53" t="n"/>
      <c r="B34" s="53" t="n"/>
      <c r="C34" s="52" t="n"/>
      <c r="D34" s="53" t="n"/>
      <c r="E34" s="53" t="n"/>
      <c r="F34" s="53" t="n"/>
      <c r="G34" s="53" t="n"/>
      <c r="H34" s="53" t="n"/>
    </row>
    <row r="35">
      <c r="A35" s="53" t="n"/>
      <c r="B35" s="53" t="n"/>
      <c r="C35" s="52" t="n"/>
      <c r="D35" s="53" t="n"/>
      <c r="E35" s="53" t="n"/>
      <c r="F35" s="53" t="n"/>
      <c r="G35" s="53" t="n"/>
      <c r="H35" s="53" t="n"/>
    </row>
    <row r="36">
      <c r="A36" s="53" t="n"/>
      <c r="B36" s="53" t="n"/>
      <c r="C36" s="52" t="n"/>
      <c r="D36" s="53" t="n"/>
      <c r="E36" s="53" t="n"/>
      <c r="F36" s="53" t="n"/>
      <c r="G36" s="53" t="n"/>
      <c r="H36" s="53" t="n"/>
    </row>
    <row r="37">
      <c r="A37" s="53" t="n"/>
      <c r="B37" s="53" t="n"/>
      <c r="C37" s="52" t="n"/>
      <c r="D37" s="53" t="n"/>
      <c r="E37" s="53" t="n"/>
      <c r="F37" s="53" t="n"/>
      <c r="G37" s="53" t="n"/>
      <c r="H37" s="53" t="n"/>
    </row>
    <row r="38">
      <c r="A38" s="53" t="n"/>
      <c r="B38" s="53" t="n"/>
      <c r="C38" s="52" t="n"/>
      <c r="D38" s="53" t="n"/>
      <c r="E38" s="53" t="n"/>
      <c r="F38" s="53" t="n"/>
      <c r="G38" s="53" t="n"/>
      <c r="H38" s="53" t="n"/>
    </row>
    <row r="39">
      <c r="A39" s="53" t="n"/>
      <c r="B39" s="53" t="n"/>
      <c r="C39" s="52" t="n"/>
      <c r="D39" s="53" t="n"/>
      <c r="E39" s="53" t="n"/>
      <c r="F39" s="53" t="n"/>
      <c r="G39" s="53" t="n"/>
      <c r="H39" s="53" t="n"/>
    </row>
    <row r="40">
      <c r="A40" s="53" t="n"/>
      <c r="B40" s="53" t="n"/>
      <c r="C40" s="52" t="n"/>
      <c r="D40" s="53" t="n"/>
      <c r="E40" s="53" t="n"/>
      <c r="F40" s="53" t="n"/>
      <c r="G40" s="53" t="n"/>
      <c r="H40" s="53" t="n"/>
    </row>
    <row r="41">
      <c r="A41" s="53" t="n"/>
      <c r="B41" s="53" t="n"/>
      <c r="C41" s="52" t="n"/>
      <c r="D41" s="53" t="n"/>
      <c r="E41" s="53" t="n"/>
      <c r="F41" s="53" t="n"/>
      <c r="G41" s="53" t="n"/>
      <c r="H41" s="53" t="n"/>
    </row>
    <row r="42">
      <c r="A42" s="53" t="n"/>
      <c r="B42" s="53" t="n"/>
      <c r="C42" s="52" t="n"/>
      <c r="D42" s="53" t="n"/>
      <c r="E42" s="53" t="n"/>
      <c r="F42" s="53" t="n"/>
      <c r="G42" s="53" t="n"/>
      <c r="H42" s="53" t="n"/>
    </row>
    <row r="43">
      <c r="A43" s="53" t="n"/>
      <c r="B43" s="53" t="n"/>
      <c r="C43" s="52" t="n"/>
      <c r="D43" s="53" t="n"/>
      <c r="E43" s="53" t="n"/>
      <c r="F43" s="53" t="n"/>
      <c r="G43" s="53" t="n"/>
      <c r="H43" s="53" t="n"/>
    </row>
    <row r="44">
      <c r="A44" s="53" t="n"/>
      <c r="B44" s="53" t="n"/>
      <c r="C44" s="52" t="n"/>
      <c r="D44" s="53" t="n"/>
      <c r="E44" s="53" t="n"/>
      <c r="F44" s="53" t="n"/>
      <c r="G44" s="53" t="n"/>
      <c r="H44" s="53" t="n"/>
    </row>
    <row r="45">
      <c r="A45" s="53" t="n"/>
      <c r="B45" s="53" t="n"/>
      <c r="C45" s="52" t="n"/>
      <c r="D45" s="53" t="n"/>
      <c r="E45" s="53" t="n"/>
      <c r="F45" s="53" t="n"/>
      <c r="G45" s="53" t="n"/>
      <c r="H45" s="53" t="n"/>
    </row>
    <row r="46">
      <c r="A46" s="53" t="n"/>
      <c r="B46" s="53" t="n"/>
      <c r="C46" s="52" t="n"/>
      <c r="D46" s="53" t="n"/>
      <c r="E46" s="53" t="n"/>
      <c r="F46" s="53" t="n"/>
      <c r="G46" s="53" t="n"/>
      <c r="H46" s="53" t="n"/>
    </row>
    <row r="47">
      <c r="A47" s="53" t="n"/>
      <c r="B47" s="53" t="n"/>
      <c r="C47" s="52" t="n"/>
      <c r="D47" s="53" t="n"/>
      <c r="E47" s="53" t="n"/>
      <c r="F47" s="53" t="n"/>
      <c r="G47" s="53" t="n"/>
      <c r="H47" s="53" t="n"/>
    </row>
    <row r="48">
      <c r="A48" s="53" t="n"/>
      <c r="B48" s="53" t="n"/>
      <c r="C48" s="52" t="n"/>
      <c r="D48" s="53" t="n"/>
      <c r="E48" s="53" t="n"/>
      <c r="F48" s="53" t="n"/>
      <c r="G48" s="53" t="n"/>
      <c r="H48" s="53" t="n"/>
    </row>
    <row r="49">
      <c r="A49" s="53" t="n"/>
      <c r="B49" s="53" t="n"/>
      <c r="C49" s="52" t="n"/>
      <c r="D49" s="53" t="n"/>
      <c r="E49" s="53" t="n"/>
      <c r="F49" s="53" t="n"/>
      <c r="G49" s="53" t="n"/>
      <c r="H49" s="53" t="n"/>
    </row>
    <row r="50">
      <c r="A50" s="53" t="n"/>
      <c r="B50" s="53" t="n"/>
      <c r="C50" s="52" t="n"/>
      <c r="D50" s="53" t="n"/>
      <c r="E50" s="53" t="n"/>
      <c r="F50" s="53" t="n"/>
      <c r="G50" s="53" t="n"/>
      <c r="H50" s="53" t="n"/>
    </row>
    <row r="51">
      <c r="A51" s="53" t="n"/>
      <c r="B51" s="53" t="n"/>
      <c r="C51" s="52" t="n"/>
      <c r="D51" s="53" t="n"/>
      <c r="E51" s="53" t="n"/>
      <c r="F51" s="53" t="n"/>
      <c r="G51" s="53" t="n"/>
      <c r="H51" s="53" t="n"/>
    </row>
    <row r="52">
      <c r="A52" s="53" t="n"/>
      <c r="B52" s="53" t="n"/>
      <c r="C52" s="52" t="n"/>
      <c r="D52" s="53" t="n"/>
      <c r="E52" s="53" t="n"/>
      <c r="F52" s="53" t="n"/>
      <c r="G52" s="53" t="n"/>
      <c r="H52" s="53" t="n"/>
    </row>
    <row r="53">
      <c r="A53" s="53" t="n"/>
      <c r="B53" s="53" t="n"/>
      <c r="C53" s="52" t="n"/>
      <c r="D53" s="53" t="n"/>
      <c r="E53" s="53" t="n"/>
      <c r="F53" s="53" t="n"/>
      <c r="G53" s="53" t="n"/>
      <c r="H53" s="53" t="n"/>
    </row>
    <row r="54">
      <c r="A54" s="53" t="n"/>
      <c r="B54" s="53" t="n"/>
      <c r="C54" s="52" t="n"/>
      <c r="D54" s="53" t="n"/>
      <c r="E54" s="53" t="n"/>
      <c r="F54" s="53" t="n"/>
      <c r="G54" s="53" t="n"/>
      <c r="H54" s="53" t="n"/>
    </row>
    <row r="55">
      <c r="A55" s="53" t="n"/>
      <c r="B55" s="53" t="n"/>
      <c r="C55" s="52" t="n"/>
      <c r="D55" s="53" t="n"/>
      <c r="E55" s="53" t="n"/>
      <c r="F55" s="53" t="n"/>
      <c r="G55" s="53" t="n"/>
      <c r="H55" s="53" t="n"/>
    </row>
    <row r="56">
      <c r="A56" s="53" t="n"/>
      <c r="B56" s="53" t="n"/>
      <c r="C56" s="52" t="n"/>
      <c r="D56" s="53" t="n"/>
      <c r="E56" s="53" t="n"/>
      <c r="F56" s="53" t="n"/>
      <c r="G56" s="53" t="n"/>
      <c r="H56" s="53" t="n"/>
    </row>
    <row r="57">
      <c r="A57" s="53" t="n"/>
      <c r="B57" s="53" t="n"/>
      <c r="C57" s="52" t="n"/>
      <c r="D57" s="53" t="n"/>
      <c r="E57" s="53" t="n"/>
      <c r="F57" s="53" t="n"/>
      <c r="G57" s="53" t="n"/>
      <c r="H57" s="53" t="n"/>
    </row>
    <row r="58">
      <c r="A58" s="53" t="n"/>
      <c r="B58" s="53" t="n"/>
      <c r="C58" s="52" t="n"/>
      <c r="D58" s="53" t="n"/>
      <c r="E58" s="53" t="n"/>
      <c r="F58" s="53" t="n"/>
      <c r="G58" s="53" t="n"/>
      <c r="H58" s="53" t="n"/>
    </row>
    <row r="59">
      <c r="A59" s="53" t="n"/>
      <c r="B59" s="53" t="n"/>
      <c r="C59" s="52" t="n"/>
      <c r="D59" s="53" t="n"/>
      <c r="E59" s="53" t="n"/>
      <c r="F59" s="53" t="n"/>
      <c r="G59" s="53" t="n"/>
      <c r="H59" s="53" t="n"/>
    </row>
    <row r="60">
      <c r="A60" s="53" t="n"/>
      <c r="B60" s="53" t="n"/>
      <c r="C60" s="52" t="n"/>
      <c r="D60" s="53" t="n"/>
      <c r="E60" s="53" t="n"/>
      <c r="F60" s="53" t="n"/>
      <c r="G60" s="53" t="n"/>
      <c r="H60" s="53" t="n"/>
    </row>
    <row r="61">
      <c r="A61" s="53" t="n"/>
      <c r="B61" s="53" t="n"/>
      <c r="C61" s="52" t="n"/>
      <c r="D61" s="53" t="n"/>
      <c r="E61" s="53" t="n"/>
      <c r="F61" s="53" t="n"/>
      <c r="G61" s="53" t="n"/>
      <c r="H61" s="53" t="n"/>
    </row>
    <row r="62">
      <c r="A62" s="53" t="n"/>
      <c r="B62" s="53" t="n"/>
      <c r="C62" s="52" t="n"/>
      <c r="D62" s="53" t="n"/>
      <c r="E62" s="53" t="n"/>
      <c r="F62" s="53" t="n"/>
      <c r="G62" s="53" t="n"/>
      <c r="H62" s="53" t="n"/>
    </row>
    <row r="63">
      <c r="A63" s="53" t="n"/>
      <c r="B63" s="53" t="n"/>
      <c r="C63" s="52" t="n"/>
      <c r="D63" s="53" t="n"/>
      <c r="E63" s="53" t="n"/>
      <c r="F63" s="53" t="n"/>
      <c r="G63" s="53" t="n"/>
      <c r="H63" s="53" t="n"/>
    </row>
    <row r="64">
      <c r="A64" s="53" t="n"/>
      <c r="B64" s="53" t="n"/>
      <c r="C64" s="52" t="n"/>
      <c r="D64" s="53" t="n"/>
      <c r="E64" s="53" t="n"/>
      <c r="F64" s="53" t="n"/>
      <c r="G64" s="53" t="n"/>
      <c r="H64" s="53" t="n"/>
    </row>
    <row r="65">
      <c r="A65" s="53" t="n"/>
      <c r="B65" s="53" t="n"/>
      <c r="C65" s="52" t="n"/>
      <c r="D65" s="53" t="n"/>
      <c r="E65" s="53" t="n"/>
      <c r="F65" s="53" t="n"/>
      <c r="G65" s="53" t="n"/>
      <c r="H65" s="53" t="n"/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59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2026-10-28T16:15:02Z</dcterms:created>
  <dcterms:modified xmlns:dcterms="http://purl.org/dc/terms/" xmlns:xsi="http://www.w3.org/2001/XMLSchema-instance" xsi:type="dcterms:W3CDTF">2026-10-28T16:15:03Z</dcterms:modified>
</cp:coreProperties>
</file>